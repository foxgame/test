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375" windowWidth="14805" windowHeight="7740" activeTab="1"/>
  </bookViews>
  <sheets>
    <sheet name="职业设计" sheetId="1" r:id="rId1"/>
    <sheet name="优化职业" sheetId="6" r:id="rId2"/>
    <sheet name="装备设计" sheetId="2" r:id="rId3"/>
    <sheet name="武器表" sheetId="3" r:id="rId4"/>
    <sheet name="挂饰表" sheetId="4" r:id="rId5"/>
    <sheet name="Sheet1" sheetId="5" r:id="rId6"/>
    <sheet name="Sheet2" sheetId="7" r:id="rId7"/>
    <sheet name="Sheet3" sheetId="8" r:id="rId8"/>
  </sheets>
  <functionGroups builtInGroupCount="18"/>
  <externalReferences>
    <externalReference r:id="rId9"/>
  </externalReferences>
  <definedNames>
    <definedName name="drop_grow1">装备设计!$H$2:$L$6</definedName>
    <definedName name="drop_property_weight">职业设计!$L$61:$T$81</definedName>
    <definedName name="macth1">职业设计!$C$39:$Q$39</definedName>
    <definedName name="role_grow">职业设计!$B$32:$Q$35</definedName>
    <definedName name="role_property_weight">职业设计!$B$39:$S$59</definedName>
    <definedName name="weapon_grow1">装备设计!$B$2:$F$6</definedName>
    <definedName name="weapon_property_weight">职业设计!$B$61:$J$81</definedName>
    <definedName name="上级职业">2</definedName>
    <definedName name="下级职业">1</definedName>
    <definedName name="终极职业">3</definedName>
  </definedNames>
  <calcPr calcId="152511"/>
</workbook>
</file>

<file path=xl/calcChain.xml><?xml version="1.0" encoding="utf-8"?>
<calcChain xmlns="http://schemas.openxmlformats.org/spreadsheetml/2006/main">
  <c r="E61" i="6" l="1"/>
  <c r="F61" i="6"/>
  <c r="G61" i="6"/>
  <c r="H61" i="6"/>
  <c r="I61" i="6"/>
  <c r="D61" i="6"/>
  <c r="E59" i="6"/>
  <c r="F59" i="6"/>
  <c r="G59" i="6"/>
  <c r="H59" i="6"/>
  <c r="I59" i="6"/>
  <c r="D59" i="6"/>
  <c r="E58" i="6"/>
  <c r="F58" i="6"/>
  <c r="G58" i="6"/>
  <c r="H58" i="6"/>
  <c r="I58" i="6"/>
  <c r="D58" i="6"/>
  <c r="E57" i="6"/>
  <c r="F57" i="6"/>
  <c r="G57" i="6"/>
  <c r="H57" i="6"/>
  <c r="I57" i="6"/>
  <c r="D57" i="6"/>
  <c r="D60" i="6"/>
  <c r="E60" i="6"/>
  <c r="F60" i="6"/>
  <c r="G60" i="6"/>
  <c r="H60" i="6"/>
  <c r="I60" i="6"/>
  <c r="I56" i="6"/>
  <c r="E56" i="6"/>
  <c r="F56" i="6"/>
  <c r="G56" i="6"/>
  <c r="H56" i="6"/>
  <c r="D56" i="6"/>
  <c r="R12" i="6" l="1"/>
  <c r="R13" i="6"/>
  <c r="R14" i="6"/>
  <c r="R15" i="6"/>
  <c r="R16" i="6"/>
  <c r="R17" i="6"/>
  <c r="R18" i="6"/>
  <c r="R19" i="6"/>
  <c r="R20" i="6"/>
  <c r="R21" i="6"/>
  <c r="R22" i="6"/>
  <c r="S14" i="6"/>
  <c r="P57" i="6" l="1"/>
  <c r="AI57" i="6" s="1"/>
  <c r="Q57" i="6"/>
  <c r="R57" i="6"/>
  <c r="S57" i="6"/>
  <c r="T57" i="6"/>
  <c r="U57" i="6"/>
  <c r="V57" i="6"/>
  <c r="W57" i="6"/>
  <c r="P58" i="6"/>
  <c r="AI58" i="6" s="1"/>
  <c r="Q58" i="6"/>
  <c r="R58" i="6"/>
  <c r="S58" i="6"/>
  <c r="T58" i="6"/>
  <c r="U58" i="6"/>
  <c r="V58" i="6"/>
  <c r="W58" i="6"/>
  <c r="Q56" i="6"/>
  <c r="R56" i="6"/>
  <c r="S56" i="6"/>
  <c r="AI56" i="6" s="1"/>
  <c r="T56" i="6"/>
  <c r="U56" i="6"/>
  <c r="V56" i="6"/>
  <c r="W56" i="6"/>
  <c r="P56" i="6"/>
  <c r="Q61" i="6"/>
  <c r="R61" i="6"/>
  <c r="S61" i="6"/>
  <c r="T61" i="6"/>
  <c r="U61" i="6"/>
  <c r="V61" i="6"/>
  <c r="W61" i="6"/>
  <c r="P61" i="6"/>
  <c r="AI61" i="6" s="1"/>
  <c r="Q60" i="6"/>
  <c r="R60" i="6"/>
  <c r="S60" i="6"/>
  <c r="T60" i="6"/>
  <c r="U60" i="6"/>
  <c r="V60" i="6"/>
  <c r="W60" i="6"/>
  <c r="P60" i="6"/>
  <c r="W59" i="6"/>
  <c r="Q59" i="6"/>
  <c r="R59" i="6"/>
  <c r="S59" i="6"/>
  <c r="T59" i="6"/>
  <c r="AI59" i="6" s="1"/>
  <c r="U59" i="6"/>
  <c r="V59" i="6"/>
  <c r="P59" i="6"/>
  <c r="AI60" i="6"/>
  <c r="J61" i="6"/>
  <c r="K61" i="6"/>
  <c r="J60" i="6"/>
  <c r="K60" i="6"/>
  <c r="J59" i="6"/>
  <c r="K59" i="6"/>
  <c r="J57" i="6"/>
  <c r="K57" i="6"/>
  <c r="J58" i="6"/>
  <c r="K58" i="6"/>
  <c r="J56" i="6"/>
  <c r="K56" i="6"/>
  <c r="Y4" i="6" l="1"/>
  <c r="Z4" i="6"/>
  <c r="AA4" i="6"/>
  <c r="AB4" i="6"/>
  <c r="AC4" i="6"/>
  <c r="AD4" i="6"/>
  <c r="Y5" i="6"/>
  <c r="Z5" i="6"/>
  <c r="AA5" i="6"/>
  <c r="AB5" i="6"/>
  <c r="AC5" i="6"/>
  <c r="AD5" i="6"/>
  <c r="Y6" i="6"/>
  <c r="Z6" i="6"/>
  <c r="AA6" i="6"/>
  <c r="AB6" i="6"/>
  <c r="AC6" i="6"/>
  <c r="AD6" i="6"/>
  <c r="Y7" i="6"/>
  <c r="Z7" i="6"/>
  <c r="AA7" i="6"/>
  <c r="AB7" i="6"/>
  <c r="AC7" i="6"/>
  <c r="AD7" i="6"/>
  <c r="Y8" i="6"/>
  <c r="Z8" i="6"/>
  <c r="AA8" i="6"/>
  <c r="AB8" i="6"/>
  <c r="AC8" i="6"/>
  <c r="AD8" i="6"/>
  <c r="Y9" i="6"/>
  <c r="Z9" i="6"/>
  <c r="AA9" i="6"/>
  <c r="AB9" i="6"/>
  <c r="AC9" i="6"/>
  <c r="AD9" i="6"/>
  <c r="Y10" i="6"/>
  <c r="Z10" i="6"/>
  <c r="AA10" i="6"/>
  <c r="AB10" i="6"/>
  <c r="AC10" i="6"/>
  <c r="AD10" i="6"/>
  <c r="Y11" i="6"/>
  <c r="Z11" i="6"/>
  <c r="AA11" i="6"/>
  <c r="AB11" i="6"/>
  <c r="AC11" i="6"/>
  <c r="AD11" i="6"/>
  <c r="Y12" i="6"/>
  <c r="Z12" i="6"/>
  <c r="AA12" i="6"/>
  <c r="AB12" i="6"/>
  <c r="AC12" i="6"/>
  <c r="AD12" i="6"/>
  <c r="Y13" i="6"/>
  <c r="Z13" i="6"/>
  <c r="AA13" i="6"/>
  <c r="AB13" i="6"/>
  <c r="AC13" i="6"/>
  <c r="AD13" i="6"/>
  <c r="Y14" i="6"/>
  <c r="Z14" i="6"/>
  <c r="AA14" i="6"/>
  <c r="AB14" i="6"/>
  <c r="AC14" i="6"/>
  <c r="AD14" i="6"/>
  <c r="Y15" i="6"/>
  <c r="Z15" i="6"/>
  <c r="AA15" i="6"/>
  <c r="AB15" i="6"/>
  <c r="AC15" i="6"/>
  <c r="AD15" i="6"/>
  <c r="Y16" i="6"/>
  <c r="Z16" i="6"/>
  <c r="AA16" i="6"/>
  <c r="AB16" i="6"/>
  <c r="AC16" i="6"/>
  <c r="AD16" i="6"/>
  <c r="Y17" i="6"/>
  <c r="Z17" i="6"/>
  <c r="AA17" i="6"/>
  <c r="AB17" i="6"/>
  <c r="AC17" i="6"/>
  <c r="AD17" i="6"/>
  <c r="Y18" i="6"/>
  <c r="Z18" i="6"/>
  <c r="AA18" i="6"/>
  <c r="AB18" i="6"/>
  <c r="AC18" i="6"/>
  <c r="AD18" i="6"/>
  <c r="Y19" i="6"/>
  <c r="Z19" i="6"/>
  <c r="AA19" i="6"/>
  <c r="AB19" i="6"/>
  <c r="AC19" i="6"/>
  <c r="AD19" i="6"/>
  <c r="Y20" i="6"/>
  <c r="Z20" i="6"/>
  <c r="AA20" i="6"/>
  <c r="AB20" i="6"/>
  <c r="AC20" i="6"/>
  <c r="AD20" i="6"/>
  <c r="Y21" i="6"/>
  <c r="Z21" i="6"/>
  <c r="AA21" i="6"/>
  <c r="AB21" i="6"/>
  <c r="AC21" i="6"/>
  <c r="AD21" i="6"/>
  <c r="Y22" i="6"/>
  <c r="Z22" i="6"/>
  <c r="AA22" i="6"/>
  <c r="AB22" i="6"/>
  <c r="AC22" i="6"/>
  <c r="AD22" i="6"/>
  <c r="Z3" i="6"/>
  <c r="AA3" i="6"/>
  <c r="AB3" i="6"/>
  <c r="AC3" i="6"/>
  <c r="AD3" i="6"/>
  <c r="Y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3" i="6"/>
  <c r="D5" i="7"/>
  <c r="D6" i="7" s="1"/>
  <c r="D7" i="7" s="1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D90" i="7" s="1"/>
  <c r="D91" i="7" s="1"/>
  <c r="D92" i="7" s="1"/>
  <c r="D93" i="7" s="1"/>
  <c r="D94" i="7" s="1"/>
  <c r="D95" i="7" s="1"/>
  <c r="D96" i="7" s="1"/>
  <c r="D97" i="7" s="1"/>
  <c r="D98" i="7" s="1"/>
  <c r="D99" i="7" s="1"/>
  <c r="D100" i="7" s="1"/>
  <c r="D101" i="7" s="1"/>
  <c r="D4" i="7"/>
  <c r="G4" i="7" s="1"/>
  <c r="G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3" i="7"/>
  <c r="C5" i="7"/>
  <c r="C6" i="7"/>
  <c r="C7" i="7" s="1"/>
  <c r="C8" i="7" s="1"/>
  <c r="C9" i="7" s="1"/>
  <c r="C10" i="7" s="1"/>
  <c r="C11" i="7" s="1"/>
  <c r="C12" i="7" s="1"/>
  <c r="C13" i="7" s="1"/>
  <c r="C14" i="7" s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4" i="7"/>
  <c r="G5" i="7" l="1"/>
  <c r="G6" i="7" l="1"/>
  <c r="G7" i="7" l="1"/>
  <c r="G8" i="7" l="1"/>
  <c r="G9" i="7" l="1"/>
  <c r="G10" i="7" l="1"/>
  <c r="G11" i="7" l="1"/>
  <c r="G12" i="7" l="1"/>
  <c r="G13" i="7" l="1"/>
  <c r="G14" i="7" l="1"/>
  <c r="G15" i="7" l="1"/>
  <c r="G16" i="7" l="1"/>
  <c r="G17" i="7" l="1"/>
  <c r="G18" i="7" l="1"/>
  <c r="G19" i="7" l="1"/>
  <c r="G20" i="7" l="1"/>
  <c r="G21" i="7" l="1"/>
  <c r="G22" i="7" l="1"/>
  <c r="G23" i="7" l="1"/>
  <c r="G24" i="7" l="1"/>
  <c r="G25" i="7" l="1"/>
  <c r="G26" i="7" l="1"/>
  <c r="G27" i="7" l="1"/>
  <c r="G28" i="7" l="1"/>
  <c r="G29" i="7" l="1"/>
  <c r="G30" i="7" l="1"/>
  <c r="G31" i="7" l="1"/>
  <c r="G32" i="7" l="1"/>
  <c r="G33" i="7" l="1"/>
  <c r="G34" i="7" l="1"/>
  <c r="G35" i="7" l="1"/>
  <c r="G36" i="7" l="1"/>
  <c r="G37" i="7" l="1"/>
  <c r="G38" i="7" l="1"/>
  <c r="G39" i="7" l="1"/>
  <c r="G40" i="7" l="1"/>
  <c r="G41" i="7" l="1"/>
  <c r="G42" i="7" l="1"/>
  <c r="G43" i="7" l="1"/>
  <c r="G44" i="7" l="1"/>
  <c r="G45" i="7" l="1"/>
  <c r="G46" i="7" l="1"/>
  <c r="G47" i="7" l="1"/>
  <c r="G48" i="7" l="1"/>
  <c r="G49" i="7" l="1"/>
  <c r="G50" i="7" l="1"/>
  <c r="G51" i="7" l="1"/>
  <c r="G52" i="7" l="1"/>
  <c r="G53" i="7" l="1"/>
  <c r="G54" i="7" l="1"/>
  <c r="G55" i="7" l="1"/>
  <c r="G56" i="7" l="1"/>
  <c r="G57" i="7" l="1"/>
  <c r="G58" i="7" l="1"/>
  <c r="G59" i="7" l="1"/>
  <c r="G60" i="7" l="1"/>
  <c r="G61" i="7" l="1"/>
  <c r="G62" i="7" l="1"/>
  <c r="G63" i="7" l="1"/>
  <c r="G64" i="7" l="1"/>
  <c r="G65" i="7" l="1"/>
  <c r="G66" i="7" l="1"/>
  <c r="G67" i="7" l="1"/>
  <c r="G68" i="7" l="1"/>
  <c r="G69" i="7" l="1"/>
  <c r="G70" i="7" l="1"/>
  <c r="G71" i="7" l="1"/>
  <c r="G72" i="7" l="1"/>
  <c r="G73" i="7" l="1"/>
  <c r="G74" i="7" l="1"/>
  <c r="G75" i="7" l="1"/>
  <c r="G76" i="7" l="1"/>
  <c r="G77" i="7" l="1"/>
  <c r="G78" i="7" l="1"/>
  <c r="G79" i="7" l="1"/>
  <c r="G80" i="7" l="1"/>
  <c r="G81" i="7" l="1"/>
  <c r="G82" i="7" l="1"/>
  <c r="G83" i="7" l="1"/>
  <c r="G84" i="7" l="1"/>
  <c r="G85" i="7" l="1"/>
  <c r="G86" i="7" l="1"/>
  <c r="G87" i="7" l="1"/>
  <c r="G88" i="7" l="1"/>
  <c r="G89" i="7" l="1"/>
  <c r="G90" i="7" l="1"/>
  <c r="G91" i="7" l="1"/>
  <c r="G92" i="7" l="1"/>
  <c r="G93" i="7" l="1"/>
  <c r="G94" i="7" l="1"/>
  <c r="G95" i="7" l="1"/>
  <c r="G96" i="7" l="1"/>
  <c r="G97" i="7" l="1"/>
  <c r="G98" i="7" l="1"/>
  <c r="G99" i="7" l="1"/>
  <c r="G101" i="7" l="1"/>
  <c r="G100" i="7"/>
  <c r="D121" i="1" l="1"/>
  <c r="J121" i="1"/>
  <c r="I121" i="1"/>
  <c r="C121" i="1"/>
  <c r="G121" i="1"/>
  <c r="F121" i="1"/>
  <c r="H121" i="1"/>
  <c r="J3" i="3"/>
  <c r="E121" i="1" l="1"/>
  <c r="A54" i="1"/>
  <c r="M48" i="6" l="1"/>
  <c r="M52" i="6"/>
  <c r="M44" i="6"/>
  <c r="M40" i="6"/>
  <c r="M36" i="6"/>
  <c r="M32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25" i="6"/>
  <c r="AI25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J42" i="6" s="1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26" i="6"/>
  <c r="M39" i="6"/>
  <c r="M55" i="6"/>
  <c r="M53" i="6"/>
  <c r="M51" i="6"/>
  <c r="M50" i="6"/>
  <c r="M49" i="6"/>
  <c r="M47" i="6"/>
  <c r="M46" i="6"/>
  <c r="M45" i="6"/>
  <c r="M43" i="6"/>
  <c r="M41" i="6"/>
  <c r="M38" i="6"/>
  <c r="M37" i="6"/>
  <c r="M35" i="6"/>
  <c r="M34" i="6"/>
  <c r="M33" i="6"/>
  <c r="M31" i="6"/>
  <c r="M30" i="6"/>
  <c r="M29" i="6"/>
  <c r="Q55" i="6"/>
  <c r="R55" i="6"/>
  <c r="S55" i="6"/>
  <c r="T55" i="6"/>
  <c r="U55" i="6"/>
  <c r="V55" i="6"/>
  <c r="W55" i="6"/>
  <c r="P55" i="6"/>
  <c r="P4" i="6"/>
  <c r="Q4" i="6"/>
  <c r="R4" i="6"/>
  <c r="S4" i="6"/>
  <c r="T4" i="6"/>
  <c r="U4" i="6"/>
  <c r="V4" i="6"/>
  <c r="W4" i="6"/>
  <c r="P5" i="6"/>
  <c r="Q5" i="6"/>
  <c r="R5" i="6"/>
  <c r="S5" i="6"/>
  <c r="T5" i="6"/>
  <c r="U5" i="6"/>
  <c r="V5" i="6"/>
  <c r="W5" i="6"/>
  <c r="P6" i="6"/>
  <c r="Q6" i="6"/>
  <c r="R6" i="6"/>
  <c r="S6" i="6"/>
  <c r="T6" i="6"/>
  <c r="U6" i="6"/>
  <c r="V6" i="6"/>
  <c r="W6" i="6"/>
  <c r="P7" i="6"/>
  <c r="Q7" i="6"/>
  <c r="R7" i="6"/>
  <c r="S7" i="6"/>
  <c r="T7" i="6"/>
  <c r="U7" i="6"/>
  <c r="V7" i="6"/>
  <c r="W7" i="6"/>
  <c r="P8" i="6"/>
  <c r="Q8" i="6"/>
  <c r="R8" i="6"/>
  <c r="S8" i="6"/>
  <c r="T8" i="6"/>
  <c r="U8" i="6"/>
  <c r="V8" i="6"/>
  <c r="W8" i="6"/>
  <c r="P9" i="6"/>
  <c r="Q9" i="6"/>
  <c r="R9" i="6"/>
  <c r="S9" i="6"/>
  <c r="T9" i="6"/>
  <c r="U9" i="6"/>
  <c r="V9" i="6"/>
  <c r="W9" i="6"/>
  <c r="P10" i="6"/>
  <c r="Q10" i="6"/>
  <c r="R10" i="6"/>
  <c r="S10" i="6"/>
  <c r="T10" i="6"/>
  <c r="U10" i="6"/>
  <c r="V10" i="6"/>
  <c r="W10" i="6"/>
  <c r="P11" i="6"/>
  <c r="Q11" i="6"/>
  <c r="R11" i="6"/>
  <c r="S11" i="6"/>
  <c r="T11" i="6"/>
  <c r="U11" i="6"/>
  <c r="V11" i="6"/>
  <c r="W11" i="6"/>
  <c r="P12" i="6"/>
  <c r="Q12" i="6"/>
  <c r="S12" i="6"/>
  <c r="T12" i="6"/>
  <c r="U12" i="6"/>
  <c r="V12" i="6"/>
  <c r="W12" i="6"/>
  <c r="P13" i="6"/>
  <c r="Q13" i="6"/>
  <c r="S13" i="6"/>
  <c r="T13" i="6"/>
  <c r="U13" i="6"/>
  <c r="V13" i="6"/>
  <c r="W13" i="6"/>
  <c r="P14" i="6"/>
  <c r="Q14" i="6"/>
  <c r="T14" i="6"/>
  <c r="U14" i="6"/>
  <c r="V14" i="6"/>
  <c r="W14" i="6"/>
  <c r="P15" i="6"/>
  <c r="Q15" i="6"/>
  <c r="S15" i="6"/>
  <c r="T15" i="6"/>
  <c r="U15" i="6"/>
  <c r="V15" i="6"/>
  <c r="W15" i="6"/>
  <c r="P16" i="6"/>
  <c r="Q16" i="6"/>
  <c r="S16" i="6"/>
  <c r="T16" i="6"/>
  <c r="U16" i="6"/>
  <c r="V16" i="6"/>
  <c r="W16" i="6"/>
  <c r="P17" i="6"/>
  <c r="Q17" i="6"/>
  <c r="S17" i="6"/>
  <c r="T17" i="6"/>
  <c r="U17" i="6"/>
  <c r="V17" i="6"/>
  <c r="W17" i="6"/>
  <c r="P18" i="6"/>
  <c r="Q18" i="6"/>
  <c r="S18" i="6"/>
  <c r="T18" i="6"/>
  <c r="U18" i="6"/>
  <c r="V18" i="6"/>
  <c r="W18" i="6"/>
  <c r="P19" i="6"/>
  <c r="Q19" i="6"/>
  <c r="S19" i="6"/>
  <c r="T19" i="6"/>
  <c r="U19" i="6"/>
  <c r="V19" i="6"/>
  <c r="W19" i="6"/>
  <c r="P20" i="6"/>
  <c r="Q20" i="6"/>
  <c r="S20" i="6"/>
  <c r="T20" i="6"/>
  <c r="U20" i="6"/>
  <c r="V20" i="6"/>
  <c r="W20" i="6"/>
  <c r="P21" i="6"/>
  <c r="Q21" i="6"/>
  <c r="S21" i="6"/>
  <c r="T21" i="6"/>
  <c r="U21" i="6"/>
  <c r="V21" i="6"/>
  <c r="W21" i="6"/>
  <c r="P22" i="6"/>
  <c r="Q22" i="6"/>
  <c r="S22" i="6"/>
  <c r="T22" i="6"/>
  <c r="U22" i="6"/>
  <c r="V22" i="6"/>
  <c r="W22" i="6"/>
  <c r="Q3" i="6"/>
  <c r="R3" i="6"/>
  <c r="S3" i="6"/>
  <c r="T3" i="6"/>
  <c r="U3" i="6"/>
  <c r="V3" i="6"/>
  <c r="W3" i="6"/>
  <c r="P3" i="6"/>
  <c r="O21" i="6"/>
  <c r="O22" i="6"/>
  <c r="O20" i="6"/>
  <c r="O14" i="6"/>
  <c r="O15" i="6"/>
  <c r="O16" i="6"/>
  <c r="O17" i="6"/>
  <c r="O18" i="6"/>
  <c r="O19" i="6"/>
  <c r="O13" i="6"/>
  <c r="P5" i="4"/>
  <c r="K8" i="4"/>
  <c r="M10" i="4"/>
  <c r="O12" i="4"/>
  <c r="Q14" i="4"/>
  <c r="L17" i="4"/>
  <c r="N19" i="4"/>
  <c r="P21" i="4"/>
  <c r="K24" i="4"/>
  <c r="M26" i="4"/>
  <c r="O28" i="4"/>
  <c r="Q30" i="4"/>
  <c r="L33" i="4"/>
  <c r="N35" i="4"/>
  <c r="P37" i="4"/>
  <c r="K40" i="4"/>
  <c r="M42" i="4"/>
  <c r="O44" i="4"/>
  <c r="Q46" i="4"/>
  <c r="L49" i="4"/>
  <c r="N51" i="4"/>
  <c r="P53" i="4"/>
  <c r="K56" i="4"/>
  <c r="M58" i="4"/>
  <c r="O60" i="4"/>
  <c r="Q62" i="4"/>
  <c r="L65" i="4"/>
  <c r="N67" i="4"/>
  <c r="P69" i="4"/>
  <c r="K72" i="4"/>
  <c r="Q5" i="4"/>
  <c r="L8" i="4"/>
  <c r="N10" i="4"/>
  <c r="P12" i="4"/>
  <c r="K15" i="4"/>
  <c r="M17" i="4"/>
  <c r="O19" i="4"/>
  <c r="Q21" i="4"/>
  <c r="L24" i="4"/>
  <c r="N26" i="4"/>
  <c r="P28" i="4"/>
  <c r="K31" i="4"/>
  <c r="M33" i="4"/>
  <c r="O35" i="4"/>
  <c r="Q37" i="4"/>
  <c r="L40" i="4"/>
  <c r="N42" i="4"/>
  <c r="P44" i="4"/>
  <c r="K47" i="4"/>
  <c r="M49" i="4"/>
  <c r="O51" i="4"/>
  <c r="Q53" i="4"/>
  <c r="L56" i="4"/>
  <c r="N58" i="4"/>
  <c r="P60" i="4"/>
  <c r="K63" i="4"/>
  <c r="M65" i="4"/>
  <c r="O67" i="4"/>
  <c r="Q69" i="4"/>
  <c r="Q4" i="4"/>
  <c r="L7" i="4"/>
  <c r="N9" i="4"/>
  <c r="P11" i="4"/>
  <c r="K14" i="4"/>
  <c r="M16" i="4"/>
  <c r="O18" i="4"/>
  <c r="Q20" i="4"/>
  <c r="L23" i="4"/>
  <c r="N25" i="4"/>
  <c r="P27" i="4"/>
  <c r="K30" i="4"/>
  <c r="M32" i="4"/>
  <c r="O34" i="4"/>
  <c r="Q36" i="4"/>
  <c r="L39" i="4"/>
  <c r="N41" i="4"/>
  <c r="P43" i="4"/>
  <c r="K46" i="4"/>
  <c r="M48" i="4"/>
  <c r="O50" i="4"/>
  <c r="Q52" i="4"/>
  <c r="L55" i="4"/>
  <c r="N57" i="4"/>
  <c r="P59" i="4"/>
  <c r="K62" i="4"/>
  <c r="M64" i="4"/>
  <c r="O66" i="4"/>
  <c r="Q68" i="4"/>
  <c r="L71" i="4"/>
  <c r="N73" i="4"/>
  <c r="P75" i="4"/>
  <c r="K9" i="4"/>
  <c r="L18" i="4"/>
  <c r="M27" i="4"/>
  <c r="N36" i="4"/>
  <c r="O45" i="4"/>
  <c r="P54" i="4"/>
  <c r="Q63" i="4"/>
  <c r="L72" i="4"/>
  <c r="M75" i="4"/>
  <c r="Q77" i="4"/>
  <c r="L80" i="4"/>
  <c r="N82" i="4"/>
  <c r="P84" i="4"/>
  <c r="K87" i="4"/>
  <c r="M89" i="4"/>
  <c r="O91" i="4"/>
  <c r="Q93" i="4"/>
  <c r="L96" i="4"/>
  <c r="N98" i="4"/>
  <c r="P100" i="4"/>
  <c r="K103" i="4"/>
  <c r="M105" i="4"/>
  <c r="O107" i="4"/>
  <c r="Q109" i="4"/>
  <c r="L112" i="4"/>
  <c r="N114" i="4"/>
  <c r="P116" i="4"/>
  <c r="K119" i="4"/>
  <c r="M121" i="4"/>
  <c r="O123" i="4"/>
  <c r="Q125" i="4"/>
  <c r="L128" i="4"/>
  <c r="Q11" i="4"/>
  <c r="K4" i="4"/>
  <c r="M6" i="4"/>
  <c r="O8" i="4"/>
  <c r="Q10" i="4"/>
  <c r="L13" i="4"/>
  <c r="N15" i="4"/>
  <c r="P17" i="4"/>
  <c r="K20" i="4"/>
  <c r="M22" i="4"/>
  <c r="O24" i="4"/>
  <c r="Q26" i="4"/>
  <c r="L29" i="4"/>
  <c r="N31" i="4"/>
  <c r="P33" i="4"/>
  <c r="K36" i="4"/>
  <c r="M38" i="4"/>
  <c r="O40" i="4"/>
  <c r="Q42" i="4"/>
  <c r="L45" i="4"/>
  <c r="N47" i="4"/>
  <c r="P49" i="4"/>
  <c r="K52" i="4"/>
  <c r="M54" i="4"/>
  <c r="O56" i="4"/>
  <c r="Q58" i="4"/>
  <c r="L61" i="4"/>
  <c r="N63" i="4"/>
  <c r="P65" i="4"/>
  <c r="K68" i="4"/>
  <c r="M70" i="4"/>
  <c r="L4" i="4"/>
  <c r="N6" i="4"/>
  <c r="P8" i="4"/>
  <c r="K11" i="4"/>
  <c r="M13" i="4"/>
  <c r="O15" i="4"/>
  <c r="Q17" i="4"/>
  <c r="L20" i="4"/>
  <c r="N22" i="4"/>
  <c r="P24" i="4"/>
  <c r="K27" i="4"/>
  <c r="M29" i="4"/>
  <c r="O31" i="4"/>
  <c r="Q33" i="4"/>
  <c r="L36" i="4"/>
  <c r="N38" i="4"/>
  <c r="P40" i="4"/>
  <c r="K43" i="4"/>
  <c r="M45" i="4"/>
  <c r="O47" i="4"/>
  <c r="Q49" i="4"/>
  <c r="L52" i="4"/>
  <c r="N54" i="4"/>
  <c r="P56" i="4"/>
  <c r="K59" i="4"/>
  <c r="M61" i="4"/>
  <c r="O63" i="4"/>
  <c r="Q65" i="4"/>
  <c r="L68" i="4"/>
  <c r="N70" i="4"/>
  <c r="N5" i="4"/>
  <c r="P7" i="4"/>
  <c r="K10" i="4"/>
  <c r="M12" i="4"/>
  <c r="O14" i="4"/>
  <c r="Q16" i="4"/>
  <c r="L19" i="4"/>
  <c r="N21" i="4"/>
  <c r="P23" i="4"/>
  <c r="K26" i="4"/>
  <c r="M28" i="4"/>
  <c r="O30" i="4"/>
  <c r="Q32" i="4"/>
  <c r="L35" i="4"/>
  <c r="N37" i="4"/>
  <c r="P39" i="4"/>
  <c r="K42" i="4"/>
  <c r="M44" i="4"/>
  <c r="O46" i="4"/>
  <c r="Q48" i="4"/>
  <c r="L51" i="4"/>
  <c r="N53" i="4"/>
  <c r="P55" i="4"/>
  <c r="K58" i="4"/>
  <c r="M60" i="4"/>
  <c r="O62" i="4"/>
  <c r="Q64" i="4"/>
  <c r="L67" i="4"/>
  <c r="N69" i="4"/>
  <c r="P71" i="4"/>
  <c r="K74" i="4"/>
  <c r="M76" i="4"/>
  <c r="M11" i="4"/>
  <c r="N20" i="4"/>
  <c r="O29" i="4"/>
  <c r="P38" i="4"/>
  <c r="Q47" i="4"/>
  <c r="K57" i="4"/>
  <c r="L66" i="4"/>
  <c r="K73" i="4"/>
  <c r="K76" i="4"/>
  <c r="N78" i="4"/>
  <c r="P80" i="4"/>
  <c r="K83" i="4"/>
  <c r="M85" i="4"/>
  <c r="O87" i="4"/>
  <c r="Q89" i="4"/>
  <c r="L92" i="4"/>
  <c r="N94" i="4"/>
  <c r="P96" i="4"/>
  <c r="K99" i="4"/>
  <c r="M101" i="4"/>
  <c r="O103" i="4"/>
  <c r="Q105" i="4"/>
  <c r="L108" i="4"/>
  <c r="N110" i="4"/>
  <c r="P112" i="4"/>
  <c r="K115" i="4"/>
  <c r="M117" i="4"/>
  <c r="O119" i="4"/>
  <c r="Q121" i="4"/>
  <c r="L124" i="4"/>
  <c r="N126" i="4"/>
  <c r="K5" i="4"/>
  <c r="L14" i="4"/>
  <c r="O4" i="4"/>
  <c r="Q6" i="4"/>
  <c r="L9" i="4"/>
  <c r="N11" i="4"/>
  <c r="P13" i="4"/>
  <c r="K16" i="4"/>
  <c r="M18" i="4"/>
  <c r="O20" i="4"/>
  <c r="Q22" i="4"/>
  <c r="L25" i="4"/>
  <c r="N27" i="4"/>
  <c r="P29" i="4"/>
  <c r="K32" i="4"/>
  <c r="M34" i="4"/>
  <c r="O36" i="4"/>
  <c r="Q38" i="4"/>
  <c r="L41" i="4"/>
  <c r="N43" i="4"/>
  <c r="P45" i="4"/>
  <c r="K48" i="4"/>
  <c r="M50" i="4"/>
  <c r="O52" i="4"/>
  <c r="Q54" i="4"/>
  <c r="L57" i="4"/>
  <c r="N59" i="4"/>
  <c r="P61" i="4"/>
  <c r="K64" i="4"/>
  <c r="M66" i="4"/>
  <c r="O68" i="4"/>
  <c r="Q70" i="4"/>
  <c r="P4" i="4"/>
  <c r="K7" i="4"/>
  <c r="M9" i="4"/>
  <c r="O11" i="4"/>
  <c r="Q13" i="4"/>
  <c r="L16" i="4"/>
  <c r="N18" i="4"/>
  <c r="P20" i="4"/>
  <c r="K23" i="4"/>
  <c r="M25" i="4"/>
  <c r="O27" i="4"/>
  <c r="Q29" i="4"/>
  <c r="L32" i="4"/>
  <c r="N34" i="4"/>
  <c r="P36" i="4"/>
  <c r="K39" i="4"/>
  <c r="M41" i="4"/>
  <c r="O43" i="4"/>
  <c r="Q45" i="4"/>
  <c r="L48" i="4"/>
  <c r="N50" i="4"/>
  <c r="P52" i="4"/>
  <c r="K55" i="4"/>
  <c r="M57" i="4"/>
  <c r="O59" i="4"/>
  <c r="Q61" i="4"/>
  <c r="L64" i="4"/>
  <c r="N66" i="4"/>
  <c r="P68" i="4"/>
  <c r="K71" i="4"/>
  <c r="K6" i="4"/>
  <c r="M8" i="4"/>
  <c r="O10" i="4"/>
  <c r="Q12" i="4"/>
  <c r="L15" i="4"/>
  <c r="N17" i="4"/>
  <c r="P19" i="4"/>
  <c r="K22" i="4"/>
  <c r="M24" i="4"/>
  <c r="O26" i="4"/>
  <c r="Q28" i="4"/>
  <c r="L31" i="4"/>
  <c r="N33" i="4"/>
  <c r="P35" i="4"/>
  <c r="K38" i="4"/>
  <c r="M40" i="4"/>
  <c r="O42" i="4"/>
  <c r="Q44" i="4"/>
  <c r="L47" i="4"/>
  <c r="N49" i="4"/>
  <c r="P51" i="4"/>
  <c r="K54" i="4"/>
  <c r="M56" i="4"/>
  <c r="O58" i="4"/>
  <c r="Q60" i="4"/>
  <c r="L63" i="4"/>
  <c r="N65" i="4"/>
  <c r="P67" i="4"/>
  <c r="K70" i="4"/>
  <c r="M72" i="4"/>
  <c r="O74" i="4"/>
  <c r="N4" i="4"/>
  <c r="O13" i="4"/>
  <c r="P22" i="4"/>
  <c r="Q31" i="4"/>
  <c r="K41" i="4"/>
  <c r="L50" i="4"/>
  <c r="M59" i="4"/>
  <c r="N68" i="4"/>
  <c r="P73" i="4"/>
  <c r="P76" i="4"/>
  <c r="K79" i="4"/>
  <c r="M81" i="4"/>
  <c r="O83" i="4"/>
  <c r="Q85" i="4"/>
  <c r="L88" i="4"/>
  <c r="N90" i="4"/>
  <c r="P92" i="4"/>
  <c r="K95" i="4"/>
  <c r="M97" i="4"/>
  <c r="O99" i="4"/>
  <c r="Q101" i="4"/>
  <c r="L104" i="4"/>
  <c r="N106" i="4"/>
  <c r="P108" i="4"/>
  <c r="K111" i="4"/>
  <c r="M113" i="4"/>
  <c r="O115" i="4"/>
  <c r="Q117" i="4"/>
  <c r="L120" i="4"/>
  <c r="N122" i="4"/>
  <c r="P124" i="4"/>
  <c r="K127" i="4"/>
  <c r="M7" i="4"/>
  <c r="N16" i="4"/>
  <c r="N7" i="4"/>
  <c r="O16" i="4"/>
  <c r="P25" i="4"/>
  <c r="Q34" i="4"/>
  <c r="K44" i="4"/>
  <c r="L53" i="4"/>
  <c r="M62" i="4"/>
  <c r="N71" i="4"/>
  <c r="L12" i="4"/>
  <c r="M21" i="4"/>
  <c r="N30" i="4"/>
  <c r="O39" i="4"/>
  <c r="P48" i="4"/>
  <c r="Q57" i="4"/>
  <c r="K67" i="4"/>
  <c r="Q8" i="4"/>
  <c r="K18" i="4"/>
  <c r="L27" i="4"/>
  <c r="M36" i="4"/>
  <c r="N45" i="4"/>
  <c r="O54" i="4"/>
  <c r="P63" i="4"/>
  <c r="Q72" i="4"/>
  <c r="K25" i="4"/>
  <c r="O61" i="4"/>
  <c r="O79" i="4"/>
  <c r="P88" i="4"/>
  <c r="Q97" i="4"/>
  <c r="K107" i="4"/>
  <c r="L116" i="4"/>
  <c r="M125" i="4"/>
  <c r="K21" i="4"/>
  <c r="L30" i="4"/>
  <c r="M39" i="4"/>
  <c r="N48" i="4"/>
  <c r="O57" i="4"/>
  <c r="P66" i="4"/>
  <c r="L73" i="4"/>
  <c r="L76" i="4"/>
  <c r="O78" i="4"/>
  <c r="Q80" i="4"/>
  <c r="L83" i="4"/>
  <c r="N85" i="4"/>
  <c r="P87" i="4"/>
  <c r="K90" i="4"/>
  <c r="M92" i="4"/>
  <c r="O94" i="4"/>
  <c r="Q96" i="4"/>
  <c r="L99" i="4"/>
  <c r="N101" i="4"/>
  <c r="P103" i="4"/>
  <c r="K106" i="4"/>
  <c r="M108" i="4"/>
  <c r="O110" i="4"/>
  <c r="Q112" i="4"/>
  <c r="L115" i="4"/>
  <c r="N117" i="4"/>
  <c r="P119" i="4"/>
  <c r="K122" i="4"/>
  <c r="L10" i="4"/>
  <c r="M19" i="4"/>
  <c r="N28" i="4"/>
  <c r="O37" i="4"/>
  <c r="P46" i="4"/>
  <c r="Q55" i="4"/>
  <c r="K65" i="4"/>
  <c r="O72" i="4"/>
  <c r="O75" i="4"/>
  <c r="L78" i="4"/>
  <c r="N80" i="4"/>
  <c r="P82" i="4"/>
  <c r="K85" i="4"/>
  <c r="M87" i="4"/>
  <c r="O89" i="4"/>
  <c r="Q91" i="4"/>
  <c r="L94" i="4"/>
  <c r="N96" i="4"/>
  <c r="P98" i="4"/>
  <c r="K101" i="4"/>
  <c r="M103" i="4"/>
  <c r="O105" i="4"/>
  <c r="Q107" i="4"/>
  <c r="L110" i="4"/>
  <c r="N112" i="4"/>
  <c r="P114" i="4"/>
  <c r="K117" i="4"/>
  <c r="M119" i="4"/>
  <c r="O121" i="4"/>
  <c r="Q123" i="4"/>
  <c r="L126" i="4"/>
  <c r="N128" i="4"/>
  <c r="P130" i="4"/>
  <c r="K133" i="4"/>
  <c r="O33" i="4"/>
  <c r="L70" i="4"/>
  <c r="P81" i="4"/>
  <c r="Q90" i="4"/>
  <c r="K100" i="4"/>
  <c r="L109" i="4"/>
  <c r="M118" i="4"/>
  <c r="L125" i="4"/>
  <c r="M129" i="4"/>
  <c r="M132" i="4"/>
  <c r="Q134" i="4"/>
  <c r="L137" i="4"/>
  <c r="N139" i="4"/>
  <c r="P141" i="4"/>
  <c r="K144" i="4"/>
  <c r="M146" i="4"/>
  <c r="O148" i="4"/>
  <c r="Q150" i="4"/>
  <c r="L153" i="4"/>
  <c r="N155" i="4"/>
  <c r="P157" i="4"/>
  <c r="K160" i="4"/>
  <c r="M162" i="4"/>
  <c r="O164" i="4"/>
  <c r="Q166" i="4"/>
  <c r="L169" i="4"/>
  <c r="N171" i="4"/>
  <c r="P173" i="4"/>
  <c r="K176" i="4"/>
  <c r="M178" i="4"/>
  <c r="O180" i="4"/>
  <c r="Q182" i="4"/>
  <c r="L185" i="4"/>
  <c r="N187" i="4"/>
  <c r="P9" i="4"/>
  <c r="Q18" i="4"/>
  <c r="K28" i="4"/>
  <c r="L37" i="4"/>
  <c r="M46" i="4"/>
  <c r="N55" i="4"/>
  <c r="O64" i="4"/>
  <c r="M5" i="4"/>
  <c r="N14" i="4"/>
  <c r="O23" i="4"/>
  <c r="P32" i="4"/>
  <c r="Q41" i="4"/>
  <c r="K51" i="4"/>
  <c r="L60" i="4"/>
  <c r="M69" i="4"/>
  <c r="L11" i="4"/>
  <c r="M20" i="4"/>
  <c r="N29" i="4"/>
  <c r="O38" i="4"/>
  <c r="P47" i="4"/>
  <c r="Q56" i="4"/>
  <c r="K66" i="4"/>
  <c r="L75" i="4"/>
  <c r="L34" i="4"/>
  <c r="P70" i="4"/>
  <c r="Q81" i="4"/>
  <c r="K91" i="4"/>
  <c r="L100" i="4"/>
  <c r="M109" i="4"/>
  <c r="N118" i="4"/>
  <c r="O127" i="4"/>
  <c r="M23" i="4"/>
  <c r="N32" i="4"/>
  <c r="O41" i="4"/>
  <c r="P50" i="4"/>
  <c r="Q59" i="4"/>
  <c r="K69" i="4"/>
  <c r="Q73" i="4"/>
  <c r="Q76" i="4"/>
  <c r="L79" i="4"/>
  <c r="N81" i="4"/>
  <c r="P83" i="4"/>
  <c r="K86" i="4"/>
  <c r="M88" i="4"/>
  <c r="O90" i="4"/>
  <c r="Q92" i="4"/>
  <c r="L95" i="4"/>
  <c r="N97" i="4"/>
  <c r="P99" i="4"/>
  <c r="K102" i="4"/>
  <c r="M104" i="4"/>
  <c r="O106" i="4"/>
  <c r="Q108" i="4"/>
  <c r="L111" i="4"/>
  <c r="N113" i="4"/>
  <c r="P115" i="4"/>
  <c r="K118" i="4"/>
  <c r="M120" i="4"/>
  <c r="O122" i="4"/>
  <c r="N12" i="4"/>
  <c r="O21" i="4"/>
  <c r="P30" i="4"/>
  <c r="Q39" i="4"/>
  <c r="K49" i="4"/>
  <c r="L58" i="4"/>
  <c r="M67" i="4"/>
  <c r="M73" i="4"/>
  <c r="N76" i="4"/>
  <c r="P78" i="4"/>
  <c r="K81" i="4"/>
  <c r="M83" i="4"/>
  <c r="O85" i="4"/>
  <c r="Q87" i="4"/>
  <c r="L90" i="4"/>
  <c r="N92" i="4"/>
  <c r="P94" i="4"/>
  <c r="K97" i="4"/>
  <c r="M99" i="4"/>
  <c r="O101" i="4"/>
  <c r="Q103" i="4"/>
  <c r="L106" i="4"/>
  <c r="N108" i="4"/>
  <c r="P110" i="4"/>
  <c r="K113" i="4"/>
  <c r="M115" i="4"/>
  <c r="O117" i="4"/>
  <c r="Q119" i="4"/>
  <c r="L122" i="4"/>
  <c r="N124" i="4"/>
  <c r="P126" i="4"/>
  <c r="K129" i="4"/>
  <c r="M131" i="4"/>
  <c r="L6" i="4"/>
  <c r="P42" i="4"/>
  <c r="M74" i="4"/>
  <c r="K84" i="4"/>
  <c r="L93" i="4"/>
  <c r="M102" i="4"/>
  <c r="N111" i="4"/>
  <c r="O120" i="4"/>
  <c r="M126" i="4"/>
  <c r="K130" i="4"/>
  <c r="L133" i="4"/>
  <c r="N135" i="4"/>
  <c r="P137" i="4"/>
  <c r="K140" i="4"/>
  <c r="M142" i="4"/>
  <c r="O144" i="4"/>
  <c r="Q146" i="4"/>
  <c r="L149" i="4"/>
  <c r="N151" i="4"/>
  <c r="P153" i="4"/>
  <c r="K156" i="4"/>
  <c r="M158" i="4"/>
  <c r="O160" i="4"/>
  <c r="Q162" i="4"/>
  <c r="L165" i="4"/>
  <c r="N167" i="4"/>
  <c r="P169" i="4"/>
  <c r="K172" i="4"/>
  <c r="M174" i="4"/>
  <c r="O176" i="4"/>
  <c r="Q178" i="4"/>
  <c r="L181" i="4"/>
  <c r="N183" i="4"/>
  <c r="P185" i="4"/>
  <c r="K188" i="4"/>
  <c r="K12" i="4"/>
  <c r="L21" i="4"/>
  <c r="M30" i="4"/>
  <c r="N39" i="4"/>
  <c r="O48" i="4"/>
  <c r="P57" i="4"/>
  <c r="Q66" i="4"/>
  <c r="O7" i="4"/>
  <c r="P16" i="4"/>
  <c r="Q25" i="4"/>
  <c r="K35" i="4"/>
  <c r="L44" i="4"/>
  <c r="M53" i="4"/>
  <c r="N62" i="4"/>
  <c r="M4" i="4"/>
  <c r="N13" i="4"/>
  <c r="O22" i="4"/>
  <c r="P31" i="4"/>
  <c r="Q40" i="4"/>
  <c r="K50" i="4"/>
  <c r="L59" i="4"/>
  <c r="M68" i="4"/>
  <c r="P6" i="4"/>
  <c r="M43" i="4"/>
  <c r="N74" i="4"/>
  <c r="L84" i="4"/>
  <c r="M93" i="4"/>
  <c r="N102" i="4"/>
  <c r="O111" i="4"/>
  <c r="P120" i="4"/>
  <c r="O9" i="4"/>
  <c r="O25" i="4"/>
  <c r="P34" i="4"/>
  <c r="Q43" i="4"/>
  <c r="K53" i="4"/>
  <c r="L62" i="4"/>
  <c r="M71" i="4"/>
  <c r="P74" i="4"/>
  <c r="N77" i="4"/>
  <c r="P79" i="4"/>
  <c r="K82" i="4"/>
  <c r="M84" i="4"/>
  <c r="O86" i="4"/>
  <c r="Q88" i="4"/>
  <c r="L91" i="4"/>
  <c r="N93" i="4"/>
  <c r="P95" i="4"/>
  <c r="K98" i="4"/>
  <c r="M100" i="4"/>
  <c r="O102" i="4"/>
  <c r="Q104" i="4"/>
  <c r="L107" i="4"/>
  <c r="N109" i="4"/>
  <c r="P111" i="4"/>
  <c r="K114" i="4"/>
  <c r="M116" i="4"/>
  <c r="O118" i="4"/>
  <c r="Q120" i="4"/>
  <c r="O5" i="4"/>
  <c r="P14" i="4"/>
  <c r="Q23" i="4"/>
  <c r="K33" i="4"/>
  <c r="L42" i="4"/>
  <c r="M51" i="4"/>
  <c r="N60" i="4"/>
  <c r="O69" i="4"/>
  <c r="L74" i="4"/>
  <c r="K77" i="4"/>
  <c r="M79" i="4"/>
  <c r="O81" i="4"/>
  <c r="Q83" i="4"/>
  <c r="L86" i="4"/>
  <c r="N88" i="4"/>
  <c r="P90" i="4"/>
  <c r="K93" i="4"/>
  <c r="M95" i="4"/>
  <c r="O97" i="4"/>
  <c r="Q99" i="4"/>
  <c r="L102" i="4"/>
  <c r="N104" i="4"/>
  <c r="P106" i="4"/>
  <c r="K109" i="4"/>
  <c r="M111" i="4"/>
  <c r="O113" i="4"/>
  <c r="Q115" i="4"/>
  <c r="L118" i="4"/>
  <c r="N120" i="4"/>
  <c r="P122" i="4"/>
  <c r="K125" i="4"/>
  <c r="M127" i="4"/>
  <c r="O129" i="4"/>
  <c r="Q131" i="4"/>
  <c r="M15" i="4"/>
  <c r="Q51" i="4"/>
  <c r="L77" i="4"/>
  <c r="M86" i="4"/>
  <c r="N95" i="4"/>
  <c r="O104" i="4"/>
  <c r="P113" i="4"/>
  <c r="Q122" i="4"/>
  <c r="N127" i="4"/>
  <c r="Q130" i="4"/>
  <c r="P133" i="4"/>
  <c r="K136" i="4"/>
  <c r="M138" i="4"/>
  <c r="O140" i="4"/>
  <c r="Q142" i="4"/>
  <c r="L145" i="4"/>
  <c r="N147" i="4"/>
  <c r="P149" i="4"/>
  <c r="K152" i="4"/>
  <c r="M154" i="4"/>
  <c r="O156" i="4"/>
  <c r="Q158" i="4"/>
  <c r="L161" i="4"/>
  <c r="N163" i="4"/>
  <c r="P165" i="4"/>
  <c r="K168" i="4"/>
  <c r="M170" i="4"/>
  <c r="O172" i="4"/>
  <c r="Q174" i="4"/>
  <c r="L177" i="4"/>
  <c r="N179" i="4"/>
  <c r="P181" i="4"/>
  <c r="K184" i="4"/>
  <c r="M186" i="4"/>
  <c r="N23" i="4"/>
  <c r="K60" i="4"/>
  <c r="L28" i="4"/>
  <c r="P64" i="4"/>
  <c r="K34" i="4"/>
  <c r="O70" i="4"/>
  <c r="N86" i="4"/>
  <c r="K123" i="4"/>
  <c r="L46" i="4"/>
  <c r="N75" i="4"/>
  <c r="Q84" i="4"/>
  <c r="K94" i="4"/>
  <c r="L103" i="4"/>
  <c r="M112" i="4"/>
  <c r="N121" i="4"/>
  <c r="M35" i="4"/>
  <c r="O71" i="4"/>
  <c r="L82" i="4"/>
  <c r="M91" i="4"/>
  <c r="N100" i="4"/>
  <c r="O109" i="4"/>
  <c r="P118" i="4"/>
  <c r="Q127" i="4"/>
  <c r="K61" i="4"/>
  <c r="Q106" i="4"/>
  <c r="O131" i="4"/>
  <c r="L141" i="4"/>
  <c r="M150" i="4"/>
  <c r="N159" i="4"/>
  <c r="O168" i="4"/>
  <c r="P177" i="4"/>
  <c r="Q186" i="4"/>
  <c r="O17" i="4"/>
  <c r="L54" i="4"/>
  <c r="P77" i="4"/>
  <c r="Q86" i="4"/>
  <c r="K96" i="4"/>
  <c r="L105" i="4"/>
  <c r="M114" i="4"/>
  <c r="L123" i="4"/>
  <c r="P127" i="4"/>
  <c r="K131" i="4"/>
  <c r="Q133" i="4"/>
  <c r="L136" i="4"/>
  <c r="N138" i="4"/>
  <c r="P140" i="4"/>
  <c r="K143" i="4"/>
  <c r="M145" i="4"/>
  <c r="O147" i="4"/>
  <c r="Q149" i="4"/>
  <c r="L152" i="4"/>
  <c r="N154" i="4"/>
  <c r="P156" i="4"/>
  <c r="K159" i="4"/>
  <c r="M161" i="4"/>
  <c r="O163" i="4"/>
  <c r="Q165" i="4"/>
  <c r="L168" i="4"/>
  <c r="N170" i="4"/>
  <c r="P172" i="4"/>
  <c r="K175" i="4"/>
  <c r="M177" i="4"/>
  <c r="O179" i="4"/>
  <c r="Q181" i="4"/>
  <c r="K29" i="4"/>
  <c r="O65" i="4"/>
  <c r="O80" i="4"/>
  <c r="P89" i="4"/>
  <c r="Q98" i="4"/>
  <c r="K108" i="4"/>
  <c r="L117" i="4"/>
  <c r="O124" i="4"/>
  <c r="Q128" i="4"/>
  <c r="K132" i="4"/>
  <c r="O134" i="4"/>
  <c r="Q136" i="4"/>
  <c r="L139" i="4"/>
  <c r="N141" i="4"/>
  <c r="P143" i="4"/>
  <c r="K146" i="4"/>
  <c r="M148" i="4"/>
  <c r="O150" i="4"/>
  <c r="Q152" i="4"/>
  <c r="L155" i="4"/>
  <c r="N157" i="4"/>
  <c r="P159" i="4"/>
  <c r="K162" i="4"/>
  <c r="M164" i="4"/>
  <c r="O166" i="4"/>
  <c r="Q168" i="4"/>
  <c r="L171" i="4"/>
  <c r="N173" i="4"/>
  <c r="P175" i="4"/>
  <c r="K178" i="4"/>
  <c r="M180" i="4"/>
  <c r="O182" i="4"/>
  <c r="Q184" i="4"/>
  <c r="L187" i="4"/>
  <c r="N189" i="4"/>
  <c r="P191" i="4"/>
  <c r="K194" i="4"/>
  <c r="M196" i="4"/>
  <c r="O49" i="4"/>
  <c r="K104" i="4"/>
  <c r="O130" i="4"/>
  <c r="N140" i="4"/>
  <c r="O149" i="4"/>
  <c r="P158" i="4"/>
  <c r="Q167" i="4"/>
  <c r="K177" i="4"/>
  <c r="N184" i="4"/>
  <c r="K189" i="4"/>
  <c r="L192" i="4"/>
  <c r="M195" i="4"/>
  <c r="L198" i="4"/>
  <c r="N200" i="4"/>
  <c r="P202" i="4"/>
  <c r="K205" i="4"/>
  <c r="M207" i="4"/>
  <c r="O209" i="4"/>
  <c r="Q211" i="4"/>
  <c r="L214" i="4"/>
  <c r="N216" i="4"/>
  <c r="P218" i="4"/>
  <c r="K221" i="4"/>
  <c r="M223" i="4"/>
  <c r="O225" i="4"/>
  <c r="Q227" i="4"/>
  <c r="O32" i="4"/>
  <c r="L69" i="4"/>
  <c r="M37" i="4"/>
  <c r="O6" i="4"/>
  <c r="L43" i="4"/>
  <c r="Q15" i="4"/>
  <c r="O95" i="4"/>
  <c r="P18" i="4"/>
  <c r="M55" i="4"/>
  <c r="K78" i="4"/>
  <c r="L87" i="4"/>
  <c r="M96" i="4"/>
  <c r="N105" i="4"/>
  <c r="O114" i="4"/>
  <c r="Q7" i="4"/>
  <c r="N44" i="4"/>
  <c r="Q74" i="4"/>
  <c r="N84" i="4"/>
  <c r="O93" i="4"/>
  <c r="P102" i="4"/>
  <c r="Q111" i="4"/>
  <c r="K121" i="4"/>
  <c r="L130" i="4"/>
  <c r="N79" i="4"/>
  <c r="K116" i="4"/>
  <c r="M134" i="4"/>
  <c r="N143" i="4"/>
  <c r="O152" i="4"/>
  <c r="P161" i="4"/>
  <c r="Q170" i="4"/>
  <c r="K180" i="4"/>
  <c r="O188" i="4"/>
  <c r="P26" i="4"/>
  <c r="M63" i="4"/>
  <c r="K80" i="4"/>
  <c r="L89" i="4"/>
  <c r="M98" i="4"/>
  <c r="N107" i="4"/>
  <c r="O116" i="4"/>
  <c r="M124" i="4"/>
  <c r="P128" i="4"/>
  <c r="P131" i="4"/>
  <c r="N134" i="4"/>
  <c r="P136" i="4"/>
  <c r="K139" i="4"/>
  <c r="M141" i="4"/>
  <c r="O143" i="4"/>
  <c r="Q145" i="4"/>
  <c r="L148" i="4"/>
  <c r="N150" i="4"/>
  <c r="P152" i="4"/>
  <c r="K155" i="4"/>
  <c r="M157" i="4"/>
  <c r="O159" i="4"/>
  <c r="Q161" i="4"/>
  <c r="L164" i="4"/>
  <c r="N166" i="4"/>
  <c r="P168" i="4"/>
  <c r="K171" i="4"/>
  <c r="M173" i="4"/>
  <c r="O175" i="4"/>
  <c r="Q177" i="4"/>
  <c r="L180" i="4"/>
  <c r="N182" i="4"/>
  <c r="L38" i="4"/>
  <c r="P72" i="4"/>
  <c r="Q82" i="4"/>
  <c r="K92" i="4"/>
  <c r="L101" i="4"/>
  <c r="M110" i="4"/>
  <c r="N119" i="4"/>
  <c r="P125" i="4"/>
  <c r="P129" i="4"/>
  <c r="P132" i="4"/>
  <c r="L135" i="4"/>
  <c r="N137" i="4"/>
  <c r="P139" i="4"/>
  <c r="K142" i="4"/>
  <c r="M144" i="4"/>
  <c r="O146" i="4"/>
  <c r="Q148" i="4"/>
  <c r="L151" i="4"/>
  <c r="N153" i="4"/>
  <c r="P155" i="4"/>
  <c r="K158" i="4"/>
  <c r="M160" i="4"/>
  <c r="O162" i="4"/>
  <c r="Q164" i="4"/>
  <c r="L167" i="4"/>
  <c r="N169" i="4"/>
  <c r="P171" i="4"/>
  <c r="K174" i="4"/>
  <c r="M176" i="4"/>
  <c r="O178" i="4"/>
  <c r="Q180" i="4"/>
  <c r="L183" i="4"/>
  <c r="N185" i="4"/>
  <c r="P187" i="4"/>
  <c r="K190" i="4"/>
  <c r="M192" i="4"/>
  <c r="O194" i="4"/>
  <c r="Q196" i="4"/>
  <c r="O76" i="4"/>
  <c r="L113" i="4"/>
  <c r="O133" i="4"/>
  <c r="P142" i="4"/>
  <c r="Q151" i="4"/>
  <c r="K161" i="4"/>
  <c r="L170" i="4"/>
  <c r="M179" i="4"/>
  <c r="O185" i="4"/>
  <c r="Q189" i="4"/>
  <c r="K193" i="4"/>
  <c r="K196" i="4"/>
  <c r="P198" i="4"/>
  <c r="K201" i="4"/>
  <c r="M203" i="4"/>
  <c r="O205" i="4"/>
  <c r="Q207" i="4"/>
  <c r="L210" i="4"/>
  <c r="N212" i="4"/>
  <c r="P214" i="4"/>
  <c r="K217" i="4"/>
  <c r="M219" i="4"/>
  <c r="O221" i="4"/>
  <c r="Q223" i="4"/>
  <c r="L226" i="4"/>
  <c r="L5" i="4"/>
  <c r="P41" i="4"/>
  <c r="Q9" i="4"/>
  <c r="N46" i="4"/>
  <c r="P15" i="4"/>
  <c r="M52" i="4"/>
  <c r="N52" i="4"/>
  <c r="P104" i="4"/>
  <c r="Q27" i="4"/>
  <c r="N64" i="4"/>
  <c r="M80" i="4"/>
  <c r="N89" i="4"/>
  <c r="O98" i="4"/>
  <c r="P107" i="4"/>
  <c r="Q116" i="4"/>
  <c r="K17" i="4"/>
  <c r="O53" i="4"/>
  <c r="O77" i="4"/>
  <c r="P86" i="4"/>
  <c r="Q95" i="4"/>
  <c r="K105" i="4"/>
  <c r="L114" i="4"/>
  <c r="M123" i="4"/>
  <c r="N132" i="4"/>
  <c r="O88" i="4"/>
  <c r="K124" i="4"/>
  <c r="O136" i="4"/>
  <c r="P145" i="4"/>
  <c r="Q154" i="4"/>
  <c r="K164" i="4"/>
  <c r="L173" i="4"/>
  <c r="M182" i="4"/>
  <c r="L189" i="4"/>
  <c r="Q35" i="4"/>
  <c r="Q71" i="4"/>
  <c r="M82" i="4"/>
  <c r="N91" i="4"/>
  <c r="O100" i="4"/>
  <c r="P109" i="4"/>
  <c r="Q118" i="4"/>
  <c r="N125" i="4"/>
  <c r="N129" i="4"/>
  <c r="O132" i="4"/>
  <c r="K135" i="4"/>
  <c r="M137" i="4"/>
  <c r="O139" i="4"/>
  <c r="Q141" i="4"/>
  <c r="L144" i="4"/>
  <c r="N146" i="4"/>
  <c r="P148" i="4"/>
  <c r="K151" i="4"/>
  <c r="M153" i="4"/>
  <c r="O155" i="4"/>
  <c r="Q157" i="4"/>
  <c r="L160" i="4"/>
  <c r="N162" i="4"/>
  <c r="P164" i="4"/>
  <c r="K167" i="4"/>
  <c r="M169" i="4"/>
  <c r="O171" i="4"/>
  <c r="Q173" i="4"/>
  <c r="L176" i="4"/>
  <c r="N178" i="4"/>
  <c r="P180" i="4"/>
  <c r="P10" i="4"/>
  <c r="M47" i="4"/>
  <c r="Q75" i="4"/>
  <c r="L85" i="4"/>
  <c r="M94" i="4"/>
  <c r="N103" i="4"/>
  <c r="O112" i="4"/>
  <c r="P121" i="4"/>
  <c r="Q126" i="4"/>
  <c r="N130" i="4"/>
  <c r="N133" i="4"/>
  <c r="P135" i="4"/>
  <c r="K138" i="4"/>
  <c r="M140" i="4"/>
  <c r="O142" i="4"/>
  <c r="Q144" i="4"/>
  <c r="L147" i="4"/>
  <c r="N149" i="4"/>
  <c r="P151" i="4"/>
  <c r="K154" i="4"/>
  <c r="M156" i="4"/>
  <c r="O158" i="4"/>
  <c r="Q160" i="4"/>
  <c r="L163" i="4"/>
  <c r="N165" i="4"/>
  <c r="P167" i="4"/>
  <c r="K170" i="4"/>
  <c r="M172" i="4"/>
  <c r="O174" i="4"/>
  <c r="Q176" i="4"/>
  <c r="L179" i="4"/>
  <c r="N181" i="4"/>
  <c r="P183" i="4"/>
  <c r="K186" i="4"/>
  <c r="M188" i="4"/>
  <c r="O190" i="4"/>
  <c r="Q192" i="4"/>
  <c r="L195" i="4"/>
  <c r="N197" i="4"/>
  <c r="P85" i="4"/>
  <c r="M122" i="4"/>
  <c r="Q135" i="4"/>
  <c r="K145" i="4"/>
  <c r="L154" i="4"/>
  <c r="M163" i="4"/>
  <c r="N172" i="4"/>
  <c r="O181" i="4"/>
  <c r="P186" i="4"/>
  <c r="P190" i="4"/>
  <c r="P193" i="4"/>
  <c r="P196" i="4"/>
  <c r="M199" i="4"/>
  <c r="O201" i="4"/>
  <c r="Q203" i="4"/>
  <c r="L206" i="4"/>
  <c r="N208" i="4"/>
  <c r="P210" i="4"/>
  <c r="K213" i="4"/>
  <c r="M215" i="4"/>
  <c r="O217" i="4"/>
  <c r="Q219" i="4"/>
  <c r="L222" i="4"/>
  <c r="N224" i="4"/>
  <c r="P226" i="4"/>
  <c r="K229" i="4"/>
  <c r="M14" i="4"/>
  <c r="Q24" i="4"/>
  <c r="K37" i="4"/>
  <c r="Q100" i="4"/>
  <c r="P62" i="4"/>
  <c r="M107" i="4"/>
  <c r="P97" i="4"/>
  <c r="L157" i="4"/>
  <c r="N8" i="4"/>
  <c r="P93" i="4"/>
  <c r="O126" i="4"/>
  <c r="Q137" i="4"/>
  <c r="K147" i="4"/>
  <c r="L156" i="4"/>
  <c r="M165" i="4"/>
  <c r="N174" i="4"/>
  <c r="Q19" i="4"/>
  <c r="O96" i="4"/>
  <c r="K128" i="4"/>
  <c r="O138" i="4"/>
  <c r="P147" i="4"/>
  <c r="Q156" i="4"/>
  <c r="K166" i="4"/>
  <c r="L175" i="4"/>
  <c r="M184" i="4"/>
  <c r="N193" i="4"/>
  <c r="L127" i="4"/>
  <c r="O165" i="4"/>
  <c r="N191" i="4"/>
  <c r="L202" i="4"/>
  <c r="M211" i="4"/>
  <c r="N220" i="4"/>
  <c r="N228" i="4"/>
  <c r="M231" i="4"/>
  <c r="O233" i="4"/>
  <c r="Q235" i="4"/>
  <c r="L238" i="4"/>
  <c r="N240" i="4"/>
  <c r="P242" i="4"/>
  <c r="K245" i="4"/>
  <c r="M247" i="4"/>
  <c r="O249" i="4"/>
  <c r="Q251" i="4"/>
  <c r="L254" i="4"/>
  <c r="N256" i="4"/>
  <c r="P258" i="4"/>
  <c r="K261" i="4"/>
  <c r="M263" i="4"/>
  <c r="O265" i="4"/>
  <c r="Q267" i="4"/>
  <c r="L270" i="4"/>
  <c r="N272" i="4"/>
  <c r="P274" i="4"/>
  <c r="K277" i="4"/>
  <c r="M279" i="4"/>
  <c r="O281" i="4"/>
  <c r="Q283" i="4"/>
  <c r="L286" i="4"/>
  <c r="N288" i="4"/>
  <c r="P290" i="4"/>
  <c r="K293" i="4"/>
  <c r="M295" i="4"/>
  <c r="O297" i="4"/>
  <c r="Q299" i="4"/>
  <c r="L302" i="4"/>
  <c r="N304" i="4"/>
  <c r="P306" i="4"/>
  <c r="K309" i="4"/>
  <c r="L22" i="4"/>
  <c r="L97" i="4"/>
  <c r="M128" i="4"/>
  <c r="P138" i="4"/>
  <c r="Q147" i="4"/>
  <c r="K157" i="4"/>
  <c r="L166" i="4"/>
  <c r="M175" i="4"/>
  <c r="O183" i="4"/>
  <c r="L188" i="4"/>
  <c r="O191" i="4"/>
  <c r="P194" i="4"/>
  <c r="P197" i="4"/>
  <c r="K200" i="4"/>
  <c r="M202" i="4"/>
  <c r="O204" i="4"/>
  <c r="Q206" i="4"/>
  <c r="L209" i="4"/>
  <c r="N211" i="4"/>
  <c r="P213" i="4"/>
  <c r="K216" i="4"/>
  <c r="M218" i="4"/>
  <c r="O220" i="4"/>
  <c r="Q222" i="4"/>
  <c r="L225" i="4"/>
  <c r="N227" i="4"/>
  <c r="P229" i="4"/>
  <c r="K232" i="4"/>
  <c r="M234" i="4"/>
  <c r="O236" i="4"/>
  <c r="Q238" i="4"/>
  <c r="L241" i="4"/>
  <c r="N243" i="4"/>
  <c r="P245" i="4"/>
  <c r="K248" i="4"/>
  <c r="M250" i="4"/>
  <c r="O252" i="4"/>
  <c r="Q254" i="4"/>
  <c r="L257" i="4"/>
  <c r="N259" i="4"/>
  <c r="P261" i="4"/>
  <c r="K264" i="4"/>
  <c r="M266" i="4"/>
  <c r="O268" i="4"/>
  <c r="Q270" i="4"/>
  <c r="L273" i="4"/>
  <c r="N275" i="4"/>
  <c r="P277" i="4"/>
  <c r="K280" i="4"/>
  <c r="M282" i="4"/>
  <c r="O284" i="4"/>
  <c r="Q286" i="4"/>
  <c r="L289" i="4"/>
  <c r="N291" i="4"/>
  <c r="P293" i="4"/>
  <c r="K296" i="4"/>
  <c r="M298" i="4"/>
  <c r="O300" i="4"/>
  <c r="Q302" i="4"/>
  <c r="L305" i="4"/>
  <c r="N307" i="4"/>
  <c r="P309" i="4"/>
  <c r="Q67" i="4"/>
  <c r="O108" i="4"/>
  <c r="L132" i="4"/>
  <c r="O141" i="4"/>
  <c r="P150" i="4"/>
  <c r="Q159" i="4"/>
  <c r="K169" i="4"/>
  <c r="L178" i="4"/>
  <c r="K185" i="4"/>
  <c r="O189" i="4"/>
  <c r="O192" i="4"/>
  <c r="O195" i="4"/>
  <c r="N198" i="4"/>
  <c r="P200" i="4"/>
  <c r="K203" i="4"/>
  <c r="M205" i="4"/>
  <c r="O207" i="4"/>
  <c r="Q209" i="4"/>
  <c r="L212" i="4"/>
  <c r="N214" i="4"/>
  <c r="P216" i="4"/>
  <c r="K219" i="4"/>
  <c r="M221" i="4"/>
  <c r="O223" i="4"/>
  <c r="Q225" i="4"/>
  <c r="L228" i="4"/>
  <c r="N230" i="4"/>
  <c r="P232" i="4"/>
  <c r="K235" i="4"/>
  <c r="M237" i="4"/>
  <c r="O239" i="4"/>
  <c r="Q241" i="4"/>
  <c r="L244" i="4"/>
  <c r="N246" i="4"/>
  <c r="P248" i="4"/>
  <c r="K251" i="4"/>
  <c r="M253" i="4"/>
  <c r="O255" i="4"/>
  <c r="Q257" i="4"/>
  <c r="L260" i="4"/>
  <c r="N262" i="4"/>
  <c r="P264" i="4"/>
  <c r="K267" i="4"/>
  <c r="M269" i="4"/>
  <c r="O271" i="4"/>
  <c r="Q273" i="4"/>
  <c r="L276" i="4"/>
  <c r="N278" i="4"/>
  <c r="P280" i="4"/>
  <c r="K283" i="4"/>
  <c r="M285" i="4"/>
  <c r="O287" i="4"/>
  <c r="Q289" i="4"/>
  <c r="L292" i="4"/>
  <c r="N294" i="4"/>
  <c r="P296" i="4"/>
  <c r="K299" i="4"/>
  <c r="M301" i="4"/>
  <c r="O303" i="4"/>
  <c r="Q305" i="4"/>
  <c r="L308" i="4"/>
  <c r="N310" i="4"/>
  <c r="P312" i="4"/>
  <c r="K315" i="4"/>
  <c r="Q129" i="4"/>
  <c r="M167" i="4"/>
  <c r="K192" i="4"/>
  <c r="O202" i="4"/>
  <c r="P211" i="4"/>
  <c r="Q220" i="4"/>
  <c r="K230" i="4"/>
  <c r="L239" i="4"/>
  <c r="M248" i="4"/>
  <c r="N257" i="4"/>
  <c r="O266" i="4"/>
  <c r="P275" i="4"/>
  <c r="Q284" i="4"/>
  <c r="K294" i="4"/>
  <c r="L303" i="4"/>
  <c r="N311" i="4"/>
  <c r="O314" i="4"/>
  <c r="L317" i="4"/>
  <c r="N319" i="4"/>
  <c r="P321" i="4"/>
  <c r="K324" i="4"/>
  <c r="M326" i="4"/>
  <c r="O328" i="4"/>
  <c r="Q330" i="4"/>
  <c r="L333" i="4"/>
  <c r="N335" i="4"/>
  <c r="P337" i="4"/>
  <c r="K340" i="4"/>
  <c r="M342" i="4"/>
  <c r="O344" i="4"/>
  <c r="Q346" i="4"/>
  <c r="L349" i="4"/>
  <c r="N351" i="4"/>
  <c r="P353" i="4"/>
  <c r="K356" i="4"/>
  <c r="M358" i="4"/>
  <c r="O360" i="4"/>
  <c r="Q362" i="4"/>
  <c r="L365" i="4"/>
  <c r="N367" i="4"/>
  <c r="P369" i="4"/>
  <c r="K372" i="4"/>
  <c r="M374" i="4"/>
  <c r="O376" i="4"/>
  <c r="Q378" i="4"/>
  <c r="L381" i="4"/>
  <c r="N383" i="4"/>
  <c r="P385" i="4"/>
  <c r="K388" i="4"/>
  <c r="M390" i="4"/>
  <c r="O392" i="4"/>
  <c r="Q394" i="4"/>
  <c r="L397" i="4"/>
  <c r="N399" i="4"/>
  <c r="P401" i="4"/>
  <c r="K404" i="4"/>
  <c r="M406" i="4"/>
  <c r="O408" i="4"/>
  <c r="Q410" i="4"/>
  <c r="L413" i="4"/>
  <c r="N415" i="4"/>
  <c r="Q50" i="4"/>
  <c r="N61" i="4"/>
  <c r="N72" i="4"/>
  <c r="K110" i="4"/>
  <c r="Q79" i="4"/>
  <c r="N116" i="4"/>
  <c r="O128" i="4"/>
  <c r="M166" i="4"/>
  <c r="K45" i="4"/>
  <c r="Q102" i="4"/>
  <c r="M130" i="4"/>
  <c r="L140" i="4"/>
  <c r="M149" i="4"/>
  <c r="N158" i="4"/>
  <c r="O167" i="4"/>
  <c r="P176" i="4"/>
  <c r="N56" i="4"/>
  <c r="P105" i="4"/>
  <c r="L131" i="4"/>
  <c r="Q140" i="4"/>
  <c r="K150" i="4"/>
  <c r="L159" i="4"/>
  <c r="M168" i="4"/>
  <c r="N177" i="4"/>
  <c r="O186" i="4"/>
  <c r="P195" i="4"/>
  <c r="L138" i="4"/>
  <c r="P174" i="4"/>
  <c r="N194" i="4"/>
  <c r="N204" i="4"/>
  <c r="O213" i="4"/>
  <c r="P222" i="4"/>
  <c r="O229" i="4"/>
  <c r="Q231" i="4"/>
  <c r="L234" i="4"/>
  <c r="N236" i="4"/>
  <c r="P238" i="4"/>
  <c r="K241" i="4"/>
  <c r="M243" i="4"/>
  <c r="O245" i="4"/>
  <c r="Q247" i="4"/>
  <c r="L250" i="4"/>
  <c r="N252" i="4"/>
  <c r="P254" i="4"/>
  <c r="K257" i="4"/>
  <c r="M259" i="4"/>
  <c r="O261" i="4"/>
  <c r="Q263" i="4"/>
  <c r="L266" i="4"/>
  <c r="N268" i="4"/>
  <c r="P270" i="4"/>
  <c r="K273" i="4"/>
  <c r="M275" i="4"/>
  <c r="O277" i="4"/>
  <c r="Q279" i="4"/>
  <c r="L282" i="4"/>
  <c r="N284" i="4"/>
  <c r="P286" i="4"/>
  <c r="K289" i="4"/>
  <c r="M291" i="4"/>
  <c r="O293" i="4"/>
  <c r="Q295" i="4"/>
  <c r="L298" i="4"/>
  <c r="N300" i="4"/>
  <c r="P302" i="4"/>
  <c r="K305" i="4"/>
  <c r="M307" i="4"/>
  <c r="O309" i="4"/>
  <c r="P58" i="4"/>
  <c r="M106" i="4"/>
  <c r="N131" i="4"/>
  <c r="K141" i="4"/>
  <c r="L150" i="4"/>
  <c r="M159" i="4"/>
  <c r="N168" i="4"/>
  <c r="O177" i="4"/>
  <c r="P184" i="4"/>
  <c r="M189" i="4"/>
  <c r="N192" i="4"/>
  <c r="N195" i="4"/>
  <c r="M198" i="4"/>
  <c r="O200" i="4"/>
  <c r="Q202" i="4"/>
  <c r="L205" i="4"/>
  <c r="N207" i="4"/>
  <c r="P209" i="4"/>
  <c r="K212" i="4"/>
  <c r="M214" i="4"/>
  <c r="O216" i="4"/>
  <c r="Q218" i="4"/>
  <c r="L221" i="4"/>
  <c r="N223" i="4"/>
  <c r="P225" i="4"/>
  <c r="K228" i="4"/>
  <c r="M230" i="4"/>
  <c r="O232" i="4"/>
  <c r="Q234" i="4"/>
  <c r="L237" i="4"/>
  <c r="N239" i="4"/>
  <c r="P241" i="4"/>
  <c r="K244" i="4"/>
  <c r="M246" i="4"/>
  <c r="O248" i="4"/>
  <c r="Q250" i="4"/>
  <c r="L253" i="4"/>
  <c r="N255" i="4"/>
  <c r="P257" i="4"/>
  <c r="K260" i="4"/>
  <c r="M262" i="4"/>
  <c r="O264" i="4"/>
  <c r="Q266" i="4"/>
  <c r="L269" i="4"/>
  <c r="N271" i="4"/>
  <c r="P273" i="4"/>
  <c r="K276" i="4"/>
  <c r="M278" i="4"/>
  <c r="O280" i="4"/>
  <c r="Q282" i="4"/>
  <c r="L285" i="4"/>
  <c r="N287" i="4"/>
  <c r="P289" i="4"/>
  <c r="K292" i="4"/>
  <c r="M294" i="4"/>
  <c r="O296" i="4"/>
  <c r="Q298" i="4"/>
  <c r="L301" i="4"/>
  <c r="N303" i="4"/>
  <c r="P305" i="4"/>
  <c r="K308" i="4"/>
  <c r="M310" i="4"/>
  <c r="L81" i="4"/>
  <c r="P117" i="4"/>
  <c r="P134" i="4"/>
  <c r="Q143" i="4"/>
  <c r="K153" i="4"/>
  <c r="L162" i="4"/>
  <c r="M171" i="4"/>
  <c r="N180" i="4"/>
  <c r="L186" i="4"/>
  <c r="M190" i="4"/>
  <c r="M193" i="4"/>
  <c r="N196" i="4"/>
  <c r="K199" i="4"/>
  <c r="M201" i="4"/>
  <c r="O203" i="4"/>
  <c r="Q205" i="4"/>
  <c r="L208" i="4"/>
  <c r="N210" i="4"/>
  <c r="P212" i="4"/>
  <c r="K215" i="4"/>
  <c r="M217" i="4"/>
  <c r="O219" i="4"/>
  <c r="Q221" i="4"/>
  <c r="L224" i="4"/>
  <c r="N226" i="4"/>
  <c r="P228" i="4"/>
  <c r="K231" i="4"/>
  <c r="M233" i="4"/>
  <c r="O235" i="4"/>
  <c r="Q237" i="4"/>
  <c r="L240" i="4"/>
  <c r="N242" i="4"/>
  <c r="P244" i="4"/>
  <c r="K247" i="4"/>
  <c r="M249" i="4"/>
  <c r="O251" i="4"/>
  <c r="Q253" i="4"/>
  <c r="L256" i="4"/>
  <c r="N258" i="4"/>
  <c r="P260" i="4"/>
  <c r="K263" i="4"/>
  <c r="M265" i="4"/>
  <c r="O267" i="4"/>
  <c r="Q269" i="4"/>
  <c r="L272" i="4"/>
  <c r="N274" i="4"/>
  <c r="P276" i="4"/>
  <c r="K279" i="4"/>
  <c r="M281" i="4"/>
  <c r="O283" i="4"/>
  <c r="Q285" i="4"/>
  <c r="L288" i="4"/>
  <c r="N290" i="4"/>
  <c r="P292" i="4"/>
  <c r="K295" i="4"/>
  <c r="M297" i="4"/>
  <c r="O299" i="4"/>
  <c r="Q301" i="4"/>
  <c r="L304" i="4"/>
  <c r="N306" i="4"/>
  <c r="P308" i="4"/>
  <c r="K311" i="4"/>
  <c r="M313" i="4"/>
  <c r="O315" i="4"/>
  <c r="Q139" i="4"/>
  <c r="N176" i="4"/>
  <c r="K195" i="4"/>
  <c r="Q204" i="4"/>
  <c r="K214" i="4"/>
  <c r="L223" i="4"/>
  <c r="M232" i="4"/>
  <c r="N241" i="4"/>
  <c r="O250" i="4"/>
  <c r="P259" i="4"/>
  <c r="Q268" i="4"/>
  <c r="K278" i="4"/>
  <c r="L287" i="4"/>
  <c r="M296" i="4"/>
  <c r="N305" i="4"/>
  <c r="M312" i="4"/>
  <c r="M315" i="4"/>
  <c r="P317" i="4"/>
  <c r="K320" i="4"/>
  <c r="M322" i="4"/>
  <c r="O324" i="4"/>
  <c r="Q326" i="4"/>
  <c r="L329" i="4"/>
  <c r="N331" i="4"/>
  <c r="P333" i="4"/>
  <c r="K336" i="4"/>
  <c r="M338" i="4"/>
  <c r="O340" i="4"/>
  <c r="Q342" i="4"/>
  <c r="L345" i="4"/>
  <c r="N347" i="4"/>
  <c r="P349" i="4"/>
  <c r="K352" i="4"/>
  <c r="M354" i="4"/>
  <c r="O356" i="4"/>
  <c r="Q358" i="4"/>
  <c r="L361" i="4"/>
  <c r="N363" i="4"/>
  <c r="P365" i="4"/>
  <c r="K368" i="4"/>
  <c r="M370" i="4"/>
  <c r="O372" i="4"/>
  <c r="Q374" i="4"/>
  <c r="L377" i="4"/>
  <c r="N379" i="4"/>
  <c r="P381" i="4"/>
  <c r="K384" i="4"/>
  <c r="M386" i="4"/>
  <c r="O388" i="4"/>
  <c r="Q390" i="4"/>
  <c r="L393" i="4"/>
  <c r="N395" i="4"/>
  <c r="P397" i="4"/>
  <c r="K400" i="4"/>
  <c r="M402" i="4"/>
  <c r="O404" i="4"/>
  <c r="Q406" i="4"/>
  <c r="L409" i="4"/>
  <c r="N411" i="4"/>
  <c r="P413" i="4"/>
  <c r="K416" i="4"/>
  <c r="K19" i="4"/>
  <c r="M77" i="4"/>
  <c r="O82" i="4"/>
  <c r="L119" i="4"/>
  <c r="K89" i="4"/>
  <c r="O125" i="4"/>
  <c r="Q138" i="4"/>
  <c r="N175" i="4"/>
  <c r="K75" i="4"/>
  <c r="K112" i="4"/>
  <c r="M133" i="4"/>
  <c r="N142" i="4"/>
  <c r="O151" i="4"/>
  <c r="P160" i="4"/>
  <c r="Q169" i="4"/>
  <c r="K179" i="4"/>
  <c r="M78" i="4"/>
  <c r="Q114" i="4"/>
  <c r="K134" i="4"/>
  <c r="L143" i="4"/>
  <c r="M152" i="4"/>
  <c r="N161" i="4"/>
  <c r="O170" i="4"/>
  <c r="P179" i="4"/>
  <c r="Q188" i="4"/>
  <c r="K13" i="4"/>
  <c r="M147" i="4"/>
  <c r="M183" i="4"/>
  <c r="O197" i="4"/>
  <c r="P206" i="4"/>
  <c r="Q215" i="4"/>
  <c r="K225" i="4"/>
  <c r="L230" i="4"/>
  <c r="N232" i="4"/>
  <c r="P234" i="4"/>
  <c r="K237" i="4"/>
  <c r="M239" i="4"/>
  <c r="O241" i="4"/>
  <c r="Q243" i="4"/>
  <c r="L246" i="4"/>
  <c r="N248" i="4"/>
  <c r="P250" i="4"/>
  <c r="K253" i="4"/>
  <c r="M255" i="4"/>
  <c r="O257" i="4"/>
  <c r="Q259" i="4"/>
  <c r="L262" i="4"/>
  <c r="N264" i="4"/>
  <c r="P266" i="4"/>
  <c r="K269" i="4"/>
  <c r="M271" i="4"/>
  <c r="O273" i="4"/>
  <c r="Q275" i="4"/>
  <c r="L278" i="4"/>
  <c r="N280" i="4"/>
  <c r="P282" i="4"/>
  <c r="K285" i="4"/>
  <c r="M287" i="4"/>
  <c r="O289" i="4"/>
  <c r="Q291" i="4"/>
  <c r="L294" i="4"/>
  <c r="N296" i="4"/>
  <c r="P298" i="4"/>
  <c r="K301" i="4"/>
  <c r="M303" i="4"/>
  <c r="O305" i="4"/>
  <c r="Q307" i="4"/>
  <c r="L310" i="4"/>
  <c r="Q78" i="4"/>
  <c r="N115" i="4"/>
  <c r="L134" i="4"/>
  <c r="M143" i="4"/>
  <c r="N152" i="4"/>
  <c r="O161" i="4"/>
  <c r="P170" i="4"/>
  <c r="Q179" i="4"/>
  <c r="Q185" i="4"/>
  <c r="L190" i="4"/>
  <c r="L193" i="4"/>
  <c r="L196" i="4"/>
  <c r="Q198" i="4"/>
  <c r="L201" i="4"/>
  <c r="N203" i="4"/>
  <c r="P205" i="4"/>
  <c r="K208" i="4"/>
  <c r="M210" i="4"/>
  <c r="O212" i="4"/>
  <c r="Q214" i="4"/>
  <c r="L217" i="4"/>
  <c r="N219" i="4"/>
  <c r="P221" i="4"/>
  <c r="K224" i="4"/>
  <c r="M226" i="4"/>
  <c r="O228" i="4"/>
  <c r="Q230" i="4"/>
  <c r="L233" i="4"/>
  <c r="N235" i="4"/>
  <c r="P237" i="4"/>
  <c r="K240" i="4"/>
  <c r="M242" i="4"/>
  <c r="O244" i="4"/>
  <c r="Q246" i="4"/>
  <c r="L249" i="4"/>
  <c r="N251" i="4"/>
  <c r="P253" i="4"/>
  <c r="K256" i="4"/>
  <c r="M258" i="4"/>
  <c r="O260" i="4"/>
  <c r="Q262" i="4"/>
  <c r="L265" i="4"/>
  <c r="N267" i="4"/>
  <c r="P269" i="4"/>
  <c r="K272" i="4"/>
  <c r="M274" i="4"/>
  <c r="O276" i="4"/>
  <c r="Q278" i="4"/>
  <c r="L281" i="4"/>
  <c r="N283" i="4"/>
  <c r="P285" i="4"/>
  <c r="K288" i="4"/>
  <c r="M290" i="4"/>
  <c r="O292" i="4"/>
  <c r="Q294" i="4"/>
  <c r="L297" i="4"/>
  <c r="N299" i="4"/>
  <c r="P301" i="4"/>
  <c r="K304" i="4"/>
  <c r="M306" i="4"/>
  <c r="O308" i="4"/>
  <c r="Q310" i="4"/>
  <c r="M90" i="4"/>
  <c r="Q124" i="4"/>
  <c r="K137" i="4"/>
  <c r="L146" i="4"/>
  <c r="M155" i="4"/>
  <c r="N164" i="4"/>
  <c r="O173" i="4"/>
  <c r="P182" i="4"/>
  <c r="M187" i="4"/>
  <c r="K191" i="4"/>
  <c r="L194" i="4"/>
  <c r="L197" i="4"/>
  <c r="O199" i="4"/>
  <c r="Q201" i="4"/>
  <c r="L204" i="4"/>
  <c r="N206" i="4"/>
  <c r="P208" i="4"/>
  <c r="K211" i="4"/>
  <c r="M213" i="4"/>
  <c r="O215" i="4"/>
  <c r="Q217" i="4"/>
  <c r="L220" i="4"/>
  <c r="N222" i="4"/>
  <c r="P224" i="4"/>
  <c r="K227" i="4"/>
  <c r="M229" i="4"/>
  <c r="O231" i="4"/>
  <c r="Q233" i="4"/>
  <c r="L236" i="4"/>
  <c r="N238" i="4"/>
  <c r="P240" i="4"/>
  <c r="K243" i="4"/>
  <c r="M245" i="4"/>
  <c r="O247" i="4"/>
  <c r="Q249" i="4"/>
  <c r="L252" i="4"/>
  <c r="N254" i="4"/>
  <c r="P256" i="4"/>
  <c r="K259" i="4"/>
  <c r="M261" i="4"/>
  <c r="O263" i="4"/>
  <c r="Q265" i="4"/>
  <c r="L268" i="4"/>
  <c r="N270" i="4"/>
  <c r="P272" i="4"/>
  <c r="K275" i="4"/>
  <c r="M277" i="4"/>
  <c r="O279" i="4"/>
  <c r="Q281" i="4"/>
  <c r="L284" i="4"/>
  <c r="N286" i="4"/>
  <c r="P288" i="4"/>
  <c r="K291" i="4"/>
  <c r="M293" i="4"/>
  <c r="O295" i="4"/>
  <c r="Q297" i="4"/>
  <c r="L300" i="4"/>
  <c r="N302" i="4"/>
  <c r="P304" i="4"/>
  <c r="K307" i="4"/>
  <c r="M309" i="4"/>
  <c r="O311" i="4"/>
  <c r="Q313" i="4"/>
  <c r="N40" i="4"/>
  <c r="K149" i="4"/>
  <c r="L184" i="4"/>
  <c r="K198" i="4"/>
  <c r="L207" i="4"/>
  <c r="M216" i="4"/>
  <c r="N225" i="4"/>
  <c r="O234" i="4"/>
  <c r="P243" i="4"/>
  <c r="Q252" i="4"/>
  <c r="K262" i="4"/>
  <c r="L271" i="4"/>
  <c r="M280" i="4"/>
  <c r="N289" i="4"/>
  <c r="O298" i="4"/>
  <c r="P307" i="4"/>
  <c r="K313" i="4"/>
  <c r="K316" i="4"/>
  <c r="M318" i="4"/>
  <c r="O320" i="4"/>
  <c r="Q322" i="4"/>
  <c r="L325" i="4"/>
  <c r="N327" i="4"/>
  <c r="P329" i="4"/>
  <c r="K332" i="4"/>
  <c r="M334" i="4"/>
  <c r="O336" i="4"/>
  <c r="Q338" i="4"/>
  <c r="L341" i="4"/>
  <c r="N343" i="4"/>
  <c r="P345" i="4"/>
  <c r="K348" i="4"/>
  <c r="M350" i="4"/>
  <c r="O352" i="4"/>
  <c r="Q354" i="4"/>
  <c r="L357" i="4"/>
  <c r="N359" i="4"/>
  <c r="P361" i="4"/>
  <c r="K364" i="4"/>
  <c r="M366" i="4"/>
  <c r="O368" i="4"/>
  <c r="Q370" i="4"/>
  <c r="L373" i="4"/>
  <c r="N375" i="4"/>
  <c r="P377" i="4"/>
  <c r="K380" i="4"/>
  <c r="M382" i="4"/>
  <c r="O384" i="4"/>
  <c r="Q386" i="4"/>
  <c r="L389" i="4"/>
  <c r="N391" i="4"/>
  <c r="P393" i="4"/>
  <c r="K396" i="4"/>
  <c r="M398" i="4"/>
  <c r="O400" i="4"/>
  <c r="Q402" i="4"/>
  <c r="L405" i="4"/>
  <c r="N407" i="4"/>
  <c r="P409" i="4"/>
  <c r="K412" i="4"/>
  <c r="M414" i="4"/>
  <c r="O416" i="4"/>
  <c r="O55" i="4"/>
  <c r="L98" i="4"/>
  <c r="O84" i="4"/>
  <c r="Q153" i="4"/>
  <c r="N87" i="4"/>
  <c r="O154" i="4"/>
  <c r="L191" i="4"/>
  <c r="Q199" i="4"/>
  <c r="P230" i="4"/>
  <c r="Q239" i="4"/>
  <c r="K249" i="4"/>
  <c r="L258" i="4"/>
  <c r="M267" i="4"/>
  <c r="N276" i="4"/>
  <c r="O285" i="4"/>
  <c r="P294" i="4"/>
  <c r="Q303" i="4"/>
  <c r="K88" i="4"/>
  <c r="P154" i="4"/>
  <c r="K187" i="4"/>
  <c r="N199" i="4"/>
  <c r="O208" i="4"/>
  <c r="P217" i="4"/>
  <c r="Q226" i="4"/>
  <c r="K236" i="4"/>
  <c r="L245" i="4"/>
  <c r="M254" i="4"/>
  <c r="N263" i="4"/>
  <c r="O272" i="4"/>
  <c r="P281" i="4"/>
  <c r="Q290" i="4"/>
  <c r="K300" i="4"/>
  <c r="L309" i="4"/>
  <c r="M139" i="4"/>
  <c r="Q175" i="4"/>
  <c r="Q194" i="4"/>
  <c r="P204" i="4"/>
  <c r="Q213" i="4"/>
  <c r="K223" i="4"/>
  <c r="L232" i="4"/>
  <c r="M241" i="4"/>
  <c r="N250" i="4"/>
  <c r="O259" i="4"/>
  <c r="P268" i="4"/>
  <c r="Q277" i="4"/>
  <c r="K287" i="4"/>
  <c r="L296" i="4"/>
  <c r="M305" i="4"/>
  <c r="N314" i="4"/>
  <c r="M200" i="4"/>
  <c r="Q236" i="4"/>
  <c r="N273" i="4"/>
  <c r="K310" i="4"/>
  <c r="L321" i="4"/>
  <c r="M330" i="4"/>
  <c r="N339" i="4"/>
  <c r="O348" i="4"/>
  <c r="P357" i="4"/>
  <c r="Q366" i="4"/>
  <c r="K376" i="4"/>
  <c r="L385" i="4"/>
  <c r="M394" i="4"/>
  <c r="N403" i="4"/>
  <c r="O412" i="4"/>
  <c r="M418" i="4"/>
  <c r="O420" i="4"/>
  <c r="O73" i="4"/>
  <c r="M151" i="4"/>
  <c r="M185" i="4"/>
  <c r="O198" i="4"/>
  <c r="P207" i="4"/>
  <c r="Q216" i="4"/>
  <c r="K226" i="4"/>
  <c r="L235" i="4"/>
  <c r="M244" i="4"/>
  <c r="N253" i="4"/>
  <c r="O262" i="4"/>
  <c r="P271" i="4"/>
  <c r="Q280" i="4"/>
  <c r="K290" i="4"/>
  <c r="L299" i="4"/>
  <c r="M308" i="4"/>
  <c r="L313" i="4"/>
  <c r="L316" i="4"/>
  <c r="N318" i="4"/>
  <c r="P320" i="4"/>
  <c r="K323" i="4"/>
  <c r="M325" i="4"/>
  <c r="O327" i="4"/>
  <c r="Q329" i="4"/>
  <c r="L332" i="4"/>
  <c r="N334" i="4"/>
  <c r="P336" i="4"/>
  <c r="K339" i="4"/>
  <c r="M341" i="4"/>
  <c r="O343" i="4"/>
  <c r="Q345" i="4"/>
  <c r="L348" i="4"/>
  <c r="N350" i="4"/>
  <c r="P352" i="4"/>
  <c r="K355" i="4"/>
  <c r="M357" i="4"/>
  <c r="O359" i="4"/>
  <c r="Q361" i="4"/>
  <c r="L364" i="4"/>
  <c r="N366" i="4"/>
  <c r="P368" i="4"/>
  <c r="K371" i="4"/>
  <c r="M373" i="4"/>
  <c r="O375" i="4"/>
  <c r="Q377" i="4"/>
  <c r="L380" i="4"/>
  <c r="N382" i="4"/>
  <c r="P384" i="4"/>
  <c r="K387" i="4"/>
  <c r="M389" i="4"/>
  <c r="O391" i="4"/>
  <c r="Q393" i="4"/>
  <c r="L396" i="4"/>
  <c r="N398" i="4"/>
  <c r="P400" i="4"/>
  <c r="K403" i="4"/>
  <c r="M405" i="4"/>
  <c r="O407" i="4"/>
  <c r="Q409" i="4"/>
  <c r="L412" i="4"/>
  <c r="N414" i="4"/>
  <c r="P416" i="4"/>
  <c r="N144" i="4"/>
  <c r="K181" i="4"/>
  <c r="O196" i="4"/>
  <c r="K206" i="4"/>
  <c r="L215" i="4"/>
  <c r="M224" i="4"/>
  <c r="N233" i="4"/>
  <c r="O242" i="4"/>
  <c r="P251" i="4"/>
  <c r="Q260" i="4"/>
  <c r="K270" i="4"/>
  <c r="L279" i="4"/>
  <c r="M288" i="4"/>
  <c r="N297" i="4"/>
  <c r="O306" i="4"/>
  <c r="O312" i="4"/>
  <c r="P315" i="4"/>
  <c r="K318" i="4"/>
  <c r="M320" i="4"/>
  <c r="O322" i="4"/>
  <c r="Q324" i="4"/>
  <c r="L327" i="4"/>
  <c r="N329" i="4"/>
  <c r="P331" i="4"/>
  <c r="K334" i="4"/>
  <c r="M336" i="4"/>
  <c r="O338" i="4"/>
  <c r="Q340" i="4"/>
  <c r="L343" i="4"/>
  <c r="N345" i="4"/>
  <c r="P347" i="4"/>
  <c r="K350" i="4"/>
  <c r="M352" i="4"/>
  <c r="O354" i="4"/>
  <c r="Q356" i="4"/>
  <c r="L359" i="4"/>
  <c r="N361" i="4"/>
  <c r="P363" i="4"/>
  <c r="K366" i="4"/>
  <c r="M368" i="4"/>
  <c r="O370" i="4"/>
  <c r="Q372" i="4"/>
  <c r="L375" i="4"/>
  <c r="N377" i="4"/>
  <c r="P379" i="4"/>
  <c r="K382" i="4"/>
  <c r="M384" i="4"/>
  <c r="O386" i="4"/>
  <c r="Q388" i="4"/>
  <c r="L391" i="4"/>
  <c r="N393" i="4"/>
  <c r="P395" i="4"/>
  <c r="K398" i="4"/>
  <c r="M400" i="4"/>
  <c r="O402" i="4"/>
  <c r="Q404" i="4"/>
  <c r="L407" i="4"/>
  <c r="N409" i="4"/>
  <c r="P411" i="4"/>
  <c r="K414" i="4"/>
  <c r="M416" i="4"/>
  <c r="O418" i="4"/>
  <c r="Q420" i="4"/>
  <c r="L423" i="4"/>
  <c r="P199" i="4"/>
  <c r="M236" i="4"/>
  <c r="Q272" i="4"/>
  <c r="N309" i="4"/>
  <c r="K321" i="4"/>
  <c r="L330" i="4"/>
  <c r="M339" i="4"/>
  <c r="N348" i="4"/>
  <c r="O357" i="4"/>
  <c r="P366" i="4"/>
  <c r="Q375" i="4"/>
  <c r="K385" i="4"/>
  <c r="L394" i="4"/>
  <c r="M403" i="4"/>
  <c r="N412" i="4"/>
  <c r="M419" i="4"/>
  <c r="N423" i="4"/>
  <c r="P425" i="4"/>
  <c r="K428" i="4"/>
  <c r="M430" i="4"/>
  <c r="O432" i="4"/>
  <c r="Q434" i="4"/>
  <c r="L437" i="4"/>
  <c r="N439" i="4"/>
  <c r="P441" i="4"/>
  <c r="K444" i="4"/>
  <c r="M446" i="4"/>
  <c r="O448" i="4"/>
  <c r="Q450" i="4"/>
  <c r="L453" i="4"/>
  <c r="N455" i="4"/>
  <c r="P457" i="4"/>
  <c r="K460" i="4"/>
  <c r="M462" i="4"/>
  <c r="O464" i="4"/>
  <c r="Q466" i="4"/>
  <c r="L469" i="4"/>
  <c r="N471" i="4"/>
  <c r="P473" i="4"/>
  <c r="K476" i="4"/>
  <c r="M478" i="4"/>
  <c r="O480" i="4"/>
  <c r="Q482" i="4"/>
  <c r="L485" i="4"/>
  <c r="N487" i="4"/>
  <c r="P489" i="4"/>
  <c r="K492" i="4"/>
  <c r="M494" i="4"/>
  <c r="O496" i="4"/>
  <c r="Q498" i="4"/>
  <c r="L501" i="4"/>
  <c r="N503" i="4"/>
  <c r="P505" i="4"/>
  <c r="K508" i="4"/>
  <c r="M510" i="4"/>
  <c r="O512" i="4"/>
  <c r="Q514" i="4"/>
  <c r="L517" i="4"/>
  <c r="N519" i="4"/>
  <c r="P521" i="4"/>
  <c r="K524" i="4"/>
  <c r="M526" i="4"/>
  <c r="O528" i="4"/>
  <c r="Q530" i="4"/>
  <c r="Q113" i="4"/>
  <c r="N24" i="4"/>
  <c r="L121" i="4"/>
  <c r="K163" i="4"/>
  <c r="N123" i="4"/>
  <c r="P163" i="4"/>
  <c r="Q94" i="4"/>
  <c r="K209" i="4"/>
  <c r="K233" i="4"/>
  <c r="L242" i="4"/>
  <c r="M251" i="4"/>
  <c r="N260" i="4"/>
  <c r="O269" i="4"/>
  <c r="P278" i="4"/>
  <c r="Q287" i="4"/>
  <c r="K297" i="4"/>
  <c r="L306" i="4"/>
  <c r="P123" i="4"/>
  <c r="Q163" i="4"/>
  <c r="Q190" i="4"/>
  <c r="P201" i="4"/>
  <c r="Q210" i="4"/>
  <c r="K220" i="4"/>
  <c r="L229" i="4"/>
  <c r="M238" i="4"/>
  <c r="N247" i="4"/>
  <c r="O256" i="4"/>
  <c r="P265" i="4"/>
  <c r="Q274" i="4"/>
  <c r="K284" i="4"/>
  <c r="L293" i="4"/>
  <c r="M302" i="4"/>
  <c r="M31" i="4"/>
  <c r="N148" i="4"/>
  <c r="Q183" i="4"/>
  <c r="Q197" i="4"/>
  <c r="K207" i="4"/>
  <c r="L216" i="4"/>
  <c r="M225" i="4"/>
  <c r="N234" i="4"/>
  <c r="O243" i="4"/>
  <c r="P252" i="4"/>
  <c r="Q261" i="4"/>
  <c r="K271" i="4"/>
  <c r="L280" i="4"/>
  <c r="M289" i="4"/>
  <c r="N298" i="4"/>
  <c r="O307" i="4"/>
  <c r="P101" i="4"/>
  <c r="N209" i="4"/>
  <c r="K246" i="4"/>
  <c r="O282" i="4"/>
  <c r="P313" i="4"/>
  <c r="N323" i="4"/>
  <c r="O332" i="4"/>
  <c r="P341" i="4"/>
  <c r="Q350" i="4"/>
  <c r="K360" i="4"/>
  <c r="L369" i="4"/>
  <c r="M378" i="4"/>
  <c r="N387" i="4"/>
  <c r="O396" i="4"/>
  <c r="P405" i="4"/>
  <c r="Q414" i="4"/>
  <c r="Q418" i="4"/>
  <c r="L421" i="4"/>
  <c r="Q110" i="4"/>
  <c r="N160" i="4"/>
  <c r="P189" i="4"/>
  <c r="Q200" i="4"/>
  <c r="K210" i="4"/>
  <c r="L219" i="4"/>
  <c r="M228" i="4"/>
  <c r="N237" i="4"/>
  <c r="O246" i="4"/>
  <c r="P255" i="4"/>
  <c r="Q264" i="4"/>
  <c r="K274" i="4"/>
  <c r="L283" i="4"/>
  <c r="M292" i="4"/>
  <c r="N301" i="4"/>
  <c r="O310" i="4"/>
  <c r="K314" i="4"/>
  <c r="P316" i="4"/>
  <c r="K319" i="4"/>
  <c r="M321" i="4"/>
  <c r="O323" i="4"/>
  <c r="Q325" i="4"/>
  <c r="L328" i="4"/>
  <c r="N330" i="4"/>
  <c r="P332" i="4"/>
  <c r="K335" i="4"/>
  <c r="M337" i="4"/>
  <c r="O339" i="4"/>
  <c r="Q341" i="4"/>
  <c r="L344" i="4"/>
  <c r="N346" i="4"/>
  <c r="P348" i="4"/>
  <c r="K351" i="4"/>
  <c r="M353" i="4"/>
  <c r="O355" i="4"/>
  <c r="Q357" i="4"/>
  <c r="L360" i="4"/>
  <c r="N362" i="4"/>
  <c r="P364" i="4"/>
  <c r="K367" i="4"/>
  <c r="M369" i="4"/>
  <c r="O371" i="4"/>
  <c r="Q373" i="4"/>
  <c r="L376" i="4"/>
  <c r="N378" i="4"/>
  <c r="P380" i="4"/>
  <c r="K383" i="4"/>
  <c r="M385" i="4"/>
  <c r="O387" i="4"/>
  <c r="Q389" i="4"/>
  <c r="L392" i="4"/>
  <c r="N394" i="4"/>
  <c r="P396" i="4"/>
  <c r="K399" i="4"/>
  <c r="M401" i="4"/>
  <c r="O403" i="4"/>
  <c r="Q405" i="4"/>
  <c r="L408" i="4"/>
  <c r="N410" i="4"/>
  <c r="P412" i="4"/>
  <c r="K415" i="4"/>
  <c r="N83" i="4"/>
  <c r="O153" i="4"/>
  <c r="N186" i="4"/>
  <c r="L199" i="4"/>
  <c r="M208" i="4"/>
  <c r="N217" i="4"/>
  <c r="O226" i="4"/>
  <c r="P235" i="4"/>
  <c r="Q244" i="4"/>
  <c r="K254" i="4"/>
  <c r="L263" i="4"/>
  <c r="M272" i="4"/>
  <c r="N281" i="4"/>
  <c r="O290" i="4"/>
  <c r="P299" i="4"/>
  <c r="Q308" i="4"/>
  <c r="N313" i="4"/>
  <c r="M316" i="4"/>
  <c r="O318" i="4"/>
  <c r="Q320" i="4"/>
  <c r="L323" i="4"/>
  <c r="N325" i="4"/>
  <c r="P327" i="4"/>
  <c r="K330" i="4"/>
  <c r="M332" i="4"/>
  <c r="O334" i="4"/>
  <c r="Q336" i="4"/>
  <c r="L339" i="4"/>
  <c r="N341" i="4"/>
  <c r="P343" i="4"/>
  <c r="K346" i="4"/>
  <c r="M348" i="4"/>
  <c r="O350" i="4"/>
  <c r="Q352" i="4"/>
  <c r="L355" i="4"/>
  <c r="N357" i="4"/>
  <c r="P359" i="4"/>
  <c r="K362" i="4"/>
  <c r="M364" i="4"/>
  <c r="O366" i="4"/>
  <c r="Q368" i="4"/>
  <c r="L371" i="4"/>
  <c r="N373" i="4"/>
  <c r="P375" i="4"/>
  <c r="K378" i="4"/>
  <c r="M380" i="4"/>
  <c r="O382" i="4"/>
  <c r="Q384" i="4"/>
  <c r="L387" i="4"/>
  <c r="N389" i="4"/>
  <c r="P391" i="4"/>
  <c r="K394" i="4"/>
  <c r="M396" i="4"/>
  <c r="O398" i="4"/>
  <c r="Q400" i="4"/>
  <c r="L403" i="4"/>
  <c r="N405" i="4"/>
  <c r="P407" i="4"/>
  <c r="K410" i="4"/>
  <c r="M412" i="4"/>
  <c r="O414" i="4"/>
  <c r="Q416" i="4"/>
  <c r="L419" i="4"/>
  <c r="N421" i="4"/>
  <c r="O92" i="4"/>
  <c r="Q208" i="4"/>
  <c r="N245" i="4"/>
  <c r="K282" i="4"/>
  <c r="O313" i="4"/>
  <c r="M323" i="4"/>
  <c r="N332" i="4"/>
  <c r="O341" i="4"/>
  <c r="P350" i="4"/>
  <c r="Q359" i="4"/>
  <c r="K369" i="4"/>
  <c r="L378" i="4"/>
  <c r="M387" i="4"/>
  <c r="N396" i="4"/>
  <c r="O405" i="4"/>
  <c r="P414" i="4"/>
  <c r="N420" i="4"/>
  <c r="K424" i="4"/>
  <c r="M426" i="4"/>
  <c r="O428" i="4"/>
  <c r="Q430" i="4"/>
  <c r="L433" i="4"/>
  <c r="N435" i="4"/>
  <c r="P437" i="4"/>
  <c r="K440" i="4"/>
  <c r="M442" i="4"/>
  <c r="O444" i="4"/>
  <c r="Q446" i="4"/>
  <c r="L449" i="4"/>
  <c r="N451" i="4"/>
  <c r="P453" i="4"/>
  <c r="K456" i="4"/>
  <c r="M458" i="4"/>
  <c r="O460" i="4"/>
  <c r="Q462" i="4"/>
  <c r="L465" i="4"/>
  <c r="N467" i="4"/>
  <c r="P469" i="4"/>
  <c r="K472" i="4"/>
  <c r="M474" i="4"/>
  <c r="O476" i="4"/>
  <c r="Q478" i="4"/>
  <c r="L481" i="4"/>
  <c r="N483" i="4"/>
  <c r="P485" i="4"/>
  <c r="K488" i="4"/>
  <c r="M490" i="4"/>
  <c r="O492" i="4"/>
  <c r="Q494" i="4"/>
  <c r="L497" i="4"/>
  <c r="N499" i="4"/>
  <c r="P501" i="4"/>
  <c r="K504" i="4"/>
  <c r="M506" i="4"/>
  <c r="O508" i="4"/>
  <c r="Q510" i="4"/>
  <c r="L513" i="4"/>
  <c r="N515" i="4"/>
  <c r="P517" i="4"/>
  <c r="K520" i="4"/>
  <c r="M522" i="4"/>
  <c r="O524" i="4"/>
  <c r="Q526" i="4"/>
  <c r="L529" i="4"/>
  <c r="P91" i="4"/>
  <c r="K148" i="4"/>
  <c r="O135" i="4"/>
  <c r="L172" i="4"/>
  <c r="M136" i="4"/>
  <c r="Q172" i="4"/>
  <c r="N156" i="4"/>
  <c r="L218" i="4"/>
  <c r="M235" i="4"/>
  <c r="N244" i="4"/>
  <c r="O253" i="4"/>
  <c r="P262" i="4"/>
  <c r="Q271" i="4"/>
  <c r="K281" i="4"/>
  <c r="L290" i="4"/>
  <c r="M299" i="4"/>
  <c r="N308" i="4"/>
  <c r="N136" i="4"/>
  <c r="K173" i="4"/>
  <c r="Q193" i="4"/>
  <c r="K204" i="4"/>
  <c r="L213" i="4"/>
  <c r="M222" i="4"/>
  <c r="N231" i="4"/>
  <c r="O240" i="4"/>
  <c r="P249" i="4"/>
  <c r="Q258" i="4"/>
  <c r="K268" i="4"/>
  <c r="L277" i="4"/>
  <c r="M286" i="4"/>
  <c r="N295" i="4"/>
  <c r="O304" i="4"/>
  <c r="N99" i="4"/>
  <c r="O157" i="4"/>
  <c r="N188" i="4"/>
  <c r="L200" i="4"/>
  <c r="M209" i="4"/>
  <c r="N218" i="4"/>
  <c r="O227" i="4"/>
  <c r="P236" i="4"/>
  <c r="Q245" i="4"/>
  <c r="K255" i="4"/>
  <c r="L264" i="4"/>
  <c r="M273" i="4"/>
  <c r="N282" i="4"/>
  <c r="O291" i="4"/>
  <c r="P300" i="4"/>
  <c r="Q309" i="4"/>
  <c r="L158" i="4"/>
  <c r="O218" i="4"/>
  <c r="L255" i="4"/>
  <c r="P291" i="4"/>
  <c r="O316" i="4"/>
  <c r="P325" i="4"/>
  <c r="Q334" i="4"/>
  <c r="K344" i="4"/>
  <c r="L353" i="4"/>
  <c r="M362" i="4"/>
  <c r="N371" i="4"/>
  <c r="O380" i="4"/>
  <c r="P389" i="4"/>
  <c r="Q398" i="4"/>
  <c r="K408" i="4"/>
  <c r="L417" i="4"/>
  <c r="N419" i="4"/>
  <c r="P421" i="4"/>
  <c r="Q132" i="4"/>
  <c r="O169" i="4"/>
  <c r="P192" i="4"/>
  <c r="L203" i="4"/>
  <c r="M212" i="4"/>
  <c r="N221" i="4"/>
  <c r="O230" i="4"/>
  <c r="P239" i="4"/>
  <c r="Q248" i="4"/>
  <c r="K258" i="4"/>
  <c r="L267" i="4"/>
  <c r="M276" i="4"/>
  <c r="N285" i="4"/>
  <c r="O294" i="4"/>
  <c r="P303" i="4"/>
  <c r="P311" i="4"/>
  <c r="P314" i="4"/>
  <c r="M317" i="4"/>
  <c r="O319" i="4"/>
  <c r="Q321" i="4"/>
  <c r="L324" i="4"/>
  <c r="N326" i="4"/>
  <c r="P328" i="4"/>
  <c r="K331" i="4"/>
  <c r="M333" i="4"/>
  <c r="O335" i="4"/>
  <c r="Q337" i="4"/>
  <c r="L340" i="4"/>
  <c r="N342" i="4"/>
  <c r="P344" i="4"/>
  <c r="K347" i="4"/>
  <c r="M349" i="4"/>
  <c r="O351" i="4"/>
  <c r="Q353" i="4"/>
  <c r="L356" i="4"/>
  <c r="N358" i="4"/>
  <c r="P360" i="4"/>
  <c r="K363" i="4"/>
  <c r="M365" i="4"/>
  <c r="O367" i="4"/>
  <c r="Q369" i="4"/>
  <c r="L372" i="4"/>
  <c r="N374" i="4"/>
  <c r="P376" i="4"/>
  <c r="K379" i="4"/>
  <c r="M381" i="4"/>
  <c r="O383" i="4"/>
  <c r="Q385" i="4"/>
  <c r="L388" i="4"/>
  <c r="N390" i="4"/>
  <c r="P392" i="4"/>
  <c r="K395" i="4"/>
  <c r="M397" i="4"/>
  <c r="O399" i="4"/>
  <c r="Q401" i="4"/>
  <c r="L404" i="4"/>
  <c r="N406" i="4"/>
  <c r="P408" i="4"/>
  <c r="K411" i="4"/>
  <c r="M413" i="4"/>
  <c r="O415" i="4"/>
  <c r="K120" i="4"/>
  <c r="P162" i="4"/>
  <c r="N190" i="4"/>
  <c r="N201" i="4"/>
  <c r="O210" i="4"/>
  <c r="P219" i="4"/>
  <c r="Q228" i="4"/>
  <c r="K238" i="4"/>
  <c r="L247" i="4"/>
  <c r="M256" i="4"/>
  <c r="N265" i="4"/>
  <c r="O274" i="4"/>
  <c r="P283" i="4"/>
  <c r="Q292" i="4"/>
  <c r="K302" i="4"/>
  <c r="L311" i="4"/>
  <c r="L314" i="4"/>
  <c r="Q316" i="4"/>
  <c r="L319" i="4"/>
  <c r="N321" i="4"/>
  <c r="P323" i="4"/>
  <c r="K326" i="4"/>
  <c r="M328" i="4"/>
  <c r="O330" i="4"/>
  <c r="Q332" i="4"/>
  <c r="L335" i="4"/>
  <c r="N337" i="4"/>
  <c r="P339" i="4"/>
  <c r="K342" i="4"/>
  <c r="M344" i="4"/>
  <c r="O346" i="4"/>
  <c r="Q348" i="4"/>
  <c r="L351" i="4"/>
  <c r="N353" i="4"/>
  <c r="P355" i="4"/>
  <c r="K358" i="4"/>
  <c r="M360" i="4"/>
  <c r="O362" i="4"/>
  <c r="Q364" i="4"/>
  <c r="L367" i="4"/>
  <c r="N369" i="4"/>
  <c r="P371" i="4"/>
  <c r="K374" i="4"/>
  <c r="M376" i="4"/>
  <c r="O378" i="4"/>
  <c r="Q380" i="4"/>
  <c r="L383" i="4"/>
  <c r="N385" i="4"/>
  <c r="P387" i="4"/>
  <c r="K390" i="4"/>
  <c r="M392" i="4"/>
  <c r="O394" i="4"/>
  <c r="Q396" i="4"/>
  <c r="L399" i="4"/>
  <c r="N401" i="4"/>
  <c r="P403" i="4"/>
  <c r="K406" i="4"/>
  <c r="M408" i="4"/>
  <c r="O410" i="4"/>
  <c r="Q412" i="4"/>
  <c r="L415" i="4"/>
  <c r="N417" i="4"/>
  <c r="P419" i="4"/>
  <c r="K422" i="4"/>
  <c r="Q155" i="4"/>
  <c r="K218" i="4"/>
  <c r="O254" i="4"/>
  <c r="L291" i="4"/>
  <c r="N316" i="4"/>
  <c r="O325" i="4"/>
  <c r="P334" i="4"/>
  <c r="Q343" i="4"/>
  <c r="K353" i="4"/>
  <c r="L362" i="4"/>
  <c r="M371" i="4"/>
  <c r="N380" i="4"/>
  <c r="O389" i="4"/>
  <c r="P398" i="4"/>
  <c r="Q407" i="4"/>
  <c r="K417" i="4"/>
  <c r="O421" i="4"/>
  <c r="O424" i="4"/>
  <c r="Q426" i="4"/>
  <c r="L429" i="4"/>
  <c r="N431" i="4"/>
  <c r="P433" i="4"/>
  <c r="K436" i="4"/>
  <c r="M438" i="4"/>
  <c r="O440" i="4"/>
  <c r="Q442" i="4"/>
  <c r="L445" i="4"/>
  <c r="N447" i="4"/>
  <c r="P449" i="4"/>
  <c r="K452" i="4"/>
  <c r="M454" i="4"/>
  <c r="O456" i="4"/>
  <c r="Q458" i="4"/>
  <c r="L461" i="4"/>
  <c r="N463" i="4"/>
  <c r="P465" i="4"/>
  <c r="K468" i="4"/>
  <c r="M470" i="4"/>
  <c r="O472" i="4"/>
  <c r="Q474" i="4"/>
  <c r="L477" i="4"/>
  <c r="N479" i="4"/>
  <c r="P481" i="4"/>
  <c r="K484" i="4"/>
  <c r="M486" i="4"/>
  <c r="O488" i="4"/>
  <c r="Q490" i="4"/>
  <c r="L493" i="4"/>
  <c r="N495" i="4"/>
  <c r="P497" i="4"/>
  <c r="K500" i="4"/>
  <c r="M502" i="4"/>
  <c r="O504" i="4"/>
  <c r="Q506" i="4"/>
  <c r="L509" i="4"/>
  <c r="N511" i="4"/>
  <c r="P513" i="4"/>
  <c r="K516" i="4"/>
  <c r="M518" i="4"/>
  <c r="O520" i="4"/>
  <c r="Q522" i="4"/>
  <c r="L525" i="4"/>
  <c r="N527" i="4"/>
  <c r="P529" i="4"/>
  <c r="L26" i="4"/>
  <c r="N145" i="4"/>
  <c r="O237" i="4"/>
  <c r="L274" i="4"/>
  <c r="P310" i="4"/>
  <c r="M206" i="4"/>
  <c r="Q242" i="4"/>
  <c r="N279" i="4"/>
  <c r="L129" i="4"/>
  <c r="O211" i="4"/>
  <c r="L248" i="4"/>
  <c r="P284" i="4"/>
  <c r="P188" i="4"/>
  <c r="Q318" i="4"/>
  <c r="N355" i="4"/>
  <c r="K392" i="4"/>
  <c r="K420" i="4"/>
  <c r="Q195" i="4"/>
  <c r="Q232" i="4"/>
  <c r="N269" i="4"/>
  <c r="K306" i="4"/>
  <c r="L320" i="4"/>
  <c r="M329" i="4"/>
  <c r="N338" i="4"/>
  <c r="O347" i="4"/>
  <c r="P356" i="4"/>
  <c r="Q365" i="4"/>
  <c r="K375" i="4"/>
  <c r="L384" i="4"/>
  <c r="M393" i="4"/>
  <c r="N402" i="4"/>
  <c r="O411" i="4"/>
  <c r="Q171" i="4"/>
  <c r="K222" i="4"/>
  <c r="O258" i="4"/>
  <c r="L295" i="4"/>
  <c r="N317" i="4"/>
  <c r="O326" i="4"/>
  <c r="P335" i="4"/>
  <c r="Q344" i="4"/>
  <c r="K354" i="4"/>
  <c r="L363" i="4"/>
  <c r="M372" i="4"/>
  <c r="N381" i="4"/>
  <c r="O390" i="4"/>
  <c r="P399" i="4"/>
  <c r="Q408" i="4"/>
  <c r="K418" i="4"/>
  <c r="L227" i="4"/>
  <c r="Q327" i="4"/>
  <c r="N364" i="4"/>
  <c r="K401" i="4"/>
  <c r="L425" i="4"/>
  <c r="M434" i="4"/>
  <c r="N443" i="4"/>
  <c r="O452" i="4"/>
  <c r="P461" i="4"/>
  <c r="Q470" i="4"/>
  <c r="K480" i="4"/>
  <c r="L489" i="4"/>
  <c r="M498" i="4"/>
  <c r="N507" i="4"/>
  <c r="O516" i="4"/>
  <c r="P525" i="4"/>
  <c r="K532" i="4"/>
  <c r="M534" i="4"/>
  <c r="O536" i="4"/>
  <c r="K202" i="4"/>
  <c r="O238" i="4"/>
  <c r="L275" i="4"/>
  <c r="M311" i="4"/>
  <c r="O321" i="4"/>
  <c r="P330" i="4"/>
  <c r="Q339" i="4"/>
  <c r="K349" i="4"/>
  <c r="L358" i="4"/>
  <c r="M367" i="4"/>
  <c r="N376" i="4"/>
  <c r="O385" i="4"/>
  <c r="P394" i="4"/>
  <c r="Q403" i="4"/>
  <c r="K413" i="4"/>
  <c r="O419" i="4"/>
  <c r="O423" i="4"/>
  <c r="Q425" i="4"/>
  <c r="L428" i="4"/>
  <c r="N430" i="4"/>
  <c r="P432" i="4"/>
  <c r="K435" i="4"/>
  <c r="M437" i="4"/>
  <c r="O439" i="4"/>
  <c r="Q441" i="4"/>
  <c r="L444" i="4"/>
  <c r="N446" i="4"/>
  <c r="P448" i="4"/>
  <c r="K451" i="4"/>
  <c r="M453" i="4"/>
  <c r="O455" i="4"/>
  <c r="Q457" i="4"/>
  <c r="L460" i="4"/>
  <c r="N462" i="4"/>
  <c r="P464" i="4"/>
  <c r="K467" i="4"/>
  <c r="M469" i="4"/>
  <c r="O471" i="4"/>
  <c r="Q473" i="4"/>
  <c r="L476" i="4"/>
  <c r="N478" i="4"/>
  <c r="P480" i="4"/>
  <c r="K483" i="4"/>
  <c r="M485" i="4"/>
  <c r="O487" i="4"/>
  <c r="Q489" i="4"/>
  <c r="L492" i="4"/>
  <c r="N494" i="4"/>
  <c r="P496" i="4"/>
  <c r="K499" i="4"/>
  <c r="M501" i="4"/>
  <c r="O503" i="4"/>
  <c r="Q505" i="4"/>
  <c r="L508" i="4"/>
  <c r="N510" i="4"/>
  <c r="P512" i="4"/>
  <c r="K515" i="4"/>
  <c r="M517" i="4"/>
  <c r="O519" i="4"/>
  <c r="Q521" i="4"/>
  <c r="L524" i="4"/>
  <c r="N526" i="4"/>
  <c r="P528" i="4"/>
  <c r="O137" i="4"/>
  <c r="N213" i="4"/>
  <c r="K250" i="4"/>
  <c r="O286" i="4"/>
  <c r="L315" i="4"/>
  <c r="N324" i="4"/>
  <c r="O333" i="4"/>
  <c r="P342" i="4"/>
  <c r="Q351" i="4"/>
  <c r="K361" i="4"/>
  <c r="L370" i="4"/>
  <c r="M379" i="4"/>
  <c r="N388" i="4"/>
  <c r="O397" i="4"/>
  <c r="P406" i="4"/>
  <c r="Q415" i="4"/>
  <c r="K421" i="4"/>
  <c r="M424" i="4"/>
  <c r="O426" i="4"/>
  <c r="Q428" i="4"/>
  <c r="L431" i="4"/>
  <c r="N433" i="4"/>
  <c r="P435" i="4"/>
  <c r="K438" i="4"/>
  <c r="M440" i="4"/>
  <c r="O442" i="4"/>
  <c r="Q444" i="4"/>
  <c r="L447" i="4"/>
  <c r="N449" i="4"/>
  <c r="P451" i="4"/>
  <c r="K454" i="4"/>
  <c r="M456" i="4"/>
  <c r="O458" i="4"/>
  <c r="Q460" i="4"/>
  <c r="L463" i="4"/>
  <c r="N465" i="4"/>
  <c r="P467" i="4"/>
  <c r="K470" i="4"/>
  <c r="M472" i="4"/>
  <c r="O474" i="4"/>
  <c r="Q476" i="4"/>
  <c r="L479" i="4"/>
  <c r="N481" i="4"/>
  <c r="P483" i="4"/>
  <c r="K486" i="4"/>
  <c r="M488" i="4"/>
  <c r="O490" i="4"/>
  <c r="Q492" i="4"/>
  <c r="L495" i="4"/>
  <c r="N497" i="4"/>
  <c r="P499" i="4"/>
  <c r="K502" i="4"/>
  <c r="M504" i="4"/>
  <c r="O506" i="4"/>
  <c r="Q508" i="4"/>
  <c r="L511" i="4"/>
  <c r="N513" i="4"/>
  <c r="P515" i="4"/>
  <c r="K518" i="4"/>
  <c r="M520" i="4"/>
  <c r="O522" i="4"/>
  <c r="Q524" i="4"/>
  <c r="L527" i="4"/>
  <c r="N529" i="4"/>
  <c r="P531" i="4"/>
  <c r="K534" i="4"/>
  <c r="M536" i="4"/>
  <c r="O538" i="4"/>
  <c r="Q288" i="4"/>
  <c r="M343" i="4"/>
  <c r="Q379" i="4"/>
  <c r="N416" i="4"/>
  <c r="K429" i="4"/>
  <c r="L438" i="4"/>
  <c r="M447" i="4"/>
  <c r="N456" i="4"/>
  <c r="O465" i="4"/>
  <c r="P474" i="4"/>
  <c r="Q483" i="4"/>
  <c r="K493" i="4"/>
  <c r="L502" i="4"/>
  <c r="M511" i="4"/>
  <c r="N520" i="4"/>
  <c r="O529" i="4"/>
  <c r="P534" i="4"/>
  <c r="N538" i="4"/>
  <c r="Q540" i="4"/>
  <c r="L543" i="4"/>
  <c r="N545" i="4"/>
  <c r="P547" i="4"/>
  <c r="K550" i="4"/>
  <c r="M552" i="4"/>
  <c r="O554" i="4"/>
  <c r="Q556" i="4"/>
  <c r="L559" i="4"/>
  <c r="N561" i="4"/>
  <c r="P563" i="4"/>
  <c r="K566" i="4"/>
  <c r="M568" i="4"/>
  <c r="O570" i="4"/>
  <c r="Q572" i="4"/>
  <c r="L575" i="4"/>
  <c r="N577" i="4"/>
  <c r="P579" i="4"/>
  <c r="K582" i="4"/>
  <c r="M584" i="4"/>
  <c r="O586" i="4"/>
  <c r="Q588" i="4"/>
  <c r="L591" i="4"/>
  <c r="N593" i="4"/>
  <c r="P595" i="4"/>
  <c r="K598" i="4"/>
  <c r="M600" i="4"/>
  <c r="O602" i="4"/>
  <c r="Q604" i="4"/>
  <c r="L607" i="4"/>
  <c r="N609" i="4"/>
  <c r="P611" i="4"/>
  <c r="K614" i="4"/>
  <c r="M616" i="4"/>
  <c r="O618" i="4"/>
  <c r="Q620" i="4"/>
  <c r="O184" i="4"/>
  <c r="K182" i="4"/>
  <c r="P246" i="4"/>
  <c r="M283" i="4"/>
  <c r="O145" i="4"/>
  <c r="N215" i="4"/>
  <c r="K252" i="4"/>
  <c r="O288" i="4"/>
  <c r="P166" i="4"/>
  <c r="P220" i="4"/>
  <c r="M257" i="4"/>
  <c r="Q293" i="4"/>
  <c r="P227" i="4"/>
  <c r="K328" i="4"/>
  <c r="O364" i="4"/>
  <c r="L401" i="4"/>
  <c r="M422" i="4"/>
  <c r="N205" i="4"/>
  <c r="K242" i="4"/>
  <c r="O278" i="4"/>
  <c r="N312" i="4"/>
  <c r="N322" i="4"/>
  <c r="O331" i="4"/>
  <c r="P340" i="4"/>
  <c r="Q349" i="4"/>
  <c r="K359" i="4"/>
  <c r="L368" i="4"/>
  <c r="M377" i="4"/>
  <c r="N386" i="4"/>
  <c r="O395" i="4"/>
  <c r="P404" i="4"/>
  <c r="Q413" i="4"/>
  <c r="O193" i="4"/>
  <c r="L231" i="4"/>
  <c r="P267" i="4"/>
  <c r="M304" i="4"/>
  <c r="P319" i="4"/>
  <c r="Q328" i="4"/>
  <c r="K338" i="4"/>
  <c r="L347" i="4"/>
  <c r="M356" i="4"/>
  <c r="N365" i="4"/>
  <c r="O374" i="4"/>
  <c r="P383" i="4"/>
  <c r="Q392" i="4"/>
  <c r="K402" i="4"/>
  <c r="L411" i="4"/>
  <c r="M420" i="4"/>
  <c r="P263" i="4"/>
  <c r="K337" i="4"/>
  <c r="O373" i="4"/>
  <c r="L410" i="4"/>
  <c r="N427" i="4"/>
  <c r="O436" i="4"/>
  <c r="P445" i="4"/>
  <c r="Q454" i="4"/>
  <c r="K464" i="4"/>
  <c r="L473" i="4"/>
  <c r="M482" i="4"/>
  <c r="N491" i="4"/>
  <c r="O500" i="4"/>
  <c r="P509" i="4"/>
  <c r="Q518" i="4"/>
  <c r="K528" i="4"/>
  <c r="O532" i="4"/>
  <c r="Q534" i="4"/>
  <c r="K126" i="4"/>
  <c r="L211" i="4"/>
  <c r="P247" i="4"/>
  <c r="M284" i="4"/>
  <c r="M314" i="4"/>
  <c r="Q323" i="4"/>
  <c r="K333" i="4"/>
  <c r="L342" i="4"/>
  <c r="M351" i="4"/>
  <c r="N360" i="4"/>
  <c r="O369" i="4"/>
  <c r="P378" i="4"/>
  <c r="Q387" i="4"/>
  <c r="K397" i="4"/>
  <c r="L406" i="4"/>
  <c r="M415" i="4"/>
  <c r="P420" i="4"/>
  <c r="L424" i="4"/>
  <c r="N426" i="4"/>
  <c r="P428" i="4"/>
  <c r="K431" i="4"/>
  <c r="M433" i="4"/>
  <c r="O435" i="4"/>
  <c r="Q437" i="4"/>
  <c r="L440" i="4"/>
  <c r="N442" i="4"/>
  <c r="P444" i="4"/>
  <c r="K447" i="4"/>
  <c r="M449" i="4"/>
  <c r="O451" i="4"/>
  <c r="Q453" i="4"/>
  <c r="L456" i="4"/>
  <c r="N458" i="4"/>
  <c r="P460" i="4"/>
  <c r="K463" i="4"/>
  <c r="M465" i="4"/>
  <c r="O467" i="4"/>
  <c r="Q469" i="4"/>
  <c r="L472" i="4"/>
  <c r="N474" i="4"/>
  <c r="P476" i="4"/>
  <c r="K479" i="4"/>
  <c r="M481" i="4"/>
  <c r="O483" i="4"/>
  <c r="Q485" i="4"/>
  <c r="L488" i="4"/>
  <c r="N490" i="4"/>
  <c r="P492" i="4"/>
  <c r="K495" i="4"/>
  <c r="M497" i="4"/>
  <c r="O499" i="4"/>
  <c r="Q501" i="4"/>
  <c r="L504" i="4"/>
  <c r="N506" i="4"/>
  <c r="P508" i="4"/>
  <c r="K511" i="4"/>
  <c r="M513" i="4"/>
  <c r="O515" i="4"/>
  <c r="Q517" i="4"/>
  <c r="L520" i="4"/>
  <c r="N522" i="4"/>
  <c r="P524" i="4"/>
  <c r="K527" i="4"/>
  <c r="M529" i="4"/>
  <c r="L174" i="4"/>
  <c r="O222" i="4"/>
  <c r="L259" i="4"/>
  <c r="P295" i="4"/>
  <c r="O317" i="4"/>
  <c r="P326" i="4"/>
  <c r="Q335" i="4"/>
  <c r="K345" i="4"/>
  <c r="L354" i="4"/>
  <c r="M363" i="4"/>
  <c r="N372" i="4"/>
  <c r="O381" i="4"/>
  <c r="P390" i="4"/>
  <c r="Q399" i="4"/>
  <c r="K409" i="4"/>
  <c r="O417" i="4"/>
  <c r="L422" i="4"/>
  <c r="Q424" i="4"/>
  <c r="L427" i="4"/>
  <c r="N429" i="4"/>
  <c r="P431" i="4"/>
  <c r="K434" i="4"/>
  <c r="M436" i="4"/>
  <c r="O438" i="4"/>
  <c r="Q440" i="4"/>
  <c r="L443" i="4"/>
  <c r="N445" i="4"/>
  <c r="P447" i="4"/>
  <c r="K450" i="4"/>
  <c r="M452" i="4"/>
  <c r="O454" i="4"/>
  <c r="Q456" i="4"/>
  <c r="L459" i="4"/>
  <c r="N461" i="4"/>
  <c r="P463" i="4"/>
  <c r="K466" i="4"/>
  <c r="M468" i="4"/>
  <c r="O470" i="4"/>
  <c r="Q472" i="4"/>
  <c r="L475" i="4"/>
  <c r="N477" i="4"/>
  <c r="P479" i="4"/>
  <c r="K482" i="4"/>
  <c r="M484" i="4"/>
  <c r="O486" i="4"/>
  <c r="Q488" i="4"/>
  <c r="L491" i="4"/>
  <c r="N493" i="4"/>
  <c r="P495" i="4"/>
  <c r="K498" i="4"/>
  <c r="M500" i="4"/>
  <c r="O502" i="4"/>
  <c r="Q504" i="4"/>
  <c r="L507" i="4"/>
  <c r="N509" i="4"/>
  <c r="P511" i="4"/>
  <c r="K514" i="4"/>
  <c r="M516" i="4"/>
  <c r="O518" i="4"/>
  <c r="Q520" i="4"/>
  <c r="L523" i="4"/>
  <c r="N525" i="4"/>
  <c r="P527" i="4"/>
  <c r="K530" i="4"/>
  <c r="M532" i="4"/>
  <c r="O534" i="4"/>
  <c r="Q536" i="4"/>
  <c r="P146" i="4"/>
  <c r="Q315" i="4"/>
  <c r="N352" i="4"/>
  <c r="K389" i="4"/>
  <c r="M421" i="4"/>
  <c r="M431" i="4"/>
  <c r="N440" i="4"/>
  <c r="O449" i="4"/>
  <c r="P458" i="4"/>
  <c r="Q467" i="4"/>
  <c r="K477" i="4"/>
  <c r="L486" i="4"/>
  <c r="M495" i="4"/>
  <c r="N504" i="4"/>
  <c r="O513" i="4"/>
  <c r="P522" i="4"/>
  <c r="M531" i="4"/>
  <c r="Q535" i="4"/>
  <c r="L539" i="4"/>
  <c r="N541" i="4"/>
  <c r="P543" i="4"/>
  <c r="K546" i="4"/>
  <c r="M548" i="4"/>
  <c r="O550" i="4"/>
  <c r="Q552" i="4"/>
  <c r="L555" i="4"/>
  <c r="N557" i="4"/>
  <c r="P559" i="4"/>
  <c r="K562" i="4"/>
  <c r="M564" i="4"/>
  <c r="O566" i="4"/>
  <c r="Q568" i="4"/>
  <c r="L571" i="4"/>
  <c r="N573" i="4"/>
  <c r="P575" i="4"/>
  <c r="K578" i="4"/>
  <c r="M580" i="4"/>
  <c r="O582" i="4"/>
  <c r="Q584" i="4"/>
  <c r="L587" i="4"/>
  <c r="N589" i="4"/>
  <c r="P591" i="4"/>
  <c r="K594" i="4"/>
  <c r="M596" i="4"/>
  <c r="O598" i="4"/>
  <c r="Q600" i="4"/>
  <c r="L603" i="4"/>
  <c r="N605" i="4"/>
  <c r="P607" i="4"/>
  <c r="K610" i="4"/>
  <c r="M612" i="4"/>
  <c r="O614" i="4"/>
  <c r="Q616" i="4"/>
  <c r="L619" i="4"/>
  <c r="N621" i="4"/>
  <c r="P623" i="4"/>
  <c r="K626" i="4"/>
  <c r="M628" i="4"/>
  <c r="P144" i="4"/>
  <c r="Q187" i="4"/>
  <c r="Q255" i="4"/>
  <c r="N292" i="4"/>
  <c r="L182" i="4"/>
  <c r="O224" i="4"/>
  <c r="L261" i="4"/>
  <c r="P297" i="4"/>
  <c r="Q191" i="4"/>
  <c r="Q229" i="4"/>
  <c r="N266" i="4"/>
  <c r="K303" i="4"/>
  <c r="M264" i="4"/>
  <c r="L337" i="4"/>
  <c r="P373" i="4"/>
  <c r="M410" i="4"/>
  <c r="L142" i="4"/>
  <c r="O214" i="4"/>
  <c r="L251" i="4"/>
  <c r="P287" i="4"/>
  <c r="N315" i="4"/>
  <c r="P324" i="4"/>
  <c r="Q333" i="4"/>
  <c r="K343" i="4"/>
  <c r="L352" i="4"/>
  <c r="M361" i="4"/>
  <c r="N370" i="4"/>
  <c r="O379" i="4"/>
  <c r="P388" i="4"/>
  <c r="Q397" i="4"/>
  <c r="K407" i="4"/>
  <c r="L416" i="4"/>
  <c r="P203" i="4"/>
  <c r="M240" i="4"/>
  <c r="Q276" i="4"/>
  <c r="Q311" i="4"/>
  <c r="K322" i="4"/>
  <c r="L331" i="4"/>
  <c r="M340" i="4"/>
  <c r="N349" i="4"/>
  <c r="O358" i="4"/>
  <c r="P367" i="4"/>
  <c r="Q376" i="4"/>
  <c r="K386" i="4"/>
  <c r="L395" i="4"/>
  <c r="M404" i="4"/>
  <c r="N413" i="4"/>
  <c r="O422" i="4"/>
  <c r="M300" i="4"/>
  <c r="L346" i="4"/>
  <c r="P382" i="4"/>
  <c r="L418" i="4"/>
  <c r="P429" i="4"/>
  <c r="Q438" i="4"/>
  <c r="K448" i="4"/>
  <c r="L457" i="4"/>
  <c r="M466" i="4"/>
  <c r="N475" i="4"/>
  <c r="O484" i="4"/>
  <c r="P493" i="4"/>
  <c r="Q502" i="4"/>
  <c r="K512" i="4"/>
  <c r="L521" i="4"/>
  <c r="M530" i="4"/>
  <c r="L533" i="4"/>
  <c r="N535" i="4"/>
  <c r="K165" i="4"/>
  <c r="M220" i="4"/>
  <c r="Q256" i="4"/>
  <c r="N293" i="4"/>
  <c r="K317" i="4"/>
  <c r="L326" i="4"/>
  <c r="M335" i="4"/>
  <c r="N344" i="4"/>
  <c r="O353" i="4"/>
  <c r="P362" i="4"/>
  <c r="Q371" i="4"/>
  <c r="K381" i="4"/>
  <c r="L390" i="4"/>
  <c r="M399" i="4"/>
  <c r="N408" i="4"/>
  <c r="M417" i="4"/>
  <c r="Q421" i="4"/>
  <c r="P424" i="4"/>
  <c r="K427" i="4"/>
  <c r="M429" i="4"/>
  <c r="O431" i="4"/>
  <c r="Q433" i="4"/>
  <c r="L436" i="4"/>
  <c r="N438" i="4"/>
  <c r="P440" i="4"/>
  <c r="K443" i="4"/>
  <c r="M445" i="4"/>
  <c r="O447" i="4"/>
  <c r="Q449" i="4"/>
  <c r="L452" i="4"/>
  <c r="N454" i="4"/>
  <c r="P456" i="4"/>
  <c r="K459" i="4"/>
  <c r="M461" i="4"/>
  <c r="O463" i="4"/>
  <c r="Q465" i="4"/>
  <c r="L468" i="4"/>
  <c r="N470" i="4"/>
  <c r="P472" i="4"/>
  <c r="K475" i="4"/>
  <c r="M477" i="4"/>
  <c r="O479" i="4"/>
  <c r="Q481" i="4"/>
  <c r="L484" i="4"/>
  <c r="N486" i="4"/>
  <c r="P488" i="4"/>
  <c r="K491" i="4"/>
  <c r="M493" i="4"/>
  <c r="O495" i="4"/>
  <c r="Q497" i="4"/>
  <c r="L500" i="4"/>
  <c r="N502" i="4"/>
  <c r="P504" i="4"/>
  <c r="K507" i="4"/>
  <c r="M509" i="4"/>
  <c r="O511" i="4"/>
  <c r="Q513" i="4"/>
  <c r="L516" i="4"/>
  <c r="N518" i="4"/>
  <c r="P520" i="4"/>
  <c r="K523" i="4"/>
  <c r="M525" i="4"/>
  <c r="O527" i="4"/>
  <c r="Q529" i="4"/>
  <c r="M194" i="4"/>
  <c r="P231" i="4"/>
  <c r="M268" i="4"/>
  <c r="Q304" i="4"/>
  <c r="Q319" i="4"/>
  <c r="K329" i="4"/>
  <c r="L338" i="4"/>
  <c r="M347" i="4"/>
  <c r="N356" i="4"/>
  <c r="O365" i="4"/>
  <c r="P374" i="4"/>
  <c r="Q383" i="4"/>
  <c r="K393" i="4"/>
  <c r="L402" i="4"/>
  <c r="M411" i="4"/>
  <c r="P418" i="4"/>
  <c r="K423" i="4"/>
  <c r="N425" i="4"/>
  <c r="P427" i="4"/>
  <c r="K430" i="4"/>
  <c r="M432" i="4"/>
  <c r="O434" i="4"/>
  <c r="Q436" i="4"/>
  <c r="L439" i="4"/>
  <c r="N441" i="4"/>
  <c r="P443" i="4"/>
  <c r="K446" i="4"/>
  <c r="M448" i="4"/>
  <c r="O450" i="4"/>
  <c r="Q452" i="4"/>
  <c r="L455" i="4"/>
  <c r="N457" i="4"/>
  <c r="P459" i="4"/>
  <c r="K462" i="4"/>
  <c r="M464" i="4"/>
  <c r="O466" i="4"/>
  <c r="Q468" i="4"/>
  <c r="L471" i="4"/>
  <c r="N473" i="4"/>
  <c r="P475" i="4"/>
  <c r="K478" i="4"/>
  <c r="M480" i="4"/>
  <c r="O482" i="4"/>
  <c r="Q484" i="4"/>
  <c r="L487" i="4"/>
  <c r="N489" i="4"/>
  <c r="P491" i="4"/>
  <c r="K494" i="4"/>
  <c r="M496" i="4"/>
  <c r="O498" i="4"/>
  <c r="Q500" i="4"/>
  <c r="L503" i="4"/>
  <c r="N505" i="4"/>
  <c r="P507" i="4"/>
  <c r="K510" i="4"/>
  <c r="M512" i="4"/>
  <c r="O514" i="4"/>
  <c r="Q516" i="4"/>
  <c r="L519" i="4"/>
  <c r="N521" i="4"/>
  <c r="P523" i="4"/>
  <c r="K526" i="4"/>
  <c r="M528" i="4"/>
  <c r="O530" i="4"/>
  <c r="Q532" i="4"/>
  <c r="L535" i="4"/>
  <c r="N537" i="4"/>
  <c r="P215" i="4"/>
  <c r="K325" i="4"/>
  <c r="O361" i="4"/>
  <c r="L398" i="4"/>
  <c r="N424" i="4"/>
  <c r="O433" i="4"/>
  <c r="P442" i="4"/>
  <c r="Q451" i="4"/>
  <c r="K461" i="4"/>
  <c r="L470" i="4"/>
  <c r="M479" i="4"/>
  <c r="N488" i="4"/>
  <c r="O497" i="4"/>
  <c r="P506" i="4"/>
  <c r="Q515" i="4"/>
  <c r="K525" i="4"/>
  <c r="N532" i="4"/>
  <c r="K537" i="4"/>
  <c r="P539" i="4"/>
  <c r="K542" i="4"/>
  <c r="M544" i="4"/>
  <c r="O546" i="4"/>
  <c r="Q548" i="4"/>
  <c r="L551" i="4"/>
  <c r="N553" i="4"/>
  <c r="P555" i="4"/>
  <c r="K558" i="4"/>
  <c r="M560" i="4"/>
  <c r="O562" i="4"/>
  <c r="Q564" i="4"/>
  <c r="L567" i="4"/>
  <c r="N569" i="4"/>
  <c r="P571" i="4"/>
  <c r="K574" i="4"/>
  <c r="M576" i="4"/>
  <c r="O578" i="4"/>
  <c r="Q580" i="4"/>
  <c r="L583" i="4"/>
  <c r="N585" i="4"/>
  <c r="P587" i="4"/>
  <c r="K590" i="4"/>
  <c r="M592" i="4"/>
  <c r="O594" i="4"/>
  <c r="Q596" i="4"/>
  <c r="L599" i="4"/>
  <c r="N601" i="4"/>
  <c r="P603" i="4"/>
  <c r="K606" i="4"/>
  <c r="M608" i="4"/>
  <c r="O610" i="4"/>
  <c r="Q612" i="4"/>
  <c r="L615" i="4"/>
  <c r="N617" i="4"/>
  <c r="P619" i="4"/>
  <c r="K622" i="4"/>
  <c r="M624" i="4"/>
  <c r="O626" i="4"/>
  <c r="Q628" i="4"/>
  <c r="M181" i="4"/>
  <c r="K197" i="4"/>
  <c r="N202" i="4"/>
  <c r="Q300" i="4"/>
  <c r="P178" i="4"/>
  <c r="Q317" i="4"/>
  <c r="N354" i="4"/>
  <c r="K391" i="4"/>
  <c r="Q212" i="4"/>
  <c r="M324" i="4"/>
  <c r="Q360" i="4"/>
  <c r="N397" i="4"/>
  <c r="P318" i="4"/>
  <c r="K432" i="4"/>
  <c r="O468" i="4"/>
  <c r="L505" i="4"/>
  <c r="P533" i="4"/>
  <c r="K266" i="4"/>
  <c r="O337" i="4"/>
  <c r="L374" i="4"/>
  <c r="P410" i="4"/>
  <c r="O427" i="4"/>
  <c r="P436" i="4"/>
  <c r="Q445" i="4"/>
  <c r="K455" i="4"/>
  <c r="L464" i="4"/>
  <c r="M473" i="4"/>
  <c r="N482" i="4"/>
  <c r="O491" i="4"/>
  <c r="P500" i="4"/>
  <c r="Q509" i="4"/>
  <c r="K519" i="4"/>
  <c r="L528" i="4"/>
  <c r="N277" i="4"/>
  <c r="N340" i="4"/>
  <c r="K377" i="4"/>
  <c r="O413" i="4"/>
  <c r="M428" i="4"/>
  <c r="N437" i="4"/>
  <c r="O446" i="4"/>
  <c r="P455" i="4"/>
  <c r="Q464" i="4"/>
  <c r="K474" i="4"/>
  <c r="L483" i="4"/>
  <c r="M492" i="4"/>
  <c r="N501" i="4"/>
  <c r="O510" i="4"/>
  <c r="P519" i="4"/>
  <c r="Q528" i="4"/>
  <c r="K538" i="4"/>
  <c r="M407" i="4"/>
  <c r="L454" i="4"/>
  <c r="P490" i="4"/>
  <c r="M527" i="4"/>
  <c r="O542" i="4"/>
  <c r="P551" i="4"/>
  <c r="Q560" i="4"/>
  <c r="K570" i="4"/>
  <c r="L579" i="4"/>
  <c r="M588" i="4"/>
  <c r="N597" i="4"/>
  <c r="O606" i="4"/>
  <c r="P615" i="4"/>
  <c r="L623" i="4"/>
  <c r="P627" i="4"/>
  <c r="L631" i="4"/>
  <c r="N633" i="4"/>
  <c r="P635" i="4"/>
  <c r="K638" i="4"/>
  <c r="M640" i="4"/>
  <c r="O642" i="4"/>
  <c r="L545" i="4"/>
  <c r="P549" i="4"/>
  <c r="M554" i="4"/>
  <c r="M558" i="4"/>
  <c r="Q562" i="4"/>
  <c r="N567" i="4"/>
  <c r="O572" i="4"/>
  <c r="L577" i="4"/>
  <c r="P581" i="4"/>
  <c r="M586" i="4"/>
  <c r="Q590" i="4"/>
  <c r="N595" i="4"/>
  <c r="K600" i="4"/>
  <c r="O604" i="4"/>
  <c r="L609" i="4"/>
  <c r="L613" i="4"/>
  <c r="P617" i="4"/>
  <c r="M622" i="4"/>
  <c r="M626" i="4"/>
  <c r="Q630" i="4"/>
  <c r="N635" i="4"/>
  <c r="K640" i="4"/>
  <c r="P322" i="4"/>
  <c r="Q395" i="4"/>
  <c r="K433" i="4"/>
  <c r="M451" i="4"/>
  <c r="O469" i="4"/>
  <c r="Q487" i="4"/>
  <c r="Q503" i="4"/>
  <c r="N524" i="4"/>
  <c r="P536" i="4"/>
  <c r="Q541" i="4"/>
  <c r="Q545" i="4"/>
  <c r="K551" i="4"/>
  <c r="K555" i="4"/>
  <c r="O559" i="4"/>
  <c r="L564" i="4"/>
  <c r="P568" i="4"/>
  <c r="Q573" i="4"/>
  <c r="N578" i="4"/>
  <c r="K583" i="4"/>
  <c r="K587" i="4"/>
  <c r="O591" i="4"/>
  <c r="L596" i="4"/>
  <c r="P600" i="4"/>
  <c r="M605" i="4"/>
  <c r="Q609" i="4"/>
  <c r="N614" i="4"/>
  <c r="K619" i="4"/>
  <c r="O623" i="4"/>
  <c r="L628" i="4"/>
  <c r="L632" i="4"/>
  <c r="P636" i="4"/>
  <c r="M641" i="4"/>
  <c r="N261" i="4"/>
  <c r="N336" i="4"/>
  <c r="K373" i="4"/>
  <c r="O409" i="4"/>
  <c r="M427" i="4"/>
  <c r="N436" i="4"/>
  <c r="O445" i="4"/>
  <c r="P454" i="4"/>
  <c r="Q463" i="4"/>
  <c r="K473" i="4"/>
  <c r="L482" i="4"/>
  <c r="M491" i="4"/>
  <c r="N500" i="4"/>
  <c r="O509" i="4"/>
  <c r="P518" i="4"/>
  <c r="Q527" i="4"/>
  <c r="Q533" i="4"/>
  <c r="Q537" i="4"/>
  <c r="N540" i="4"/>
  <c r="P542" i="4"/>
  <c r="K545" i="4"/>
  <c r="M547" i="4"/>
  <c r="O549" i="4"/>
  <c r="Q551" i="4"/>
  <c r="L554" i="4"/>
  <c r="N556" i="4"/>
  <c r="P558" i="4"/>
  <c r="K561" i="4"/>
  <c r="M563" i="4"/>
  <c r="O565" i="4"/>
  <c r="Q567" i="4"/>
  <c r="L570" i="4"/>
  <c r="N572" i="4"/>
  <c r="P574" i="4"/>
  <c r="K577" i="4"/>
  <c r="M579" i="4"/>
  <c r="O581" i="4"/>
  <c r="Q583" i="4"/>
  <c r="L586" i="4"/>
  <c r="N588" i="4"/>
  <c r="P590" i="4"/>
  <c r="K593" i="4"/>
  <c r="M595" i="4"/>
  <c r="O597" i="4"/>
  <c r="Q599" i="4"/>
  <c r="L602" i="4"/>
  <c r="N604" i="4"/>
  <c r="P606" i="4"/>
  <c r="K609" i="4"/>
  <c r="M611" i="4"/>
  <c r="O613" i="4"/>
  <c r="Q615" i="4"/>
  <c r="L618" i="4"/>
  <c r="N620" i="4"/>
  <c r="P622" i="4"/>
  <c r="K625" i="4"/>
  <c r="M627" i="4"/>
  <c r="O629" i="4"/>
  <c r="Q631" i="4"/>
  <c r="L634" i="4"/>
  <c r="N636" i="4"/>
  <c r="P638" i="4"/>
  <c r="K641" i="4"/>
  <c r="N528" i="4"/>
  <c r="L534" i="4"/>
  <c r="L538" i="4"/>
  <c r="L541" i="4"/>
  <c r="O544" i="4"/>
  <c r="L549" i="4"/>
  <c r="P553" i="4"/>
  <c r="Q558" i="4"/>
  <c r="N563" i="4"/>
  <c r="K568" i="4"/>
  <c r="K572" i="4"/>
  <c r="O576" i="4"/>
  <c r="L581" i="4"/>
  <c r="P585" i="4"/>
  <c r="M590" i="4"/>
  <c r="Q594" i="4"/>
  <c r="N599" i="4"/>
  <c r="K604" i="4"/>
  <c r="O608" i="4"/>
  <c r="P613" i="4"/>
  <c r="M618" i="4"/>
  <c r="N623" i="4"/>
  <c r="K628" i="4"/>
  <c r="O632" i="4"/>
  <c r="L637" i="4"/>
  <c r="P641" i="4"/>
  <c r="Q312" i="4"/>
  <c r="P386" i="4"/>
  <c r="P430" i="4"/>
  <c r="K449" i="4"/>
  <c r="M467" i="4"/>
  <c r="O485" i="4"/>
  <c r="L506" i="4"/>
  <c r="L522" i="4"/>
  <c r="O535" i="4"/>
  <c r="M541" i="4"/>
  <c r="N546" i="4"/>
  <c r="N550" i="4"/>
  <c r="O555" i="4"/>
  <c r="L560" i="4"/>
  <c r="P564" i="4"/>
  <c r="M569" i="4"/>
  <c r="M573" i="4"/>
  <c r="Q577" i="4"/>
  <c r="N582" i="4"/>
  <c r="O587" i="4"/>
  <c r="L592" i="4"/>
  <c r="P596" i="4"/>
  <c r="M601" i="4"/>
  <c r="Q605" i="4"/>
  <c r="N610" i="4"/>
  <c r="K615" i="4"/>
  <c r="O619" i="4"/>
  <c r="L624" i="4"/>
  <c r="P628" i="4"/>
  <c r="Q633" i="4"/>
  <c r="N638" i="4"/>
  <c r="M197" i="4"/>
  <c r="N320" i="4"/>
  <c r="K357" i="4"/>
  <c r="O393" i="4"/>
  <c r="M423" i="4"/>
  <c r="N432" i="4"/>
  <c r="O441" i="4"/>
  <c r="P450" i="4"/>
  <c r="Q459" i="4"/>
  <c r="K469" i="4"/>
  <c r="L478" i="4"/>
  <c r="M487" i="4"/>
  <c r="N496" i="4"/>
  <c r="O505" i="4"/>
  <c r="P514" i="4"/>
  <c r="Q523" i="4"/>
  <c r="N3" i="4"/>
  <c r="K3" i="4"/>
  <c r="L312" i="4"/>
  <c r="P417" i="4"/>
  <c r="Q296" i="4"/>
  <c r="M345" i="4"/>
  <c r="Q381" i="4"/>
  <c r="M135" i="4"/>
  <c r="P351" i="4"/>
  <c r="P422" i="4"/>
  <c r="K496" i="4"/>
  <c r="N229" i="4"/>
  <c r="O401" i="4"/>
  <c r="O443" i="4"/>
  <c r="K471" i="4"/>
  <c r="P516" i="4"/>
  <c r="M331" i="4"/>
  <c r="K426" i="4"/>
  <c r="N453" i="4"/>
  <c r="Q480" i="4"/>
  <c r="M508" i="4"/>
  <c r="P535" i="4"/>
  <c r="O481" i="4"/>
  <c r="L518" i="4"/>
  <c r="O558" i="4"/>
  <c r="K586" i="4"/>
  <c r="N613" i="4"/>
  <c r="L635" i="4"/>
  <c r="K642" i="4"/>
  <c r="L553" i="4"/>
  <c r="M566" i="4"/>
  <c r="K576" i="4"/>
  <c r="P589" i="4"/>
  <c r="K608" i="4"/>
  <c r="L621" i="4"/>
  <c r="P629" i="4"/>
  <c r="O206" i="4"/>
  <c r="N428" i="4"/>
  <c r="M483" i="4"/>
  <c r="P540" i="4"/>
  <c r="Q553" i="4"/>
  <c r="L568" i="4"/>
  <c r="Q581" i="4"/>
  <c r="O599" i="4"/>
  <c r="M613" i="4"/>
  <c r="N622" i="4"/>
  <c r="O635" i="4"/>
  <c r="M327" i="4"/>
  <c r="N400" i="4"/>
  <c r="M443" i="4"/>
  <c r="Q479" i="4"/>
  <c r="M507" i="4"/>
  <c r="P532" i="4"/>
  <c r="N544" i="4"/>
  <c r="M551" i="4"/>
  <c r="Q555" i="4"/>
  <c r="P562" i="4"/>
  <c r="O569" i="4"/>
  <c r="N576" i="4"/>
  <c r="K581" i="4"/>
  <c r="Q587" i="4"/>
  <c r="K597" i="4"/>
  <c r="Q603" i="4"/>
  <c r="P610" i="4"/>
  <c r="Q619" i="4"/>
  <c r="P626" i="4"/>
  <c r="O633" i="4"/>
  <c r="L638" i="4"/>
  <c r="P642" i="4"/>
  <c r="O540" i="4"/>
  <c r="O552" i="4"/>
  <c r="Q566" i="4"/>
  <c r="O584" i="4"/>
  <c r="Q602" i="4"/>
  <c r="L617" i="4"/>
  <c r="N631" i="4"/>
  <c r="P279" i="4"/>
  <c r="L426" i="4"/>
  <c r="P462" i="4"/>
  <c r="O517" i="4"/>
  <c r="M545" i="4"/>
  <c r="K559" i="4"/>
  <c r="L572" i="4"/>
  <c r="Q585" i="4"/>
  <c r="L600" i="4"/>
  <c r="Q613" i="4"/>
  <c r="P632" i="4"/>
  <c r="Q347" i="4"/>
  <c r="L430" i="4"/>
  <c r="O457" i="4"/>
  <c r="K485" i="4"/>
  <c r="N512" i="4"/>
  <c r="P3" i="4"/>
  <c r="M227" i="4"/>
  <c r="P233" i="4"/>
  <c r="K239" i="4"/>
  <c r="M346" i="4"/>
  <c r="P223" i="4"/>
  <c r="K327" i="4"/>
  <c r="O363" i="4"/>
  <c r="L400" i="4"/>
  <c r="N249" i="4"/>
  <c r="N333" i="4"/>
  <c r="K370" i="4"/>
  <c r="O406" i="4"/>
  <c r="M355" i="4"/>
  <c r="L441" i="4"/>
  <c r="P477" i="4"/>
  <c r="M514" i="4"/>
  <c r="K536" i="4"/>
  <c r="O302" i="4"/>
  <c r="P346" i="4"/>
  <c r="M383" i="4"/>
  <c r="N418" i="4"/>
  <c r="Q429" i="4"/>
  <c r="K439" i="4"/>
  <c r="L448" i="4"/>
  <c r="M457" i="4"/>
  <c r="N466" i="4"/>
  <c r="O475" i="4"/>
  <c r="P484" i="4"/>
  <c r="Q493" i="4"/>
  <c r="K503" i="4"/>
  <c r="L512" i="4"/>
  <c r="M521" i="4"/>
  <c r="N530" i="4"/>
  <c r="K312" i="4"/>
  <c r="O349" i="4"/>
  <c r="L386" i="4"/>
  <c r="Q419" i="4"/>
  <c r="O430" i="4"/>
  <c r="P439" i="4"/>
  <c r="Q448" i="4"/>
  <c r="K458" i="4"/>
  <c r="L467" i="4"/>
  <c r="M476" i="4"/>
  <c r="N485" i="4"/>
  <c r="O494" i="4"/>
  <c r="P503" i="4"/>
  <c r="Q512" i="4"/>
  <c r="K522" i="4"/>
  <c r="L531" i="4"/>
  <c r="M252" i="4"/>
  <c r="P426" i="4"/>
  <c r="M463" i="4"/>
  <c r="Q499" i="4"/>
  <c r="O533" i="4"/>
  <c r="Q544" i="4"/>
  <c r="K554" i="4"/>
  <c r="L563" i="4"/>
  <c r="M572" i="4"/>
  <c r="N581" i="4"/>
  <c r="O590" i="4"/>
  <c r="P599" i="4"/>
  <c r="Q608" i="4"/>
  <c r="K618" i="4"/>
  <c r="Q624" i="4"/>
  <c r="N629" i="4"/>
  <c r="P631" i="4"/>
  <c r="K634" i="4"/>
  <c r="M636" i="4"/>
  <c r="O638" i="4"/>
  <c r="Q640" i="4"/>
  <c r="N539" i="4"/>
  <c r="M546" i="4"/>
  <c r="Q550" i="4"/>
  <c r="N555" i="4"/>
  <c r="N559" i="4"/>
  <c r="K564" i="4"/>
  <c r="L569" i="4"/>
  <c r="P573" i="4"/>
  <c r="M578" i="4"/>
  <c r="Q582" i="4"/>
  <c r="N587" i="4"/>
  <c r="K592" i="4"/>
  <c r="O596" i="4"/>
  <c r="L601" i="4"/>
  <c r="P605" i="4"/>
  <c r="P609" i="4"/>
  <c r="M614" i="4"/>
  <c r="Q618" i="4"/>
  <c r="Q622" i="4"/>
  <c r="N627" i="4"/>
  <c r="K632" i="4"/>
  <c r="O636" i="4"/>
  <c r="L641" i="4"/>
  <c r="K341" i="4"/>
  <c r="L414" i="4"/>
  <c r="O437" i="4"/>
  <c r="Q455" i="4"/>
  <c r="L474" i="4"/>
  <c r="N492" i="4"/>
  <c r="P510" i="4"/>
  <c r="K529" i="4"/>
  <c r="M538" i="4"/>
  <c r="K543" i="4"/>
  <c r="O547" i="4"/>
  <c r="O551" i="4"/>
  <c r="L556" i="4"/>
  <c r="P560" i="4"/>
  <c r="M565" i="4"/>
  <c r="Q569" i="4"/>
  <c r="N574" i="4"/>
  <c r="O579" i="4"/>
  <c r="L584" i="4"/>
  <c r="L588" i="4"/>
  <c r="P592" i="4"/>
  <c r="M597" i="4"/>
  <c r="Q601" i="4"/>
  <c r="N606" i="4"/>
  <c r="K611" i="4"/>
  <c r="O615" i="4"/>
  <c r="L620" i="4"/>
  <c r="P624" i="4"/>
  <c r="M629" i="4"/>
  <c r="M633" i="4"/>
  <c r="Q637" i="4"/>
  <c r="N642" i="4"/>
  <c r="K298" i="4"/>
  <c r="O345" i="4"/>
  <c r="L382" i="4"/>
  <c r="Q417" i="4"/>
  <c r="O429" i="4"/>
  <c r="P438" i="4"/>
  <c r="Q447" i="4"/>
  <c r="K457" i="4"/>
  <c r="L466" i="4"/>
  <c r="M475" i="4"/>
  <c r="N484" i="4"/>
  <c r="O493" i="4"/>
  <c r="P502" i="4"/>
  <c r="Q511" i="4"/>
  <c r="K521" i="4"/>
  <c r="L530" i="4"/>
  <c r="K535" i="4"/>
  <c r="P538" i="4"/>
  <c r="K541" i="4"/>
  <c r="M543" i="4"/>
  <c r="O545" i="4"/>
  <c r="Q547" i="4"/>
  <c r="L550" i="4"/>
  <c r="N552" i="4"/>
  <c r="P554" i="4"/>
  <c r="K557" i="4"/>
  <c r="M559" i="4"/>
  <c r="O561" i="4"/>
  <c r="Q563" i="4"/>
  <c r="L566" i="4"/>
  <c r="N568" i="4"/>
  <c r="P570" i="4"/>
  <c r="K573" i="4"/>
  <c r="M575" i="4"/>
  <c r="O577" i="4"/>
  <c r="Q579" i="4"/>
  <c r="L582" i="4"/>
  <c r="N584" i="4"/>
  <c r="P586" i="4"/>
  <c r="K589" i="4"/>
  <c r="M591" i="4"/>
  <c r="O593" i="4"/>
  <c r="Q595" i="4"/>
  <c r="L598" i="4"/>
  <c r="N600" i="4"/>
  <c r="P602" i="4"/>
  <c r="K605" i="4"/>
  <c r="M607" i="4"/>
  <c r="O609" i="4"/>
  <c r="Q611" i="4"/>
  <c r="L614" i="4"/>
  <c r="N616" i="4"/>
  <c r="P618" i="4"/>
  <c r="K621" i="4"/>
  <c r="M623" i="4"/>
  <c r="O625" i="4"/>
  <c r="Q627" i="4"/>
  <c r="L630" i="4"/>
  <c r="N632" i="4"/>
  <c r="P634" i="4"/>
  <c r="K637" i="4"/>
  <c r="M639" i="4"/>
  <c r="O641" i="4"/>
  <c r="P530" i="4"/>
  <c r="M535" i="4"/>
  <c r="Q538" i="4"/>
  <c r="P541" i="4"/>
  <c r="P545" i="4"/>
  <c r="M550" i="4"/>
  <c r="Q554" i="4"/>
  <c r="K560" i="4"/>
  <c r="O564" i="4"/>
  <c r="O568" i="4"/>
  <c r="L573" i="4"/>
  <c r="P577" i="4"/>
  <c r="M582" i="4"/>
  <c r="Q586" i="4"/>
  <c r="N591" i="4"/>
  <c r="K596" i="4"/>
  <c r="O600" i="4"/>
  <c r="L605" i="4"/>
  <c r="M610" i="4"/>
  <c r="Q614" i="4"/>
  <c r="N619" i="4"/>
  <c r="O624" i="4"/>
  <c r="L629" i="4"/>
  <c r="P633" i="4"/>
  <c r="M638" i="4"/>
  <c r="Q642" i="4"/>
  <c r="Q331" i="4"/>
  <c r="K405" i="4"/>
  <c r="M435" i="4"/>
  <c r="O453" i="4"/>
  <c r="Q471" i="4"/>
  <c r="L490" i="4"/>
  <c r="N508" i="4"/>
  <c r="P526" i="4"/>
  <c r="O537" i="4"/>
  <c r="N542" i="4"/>
  <c r="K547" i="4"/>
  <c r="L552" i="4"/>
  <c r="P556" i="4"/>
  <c r="M561" i="4"/>
  <c r="Q565" i="4"/>
  <c r="N570" i="4"/>
  <c r="K575" i="4"/>
  <c r="K579" i="4"/>
  <c r="O583" i="4"/>
  <c r="P588" i="4"/>
  <c r="M593" i="4"/>
  <c r="Q597" i="4"/>
  <c r="N602" i="4"/>
  <c r="K607" i="4"/>
  <c r="O611" i="4"/>
  <c r="L616" i="4"/>
  <c r="P620" i="4"/>
  <c r="M625" i="4"/>
  <c r="Q629" i="4"/>
  <c r="K635" i="4"/>
  <c r="O639" i="4"/>
  <c r="K234" i="4"/>
  <c r="O329" i="4"/>
  <c r="L366" i="4"/>
  <c r="P402" i="4"/>
  <c r="O425" i="4"/>
  <c r="P434" i="4"/>
  <c r="Q443" i="4"/>
  <c r="K453" i="4"/>
  <c r="L462" i="4"/>
  <c r="M471" i="4"/>
  <c r="N480" i="4"/>
  <c r="O489" i="4"/>
  <c r="P498" i="4"/>
  <c r="Q507" i="4"/>
  <c r="K517" i="4"/>
  <c r="L526" i="4"/>
  <c r="M3" i="4"/>
  <c r="Q306" i="4"/>
  <c r="Q314" i="4"/>
  <c r="O187" i="4"/>
  <c r="N459" i="4"/>
  <c r="N328" i="4"/>
  <c r="M425" i="4"/>
  <c r="P452" i="4"/>
  <c r="L480" i="4"/>
  <c r="O507" i="4"/>
  <c r="Q240" i="4"/>
  <c r="N404" i="4"/>
  <c r="M444" i="4"/>
  <c r="P471" i="4"/>
  <c r="L499" i="4"/>
  <c r="O526" i="4"/>
  <c r="K445" i="4"/>
  <c r="N549" i="4"/>
  <c r="Q576" i="4"/>
  <c r="M604" i="4"/>
  <c r="L627" i="4"/>
  <c r="O630" i="4"/>
  <c r="N637" i="4"/>
  <c r="N543" i="4"/>
  <c r="L557" i="4"/>
  <c r="N571" i="4"/>
  <c r="L585" i="4"/>
  <c r="N603" i="4"/>
  <c r="O616" i="4"/>
  <c r="M634" i="4"/>
  <c r="O377" i="4"/>
  <c r="P446" i="4"/>
  <c r="M499" i="4"/>
  <c r="N534" i="4"/>
  <c r="Q549" i="4"/>
  <c r="K563" i="4"/>
  <c r="M577" i="4"/>
  <c r="N590" i="4"/>
  <c r="P608" i="4"/>
  <c r="K627" i="4"/>
  <c r="L640" i="4"/>
  <c r="Q363" i="4"/>
  <c r="L434" i="4"/>
  <c r="N452" i="4"/>
  <c r="P470" i="4"/>
  <c r="L498" i="4"/>
  <c r="O525" i="4"/>
  <c r="Q539" i="4"/>
  <c r="K549" i="4"/>
  <c r="L558" i="4"/>
  <c r="K565" i="4"/>
  <c r="Q571" i="4"/>
  <c r="P578" i="4"/>
  <c r="O585" i="4"/>
  <c r="L590" i="4"/>
  <c r="P594" i="4"/>
  <c r="O601" i="4"/>
  <c r="N608" i="4"/>
  <c r="O617" i="4"/>
  <c r="N624" i="4"/>
  <c r="M631" i="4"/>
  <c r="N640" i="4"/>
  <c r="M537" i="4"/>
  <c r="K548" i="4"/>
  <c r="M562" i="4"/>
  <c r="N575" i="4"/>
  <c r="K580" i="4"/>
  <c r="P593" i="4"/>
  <c r="N607" i="4"/>
  <c r="P621" i="4"/>
  <c r="K636" i="4"/>
  <c r="N444" i="4"/>
  <c r="O501" i="4"/>
  <c r="L540" i="4"/>
  <c r="N554" i="4"/>
  <c r="O567" i="4"/>
  <c r="M581" i="4"/>
  <c r="O595" i="4"/>
  <c r="M609" i="4"/>
  <c r="N618" i="4"/>
  <c r="O627" i="4"/>
  <c r="Q641" i="4"/>
  <c r="N384" i="4"/>
  <c r="M439" i="4"/>
  <c r="Q475" i="4"/>
  <c r="M503" i="4"/>
  <c r="O3" i="4"/>
  <c r="K265" i="4"/>
  <c r="M270" i="4"/>
  <c r="O275" i="4"/>
  <c r="Q382" i="4"/>
  <c r="M260" i="4"/>
  <c r="L336" i="4"/>
  <c r="P372" i="4"/>
  <c r="M409" i="4"/>
  <c r="K286" i="4"/>
  <c r="O342" i="4"/>
  <c r="L379" i="4"/>
  <c r="P415" i="4"/>
  <c r="Q391" i="4"/>
  <c r="M450" i="4"/>
  <c r="Q486" i="4"/>
  <c r="N523" i="4"/>
  <c r="M191" i="4"/>
  <c r="M319" i="4"/>
  <c r="Q355" i="4"/>
  <c r="N392" i="4"/>
  <c r="Q422" i="4"/>
  <c r="L432" i="4"/>
  <c r="M441" i="4"/>
  <c r="N450" i="4"/>
  <c r="O459" i="4"/>
  <c r="P468" i="4"/>
  <c r="Q477" i="4"/>
  <c r="K487" i="4"/>
  <c r="L496" i="4"/>
  <c r="M505" i="4"/>
  <c r="N514" i="4"/>
  <c r="O523" i="4"/>
  <c r="M204" i="4"/>
  <c r="L322" i="4"/>
  <c r="P358" i="4"/>
  <c r="M395" i="4"/>
  <c r="P423" i="4"/>
  <c r="Q432" i="4"/>
  <c r="K442" i="4"/>
  <c r="L451" i="4"/>
  <c r="M460" i="4"/>
  <c r="N469" i="4"/>
  <c r="O478" i="4"/>
  <c r="P487" i="4"/>
  <c r="Q496" i="4"/>
  <c r="K506" i="4"/>
  <c r="L515" i="4"/>
  <c r="M524" i="4"/>
  <c r="N533" i="4"/>
  <c r="L334" i="4"/>
  <c r="Q435" i="4"/>
  <c r="N472" i="4"/>
  <c r="K509" i="4"/>
  <c r="P537" i="4"/>
  <c r="L547" i="4"/>
  <c r="M556" i="4"/>
  <c r="N565" i="4"/>
  <c r="O574" i="4"/>
  <c r="P583" i="4"/>
  <c r="Q592" i="4"/>
  <c r="K602" i="4"/>
  <c r="L611" i="4"/>
  <c r="M620" i="4"/>
  <c r="N625" i="4"/>
  <c r="K630" i="4"/>
  <c r="M632" i="4"/>
  <c r="O634" i="4"/>
  <c r="Q636" i="4"/>
  <c r="L639" i="4"/>
  <c r="N641" i="4"/>
  <c r="M542" i="4"/>
  <c r="N547" i="4"/>
  <c r="K552" i="4"/>
  <c r="K556" i="4"/>
  <c r="O560" i="4"/>
  <c r="L565" i="4"/>
  <c r="M570" i="4"/>
  <c r="Q574" i="4"/>
  <c r="N579" i="4"/>
  <c r="K584" i="4"/>
  <c r="O588" i="4"/>
  <c r="L593" i="4"/>
  <c r="P597" i="4"/>
  <c r="M602" i="4"/>
  <c r="Q606" i="4"/>
  <c r="Q610" i="4"/>
  <c r="N615" i="4"/>
  <c r="K620" i="4"/>
  <c r="K624" i="4"/>
  <c r="O628" i="4"/>
  <c r="L633" i="4"/>
  <c r="P637" i="4"/>
  <c r="M642" i="4"/>
  <c r="M359" i="4"/>
  <c r="Q423" i="4"/>
  <c r="L442" i="4"/>
  <c r="N460" i="4"/>
  <c r="P478" i="4"/>
  <c r="P494" i="4"/>
  <c r="M515" i="4"/>
  <c r="L532" i="4"/>
  <c r="O539" i="4"/>
  <c r="L544" i="4"/>
  <c r="P548" i="4"/>
  <c r="P552" i="4"/>
  <c r="M557" i="4"/>
  <c r="Q561" i="4"/>
  <c r="K567" i="4"/>
  <c r="K571" i="4"/>
  <c r="O575" i="4"/>
  <c r="P580" i="4"/>
  <c r="M585" i="4"/>
  <c r="M589" i="4"/>
  <c r="Q593" i="4"/>
  <c r="N598" i="4"/>
  <c r="K603" i="4"/>
  <c r="O607" i="4"/>
  <c r="L612" i="4"/>
  <c r="P616" i="4"/>
  <c r="M621" i="4"/>
  <c r="Q625" i="4"/>
  <c r="N630" i="4"/>
  <c r="N634" i="4"/>
  <c r="K639" i="4"/>
  <c r="K183" i="4"/>
  <c r="L318" i="4"/>
  <c r="P354" i="4"/>
  <c r="M391" i="4"/>
  <c r="N422" i="4"/>
  <c r="Q431" i="4"/>
  <c r="K441" i="4"/>
  <c r="L450" i="4"/>
  <c r="M459" i="4"/>
  <c r="N468" i="4"/>
  <c r="O477" i="4"/>
  <c r="P486" i="4"/>
  <c r="Q495" i="4"/>
  <c r="K505" i="4"/>
  <c r="L514" i="4"/>
  <c r="M523" i="4"/>
  <c r="O531" i="4"/>
  <c r="L536" i="4"/>
  <c r="M539" i="4"/>
  <c r="O541" i="4"/>
  <c r="Q543" i="4"/>
  <c r="L546" i="4"/>
  <c r="N548" i="4"/>
  <c r="P550" i="4"/>
  <c r="K553" i="4"/>
  <c r="M555" i="4"/>
  <c r="O557" i="4"/>
  <c r="Q559" i="4"/>
  <c r="L562" i="4"/>
  <c r="N564" i="4"/>
  <c r="P566" i="4"/>
  <c r="K569" i="4"/>
  <c r="M571" i="4"/>
  <c r="O573" i="4"/>
  <c r="Q575" i="4"/>
  <c r="L578" i="4"/>
  <c r="N580" i="4"/>
  <c r="P582" i="4"/>
  <c r="K585" i="4"/>
  <c r="M587" i="4"/>
  <c r="O589" i="4"/>
  <c r="Q591" i="4"/>
  <c r="L594" i="4"/>
  <c r="N596" i="4"/>
  <c r="P598" i="4"/>
  <c r="K601" i="4"/>
  <c r="M603" i="4"/>
  <c r="O605" i="4"/>
  <c r="Q607" i="4"/>
  <c r="L610" i="4"/>
  <c r="N612" i="4"/>
  <c r="P614" i="4"/>
  <c r="K617" i="4"/>
  <c r="M619" i="4"/>
  <c r="O621" i="4"/>
  <c r="Q623" i="4"/>
  <c r="L626" i="4"/>
  <c r="N628" i="4"/>
  <c r="P630" i="4"/>
  <c r="K633" i="4"/>
  <c r="M635" i="4"/>
  <c r="O637" i="4"/>
  <c r="Q639" i="4"/>
  <c r="L642" i="4"/>
  <c r="Q531" i="4"/>
  <c r="N536" i="4"/>
  <c r="K540" i="4"/>
  <c r="Q542" i="4"/>
  <c r="Q546" i="4"/>
  <c r="N551" i="4"/>
  <c r="O556" i="4"/>
  <c r="L561" i="4"/>
  <c r="P565" i="4"/>
  <c r="P569" i="4"/>
  <c r="M574" i="4"/>
  <c r="Q578" i="4"/>
  <c r="N583" i="4"/>
  <c r="K588" i="4"/>
  <c r="O592" i="4"/>
  <c r="L597" i="4"/>
  <c r="P601" i="4"/>
  <c r="M606" i="4"/>
  <c r="N611" i="4"/>
  <c r="K616" i="4"/>
  <c r="O620" i="4"/>
  <c r="P625" i="4"/>
  <c r="M630" i="4"/>
  <c r="Q634" i="4"/>
  <c r="N639" i="4"/>
  <c r="L243" i="4"/>
  <c r="L350" i="4"/>
  <c r="L420" i="4"/>
  <c r="Q439" i="4"/>
  <c r="L458" i="4"/>
  <c r="N476" i="4"/>
  <c r="K497" i="4"/>
  <c r="K513" i="4"/>
  <c r="K531" i="4"/>
  <c r="K539" i="4"/>
  <c r="O543" i="4"/>
  <c r="L548" i="4"/>
  <c r="M553" i="4"/>
  <c r="Q557" i="4"/>
  <c r="N562" i="4"/>
  <c r="N566" i="4"/>
  <c r="O571" i="4"/>
  <c r="L576" i="4"/>
  <c r="L580" i="4"/>
  <c r="P584" i="4"/>
  <c r="Q589" i="4"/>
  <c r="N594" i="4"/>
  <c r="K599" i="4"/>
  <c r="O603" i="4"/>
  <c r="L608" i="4"/>
  <c r="P612" i="4"/>
  <c r="M617" i="4"/>
  <c r="Q621" i="4"/>
  <c r="N626" i="4"/>
  <c r="K631" i="4"/>
  <c r="L636" i="4"/>
  <c r="P640" i="4"/>
  <c r="O270" i="4"/>
  <c r="P338" i="4"/>
  <c r="M375" i="4"/>
  <c r="Q411" i="4"/>
  <c r="Q427" i="4"/>
  <c r="K437" i="4"/>
  <c r="L446" i="4"/>
  <c r="M455" i="4"/>
  <c r="N464" i="4"/>
  <c r="O473" i="4"/>
  <c r="P482" i="4"/>
  <c r="Q491" i="4"/>
  <c r="K501" i="4"/>
  <c r="L510" i="4"/>
  <c r="M519" i="4"/>
  <c r="L3" i="4"/>
  <c r="Q3" i="4"/>
  <c r="O301" i="4"/>
  <c r="M388" i="4"/>
  <c r="N531" i="4"/>
  <c r="K365" i="4"/>
  <c r="N434" i="4"/>
  <c r="Q461" i="4"/>
  <c r="M489" i="4"/>
  <c r="N498" i="4"/>
  <c r="Q525" i="4"/>
  <c r="Q367" i="4"/>
  <c r="L435" i="4"/>
  <c r="O462" i="4"/>
  <c r="K490" i="4"/>
  <c r="N517" i="4"/>
  <c r="P370" i="4"/>
  <c r="M540" i="4"/>
  <c r="P567" i="4"/>
  <c r="L595" i="4"/>
  <c r="O622" i="4"/>
  <c r="Q632" i="4"/>
  <c r="P639" i="4"/>
  <c r="O548" i="4"/>
  <c r="P561" i="4"/>
  <c r="O580" i="4"/>
  <c r="M594" i="4"/>
  <c r="Q598" i="4"/>
  <c r="K612" i="4"/>
  <c r="L625" i="4"/>
  <c r="Q638" i="4"/>
  <c r="K465" i="4"/>
  <c r="Q519" i="4"/>
  <c r="P544" i="4"/>
  <c r="N558" i="4"/>
  <c r="P572" i="4"/>
  <c r="N586" i="4"/>
  <c r="K595" i="4"/>
  <c r="L604" i="4"/>
  <c r="Q617" i="4"/>
  <c r="O631" i="4"/>
  <c r="Q224" i="4"/>
  <c r="K425" i="4"/>
  <c r="O461" i="4"/>
  <c r="K489" i="4"/>
  <c r="N516" i="4"/>
  <c r="L537" i="4"/>
  <c r="L542" i="4"/>
  <c r="P546" i="4"/>
  <c r="O553" i="4"/>
  <c r="N560" i="4"/>
  <c r="M567" i="4"/>
  <c r="L574" i="4"/>
  <c r="M583" i="4"/>
  <c r="N592" i="4"/>
  <c r="M599" i="4"/>
  <c r="L606" i="4"/>
  <c r="K613" i="4"/>
  <c r="M615" i="4"/>
  <c r="L622" i="4"/>
  <c r="K629" i="4"/>
  <c r="Q635" i="4"/>
  <c r="K533" i="4"/>
  <c r="K544" i="4"/>
  <c r="P557" i="4"/>
  <c r="Q570" i="4"/>
  <c r="L589" i="4"/>
  <c r="M598" i="4"/>
  <c r="O612" i="4"/>
  <c r="Q626" i="4"/>
  <c r="O640" i="4"/>
  <c r="N368" i="4"/>
  <c r="K481" i="4"/>
  <c r="M533" i="4"/>
  <c r="M549" i="4"/>
  <c r="O563" i="4"/>
  <c r="P576" i="4"/>
  <c r="K591" i="4"/>
  <c r="P604" i="4"/>
  <c r="K623" i="4"/>
  <c r="M637" i="4"/>
  <c r="L307" i="4"/>
  <c r="K419" i="4"/>
  <c r="N448" i="4"/>
  <c r="P466" i="4"/>
  <c r="L494" i="4"/>
  <c r="O521" i="4"/>
  <c r="AF3" i="6" l="1"/>
  <c r="AG3" i="6" s="1"/>
  <c r="AF22" i="6"/>
  <c r="AF19" i="6"/>
  <c r="AF17" i="6"/>
  <c r="AF14" i="6"/>
  <c r="AG14" i="6" s="1"/>
  <c r="AF13" i="6"/>
  <c r="AF6" i="6"/>
  <c r="AF5" i="6"/>
  <c r="Q1" i="4"/>
  <c r="L1" i="4"/>
  <c r="O1" i="4"/>
  <c r="M1" i="4"/>
  <c r="P1" i="4"/>
  <c r="K1" i="4"/>
  <c r="N1" i="4"/>
  <c r="AF18" i="6"/>
  <c r="AF15" i="6"/>
  <c r="AG15" i="6" s="1"/>
  <c r="AF9" i="6"/>
  <c r="AF27" i="6"/>
  <c r="AG27" i="6" s="1"/>
  <c r="AF31" i="6"/>
  <c r="AG31" i="6" s="1"/>
  <c r="AF35" i="6"/>
  <c r="AG35" i="6" s="1"/>
  <c r="AF39" i="6"/>
  <c r="AG39" i="6" s="1"/>
  <c r="AF43" i="6"/>
  <c r="AG43" i="6" s="1"/>
  <c r="AF47" i="6"/>
  <c r="AG47" i="6" s="1"/>
  <c r="AF51" i="6"/>
  <c r="AG51" i="6" s="1"/>
  <c r="AF55" i="6"/>
  <c r="AG55" i="6" s="1"/>
  <c r="AF34" i="6"/>
  <c r="AG34" i="6" s="1"/>
  <c r="AF50" i="6"/>
  <c r="AG50" i="6" s="1"/>
  <c r="AF28" i="6"/>
  <c r="AG28" i="6" s="1"/>
  <c r="AF32" i="6"/>
  <c r="AG32" i="6" s="1"/>
  <c r="AF36" i="6"/>
  <c r="AG36" i="6" s="1"/>
  <c r="AF40" i="6"/>
  <c r="AG40" i="6" s="1"/>
  <c r="AF44" i="6"/>
  <c r="AG44" i="6" s="1"/>
  <c r="AF48" i="6"/>
  <c r="AG48" i="6" s="1"/>
  <c r="AF52" i="6"/>
  <c r="AG52" i="6" s="1"/>
  <c r="AF25" i="6"/>
  <c r="AG25" i="6" s="1"/>
  <c r="AF30" i="6"/>
  <c r="AG30" i="6" s="1"/>
  <c r="AF42" i="6"/>
  <c r="AG42" i="6" s="1"/>
  <c r="AF54" i="6"/>
  <c r="AG54" i="6" s="1"/>
  <c r="AF29" i="6"/>
  <c r="AG29" i="6" s="1"/>
  <c r="AF33" i="6"/>
  <c r="AG33" i="6" s="1"/>
  <c r="AF37" i="6"/>
  <c r="AG37" i="6" s="1"/>
  <c r="AF41" i="6"/>
  <c r="AG41" i="6" s="1"/>
  <c r="AF45" i="6"/>
  <c r="AG45" i="6" s="1"/>
  <c r="AF49" i="6"/>
  <c r="AG49" i="6" s="1"/>
  <c r="AF53" i="6"/>
  <c r="AG53" i="6" s="1"/>
  <c r="AF26" i="6"/>
  <c r="AG26" i="6" s="1"/>
  <c r="AF38" i="6"/>
  <c r="AG38" i="6" s="1"/>
  <c r="AF46" i="6"/>
  <c r="AG46" i="6" s="1"/>
  <c r="AF21" i="6"/>
  <c r="AF11" i="6"/>
  <c r="AF10" i="6"/>
  <c r="AF7" i="6"/>
  <c r="AG7" i="6" s="1"/>
  <c r="AF20" i="6"/>
  <c r="AF16" i="6"/>
  <c r="AF12" i="6"/>
  <c r="AF8" i="6"/>
  <c r="AG8" i="6" s="1"/>
  <c r="AF4" i="6"/>
  <c r="AG6" i="6" l="1"/>
  <c r="AG19" i="6"/>
  <c r="AG12" i="6"/>
  <c r="AG10" i="6"/>
  <c r="AG18" i="6"/>
  <c r="AG5" i="6"/>
  <c r="AG17" i="6"/>
  <c r="AG22" i="6"/>
  <c r="AG16" i="6"/>
  <c r="AG11" i="6"/>
  <c r="AG13" i="6"/>
  <c r="AG4" i="6"/>
  <c r="AG20" i="6"/>
  <c r="AG21" i="6"/>
  <c r="AG9" i="6"/>
  <c r="D13" i="1"/>
  <c r="E13" i="1"/>
  <c r="F13" i="1"/>
  <c r="G13" i="1"/>
  <c r="H13" i="1"/>
  <c r="I13" i="1"/>
  <c r="J13" i="1"/>
  <c r="C13" i="1"/>
  <c r="N13" i="1"/>
  <c r="O13" i="1"/>
  <c r="C135" i="1" l="1"/>
  <c r="C136" i="1" l="1"/>
  <c r="C137" i="1"/>
  <c r="C138" i="1"/>
  <c r="C139" i="1"/>
  <c r="C140" i="1"/>
  <c r="C141" i="1"/>
  <c r="C142" i="1"/>
  <c r="C143" i="1"/>
  <c r="C144" i="1"/>
  <c r="D34" i="1" l="1"/>
  <c r="A33" i="1" l="1"/>
  <c r="K41" i="1" l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40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5" i="1"/>
  <c r="A56" i="1"/>
  <c r="A57" i="1"/>
  <c r="A58" i="1"/>
  <c r="A59" i="1"/>
  <c r="L41" i="1"/>
  <c r="M41" i="1"/>
  <c r="N41" i="1"/>
  <c r="O41" i="1"/>
  <c r="P41" i="1"/>
  <c r="Q41" i="1"/>
  <c r="L42" i="1"/>
  <c r="M42" i="1"/>
  <c r="N42" i="1"/>
  <c r="O42" i="1"/>
  <c r="P42" i="1"/>
  <c r="Q42" i="1"/>
  <c r="L43" i="1"/>
  <c r="M43" i="1"/>
  <c r="N43" i="1"/>
  <c r="O43" i="1"/>
  <c r="P43" i="1"/>
  <c r="Q43" i="1"/>
  <c r="L44" i="1"/>
  <c r="M44" i="1"/>
  <c r="N44" i="1"/>
  <c r="O44" i="1"/>
  <c r="P44" i="1"/>
  <c r="Q44" i="1"/>
  <c r="L45" i="1"/>
  <c r="M45" i="1"/>
  <c r="N45" i="1"/>
  <c r="O45" i="1"/>
  <c r="P45" i="1"/>
  <c r="Q45" i="1"/>
  <c r="L46" i="1"/>
  <c r="M46" i="1"/>
  <c r="N46" i="1"/>
  <c r="O46" i="1"/>
  <c r="P46" i="1"/>
  <c r="Q46" i="1"/>
  <c r="L47" i="1"/>
  <c r="M47" i="1"/>
  <c r="N47" i="1"/>
  <c r="O47" i="1"/>
  <c r="P47" i="1"/>
  <c r="Q47" i="1"/>
  <c r="L48" i="1"/>
  <c r="M48" i="1"/>
  <c r="N48" i="1"/>
  <c r="O48" i="1"/>
  <c r="P48" i="1"/>
  <c r="Q48" i="1"/>
  <c r="L49" i="1"/>
  <c r="M49" i="1"/>
  <c r="N49" i="1"/>
  <c r="O49" i="1"/>
  <c r="P49" i="1"/>
  <c r="Q49" i="1"/>
  <c r="L50" i="1"/>
  <c r="M50" i="1"/>
  <c r="N50" i="1"/>
  <c r="O50" i="1"/>
  <c r="P50" i="1"/>
  <c r="Q50" i="1"/>
  <c r="L51" i="1"/>
  <c r="M51" i="1"/>
  <c r="N51" i="1"/>
  <c r="O51" i="1"/>
  <c r="P51" i="1"/>
  <c r="Q51" i="1"/>
  <c r="L52" i="1"/>
  <c r="M52" i="1"/>
  <c r="N52" i="1"/>
  <c r="O52" i="1"/>
  <c r="P52" i="1"/>
  <c r="Q52" i="1"/>
  <c r="L53" i="1"/>
  <c r="M53" i="1"/>
  <c r="N53" i="1"/>
  <c r="O53" i="1"/>
  <c r="P53" i="1"/>
  <c r="Q53" i="1"/>
  <c r="L54" i="1"/>
  <c r="M54" i="1"/>
  <c r="N54" i="1"/>
  <c r="O54" i="1"/>
  <c r="P54" i="1"/>
  <c r="Q54" i="1"/>
  <c r="L55" i="1"/>
  <c r="M55" i="1"/>
  <c r="N55" i="1"/>
  <c r="O55" i="1"/>
  <c r="P55" i="1"/>
  <c r="Q55" i="1"/>
  <c r="L56" i="1"/>
  <c r="M56" i="1"/>
  <c r="N56" i="1"/>
  <c r="O56" i="1"/>
  <c r="P56" i="1"/>
  <c r="Q56" i="1"/>
  <c r="L57" i="1"/>
  <c r="M57" i="1"/>
  <c r="N57" i="1"/>
  <c r="O57" i="1"/>
  <c r="P57" i="1"/>
  <c r="Q57" i="1"/>
  <c r="L58" i="1"/>
  <c r="M58" i="1"/>
  <c r="N58" i="1"/>
  <c r="O58" i="1"/>
  <c r="P58" i="1"/>
  <c r="Q58" i="1"/>
  <c r="L59" i="1"/>
  <c r="M59" i="1"/>
  <c r="N59" i="1"/>
  <c r="O59" i="1"/>
  <c r="P59" i="1"/>
  <c r="Q59" i="1"/>
  <c r="M40" i="1"/>
  <c r="N40" i="1"/>
  <c r="O40" i="1"/>
  <c r="P40" i="1"/>
  <c r="Q40" i="1"/>
  <c r="L40" i="1"/>
  <c r="C66" i="4" l="1"/>
  <c r="C98" i="4" s="1"/>
  <c r="C65" i="4"/>
  <c r="C97" i="4" s="1"/>
  <c r="C64" i="4"/>
  <c r="C96" i="4" s="1"/>
  <c r="C63" i="4"/>
  <c r="C95" i="4" s="1"/>
  <c r="C62" i="4"/>
  <c r="C94" i="4" s="1"/>
  <c r="C61" i="4"/>
  <c r="C93" i="4" s="1"/>
  <c r="C60" i="4"/>
  <c r="C92" i="4" s="1"/>
  <c r="C59" i="4"/>
  <c r="C91" i="4" s="1"/>
  <c r="C58" i="4"/>
  <c r="C90" i="4" s="1"/>
  <c r="C57" i="4"/>
  <c r="C89" i="4" s="1"/>
  <c r="C56" i="4"/>
  <c r="C88" i="4" s="1"/>
  <c r="C55" i="4"/>
  <c r="C87" i="4" s="1"/>
  <c r="C54" i="4"/>
  <c r="C86" i="4" s="1"/>
  <c r="C53" i="4"/>
  <c r="C85" i="4" s="1"/>
  <c r="C52" i="4"/>
  <c r="C84" i="4" s="1"/>
  <c r="C51" i="4"/>
  <c r="C83" i="4" s="1"/>
  <c r="C50" i="4"/>
  <c r="C82" i="4" s="1"/>
  <c r="C49" i="4"/>
  <c r="C81" i="4" s="1"/>
  <c r="C48" i="4"/>
  <c r="C80" i="4" s="1"/>
  <c r="C47" i="4"/>
  <c r="C79" i="4" s="1"/>
  <c r="C46" i="4"/>
  <c r="C78" i="4" s="1"/>
  <c r="C45" i="4"/>
  <c r="C77" i="4" s="1"/>
  <c r="C44" i="4"/>
  <c r="C76" i="4" s="1"/>
  <c r="C43" i="4"/>
  <c r="C75" i="4" s="1"/>
  <c r="C42" i="4"/>
  <c r="C74" i="4" s="1"/>
  <c r="C41" i="4"/>
  <c r="C73" i="4" s="1"/>
  <c r="C40" i="4"/>
  <c r="C72" i="4" s="1"/>
  <c r="C39" i="4"/>
  <c r="C71" i="4" s="1"/>
  <c r="C38" i="4"/>
  <c r="C70" i="4" s="1"/>
  <c r="C37" i="4"/>
  <c r="C69" i="4" s="1"/>
  <c r="C36" i="4"/>
  <c r="C68" i="4" s="1"/>
  <c r="C35" i="4"/>
  <c r="C67" i="4" s="1"/>
  <c r="H34" i="4"/>
  <c r="I34" i="4" s="1"/>
  <c r="H33" i="4"/>
  <c r="I33" i="4" s="1"/>
  <c r="H32" i="4"/>
  <c r="I32" i="4" s="1"/>
  <c r="H31" i="4"/>
  <c r="I31" i="4" s="1"/>
  <c r="H30" i="4"/>
  <c r="I30" i="4" s="1"/>
  <c r="H29" i="4"/>
  <c r="I29" i="4" s="1"/>
  <c r="H28" i="4"/>
  <c r="I28" i="4" s="1"/>
  <c r="H27" i="4"/>
  <c r="I27" i="4" s="1"/>
  <c r="H26" i="4"/>
  <c r="H25" i="4"/>
  <c r="H24" i="4"/>
  <c r="H23" i="4"/>
  <c r="H22" i="4"/>
  <c r="H21" i="4"/>
  <c r="H20" i="4"/>
  <c r="H19" i="4"/>
  <c r="H18" i="4"/>
  <c r="G18" i="4"/>
  <c r="G26" i="4" s="1"/>
  <c r="H17" i="4"/>
  <c r="G17" i="4"/>
  <c r="H16" i="4"/>
  <c r="G16" i="4"/>
  <c r="G24" i="4" s="1"/>
  <c r="H15" i="4"/>
  <c r="G15" i="4"/>
  <c r="H14" i="4"/>
  <c r="G14" i="4"/>
  <c r="G22" i="4" s="1"/>
  <c r="H13" i="4"/>
  <c r="G13" i="4"/>
  <c r="H12" i="4"/>
  <c r="G12" i="4"/>
  <c r="G20" i="4" s="1"/>
  <c r="H11" i="4"/>
  <c r="G11" i="4"/>
  <c r="H10" i="4"/>
  <c r="H9" i="4"/>
  <c r="H8" i="4"/>
  <c r="H7" i="4"/>
  <c r="H6" i="4"/>
  <c r="H5" i="4"/>
  <c r="H4" i="4"/>
  <c r="H3" i="4"/>
  <c r="H34" i="1"/>
  <c r="H35" i="1" s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I27" i="3" s="1"/>
  <c r="H28" i="3"/>
  <c r="I28" i="3" s="1"/>
  <c r="H29" i="3"/>
  <c r="I29" i="3" s="1"/>
  <c r="H30" i="3"/>
  <c r="I30" i="3" s="1"/>
  <c r="H31" i="3"/>
  <c r="I31" i="3" s="1"/>
  <c r="H32" i="3"/>
  <c r="I32" i="3" s="1"/>
  <c r="H33" i="3"/>
  <c r="I33" i="3" s="1"/>
  <c r="H34" i="3"/>
  <c r="I34" i="3" s="1"/>
  <c r="H3" i="3"/>
  <c r="G28" i="4" l="1"/>
  <c r="G30" i="4"/>
  <c r="G32" i="4"/>
  <c r="G34" i="4"/>
  <c r="C99" i="4"/>
  <c r="H67" i="4"/>
  <c r="C101" i="4"/>
  <c r="H69" i="4"/>
  <c r="C103" i="4"/>
  <c r="H71" i="4"/>
  <c r="C105" i="4"/>
  <c r="H73" i="4"/>
  <c r="C107" i="4"/>
  <c r="H75" i="4"/>
  <c r="C109" i="4"/>
  <c r="H77" i="4"/>
  <c r="C111" i="4"/>
  <c r="H79" i="4"/>
  <c r="C113" i="4"/>
  <c r="H81" i="4"/>
  <c r="C115" i="4"/>
  <c r="H83" i="4"/>
  <c r="C117" i="4"/>
  <c r="H85" i="4"/>
  <c r="C119" i="4"/>
  <c r="H87" i="4"/>
  <c r="C121" i="4"/>
  <c r="H89" i="4"/>
  <c r="C123" i="4"/>
  <c r="H91" i="4"/>
  <c r="I91" i="4" s="1"/>
  <c r="C125" i="4"/>
  <c r="H93" i="4"/>
  <c r="I93" i="4" s="1"/>
  <c r="C127" i="4"/>
  <c r="H95" i="4"/>
  <c r="I95" i="4" s="1"/>
  <c r="C129" i="4"/>
  <c r="H97" i="4"/>
  <c r="I97" i="4" s="1"/>
  <c r="C100" i="4"/>
  <c r="H68" i="4"/>
  <c r="C102" i="4"/>
  <c r="H70" i="4"/>
  <c r="C104" i="4"/>
  <c r="H72" i="4"/>
  <c r="C106" i="4"/>
  <c r="H74" i="4"/>
  <c r="C108" i="4"/>
  <c r="H76" i="4"/>
  <c r="C110" i="4"/>
  <c r="H78" i="4"/>
  <c r="C112" i="4"/>
  <c r="H80" i="4"/>
  <c r="C114" i="4"/>
  <c r="H82" i="4"/>
  <c r="C116" i="4"/>
  <c r="H84" i="4"/>
  <c r="C118" i="4"/>
  <c r="H86" i="4"/>
  <c r="C120" i="4"/>
  <c r="H88" i="4"/>
  <c r="C122" i="4"/>
  <c r="H90" i="4"/>
  <c r="C124" i="4"/>
  <c r="H92" i="4"/>
  <c r="I92" i="4" s="1"/>
  <c r="C126" i="4"/>
  <c r="H94" i="4"/>
  <c r="I94" i="4" s="1"/>
  <c r="C128" i="4"/>
  <c r="H96" i="4"/>
  <c r="I96" i="4" s="1"/>
  <c r="C130" i="4"/>
  <c r="H98" i="4"/>
  <c r="I98" i="4" s="1"/>
  <c r="G19" i="4"/>
  <c r="G21" i="4"/>
  <c r="G23" i="4"/>
  <c r="G25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I59" i="4" s="1"/>
  <c r="H60" i="4"/>
  <c r="I60" i="4" s="1"/>
  <c r="H61" i="4"/>
  <c r="I61" i="4" s="1"/>
  <c r="H62" i="4"/>
  <c r="I62" i="4" s="1"/>
  <c r="H63" i="4"/>
  <c r="I63" i="4" s="1"/>
  <c r="H64" i="4"/>
  <c r="I64" i="4" s="1"/>
  <c r="H65" i="4"/>
  <c r="I65" i="4" s="1"/>
  <c r="H66" i="4"/>
  <c r="I66" i="4" s="1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G18" i="3"/>
  <c r="G17" i="3"/>
  <c r="G16" i="3"/>
  <c r="G15" i="3"/>
  <c r="G14" i="3"/>
  <c r="G13" i="3"/>
  <c r="G12" i="3"/>
  <c r="G11" i="3"/>
  <c r="K4" i="2"/>
  <c r="K5" i="2"/>
  <c r="L5" i="2" s="1"/>
  <c r="K6" i="2"/>
  <c r="K3" i="2"/>
  <c r="L3" i="2" s="1"/>
  <c r="E4" i="2"/>
  <c r="E5" i="2"/>
  <c r="F5" i="2" s="1"/>
  <c r="E6" i="2"/>
  <c r="E3" i="2"/>
  <c r="L6" i="2"/>
  <c r="F4" i="2"/>
  <c r="F6" i="2"/>
  <c r="L4" i="2"/>
  <c r="D85" i="1"/>
  <c r="E85" i="1"/>
  <c r="F85" i="1"/>
  <c r="G85" i="1"/>
  <c r="H85" i="1"/>
  <c r="I85" i="1"/>
  <c r="J85" i="1"/>
  <c r="K85" i="1"/>
  <c r="D86" i="1"/>
  <c r="D106" i="1" s="1"/>
  <c r="E86" i="1"/>
  <c r="E106" i="1" s="1"/>
  <c r="F86" i="1"/>
  <c r="F106" i="1" s="1"/>
  <c r="G86" i="1"/>
  <c r="G106" i="1" s="1"/>
  <c r="H86" i="1"/>
  <c r="H106" i="1" s="1"/>
  <c r="I86" i="1"/>
  <c r="I106" i="1" s="1"/>
  <c r="J86" i="1"/>
  <c r="J106" i="1" s="1"/>
  <c r="K86" i="1"/>
  <c r="K106" i="1" s="1"/>
  <c r="D87" i="1"/>
  <c r="E87" i="1"/>
  <c r="F87" i="1"/>
  <c r="G87" i="1"/>
  <c r="H87" i="1"/>
  <c r="I87" i="1"/>
  <c r="J87" i="1"/>
  <c r="K87" i="1"/>
  <c r="D88" i="1"/>
  <c r="E88" i="1"/>
  <c r="F88" i="1"/>
  <c r="G88" i="1"/>
  <c r="H88" i="1"/>
  <c r="I88" i="1"/>
  <c r="J88" i="1"/>
  <c r="K88" i="1"/>
  <c r="D89" i="1"/>
  <c r="E89" i="1"/>
  <c r="F89" i="1"/>
  <c r="G89" i="1"/>
  <c r="H89" i="1"/>
  <c r="I89" i="1"/>
  <c r="J89" i="1"/>
  <c r="K89" i="1"/>
  <c r="D90" i="1"/>
  <c r="E90" i="1"/>
  <c r="F90" i="1"/>
  <c r="G90" i="1"/>
  <c r="H90" i="1"/>
  <c r="I90" i="1"/>
  <c r="J90" i="1"/>
  <c r="K90" i="1"/>
  <c r="D91" i="1"/>
  <c r="E91" i="1"/>
  <c r="F91" i="1"/>
  <c r="G91" i="1"/>
  <c r="H91" i="1"/>
  <c r="I91" i="1"/>
  <c r="J91" i="1"/>
  <c r="K91" i="1"/>
  <c r="D92" i="1"/>
  <c r="E92" i="1"/>
  <c r="F92" i="1"/>
  <c r="G92" i="1"/>
  <c r="H92" i="1"/>
  <c r="I92" i="1"/>
  <c r="J92" i="1"/>
  <c r="K92" i="1"/>
  <c r="D93" i="1"/>
  <c r="E93" i="1"/>
  <c r="F93" i="1"/>
  <c r="G93" i="1"/>
  <c r="H93" i="1"/>
  <c r="I93" i="1"/>
  <c r="J93" i="1"/>
  <c r="K93" i="1"/>
  <c r="E84" i="1"/>
  <c r="E105" i="1" s="1"/>
  <c r="F84" i="1"/>
  <c r="F105" i="1" s="1"/>
  <c r="G84" i="1"/>
  <c r="G105" i="1" s="1"/>
  <c r="H84" i="1"/>
  <c r="H105" i="1" s="1"/>
  <c r="I84" i="1"/>
  <c r="I105" i="1" s="1"/>
  <c r="J84" i="1"/>
  <c r="J105" i="1" s="1"/>
  <c r="K84" i="1"/>
  <c r="K105" i="1" s="1"/>
  <c r="D84" i="1"/>
  <c r="D105" i="1" s="1"/>
  <c r="H27" i="1"/>
  <c r="H17" i="1"/>
  <c r="P34" i="1"/>
  <c r="P35" i="1" s="1"/>
  <c r="Q35" i="1" s="1"/>
  <c r="O34" i="1"/>
  <c r="O35" i="1" s="1"/>
  <c r="N34" i="1"/>
  <c r="N35" i="1" s="1"/>
  <c r="M34" i="1"/>
  <c r="M35" i="1" s="1"/>
  <c r="K34" i="1"/>
  <c r="J34" i="1"/>
  <c r="J35" i="1" s="1"/>
  <c r="K102" i="1" s="1"/>
  <c r="I34" i="1"/>
  <c r="I35" i="1" s="1"/>
  <c r="J102" i="1" s="1"/>
  <c r="G34" i="1"/>
  <c r="H94" i="1" s="1"/>
  <c r="F34" i="1"/>
  <c r="F35" i="1" s="1"/>
  <c r="E34" i="1"/>
  <c r="E35" i="1" s="1"/>
  <c r="F102" i="1" s="1"/>
  <c r="D35" i="1"/>
  <c r="C34" i="1"/>
  <c r="C35" i="1" s="1"/>
  <c r="D102" i="1" s="1"/>
  <c r="J22" i="1"/>
  <c r="M22" i="1" s="1"/>
  <c r="I22" i="1"/>
  <c r="I27" i="1" s="1"/>
  <c r="L27" i="1" s="1"/>
  <c r="G22" i="1"/>
  <c r="F22" i="1"/>
  <c r="F27" i="1" s="1"/>
  <c r="E22" i="1"/>
  <c r="E27" i="1" s="1"/>
  <c r="D22" i="1"/>
  <c r="C151" i="1" s="1"/>
  <c r="C22" i="1"/>
  <c r="C27" i="1" s="1"/>
  <c r="J21" i="1"/>
  <c r="M21" i="1" s="1"/>
  <c r="I21" i="1"/>
  <c r="L21" i="1" s="1"/>
  <c r="F21" i="1"/>
  <c r="E21" i="1"/>
  <c r="D21" i="1"/>
  <c r="C150" i="1" s="1"/>
  <c r="C21" i="1"/>
  <c r="J20" i="1"/>
  <c r="M20" i="1" s="1"/>
  <c r="I20" i="1"/>
  <c r="L20" i="1" s="1"/>
  <c r="G20" i="1"/>
  <c r="F20" i="1"/>
  <c r="E20" i="1"/>
  <c r="D20" i="1"/>
  <c r="C149" i="1" s="1"/>
  <c r="C20" i="1"/>
  <c r="J19" i="1"/>
  <c r="K19" i="1" s="1"/>
  <c r="I19" i="1"/>
  <c r="L19" i="1" s="1"/>
  <c r="G19" i="1"/>
  <c r="G28" i="1" s="1"/>
  <c r="F19" i="1"/>
  <c r="E19" i="1"/>
  <c r="D19" i="1"/>
  <c r="C19" i="1"/>
  <c r="J18" i="1"/>
  <c r="J28" i="1" s="1"/>
  <c r="I18" i="1"/>
  <c r="L18" i="1" s="1"/>
  <c r="G18" i="1"/>
  <c r="F18" i="1"/>
  <c r="E18" i="1"/>
  <c r="D18" i="1"/>
  <c r="C18" i="1"/>
  <c r="J17" i="1"/>
  <c r="K17" i="1" s="1"/>
  <c r="I17" i="1"/>
  <c r="L17" i="1" s="1"/>
  <c r="G17" i="1"/>
  <c r="E17" i="1"/>
  <c r="D17" i="1"/>
  <c r="C146" i="1" s="1"/>
  <c r="C17" i="1"/>
  <c r="J16" i="1"/>
  <c r="K16" i="1" s="1"/>
  <c r="I16" i="1"/>
  <c r="F16" i="1"/>
  <c r="E16" i="1"/>
  <c r="D16" i="1"/>
  <c r="C145" i="1" s="1"/>
  <c r="C16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M6" i="1"/>
  <c r="L6" i="1"/>
  <c r="K6" i="1"/>
  <c r="M5" i="1"/>
  <c r="L5" i="1"/>
  <c r="K5" i="1"/>
  <c r="M4" i="1"/>
  <c r="L4" i="1"/>
  <c r="K4" i="1"/>
  <c r="M3" i="1"/>
  <c r="L3" i="1"/>
  <c r="K3" i="1"/>
  <c r="U16" i="3"/>
  <c r="U18" i="3"/>
  <c r="N18" i="3"/>
  <c r="N11" i="3"/>
  <c r="N12" i="3"/>
  <c r="U15" i="3"/>
  <c r="N16" i="3"/>
  <c r="N17" i="3"/>
  <c r="U13" i="3"/>
  <c r="U11" i="3"/>
  <c r="N13" i="3"/>
  <c r="U17" i="3"/>
  <c r="U12" i="3"/>
  <c r="U14" i="3"/>
  <c r="N14" i="3"/>
  <c r="N15" i="3"/>
  <c r="M13" i="1" l="1"/>
  <c r="K13" i="1"/>
  <c r="L13" i="1"/>
  <c r="C29" i="1"/>
  <c r="I29" i="1"/>
  <c r="L29" i="1" s="1"/>
  <c r="E102" i="1"/>
  <c r="E29" i="1"/>
  <c r="G29" i="1"/>
  <c r="D28" i="1"/>
  <c r="C153" i="1" s="1"/>
  <c r="C147" i="1"/>
  <c r="F100" i="1"/>
  <c r="F98" i="1"/>
  <c r="F96" i="1"/>
  <c r="F3" i="2"/>
  <c r="C68" i="3"/>
  <c r="H36" i="3"/>
  <c r="C72" i="3"/>
  <c r="H40" i="3"/>
  <c r="C76" i="3"/>
  <c r="H44" i="3"/>
  <c r="C80" i="3"/>
  <c r="H48" i="3"/>
  <c r="C84" i="3"/>
  <c r="H52" i="3"/>
  <c r="C88" i="3"/>
  <c r="H56" i="3"/>
  <c r="C92" i="3"/>
  <c r="H60" i="3"/>
  <c r="I60" i="3" s="1"/>
  <c r="C96" i="3"/>
  <c r="H64" i="3"/>
  <c r="I64" i="3" s="1"/>
  <c r="D100" i="1"/>
  <c r="D98" i="1"/>
  <c r="D96" i="1"/>
  <c r="C69" i="3"/>
  <c r="H37" i="3"/>
  <c r="C73" i="3"/>
  <c r="H41" i="3"/>
  <c r="C77" i="3"/>
  <c r="H45" i="3"/>
  <c r="C81" i="3"/>
  <c r="H49" i="3"/>
  <c r="C85" i="3"/>
  <c r="H53" i="3"/>
  <c r="C89" i="3"/>
  <c r="H57" i="3"/>
  <c r="C93" i="3"/>
  <c r="H61" i="3"/>
  <c r="I61" i="3" s="1"/>
  <c r="C97" i="3"/>
  <c r="H65" i="3"/>
  <c r="I65" i="3" s="1"/>
  <c r="K100" i="1"/>
  <c r="K98" i="1"/>
  <c r="K96" i="1"/>
  <c r="K94" i="1"/>
  <c r="C70" i="3"/>
  <c r="H38" i="3"/>
  <c r="C74" i="3"/>
  <c r="H42" i="3"/>
  <c r="C78" i="3"/>
  <c r="H46" i="3"/>
  <c r="C82" i="3"/>
  <c r="H50" i="3"/>
  <c r="C86" i="3"/>
  <c r="H54" i="3"/>
  <c r="C90" i="3"/>
  <c r="H58" i="3"/>
  <c r="C94" i="3"/>
  <c r="H62" i="3"/>
  <c r="I62" i="3" s="1"/>
  <c r="C98" i="3"/>
  <c r="H66" i="3"/>
  <c r="I66" i="3" s="1"/>
  <c r="D27" i="1"/>
  <c r="C152" i="1" s="1"/>
  <c r="C148" i="1"/>
  <c r="H100" i="1"/>
  <c r="H98" i="1"/>
  <c r="H96" i="1"/>
  <c r="C67" i="3"/>
  <c r="H35" i="3"/>
  <c r="C71" i="3"/>
  <c r="H39" i="3"/>
  <c r="C75" i="3"/>
  <c r="H43" i="3"/>
  <c r="C79" i="3"/>
  <c r="H47" i="3"/>
  <c r="C83" i="3"/>
  <c r="H51" i="3"/>
  <c r="C87" i="3"/>
  <c r="H55" i="3"/>
  <c r="C91" i="3"/>
  <c r="H59" i="3"/>
  <c r="I59" i="3" s="1"/>
  <c r="C95" i="3"/>
  <c r="H63" i="3"/>
  <c r="I63" i="3" s="1"/>
  <c r="J103" i="1"/>
  <c r="G103" i="1"/>
  <c r="E103" i="1"/>
  <c r="G101" i="1"/>
  <c r="J99" i="1"/>
  <c r="E99" i="1"/>
  <c r="J97" i="1"/>
  <c r="E97" i="1"/>
  <c r="G35" i="1"/>
  <c r="K103" i="1"/>
  <c r="F103" i="1"/>
  <c r="D103" i="1"/>
  <c r="G102" i="1"/>
  <c r="K101" i="1"/>
  <c r="F101" i="1"/>
  <c r="D101" i="1"/>
  <c r="J100" i="1"/>
  <c r="G100" i="1"/>
  <c r="E100" i="1"/>
  <c r="K99" i="1"/>
  <c r="H99" i="1"/>
  <c r="F99" i="1"/>
  <c r="D99" i="1"/>
  <c r="J98" i="1"/>
  <c r="G98" i="1"/>
  <c r="E98" i="1"/>
  <c r="K97" i="1"/>
  <c r="H97" i="1"/>
  <c r="F97" i="1"/>
  <c r="D97" i="1"/>
  <c r="J96" i="1"/>
  <c r="G96" i="1"/>
  <c r="E96" i="1"/>
  <c r="K95" i="1"/>
  <c r="H95" i="1"/>
  <c r="F95" i="1"/>
  <c r="D95" i="1"/>
  <c r="J94" i="1"/>
  <c r="G94" i="1"/>
  <c r="E94" i="1"/>
  <c r="K35" i="1"/>
  <c r="J101" i="1"/>
  <c r="E101" i="1"/>
  <c r="G99" i="1"/>
  <c r="G97" i="1"/>
  <c r="J95" i="1"/>
  <c r="G95" i="1"/>
  <c r="E95" i="1"/>
  <c r="F94" i="1"/>
  <c r="D94" i="1"/>
  <c r="I101" i="1"/>
  <c r="R26" i="1"/>
  <c r="G33" i="4"/>
  <c r="G29" i="4"/>
  <c r="C161" i="4"/>
  <c r="H129" i="4"/>
  <c r="I129" i="4" s="1"/>
  <c r="C159" i="4"/>
  <c r="H127" i="4"/>
  <c r="I127" i="4" s="1"/>
  <c r="C157" i="4"/>
  <c r="H125" i="4"/>
  <c r="I125" i="4" s="1"/>
  <c r="C155" i="4"/>
  <c r="H123" i="4"/>
  <c r="I123" i="4" s="1"/>
  <c r="C153" i="4"/>
  <c r="H121" i="4"/>
  <c r="C151" i="4"/>
  <c r="H119" i="4"/>
  <c r="C149" i="4"/>
  <c r="H117" i="4"/>
  <c r="C147" i="4"/>
  <c r="H115" i="4"/>
  <c r="C145" i="4"/>
  <c r="H113" i="4"/>
  <c r="C143" i="4"/>
  <c r="H111" i="4"/>
  <c r="C141" i="4"/>
  <c r="H109" i="4"/>
  <c r="C139" i="4"/>
  <c r="H107" i="4"/>
  <c r="C137" i="4"/>
  <c r="H105" i="4"/>
  <c r="C135" i="4"/>
  <c r="H103" i="4"/>
  <c r="C133" i="4"/>
  <c r="H101" i="4"/>
  <c r="C131" i="4"/>
  <c r="H99" i="4"/>
  <c r="G42" i="4"/>
  <c r="G40" i="4"/>
  <c r="G38" i="4"/>
  <c r="G36" i="4"/>
  <c r="G31" i="4"/>
  <c r="G27" i="4"/>
  <c r="C162" i="4"/>
  <c r="H130" i="4"/>
  <c r="I130" i="4" s="1"/>
  <c r="C160" i="4"/>
  <c r="H128" i="4"/>
  <c r="I128" i="4" s="1"/>
  <c r="C158" i="4"/>
  <c r="H126" i="4"/>
  <c r="I126" i="4" s="1"/>
  <c r="C156" i="4"/>
  <c r="H124" i="4"/>
  <c r="I124" i="4" s="1"/>
  <c r="C154" i="4"/>
  <c r="H122" i="4"/>
  <c r="C152" i="4"/>
  <c r="H120" i="4"/>
  <c r="C150" i="4"/>
  <c r="H118" i="4"/>
  <c r="C148" i="4"/>
  <c r="H116" i="4"/>
  <c r="C146" i="4"/>
  <c r="H114" i="4"/>
  <c r="C144" i="4"/>
  <c r="H112" i="4"/>
  <c r="C142" i="4"/>
  <c r="H110" i="4"/>
  <c r="C140" i="4"/>
  <c r="H108" i="4"/>
  <c r="C138" i="4"/>
  <c r="H106" i="4"/>
  <c r="C136" i="4"/>
  <c r="H104" i="4"/>
  <c r="C134" i="4"/>
  <c r="H102" i="4"/>
  <c r="C132" i="4"/>
  <c r="H100" i="4"/>
  <c r="I103" i="1"/>
  <c r="I102" i="1"/>
  <c r="I100" i="1"/>
  <c r="I99" i="1"/>
  <c r="I98" i="1"/>
  <c r="I97" i="1"/>
  <c r="I96" i="1"/>
  <c r="I95" i="1"/>
  <c r="I94" i="1"/>
  <c r="G19" i="3"/>
  <c r="G21" i="3"/>
  <c r="G23" i="3"/>
  <c r="G25" i="3"/>
  <c r="G20" i="3"/>
  <c r="G22" i="3"/>
  <c r="G24" i="3"/>
  <c r="G26" i="3"/>
  <c r="D29" i="1"/>
  <c r="J29" i="1"/>
  <c r="M29" i="1" s="1"/>
  <c r="M17" i="1"/>
  <c r="K18" i="1"/>
  <c r="M19" i="1"/>
  <c r="K20" i="1"/>
  <c r="M16" i="1"/>
  <c r="F17" i="1"/>
  <c r="F29" i="1" s="1"/>
  <c r="M18" i="1"/>
  <c r="Q34" i="1"/>
  <c r="M28" i="1"/>
  <c r="K28" i="1"/>
  <c r="L22" i="1"/>
  <c r="G27" i="1"/>
  <c r="J27" i="1"/>
  <c r="C28" i="1"/>
  <c r="E28" i="1"/>
  <c r="L16" i="1"/>
  <c r="K21" i="1"/>
  <c r="K22" i="1"/>
  <c r="F28" i="1"/>
  <c r="I28" i="1"/>
  <c r="L28" i="1" s="1"/>
  <c r="N5" i="3"/>
  <c r="U10" i="3"/>
  <c r="U9" i="3"/>
  <c r="U5" i="3"/>
  <c r="U4" i="3"/>
  <c r="N4" i="3"/>
  <c r="N3" i="3"/>
  <c r="N8" i="3"/>
  <c r="U8" i="3"/>
  <c r="U3" i="3"/>
  <c r="N6" i="3"/>
  <c r="N10" i="3"/>
  <c r="N9" i="3"/>
  <c r="U6" i="3"/>
  <c r="U7" i="3"/>
  <c r="Z3" i="3"/>
  <c r="N7" i="3"/>
  <c r="C130" i="3" l="1"/>
  <c r="H98" i="3"/>
  <c r="I98" i="3" s="1"/>
  <c r="C122" i="3"/>
  <c r="H90" i="3"/>
  <c r="C114" i="3"/>
  <c r="H82" i="3"/>
  <c r="C106" i="3"/>
  <c r="H74" i="3"/>
  <c r="C129" i="3"/>
  <c r="H97" i="3"/>
  <c r="I97" i="3" s="1"/>
  <c r="C121" i="3"/>
  <c r="H89" i="3"/>
  <c r="C113" i="3"/>
  <c r="H81" i="3"/>
  <c r="C105" i="3"/>
  <c r="H73" i="3"/>
  <c r="C154" i="1"/>
  <c r="C123" i="3"/>
  <c r="H91" i="3"/>
  <c r="I91" i="3" s="1"/>
  <c r="C115" i="3"/>
  <c r="H83" i="3"/>
  <c r="C107" i="3"/>
  <c r="H75" i="3"/>
  <c r="C99" i="3"/>
  <c r="H67" i="3"/>
  <c r="C124" i="3"/>
  <c r="H92" i="3"/>
  <c r="I92" i="3" s="1"/>
  <c r="C116" i="3"/>
  <c r="H84" i="3"/>
  <c r="C108" i="3"/>
  <c r="H76" i="3"/>
  <c r="C100" i="3"/>
  <c r="H68" i="3"/>
  <c r="C126" i="3"/>
  <c r="H94" i="3"/>
  <c r="I94" i="3" s="1"/>
  <c r="C118" i="3"/>
  <c r="H86" i="3"/>
  <c r="C110" i="3"/>
  <c r="H78" i="3"/>
  <c r="C102" i="3"/>
  <c r="H70" i="3"/>
  <c r="C125" i="3"/>
  <c r="H93" i="3"/>
  <c r="I93" i="3" s="1"/>
  <c r="C117" i="3"/>
  <c r="H85" i="3"/>
  <c r="C109" i="3"/>
  <c r="H77" i="3"/>
  <c r="C101" i="3"/>
  <c r="H69" i="3"/>
  <c r="K121" i="1"/>
  <c r="C127" i="3"/>
  <c r="H95" i="3"/>
  <c r="I95" i="3" s="1"/>
  <c r="C119" i="3"/>
  <c r="H87" i="3"/>
  <c r="C111" i="3"/>
  <c r="H79" i="3"/>
  <c r="C103" i="3"/>
  <c r="H71" i="3"/>
  <c r="C128" i="3"/>
  <c r="H96" i="3"/>
  <c r="I96" i="3" s="1"/>
  <c r="C120" i="3"/>
  <c r="H88" i="3"/>
  <c r="C112" i="3"/>
  <c r="H80" i="3"/>
  <c r="C104" i="3"/>
  <c r="H72" i="3"/>
  <c r="H101" i="1"/>
  <c r="H103" i="1"/>
  <c r="H102" i="1"/>
  <c r="C164" i="4"/>
  <c r="H132" i="4"/>
  <c r="C166" i="4"/>
  <c r="H134" i="4"/>
  <c r="C168" i="4"/>
  <c r="H136" i="4"/>
  <c r="C170" i="4"/>
  <c r="H138" i="4"/>
  <c r="C172" i="4"/>
  <c r="H140" i="4"/>
  <c r="C174" i="4"/>
  <c r="H142" i="4"/>
  <c r="C176" i="4"/>
  <c r="H144" i="4"/>
  <c r="C178" i="4"/>
  <c r="H146" i="4"/>
  <c r="C180" i="4"/>
  <c r="H148" i="4"/>
  <c r="C182" i="4"/>
  <c r="H150" i="4"/>
  <c r="C184" i="4"/>
  <c r="H152" i="4"/>
  <c r="C186" i="4"/>
  <c r="H154" i="4"/>
  <c r="C188" i="4"/>
  <c r="H156" i="4"/>
  <c r="I156" i="4" s="1"/>
  <c r="C190" i="4"/>
  <c r="H158" i="4"/>
  <c r="I158" i="4" s="1"/>
  <c r="C192" i="4"/>
  <c r="H160" i="4"/>
  <c r="I160" i="4" s="1"/>
  <c r="C194" i="4"/>
  <c r="H162" i="4"/>
  <c r="I162" i="4" s="1"/>
  <c r="G44" i="4"/>
  <c r="G46" i="4"/>
  <c r="G48" i="4"/>
  <c r="G50" i="4"/>
  <c r="C163" i="4"/>
  <c r="H131" i="4"/>
  <c r="C165" i="4"/>
  <c r="H133" i="4"/>
  <c r="C167" i="4"/>
  <c r="H135" i="4"/>
  <c r="C169" i="4"/>
  <c r="H137" i="4"/>
  <c r="C171" i="4"/>
  <c r="H139" i="4"/>
  <c r="C173" i="4"/>
  <c r="H141" i="4"/>
  <c r="C175" i="4"/>
  <c r="H143" i="4"/>
  <c r="C177" i="4"/>
  <c r="H145" i="4"/>
  <c r="C179" i="4"/>
  <c r="H147" i="4"/>
  <c r="C181" i="4"/>
  <c r="H149" i="4"/>
  <c r="C183" i="4"/>
  <c r="H151" i="4"/>
  <c r="C185" i="4"/>
  <c r="H153" i="4"/>
  <c r="C187" i="4"/>
  <c r="H155" i="4"/>
  <c r="I155" i="4" s="1"/>
  <c r="C189" i="4"/>
  <c r="H157" i="4"/>
  <c r="I157" i="4" s="1"/>
  <c r="C191" i="4"/>
  <c r="H159" i="4"/>
  <c r="I159" i="4" s="1"/>
  <c r="C193" i="4"/>
  <c r="H161" i="4"/>
  <c r="I161" i="4" s="1"/>
  <c r="G35" i="4"/>
  <c r="G39" i="4"/>
  <c r="G37" i="4"/>
  <c r="G41" i="4"/>
  <c r="G34" i="3"/>
  <c r="G32" i="3"/>
  <c r="G30" i="3"/>
  <c r="G28" i="3"/>
  <c r="G33" i="3"/>
  <c r="G31" i="3"/>
  <c r="G29" i="3"/>
  <c r="G27" i="3"/>
  <c r="K29" i="1"/>
  <c r="M27" i="1"/>
  <c r="K27" i="1"/>
  <c r="U23" i="3"/>
  <c r="N23" i="3"/>
  <c r="U21" i="3"/>
  <c r="N24" i="3"/>
  <c r="U24" i="3"/>
  <c r="K24" i="3"/>
  <c r="U19" i="3"/>
  <c r="N25" i="3"/>
  <c r="U22" i="3"/>
  <c r="N20" i="3"/>
  <c r="N26" i="3"/>
  <c r="N21" i="3"/>
  <c r="U20" i="3"/>
  <c r="U26" i="3"/>
  <c r="N22" i="3"/>
  <c r="N19" i="3"/>
  <c r="U25" i="3"/>
  <c r="C133" i="3" l="1"/>
  <c r="H101" i="3"/>
  <c r="C149" i="3"/>
  <c r="H117" i="3"/>
  <c r="C134" i="3"/>
  <c r="H102" i="3"/>
  <c r="C150" i="3"/>
  <c r="H118" i="3"/>
  <c r="C140" i="3"/>
  <c r="H108" i="3"/>
  <c r="C156" i="3"/>
  <c r="H124" i="3"/>
  <c r="I124" i="3" s="1"/>
  <c r="C139" i="3"/>
  <c r="H107" i="3"/>
  <c r="C155" i="3"/>
  <c r="H123" i="3"/>
  <c r="I123" i="3" s="1"/>
  <c r="C145" i="3"/>
  <c r="H113" i="3"/>
  <c r="C161" i="3"/>
  <c r="H129" i="3"/>
  <c r="I129" i="3" s="1"/>
  <c r="C146" i="3"/>
  <c r="H114" i="3"/>
  <c r="C162" i="3"/>
  <c r="H130" i="3"/>
  <c r="I130" i="3" s="1"/>
  <c r="C136" i="3"/>
  <c r="H104" i="3"/>
  <c r="C152" i="3"/>
  <c r="H120" i="3"/>
  <c r="C135" i="3"/>
  <c r="H103" i="3"/>
  <c r="C151" i="3"/>
  <c r="H119" i="3"/>
  <c r="C141" i="3"/>
  <c r="H109" i="3"/>
  <c r="C157" i="3"/>
  <c r="H125" i="3"/>
  <c r="I125" i="3" s="1"/>
  <c r="C142" i="3"/>
  <c r="H110" i="3"/>
  <c r="C158" i="3"/>
  <c r="H126" i="3"/>
  <c r="I126" i="3" s="1"/>
  <c r="C132" i="3"/>
  <c r="H100" i="3"/>
  <c r="C148" i="3"/>
  <c r="H116" i="3"/>
  <c r="C131" i="3"/>
  <c r="H99" i="3"/>
  <c r="C147" i="3"/>
  <c r="H115" i="3"/>
  <c r="C137" i="3"/>
  <c r="H105" i="3"/>
  <c r="C153" i="3"/>
  <c r="H121" i="3"/>
  <c r="C138" i="3"/>
  <c r="H106" i="3"/>
  <c r="C154" i="3"/>
  <c r="H122" i="3"/>
  <c r="C144" i="3"/>
  <c r="H112" i="3"/>
  <c r="C160" i="3"/>
  <c r="H128" i="3"/>
  <c r="I128" i="3" s="1"/>
  <c r="C143" i="3"/>
  <c r="H111" i="3"/>
  <c r="C159" i="3"/>
  <c r="H127" i="3"/>
  <c r="I127" i="3" s="1"/>
  <c r="G49" i="4"/>
  <c r="G45" i="4"/>
  <c r="G47" i="4"/>
  <c r="G43" i="4"/>
  <c r="C225" i="4"/>
  <c r="H193" i="4"/>
  <c r="I193" i="4" s="1"/>
  <c r="C223" i="4"/>
  <c r="H191" i="4"/>
  <c r="I191" i="4" s="1"/>
  <c r="C221" i="4"/>
  <c r="H189" i="4"/>
  <c r="I189" i="4" s="1"/>
  <c r="C219" i="4"/>
  <c r="H187" i="4"/>
  <c r="I187" i="4" s="1"/>
  <c r="C217" i="4"/>
  <c r="H185" i="4"/>
  <c r="C215" i="4"/>
  <c r="H183" i="4"/>
  <c r="C213" i="4"/>
  <c r="H181" i="4"/>
  <c r="C211" i="4"/>
  <c r="H179" i="4"/>
  <c r="C209" i="4"/>
  <c r="H177" i="4"/>
  <c r="C207" i="4"/>
  <c r="H175" i="4"/>
  <c r="C205" i="4"/>
  <c r="H173" i="4"/>
  <c r="C203" i="4"/>
  <c r="H171" i="4"/>
  <c r="C201" i="4"/>
  <c r="H169" i="4"/>
  <c r="C199" i="4"/>
  <c r="H167" i="4"/>
  <c r="C197" i="4"/>
  <c r="H165" i="4"/>
  <c r="C195" i="4"/>
  <c r="H163" i="4"/>
  <c r="G58" i="4"/>
  <c r="G56" i="4"/>
  <c r="G54" i="4"/>
  <c r="G52" i="4"/>
  <c r="C226" i="4"/>
  <c r="H194" i="4"/>
  <c r="I194" i="4" s="1"/>
  <c r="C224" i="4"/>
  <c r="H192" i="4"/>
  <c r="I192" i="4" s="1"/>
  <c r="C222" i="4"/>
  <c r="H190" i="4"/>
  <c r="I190" i="4" s="1"/>
  <c r="C220" i="4"/>
  <c r="H188" i="4"/>
  <c r="I188" i="4" s="1"/>
  <c r="C218" i="4"/>
  <c r="H186" i="4"/>
  <c r="C216" i="4"/>
  <c r="H184" i="4"/>
  <c r="C214" i="4"/>
  <c r="H182" i="4"/>
  <c r="C212" i="4"/>
  <c r="H180" i="4"/>
  <c r="C210" i="4"/>
  <c r="H178" i="4"/>
  <c r="C208" i="4"/>
  <c r="H176" i="4"/>
  <c r="C206" i="4"/>
  <c r="H174" i="4"/>
  <c r="C204" i="4"/>
  <c r="H172" i="4"/>
  <c r="C202" i="4"/>
  <c r="H170" i="4"/>
  <c r="C200" i="4"/>
  <c r="H168" i="4"/>
  <c r="C198" i="4"/>
  <c r="H166" i="4"/>
  <c r="C196" i="4"/>
  <c r="H164" i="4"/>
  <c r="G35" i="3"/>
  <c r="G37" i="3"/>
  <c r="G39" i="3"/>
  <c r="G41" i="3"/>
  <c r="G36" i="3"/>
  <c r="G38" i="3"/>
  <c r="G40" i="3"/>
  <c r="G42" i="3"/>
  <c r="C191" i="3" l="1"/>
  <c r="H159" i="3"/>
  <c r="I159" i="3" s="1"/>
  <c r="C192" i="3"/>
  <c r="H160" i="3"/>
  <c r="I160" i="3" s="1"/>
  <c r="C186" i="3"/>
  <c r="H154" i="3"/>
  <c r="C185" i="3"/>
  <c r="H153" i="3"/>
  <c r="C179" i="3"/>
  <c r="H147" i="3"/>
  <c r="C180" i="3"/>
  <c r="H148" i="3"/>
  <c r="C190" i="3"/>
  <c r="H158" i="3"/>
  <c r="I158" i="3" s="1"/>
  <c r="C189" i="3"/>
  <c r="H157" i="3"/>
  <c r="I157" i="3" s="1"/>
  <c r="C183" i="3"/>
  <c r="H151" i="3"/>
  <c r="C184" i="3"/>
  <c r="H152" i="3"/>
  <c r="C178" i="3"/>
  <c r="H146" i="3"/>
  <c r="C177" i="3"/>
  <c r="H145" i="3"/>
  <c r="C171" i="3"/>
  <c r="H139" i="3"/>
  <c r="C172" i="3"/>
  <c r="H140" i="3"/>
  <c r="C166" i="3"/>
  <c r="H134" i="3"/>
  <c r="C165" i="3"/>
  <c r="H133" i="3"/>
  <c r="C175" i="3"/>
  <c r="H143" i="3"/>
  <c r="C176" i="3"/>
  <c r="H144" i="3"/>
  <c r="C170" i="3"/>
  <c r="H138" i="3"/>
  <c r="C169" i="3"/>
  <c r="H137" i="3"/>
  <c r="C163" i="3"/>
  <c r="H131" i="3"/>
  <c r="C164" i="3"/>
  <c r="H132" i="3"/>
  <c r="C174" i="3"/>
  <c r="H142" i="3"/>
  <c r="C173" i="3"/>
  <c r="H141" i="3"/>
  <c r="C167" i="3"/>
  <c r="H135" i="3"/>
  <c r="C168" i="3"/>
  <c r="H136" i="3"/>
  <c r="C194" i="3"/>
  <c r="H162" i="3"/>
  <c r="I162" i="3" s="1"/>
  <c r="C193" i="3"/>
  <c r="H161" i="3"/>
  <c r="I161" i="3" s="1"/>
  <c r="C187" i="3"/>
  <c r="H155" i="3"/>
  <c r="I155" i="3" s="1"/>
  <c r="C188" i="3"/>
  <c r="H156" i="3"/>
  <c r="I156" i="3" s="1"/>
  <c r="C182" i="3"/>
  <c r="H150" i="3"/>
  <c r="C181" i="3"/>
  <c r="H149" i="3"/>
  <c r="C228" i="4"/>
  <c r="H196" i="4"/>
  <c r="C230" i="4"/>
  <c r="H198" i="4"/>
  <c r="C232" i="4"/>
  <c r="H200" i="4"/>
  <c r="C234" i="4"/>
  <c r="H202" i="4"/>
  <c r="C236" i="4"/>
  <c r="H204" i="4"/>
  <c r="C238" i="4"/>
  <c r="H206" i="4"/>
  <c r="C240" i="4"/>
  <c r="H208" i="4"/>
  <c r="C242" i="4"/>
  <c r="H210" i="4"/>
  <c r="C244" i="4"/>
  <c r="H212" i="4"/>
  <c r="C246" i="4"/>
  <c r="H214" i="4"/>
  <c r="C248" i="4"/>
  <c r="H216" i="4"/>
  <c r="C250" i="4"/>
  <c r="H218" i="4"/>
  <c r="C252" i="4"/>
  <c r="H220" i="4"/>
  <c r="I220" i="4" s="1"/>
  <c r="C254" i="4"/>
  <c r="H222" i="4"/>
  <c r="I222" i="4" s="1"/>
  <c r="C256" i="4"/>
  <c r="H224" i="4"/>
  <c r="I224" i="4" s="1"/>
  <c r="C258" i="4"/>
  <c r="H226" i="4"/>
  <c r="I226" i="4" s="1"/>
  <c r="G60" i="4"/>
  <c r="G62" i="4"/>
  <c r="G64" i="4"/>
  <c r="G66" i="4"/>
  <c r="C227" i="4"/>
  <c r="H195" i="4"/>
  <c r="C229" i="4"/>
  <c r="H197" i="4"/>
  <c r="C231" i="4"/>
  <c r="H199" i="4"/>
  <c r="C233" i="4"/>
  <c r="H201" i="4"/>
  <c r="C235" i="4"/>
  <c r="H203" i="4"/>
  <c r="C237" i="4"/>
  <c r="H205" i="4"/>
  <c r="C239" i="4"/>
  <c r="H207" i="4"/>
  <c r="C241" i="4"/>
  <c r="H209" i="4"/>
  <c r="C243" i="4"/>
  <c r="H211" i="4"/>
  <c r="C245" i="4"/>
  <c r="H213" i="4"/>
  <c r="C247" i="4"/>
  <c r="H215" i="4"/>
  <c r="C249" i="4"/>
  <c r="H217" i="4"/>
  <c r="C251" i="4"/>
  <c r="H219" i="4"/>
  <c r="I219" i="4" s="1"/>
  <c r="C253" i="4"/>
  <c r="H221" i="4"/>
  <c r="I221" i="4" s="1"/>
  <c r="C255" i="4"/>
  <c r="H223" i="4"/>
  <c r="I223" i="4" s="1"/>
  <c r="C257" i="4"/>
  <c r="H225" i="4"/>
  <c r="I225" i="4" s="1"/>
  <c r="G51" i="4"/>
  <c r="G55" i="4"/>
  <c r="G53" i="4"/>
  <c r="G57" i="4"/>
  <c r="G50" i="3"/>
  <c r="G48" i="3"/>
  <c r="G46" i="3"/>
  <c r="G44" i="3"/>
  <c r="G49" i="3"/>
  <c r="G47" i="3"/>
  <c r="G45" i="3"/>
  <c r="G43" i="3"/>
  <c r="R44" i="4" l="1"/>
  <c r="T44" i="4"/>
  <c r="R46" i="4"/>
  <c r="T46" i="4"/>
  <c r="T54" i="4"/>
  <c r="R54" i="4"/>
  <c r="S3" i="4"/>
  <c r="T36" i="4"/>
  <c r="R36" i="4"/>
  <c r="T17" i="4"/>
  <c r="R17" i="4"/>
  <c r="R20" i="4"/>
  <c r="T20" i="4"/>
  <c r="S17" i="4"/>
  <c r="T14" i="4"/>
  <c r="R14" i="4"/>
  <c r="S9" i="4"/>
  <c r="S23" i="4"/>
  <c r="S5" i="4"/>
  <c r="S16" i="4"/>
  <c r="S12" i="4"/>
  <c r="S22" i="4"/>
  <c r="T13" i="4"/>
  <c r="R13" i="4"/>
  <c r="S41" i="4"/>
  <c r="S19" i="4"/>
  <c r="S15" i="4"/>
  <c r="S4" i="4"/>
  <c r="R7" i="4"/>
  <c r="T7" i="4"/>
  <c r="R58" i="4"/>
  <c r="T58" i="4"/>
  <c r="S7" i="4"/>
  <c r="S37" i="4"/>
  <c r="S6" i="4"/>
  <c r="R37" i="4"/>
  <c r="T37" i="4"/>
  <c r="S11" i="4"/>
  <c r="S32" i="4"/>
  <c r="S56" i="4"/>
  <c r="R41" i="4"/>
  <c r="T41" i="4"/>
  <c r="T31" i="4"/>
  <c r="R31" i="4"/>
  <c r="S18" i="4"/>
  <c r="S43" i="4"/>
  <c r="S38" i="4"/>
  <c r="T16" i="4"/>
  <c r="R16" i="4"/>
  <c r="S20" i="4"/>
  <c r="T49" i="4"/>
  <c r="R49" i="4"/>
  <c r="S21" i="4"/>
  <c r="R29" i="4"/>
  <c r="T29" i="4"/>
  <c r="R50" i="4"/>
  <c r="T50" i="4"/>
  <c r="S33" i="4"/>
  <c r="S31" i="4"/>
  <c r="S8" i="4"/>
  <c r="S24" i="4"/>
  <c r="R45" i="4"/>
  <c r="T45" i="4"/>
  <c r="S50" i="4"/>
  <c r="S25" i="4"/>
  <c r="T33" i="4"/>
  <c r="R33" i="4"/>
  <c r="T40" i="4"/>
  <c r="R40" i="4"/>
  <c r="R25" i="4"/>
  <c r="T25" i="4"/>
  <c r="S49" i="4"/>
  <c r="T15" i="4"/>
  <c r="R15" i="4"/>
  <c r="S52" i="4"/>
  <c r="T34" i="4"/>
  <c r="R34" i="4"/>
  <c r="S54" i="4"/>
  <c r="S42" i="4"/>
  <c r="R11" i="4"/>
  <c r="T11" i="4"/>
  <c r="R24" i="4"/>
  <c r="T24" i="4"/>
  <c r="R23" i="4"/>
  <c r="T23" i="4"/>
  <c r="R35" i="4"/>
  <c r="T35" i="4"/>
  <c r="S30" i="4"/>
  <c r="S58" i="4"/>
  <c r="S29" i="4"/>
  <c r="T38" i="4"/>
  <c r="R38" i="4"/>
  <c r="T56" i="4"/>
  <c r="R56" i="4"/>
  <c r="S28" i="4"/>
  <c r="T48" i="4"/>
  <c r="R48" i="4"/>
  <c r="S46" i="4"/>
  <c r="R4" i="4"/>
  <c r="T4" i="4"/>
  <c r="S39" i="4"/>
  <c r="S36" i="4"/>
  <c r="S40" i="4"/>
  <c r="R5" i="4"/>
  <c r="T5" i="4"/>
  <c r="T30" i="4"/>
  <c r="R30" i="4"/>
  <c r="T18" i="4"/>
  <c r="R18" i="4"/>
  <c r="T3" i="4"/>
  <c r="R3" i="4"/>
  <c r="T12" i="4"/>
  <c r="R12" i="4"/>
  <c r="R21" i="4"/>
  <c r="T21" i="4"/>
  <c r="S27" i="4"/>
  <c r="S13" i="4"/>
  <c r="R9" i="4"/>
  <c r="T9" i="4"/>
  <c r="T52" i="4"/>
  <c r="R52" i="4"/>
  <c r="S10" i="4"/>
  <c r="S45" i="4"/>
  <c r="T26" i="4"/>
  <c r="R26" i="4"/>
  <c r="R42" i="4"/>
  <c r="T42" i="4"/>
  <c r="S14" i="4"/>
  <c r="S34" i="4"/>
  <c r="S26" i="4"/>
  <c r="R6" i="4"/>
  <c r="T6" i="4"/>
  <c r="S44" i="4"/>
  <c r="T43" i="4"/>
  <c r="R43" i="4"/>
  <c r="S47" i="4"/>
  <c r="R22" i="4"/>
  <c r="T22" i="4"/>
  <c r="R27" i="4"/>
  <c r="T27" i="4"/>
  <c r="S35" i="4"/>
  <c r="R8" i="4"/>
  <c r="T8" i="4"/>
  <c r="R39" i="4"/>
  <c r="T39" i="4"/>
  <c r="T47" i="4"/>
  <c r="R47" i="4"/>
  <c r="S48" i="4"/>
  <c r="T28" i="4"/>
  <c r="R28" i="4"/>
  <c r="R10" i="4"/>
  <c r="T10" i="4"/>
  <c r="T19" i="4"/>
  <c r="R19" i="4"/>
  <c r="T32" i="4"/>
  <c r="R32" i="4"/>
  <c r="C213" i="3"/>
  <c r="H181" i="3"/>
  <c r="C220" i="3"/>
  <c r="H188" i="3"/>
  <c r="I188" i="3" s="1"/>
  <c r="C225" i="3"/>
  <c r="H193" i="3"/>
  <c r="I193" i="3" s="1"/>
  <c r="C200" i="3"/>
  <c r="H168" i="3"/>
  <c r="C205" i="3"/>
  <c r="H173" i="3"/>
  <c r="C196" i="3"/>
  <c r="H164" i="3"/>
  <c r="C201" i="3"/>
  <c r="H169" i="3"/>
  <c r="C208" i="3"/>
  <c r="H176" i="3"/>
  <c r="C197" i="3"/>
  <c r="H165" i="3"/>
  <c r="C204" i="3"/>
  <c r="H172" i="3"/>
  <c r="C209" i="3"/>
  <c r="H177" i="3"/>
  <c r="C216" i="3"/>
  <c r="H184" i="3"/>
  <c r="C221" i="3"/>
  <c r="H189" i="3"/>
  <c r="I189" i="3" s="1"/>
  <c r="C212" i="3"/>
  <c r="H180" i="3"/>
  <c r="C217" i="3"/>
  <c r="H185" i="3"/>
  <c r="C224" i="3"/>
  <c r="H192" i="3"/>
  <c r="I192" i="3" s="1"/>
  <c r="C214" i="3"/>
  <c r="H182" i="3"/>
  <c r="C219" i="3"/>
  <c r="H187" i="3"/>
  <c r="I187" i="3" s="1"/>
  <c r="C226" i="3"/>
  <c r="H194" i="3"/>
  <c r="I194" i="3" s="1"/>
  <c r="C199" i="3"/>
  <c r="H167" i="3"/>
  <c r="C206" i="3"/>
  <c r="H174" i="3"/>
  <c r="C195" i="3"/>
  <c r="H163" i="3"/>
  <c r="C202" i="3"/>
  <c r="H170" i="3"/>
  <c r="C207" i="3"/>
  <c r="H175" i="3"/>
  <c r="C198" i="3"/>
  <c r="H166" i="3"/>
  <c r="C203" i="3"/>
  <c r="H171" i="3"/>
  <c r="C210" i="3"/>
  <c r="H178" i="3"/>
  <c r="C215" i="3"/>
  <c r="H183" i="3"/>
  <c r="C222" i="3"/>
  <c r="H190" i="3"/>
  <c r="I190" i="3" s="1"/>
  <c r="C211" i="3"/>
  <c r="H179" i="3"/>
  <c r="C218" i="3"/>
  <c r="H186" i="3"/>
  <c r="C223" i="3"/>
  <c r="H191" i="3"/>
  <c r="I191" i="3" s="1"/>
  <c r="G65" i="4"/>
  <c r="G61" i="4"/>
  <c r="G63" i="4"/>
  <c r="G59" i="4"/>
  <c r="C289" i="4"/>
  <c r="H257" i="4"/>
  <c r="I257" i="4" s="1"/>
  <c r="C287" i="4"/>
  <c r="H255" i="4"/>
  <c r="I255" i="4" s="1"/>
  <c r="C285" i="4"/>
  <c r="H253" i="4"/>
  <c r="I253" i="4" s="1"/>
  <c r="C283" i="4"/>
  <c r="H251" i="4"/>
  <c r="I251" i="4" s="1"/>
  <c r="C281" i="4"/>
  <c r="H249" i="4"/>
  <c r="C279" i="4"/>
  <c r="H247" i="4"/>
  <c r="C277" i="4"/>
  <c r="H245" i="4"/>
  <c r="C275" i="4"/>
  <c r="H243" i="4"/>
  <c r="C273" i="4"/>
  <c r="H241" i="4"/>
  <c r="C271" i="4"/>
  <c r="H239" i="4"/>
  <c r="C269" i="4"/>
  <c r="H237" i="4"/>
  <c r="C267" i="4"/>
  <c r="H235" i="4"/>
  <c r="C265" i="4"/>
  <c r="H233" i="4"/>
  <c r="C263" i="4"/>
  <c r="H231" i="4"/>
  <c r="C261" i="4"/>
  <c r="H229" i="4"/>
  <c r="C259" i="4"/>
  <c r="H227" i="4"/>
  <c r="G74" i="4"/>
  <c r="G72" i="4"/>
  <c r="G70" i="4"/>
  <c r="G68" i="4"/>
  <c r="C290" i="4"/>
  <c r="H258" i="4"/>
  <c r="I258" i="4" s="1"/>
  <c r="C288" i="4"/>
  <c r="H256" i="4"/>
  <c r="I256" i="4" s="1"/>
  <c r="C286" i="4"/>
  <c r="H254" i="4"/>
  <c r="I254" i="4" s="1"/>
  <c r="C284" i="4"/>
  <c r="H252" i="4"/>
  <c r="I252" i="4" s="1"/>
  <c r="C282" i="4"/>
  <c r="H250" i="4"/>
  <c r="C280" i="4"/>
  <c r="H248" i="4"/>
  <c r="C278" i="4"/>
  <c r="H246" i="4"/>
  <c r="C276" i="4"/>
  <c r="H244" i="4"/>
  <c r="C274" i="4"/>
  <c r="H242" i="4"/>
  <c r="C272" i="4"/>
  <c r="H240" i="4"/>
  <c r="C270" i="4"/>
  <c r="H238" i="4"/>
  <c r="C268" i="4"/>
  <c r="H236" i="4"/>
  <c r="C266" i="4"/>
  <c r="H234" i="4"/>
  <c r="C264" i="4"/>
  <c r="H232" i="4"/>
  <c r="C262" i="4"/>
  <c r="H230" i="4"/>
  <c r="C260" i="4"/>
  <c r="H228" i="4"/>
  <c r="G51" i="3"/>
  <c r="G53" i="3"/>
  <c r="G55" i="3"/>
  <c r="G57" i="3"/>
  <c r="G52" i="3"/>
  <c r="G54" i="3"/>
  <c r="G56" i="3"/>
  <c r="G58" i="3"/>
  <c r="U27" i="3"/>
  <c r="U12" i="4"/>
  <c r="AA36" i="3"/>
  <c r="Y24" i="4"/>
  <c r="N29" i="3"/>
  <c r="U30" i="4"/>
  <c r="W16" i="4"/>
  <c r="W8" i="4"/>
  <c r="N33" i="3"/>
  <c r="X16" i="4"/>
  <c r="Z7" i="3"/>
  <c r="Z42" i="4"/>
  <c r="Z26" i="3"/>
  <c r="X34" i="3"/>
  <c r="AA15" i="3"/>
  <c r="N30" i="3"/>
  <c r="U24" i="4"/>
  <c r="Y10" i="3"/>
  <c r="U41" i="4"/>
  <c r="V15" i="3"/>
  <c r="V34" i="3"/>
  <c r="V16" i="4"/>
  <c r="Y52" i="4"/>
  <c r="Y20" i="4"/>
  <c r="X32" i="3"/>
  <c r="AA42" i="4"/>
  <c r="AA42" i="3"/>
  <c r="AA9" i="4"/>
  <c r="V33" i="4"/>
  <c r="Z4" i="4"/>
  <c r="Y50" i="4"/>
  <c r="L31" i="3"/>
  <c r="P28" i="3"/>
  <c r="J36" i="4"/>
  <c r="W4" i="4"/>
  <c r="Y33" i="4"/>
  <c r="L18" i="3"/>
  <c r="L38" i="3"/>
  <c r="J34" i="3"/>
  <c r="Z52" i="4"/>
  <c r="Z11" i="4"/>
  <c r="P26" i="3"/>
  <c r="P4" i="3"/>
  <c r="Z3" i="4"/>
  <c r="J58" i="4"/>
  <c r="K38" i="3"/>
  <c r="L19" i="3"/>
  <c r="Q17" i="3"/>
  <c r="V22" i="3"/>
  <c r="M41" i="3"/>
  <c r="O24" i="3"/>
  <c r="J41" i="3"/>
  <c r="L42" i="3"/>
  <c r="J36" i="3"/>
  <c r="O26" i="3"/>
  <c r="X48" i="4"/>
  <c r="M15" i="3"/>
  <c r="V25" i="4"/>
  <c r="M33" i="3"/>
  <c r="U38" i="3"/>
  <c r="K15" i="3"/>
  <c r="J28" i="4"/>
  <c r="U36" i="3"/>
  <c r="V27" i="3"/>
  <c r="W16" i="3"/>
  <c r="Y33" i="3"/>
  <c r="U34" i="3"/>
  <c r="U33" i="3"/>
  <c r="Z29" i="3"/>
  <c r="N31" i="3"/>
  <c r="X25" i="3"/>
  <c r="Z31" i="4"/>
  <c r="Q12" i="3"/>
  <c r="Q24" i="3"/>
  <c r="L28" i="3"/>
  <c r="O13" i="3"/>
  <c r="K42" i="3"/>
  <c r="P13" i="3"/>
  <c r="Z40" i="3"/>
  <c r="U38" i="4"/>
  <c r="V8" i="3"/>
  <c r="V11" i="4"/>
  <c r="W27" i="3"/>
  <c r="AA12" i="4"/>
  <c r="Z10" i="4"/>
  <c r="W28" i="4"/>
  <c r="Z33" i="3"/>
  <c r="X33" i="4"/>
  <c r="V13" i="3"/>
  <c r="V13" i="4"/>
  <c r="Z17" i="3"/>
  <c r="W38" i="4"/>
  <c r="V16" i="3"/>
  <c r="Y42" i="4"/>
  <c r="Y31" i="3"/>
  <c r="AA12" i="3"/>
  <c r="U43" i="4"/>
  <c r="X17" i="3"/>
  <c r="U49" i="4"/>
  <c r="V22" i="4"/>
  <c r="Z38" i="4"/>
  <c r="AA4" i="3"/>
  <c r="AA40" i="4"/>
  <c r="AA17" i="3"/>
  <c r="W22" i="4"/>
  <c r="Z35" i="3"/>
  <c r="W10" i="4"/>
  <c r="Y22" i="4"/>
  <c r="W31" i="4"/>
  <c r="Y23" i="3"/>
  <c r="P12" i="3"/>
  <c r="M29" i="3"/>
  <c r="AA19" i="3"/>
  <c r="AA17" i="4"/>
  <c r="U19" i="4"/>
  <c r="Z49" i="4"/>
  <c r="J23" i="4"/>
  <c r="O19" i="3"/>
  <c r="AA18" i="4"/>
  <c r="U44" i="4"/>
  <c r="J15" i="4"/>
  <c r="J22" i="4"/>
  <c r="X30" i="3"/>
  <c r="W13" i="4"/>
  <c r="K36" i="3"/>
  <c r="V12" i="3"/>
  <c r="O8" i="3"/>
  <c r="AA32" i="3"/>
  <c r="Y8" i="4"/>
  <c r="AA28" i="3"/>
  <c r="U4" i="4"/>
  <c r="AA16" i="3"/>
  <c r="Y6" i="3"/>
  <c r="X38" i="4"/>
  <c r="AA15" i="4"/>
  <c r="W21" i="3"/>
  <c r="V48" i="4"/>
  <c r="Y28" i="3"/>
  <c r="AA29" i="4"/>
  <c r="X26" i="3"/>
  <c r="U21" i="4"/>
  <c r="W3" i="3"/>
  <c r="Z10" i="3"/>
  <c r="Z21" i="4"/>
  <c r="V37" i="3"/>
  <c r="AA31" i="4"/>
  <c r="W30" i="3"/>
  <c r="U58" i="4"/>
  <c r="Y35" i="3"/>
  <c r="X19" i="3"/>
  <c r="Y19" i="4"/>
  <c r="V4" i="3"/>
  <c r="Z17" i="4"/>
  <c r="W12" i="3"/>
  <c r="AA24" i="3"/>
  <c r="V38" i="3"/>
  <c r="J9" i="4"/>
  <c r="V21" i="4"/>
  <c r="M18" i="3"/>
  <c r="Q11" i="3"/>
  <c r="Z20" i="3"/>
  <c r="V5" i="3"/>
  <c r="Y13" i="4"/>
  <c r="V52" i="4"/>
  <c r="J24" i="3"/>
  <c r="J32" i="4"/>
  <c r="AA24" i="4"/>
  <c r="J3" i="4"/>
  <c r="X25" i="4"/>
  <c r="M35" i="3"/>
  <c r="V58" i="4"/>
  <c r="J27" i="3"/>
  <c r="J15" i="3"/>
  <c r="O11" i="3"/>
  <c r="J39" i="3"/>
  <c r="J47" i="4"/>
  <c r="J16" i="3"/>
  <c r="Q36" i="3"/>
  <c r="K20" i="3"/>
  <c r="L21" i="3"/>
  <c r="J39" i="4"/>
  <c r="K30" i="3"/>
  <c r="K27" i="3"/>
  <c r="M11" i="3"/>
  <c r="M3" i="3"/>
  <c r="M32" i="3"/>
  <c r="N38" i="3"/>
  <c r="Q4" i="3"/>
  <c r="J19" i="3"/>
  <c r="N42" i="3"/>
  <c r="AA5" i="3"/>
  <c r="U40" i="4"/>
  <c r="AA13" i="4"/>
  <c r="W38" i="3"/>
  <c r="X4" i="3"/>
  <c r="X23" i="4"/>
  <c r="AA58" i="4"/>
  <c r="AA49" i="4"/>
  <c r="Y49" i="4"/>
  <c r="K39" i="3"/>
  <c r="M25" i="3"/>
  <c r="L14" i="3"/>
  <c r="W6" i="3"/>
  <c r="V27" i="4"/>
  <c r="W19" i="3"/>
  <c r="Z18" i="4"/>
  <c r="Z16" i="3"/>
  <c r="U15" i="4"/>
  <c r="W31" i="3"/>
  <c r="V5" i="4"/>
  <c r="Y37" i="3"/>
  <c r="Y9" i="4"/>
  <c r="Z22" i="3"/>
  <c r="W43" i="4"/>
  <c r="Y21" i="3"/>
  <c r="V40" i="4"/>
  <c r="X35" i="4"/>
  <c r="X10" i="3"/>
  <c r="Z50" i="4"/>
  <c r="Y26" i="3"/>
  <c r="Y47" i="4"/>
  <c r="V31" i="3"/>
  <c r="X17" i="4"/>
  <c r="Y30" i="4"/>
  <c r="W20" i="3"/>
  <c r="U9" i="4"/>
  <c r="AA35" i="3"/>
  <c r="AA56" i="4"/>
  <c r="W4" i="3"/>
  <c r="U3" i="4"/>
  <c r="U42" i="4"/>
  <c r="Y41" i="3"/>
  <c r="X6" i="4"/>
  <c r="V40" i="3"/>
  <c r="Z43" i="4"/>
  <c r="V18" i="4"/>
  <c r="V18" i="3"/>
  <c r="AA4" i="4"/>
  <c r="J4" i="4"/>
  <c r="X42" i="4"/>
  <c r="V17" i="3"/>
  <c r="W49" i="4"/>
  <c r="K6" i="3"/>
  <c r="J12" i="4"/>
  <c r="J38" i="3"/>
  <c r="P39" i="3"/>
  <c r="K16" i="3"/>
  <c r="O14" i="3"/>
  <c r="L32" i="3"/>
  <c r="Y14" i="3"/>
  <c r="K26" i="3"/>
  <c r="M17" i="3"/>
  <c r="V10" i="4"/>
  <c r="Q22" i="3"/>
  <c r="L3" i="3"/>
  <c r="O34" i="3"/>
  <c r="Q34" i="3"/>
  <c r="P15" i="3"/>
  <c r="O20" i="3"/>
  <c r="P22" i="3"/>
  <c r="J20" i="3"/>
  <c r="U37" i="3"/>
  <c r="O35" i="3"/>
  <c r="J54" i="4"/>
  <c r="U28" i="3"/>
  <c r="N28" i="3"/>
  <c r="AA31" i="3"/>
  <c r="X50" i="4"/>
  <c r="AA7" i="4"/>
  <c r="Y38" i="4"/>
  <c r="V30" i="3"/>
  <c r="AA3" i="4"/>
  <c r="O15" i="3"/>
  <c r="W15" i="4"/>
  <c r="L5" i="3"/>
  <c r="O17" i="3"/>
  <c r="K22" i="3"/>
  <c r="K34" i="3"/>
  <c r="P38" i="3"/>
  <c r="M14" i="3"/>
  <c r="Z32" i="3"/>
  <c r="W21" i="4"/>
  <c r="X14" i="3"/>
  <c r="AA8" i="4"/>
  <c r="V6" i="3"/>
  <c r="V29" i="4"/>
  <c r="U56" i="4"/>
  <c r="V24" i="3"/>
  <c r="U7" i="4"/>
  <c r="Y40" i="3"/>
  <c r="Z33" i="4"/>
  <c r="Z31" i="3"/>
  <c r="AA22" i="3"/>
  <c r="W33" i="4"/>
  <c r="W25" i="4"/>
  <c r="AA6" i="3"/>
  <c r="X8" i="4"/>
  <c r="Y19" i="3"/>
  <c r="Z7" i="4"/>
  <c r="AA20" i="3"/>
  <c r="V30" i="4"/>
  <c r="Y3" i="3"/>
  <c r="Y25" i="3"/>
  <c r="U52" i="4"/>
  <c r="V28" i="3"/>
  <c r="AA25" i="4"/>
  <c r="Z30" i="3"/>
  <c r="AA25" i="3"/>
  <c r="Z8" i="3"/>
  <c r="J35" i="4"/>
  <c r="W45" i="4"/>
  <c r="J46" i="4"/>
  <c r="W34" i="4"/>
  <c r="O25" i="3"/>
  <c r="Y10" i="4"/>
  <c r="V26" i="4"/>
  <c r="X38" i="3"/>
  <c r="AA14" i="4"/>
  <c r="L40" i="3"/>
  <c r="Q33" i="3"/>
  <c r="M34" i="3"/>
  <c r="AA10" i="4"/>
  <c r="P11" i="3"/>
  <c r="Q23" i="3"/>
  <c r="J18" i="4"/>
  <c r="L29" i="3"/>
  <c r="P35" i="3"/>
  <c r="L27" i="3"/>
  <c r="O30" i="3"/>
  <c r="Z27" i="3"/>
  <c r="X29" i="4"/>
  <c r="Y39" i="3"/>
  <c r="Z41" i="4"/>
  <c r="Y15" i="3"/>
  <c r="Y7" i="4"/>
  <c r="U23" i="4"/>
  <c r="Z26" i="4"/>
  <c r="W37" i="3"/>
  <c r="W26" i="4"/>
  <c r="Z41" i="3"/>
  <c r="W46" i="4"/>
  <c r="W27" i="4"/>
  <c r="X34" i="4"/>
  <c r="Y45" i="4"/>
  <c r="Z4" i="3"/>
  <c r="W28" i="3"/>
  <c r="U34" i="4"/>
  <c r="N27" i="3"/>
  <c r="Z9" i="4"/>
  <c r="X27" i="4"/>
  <c r="Y29" i="4"/>
  <c r="W14" i="3"/>
  <c r="X26" i="4"/>
  <c r="V20" i="3"/>
  <c r="Y15" i="4"/>
  <c r="Q5" i="3"/>
  <c r="J34" i="4"/>
  <c r="L22" i="3"/>
  <c r="K28" i="3"/>
  <c r="J7" i="3"/>
  <c r="J20" i="4"/>
  <c r="L4" i="3"/>
  <c r="L7" i="3"/>
  <c r="W7" i="4"/>
  <c r="U27" i="4"/>
  <c r="X15" i="4"/>
  <c r="L12" i="3"/>
  <c r="N39" i="3"/>
  <c r="V24" i="4"/>
  <c r="X56" i="4"/>
  <c r="X44" i="4"/>
  <c r="X15" i="3"/>
  <c r="W24" i="3"/>
  <c r="Y20" i="3"/>
  <c r="J19" i="4"/>
  <c r="Z24" i="3"/>
  <c r="W7" i="3"/>
  <c r="V41" i="3"/>
  <c r="AA23" i="4"/>
  <c r="X10" i="4"/>
  <c r="X21" i="4"/>
  <c r="X58" i="4"/>
  <c r="U31" i="3"/>
  <c r="L15" i="3"/>
  <c r="J48" i="4"/>
  <c r="V50" i="4"/>
  <c r="J31" i="4"/>
  <c r="L33" i="3"/>
  <c r="X11" i="3"/>
  <c r="J9" i="3"/>
  <c r="Q37" i="3"/>
  <c r="J21" i="4"/>
  <c r="J27" i="4"/>
  <c r="O37" i="3"/>
  <c r="O4" i="3"/>
  <c r="M31" i="3"/>
  <c r="J37" i="4"/>
  <c r="J17" i="3"/>
  <c r="L41" i="3"/>
  <c r="K9" i="3"/>
  <c r="O40" i="3"/>
  <c r="U35" i="3"/>
  <c r="AA44" i="4"/>
  <c r="Y29" i="3"/>
  <c r="V11" i="3"/>
  <c r="AA39" i="3"/>
  <c r="W22" i="3"/>
  <c r="V10" i="3"/>
  <c r="W26" i="3"/>
  <c r="X40" i="3"/>
  <c r="V54" i="4"/>
  <c r="M7" i="3"/>
  <c r="P21" i="3"/>
  <c r="J49" i="4"/>
  <c r="J40" i="4"/>
  <c r="Q38" i="3"/>
  <c r="K35" i="3"/>
  <c r="L34" i="3"/>
  <c r="P33" i="3"/>
  <c r="O22" i="3"/>
  <c r="Z14" i="3"/>
  <c r="AA35" i="4"/>
  <c r="W32" i="3"/>
  <c r="AA16" i="4"/>
  <c r="W34" i="3"/>
  <c r="Z48" i="4"/>
  <c r="Z5" i="4"/>
  <c r="V23" i="3"/>
  <c r="U31" i="4"/>
  <c r="AA7" i="3"/>
  <c r="X52" i="4"/>
  <c r="X12" i="3"/>
  <c r="X33" i="3"/>
  <c r="N32" i="3"/>
  <c r="Z23" i="3"/>
  <c r="Z25" i="4"/>
  <c r="AA11" i="3"/>
  <c r="Y28" i="4"/>
  <c r="X16" i="3"/>
  <c r="U25" i="4"/>
  <c r="Y31" i="4"/>
  <c r="Z12" i="4"/>
  <c r="W33" i="3"/>
  <c r="AA45" i="4"/>
  <c r="AA18" i="3"/>
  <c r="Z14" i="4"/>
  <c r="W17" i="3"/>
  <c r="W30" i="4"/>
  <c r="V23" i="4"/>
  <c r="W23" i="4"/>
  <c r="J30" i="4"/>
  <c r="O42" i="3"/>
  <c r="K37" i="3"/>
  <c r="J25" i="3"/>
  <c r="Z15" i="3"/>
  <c r="V28" i="4"/>
  <c r="Z27" i="4"/>
  <c r="AA43" i="4"/>
  <c r="O33" i="3"/>
  <c r="M24" i="3"/>
  <c r="X43" i="4"/>
  <c r="Y46" i="4"/>
  <c r="O12" i="3"/>
  <c r="Q26" i="3"/>
  <c r="J26" i="3"/>
  <c r="O7" i="3"/>
  <c r="J22" i="3"/>
  <c r="O36" i="3"/>
  <c r="Q32" i="3"/>
  <c r="L9" i="3"/>
  <c r="M8" i="3"/>
  <c r="L16" i="3"/>
  <c r="Y27" i="4"/>
  <c r="P20" i="3"/>
  <c r="Q8" i="3"/>
  <c r="W6" i="4"/>
  <c r="K40" i="3"/>
  <c r="J23" i="3"/>
  <c r="L37" i="3"/>
  <c r="Q16" i="3"/>
  <c r="V44" i="4"/>
  <c r="Y43" i="4"/>
  <c r="Z16" i="4"/>
  <c r="P3" i="3"/>
  <c r="M38" i="3"/>
  <c r="AA22" i="4"/>
  <c r="P18" i="3"/>
  <c r="O6" i="3"/>
  <c r="M16" i="3"/>
  <c r="M6" i="3"/>
  <c r="Y23" i="4"/>
  <c r="X31" i="4"/>
  <c r="M5" i="3"/>
  <c r="O9" i="3"/>
  <c r="X8" i="3"/>
  <c r="Y9" i="3"/>
  <c r="V14" i="3"/>
  <c r="Z34" i="3"/>
  <c r="W41" i="3"/>
  <c r="W11" i="4"/>
  <c r="U32" i="4"/>
  <c r="V14" i="4"/>
  <c r="W39" i="4"/>
  <c r="X20" i="4"/>
  <c r="V29" i="3"/>
  <c r="V7" i="3"/>
  <c r="AA30" i="3"/>
  <c r="W29" i="3"/>
  <c r="AA27" i="4"/>
  <c r="Z6" i="4"/>
  <c r="J6" i="3"/>
  <c r="W36" i="4"/>
  <c r="V37" i="4"/>
  <c r="X40" i="4"/>
  <c r="L6" i="3"/>
  <c r="K10" i="3"/>
  <c r="M10" i="3"/>
  <c r="M40" i="3"/>
  <c r="P34" i="3"/>
  <c r="P36" i="3"/>
  <c r="J31" i="3"/>
  <c r="J42" i="4"/>
  <c r="O21" i="3"/>
  <c r="Q42" i="3"/>
  <c r="Q21" i="3"/>
  <c r="M19" i="3"/>
  <c r="P9" i="3"/>
  <c r="AA36" i="4"/>
  <c r="N37" i="3"/>
  <c r="Y22" i="3"/>
  <c r="U48" i="4"/>
  <c r="Z58" i="4"/>
  <c r="AA28" i="4"/>
  <c r="Z45" i="4"/>
  <c r="Z25" i="3"/>
  <c r="V7" i="4"/>
  <c r="X21" i="3"/>
  <c r="M30" i="3"/>
  <c r="AA47" i="4"/>
  <c r="J14" i="3"/>
  <c r="AA34" i="3"/>
  <c r="Q40" i="3"/>
  <c r="W35" i="3"/>
  <c r="Q29" i="3"/>
  <c r="U28" i="4"/>
  <c r="L10" i="3"/>
  <c r="U40" i="3"/>
  <c r="V35" i="3"/>
  <c r="X31" i="3"/>
  <c r="U22" i="4"/>
  <c r="Y36" i="3"/>
  <c r="X32" i="4"/>
  <c r="Z19" i="4"/>
  <c r="Z28" i="4"/>
  <c r="X23" i="3"/>
  <c r="X3" i="3"/>
  <c r="X5" i="3"/>
  <c r="AA32" i="4"/>
  <c r="X7" i="3"/>
  <c r="U10" i="4"/>
  <c r="V31" i="4"/>
  <c r="Y34" i="3"/>
  <c r="Y12" i="4"/>
  <c r="W15" i="3"/>
  <c r="Z8" i="4"/>
  <c r="AA40" i="3"/>
  <c r="X13" i="3"/>
  <c r="Z39" i="3"/>
  <c r="Y37" i="4"/>
  <c r="Z21" i="3"/>
  <c r="U32" i="3"/>
  <c r="AA3" i="3"/>
  <c r="Y17" i="3"/>
  <c r="U11" i="4"/>
  <c r="X19" i="4"/>
  <c r="V41" i="4"/>
  <c r="V56" i="4"/>
  <c r="W24" i="4"/>
  <c r="Q14" i="3"/>
  <c r="P41" i="3"/>
  <c r="W52" i="4"/>
  <c r="U39" i="4"/>
  <c r="Z38" i="3"/>
  <c r="V3" i="4"/>
  <c r="J21" i="3"/>
  <c r="X18" i="3"/>
  <c r="X39" i="3"/>
  <c r="AA37" i="3"/>
  <c r="X9" i="4"/>
  <c r="Y39" i="4"/>
  <c r="X24" i="4"/>
  <c r="W3" i="4"/>
  <c r="P31" i="3"/>
  <c r="K11" i="3"/>
  <c r="Z6" i="3"/>
  <c r="Q7" i="3"/>
  <c r="P10" i="3"/>
  <c r="M23" i="3"/>
  <c r="J33" i="3"/>
  <c r="AA30" i="4"/>
  <c r="Z13" i="4"/>
  <c r="K5" i="3"/>
  <c r="L30" i="3"/>
  <c r="M28" i="3"/>
  <c r="K7" i="3"/>
  <c r="Q28" i="3"/>
  <c r="N36" i="3"/>
  <c r="Z28" i="3"/>
  <c r="M21" i="3"/>
  <c r="V39" i="4"/>
  <c r="AA41" i="4"/>
  <c r="Z34" i="4"/>
  <c r="Y3" i="4"/>
  <c r="Q27" i="3"/>
  <c r="Q39" i="3"/>
  <c r="J32" i="3"/>
  <c r="Z30" i="4"/>
  <c r="AA5" i="4"/>
  <c r="AA41" i="3"/>
  <c r="J12" i="3"/>
  <c r="Q25" i="3"/>
  <c r="X24" i="3"/>
  <c r="AA9" i="3"/>
  <c r="V3" i="3"/>
  <c r="V12" i="4"/>
  <c r="X45" i="4"/>
  <c r="Y56" i="4"/>
  <c r="U46" i="4"/>
  <c r="Z54" i="4"/>
  <c r="Z36" i="4"/>
  <c r="AA26" i="4"/>
  <c r="Y14" i="4"/>
  <c r="AA13" i="3"/>
  <c r="Z37" i="3"/>
  <c r="V36" i="3"/>
  <c r="Z24" i="4"/>
  <c r="Z15" i="4"/>
  <c r="W20" i="4"/>
  <c r="Y42" i="3"/>
  <c r="AA33" i="4"/>
  <c r="V46" i="4"/>
  <c r="U30" i="3"/>
  <c r="U6" i="4"/>
  <c r="J50" i="4"/>
  <c r="O10" i="3"/>
  <c r="O32" i="3"/>
  <c r="O28" i="3"/>
  <c r="J42" i="3"/>
  <c r="J33" i="4"/>
  <c r="Q19" i="3"/>
  <c r="L25" i="3"/>
  <c r="K14" i="3"/>
  <c r="Q41" i="3"/>
  <c r="P6" i="3"/>
  <c r="M26" i="3"/>
  <c r="X6" i="3"/>
  <c r="Y27" i="3"/>
  <c r="AA6" i="4"/>
  <c r="V32" i="3"/>
  <c r="Y21" i="4"/>
  <c r="W5" i="3"/>
  <c r="J6" i="4"/>
  <c r="V9" i="3"/>
  <c r="Z23" i="4"/>
  <c r="V47" i="4"/>
  <c r="W42" i="4"/>
  <c r="J52" i="4"/>
  <c r="X13" i="4"/>
  <c r="W40" i="4"/>
  <c r="O5" i="3"/>
  <c r="J40" i="3"/>
  <c r="L39" i="3"/>
  <c r="K23" i="3"/>
  <c r="W11" i="3"/>
  <c r="AA21" i="4"/>
  <c r="X37" i="3"/>
  <c r="U29" i="4"/>
  <c r="W18" i="3"/>
  <c r="Z11" i="3"/>
  <c r="Y5" i="4"/>
  <c r="X37" i="4"/>
  <c r="X29" i="3"/>
  <c r="V49" i="4"/>
  <c r="AA23" i="3"/>
  <c r="W29" i="4"/>
  <c r="X28" i="3"/>
  <c r="W14" i="4"/>
  <c r="X46" i="4"/>
  <c r="W39" i="3"/>
  <c r="Y35" i="4"/>
  <c r="Z18" i="3"/>
  <c r="V17" i="4"/>
  <c r="W23" i="3"/>
  <c r="AA52" i="4"/>
  <c r="U47" i="4"/>
  <c r="AA27" i="3"/>
  <c r="U54" i="4"/>
  <c r="Y24" i="3"/>
  <c r="Z29" i="4"/>
  <c r="X22" i="3"/>
  <c r="Y18" i="3"/>
  <c r="X22" i="4"/>
  <c r="X18" i="4"/>
  <c r="V34" i="4"/>
  <c r="J16" i="4"/>
  <c r="Z35" i="4"/>
  <c r="J11" i="3"/>
  <c r="J24" i="4"/>
  <c r="W50" i="4"/>
  <c r="Y4" i="4"/>
  <c r="J25" i="4"/>
  <c r="P37" i="3"/>
  <c r="W17" i="4"/>
  <c r="AA11" i="4"/>
  <c r="W19" i="4"/>
  <c r="U8" i="4"/>
  <c r="O18" i="3"/>
  <c r="J13" i="4"/>
  <c r="J10" i="3"/>
  <c r="K17" i="3"/>
  <c r="P30" i="3"/>
  <c r="W12" i="4"/>
  <c r="L24" i="3"/>
  <c r="L17" i="3"/>
  <c r="J38" i="4"/>
  <c r="U37" i="4"/>
  <c r="K25" i="3"/>
  <c r="O31" i="3"/>
  <c r="M37" i="3"/>
  <c r="K4" i="3"/>
  <c r="Q3" i="3"/>
  <c r="P17" i="3"/>
  <c r="K19" i="3"/>
  <c r="N35" i="3"/>
  <c r="AA34" i="4"/>
  <c r="K18" i="3"/>
  <c r="J5" i="3"/>
  <c r="J10" i="4"/>
  <c r="M9" i="3"/>
  <c r="M42" i="3"/>
  <c r="J8" i="3"/>
  <c r="J13" i="3"/>
  <c r="U39" i="3"/>
  <c r="Y6" i="4"/>
  <c r="Y12" i="3"/>
  <c r="Y26" i="4"/>
  <c r="M36" i="3"/>
  <c r="L23" i="3"/>
  <c r="Y16" i="4"/>
  <c r="U14" i="4"/>
  <c r="W48" i="4"/>
  <c r="J14" i="4"/>
  <c r="AA14" i="3"/>
  <c r="W13" i="3"/>
  <c r="V4" i="4"/>
  <c r="Y11" i="3"/>
  <c r="AA26" i="3"/>
  <c r="W25" i="3"/>
  <c r="V39" i="3"/>
  <c r="U17" i="4"/>
  <c r="U36" i="4"/>
  <c r="Y32" i="4"/>
  <c r="W9" i="4"/>
  <c r="J26" i="4"/>
  <c r="L8" i="3"/>
  <c r="V9" i="4"/>
  <c r="Z22" i="4"/>
  <c r="Q15" i="3"/>
  <c r="V6" i="4"/>
  <c r="O27" i="3"/>
  <c r="Q31" i="3"/>
  <c r="J45" i="4"/>
  <c r="J29" i="4"/>
  <c r="O38" i="3"/>
  <c r="X49" i="4"/>
  <c r="O29" i="3"/>
  <c r="Z56" i="4"/>
  <c r="L13" i="3"/>
  <c r="J30" i="3"/>
  <c r="J35" i="3"/>
  <c r="M39" i="3"/>
  <c r="W32" i="4"/>
  <c r="AA33" i="3"/>
  <c r="W18" i="4"/>
  <c r="U16" i="4"/>
  <c r="AA20" i="4"/>
  <c r="Y25" i="4"/>
  <c r="Y40" i="4"/>
  <c r="W5" i="4"/>
  <c r="Z37" i="4"/>
  <c r="Y41" i="4"/>
  <c r="P25" i="3"/>
  <c r="W44" i="4"/>
  <c r="Q35" i="3"/>
  <c r="V38" i="4"/>
  <c r="K33" i="3"/>
  <c r="J37" i="3"/>
  <c r="J43" i="4"/>
  <c r="L36" i="3"/>
  <c r="P40" i="3"/>
  <c r="V19" i="3"/>
  <c r="U45" i="4"/>
  <c r="AA10" i="3"/>
  <c r="X7" i="4"/>
  <c r="W9" i="3"/>
  <c r="W47" i="4"/>
  <c r="V26" i="3"/>
  <c r="Z44" i="4"/>
  <c r="Y38" i="3"/>
  <c r="U29" i="3"/>
  <c r="U50" i="4"/>
  <c r="Y4" i="3"/>
  <c r="V15" i="4"/>
  <c r="W41" i="4"/>
  <c r="Z40" i="4"/>
  <c r="AA29" i="3"/>
  <c r="Y44" i="4"/>
  <c r="Y7" i="3"/>
  <c r="V20" i="4"/>
  <c r="Z36" i="3"/>
  <c r="V8" i="4"/>
  <c r="AA38" i="4"/>
  <c r="Z5" i="3"/>
  <c r="V35" i="4"/>
  <c r="X27" i="3"/>
  <c r="X12" i="4"/>
  <c r="Y32" i="3"/>
  <c r="W35" i="4"/>
  <c r="W8" i="3"/>
  <c r="V25" i="3"/>
  <c r="Y58" i="4"/>
  <c r="M4" i="3"/>
  <c r="Q20" i="3"/>
  <c r="P32" i="3"/>
  <c r="J8" i="4"/>
  <c r="X30" i="4"/>
  <c r="V42" i="4"/>
  <c r="Y8" i="3"/>
  <c r="J56" i="4"/>
  <c r="K13" i="3"/>
  <c r="K21" i="3"/>
  <c r="Y34" i="4"/>
  <c r="J5" i="4"/>
  <c r="Q13" i="3"/>
  <c r="L26" i="3"/>
  <c r="O3" i="3"/>
  <c r="K32" i="3"/>
  <c r="P23" i="3"/>
  <c r="P27" i="3"/>
  <c r="P29" i="3"/>
  <c r="K12" i="3"/>
  <c r="Q18" i="3"/>
  <c r="J41" i="4"/>
  <c r="Q9" i="3"/>
  <c r="M12" i="3"/>
  <c r="P14" i="3"/>
  <c r="P19" i="3"/>
  <c r="Y30" i="3"/>
  <c r="Q30" i="3"/>
  <c r="P5" i="3"/>
  <c r="N41" i="3"/>
  <c r="U41" i="3"/>
  <c r="W42" i="3"/>
  <c r="X41" i="4"/>
  <c r="N34" i="3"/>
  <c r="Z39" i="4"/>
  <c r="X11" i="4"/>
  <c r="Y36" i="4"/>
  <c r="X9" i="3"/>
  <c r="AA48" i="4"/>
  <c r="J29" i="3"/>
  <c r="X54" i="4"/>
  <c r="J17" i="4"/>
  <c r="AA19" i="4"/>
  <c r="P16" i="3"/>
  <c r="K29" i="3"/>
  <c r="X5" i="4"/>
  <c r="U13" i="4"/>
  <c r="U33" i="4"/>
  <c r="Y17" i="4"/>
  <c r="X47" i="4"/>
  <c r="J7" i="4"/>
  <c r="U20" i="4"/>
  <c r="X3" i="4"/>
  <c r="K3" i="3"/>
  <c r="P8" i="3"/>
  <c r="J18" i="3"/>
  <c r="Z9" i="3"/>
  <c r="AA37" i="4"/>
  <c r="X14" i="4"/>
  <c r="Z12" i="3"/>
  <c r="U35" i="4"/>
  <c r="X35" i="3"/>
  <c r="V43" i="4"/>
  <c r="V45" i="4"/>
  <c r="AA46" i="4"/>
  <c r="AA39" i="4"/>
  <c r="Z20" i="4"/>
  <c r="P42" i="3"/>
  <c r="K41" i="3"/>
  <c r="J28" i="3"/>
  <c r="U42" i="3"/>
  <c r="V32" i="4"/>
  <c r="X36" i="3"/>
  <c r="Y5" i="3"/>
  <c r="V19" i="4"/>
  <c r="W40" i="3"/>
  <c r="Y18" i="4"/>
  <c r="L35" i="3"/>
  <c r="O39" i="3"/>
  <c r="M22" i="3"/>
  <c r="M13" i="3"/>
  <c r="Q6" i="3"/>
  <c r="L20" i="3"/>
  <c r="Y16" i="3"/>
  <c r="Y11" i="4"/>
  <c r="W10" i="3"/>
  <c r="W37" i="4"/>
  <c r="W54" i="4"/>
  <c r="U26" i="4"/>
  <c r="V33" i="3"/>
  <c r="Z13" i="3"/>
  <c r="AA54" i="4"/>
  <c r="V42" i="3"/>
  <c r="J44" i="4"/>
  <c r="Q10" i="3"/>
  <c r="P7" i="3"/>
  <c r="K8" i="3"/>
  <c r="W56" i="4"/>
  <c r="Z19" i="3"/>
  <c r="AA38" i="3"/>
  <c r="W58" i="4"/>
  <c r="Z42" i="3"/>
  <c r="Z32" i="4"/>
  <c r="AA50" i="4"/>
  <c r="X36" i="4"/>
  <c r="P24" i="3"/>
  <c r="M20" i="3"/>
  <c r="O41" i="3"/>
  <c r="X4" i="4"/>
  <c r="AA8" i="3"/>
  <c r="U5" i="4"/>
  <c r="X41" i="3"/>
  <c r="X20" i="3"/>
  <c r="Y13" i="3"/>
  <c r="Y48" i="4"/>
  <c r="X39" i="4"/>
  <c r="L11" i="3"/>
  <c r="Z47" i="4"/>
  <c r="Y54" i="4"/>
  <c r="O23" i="3"/>
  <c r="M27" i="3"/>
  <c r="K31" i="3"/>
  <c r="V21" i="3"/>
  <c r="Z46" i="4"/>
  <c r="W36" i="3"/>
  <c r="U18" i="4"/>
  <c r="AA21" i="3"/>
  <c r="X42" i="3"/>
  <c r="V36" i="4"/>
  <c r="X28" i="4"/>
  <c r="J4" i="3"/>
  <c r="O16" i="3"/>
  <c r="J11" i="4"/>
  <c r="N40" i="3"/>
  <c r="M44" i="3"/>
  <c r="O46" i="3"/>
  <c r="Y51" i="4"/>
  <c r="W47" i="3"/>
  <c r="K47" i="3"/>
  <c r="AA60" i="4"/>
  <c r="W46" i="3"/>
  <c r="O49" i="3"/>
  <c r="N44" i="3"/>
  <c r="AA46" i="3"/>
  <c r="U51" i="4"/>
  <c r="AA57" i="4"/>
  <c r="O47" i="3"/>
  <c r="W44" i="3"/>
  <c r="V50" i="3"/>
  <c r="J47" i="3"/>
  <c r="X64" i="4"/>
  <c r="X46" i="3"/>
  <c r="Q44" i="3"/>
  <c r="X48" i="3"/>
  <c r="AA51" i="4"/>
  <c r="X53" i="4"/>
  <c r="AA44" i="3"/>
  <c r="M49" i="3"/>
  <c r="U43" i="3"/>
  <c r="N46" i="3"/>
  <c r="X62" i="4"/>
  <c r="V44" i="3"/>
  <c r="J46" i="3"/>
  <c r="V51" i="4"/>
  <c r="V66" i="4"/>
  <c r="W64" i="4"/>
  <c r="V60" i="4"/>
  <c r="Z66" i="4"/>
  <c r="Y47" i="3"/>
  <c r="U57" i="4"/>
  <c r="U47" i="3"/>
  <c r="W45" i="3"/>
  <c r="L44" i="3"/>
  <c r="N49" i="3"/>
  <c r="Y57" i="4"/>
  <c r="AA50" i="3"/>
  <c r="V49" i="3"/>
  <c r="L46" i="3"/>
  <c r="Z46" i="3"/>
  <c r="W66" i="4"/>
  <c r="X66" i="4"/>
  <c r="W51" i="4"/>
  <c r="V55" i="4"/>
  <c r="N43" i="3"/>
  <c r="X60" i="4"/>
  <c r="AA53" i="4"/>
  <c r="U53" i="4"/>
  <c r="U66" i="4"/>
  <c r="P49" i="3"/>
  <c r="AA49" i="3"/>
  <c r="J66" i="4"/>
  <c r="L47" i="3"/>
  <c r="J50" i="3"/>
  <c r="X44" i="3"/>
  <c r="N50" i="3"/>
  <c r="Y53" i="4"/>
  <c r="L45" i="3"/>
  <c r="J60" i="4"/>
  <c r="Y62" i="4"/>
  <c r="X50" i="3"/>
  <c r="Y66" i="4"/>
  <c r="AA55" i="4"/>
  <c r="M43" i="3"/>
  <c r="AA62" i="4"/>
  <c r="Q47" i="3"/>
  <c r="O50" i="3"/>
  <c r="W53" i="4"/>
  <c r="K44" i="3"/>
  <c r="Y48" i="3"/>
  <c r="J49" i="3"/>
  <c r="U60" i="4"/>
  <c r="M50" i="3"/>
  <c r="Y44" i="3"/>
  <c r="N48" i="3"/>
  <c r="U45" i="3"/>
  <c r="Z53" i="4"/>
  <c r="V57" i="4"/>
  <c r="L48" i="3"/>
  <c r="AA47" i="3"/>
  <c r="Y55" i="4"/>
  <c r="Z55" i="4"/>
  <c r="U62" i="4"/>
  <c r="W49" i="3"/>
  <c r="J48" i="3"/>
  <c r="Z47" i="3"/>
  <c r="P45" i="3"/>
  <c r="W55" i="4"/>
  <c r="X49" i="3"/>
  <c r="Q48" i="3"/>
  <c r="V45" i="3"/>
  <c r="Z51" i="4"/>
  <c r="X55" i="4"/>
  <c r="P47" i="3"/>
  <c r="AA48" i="3"/>
  <c r="J57" i="4"/>
  <c r="M47" i="3"/>
  <c r="V43" i="3"/>
  <c r="Y46" i="3"/>
  <c r="L50" i="3"/>
  <c r="V53" i="4"/>
  <c r="K43" i="3"/>
  <c r="X43" i="3"/>
  <c r="Z60" i="4"/>
  <c r="Y60" i="4"/>
  <c r="P44" i="3"/>
  <c r="U55" i="4"/>
  <c r="O44" i="3"/>
  <c r="Q49" i="3"/>
  <c r="P48" i="3"/>
  <c r="J51" i="4"/>
  <c r="W57" i="4"/>
  <c r="V64" i="4"/>
  <c r="K50" i="3"/>
  <c r="J55" i="4"/>
  <c r="Y50" i="3"/>
  <c r="J44" i="3"/>
  <c r="Q46" i="3"/>
  <c r="V62" i="4"/>
  <c r="O48" i="3"/>
  <c r="O45" i="3"/>
  <c r="Z48" i="3"/>
  <c r="Y45" i="3"/>
  <c r="J43" i="3"/>
  <c r="K49" i="3"/>
  <c r="K45" i="3"/>
  <c r="X51" i="4"/>
  <c r="M46" i="3"/>
  <c r="P46" i="3"/>
  <c r="Z43" i="3"/>
  <c r="Z62" i="4"/>
  <c r="Q50" i="3"/>
  <c r="W62" i="4"/>
  <c r="X45" i="3"/>
  <c r="U50" i="3"/>
  <c r="V46" i="3"/>
  <c r="W60" i="4"/>
  <c r="J62" i="4"/>
  <c r="Z45" i="3"/>
  <c r="Y43" i="3"/>
  <c r="Y64" i="4"/>
  <c r="V47" i="3"/>
  <c r="Q45" i="3"/>
  <c r="AA43" i="3"/>
  <c r="AA64" i="4"/>
  <c r="U48" i="3"/>
  <c r="V48" i="3"/>
  <c r="Z64" i="4"/>
  <c r="J45" i="3"/>
  <c r="Z57" i="4"/>
  <c r="Z50" i="3"/>
  <c r="K46" i="3"/>
  <c r="U64" i="4"/>
  <c r="M48" i="3"/>
  <c r="N47" i="3"/>
  <c r="U49" i="3"/>
  <c r="X57" i="4"/>
  <c r="P43" i="3"/>
  <c r="L43" i="3"/>
  <c r="AA45" i="3"/>
  <c r="W48" i="3"/>
  <c r="L49" i="3"/>
  <c r="K48" i="3"/>
  <c r="U46" i="3"/>
  <c r="W43" i="3"/>
  <c r="P50" i="3"/>
  <c r="N45" i="3"/>
  <c r="X47" i="3"/>
  <c r="M45" i="3"/>
  <c r="O43" i="3"/>
  <c r="Y49" i="3"/>
  <c r="J53" i="4"/>
  <c r="U44" i="3"/>
  <c r="Q43" i="3"/>
  <c r="AA66" i="4"/>
  <c r="Z49" i="3"/>
  <c r="J64" i="4"/>
  <c r="Z44" i="3"/>
  <c r="W50" i="3"/>
  <c r="I11" i="4" l="1"/>
  <c r="I4" i="3"/>
  <c r="S24" i="3"/>
  <c r="S7" i="3"/>
  <c r="R10" i="3"/>
  <c r="T10" i="3"/>
  <c r="I44" i="4"/>
  <c r="R6" i="3"/>
  <c r="T6" i="3"/>
  <c r="S42" i="3"/>
  <c r="I18" i="3"/>
  <c r="S8" i="3"/>
  <c r="I3" i="3"/>
  <c r="I7" i="4"/>
  <c r="S16" i="3"/>
  <c r="I17" i="4"/>
  <c r="S5" i="3"/>
  <c r="T30" i="3"/>
  <c r="R30" i="3"/>
  <c r="S19" i="3"/>
  <c r="S14" i="3"/>
  <c r="R9" i="3"/>
  <c r="T9" i="3"/>
  <c r="I41" i="4"/>
  <c r="R18" i="3"/>
  <c r="T18" i="3"/>
  <c r="S29" i="3"/>
  <c r="S27" i="3"/>
  <c r="S23" i="3"/>
  <c r="R13" i="3"/>
  <c r="T13" i="3"/>
  <c r="I5" i="4"/>
  <c r="I56" i="4"/>
  <c r="I8" i="4"/>
  <c r="S32" i="3"/>
  <c r="R20" i="3"/>
  <c r="T20" i="3"/>
  <c r="S40" i="3"/>
  <c r="I43" i="4"/>
  <c r="I37" i="3"/>
  <c r="R35" i="3"/>
  <c r="T35" i="3"/>
  <c r="S25" i="3"/>
  <c r="I35" i="3"/>
  <c r="I45" i="4"/>
  <c r="T31" i="3"/>
  <c r="R31" i="3"/>
  <c r="T15" i="3"/>
  <c r="R15" i="3"/>
  <c r="I26" i="4"/>
  <c r="I14" i="4"/>
  <c r="I13" i="3"/>
  <c r="I8" i="3"/>
  <c r="I10" i="4"/>
  <c r="I5" i="3"/>
  <c r="S17" i="3"/>
  <c r="R3" i="3"/>
  <c r="T3" i="3"/>
  <c r="I38" i="4"/>
  <c r="S30" i="3"/>
  <c r="I10" i="3"/>
  <c r="I13" i="4"/>
  <c r="S37" i="3"/>
  <c r="I25" i="4"/>
  <c r="I24" i="4"/>
  <c r="I11" i="3"/>
  <c r="I16" i="4"/>
  <c r="I40" i="3"/>
  <c r="I52" i="4"/>
  <c r="I6" i="4"/>
  <c r="S6" i="3"/>
  <c r="T41" i="3"/>
  <c r="R41" i="3"/>
  <c r="R19" i="3"/>
  <c r="T19" i="3"/>
  <c r="I42" i="3"/>
  <c r="I50" i="4"/>
  <c r="T25" i="3"/>
  <c r="R25" i="3"/>
  <c r="I12" i="3"/>
  <c r="T39" i="3"/>
  <c r="R39" i="3"/>
  <c r="T27" i="3"/>
  <c r="R27" i="3"/>
  <c r="T28" i="3"/>
  <c r="R28" i="3"/>
  <c r="S10" i="3"/>
  <c r="T7" i="3"/>
  <c r="R7" i="3"/>
  <c r="S31" i="3"/>
  <c r="I21" i="3"/>
  <c r="S41" i="3"/>
  <c r="T14" i="3"/>
  <c r="R14" i="3"/>
  <c r="R29" i="3"/>
  <c r="T29" i="3"/>
  <c r="R40" i="3"/>
  <c r="T40" i="3"/>
  <c r="I14" i="3"/>
  <c r="S9" i="3"/>
  <c r="R21" i="3"/>
  <c r="T21" i="3"/>
  <c r="R42" i="3"/>
  <c r="T42" i="3"/>
  <c r="I42" i="4"/>
  <c r="S36" i="3"/>
  <c r="S34" i="3"/>
  <c r="I6" i="3"/>
  <c r="S18" i="3"/>
  <c r="S3" i="3"/>
  <c r="T16" i="3"/>
  <c r="R16" i="3"/>
  <c r="I23" i="3"/>
  <c r="T8" i="3"/>
  <c r="R8" i="3"/>
  <c r="S20" i="3"/>
  <c r="T32" i="3"/>
  <c r="R32" i="3"/>
  <c r="I22" i="3"/>
  <c r="I26" i="3"/>
  <c r="R26" i="3"/>
  <c r="T26" i="3"/>
  <c r="I25" i="3"/>
  <c r="S33" i="3"/>
  <c r="R38" i="3"/>
  <c r="T38" i="3"/>
  <c r="I40" i="4"/>
  <c r="I49" i="4"/>
  <c r="S21" i="3"/>
  <c r="I17" i="3"/>
  <c r="I37" i="4"/>
  <c r="I21" i="4"/>
  <c r="T37" i="3"/>
  <c r="R37" i="3"/>
  <c r="I9" i="3"/>
  <c r="I48" i="4"/>
  <c r="I19" i="4"/>
  <c r="I20" i="4"/>
  <c r="I7" i="3"/>
  <c r="T5" i="3"/>
  <c r="R5" i="3"/>
  <c r="S35" i="3"/>
  <c r="I18" i="4"/>
  <c r="T23" i="3"/>
  <c r="R23" i="3"/>
  <c r="S11" i="3"/>
  <c r="R33" i="3"/>
  <c r="T33" i="3"/>
  <c r="I46" i="4"/>
  <c r="I35" i="4"/>
  <c r="S38" i="3"/>
  <c r="I54" i="4"/>
  <c r="I20" i="3"/>
  <c r="S22" i="3"/>
  <c r="S15" i="3"/>
  <c r="R34" i="3"/>
  <c r="T34" i="3"/>
  <c r="T22" i="3"/>
  <c r="R22" i="3"/>
  <c r="S39" i="3"/>
  <c r="I38" i="3"/>
  <c r="I12" i="4"/>
  <c r="I4" i="4"/>
  <c r="I19" i="3"/>
  <c r="T4" i="3"/>
  <c r="R4" i="3"/>
  <c r="I39" i="4"/>
  <c r="R36" i="3"/>
  <c r="T36" i="3"/>
  <c r="I16" i="3"/>
  <c r="I47" i="4"/>
  <c r="I39" i="3"/>
  <c r="I15" i="3"/>
  <c r="I3" i="4"/>
  <c r="I24" i="3"/>
  <c r="R11" i="3"/>
  <c r="T11" i="3"/>
  <c r="I9" i="4"/>
  <c r="I22" i="4"/>
  <c r="I15" i="4"/>
  <c r="I23" i="4"/>
  <c r="S12" i="3"/>
  <c r="S13" i="3"/>
  <c r="R24" i="3"/>
  <c r="T24" i="3"/>
  <c r="R12" i="3"/>
  <c r="T12" i="3"/>
  <c r="I36" i="3"/>
  <c r="I41" i="3"/>
  <c r="R17" i="3"/>
  <c r="T17" i="3"/>
  <c r="I58" i="4"/>
  <c r="S4" i="3"/>
  <c r="S26" i="3"/>
  <c r="I36" i="4"/>
  <c r="S28" i="3"/>
  <c r="S64" i="4"/>
  <c r="I53" i="4"/>
  <c r="I46" i="3"/>
  <c r="R55" i="4"/>
  <c r="T55" i="4"/>
  <c r="I57" i="4"/>
  <c r="S44" i="3"/>
  <c r="R43" i="3"/>
  <c r="T43" i="3"/>
  <c r="S48" i="3"/>
  <c r="S60" i="4"/>
  <c r="S51" i="4"/>
  <c r="I50" i="3"/>
  <c r="R49" i="3"/>
  <c r="T49" i="3"/>
  <c r="R53" i="4"/>
  <c r="T53" i="4"/>
  <c r="R46" i="3"/>
  <c r="T46" i="3"/>
  <c r="R45" i="3"/>
  <c r="T45" i="3"/>
  <c r="I45" i="3"/>
  <c r="S55" i="4"/>
  <c r="T57" i="4"/>
  <c r="R57" i="4"/>
  <c r="I43" i="3"/>
  <c r="I48" i="3"/>
  <c r="T48" i="3"/>
  <c r="R48" i="3"/>
  <c r="R51" i="4"/>
  <c r="T51" i="4"/>
  <c r="S50" i="3"/>
  <c r="I49" i="3"/>
  <c r="R62" i="4"/>
  <c r="T62" i="4"/>
  <c r="S47" i="3"/>
  <c r="I47" i="3"/>
  <c r="T64" i="4"/>
  <c r="R64" i="4"/>
  <c r="S53" i="4"/>
  <c r="I55" i="4"/>
  <c r="R66" i="4"/>
  <c r="T66" i="4"/>
  <c r="S57" i="4"/>
  <c r="I44" i="3"/>
  <c r="T60" i="4"/>
  <c r="R60" i="4"/>
  <c r="R50" i="3"/>
  <c r="T50" i="3"/>
  <c r="S46" i="3"/>
  <c r="S45" i="3"/>
  <c r="S66" i="4"/>
  <c r="T44" i="3"/>
  <c r="R44" i="3"/>
  <c r="S43" i="3"/>
  <c r="I51" i="4"/>
  <c r="S49" i="3"/>
  <c r="S62" i="4"/>
  <c r="T47" i="3"/>
  <c r="R47" i="3"/>
  <c r="C255" i="3"/>
  <c r="H223" i="3"/>
  <c r="I223" i="3" s="1"/>
  <c r="C243" i="3"/>
  <c r="H211" i="3"/>
  <c r="C247" i="3"/>
  <c r="H215" i="3"/>
  <c r="C235" i="3"/>
  <c r="H203" i="3"/>
  <c r="C239" i="3"/>
  <c r="H207" i="3"/>
  <c r="C227" i="3"/>
  <c r="H195" i="3"/>
  <c r="C231" i="3"/>
  <c r="H199" i="3"/>
  <c r="C251" i="3"/>
  <c r="H219" i="3"/>
  <c r="I219" i="3" s="1"/>
  <c r="C256" i="3"/>
  <c r="H224" i="3"/>
  <c r="I224" i="3" s="1"/>
  <c r="C244" i="3"/>
  <c r="H212" i="3"/>
  <c r="C248" i="3"/>
  <c r="H216" i="3"/>
  <c r="C236" i="3"/>
  <c r="H204" i="3"/>
  <c r="C240" i="3"/>
  <c r="H208" i="3"/>
  <c r="C228" i="3"/>
  <c r="H196" i="3"/>
  <c r="C232" i="3"/>
  <c r="H200" i="3"/>
  <c r="C252" i="3"/>
  <c r="H220" i="3"/>
  <c r="I220" i="3" s="1"/>
  <c r="C250" i="3"/>
  <c r="H218" i="3"/>
  <c r="C254" i="3"/>
  <c r="H222" i="3"/>
  <c r="I222" i="3" s="1"/>
  <c r="C242" i="3"/>
  <c r="H210" i="3"/>
  <c r="C230" i="3"/>
  <c r="H198" i="3"/>
  <c r="C234" i="3"/>
  <c r="H202" i="3"/>
  <c r="C238" i="3"/>
  <c r="H206" i="3"/>
  <c r="C258" i="3"/>
  <c r="H226" i="3"/>
  <c r="I226" i="3" s="1"/>
  <c r="C246" i="3"/>
  <c r="H214" i="3"/>
  <c r="C249" i="3"/>
  <c r="H217" i="3"/>
  <c r="C253" i="3"/>
  <c r="H221" i="3"/>
  <c r="I221" i="3" s="1"/>
  <c r="C241" i="3"/>
  <c r="H209" i="3"/>
  <c r="C229" i="3"/>
  <c r="H197" i="3"/>
  <c r="C233" i="3"/>
  <c r="H201" i="3"/>
  <c r="C237" i="3"/>
  <c r="H205" i="3"/>
  <c r="C257" i="3"/>
  <c r="H225" i="3"/>
  <c r="I225" i="3" s="1"/>
  <c r="C245" i="3"/>
  <c r="H213" i="3"/>
  <c r="C292" i="4"/>
  <c r="H260" i="4"/>
  <c r="C294" i="4"/>
  <c r="H262" i="4"/>
  <c r="C296" i="4"/>
  <c r="H264" i="4"/>
  <c r="C298" i="4"/>
  <c r="H266" i="4"/>
  <c r="C300" i="4"/>
  <c r="H268" i="4"/>
  <c r="C302" i="4"/>
  <c r="H270" i="4"/>
  <c r="C304" i="4"/>
  <c r="H272" i="4"/>
  <c r="C306" i="4"/>
  <c r="H274" i="4"/>
  <c r="C308" i="4"/>
  <c r="H276" i="4"/>
  <c r="C310" i="4"/>
  <c r="H278" i="4"/>
  <c r="C312" i="4"/>
  <c r="H280" i="4"/>
  <c r="C314" i="4"/>
  <c r="H282" i="4"/>
  <c r="C316" i="4"/>
  <c r="H284" i="4"/>
  <c r="I284" i="4" s="1"/>
  <c r="C318" i="4"/>
  <c r="H286" i="4"/>
  <c r="I286" i="4" s="1"/>
  <c r="C320" i="4"/>
  <c r="H288" i="4"/>
  <c r="I288" i="4" s="1"/>
  <c r="C322" i="4"/>
  <c r="H290" i="4"/>
  <c r="I290" i="4" s="1"/>
  <c r="G76" i="4"/>
  <c r="G78" i="4"/>
  <c r="G80" i="4"/>
  <c r="G82" i="4"/>
  <c r="C291" i="4"/>
  <c r="H259" i="4"/>
  <c r="C293" i="4"/>
  <c r="H261" i="4"/>
  <c r="C295" i="4"/>
  <c r="H263" i="4"/>
  <c r="C297" i="4"/>
  <c r="H265" i="4"/>
  <c r="C299" i="4"/>
  <c r="H267" i="4"/>
  <c r="C301" i="4"/>
  <c r="H269" i="4"/>
  <c r="C303" i="4"/>
  <c r="H271" i="4"/>
  <c r="C305" i="4"/>
  <c r="H273" i="4"/>
  <c r="C307" i="4"/>
  <c r="H275" i="4"/>
  <c r="C309" i="4"/>
  <c r="H277" i="4"/>
  <c r="C311" i="4"/>
  <c r="H279" i="4"/>
  <c r="C313" i="4"/>
  <c r="H281" i="4"/>
  <c r="C315" i="4"/>
  <c r="H283" i="4"/>
  <c r="I283" i="4" s="1"/>
  <c r="C317" i="4"/>
  <c r="H285" i="4"/>
  <c r="I285" i="4" s="1"/>
  <c r="C319" i="4"/>
  <c r="H287" i="4"/>
  <c r="I287" i="4" s="1"/>
  <c r="C321" i="4"/>
  <c r="H289" i="4"/>
  <c r="I289" i="4" s="1"/>
  <c r="G67" i="4"/>
  <c r="G71" i="4"/>
  <c r="G69" i="4"/>
  <c r="G73" i="4"/>
  <c r="G66" i="3"/>
  <c r="G64" i="3"/>
  <c r="G62" i="3"/>
  <c r="G60" i="3"/>
  <c r="G65" i="3"/>
  <c r="G63" i="3"/>
  <c r="G61" i="3"/>
  <c r="G59" i="3"/>
  <c r="U61" i="4"/>
  <c r="J57" i="3"/>
  <c r="L54" i="3"/>
  <c r="X63" i="4"/>
  <c r="V61" i="4"/>
  <c r="Z61" i="4"/>
  <c r="M56" i="3"/>
  <c r="L56" i="3"/>
  <c r="U55" i="3"/>
  <c r="J70" i="4"/>
  <c r="O56" i="3"/>
  <c r="Q53" i="3"/>
  <c r="N54" i="3"/>
  <c r="Y72" i="4"/>
  <c r="Q51" i="3"/>
  <c r="N52" i="3"/>
  <c r="U65" i="4"/>
  <c r="X59" i="4"/>
  <c r="V57" i="3"/>
  <c r="AA61" i="4"/>
  <c r="J58" i="3"/>
  <c r="J52" i="3"/>
  <c r="P56" i="3"/>
  <c r="W54" i="3"/>
  <c r="N51" i="3"/>
  <c r="Z74" i="4"/>
  <c r="V52" i="3"/>
  <c r="Q57" i="3"/>
  <c r="V68" i="4"/>
  <c r="AA51" i="3"/>
  <c r="X56" i="3"/>
  <c r="U57" i="3"/>
  <c r="Y65" i="4"/>
  <c r="W51" i="3"/>
  <c r="M52" i="3"/>
  <c r="U52" i="3"/>
  <c r="X54" i="3"/>
  <c r="M53" i="3"/>
  <c r="X55" i="3"/>
  <c r="Z57" i="3"/>
  <c r="Y61" i="4"/>
  <c r="N55" i="3"/>
  <c r="O57" i="3"/>
  <c r="M58" i="3"/>
  <c r="K58" i="3"/>
  <c r="J72" i="4"/>
  <c r="W72" i="4"/>
  <c r="O55" i="3"/>
  <c r="Y58" i="3"/>
  <c r="Z63" i="4"/>
  <c r="Z53" i="3"/>
  <c r="AA54" i="3"/>
  <c r="Q54" i="3"/>
  <c r="K54" i="3"/>
  <c r="U63" i="4"/>
  <c r="U74" i="4"/>
  <c r="Q52" i="3"/>
  <c r="P58" i="3"/>
  <c r="Z52" i="3"/>
  <c r="K57" i="3"/>
  <c r="X53" i="3"/>
  <c r="J61" i="4"/>
  <c r="O51" i="3"/>
  <c r="Z70" i="4"/>
  <c r="L55" i="3"/>
  <c r="L53" i="3"/>
  <c r="L58" i="3"/>
  <c r="J74" i="4"/>
  <c r="V65" i="4"/>
  <c r="X68" i="4"/>
  <c r="N56" i="3"/>
  <c r="U72" i="4"/>
  <c r="Y74" i="4"/>
  <c r="O58" i="3"/>
  <c r="W52" i="3"/>
  <c r="P57" i="3"/>
  <c r="N57" i="3"/>
  <c r="AA74" i="4"/>
  <c r="L51" i="3"/>
  <c r="O52" i="3"/>
  <c r="N53" i="3"/>
  <c r="Z51" i="3"/>
  <c r="X57" i="3"/>
  <c r="U59" i="4"/>
  <c r="X52" i="3"/>
  <c r="Z72" i="4"/>
  <c r="J55" i="3"/>
  <c r="V63" i="4"/>
  <c r="N58" i="3"/>
  <c r="AA56" i="3"/>
  <c r="AA72" i="4"/>
  <c r="P54" i="3"/>
  <c r="V53" i="3"/>
  <c r="P53" i="3"/>
  <c r="Z54" i="3"/>
  <c r="J54" i="3"/>
  <c r="K51" i="3"/>
  <c r="Y51" i="3"/>
  <c r="AA57" i="3"/>
  <c r="X70" i="4"/>
  <c r="V70" i="4"/>
  <c r="U51" i="3"/>
  <c r="W74" i="4"/>
  <c r="W68" i="4"/>
  <c r="M55" i="3"/>
  <c r="Z59" i="4"/>
  <c r="L57" i="3"/>
  <c r="V74" i="4"/>
  <c r="Y68" i="4"/>
  <c r="J59" i="4"/>
  <c r="AA59" i="4"/>
  <c r="W65" i="4"/>
  <c r="W58" i="3"/>
  <c r="W63" i="4"/>
  <c r="Y54" i="3"/>
  <c r="O53" i="3"/>
  <c r="L52" i="3"/>
  <c r="U56" i="3"/>
  <c r="V51" i="3"/>
  <c r="Q56" i="3"/>
  <c r="V54" i="3"/>
  <c r="V59" i="4"/>
  <c r="Z56" i="3"/>
  <c r="W70" i="4"/>
  <c r="J51" i="3"/>
  <c r="V55" i="3"/>
  <c r="X74" i="4"/>
  <c r="O54" i="3"/>
  <c r="Y59" i="4"/>
  <c r="W59" i="4"/>
  <c r="AA65" i="4"/>
  <c r="J56" i="3"/>
  <c r="Y56" i="3"/>
  <c r="K56" i="3"/>
  <c r="X61" i="4"/>
  <c r="V56" i="3"/>
  <c r="U58" i="3"/>
  <c r="AA52" i="3"/>
  <c r="U53" i="3"/>
  <c r="AA63" i="4"/>
  <c r="J65" i="4"/>
  <c r="U68" i="4"/>
  <c r="M57" i="3"/>
  <c r="U54" i="3"/>
  <c r="AA53" i="3"/>
  <c r="W61" i="4"/>
  <c r="AA70" i="4"/>
  <c r="V58" i="3"/>
  <c r="Z68" i="4"/>
  <c r="X65" i="4"/>
  <c r="P52" i="3"/>
  <c r="AA68" i="4"/>
  <c r="AA58" i="3"/>
  <c r="J68" i="4"/>
  <c r="J63" i="4"/>
  <c r="X58" i="3"/>
  <c r="W53" i="3"/>
  <c r="Q58" i="3"/>
  <c r="K52" i="3"/>
  <c r="M51" i="3"/>
  <c r="K53" i="3"/>
  <c r="X51" i="3"/>
  <c r="X72" i="4"/>
  <c r="M54" i="3"/>
  <c r="W57" i="3"/>
  <c r="W55" i="3"/>
  <c r="Z58" i="3"/>
  <c r="Z65" i="4"/>
  <c r="J53" i="3"/>
  <c r="P51" i="3"/>
  <c r="P55" i="3"/>
  <c r="Y55" i="3"/>
  <c r="Q55" i="3"/>
  <c r="Y70" i="4"/>
  <c r="V72" i="4"/>
  <c r="Y53" i="3"/>
  <c r="Y57" i="3"/>
  <c r="W56" i="3"/>
  <c r="Y52" i="3"/>
  <c r="Y63" i="4"/>
  <c r="K55" i="3"/>
  <c r="AA55" i="3"/>
  <c r="U70" i="4"/>
  <c r="Z55" i="3"/>
  <c r="R72" i="4" l="1"/>
  <c r="T72" i="4"/>
  <c r="I57" i="3"/>
  <c r="R74" i="4"/>
  <c r="T74" i="4"/>
  <c r="I54" i="3"/>
  <c r="R70" i="4"/>
  <c r="T70" i="4"/>
  <c r="I56" i="3"/>
  <c r="R61" i="4"/>
  <c r="T61" i="4"/>
  <c r="S61" i="4"/>
  <c r="S72" i="4"/>
  <c r="S55" i="3"/>
  <c r="T55" i="3"/>
  <c r="R55" i="3"/>
  <c r="I68" i="4"/>
  <c r="S57" i="3"/>
  <c r="S74" i="4"/>
  <c r="I52" i="3"/>
  <c r="S53" i="3"/>
  <c r="S54" i="3"/>
  <c r="R63" i="4"/>
  <c r="T63" i="4"/>
  <c r="S58" i="3"/>
  <c r="I58" i="3"/>
  <c r="I55" i="3"/>
  <c r="S59" i="4"/>
  <c r="T68" i="4"/>
  <c r="R68" i="4"/>
  <c r="S68" i="4"/>
  <c r="R65" i="4"/>
  <c r="T65" i="4"/>
  <c r="R51" i="3"/>
  <c r="T51" i="3"/>
  <c r="S51" i="3"/>
  <c r="R52" i="3"/>
  <c r="T52" i="3"/>
  <c r="T53" i="3"/>
  <c r="R53" i="3"/>
  <c r="T54" i="3"/>
  <c r="R54" i="3"/>
  <c r="S63" i="4"/>
  <c r="S70" i="4"/>
  <c r="R56" i="3"/>
  <c r="T56" i="3"/>
  <c r="R58" i="3"/>
  <c r="T58" i="3"/>
  <c r="I72" i="4"/>
  <c r="R59" i="4"/>
  <c r="T59" i="4"/>
  <c r="R57" i="3"/>
  <c r="T57" i="3"/>
  <c r="S65" i="4"/>
  <c r="I74" i="4"/>
  <c r="I51" i="3"/>
  <c r="S52" i="3"/>
  <c r="I53" i="3"/>
  <c r="I70" i="4"/>
  <c r="S56" i="3"/>
  <c r="C277" i="3"/>
  <c r="H245" i="3"/>
  <c r="C269" i="3"/>
  <c r="H237" i="3"/>
  <c r="C261" i="3"/>
  <c r="H229" i="3"/>
  <c r="C285" i="3"/>
  <c r="H253" i="3"/>
  <c r="I253" i="3" s="1"/>
  <c r="C278" i="3"/>
  <c r="H246" i="3"/>
  <c r="C270" i="3"/>
  <c r="H238" i="3"/>
  <c r="C262" i="3"/>
  <c r="H230" i="3"/>
  <c r="C286" i="3"/>
  <c r="H254" i="3"/>
  <c r="I254" i="3" s="1"/>
  <c r="C284" i="3"/>
  <c r="H252" i="3"/>
  <c r="I252" i="3" s="1"/>
  <c r="C260" i="3"/>
  <c r="H228" i="3"/>
  <c r="C268" i="3"/>
  <c r="H236" i="3"/>
  <c r="C276" i="3"/>
  <c r="H244" i="3"/>
  <c r="C283" i="3"/>
  <c r="H251" i="3"/>
  <c r="I251" i="3" s="1"/>
  <c r="C259" i="3"/>
  <c r="H227" i="3"/>
  <c r="C267" i="3"/>
  <c r="H235" i="3"/>
  <c r="C275" i="3"/>
  <c r="H243" i="3"/>
  <c r="C289" i="3"/>
  <c r="H257" i="3"/>
  <c r="I257" i="3" s="1"/>
  <c r="C265" i="3"/>
  <c r="H233" i="3"/>
  <c r="C273" i="3"/>
  <c r="H241" i="3"/>
  <c r="C281" i="3"/>
  <c r="H249" i="3"/>
  <c r="C290" i="3"/>
  <c r="H258" i="3"/>
  <c r="I258" i="3" s="1"/>
  <c r="C266" i="3"/>
  <c r="H234" i="3"/>
  <c r="C274" i="3"/>
  <c r="H242" i="3"/>
  <c r="C282" i="3"/>
  <c r="H250" i="3"/>
  <c r="C264" i="3"/>
  <c r="H232" i="3"/>
  <c r="C272" i="3"/>
  <c r="H240" i="3"/>
  <c r="C280" i="3"/>
  <c r="H248" i="3"/>
  <c r="C288" i="3"/>
  <c r="H256" i="3"/>
  <c r="I256" i="3" s="1"/>
  <c r="C263" i="3"/>
  <c r="H231" i="3"/>
  <c r="C271" i="3"/>
  <c r="H239" i="3"/>
  <c r="C279" i="3"/>
  <c r="H247" i="3"/>
  <c r="C287" i="3"/>
  <c r="H255" i="3"/>
  <c r="I255" i="3" s="1"/>
  <c r="G81" i="4"/>
  <c r="G77" i="4"/>
  <c r="G79" i="4"/>
  <c r="G75" i="4"/>
  <c r="C353" i="4"/>
  <c r="H321" i="4"/>
  <c r="I321" i="4" s="1"/>
  <c r="C351" i="4"/>
  <c r="H319" i="4"/>
  <c r="I319" i="4" s="1"/>
  <c r="C349" i="4"/>
  <c r="H317" i="4"/>
  <c r="I317" i="4" s="1"/>
  <c r="C347" i="4"/>
  <c r="H315" i="4"/>
  <c r="I315" i="4" s="1"/>
  <c r="C345" i="4"/>
  <c r="H313" i="4"/>
  <c r="C343" i="4"/>
  <c r="H311" i="4"/>
  <c r="C341" i="4"/>
  <c r="H309" i="4"/>
  <c r="C339" i="4"/>
  <c r="H307" i="4"/>
  <c r="C337" i="4"/>
  <c r="H305" i="4"/>
  <c r="C335" i="4"/>
  <c r="H303" i="4"/>
  <c r="C333" i="4"/>
  <c r="H301" i="4"/>
  <c r="C331" i="4"/>
  <c r="H299" i="4"/>
  <c r="C329" i="4"/>
  <c r="H297" i="4"/>
  <c r="C327" i="4"/>
  <c r="H295" i="4"/>
  <c r="C325" i="4"/>
  <c r="H293" i="4"/>
  <c r="C323" i="4"/>
  <c r="H291" i="4"/>
  <c r="G90" i="4"/>
  <c r="G88" i="4"/>
  <c r="G86" i="4"/>
  <c r="G84" i="4"/>
  <c r="C354" i="4"/>
  <c r="H322" i="4"/>
  <c r="I322" i="4" s="1"/>
  <c r="C352" i="4"/>
  <c r="H320" i="4"/>
  <c r="I320" i="4" s="1"/>
  <c r="C350" i="4"/>
  <c r="H318" i="4"/>
  <c r="I318" i="4" s="1"/>
  <c r="C348" i="4"/>
  <c r="H316" i="4"/>
  <c r="I316" i="4" s="1"/>
  <c r="C346" i="4"/>
  <c r="H314" i="4"/>
  <c r="C344" i="4"/>
  <c r="H312" i="4"/>
  <c r="C342" i="4"/>
  <c r="H310" i="4"/>
  <c r="C340" i="4"/>
  <c r="H308" i="4"/>
  <c r="C338" i="4"/>
  <c r="H306" i="4"/>
  <c r="C336" i="4"/>
  <c r="H304" i="4"/>
  <c r="C334" i="4"/>
  <c r="H302" i="4"/>
  <c r="C332" i="4"/>
  <c r="H300" i="4"/>
  <c r="C330" i="4"/>
  <c r="H298" i="4"/>
  <c r="C328" i="4"/>
  <c r="H296" i="4"/>
  <c r="C326" i="4"/>
  <c r="H294" i="4"/>
  <c r="C324" i="4"/>
  <c r="H292" i="4"/>
  <c r="G67" i="3"/>
  <c r="G69" i="3"/>
  <c r="G71" i="3"/>
  <c r="G73" i="3"/>
  <c r="G68" i="3"/>
  <c r="G70" i="3"/>
  <c r="G72" i="3"/>
  <c r="G74" i="3"/>
  <c r="K61" i="3"/>
  <c r="K65" i="3"/>
  <c r="Z67" i="4"/>
  <c r="X65" i="3"/>
  <c r="V61" i="3"/>
  <c r="M66" i="3"/>
  <c r="K66" i="3"/>
  <c r="Z69" i="4"/>
  <c r="Z76" i="4"/>
  <c r="Y73" i="4"/>
  <c r="O61" i="3"/>
  <c r="W69" i="4"/>
  <c r="J66" i="3"/>
  <c r="L60" i="3"/>
  <c r="Y59" i="3"/>
  <c r="U69" i="4"/>
  <c r="M62" i="3"/>
  <c r="K59" i="3"/>
  <c r="Y63" i="3"/>
  <c r="M60" i="3"/>
  <c r="U73" i="4"/>
  <c r="AA60" i="3"/>
  <c r="X71" i="4"/>
  <c r="V71" i="4"/>
  <c r="U66" i="3"/>
  <c r="Z82" i="4"/>
  <c r="Y66" i="3"/>
  <c r="Y82" i="4"/>
  <c r="U67" i="4"/>
  <c r="W76" i="4"/>
  <c r="AA66" i="3"/>
  <c r="N62" i="3"/>
  <c r="Y67" i="4"/>
  <c r="O62" i="3"/>
  <c r="X61" i="3"/>
  <c r="M61" i="3"/>
  <c r="Y62" i="3"/>
  <c r="P61" i="3"/>
  <c r="AA80" i="4"/>
  <c r="U62" i="3"/>
  <c r="K62" i="3"/>
  <c r="L59" i="3"/>
  <c r="O59" i="3"/>
  <c r="J67" i="4"/>
  <c r="J61" i="3"/>
  <c r="P59" i="3"/>
  <c r="X80" i="4"/>
  <c r="J82" i="4"/>
  <c r="Q63" i="3"/>
  <c r="N61" i="3"/>
  <c r="V67" i="4"/>
  <c r="O63" i="3"/>
  <c r="M64" i="3"/>
  <c r="U63" i="3"/>
  <c r="P63" i="3"/>
  <c r="AA78" i="4"/>
  <c r="Y64" i="3"/>
  <c r="L63" i="3"/>
  <c r="V82" i="4"/>
  <c r="Z71" i="4"/>
  <c r="J64" i="3"/>
  <c r="W82" i="4"/>
  <c r="Z73" i="4"/>
  <c r="X64" i="3"/>
  <c r="U65" i="3"/>
  <c r="N66" i="3"/>
  <c r="U76" i="4"/>
  <c r="AA63" i="3"/>
  <c r="X66" i="3"/>
  <c r="U82" i="4"/>
  <c r="V64" i="3"/>
  <c r="Y78" i="4"/>
  <c r="W65" i="3"/>
  <c r="Z61" i="3"/>
  <c r="Y61" i="3"/>
  <c r="Q61" i="3"/>
  <c r="P62" i="3"/>
  <c r="X69" i="4"/>
  <c r="V59" i="3"/>
  <c r="W80" i="4"/>
  <c r="J73" i="4"/>
  <c r="X78" i="4"/>
  <c r="W64" i="3"/>
  <c r="Y71" i="4"/>
  <c r="J59" i="3"/>
  <c r="Z80" i="4"/>
  <c r="U59" i="3"/>
  <c r="O64" i="3"/>
  <c r="W59" i="3"/>
  <c r="X73" i="4"/>
  <c r="X60" i="3"/>
  <c r="Z65" i="3"/>
  <c r="V78" i="4"/>
  <c r="AA82" i="4"/>
  <c r="J71" i="4"/>
  <c r="W66" i="3"/>
  <c r="AA65" i="3"/>
  <c r="N59" i="3"/>
  <c r="W63" i="3"/>
  <c r="Z63" i="3"/>
  <c r="V63" i="3"/>
  <c r="AA64" i="3"/>
  <c r="Q64" i="3"/>
  <c r="Q66" i="3"/>
  <c r="J63" i="3"/>
  <c r="AA73" i="4"/>
  <c r="W73" i="4"/>
  <c r="X63" i="3"/>
  <c r="X67" i="4"/>
  <c r="X82" i="4"/>
  <c r="W61" i="3"/>
  <c r="W67" i="4"/>
  <c r="U61" i="3"/>
  <c r="O65" i="3"/>
  <c r="AA61" i="3"/>
  <c r="Q62" i="3"/>
  <c r="U80" i="4"/>
  <c r="L61" i="3"/>
  <c r="V62" i="3"/>
  <c r="X76" i="4"/>
  <c r="Y60" i="3"/>
  <c r="J80" i="4"/>
  <c r="K64" i="3"/>
  <c r="AA69" i="4"/>
  <c r="U60" i="3"/>
  <c r="P64" i="3"/>
  <c r="J78" i="4"/>
  <c r="Z64" i="3"/>
  <c r="J65" i="3"/>
  <c r="W78" i="4"/>
  <c r="AA71" i="4"/>
  <c r="L66" i="3"/>
  <c r="U64" i="3"/>
  <c r="M63" i="3"/>
  <c r="V65" i="3"/>
  <c r="P65" i="3"/>
  <c r="V66" i="3"/>
  <c r="Y65" i="3"/>
  <c r="Z60" i="3"/>
  <c r="K63" i="3"/>
  <c r="N63" i="3"/>
  <c r="U71" i="4"/>
  <c r="Y76" i="4"/>
  <c r="L65" i="3"/>
  <c r="V76" i="4"/>
  <c r="Z66" i="3"/>
  <c r="Z62" i="3"/>
  <c r="L62" i="3"/>
  <c r="AA76" i="4"/>
  <c r="W62" i="3"/>
  <c r="Q65" i="3"/>
  <c r="X62" i="3"/>
  <c r="V69" i="4"/>
  <c r="P66" i="3"/>
  <c r="V80" i="4"/>
  <c r="J76" i="4"/>
  <c r="J62" i="3"/>
  <c r="Q60" i="3"/>
  <c r="Y69" i="4"/>
  <c r="N60" i="3"/>
  <c r="AA62" i="3"/>
  <c r="AA59" i="3"/>
  <c r="X59" i="3"/>
  <c r="J69" i="4"/>
  <c r="M65" i="3"/>
  <c r="Y80" i="4"/>
  <c r="K60" i="3"/>
  <c r="Q59" i="3"/>
  <c r="Z59" i="3"/>
  <c r="O60" i="3"/>
  <c r="M59" i="3"/>
  <c r="P60" i="3"/>
  <c r="V60" i="3"/>
  <c r="V73" i="4"/>
  <c r="U78" i="4"/>
  <c r="O66" i="3"/>
  <c r="W71" i="4"/>
  <c r="W60" i="3"/>
  <c r="J60" i="3"/>
  <c r="L64" i="3"/>
  <c r="N64" i="3"/>
  <c r="N65" i="3"/>
  <c r="Z78" i="4"/>
  <c r="AA67" i="4"/>
  <c r="T80" i="4" l="1"/>
  <c r="R80" i="4"/>
  <c r="R62" i="3"/>
  <c r="T62" i="3"/>
  <c r="R61" i="3"/>
  <c r="T61" i="3"/>
  <c r="R67" i="4"/>
  <c r="T67" i="4"/>
  <c r="I82" i="4"/>
  <c r="S82" i="4"/>
  <c r="R63" i="3"/>
  <c r="T63" i="3"/>
  <c r="I73" i="4"/>
  <c r="T60" i="3"/>
  <c r="R60" i="3"/>
  <c r="S80" i="4"/>
  <c r="S67" i="4"/>
  <c r="R82" i="4"/>
  <c r="T82" i="4"/>
  <c r="I78" i="4"/>
  <c r="T71" i="4"/>
  <c r="R71" i="4"/>
  <c r="R73" i="4"/>
  <c r="T73" i="4"/>
  <c r="R59" i="3"/>
  <c r="T59" i="3"/>
  <c r="S59" i="3"/>
  <c r="I69" i="4"/>
  <c r="S62" i="3"/>
  <c r="S61" i="3"/>
  <c r="I76" i="4"/>
  <c r="R66" i="3"/>
  <c r="T66" i="3"/>
  <c r="S65" i="3"/>
  <c r="R78" i="4"/>
  <c r="T78" i="4"/>
  <c r="S78" i="4"/>
  <c r="S64" i="3"/>
  <c r="T64" i="3"/>
  <c r="R64" i="3"/>
  <c r="S63" i="3"/>
  <c r="S73" i="4"/>
  <c r="S60" i="3"/>
  <c r="I80" i="4"/>
  <c r="R69" i="4"/>
  <c r="T69" i="4"/>
  <c r="S69" i="4"/>
  <c r="T76" i="4"/>
  <c r="R76" i="4"/>
  <c r="S76" i="4"/>
  <c r="I67" i="4"/>
  <c r="S66" i="3"/>
  <c r="R65" i="3"/>
  <c r="T65" i="3"/>
  <c r="I71" i="4"/>
  <c r="S71" i="4"/>
  <c r="C299" i="3"/>
  <c r="H267" i="3"/>
  <c r="C315" i="3"/>
  <c r="H283" i="3"/>
  <c r="I283" i="3" s="1"/>
  <c r="C300" i="3"/>
  <c r="H268" i="3"/>
  <c r="C316" i="3"/>
  <c r="H284" i="3"/>
  <c r="I284" i="3" s="1"/>
  <c r="C319" i="3"/>
  <c r="H287" i="3"/>
  <c r="I287" i="3" s="1"/>
  <c r="C303" i="3"/>
  <c r="H271" i="3"/>
  <c r="C320" i="3"/>
  <c r="H288" i="3"/>
  <c r="I288" i="3" s="1"/>
  <c r="C304" i="3"/>
  <c r="H272" i="3"/>
  <c r="C314" i="3"/>
  <c r="H282" i="3"/>
  <c r="C298" i="3"/>
  <c r="H266" i="3"/>
  <c r="C313" i="3"/>
  <c r="H281" i="3"/>
  <c r="C297" i="3"/>
  <c r="H265" i="3"/>
  <c r="C318" i="3"/>
  <c r="H286" i="3"/>
  <c r="I286" i="3" s="1"/>
  <c r="C302" i="3"/>
  <c r="H270" i="3"/>
  <c r="C317" i="3"/>
  <c r="H285" i="3"/>
  <c r="I285" i="3" s="1"/>
  <c r="C301" i="3"/>
  <c r="H269" i="3"/>
  <c r="C307" i="3"/>
  <c r="H275" i="3"/>
  <c r="C291" i="3"/>
  <c r="H259" i="3"/>
  <c r="C308" i="3"/>
  <c r="H276" i="3"/>
  <c r="C292" i="3"/>
  <c r="H260" i="3"/>
  <c r="C311" i="3"/>
  <c r="H279" i="3"/>
  <c r="C295" i="3"/>
  <c r="H263" i="3"/>
  <c r="C312" i="3"/>
  <c r="H280" i="3"/>
  <c r="C296" i="3"/>
  <c r="H264" i="3"/>
  <c r="C306" i="3"/>
  <c r="H274" i="3"/>
  <c r="C322" i="3"/>
  <c r="H290" i="3"/>
  <c r="I290" i="3" s="1"/>
  <c r="C305" i="3"/>
  <c r="H273" i="3"/>
  <c r="C321" i="3"/>
  <c r="H289" i="3"/>
  <c r="I289" i="3" s="1"/>
  <c r="C294" i="3"/>
  <c r="H262" i="3"/>
  <c r="C310" i="3"/>
  <c r="H278" i="3"/>
  <c r="C293" i="3"/>
  <c r="H261" i="3"/>
  <c r="C309" i="3"/>
  <c r="H277" i="3"/>
  <c r="C356" i="4"/>
  <c r="H324" i="4"/>
  <c r="C358" i="4"/>
  <c r="H326" i="4"/>
  <c r="C360" i="4"/>
  <c r="H328" i="4"/>
  <c r="C362" i="4"/>
  <c r="H330" i="4"/>
  <c r="C364" i="4"/>
  <c r="H332" i="4"/>
  <c r="C366" i="4"/>
  <c r="H334" i="4"/>
  <c r="C368" i="4"/>
  <c r="H336" i="4"/>
  <c r="C370" i="4"/>
  <c r="H338" i="4"/>
  <c r="C372" i="4"/>
  <c r="H340" i="4"/>
  <c r="C374" i="4"/>
  <c r="H342" i="4"/>
  <c r="C376" i="4"/>
  <c r="H344" i="4"/>
  <c r="C378" i="4"/>
  <c r="H346" i="4"/>
  <c r="C380" i="4"/>
  <c r="H348" i="4"/>
  <c r="I348" i="4" s="1"/>
  <c r="C382" i="4"/>
  <c r="H350" i="4"/>
  <c r="I350" i="4" s="1"/>
  <c r="C384" i="4"/>
  <c r="H352" i="4"/>
  <c r="I352" i="4" s="1"/>
  <c r="C386" i="4"/>
  <c r="H354" i="4"/>
  <c r="I354" i="4" s="1"/>
  <c r="G92" i="4"/>
  <c r="G94" i="4"/>
  <c r="G96" i="4"/>
  <c r="G98" i="4"/>
  <c r="C355" i="4"/>
  <c r="H323" i="4"/>
  <c r="C357" i="4"/>
  <c r="H325" i="4"/>
  <c r="C359" i="4"/>
  <c r="H327" i="4"/>
  <c r="C361" i="4"/>
  <c r="H329" i="4"/>
  <c r="C363" i="4"/>
  <c r="H331" i="4"/>
  <c r="C365" i="4"/>
  <c r="H333" i="4"/>
  <c r="C367" i="4"/>
  <c r="H335" i="4"/>
  <c r="C369" i="4"/>
  <c r="H337" i="4"/>
  <c r="C371" i="4"/>
  <c r="H339" i="4"/>
  <c r="C373" i="4"/>
  <c r="H341" i="4"/>
  <c r="C375" i="4"/>
  <c r="H343" i="4"/>
  <c r="C377" i="4"/>
  <c r="H345" i="4"/>
  <c r="C379" i="4"/>
  <c r="H347" i="4"/>
  <c r="I347" i="4" s="1"/>
  <c r="C381" i="4"/>
  <c r="H349" i="4"/>
  <c r="I349" i="4" s="1"/>
  <c r="C383" i="4"/>
  <c r="H351" i="4"/>
  <c r="I351" i="4" s="1"/>
  <c r="C385" i="4"/>
  <c r="H353" i="4"/>
  <c r="I353" i="4" s="1"/>
  <c r="G83" i="4"/>
  <c r="G87" i="4"/>
  <c r="G85" i="4"/>
  <c r="G89" i="4"/>
  <c r="G82" i="3"/>
  <c r="G80" i="3"/>
  <c r="G78" i="3"/>
  <c r="G76" i="3"/>
  <c r="G81" i="3"/>
  <c r="G79" i="3"/>
  <c r="G77" i="3"/>
  <c r="G75" i="3"/>
  <c r="X79" i="4"/>
  <c r="V69" i="3"/>
  <c r="K72" i="3"/>
  <c r="M73" i="3"/>
  <c r="P74" i="3"/>
  <c r="J79" i="4"/>
  <c r="P73" i="3"/>
  <c r="Z72" i="3"/>
  <c r="Q73" i="3"/>
  <c r="Z74" i="3"/>
  <c r="W73" i="3"/>
  <c r="X73" i="3"/>
  <c r="Z67" i="3"/>
  <c r="K69" i="3"/>
  <c r="AA90" i="4"/>
  <c r="W86" i="4"/>
  <c r="Z69" i="3"/>
  <c r="X71" i="3"/>
  <c r="Y88" i="4"/>
  <c r="AA74" i="3"/>
  <c r="Y69" i="3"/>
  <c r="V67" i="3"/>
  <c r="M70" i="3"/>
  <c r="V79" i="4"/>
  <c r="V70" i="3"/>
  <c r="Z73" i="3"/>
  <c r="Y72" i="3"/>
  <c r="J75" i="4"/>
  <c r="Y81" i="4"/>
  <c r="AA75" i="4"/>
  <c r="Q74" i="3"/>
  <c r="O69" i="3"/>
  <c r="M74" i="3"/>
  <c r="Y90" i="4"/>
  <c r="V81" i="4"/>
  <c r="P69" i="3"/>
  <c r="J67" i="3"/>
  <c r="O73" i="3"/>
  <c r="Z70" i="3"/>
  <c r="AA70" i="3"/>
  <c r="U68" i="3"/>
  <c r="Y86" i="4"/>
  <c r="Z71" i="3"/>
  <c r="Q72" i="3"/>
  <c r="U70" i="3"/>
  <c r="M72" i="3"/>
  <c r="Z88" i="4"/>
  <c r="P72" i="3"/>
  <c r="U72" i="3"/>
  <c r="N72" i="3"/>
  <c r="L68" i="3"/>
  <c r="K68" i="3"/>
  <c r="AA79" i="4"/>
  <c r="K71" i="3"/>
  <c r="O71" i="3"/>
  <c r="L70" i="3"/>
  <c r="V72" i="3"/>
  <c r="K74" i="3"/>
  <c r="P70" i="3"/>
  <c r="K67" i="3"/>
  <c r="K70" i="3"/>
  <c r="N67" i="3"/>
  <c r="X72" i="3"/>
  <c r="V86" i="4"/>
  <c r="M71" i="3"/>
  <c r="J86" i="4"/>
  <c r="U81" i="4"/>
  <c r="AA71" i="3"/>
  <c r="N68" i="3"/>
  <c r="Q67" i="3"/>
  <c r="W84" i="4"/>
  <c r="L73" i="3"/>
  <c r="J84" i="4"/>
  <c r="J81" i="4"/>
  <c r="W72" i="3"/>
  <c r="O68" i="3"/>
  <c r="Q68" i="3"/>
  <c r="L69" i="3"/>
  <c r="X81" i="4"/>
  <c r="Z90" i="4"/>
  <c r="J90" i="4"/>
  <c r="K73" i="3"/>
  <c r="U74" i="3"/>
  <c r="AA67" i="3"/>
  <c r="J69" i="3"/>
  <c r="X67" i="3"/>
  <c r="X86" i="4"/>
  <c r="W75" i="4"/>
  <c r="W74" i="3"/>
  <c r="P71" i="3"/>
  <c r="Y71" i="3"/>
  <c r="V68" i="3"/>
  <c r="J70" i="3"/>
  <c r="J72" i="3"/>
  <c r="AA84" i="4"/>
  <c r="J88" i="4"/>
  <c r="P68" i="3"/>
  <c r="Y79" i="4"/>
  <c r="Y77" i="4"/>
  <c r="Z75" i="4"/>
  <c r="V75" i="4"/>
  <c r="U88" i="4"/>
  <c r="V73" i="3"/>
  <c r="X88" i="4"/>
  <c r="Y73" i="3"/>
  <c r="P67" i="3"/>
  <c r="U69" i="3"/>
  <c r="Y70" i="3"/>
  <c r="U75" i="4"/>
  <c r="Z68" i="3"/>
  <c r="L71" i="3"/>
  <c r="AA77" i="4"/>
  <c r="Q71" i="3"/>
  <c r="N73" i="3"/>
  <c r="X84" i="4"/>
  <c r="X74" i="3"/>
  <c r="U77" i="4"/>
  <c r="W70" i="3"/>
  <c r="Z79" i="4"/>
  <c r="W90" i="4"/>
  <c r="W69" i="3"/>
  <c r="U71" i="3"/>
  <c r="W71" i="3"/>
  <c r="J74" i="3"/>
  <c r="Z81" i="4"/>
  <c r="N74" i="3"/>
  <c r="J68" i="3"/>
  <c r="W68" i="3"/>
  <c r="N70" i="3"/>
  <c r="L67" i="3"/>
  <c r="U67" i="3"/>
  <c r="X70" i="3"/>
  <c r="W88" i="4"/>
  <c r="O70" i="3"/>
  <c r="X90" i="4"/>
  <c r="L74" i="3"/>
  <c r="V84" i="4"/>
  <c r="X69" i="3"/>
  <c r="U79" i="4"/>
  <c r="V71" i="3"/>
  <c r="V74" i="3"/>
  <c r="O72" i="3"/>
  <c r="AA68" i="3"/>
  <c r="Z77" i="4"/>
  <c r="N71" i="3"/>
  <c r="AA81" i="4"/>
  <c r="O74" i="3"/>
  <c r="V77" i="4"/>
  <c r="AA72" i="3"/>
  <c r="AA88" i="4"/>
  <c r="M68" i="3"/>
  <c r="X75" i="4"/>
  <c r="M67" i="3"/>
  <c r="Y67" i="3"/>
  <c r="M69" i="3"/>
  <c r="AA69" i="3"/>
  <c r="J71" i="3"/>
  <c r="Z84" i="4"/>
  <c r="Z86" i="4"/>
  <c r="W79" i="4"/>
  <c r="U73" i="3"/>
  <c r="Y74" i="3"/>
  <c r="U86" i="4"/>
  <c r="U90" i="4"/>
  <c r="Y68" i="3"/>
  <c r="W77" i="4"/>
  <c r="AA73" i="3"/>
  <c r="Y75" i="4"/>
  <c r="J77" i="4"/>
  <c r="N69" i="3"/>
  <c r="AA86" i="4"/>
  <c r="L72" i="3"/>
  <c r="U84" i="4"/>
  <c r="V88" i="4"/>
  <c r="W67" i="3"/>
  <c r="W81" i="4"/>
  <c r="X77" i="4"/>
  <c r="Q69" i="3"/>
  <c r="X68" i="3"/>
  <c r="J73" i="3"/>
  <c r="V90" i="4"/>
  <c r="Q70" i="3"/>
  <c r="O67" i="3"/>
  <c r="Y84" i="4"/>
  <c r="S81" i="4" l="1"/>
  <c r="I90" i="4"/>
  <c r="S90" i="4"/>
  <c r="R67" i="3"/>
  <c r="T67" i="3"/>
  <c r="S67" i="3"/>
  <c r="I68" i="3"/>
  <c r="S68" i="3"/>
  <c r="I69" i="3"/>
  <c r="S70" i="3"/>
  <c r="S71" i="3"/>
  <c r="R74" i="3"/>
  <c r="T74" i="3"/>
  <c r="I88" i="4"/>
  <c r="R75" i="4"/>
  <c r="T75" i="4"/>
  <c r="S75" i="4"/>
  <c r="I84" i="4"/>
  <c r="I81" i="4"/>
  <c r="R90" i="4"/>
  <c r="T90" i="4"/>
  <c r="R68" i="3"/>
  <c r="T68" i="3"/>
  <c r="I70" i="3"/>
  <c r="S77" i="4"/>
  <c r="I79" i="4"/>
  <c r="S79" i="4"/>
  <c r="I86" i="4"/>
  <c r="S72" i="3"/>
  <c r="S73" i="3"/>
  <c r="I73" i="3"/>
  <c r="I74" i="3"/>
  <c r="R88" i="4"/>
  <c r="T88" i="4"/>
  <c r="T84" i="4"/>
  <c r="R84" i="4"/>
  <c r="S84" i="4"/>
  <c r="R81" i="4"/>
  <c r="T81" i="4"/>
  <c r="I67" i="3"/>
  <c r="S69" i="3"/>
  <c r="T70" i="3"/>
  <c r="R70" i="3"/>
  <c r="I77" i="4"/>
  <c r="R86" i="4"/>
  <c r="T86" i="4"/>
  <c r="S86" i="4"/>
  <c r="I71" i="3"/>
  <c r="I72" i="3"/>
  <c r="R72" i="3"/>
  <c r="T72" i="3"/>
  <c r="R73" i="3"/>
  <c r="T73" i="3"/>
  <c r="I75" i="4"/>
  <c r="T69" i="3"/>
  <c r="R69" i="3"/>
  <c r="T77" i="4"/>
  <c r="R77" i="4"/>
  <c r="R79" i="4"/>
  <c r="T79" i="4"/>
  <c r="R71" i="3"/>
  <c r="T71" i="3"/>
  <c r="S74" i="3"/>
  <c r="S88" i="4"/>
  <c r="C325" i="3"/>
  <c r="H293" i="3"/>
  <c r="C354" i="3"/>
  <c r="H322" i="3"/>
  <c r="I322" i="3" s="1"/>
  <c r="C340" i="3"/>
  <c r="H308" i="3"/>
  <c r="C339" i="3"/>
  <c r="H307" i="3"/>
  <c r="C333" i="3"/>
  <c r="H301" i="3"/>
  <c r="C334" i="3"/>
  <c r="H302" i="3"/>
  <c r="C329" i="3"/>
  <c r="H297" i="3"/>
  <c r="C330" i="3"/>
  <c r="H298" i="3"/>
  <c r="C336" i="3"/>
  <c r="H304" i="3"/>
  <c r="C335" i="3"/>
  <c r="H303" i="3"/>
  <c r="C326" i="3"/>
  <c r="H294" i="3"/>
  <c r="C341" i="3"/>
  <c r="H309" i="3"/>
  <c r="C342" i="3"/>
  <c r="H310" i="3"/>
  <c r="C337" i="3"/>
  <c r="H305" i="3"/>
  <c r="C338" i="3"/>
  <c r="H306" i="3"/>
  <c r="C344" i="3"/>
  <c r="H312" i="3"/>
  <c r="C343" i="3"/>
  <c r="H311" i="3"/>
  <c r="C332" i="3"/>
  <c r="H300" i="3"/>
  <c r="C331" i="3"/>
  <c r="H299" i="3"/>
  <c r="C324" i="3"/>
  <c r="H292" i="3"/>
  <c r="C323" i="3"/>
  <c r="H291" i="3"/>
  <c r="C349" i="3"/>
  <c r="H317" i="3"/>
  <c r="I317" i="3" s="1"/>
  <c r="C350" i="3"/>
  <c r="H318" i="3"/>
  <c r="I318" i="3" s="1"/>
  <c r="C345" i="3"/>
  <c r="H313" i="3"/>
  <c r="C346" i="3"/>
  <c r="H314" i="3"/>
  <c r="C352" i="3"/>
  <c r="H320" i="3"/>
  <c r="I320" i="3" s="1"/>
  <c r="C351" i="3"/>
  <c r="H319" i="3"/>
  <c r="I319" i="3" s="1"/>
  <c r="C353" i="3"/>
  <c r="H321" i="3"/>
  <c r="I321" i="3" s="1"/>
  <c r="C328" i="3"/>
  <c r="H296" i="3"/>
  <c r="C327" i="3"/>
  <c r="H295" i="3"/>
  <c r="C348" i="3"/>
  <c r="H316" i="3"/>
  <c r="I316" i="3" s="1"/>
  <c r="C347" i="3"/>
  <c r="H315" i="3"/>
  <c r="I315" i="3" s="1"/>
  <c r="G97" i="4"/>
  <c r="G93" i="4"/>
  <c r="G95" i="4"/>
  <c r="G91" i="4"/>
  <c r="C417" i="4"/>
  <c r="H385" i="4"/>
  <c r="I385" i="4" s="1"/>
  <c r="C415" i="4"/>
  <c r="H383" i="4"/>
  <c r="I383" i="4" s="1"/>
  <c r="C413" i="4"/>
  <c r="H381" i="4"/>
  <c r="I381" i="4" s="1"/>
  <c r="C411" i="4"/>
  <c r="H379" i="4"/>
  <c r="I379" i="4" s="1"/>
  <c r="C409" i="4"/>
  <c r="H377" i="4"/>
  <c r="C407" i="4"/>
  <c r="H375" i="4"/>
  <c r="C405" i="4"/>
  <c r="H373" i="4"/>
  <c r="C403" i="4"/>
  <c r="H371" i="4"/>
  <c r="C401" i="4"/>
  <c r="H369" i="4"/>
  <c r="C399" i="4"/>
  <c r="H367" i="4"/>
  <c r="C397" i="4"/>
  <c r="H365" i="4"/>
  <c r="C395" i="4"/>
  <c r="H363" i="4"/>
  <c r="C393" i="4"/>
  <c r="H361" i="4"/>
  <c r="C391" i="4"/>
  <c r="H359" i="4"/>
  <c r="C389" i="4"/>
  <c r="H357" i="4"/>
  <c r="C387" i="4"/>
  <c r="H355" i="4"/>
  <c r="G106" i="4"/>
  <c r="G104" i="4"/>
  <c r="G102" i="4"/>
  <c r="G100" i="4"/>
  <c r="C418" i="4"/>
  <c r="H386" i="4"/>
  <c r="I386" i="4" s="1"/>
  <c r="C416" i="4"/>
  <c r="H384" i="4"/>
  <c r="I384" i="4" s="1"/>
  <c r="C414" i="4"/>
  <c r="H382" i="4"/>
  <c r="I382" i="4" s="1"/>
  <c r="C412" i="4"/>
  <c r="H380" i="4"/>
  <c r="I380" i="4" s="1"/>
  <c r="C410" i="4"/>
  <c r="H378" i="4"/>
  <c r="C408" i="4"/>
  <c r="H376" i="4"/>
  <c r="C406" i="4"/>
  <c r="H374" i="4"/>
  <c r="C404" i="4"/>
  <c r="H372" i="4"/>
  <c r="C402" i="4"/>
  <c r="H370" i="4"/>
  <c r="C400" i="4"/>
  <c r="H368" i="4"/>
  <c r="C398" i="4"/>
  <c r="H366" i="4"/>
  <c r="C396" i="4"/>
  <c r="H364" i="4"/>
  <c r="C394" i="4"/>
  <c r="H362" i="4"/>
  <c r="C392" i="4"/>
  <c r="H360" i="4"/>
  <c r="C390" i="4"/>
  <c r="H358" i="4"/>
  <c r="C388" i="4"/>
  <c r="H356" i="4"/>
  <c r="G83" i="3"/>
  <c r="G85" i="3"/>
  <c r="G87" i="3"/>
  <c r="G89" i="3"/>
  <c r="G84" i="3"/>
  <c r="G86" i="3"/>
  <c r="G88" i="3"/>
  <c r="G90" i="3"/>
  <c r="L82" i="3"/>
  <c r="K78" i="3"/>
  <c r="O81" i="3"/>
  <c r="V89" i="4"/>
  <c r="V81" i="3"/>
  <c r="J87" i="4"/>
  <c r="Q76" i="3"/>
  <c r="M82" i="3"/>
  <c r="X96" i="4"/>
  <c r="U83" i="4"/>
  <c r="Q81" i="3"/>
  <c r="L76" i="3"/>
  <c r="L77" i="3"/>
  <c r="U79" i="3"/>
  <c r="J77" i="3"/>
  <c r="U78" i="3"/>
  <c r="O82" i="3"/>
  <c r="M79" i="3"/>
  <c r="AA85" i="4"/>
  <c r="Y94" i="4"/>
  <c r="Y80" i="3"/>
  <c r="Y82" i="3"/>
  <c r="Z75" i="3"/>
  <c r="J92" i="4"/>
  <c r="Q77" i="3"/>
  <c r="N77" i="3"/>
  <c r="V87" i="4"/>
  <c r="AA98" i="4"/>
  <c r="AA81" i="3"/>
  <c r="Y87" i="4"/>
  <c r="W81" i="3"/>
  <c r="X81" i="3"/>
  <c r="X78" i="3"/>
  <c r="X87" i="4"/>
  <c r="W92" i="4"/>
  <c r="V78" i="3"/>
  <c r="P77" i="3"/>
  <c r="O76" i="3"/>
  <c r="W87" i="4"/>
  <c r="P75" i="3"/>
  <c r="L80" i="3"/>
  <c r="O77" i="3"/>
  <c r="U85" i="4"/>
  <c r="O78" i="3"/>
  <c r="X82" i="3"/>
  <c r="Z98" i="4"/>
  <c r="Q80" i="3"/>
  <c r="J98" i="4"/>
  <c r="Q78" i="3"/>
  <c r="W89" i="4"/>
  <c r="K80" i="3"/>
  <c r="W77" i="3"/>
  <c r="V94" i="4"/>
  <c r="Y92" i="4"/>
  <c r="M81" i="3"/>
  <c r="J82" i="3"/>
  <c r="N75" i="3"/>
  <c r="X79" i="3"/>
  <c r="Q82" i="3"/>
  <c r="O80" i="3"/>
  <c r="X89" i="4"/>
  <c r="X98" i="4"/>
  <c r="N81" i="3"/>
  <c r="N82" i="3"/>
  <c r="Q75" i="3"/>
  <c r="M78" i="3"/>
  <c r="Z96" i="4"/>
  <c r="P80" i="3"/>
  <c r="V80" i="3"/>
  <c r="W76" i="3"/>
  <c r="Z87" i="4"/>
  <c r="W79" i="3"/>
  <c r="K75" i="3"/>
  <c r="Y81" i="3"/>
  <c r="V77" i="3"/>
  <c r="AA94" i="4"/>
  <c r="W85" i="4"/>
  <c r="V82" i="3"/>
  <c r="L75" i="3"/>
  <c r="Y98" i="4"/>
  <c r="U92" i="4"/>
  <c r="AA92" i="4"/>
  <c r="Z77" i="3"/>
  <c r="Z82" i="3"/>
  <c r="Y78" i="3"/>
  <c r="U89" i="4"/>
  <c r="Y85" i="4"/>
  <c r="W96" i="4"/>
  <c r="Z81" i="3"/>
  <c r="Z85" i="4"/>
  <c r="Y76" i="3"/>
  <c r="N78" i="3"/>
  <c r="Y77" i="3"/>
  <c r="X75" i="3"/>
  <c r="J76" i="3"/>
  <c r="J94" i="4"/>
  <c r="Y89" i="4"/>
  <c r="U87" i="4"/>
  <c r="Z79" i="3"/>
  <c r="X92" i="4"/>
  <c r="AA89" i="4"/>
  <c r="J79" i="3"/>
  <c r="N80" i="3"/>
  <c r="M76" i="3"/>
  <c r="J96" i="4"/>
  <c r="X76" i="3"/>
  <c r="X85" i="4"/>
  <c r="J83" i="4"/>
  <c r="M80" i="3"/>
  <c r="J81" i="3"/>
  <c r="U82" i="3"/>
  <c r="P78" i="3"/>
  <c r="AA96" i="4"/>
  <c r="W75" i="3"/>
  <c r="X83" i="4"/>
  <c r="P81" i="3"/>
  <c r="U80" i="3"/>
  <c r="J89" i="4"/>
  <c r="K76" i="3"/>
  <c r="V76" i="3"/>
  <c r="V85" i="4"/>
  <c r="W94" i="4"/>
  <c r="U98" i="4"/>
  <c r="V96" i="4"/>
  <c r="K79" i="3"/>
  <c r="J85" i="4"/>
  <c r="V98" i="4"/>
  <c r="M75" i="3"/>
  <c r="W83" i="4"/>
  <c r="X80" i="3"/>
  <c r="P82" i="3"/>
  <c r="V83" i="4"/>
  <c r="AA76" i="3"/>
  <c r="Z94" i="4"/>
  <c r="Z92" i="4"/>
  <c r="L78" i="3"/>
  <c r="X94" i="4"/>
  <c r="Z80" i="3"/>
  <c r="X77" i="3"/>
  <c r="Y96" i="4"/>
  <c r="P79" i="3"/>
  <c r="AA77" i="3"/>
  <c r="N76" i="3"/>
  <c r="AA75" i="3"/>
  <c r="Y75" i="3"/>
  <c r="J75" i="3"/>
  <c r="L79" i="3"/>
  <c r="AA79" i="3"/>
  <c r="AA80" i="3"/>
  <c r="AA87" i="4"/>
  <c r="V75" i="3"/>
  <c r="N79" i="3"/>
  <c r="Z89" i="4"/>
  <c r="AA82" i="3"/>
  <c r="U76" i="3"/>
  <c r="Y79" i="3"/>
  <c r="K82" i="3"/>
  <c r="Z78" i="3"/>
  <c r="L81" i="3"/>
  <c r="M77" i="3"/>
  <c r="O75" i="3"/>
  <c r="O79" i="3"/>
  <c r="P76" i="3"/>
  <c r="K77" i="3"/>
  <c r="U77" i="3"/>
  <c r="V79" i="3"/>
  <c r="W78" i="3"/>
  <c r="W82" i="3"/>
  <c r="V92" i="4"/>
  <c r="Q79" i="3"/>
  <c r="W80" i="3"/>
  <c r="AA83" i="4"/>
  <c r="U96" i="4"/>
  <c r="U75" i="3"/>
  <c r="J78" i="3"/>
  <c r="W98" i="4"/>
  <c r="Y83" i="4"/>
  <c r="U81" i="3"/>
  <c r="U94" i="4"/>
  <c r="J80" i="3"/>
  <c r="Z76" i="3"/>
  <c r="Z83" i="4"/>
  <c r="K81" i="3"/>
  <c r="AA78" i="3"/>
  <c r="S92" i="4" l="1"/>
  <c r="I87" i="4"/>
  <c r="I80" i="3"/>
  <c r="S79" i="3"/>
  <c r="S96" i="4"/>
  <c r="I85" i="4"/>
  <c r="I83" i="4"/>
  <c r="I81" i="3"/>
  <c r="I89" i="4"/>
  <c r="S75" i="3"/>
  <c r="I79" i="3"/>
  <c r="R79" i="3"/>
  <c r="T79" i="3"/>
  <c r="R94" i="4"/>
  <c r="T94" i="4"/>
  <c r="R78" i="3"/>
  <c r="T78" i="3"/>
  <c r="I77" i="3"/>
  <c r="R81" i="3"/>
  <c r="T81" i="3"/>
  <c r="R89" i="4"/>
  <c r="T89" i="4"/>
  <c r="S76" i="3"/>
  <c r="I75" i="3"/>
  <c r="T92" i="4"/>
  <c r="R92" i="4"/>
  <c r="T87" i="4"/>
  <c r="R87" i="4"/>
  <c r="T96" i="4"/>
  <c r="R96" i="4"/>
  <c r="R85" i="4"/>
  <c r="T85" i="4"/>
  <c r="S85" i="4"/>
  <c r="R77" i="3"/>
  <c r="T77" i="3"/>
  <c r="R83" i="4"/>
  <c r="T83" i="4"/>
  <c r="S83" i="4"/>
  <c r="S81" i="3"/>
  <c r="R98" i="4"/>
  <c r="T98" i="4"/>
  <c r="S89" i="4"/>
  <c r="I76" i="3"/>
  <c r="R76" i="3"/>
  <c r="T76" i="3"/>
  <c r="R82" i="3"/>
  <c r="T82" i="3"/>
  <c r="R80" i="3"/>
  <c r="T80" i="3"/>
  <c r="S87" i="4"/>
  <c r="S80" i="3"/>
  <c r="S94" i="4"/>
  <c r="I78" i="3"/>
  <c r="S78" i="3"/>
  <c r="S77" i="3"/>
  <c r="S98" i="4"/>
  <c r="R75" i="3"/>
  <c r="T75" i="3"/>
  <c r="S82" i="3"/>
  <c r="I82" i="3"/>
  <c r="C383" i="3"/>
  <c r="H351" i="3"/>
  <c r="I351" i="3" s="1"/>
  <c r="C378" i="3"/>
  <c r="H346" i="3"/>
  <c r="C382" i="3"/>
  <c r="H350" i="3"/>
  <c r="I350" i="3" s="1"/>
  <c r="C355" i="3"/>
  <c r="H323" i="3"/>
  <c r="C379" i="3"/>
  <c r="H347" i="3"/>
  <c r="I347" i="3" s="1"/>
  <c r="C359" i="3"/>
  <c r="H327" i="3"/>
  <c r="C385" i="3"/>
  <c r="H353" i="3"/>
  <c r="I353" i="3" s="1"/>
  <c r="C363" i="3"/>
  <c r="H331" i="3"/>
  <c r="C375" i="3"/>
  <c r="H343" i="3"/>
  <c r="C370" i="3"/>
  <c r="H338" i="3"/>
  <c r="C374" i="3"/>
  <c r="H342" i="3"/>
  <c r="C358" i="3"/>
  <c r="H326" i="3"/>
  <c r="C367" i="3"/>
  <c r="H335" i="3"/>
  <c r="C362" i="3"/>
  <c r="H330" i="3"/>
  <c r="C366" i="3"/>
  <c r="H334" i="3"/>
  <c r="C371" i="3"/>
  <c r="H339" i="3"/>
  <c r="C357" i="3"/>
  <c r="H325" i="3"/>
  <c r="C384" i="3"/>
  <c r="H352" i="3"/>
  <c r="I352" i="3" s="1"/>
  <c r="C377" i="3"/>
  <c r="H345" i="3"/>
  <c r="C356" i="3"/>
  <c r="H324" i="3"/>
  <c r="C381" i="3"/>
  <c r="H349" i="3"/>
  <c r="I349" i="3" s="1"/>
  <c r="C380" i="3"/>
  <c r="H348" i="3"/>
  <c r="I348" i="3" s="1"/>
  <c r="C360" i="3"/>
  <c r="H328" i="3"/>
  <c r="C364" i="3"/>
  <c r="H332" i="3"/>
  <c r="C376" i="3"/>
  <c r="H344" i="3"/>
  <c r="C369" i="3"/>
  <c r="H337" i="3"/>
  <c r="C373" i="3"/>
  <c r="H341" i="3"/>
  <c r="C368" i="3"/>
  <c r="H336" i="3"/>
  <c r="C361" i="3"/>
  <c r="H329" i="3"/>
  <c r="C365" i="3"/>
  <c r="H333" i="3"/>
  <c r="C372" i="3"/>
  <c r="H340" i="3"/>
  <c r="C386" i="3"/>
  <c r="H354" i="3"/>
  <c r="I354" i="3" s="1"/>
  <c r="C420" i="4"/>
  <c r="H388" i="4"/>
  <c r="C422" i="4"/>
  <c r="H390" i="4"/>
  <c r="C424" i="4"/>
  <c r="H392" i="4"/>
  <c r="C426" i="4"/>
  <c r="H394" i="4"/>
  <c r="C428" i="4"/>
  <c r="H396" i="4"/>
  <c r="C430" i="4"/>
  <c r="H398" i="4"/>
  <c r="C432" i="4"/>
  <c r="H400" i="4"/>
  <c r="C434" i="4"/>
  <c r="H402" i="4"/>
  <c r="C436" i="4"/>
  <c r="H404" i="4"/>
  <c r="C438" i="4"/>
  <c r="H406" i="4"/>
  <c r="C440" i="4"/>
  <c r="H408" i="4"/>
  <c r="C442" i="4"/>
  <c r="H410" i="4"/>
  <c r="C444" i="4"/>
  <c r="H412" i="4"/>
  <c r="I412" i="4" s="1"/>
  <c r="C446" i="4"/>
  <c r="H414" i="4"/>
  <c r="I414" i="4" s="1"/>
  <c r="C448" i="4"/>
  <c r="H416" i="4"/>
  <c r="I416" i="4" s="1"/>
  <c r="C450" i="4"/>
  <c r="H418" i="4"/>
  <c r="I418" i="4" s="1"/>
  <c r="G108" i="4"/>
  <c r="G110" i="4"/>
  <c r="G112" i="4"/>
  <c r="G114" i="4"/>
  <c r="C419" i="4"/>
  <c r="H387" i="4"/>
  <c r="C421" i="4"/>
  <c r="H389" i="4"/>
  <c r="C423" i="4"/>
  <c r="H391" i="4"/>
  <c r="C425" i="4"/>
  <c r="H393" i="4"/>
  <c r="C427" i="4"/>
  <c r="H395" i="4"/>
  <c r="C429" i="4"/>
  <c r="H397" i="4"/>
  <c r="C431" i="4"/>
  <c r="H399" i="4"/>
  <c r="C433" i="4"/>
  <c r="H401" i="4"/>
  <c r="C435" i="4"/>
  <c r="H403" i="4"/>
  <c r="C437" i="4"/>
  <c r="H405" i="4"/>
  <c r="C439" i="4"/>
  <c r="H407" i="4"/>
  <c r="C441" i="4"/>
  <c r="H409" i="4"/>
  <c r="C443" i="4"/>
  <c r="H411" i="4"/>
  <c r="I411" i="4" s="1"/>
  <c r="C445" i="4"/>
  <c r="H413" i="4"/>
  <c r="I413" i="4" s="1"/>
  <c r="C447" i="4"/>
  <c r="H415" i="4"/>
  <c r="I415" i="4" s="1"/>
  <c r="C449" i="4"/>
  <c r="H417" i="4"/>
  <c r="I417" i="4" s="1"/>
  <c r="G99" i="4"/>
  <c r="G103" i="4"/>
  <c r="G101" i="4"/>
  <c r="G105" i="4"/>
  <c r="G98" i="3"/>
  <c r="G96" i="3"/>
  <c r="G94" i="3"/>
  <c r="G92" i="3"/>
  <c r="G97" i="3"/>
  <c r="G95" i="3"/>
  <c r="G93" i="3"/>
  <c r="G91" i="3"/>
  <c r="AA84" i="3"/>
  <c r="Q87" i="3"/>
  <c r="Y97" i="4"/>
  <c r="U87" i="3"/>
  <c r="P86" i="3"/>
  <c r="M83" i="3"/>
  <c r="L85" i="3"/>
  <c r="Z106" i="4"/>
  <c r="P89" i="3"/>
  <c r="L86" i="3"/>
  <c r="Z97" i="4"/>
  <c r="J88" i="3"/>
  <c r="L84" i="3"/>
  <c r="Y102" i="4"/>
  <c r="P83" i="3"/>
  <c r="L90" i="3"/>
  <c r="L88" i="3"/>
  <c r="Y95" i="4"/>
  <c r="Z84" i="3"/>
  <c r="U95" i="4"/>
  <c r="W87" i="3"/>
  <c r="Y93" i="4"/>
  <c r="N85" i="3"/>
  <c r="Q90" i="3"/>
  <c r="W100" i="4"/>
  <c r="W91" i="4"/>
  <c r="AA102" i="4"/>
  <c r="V106" i="4"/>
  <c r="X102" i="4"/>
  <c r="O89" i="3"/>
  <c r="Z86" i="3"/>
  <c r="U83" i="3"/>
  <c r="X97" i="4"/>
  <c r="K85" i="3"/>
  <c r="K90" i="3"/>
  <c r="J106" i="4"/>
  <c r="Z87" i="3"/>
  <c r="J86" i="3"/>
  <c r="N83" i="3"/>
  <c r="V97" i="4"/>
  <c r="P88" i="3"/>
  <c r="W86" i="3"/>
  <c r="M85" i="3"/>
  <c r="P85" i="3"/>
  <c r="W97" i="4"/>
  <c r="K86" i="3"/>
  <c r="U93" i="4"/>
  <c r="Y90" i="3"/>
  <c r="Z83" i="3"/>
  <c r="W95" i="4"/>
  <c r="Q89" i="3"/>
  <c r="U102" i="4"/>
  <c r="K88" i="3"/>
  <c r="O84" i="3"/>
  <c r="O86" i="3"/>
  <c r="V102" i="4"/>
  <c r="AA93" i="4"/>
  <c r="W104" i="4"/>
  <c r="V84" i="3"/>
  <c r="Y91" i="4"/>
  <c r="AA86" i="3"/>
  <c r="Y85" i="3"/>
  <c r="X106" i="4"/>
  <c r="W93" i="4"/>
  <c r="V85" i="3"/>
  <c r="Y84" i="3"/>
  <c r="V93" i="4"/>
  <c r="O85" i="3"/>
  <c r="X83" i="3"/>
  <c r="N90" i="3"/>
  <c r="X91" i="4"/>
  <c r="M90" i="3"/>
  <c r="J91" i="4"/>
  <c r="U88" i="3"/>
  <c r="N87" i="3"/>
  <c r="J104" i="4"/>
  <c r="U84" i="3"/>
  <c r="X85" i="3"/>
  <c r="Z88" i="3"/>
  <c r="V89" i="3"/>
  <c r="M89" i="3"/>
  <c r="Y87" i="3"/>
  <c r="M87" i="3"/>
  <c r="N86" i="3"/>
  <c r="V100" i="4"/>
  <c r="V86" i="3"/>
  <c r="Q85" i="3"/>
  <c r="U90" i="3"/>
  <c r="Z95" i="4"/>
  <c r="L87" i="3"/>
  <c r="W90" i="3"/>
  <c r="J97" i="4"/>
  <c r="Z90" i="3"/>
  <c r="U85" i="3"/>
  <c r="AA87" i="3"/>
  <c r="Y104" i="4"/>
  <c r="Q83" i="3"/>
  <c r="Y100" i="4"/>
  <c r="O88" i="3"/>
  <c r="X90" i="3"/>
  <c r="X95" i="4"/>
  <c r="U106" i="4"/>
  <c r="Y88" i="3"/>
  <c r="V91" i="4"/>
  <c r="AA89" i="3"/>
  <c r="O83" i="3"/>
  <c r="U89" i="3"/>
  <c r="J84" i="3"/>
  <c r="N89" i="3"/>
  <c r="V83" i="3"/>
  <c r="W106" i="4"/>
  <c r="Y89" i="3"/>
  <c r="K84" i="3"/>
  <c r="V104" i="4"/>
  <c r="Y106" i="4"/>
  <c r="X100" i="4"/>
  <c r="Z91" i="4"/>
  <c r="Z104" i="4"/>
  <c r="P90" i="3"/>
  <c r="O90" i="3"/>
  <c r="X84" i="3"/>
  <c r="L89" i="3"/>
  <c r="N84" i="3"/>
  <c r="U86" i="3"/>
  <c r="J85" i="3"/>
  <c r="Z89" i="3"/>
  <c r="V95" i="4"/>
  <c r="AA97" i="4"/>
  <c r="Q88" i="3"/>
  <c r="AA85" i="3"/>
  <c r="J87" i="3"/>
  <c r="W85" i="3"/>
  <c r="P87" i="3"/>
  <c r="W89" i="3"/>
  <c r="AA104" i="4"/>
  <c r="Z93" i="4"/>
  <c r="X88" i="3"/>
  <c r="J93" i="4"/>
  <c r="X86" i="3"/>
  <c r="P84" i="3"/>
  <c r="J83" i="3"/>
  <c r="Z102" i="4"/>
  <c r="M88" i="3"/>
  <c r="AA83" i="3"/>
  <c r="U91" i="4"/>
  <c r="X104" i="4"/>
  <c r="AA90" i="3"/>
  <c r="AA91" i="4"/>
  <c r="AA95" i="4"/>
  <c r="X89" i="3"/>
  <c r="M86" i="3"/>
  <c r="W84" i="3"/>
  <c r="W88" i="3"/>
  <c r="U97" i="4"/>
  <c r="Z85" i="3"/>
  <c r="V90" i="3"/>
  <c r="Y83" i="3"/>
  <c r="Q84" i="3"/>
  <c r="U100" i="4"/>
  <c r="Y86" i="3"/>
  <c r="J89" i="3"/>
  <c r="K89" i="3"/>
  <c r="J102" i="4"/>
  <c r="K87" i="3"/>
  <c r="V87" i="3"/>
  <c r="Z100" i="4"/>
  <c r="J95" i="4"/>
  <c r="N88" i="3"/>
  <c r="V88" i="3"/>
  <c r="L83" i="3"/>
  <c r="W102" i="4"/>
  <c r="AA88" i="3"/>
  <c r="J100" i="4"/>
  <c r="X87" i="3"/>
  <c r="M84" i="3"/>
  <c r="X93" i="4"/>
  <c r="K83" i="3"/>
  <c r="J90" i="3"/>
  <c r="AA100" i="4"/>
  <c r="U104" i="4"/>
  <c r="AA106" i="4"/>
  <c r="O87" i="3"/>
  <c r="W83" i="3"/>
  <c r="Q86" i="3"/>
  <c r="S97" i="4" l="1"/>
  <c r="I106" i="4"/>
  <c r="I83" i="3"/>
  <c r="S83" i="3"/>
  <c r="S104" i="4"/>
  <c r="I104" i="4"/>
  <c r="R95" i="4"/>
  <c r="T95" i="4"/>
  <c r="I102" i="4"/>
  <c r="I89" i="3"/>
  <c r="S90" i="3"/>
  <c r="R93" i="4"/>
  <c r="T93" i="4"/>
  <c r="S91" i="4"/>
  <c r="S100" i="4"/>
  <c r="R100" i="4"/>
  <c r="T100" i="4"/>
  <c r="T86" i="3"/>
  <c r="R86" i="3"/>
  <c r="S106" i="4"/>
  <c r="T106" i="4"/>
  <c r="R106" i="4"/>
  <c r="I84" i="3"/>
  <c r="R104" i="4"/>
  <c r="T104" i="4"/>
  <c r="S85" i="3"/>
  <c r="T102" i="4"/>
  <c r="R102" i="4"/>
  <c r="S87" i="3"/>
  <c r="R91" i="4"/>
  <c r="T91" i="4"/>
  <c r="S84" i="3"/>
  <c r="I85" i="3"/>
  <c r="S102" i="4"/>
  <c r="I88" i="3"/>
  <c r="R88" i="3"/>
  <c r="T88" i="3"/>
  <c r="S89" i="3"/>
  <c r="R90" i="3"/>
  <c r="T90" i="3"/>
  <c r="I90" i="3"/>
  <c r="I86" i="3"/>
  <c r="T97" i="4"/>
  <c r="R97" i="4"/>
  <c r="R83" i="3"/>
  <c r="T83" i="3"/>
  <c r="R84" i="3"/>
  <c r="T84" i="3"/>
  <c r="T85" i="3"/>
  <c r="R85" i="3"/>
  <c r="S95" i="4"/>
  <c r="I87" i="3"/>
  <c r="R87" i="3"/>
  <c r="T87" i="3"/>
  <c r="S88" i="3"/>
  <c r="R89" i="3"/>
  <c r="T89" i="3"/>
  <c r="S93" i="4"/>
  <c r="I100" i="4"/>
  <c r="S86" i="3"/>
  <c r="C418" i="3"/>
  <c r="H386" i="3"/>
  <c r="I386" i="3" s="1"/>
  <c r="C397" i="3"/>
  <c r="H365" i="3"/>
  <c r="C400" i="3"/>
  <c r="H368" i="3"/>
  <c r="C401" i="3"/>
  <c r="H369" i="3"/>
  <c r="C396" i="3"/>
  <c r="H364" i="3"/>
  <c r="C392" i="3"/>
  <c r="H360" i="3"/>
  <c r="C413" i="3"/>
  <c r="H381" i="3"/>
  <c r="I381" i="3" s="1"/>
  <c r="C409" i="3"/>
  <c r="H377" i="3"/>
  <c r="C389" i="3"/>
  <c r="H357" i="3"/>
  <c r="C398" i="3"/>
  <c r="H366" i="3"/>
  <c r="C399" i="3"/>
  <c r="H367" i="3"/>
  <c r="C406" i="3"/>
  <c r="H374" i="3"/>
  <c r="C407" i="3"/>
  <c r="H375" i="3"/>
  <c r="C391" i="3"/>
  <c r="H359" i="3"/>
  <c r="C414" i="3"/>
  <c r="H382" i="3"/>
  <c r="I382" i="3" s="1"/>
  <c r="C415" i="3"/>
  <c r="H383" i="3"/>
  <c r="I383" i="3" s="1"/>
  <c r="C404" i="3"/>
  <c r="H372" i="3"/>
  <c r="C393" i="3"/>
  <c r="H361" i="3"/>
  <c r="C405" i="3"/>
  <c r="H373" i="3"/>
  <c r="C408" i="3"/>
  <c r="H376" i="3"/>
  <c r="C412" i="3"/>
  <c r="H380" i="3"/>
  <c r="I380" i="3" s="1"/>
  <c r="C388" i="3"/>
  <c r="H356" i="3"/>
  <c r="C416" i="3"/>
  <c r="H384" i="3"/>
  <c r="I384" i="3" s="1"/>
  <c r="C403" i="3"/>
  <c r="H371" i="3"/>
  <c r="C394" i="3"/>
  <c r="H362" i="3"/>
  <c r="C390" i="3"/>
  <c r="H358" i="3"/>
  <c r="C402" i="3"/>
  <c r="H370" i="3"/>
  <c r="C395" i="3"/>
  <c r="H363" i="3"/>
  <c r="C417" i="3"/>
  <c r="H385" i="3"/>
  <c r="I385" i="3" s="1"/>
  <c r="C411" i="3"/>
  <c r="H379" i="3"/>
  <c r="I379" i="3" s="1"/>
  <c r="C387" i="3"/>
  <c r="H355" i="3"/>
  <c r="C410" i="3"/>
  <c r="H378" i="3"/>
  <c r="G113" i="4"/>
  <c r="G109" i="4"/>
  <c r="G111" i="4"/>
  <c r="G107" i="4"/>
  <c r="C481" i="4"/>
  <c r="H449" i="4"/>
  <c r="I449" i="4" s="1"/>
  <c r="C479" i="4"/>
  <c r="H447" i="4"/>
  <c r="I447" i="4" s="1"/>
  <c r="C477" i="4"/>
  <c r="H445" i="4"/>
  <c r="I445" i="4" s="1"/>
  <c r="C475" i="4"/>
  <c r="H443" i="4"/>
  <c r="I443" i="4" s="1"/>
  <c r="C473" i="4"/>
  <c r="H441" i="4"/>
  <c r="C471" i="4"/>
  <c r="H439" i="4"/>
  <c r="C469" i="4"/>
  <c r="H437" i="4"/>
  <c r="C467" i="4"/>
  <c r="H435" i="4"/>
  <c r="C465" i="4"/>
  <c r="H433" i="4"/>
  <c r="C463" i="4"/>
  <c r="H431" i="4"/>
  <c r="C461" i="4"/>
  <c r="H429" i="4"/>
  <c r="C459" i="4"/>
  <c r="H427" i="4"/>
  <c r="C457" i="4"/>
  <c r="H425" i="4"/>
  <c r="C455" i="4"/>
  <c r="H423" i="4"/>
  <c r="C453" i="4"/>
  <c r="H421" i="4"/>
  <c r="C451" i="4"/>
  <c r="H419" i="4"/>
  <c r="G122" i="4"/>
  <c r="G120" i="4"/>
  <c r="G118" i="4"/>
  <c r="G116" i="4"/>
  <c r="C482" i="4"/>
  <c r="H450" i="4"/>
  <c r="I450" i="4" s="1"/>
  <c r="C480" i="4"/>
  <c r="H448" i="4"/>
  <c r="I448" i="4" s="1"/>
  <c r="C478" i="4"/>
  <c r="H446" i="4"/>
  <c r="I446" i="4" s="1"/>
  <c r="C476" i="4"/>
  <c r="H444" i="4"/>
  <c r="I444" i="4" s="1"/>
  <c r="C474" i="4"/>
  <c r="H442" i="4"/>
  <c r="C472" i="4"/>
  <c r="H440" i="4"/>
  <c r="C470" i="4"/>
  <c r="H438" i="4"/>
  <c r="C468" i="4"/>
  <c r="H436" i="4"/>
  <c r="C466" i="4"/>
  <c r="H434" i="4"/>
  <c r="C464" i="4"/>
  <c r="H432" i="4"/>
  <c r="C462" i="4"/>
  <c r="H430" i="4"/>
  <c r="C460" i="4"/>
  <c r="H428" i="4"/>
  <c r="C458" i="4"/>
  <c r="H426" i="4"/>
  <c r="C456" i="4"/>
  <c r="H424" i="4"/>
  <c r="C454" i="4"/>
  <c r="H422" i="4"/>
  <c r="C452" i="4"/>
  <c r="H420" i="4"/>
  <c r="G99" i="3"/>
  <c r="G101" i="3"/>
  <c r="G103" i="3"/>
  <c r="G105" i="3"/>
  <c r="G100" i="3"/>
  <c r="G102" i="3"/>
  <c r="G104" i="3"/>
  <c r="G106" i="3"/>
  <c r="N95" i="3"/>
  <c r="O93" i="3"/>
  <c r="J92" i="3"/>
  <c r="Y93" i="3"/>
  <c r="Y103" i="4"/>
  <c r="X96" i="3"/>
  <c r="AA93" i="3"/>
  <c r="W103" i="4"/>
  <c r="N98" i="3"/>
  <c r="J96" i="3"/>
  <c r="W98" i="3"/>
  <c r="Z103" i="4"/>
  <c r="U92" i="3"/>
  <c r="W96" i="3"/>
  <c r="V101" i="4"/>
  <c r="W114" i="4"/>
  <c r="Y91" i="3"/>
  <c r="Y110" i="4"/>
  <c r="Y108" i="4"/>
  <c r="V114" i="4"/>
  <c r="M91" i="3"/>
  <c r="X110" i="4"/>
  <c r="Q92" i="3"/>
  <c r="X101" i="4"/>
  <c r="P96" i="3"/>
  <c r="Y95" i="3"/>
  <c r="U99" i="4"/>
  <c r="P95" i="3"/>
  <c r="AA95" i="3"/>
  <c r="P92" i="3"/>
  <c r="K96" i="3"/>
  <c r="J105" i="4"/>
  <c r="O97" i="3"/>
  <c r="V110" i="4"/>
  <c r="Z110" i="4"/>
  <c r="V105" i="4"/>
  <c r="W105" i="4"/>
  <c r="Q91" i="3"/>
  <c r="L93" i="3"/>
  <c r="AA94" i="3"/>
  <c r="X91" i="3"/>
  <c r="V92" i="3"/>
  <c r="U97" i="3"/>
  <c r="Q97" i="3"/>
  <c r="L95" i="3"/>
  <c r="K92" i="3"/>
  <c r="J94" i="3"/>
  <c r="U110" i="4"/>
  <c r="AA105" i="4"/>
  <c r="W91" i="3"/>
  <c r="AA91" i="3"/>
  <c r="U105" i="4"/>
  <c r="U101" i="4"/>
  <c r="W101" i="4"/>
  <c r="J110" i="4"/>
  <c r="Z108" i="4"/>
  <c r="J93" i="3"/>
  <c r="AA101" i="4"/>
  <c r="W99" i="4"/>
  <c r="L97" i="3"/>
  <c r="J108" i="4"/>
  <c r="V93" i="3"/>
  <c r="X112" i="4"/>
  <c r="M96" i="3"/>
  <c r="M93" i="3"/>
  <c r="W97" i="3"/>
  <c r="Y112" i="4"/>
  <c r="U114" i="4"/>
  <c r="Q98" i="3"/>
  <c r="Z92" i="3"/>
  <c r="J103" i="4"/>
  <c r="Z96" i="3"/>
  <c r="X97" i="3"/>
  <c r="K91" i="3"/>
  <c r="AA92" i="3"/>
  <c r="U96" i="3"/>
  <c r="W108" i="4"/>
  <c r="O92" i="3"/>
  <c r="N97" i="3"/>
  <c r="Q94" i="3"/>
  <c r="Y99" i="4"/>
  <c r="J98" i="3"/>
  <c r="J112" i="4"/>
  <c r="P94" i="3"/>
  <c r="AA97" i="3"/>
  <c r="X95" i="3"/>
  <c r="W110" i="4"/>
  <c r="N94" i="3"/>
  <c r="U95" i="3"/>
  <c r="L94" i="3"/>
  <c r="X94" i="3"/>
  <c r="V103" i="4"/>
  <c r="N96" i="3"/>
  <c r="O98" i="3"/>
  <c r="J91" i="3"/>
  <c r="W92" i="3"/>
  <c r="Z97" i="3"/>
  <c r="AA114" i="4"/>
  <c r="W95" i="3"/>
  <c r="L91" i="3"/>
  <c r="K93" i="3"/>
  <c r="X108" i="4"/>
  <c r="V108" i="4"/>
  <c r="Z105" i="4"/>
  <c r="J114" i="4"/>
  <c r="V99" i="4"/>
  <c r="J101" i="4"/>
  <c r="Z114" i="4"/>
  <c r="V98" i="3"/>
  <c r="N93" i="3"/>
  <c r="Q96" i="3"/>
  <c r="U103" i="4"/>
  <c r="Y105" i="4"/>
  <c r="O96" i="3"/>
  <c r="M97" i="3"/>
  <c r="Z98" i="3"/>
  <c r="U98" i="3"/>
  <c r="P98" i="3"/>
  <c r="AA110" i="4"/>
  <c r="Z95" i="3"/>
  <c r="O94" i="3"/>
  <c r="Y94" i="3"/>
  <c r="L92" i="3"/>
  <c r="W112" i="4"/>
  <c r="W94" i="3"/>
  <c r="Y101" i="4"/>
  <c r="Y98" i="3"/>
  <c r="U112" i="4"/>
  <c r="M94" i="3"/>
  <c r="N92" i="3"/>
  <c r="U94" i="3"/>
  <c r="Z112" i="4"/>
  <c r="L96" i="3"/>
  <c r="P97" i="3"/>
  <c r="K95" i="3"/>
  <c r="W93" i="3"/>
  <c r="V96" i="3"/>
  <c r="V112" i="4"/>
  <c r="Y92" i="3"/>
  <c r="X114" i="4"/>
  <c r="U108" i="4"/>
  <c r="V97" i="3"/>
  <c r="X93" i="3"/>
  <c r="L98" i="3"/>
  <c r="Q93" i="3"/>
  <c r="O95" i="3"/>
  <c r="J99" i="4"/>
  <c r="Q95" i="3"/>
  <c r="AA99" i="4"/>
  <c r="AA112" i="4"/>
  <c r="P91" i="3"/>
  <c r="U93" i="3"/>
  <c r="Y97" i="3"/>
  <c r="K94" i="3"/>
  <c r="AA103" i="4"/>
  <c r="J95" i="3"/>
  <c r="Z93" i="3"/>
  <c r="P93" i="3"/>
  <c r="AA96" i="3"/>
  <c r="Z99" i="4"/>
  <c r="V94" i="3"/>
  <c r="X98" i="3"/>
  <c r="U91" i="3"/>
  <c r="K98" i="3"/>
  <c r="J97" i="3"/>
  <c r="N91" i="3"/>
  <c r="Y114" i="4"/>
  <c r="Z101" i="4"/>
  <c r="M98" i="3"/>
  <c r="M95" i="3"/>
  <c r="Z94" i="3"/>
  <c r="K97" i="3"/>
  <c r="Z91" i="3"/>
  <c r="V91" i="3"/>
  <c r="X99" i="4"/>
  <c r="X105" i="4"/>
  <c r="V95" i="3"/>
  <c r="X92" i="3"/>
  <c r="AA108" i="4"/>
  <c r="Y96" i="3"/>
  <c r="O91" i="3"/>
  <c r="X103" i="4"/>
  <c r="M92" i="3"/>
  <c r="AA98" i="3"/>
  <c r="S108" i="4" l="1"/>
  <c r="R108" i="4"/>
  <c r="T108" i="4"/>
  <c r="I108" i="4"/>
  <c r="R98" i="3"/>
  <c r="T98" i="3"/>
  <c r="S101" i="4"/>
  <c r="I101" i="4"/>
  <c r="S94" i="3"/>
  <c r="R93" i="3"/>
  <c r="T93" i="3"/>
  <c r="R114" i="4"/>
  <c r="T114" i="4"/>
  <c r="R92" i="3"/>
  <c r="T92" i="3"/>
  <c r="I103" i="4"/>
  <c r="S96" i="3"/>
  <c r="S95" i="3"/>
  <c r="I99" i="4"/>
  <c r="T99" i="4"/>
  <c r="R99" i="4"/>
  <c r="S97" i="3"/>
  <c r="S112" i="4"/>
  <c r="I112" i="4"/>
  <c r="R101" i="4"/>
  <c r="T101" i="4"/>
  <c r="R91" i="3"/>
  <c r="T91" i="3"/>
  <c r="T103" i="4"/>
  <c r="R103" i="4"/>
  <c r="R112" i="4"/>
  <c r="T112" i="4"/>
  <c r="S93" i="3"/>
  <c r="S114" i="4"/>
  <c r="S110" i="4"/>
  <c r="I110" i="4"/>
  <c r="S105" i="4"/>
  <c r="S91" i="3"/>
  <c r="R96" i="3"/>
  <c r="T96" i="3"/>
  <c r="S99" i="4"/>
  <c r="S98" i="3"/>
  <c r="R97" i="3"/>
  <c r="T97" i="3"/>
  <c r="R94" i="3"/>
  <c r="T94" i="3"/>
  <c r="I114" i="4"/>
  <c r="R110" i="4"/>
  <c r="T110" i="4"/>
  <c r="T105" i="4"/>
  <c r="R105" i="4"/>
  <c r="I105" i="4"/>
  <c r="S92" i="3"/>
  <c r="S103" i="4"/>
  <c r="R95" i="3"/>
  <c r="T95" i="3"/>
  <c r="C442" i="3"/>
  <c r="H410" i="3"/>
  <c r="C443" i="3"/>
  <c r="H411" i="3"/>
  <c r="I411" i="3" s="1"/>
  <c r="C427" i="3"/>
  <c r="H395" i="3"/>
  <c r="C422" i="3"/>
  <c r="H390" i="3"/>
  <c r="C435" i="3"/>
  <c r="H403" i="3"/>
  <c r="C420" i="3"/>
  <c r="H388" i="3"/>
  <c r="C440" i="3"/>
  <c r="H408" i="3"/>
  <c r="C425" i="3"/>
  <c r="H393" i="3"/>
  <c r="C446" i="3"/>
  <c r="H414" i="3"/>
  <c r="I414" i="3" s="1"/>
  <c r="C439" i="3"/>
  <c r="H407" i="3"/>
  <c r="C431" i="3"/>
  <c r="H399" i="3"/>
  <c r="C421" i="3"/>
  <c r="H389" i="3"/>
  <c r="C445" i="3"/>
  <c r="H413" i="3"/>
  <c r="I413" i="3" s="1"/>
  <c r="C428" i="3"/>
  <c r="H396" i="3"/>
  <c r="C432" i="3"/>
  <c r="H400" i="3"/>
  <c r="C450" i="3"/>
  <c r="H418" i="3"/>
  <c r="I418" i="3" s="1"/>
  <c r="C419" i="3"/>
  <c r="H387" i="3"/>
  <c r="C449" i="3"/>
  <c r="H417" i="3"/>
  <c r="I417" i="3" s="1"/>
  <c r="C434" i="3"/>
  <c r="H402" i="3"/>
  <c r="C426" i="3"/>
  <c r="H394" i="3"/>
  <c r="C448" i="3"/>
  <c r="H416" i="3"/>
  <c r="I416" i="3" s="1"/>
  <c r="C444" i="3"/>
  <c r="H412" i="3"/>
  <c r="I412" i="3" s="1"/>
  <c r="C437" i="3"/>
  <c r="H405" i="3"/>
  <c r="C436" i="3"/>
  <c r="H404" i="3"/>
  <c r="C447" i="3"/>
  <c r="H415" i="3"/>
  <c r="I415" i="3" s="1"/>
  <c r="C423" i="3"/>
  <c r="H391" i="3"/>
  <c r="C438" i="3"/>
  <c r="H406" i="3"/>
  <c r="C430" i="3"/>
  <c r="H398" i="3"/>
  <c r="C441" i="3"/>
  <c r="H409" i="3"/>
  <c r="C424" i="3"/>
  <c r="H392" i="3"/>
  <c r="C433" i="3"/>
  <c r="H401" i="3"/>
  <c r="C429" i="3"/>
  <c r="H397" i="3"/>
  <c r="C484" i="4"/>
  <c r="H452" i="4"/>
  <c r="C486" i="4"/>
  <c r="H454" i="4"/>
  <c r="C488" i="4"/>
  <c r="H456" i="4"/>
  <c r="C490" i="4"/>
  <c r="H458" i="4"/>
  <c r="C492" i="4"/>
  <c r="H460" i="4"/>
  <c r="C494" i="4"/>
  <c r="H462" i="4"/>
  <c r="C496" i="4"/>
  <c r="H464" i="4"/>
  <c r="C498" i="4"/>
  <c r="H466" i="4"/>
  <c r="C500" i="4"/>
  <c r="H468" i="4"/>
  <c r="C502" i="4"/>
  <c r="H470" i="4"/>
  <c r="C504" i="4"/>
  <c r="H472" i="4"/>
  <c r="C506" i="4"/>
  <c r="H474" i="4"/>
  <c r="C508" i="4"/>
  <c r="H476" i="4"/>
  <c r="I476" i="4" s="1"/>
  <c r="C510" i="4"/>
  <c r="H478" i="4"/>
  <c r="I478" i="4" s="1"/>
  <c r="C512" i="4"/>
  <c r="H480" i="4"/>
  <c r="I480" i="4" s="1"/>
  <c r="C514" i="4"/>
  <c r="H482" i="4"/>
  <c r="I482" i="4" s="1"/>
  <c r="G124" i="4"/>
  <c r="G126" i="4"/>
  <c r="G128" i="4"/>
  <c r="G130" i="4"/>
  <c r="C483" i="4"/>
  <c r="H451" i="4"/>
  <c r="C485" i="4"/>
  <c r="H453" i="4"/>
  <c r="C487" i="4"/>
  <c r="H455" i="4"/>
  <c r="C489" i="4"/>
  <c r="H457" i="4"/>
  <c r="C491" i="4"/>
  <c r="H459" i="4"/>
  <c r="C493" i="4"/>
  <c r="H461" i="4"/>
  <c r="C495" i="4"/>
  <c r="H463" i="4"/>
  <c r="C497" i="4"/>
  <c r="H465" i="4"/>
  <c r="C499" i="4"/>
  <c r="H467" i="4"/>
  <c r="C501" i="4"/>
  <c r="H469" i="4"/>
  <c r="C503" i="4"/>
  <c r="H471" i="4"/>
  <c r="C505" i="4"/>
  <c r="H473" i="4"/>
  <c r="C507" i="4"/>
  <c r="H475" i="4"/>
  <c r="I475" i="4" s="1"/>
  <c r="C509" i="4"/>
  <c r="H477" i="4"/>
  <c r="I477" i="4" s="1"/>
  <c r="C511" i="4"/>
  <c r="H479" i="4"/>
  <c r="I479" i="4" s="1"/>
  <c r="C513" i="4"/>
  <c r="H481" i="4"/>
  <c r="I481" i="4" s="1"/>
  <c r="G115" i="4"/>
  <c r="G119" i="4"/>
  <c r="G117" i="4"/>
  <c r="G121" i="4"/>
  <c r="G114" i="3"/>
  <c r="G112" i="3"/>
  <c r="G110" i="3"/>
  <c r="G108" i="3"/>
  <c r="G113" i="3"/>
  <c r="G111" i="3"/>
  <c r="G109" i="3"/>
  <c r="G107" i="3"/>
  <c r="X120" i="4"/>
  <c r="W109" i="4"/>
  <c r="Q101" i="3"/>
  <c r="P102" i="3"/>
  <c r="K101" i="3"/>
  <c r="V102" i="3"/>
  <c r="Y105" i="3"/>
  <c r="N99" i="3"/>
  <c r="AA111" i="4"/>
  <c r="M101" i="3"/>
  <c r="W122" i="4"/>
  <c r="AA102" i="3"/>
  <c r="U111" i="4"/>
  <c r="U122" i="4"/>
  <c r="L99" i="3"/>
  <c r="W102" i="3"/>
  <c r="Z104" i="3"/>
  <c r="V105" i="3"/>
  <c r="Y120" i="4"/>
  <c r="Y106" i="3"/>
  <c r="Q99" i="3"/>
  <c r="W100" i="3"/>
  <c r="X102" i="3"/>
  <c r="U113" i="4"/>
  <c r="K106" i="3"/>
  <c r="U120" i="4"/>
  <c r="Q105" i="3"/>
  <c r="N106" i="3"/>
  <c r="V104" i="3"/>
  <c r="P105" i="3"/>
  <c r="AA101" i="3"/>
  <c r="W105" i="3"/>
  <c r="O101" i="3"/>
  <c r="W106" i="3"/>
  <c r="AA99" i="3"/>
  <c r="P103" i="3"/>
  <c r="K105" i="3"/>
  <c r="Z122" i="4"/>
  <c r="Y100" i="3"/>
  <c r="K100" i="3"/>
  <c r="V111" i="4"/>
  <c r="Y99" i="3"/>
  <c r="Z116" i="4"/>
  <c r="W101" i="3"/>
  <c r="X100" i="3"/>
  <c r="J120" i="4"/>
  <c r="AA106" i="3"/>
  <c r="X111" i="4"/>
  <c r="X106" i="3"/>
  <c r="N100" i="3"/>
  <c r="J107" i="4"/>
  <c r="V122" i="4"/>
  <c r="J116" i="4"/>
  <c r="V113" i="4"/>
  <c r="AA116" i="4"/>
  <c r="Z106" i="3"/>
  <c r="J103" i="3"/>
  <c r="W103" i="3"/>
  <c r="AA100" i="3"/>
  <c r="U105" i="3"/>
  <c r="N101" i="3"/>
  <c r="W116" i="4"/>
  <c r="Y103" i="3"/>
  <c r="P106" i="3"/>
  <c r="J104" i="3"/>
  <c r="Y122" i="4"/>
  <c r="V101" i="3"/>
  <c r="Q106" i="3"/>
  <c r="Y101" i="3"/>
  <c r="X103" i="3"/>
  <c r="U104" i="3"/>
  <c r="Z109" i="4"/>
  <c r="L100" i="3"/>
  <c r="U100" i="3"/>
  <c r="AA118" i="4"/>
  <c r="M102" i="3"/>
  <c r="Z101" i="3"/>
  <c r="Z103" i="3"/>
  <c r="Q100" i="3"/>
  <c r="Y111" i="4"/>
  <c r="O105" i="3"/>
  <c r="K99" i="3"/>
  <c r="Z120" i="4"/>
  <c r="M106" i="3"/>
  <c r="X104" i="3"/>
  <c r="P99" i="3"/>
  <c r="J102" i="3"/>
  <c r="L106" i="3"/>
  <c r="X118" i="4"/>
  <c r="Y113" i="4"/>
  <c r="P100" i="3"/>
  <c r="Z111" i="4"/>
  <c r="W104" i="3"/>
  <c r="M103" i="3"/>
  <c r="Y102" i="3"/>
  <c r="W118" i="4"/>
  <c r="V107" i="4"/>
  <c r="L102" i="3"/>
  <c r="M104" i="3"/>
  <c r="U103" i="3"/>
  <c r="O106" i="3"/>
  <c r="M100" i="3"/>
  <c r="AA113" i="4"/>
  <c r="O99" i="3"/>
  <c r="L101" i="3"/>
  <c r="U118" i="4"/>
  <c r="N102" i="3"/>
  <c r="W111" i="4"/>
  <c r="Y109" i="4"/>
  <c r="AA122" i="4"/>
  <c r="X105" i="3"/>
  <c r="V118" i="4"/>
  <c r="J99" i="3"/>
  <c r="AA105" i="3"/>
  <c r="N105" i="3"/>
  <c r="Z99" i="3"/>
  <c r="AA103" i="3"/>
  <c r="L105" i="3"/>
  <c r="W99" i="3"/>
  <c r="J111" i="4"/>
  <c r="X101" i="3"/>
  <c r="Z118" i="4"/>
  <c r="J100" i="3"/>
  <c r="Q104" i="3"/>
  <c r="K104" i="3"/>
  <c r="AA120" i="4"/>
  <c r="J109" i="4"/>
  <c r="L104" i="3"/>
  <c r="M105" i="3"/>
  <c r="M99" i="3"/>
  <c r="V120" i="4"/>
  <c r="AA109" i="4"/>
  <c r="V103" i="3"/>
  <c r="X107" i="4"/>
  <c r="N104" i="3"/>
  <c r="V116" i="4"/>
  <c r="U107" i="4"/>
  <c r="K103" i="3"/>
  <c r="AA104" i="3"/>
  <c r="U102" i="3"/>
  <c r="Q103" i="3"/>
  <c r="X109" i="4"/>
  <c r="W113" i="4"/>
  <c r="O102" i="3"/>
  <c r="X99" i="3"/>
  <c r="V100" i="3"/>
  <c r="U116" i="4"/>
  <c r="Z107" i="4"/>
  <c r="J101" i="3"/>
  <c r="J113" i="4"/>
  <c r="Y118" i="4"/>
  <c r="O104" i="3"/>
  <c r="AA107" i="4"/>
  <c r="X113" i="4"/>
  <c r="Y104" i="3"/>
  <c r="U109" i="4"/>
  <c r="V106" i="3"/>
  <c r="W120" i="4"/>
  <c r="J118" i="4"/>
  <c r="Z102" i="3"/>
  <c r="X122" i="4"/>
  <c r="Z113" i="4"/>
  <c r="J105" i="3"/>
  <c r="W107" i="4"/>
  <c r="O103" i="3"/>
  <c r="L103" i="3"/>
  <c r="J106" i="3"/>
  <c r="K102" i="3"/>
  <c r="U106" i="3"/>
  <c r="Y116" i="4"/>
  <c r="U101" i="3"/>
  <c r="V99" i="3"/>
  <c r="Z105" i="3"/>
  <c r="Q102" i="3"/>
  <c r="O100" i="3"/>
  <c r="X116" i="4"/>
  <c r="Y107" i="4"/>
  <c r="J122" i="4"/>
  <c r="P101" i="3"/>
  <c r="V109" i="4"/>
  <c r="U99" i="3"/>
  <c r="N103" i="3"/>
  <c r="P104" i="3"/>
  <c r="Z100" i="3"/>
  <c r="T113" i="4" l="1"/>
  <c r="R113" i="4"/>
  <c r="I122" i="4"/>
  <c r="S99" i="3"/>
  <c r="I100" i="3"/>
  <c r="T109" i="4"/>
  <c r="R109" i="4"/>
  <c r="S102" i="3"/>
  <c r="S118" i="4"/>
  <c r="S103" i="3"/>
  <c r="I104" i="3"/>
  <c r="T104" i="3"/>
  <c r="R104" i="3"/>
  <c r="I105" i="3"/>
  <c r="S106" i="3"/>
  <c r="I120" i="4"/>
  <c r="S113" i="4"/>
  <c r="T122" i="4"/>
  <c r="R122" i="4"/>
  <c r="R99" i="3"/>
  <c r="T99" i="3"/>
  <c r="S109" i="4"/>
  <c r="S111" i="4"/>
  <c r="I118" i="4"/>
  <c r="R103" i="3"/>
  <c r="T103" i="3"/>
  <c r="I116" i="4"/>
  <c r="S101" i="3"/>
  <c r="S105" i="3"/>
  <c r="R120" i="4"/>
  <c r="T120" i="4"/>
  <c r="I102" i="3"/>
  <c r="I111" i="4"/>
  <c r="I103" i="3"/>
  <c r="S116" i="4"/>
  <c r="R116" i="4"/>
  <c r="T116" i="4"/>
  <c r="S107" i="4"/>
  <c r="I107" i="4"/>
  <c r="I106" i="3"/>
  <c r="S120" i="4"/>
  <c r="I113" i="4"/>
  <c r="S122" i="4"/>
  <c r="I99" i="3"/>
  <c r="S100" i="3"/>
  <c r="T100" i="3"/>
  <c r="R100" i="3"/>
  <c r="I109" i="4"/>
  <c r="T102" i="3"/>
  <c r="R102" i="3"/>
  <c r="R111" i="4"/>
  <c r="T111" i="4"/>
  <c r="T118" i="4"/>
  <c r="R118" i="4"/>
  <c r="S104" i="3"/>
  <c r="T101" i="3"/>
  <c r="R101" i="3"/>
  <c r="I101" i="3"/>
  <c r="T107" i="4"/>
  <c r="R107" i="4"/>
  <c r="R105" i="3"/>
  <c r="T105" i="3"/>
  <c r="R106" i="3"/>
  <c r="T106" i="3"/>
  <c r="C464" i="3"/>
  <c r="H432" i="3"/>
  <c r="C477" i="3"/>
  <c r="H445" i="3"/>
  <c r="I445" i="3" s="1"/>
  <c r="C463" i="3"/>
  <c r="H431" i="3"/>
  <c r="C478" i="3"/>
  <c r="H446" i="3"/>
  <c r="I446" i="3" s="1"/>
  <c r="C472" i="3"/>
  <c r="H440" i="3"/>
  <c r="C467" i="3"/>
  <c r="H435" i="3"/>
  <c r="C459" i="3"/>
  <c r="H427" i="3"/>
  <c r="C474" i="3"/>
  <c r="H442" i="3"/>
  <c r="C461" i="3"/>
  <c r="H429" i="3"/>
  <c r="C456" i="3"/>
  <c r="H424" i="3"/>
  <c r="C462" i="3"/>
  <c r="H430" i="3"/>
  <c r="C455" i="3"/>
  <c r="H423" i="3"/>
  <c r="C468" i="3"/>
  <c r="H436" i="3"/>
  <c r="C476" i="3"/>
  <c r="H444" i="3"/>
  <c r="I444" i="3" s="1"/>
  <c r="C458" i="3"/>
  <c r="H426" i="3"/>
  <c r="C481" i="3"/>
  <c r="H449" i="3"/>
  <c r="I449" i="3" s="1"/>
  <c r="C482" i="3"/>
  <c r="H450" i="3"/>
  <c r="I450" i="3" s="1"/>
  <c r="C460" i="3"/>
  <c r="H428" i="3"/>
  <c r="C453" i="3"/>
  <c r="H421" i="3"/>
  <c r="C471" i="3"/>
  <c r="H439" i="3"/>
  <c r="C457" i="3"/>
  <c r="H425" i="3"/>
  <c r="C452" i="3"/>
  <c r="H420" i="3"/>
  <c r="C454" i="3"/>
  <c r="H422" i="3"/>
  <c r="C475" i="3"/>
  <c r="H443" i="3"/>
  <c r="I443" i="3" s="1"/>
  <c r="C465" i="3"/>
  <c r="H433" i="3"/>
  <c r="C473" i="3"/>
  <c r="H441" i="3"/>
  <c r="C470" i="3"/>
  <c r="H438" i="3"/>
  <c r="C479" i="3"/>
  <c r="H447" i="3"/>
  <c r="I447" i="3" s="1"/>
  <c r="C469" i="3"/>
  <c r="H437" i="3"/>
  <c r="C480" i="3"/>
  <c r="H448" i="3"/>
  <c r="I448" i="3" s="1"/>
  <c r="C466" i="3"/>
  <c r="H434" i="3"/>
  <c r="C451" i="3"/>
  <c r="H419" i="3"/>
  <c r="G129" i="4"/>
  <c r="G125" i="4"/>
  <c r="G127" i="4"/>
  <c r="G123" i="4"/>
  <c r="C545" i="4"/>
  <c r="H513" i="4"/>
  <c r="I513" i="4" s="1"/>
  <c r="C543" i="4"/>
  <c r="H511" i="4"/>
  <c r="I511" i="4" s="1"/>
  <c r="C541" i="4"/>
  <c r="H509" i="4"/>
  <c r="I509" i="4" s="1"/>
  <c r="C539" i="4"/>
  <c r="H507" i="4"/>
  <c r="I507" i="4" s="1"/>
  <c r="C537" i="4"/>
  <c r="H505" i="4"/>
  <c r="C535" i="4"/>
  <c r="H503" i="4"/>
  <c r="C533" i="4"/>
  <c r="H501" i="4"/>
  <c r="C531" i="4"/>
  <c r="H499" i="4"/>
  <c r="C529" i="4"/>
  <c r="H497" i="4"/>
  <c r="C527" i="4"/>
  <c r="H495" i="4"/>
  <c r="C525" i="4"/>
  <c r="H493" i="4"/>
  <c r="C523" i="4"/>
  <c r="H491" i="4"/>
  <c r="C521" i="4"/>
  <c r="H489" i="4"/>
  <c r="C519" i="4"/>
  <c r="H487" i="4"/>
  <c r="C517" i="4"/>
  <c r="H485" i="4"/>
  <c r="C515" i="4"/>
  <c r="H483" i="4"/>
  <c r="G138" i="4"/>
  <c r="G136" i="4"/>
  <c r="G134" i="4"/>
  <c r="G132" i="4"/>
  <c r="C546" i="4"/>
  <c r="H514" i="4"/>
  <c r="I514" i="4" s="1"/>
  <c r="C544" i="4"/>
  <c r="H512" i="4"/>
  <c r="I512" i="4" s="1"/>
  <c r="C542" i="4"/>
  <c r="H510" i="4"/>
  <c r="I510" i="4" s="1"/>
  <c r="C540" i="4"/>
  <c r="H508" i="4"/>
  <c r="I508" i="4" s="1"/>
  <c r="C538" i="4"/>
  <c r="H506" i="4"/>
  <c r="C536" i="4"/>
  <c r="H504" i="4"/>
  <c r="C534" i="4"/>
  <c r="H502" i="4"/>
  <c r="C532" i="4"/>
  <c r="H500" i="4"/>
  <c r="C530" i="4"/>
  <c r="H498" i="4"/>
  <c r="C528" i="4"/>
  <c r="H496" i="4"/>
  <c r="C526" i="4"/>
  <c r="H494" i="4"/>
  <c r="C524" i="4"/>
  <c r="H492" i="4"/>
  <c r="C522" i="4"/>
  <c r="H490" i="4"/>
  <c r="C520" i="4"/>
  <c r="H488" i="4"/>
  <c r="C518" i="4"/>
  <c r="H486" i="4"/>
  <c r="C516" i="4"/>
  <c r="H484" i="4"/>
  <c r="G115" i="3"/>
  <c r="G117" i="3"/>
  <c r="G119" i="3"/>
  <c r="G121" i="3"/>
  <c r="G116" i="3"/>
  <c r="G118" i="3"/>
  <c r="G120" i="3"/>
  <c r="G122" i="3"/>
  <c r="Y126" i="4"/>
  <c r="Y114" i="3"/>
  <c r="P107" i="3"/>
  <c r="O114" i="3"/>
  <c r="Q111" i="3"/>
  <c r="Z113" i="3"/>
  <c r="J119" i="4"/>
  <c r="J108" i="3"/>
  <c r="Q112" i="3"/>
  <c r="Y108" i="3"/>
  <c r="P110" i="3"/>
  <c r="AA111" i="3"/>
  <c r="X110" i="3"/>
  <c r="V124" i="4"/>
  <c r="O112" i="3"/>
  <c r="J110" i="3"/>
  <c r="M114" i="3"/>
  <c r="L109" i="3"/>
  <c r="AA109" i="3"/>
  <c r="W110" i="3"/>
  <c r="J126" i="4"/>
  <c r="AA121" i="4"/>
  <c r="U117" i="4"/>
  <c r="U126" i="4"/>
  <c r="AA110" i="3"/>
  <c r="X128" i="4"/>
  <c r="M111" i="3"/>
  <c r="V126" i="4"/>
  <c r="Q110" i="3"/>
  <c r="Y107" i="3"/>
  <c r="U109" i="3"/>
  <c r="U111" i="3"/>
  <c r="V119" i="4"/>
  <c r="X111" i="3"/>
  <c r="U121" i="4"/>
  <c r="K108" i="3"/>
  <c r="O107" i="3"/>
  <c r="J113" i="3"/>
  <c r="Z124" i="4"/>
  <c r="V128" i="4"/>
  <c r="Z111" i="3"/>
  <c r="J114" i="3"/>
  <c r="N108" i="3"/>
  <c r="Y128" i="4"/>
  <c r="P112" i="3"/>
  <c r="Z119" i="4"/>
  <c r="V114" i="3"/>
  <c r="Y121" i="4"/>
  <c r="M107" i="3"/>
  <c r="W115" i="4"/>
  <c r="N109" i="3"/>
  <c r="V112" i="3"/>
  <c r="M110" i="3"/>
  <c r="X121" i="4"/>
  <c r="Y112" i="3"/>
  <c r="U124" i="4"/>
  <c r="O113" i="3"/>
  <c r="X124" i="4"/>
  <c r="V109" i="3"/>
  <c r="Z114" i="3"/>
  <c r="U112" i="3"/>
  <c r="M113" i="3"/>
  <c r="N107" i="3"/>
  <c r="P111" i="3"/>
  <c r="X114" i="3"/>
  <c r="X130" i="4"/>
  <c r="W119" i="4"/>
  <c r="O111" i="3"/>
  <c r="U107" i="3"/>
  <c r="AA114" i="3"/>
  <c r="V111" i="3"/>
  <c r="Z121" i="4"/>
  <c r="AA119" i="4"/>
  <c r="W111" i="3"/>
  <c r="P114" i="3"/>
  <c r="O110" i="3"/>
  <c r="K109" i="3"/>
  <c r="W124" i="4"/>
  <c r="W112" i="3"/>
  <c r="J124" i="4"/>
  <c r="AA126" i="4"/>
  <c r="K111" i="3"/>
  <c r="J107" i="3"/>
  <c r="L111" i="3"/>
  <c r="P113" i="3"/>
  <c r="K114" i="3"/>
  <c r="N112" i="3"/>
  <c r="K107" i="3"/>
  <c r="U119" i="4"/>
  <c r="W130" i="4"/>
  <c r="O108" i="3"/>
  <c r="AA112" i="3"/>
  <c r="U114" i="3"/>
  <c r="N111" i="3"/>
  <c r="Q109" i="3"/>
  <c r="Z108" i="3"/>
  <c r="Y130" i="4"/>
  <c r="J109" i="3"/>
  <c r="L113" i="3"/>
  <c r="W117" i="4"/>
  <c r="Z110" i="3"/>
  <c r="N113" i="3"/>
  <c r="AA107" i="3"/>
  <c r="L108" i="3"/>
  <c r="Y113" i="3"/>
  <c r="W126" i="4"/>
  <c r="X119" i="4"/>
  <c r="Z128" i="4"/>
  <c r="Q107" i="3"/>
  <c r="Y117" i="4"/>
  <c r="Z130" i="4"/>
  <c r="Z109" i="3"/>
  <c r="U115" i="4"/>
  <c r="Z117" i="4"/>
  <c r="U130" i="4"/>
  <c r="L112" i="3"/>
  <c r="K110" i="3"/>
  <c r="L110" i="3"/>
  <c r="AA130" i="4"/>
  <c r="AA128" i="4"/>
  <c r="V107" i="3"/>
  <c r="AA124" i="4"/>
  <c r="Y115" i="4"/>
  <c r="U108" i="3"/>
  <c r="Q114" i="3"/>
  <c r="V108" i="3"/>
  <c r="AA113" i="3"/>
  <c r="X117" i="4"/>
  <c r="X115" i="4"/>
  <c r="AA117" i="4"/>
  <c r="X107" i="3"/>
  <c r="Q108" i="3"/>
  <c r="K112" i="3"/>
  <c r="Y124" i="4"/>
  <c r="U128" i="4"/>
  <c r="J112" i="3"/>
  <c r="W128" i="4"/>
  <c r="Z107" i="3"/>
  <c r="Y110" i="3"/>
  <c r="X109" i="3"/>
  <c r="V115" i="4"/>
  <c r="W121" i="4"/>
  <c r="O109" i="3"/>
  <c r="N114" i="3"/>
  <c r="Z112" i="3"/>
  <c r="P109" i="3"/>
  <c r="Y109" i="3"/>
  <c r="Q113" i="3"/>
  <c r="J117" i="4"/>
  <c r="V110" i="3"/>
  <c r="V113" i="3"/>
  <c r="V130" i="4"/>
  <c r="X112" i="3"/>
  <c r="J121" i="4"/>
  <c r="J128" i="4"/>
  <c r="W113" i="3"/>
  <c r="N110" i="3"/>
  <c r="L107" i="3"/>
  <c r="P108" i="3"/>
  <c r="J130" i="4"/>
  <c r="X108" i="3"/>
  <c r="U113" i="3"/>
  <c r="Z115" i="4"/>
  <c r="Y119" i="4"/>
  <c r="L114" i="3"/>
  <c r="AA108" i="3"/>
  <c r="X113" i="3"/>
  <c r="AA115" i="4"/>
  <c r="W109" i="3"/>
  <c r="M109" i="3"/>
  <c r="W114" i="3"/>
  <c r="M108" i="3"/>
  <c r="J111" i="3"/>
  <c r="J115" i="4"/>
  <c r="W108" i="3"/>
  <c r="W107" i="3"/>
  <c r="U110" i="3"/>
  <c r="V117" i="4"/>
  <c r="Z126" i="4"/>
  <c r="Y111" i="3"/>
  <c r="V121" i="4"/>
  <c r="K113" i="3"/>
  <c r="X126" i="4"/>
  <c r="M112" i="3"/>
  <c r="I113" i="3" l="1"/>
  <c r="S113" i="3"/>
  <c r="I119" i="4"/>
  <c r="I111" i="3"/>
  <c r="I117" i="4"/>
  <c r="T112" i="3"/>
  <c r="R112" i="3"/>
  <c r="R107" i="3"/>
  <c r="T107" i="3"/>
  <c r="S119" i="4"/>
  <c r="T119" i="4"/>
  <c r="R119" i="4"/>
  <c r="S111" i="3"/>
  <c r="T111" i="3"/>
  <c r="R111" i="3"/>
  <c r="R117" i="4"/>
  <c r="T117" i="4"/>
  <c r="R110" i="3"/>
  <c r="T110" i="3"/>
  <c r="S109" i="3"/>
  <c r="I108" i="3"/>
  <c r="I107" i="3"/>
  <c r="R114" i="3"/>
  <c r="T114" i="3"/>
  <c r="R126" i="4"/>
  <c r="T126" i="4"/>
  <c r="S124" i="4"/>
  <c r="R124" i="4"/>
  <c r="T124" i="4"/>
  <c r="S115" i="4"/>
  <c r="I115" i="4"/>
  <c r="R128" i="4"/>
  <c r="T128" i="4"/>
  <c r="S117" i="4"/>
  <c r="S110" i="3"/>
  <c r="R109" i="3"/>
  <c r="T109" i="3"/>
  <c r="I109" i="3"/>
  <c r="I112" i="3"/>
  <c r="S121" i="4"/>
  <c r="T121" i="4"/>
  <c r="R121" i="4"/>
  <c r="I121" i="4"/>
  <c r="S108" i="3"/>
  <c r="I114" i="3"/>
  <c r="S126" i="4"/>
  <c r="T115" i="4"/>
  <c r="R115" i="4"/>
  <c r="R113" i="3"/>
  <c r="T113" i="3"/>
  <c r="S128" i="4"/>
  <c r="I110" i="3"/>
  <c r="S112" i="3"/>
  <c r="S130" i="4"/>
  <c r="R130" i="4"/>
  <c r="T130" i="4"/>
  <c r="T108" i="3"/>
  <c r="R108" i="3"/>
  <c r="S107" i="3"/>
  <c r="S114" i="3"/>
  <c r="C507" i="3"/>
  <c r="H475" i="3"/>
  <c r="I475" i="3" s="1"/>
  <c r="C484" i="3"/>
  <c r="H452" i="3"/>
  <c r="C503" i="3"/>
  <c r="H471" i="3"/>
  <c r="C492" i="3"/>
  <c r="H460" i="3"/>
  <c r="C491" i="3"/>
  <c r="H459" i="3"/>
  <c r="C504" i="3"/>
  <c r="H472" i="3"/>
  <c r="C495" i="3"/>
  <c r="H463" i="3"/>
  <c r="C496" i="3"/>
  <c r="H464" i="3"/>
  <c r="C498" i="3"/>
  <c r="H466" i="3"/>
  <c r="C501" i="3"/>
  <c r="H469" i="3"/>
  <c r="C502" i="3"/>
  <c r="H470" i="3"/>
  <c r="C497" i="3"/>
  <c r="H465" i="3"/>
  <c r="C513" i="3"/>
  <c r="H481" i="3"/>
  <c r="I481" i="3" s="1"/>
  <c r="C508" i="3"/>
  <c r="H476" i="3"/>
  <c r="I476" i="3" s="1"/>
  <c r="C487" i="3"/>
  <c r="H455" i="3"/>
  <c r="C488" i="3"/>
  <c r="H456" i="3"/>
  <c r="C486" i="3"/>
  <c r="H454" i="3"/>
  <c r="C489" i="3"/>
  <c r="H457" i="3"/>
  <c r="C485" i="3"/>
  <c r="H453" i="3"/>
  <c r="C514" i="3"/>
  <c r="H482" i="3"/>
  <c r="I482" i="3" s="1"/>
  <c r="C506" i="3"/>
  <c r="H474" i="3"/>
  <c r="C499" i="3"/>
  <c r="H467" i="3"/>
  <c r="C510" i="3"/>
  <c r="H478" i="3"/>
  <c r="I478" i="3" s="1"/>
  <c r="C509" i="3"/>
  <c r="H477" i="3"/>
  <c r="I477" i="3" s="1"/>
  <c r="C483" i="3"/>
  <c r="H451" i="3"/>
  <c r="C512" i="3"/>
  <c r="H480" i="3"/>
  <c r="I480" i="3" s="1"/>
  <c r="C511" i="3"/>
  <c r="H479" i="3"/>
  <c r="I479" i="3" s="1"/>
  <c r="C505" i="3"/>
  <c r="H473" i="3"/>
  <c r="C490" i="3"/>
  <c r="H458" i="3"/>
  <c r="C500" i="3"/>
  <c r="H468" i="3"/>
  <c r="C494" i="3"/>
  <c r="H462" i="3"/>
  <c r="C493" i="3"/>
  <c r="H461" i="3"/>
  <c r="C548" i="4"/>
  <c r="H516" i="4"/>
  <c r="C550" i="4"/>
  <c r="H518" i="4"/>
  <c r="C552" i="4"/>
  <c r="H520" i="4"/>
  <c r="C554" i="4"/>
  <c r="H522" i="4"/>
  <c r="C556" i="4"/>
  <c r="H524" i="4"/>
  <c r="C558" i="4"/>
  <c r="H526" i="4"/>
  <c r="C560" i="4"/>
  <c r="H528" i="4"/>
  <c r="C562" i="4"/>
  <c r="H530" i="4"/>
  <c r="C564" i="4"/>
  <c r="H532" i="4"/>
  <c r="C566" i="4"/>
  <c r="H534" i="4"/>
  <c r="C568" i="4"/>
  <c r="H536" i="4"/>
  <c r="C570" i="4"/>
  <c r="H538" i="4"/>
  <c r="C572" i="4"/>
  <c r="H540" i="4"/>
  <c r="I540" i="4" s="1"/>
  <c r="C574" i="4"/>
  <c r="H542" i="4"/>
  <c r="I542" i="4" s="1"/>
  <c r="C576" i="4"/>
  <c r="H544" i="4"/>
  <c r="I544" i="4" s="1"/>
  <c r="C578" i="4"/>
  <c r="H546" i="4"/>
  <c r="I546" i="4" s="1"/>
  <c r="G140" i="4"/>
  <c r="G142" i="4"/>
  <c r="G144" i="4"/>
  <c r="G146" i="4"/>
  <c r="C547" i="4"/>
  <c r="H515" i="4"/>
  <c r="C549" i="4"/>
  <c r="H517" i="4"/>
  <c r="C551" i="4"/>
  <c r="H519" i="4"/>
  <c r="C553" i="4"/>
  <c r="H521" i="4"/>
  <c r="C555" i="4"/>
  <c r="H523" i="4"/>
  <c r="C557" i="4"/>
  <c r="H525" i="4"/>
  <c r="C559" i="4"/>
  <c r="H527" i="4"/>
  <c r="C561" i="4"/>
  <c r="H529" i="4"/>
  <c r="C563" i="4"/>
  <c r="H531" i="4"/>
  <c r="C565" i="4"/>
  <c r="H533" i="4"/>
  <c r="C567" i="4"/>
  <c r="H535" i="4"/>
  <c r="C569" i="4"/>
  <c r="H537" i="4"/>
  <c r="C571" i="4"/>
  <c r="H539" i="4"/>
  <c r="I539" i="4" s="1"/>
  <c r="C573" i="4"/>
  <c r="H541" i="4"/>
  <c r="I541" i="4" s="1"/>
  <c r="C575" i="4"/>
  <c r="H543" i="4"/>
  <c r="I543" i="4" s="1"/>
  <c r="C577" i="4"/>
  <c r="H545" i="4"/>
  <c r="I545" i="4" s="1"/>
  <c r="G131" i="4"/>
  <c r="G135" i="4"/>
  <c r="G133" i="4"/>
  <c r="G137" i="4"/>
  <c r="G130" i="3"/>
  <c r="G128" i="3"/>
  <c r="G126" i="3"/>
  <c r="G124" i="3"/>
  <c r="G129" i="3"/>
  <c r="G127" i="3"/>
  <c r="G125" i="3"/>
  <c r="G123" i="3"/>
  <c r="X136" i="4"/>
  <c r="AA127" i="4"/>
  <c r="W138" i="4"/>
  <c r="L115" i="3"/>
  <c r="X118" i="3"/>
  <c r="V129" i="4"/>
  <c r="J125" i="4"/>
  <c r="U132" i="4"/>
  <c r="W134" i="4"/>
  <c r="AA138" i="4"/>
  <c r="P119" i="3"/>
  <c r="AA132" i="4"/>
  <c r="K119" i="3"/>
  <c r="N120" i="3"/>
  <c r="Z115" i="3"/>
  <c r="X138" i="4"/>
  <c r="Q115" i="3"/>
  <c r="V121" i="3"/>
  <c r="AA120" i="3"/>
  <c r="W120" i="3"/>
  <c r="V123" i="4"/>
  <c r="U118" i="3"/>
  <c r="M117" i="3"/>
  <c r="K121" i="3"/>
  <c r="Y121" i="3"/>
  <c r="X120" i="3"/>
  <c r="N118" i="3"/>
  <c r="Q119" i="3"/>
  <c r="V125" i="4"/>
  <c r="Z123" i="4"/>
  <c r="AA121" i="3"/>
  <c r="J117" i="3"/>
  <c r="X125" i="4"/>
  <c r="Z117" i="3"/>
  <c r="L120" i="3"/>
  <c r="X121" i="3"/>
  <c r="L119" i="3"/>
  <c r="Z119" i="3"/>
  <c r="Y136" i="4"/>
  <c r="J120" i="3"/>
  <c r="U121" i="3"/>
  <c r="X129" i="4"/>
  <c r="Z120" i="3"/>
  <c r="Y117" i="3"/>
  <c r="U125" i="4"/>
  <c r="J138" i="4"/>
  <c r="V122" i="3"/>
  <c r="O119" i="3"/>
  <c r="Z116" i="3"/>
  <c r="J134" i="4"/>
  <c r="Z122" i="3"/>
  <c r="AA117" i="3"/>
  <c r="X134" i="4"/>
  <c r="AA129" i="4"/>
  <c r="AA123" i="4"/>
  <c r="U115" i="3"/>
  <c r="L118" i="3"/>
  <c r="Z125" i="4"/>
  <c r="Z138" i="4"/>
  <c r="U138" i="4"/>
  <c r="K115" i="3"/>
  <c r="J123" i="4"/>
  <c r="Q117" i="3"/>
  <c r="W123" i="4"/>
  <c r="J119" i="3"/>
  <c r="Y122" i="3"/>
  <c r="P121" i="3"/>
  <c r="V136" i="4"/>
  <c r="X119" i="3"/>
  <c r="U116" i="3"/>
  <c r="W119" i="3"/>
  <c r="AA136" i="4"/>
  <c r="X123" i="4"/>
  <c r="J132" i="4"/>
  <c r="Y129" i="4"/>
  <c r="V127" i="4"/>
  <c r="X115" i="3"/>
  <c r="P122" i="3"/>
  <c r="M119" i="3"/>
  <c r="W136" i="4"/>
  <c r="N121" i="3"/>
  <c r="J136" i="4"/>
  <c r="M122" i="3"/>
  <c r="U117" i="3"/>
  <c r="Y116" i="3"/>
  <c r="W122" i="3"/>
  <c r="W129" i="4"/>
  <c r="J115" i="3"/>
  <c r="Y138" i="4"/>
  <c r="N117" i="3"/>
  <c r="V118" i="3"/>
  <c r="U127" i="4"/>
  <c r="X127" i="4"/>
  <c r="Q122" i="3"/>
  <c r="W117" i="3"/>
  <c r="Z136" i="4"/>
  <c r="M116" i="3"/>
  <c r="Y127" i="4"/>
  <c r="K117" i="3"/>
  <c r="J127" i="4"/>
  <c r="V119" i="3"/>
  <c r="Z121" i="3"/>
  <c r="N116" i="3"/>
  <c r="Y132" i="4"/>
  <c r="Y125" i="4"/>
  <c r="V120" i="3"/>
  <c r="Z127" i="4"/>
  <c r="Z118" i="3"/>
  <c r="AA115" i="3"/>
  <c r="X116" i="3"/>
  <c r="J122" i="3"/>
  <c r="N119" i="3"/>
  <c r="K122" i="3"/>
  <c r="W118" i="3"/>
  <c r="J121" i="3"/>
  <c r="Y134" i="4"/>
  <c r="U129" i="4"/>
  <c r="U123" i="4"/>
  <c r="O120" i="3"/>
  <c r="U122" i="3"/>
  <c r="Q120" i="3"/>
  <c r="Y119" i="3"/>
  <c r="Q121" i="3"/>
  <c r="N122" i="3"/>
  <c r="M121" i="3"/>
  <c r="Q116" i="3"/>
  <c r="X122" i="3"/>
  <c r="P115" i="3"/>
  <c r="P117" i="3"/>
  <c r="U136" i="4"/>
  <c r="V116" i="3"/>
  <c r="P120" i="3"/>
  <c r="L117" i="3"/>
  <c r="J118" i="3"/>
  <c r="X117" i="3"/>
  <c r="AA118" i="3"/>
  <c r="J129" i="4"/>
  <c r="M118" i="3"/>
  <c r="V132" i="4"/>
  <c r="L122" i="3"/>
  <c r="J116" i="3"/>
  <c r="W116" i="3"/>
  <c r="Z134" i="4"/>
  <c r="W127" i="4"/>
  <c r="U134" i="4"/>
  <c r="Q118" i="3"/>
  <c r="M120" i="3"/>
  <c r="L116" i="3"/>
  <c r="Y115" i="3"/>
  <c r="V117" i="3"/>
  <c r="V115" i="3"/>
  <c r="N115" i="3"/>
  <c r="O117" i="3"/>
  <c r="W115" i="3"/>
  <c r="AA122" i="3"/>
  <c r="K118" i="3"/>
  <c r="W121" i="3"/>
  <c r="P116" i="3"/>
  <c r="O115" i="3"/>
  <c r="Y123" i="4"/>
  <c r="O122" i="3"/>
  <c r="M115" i="3"/>
  <c r="X132" i="4"/>
  <c r="V138" i="4"/>
  <c r="O116" i="3"/>
  <c r="Y118" i="3"/>
  <c r="Z132" i="4"/>
  <c r="Y120" i="3"/>
  <c r="AA116" i="3"/>
  <c r="K116" i="3"/>
  <c r="O121" i="3"/>
  <c r="AA119" i="3"/>
  <c r="K120" i="3"/>
  <c r="W125" i="4"/>
  <c r="W132" i="4"/>
  <c r="AA134" i="4"/>
  <c r="Z129" i="4"/>
  <c r="U119" i="3"/>
  <c r="AA125" i="4"/>
  <c r="O118" i="3"/>
  <c r="L121" i="3"/>
  <c r="P118" i="3"/>
  <c r="V134" i="4"/>
  <c r="U120" i="3"/>
  <c r="S138" i="4" l="1"/>
  <c r="T138" i="4"/>
  <c r="R138" i="4"/>
  <c r="I115" i="3"/>
  <c r="S116" i="3"/>
  <c r="I116" i="3"/>
  <c r="I117" i="3"/>
  <c r="S117" i="3"/>
  <c r="I120" i="3"/>
  <c r="I132" i="4"/>
  <c r="S121" i="3"/>
  <c r="R127" i="4"/>
  <c r="T127" i="4"/>
  <c r="S134" i="4"/>
  <c r="T134" i="4"/>
  <c r="R134" i="4"/>
  <c r="S119" i="3"/>
  <c r="S118" i="3"/>
  <c r="S132" i="4"/>
  <c r="R132" i="4"/>
  <c r="T132" i="4"/>
  <c r="R122" i="3"/>
  <c r="T122" i="3"/>
  <c r="S129" i="4"/>
  <c r="R115" i="3"/>
  <c r="T115" i="3"/>
  <c r="S115" i="3"/>
  <c r="R116" i="3"/>
  <c r="T116" i="3"/>
  <c r="T117" i="3"/>
  <c r="R117" i="3"/>
  <c r="S125" i="4"/>
  <c r="T119" i="3"/>
  <c r="R119" i="3"/>
  <c r="S120" i="3"/>
  <c r="T118" i="3"/>
  <c r="R118" i="3"/>
  <c r="T123" i="4"/>
  <c r="R123" i="4"/>
  <c r="R121" i="3"/>
  <c r="T121" i="3"/>
  <c r="S136" i="4"/>
  <c r="I136" i="4"/>
  <c r="T129" i="4"/>
  <c r="R129" i="4"/>
  <c r="I138" i="4"/>
  <c r="T125" i="4"/>
  <c r="R125" i="4"/>
  <c r="S127" i="4"/>
  <c r="I134" i="4"/>
  <c r="I119" i="3"/>
  <c r="R120" i="3"/>
  <c r="T120" i="3"/>
  <c r="I118" i="3"/>
  <c r="S123" i="4"/>
  <c r="I121" i="3"/>
  <c r="S122" i="3"/>
  <c r="I122" i="3"/>
  <c r="R136" i="4"/>
  <c r="T136" i="4"/>
  <c r="C537" i="3"/>
  <c r="H505" i="3"/>
  <c r="C544" i="3"/>
  <c r="H512" i="3"/>
  <c r="I512" i="3" s="1"/>
  <c r="C542" i="3"/>
  <c r="H510" i="3"/>
  <c r="I510" i="3" s="1"/>
  <c r="C538" i="3"/>
  <c r="H506" i="3"/>
  <c r="C517" i="3"/>
  <c r="H485" i="3"/>
  <c r="C518" i="3"/>
  <c r="H486" i="3"/>
  <c r="C529" i="3"/>
  <c r="H497" i="3"/>
  <c r="C533" i="3"/>
  <c r="H501" i="3"/>
  <c r="C525" i="3"/>
  <c r="H493" i="3"/>
  <c r="C532" i="3"/>
  <c r="H500" i="3"/>
  <c r="C520" i="3"/>
  <c r="H488" i="3"/>
  <c r="C540" i="3"/>
  <c r="H508" i="3"/>
  <c r="I508" i="3" s="1"/>
  <c r="C527" i="3"/>
  <c r="H495" i="3"/>
  <c r="C523" i="3"/>
  <c r="H491" i="3"/>
  <c r="C524" i="3"/>
  <c r="H492" i="3"/>
  <c r="C516" i="3"/>
  <c r="H484" i="3"/>
  <c r="C543" i="3"/>
  <c r="H511" i="3"/>
  <c r="I511" i="3" s="1"/>
  <c r="C515" i="3"/>
  <c r="H483" i="3"/>
  <c r="C541" i="3"/>
  <c r="H509" i="3"/>
  <c r="I509" i="3" s="1"/>
  <c r="C531" i="3"/>
  <c r="H499" i="3"/>
  <c r="C546" i="3"/>
  <c r="H514" i="3"/>
  <c r="I514" i="3" s="1"/>
  <c r="C521" i="3"/>
  <c r="H489" i="3"/>
  <c r="C534" i="3"/>
  <c r="H502" i="3"/>
  <c r="C530" i="3"/>
  <c r="H498" i="3"/>
  <c r="C526" i="3"/>
  <c r="H494" i="3"/>
  <c r="C522" i="3"/>
  <c r="H490" i="3"/>
  <c r="C519" i="3"/>
  <c r="H487" i="3"/>
  <c r="C545" i="3"/>
  <c r="H513" i="3"/>
  <c r="I513" i="3" s="1"/>
  <c r="C528" i="3"/>
  <c r="H496" i="3"/>
  <c r="C536" i="3"/>
  <c r="H504" i="3"/>
  <c r="C535" i="3"/>
  <c r="H503" i="3"/>
  <c r="C539" i="3"/>
  <c r="H507" i="3"/>
  <c r="I507" i="3" s="1"/>
  <c r="G145" i="4"/>
  <c r="G141" i="4"/>
  <c r="G143" i="4"/>
  <c r="G139" i="4"/>
  <c r="C609" i="4"/>
  <c r="H577" i="4"/>
  <c r="I577" i="4" s="1"/>
  <c r="C607" i="4"/>
  <c r="H575" i="4"/>
  <c r="I575" i="4" s="1"/>
  <c r="C605" i="4"/>
  <c r="H573" i="4"/>
  <c r="I573" i="4" s="1"/>
  <c r="C603" i="4"/>
  <c r="H571" i="4"/>
  <c r="I571" i="4" s="1"/>
  <c r="C601" i="4"/>
  <c r="H569" i="4"/>
  <c r="C599" i="4"/>
  <c r="H567" i="4"/>
  <c r="C597" i="4"/>
  <c r="H565" i="4"/>
  <c r="C595" i="4"/>
  <c r="H563" i="4"/>
  <c r="C593" i="4"/>
  <c r="H561" i="4"/>
  <c r="C591" i="4"/>
  <c r="H559" i="4"/>
  <c r="C589" i="4"/>
  <c r="H557" i="4"/>
  <c r="C587" i="4"/>
  <c r="H555" i="4"/>
  <c r="C585" i="4"/>
  <c r="H553" i="4"/>
  <c r="C583" i="4"/>
  <c r="H551" i="4"/>
  <c r="C581" i="4"/>
  <c r="H549" i="4"/>
  <c r="C579" i="4"/>
  <c r="H547" i="4"/>
  <c r="G154" i="4"/>
  <c r="G152" i="4"/>
  <c r="G150" i="4"/>
  <c r="G148" i="4"/>
  <c r="C610" i="4"/>
  <c r="H578" i="4"/>
  <c r="I578" i="4" s="1"/>
  <c r="C608" i="4"/>
  <c r="H576" i="4"/>
  <c r="I576" i="4" s="1"/>
  <c r="C606" i="4"/>
  <c r="H574" i="4"/>
  <c r="I574" i="4" s="1"/>
  <c r="C604" i="4"/>
  <c r="H572" i="4"/>
  <c r="I572" i="4" s="1"/>
  <c r="C602" i="4"/>
  <c r="H570" i="4"/>
  <c r="C600" i="4"/>
  <c r="H568" i="4"/>
  <c r="C598" i="4"/>
  <c r="H566" i="4"/>
  <c r="C596" i="4"/>
  <c r="H564" i="4"/>
  <c r="C594" i="4"/>
  <c r="H562" i="4"/>
  <c r="C592" i="4"/>
  <c r="H560" i="4"/>
  <c r="C590" i="4"/>
  <c r="H558" i="4"/>
  <c r="C588" i="4"/>
  <c r="H556" i="4"/>
  <c r="C586" i="4"/>
  <c r="H554" i="4"/>
  <c r="C584" i="4"/>
  <c r="H552" i="4"/>
  <c r="C582" i="4"/>
  <c r="H550" i="4"/>
  <c r="C580" i="4"/>
  <c r="H548" i="4"/>
  <c r="G131" i="3"/>
  <c r="G133" i="3"/>
  <c r="G135" i="3"/>
  <c r="G137" i="3"/>
  <c r="G132" i="3"/>
  <c r="G134" i="3"/>
  <c r="G136" i="3"/>
  <c r="G138" i="3"/>
  <c r="U129" i="3"/>
  <c r="U131" i="4"/>
  <c r="X146" i="4"/>
  <c r="AA146" i="4"/>
  <c r="N128" i="3"/>
  <c r="J127" i="3"/>
  <c r="N125" i="3"/>
  <c r="U126" i="3"/>
  <c r="Y125" i="3"/>
  <c r="V128" i="3"/>
  <c r="O127" i="3"/>
  <c r="V133" i="4"/>
  <c r="W146" i="4"/>
  <c r="M126" i="3"/>
  <c r="J131" i="4"/>
  <c r="U140" i="4"/>
  <c r="P125" i="3"/>
  <c r="N129" i="3"/>
  <c r="W144" i="4"/>
  <c r="N123" i="3"/>
  <c r="AA131" i="4"/>
  <c r="Y124" i="3"/>
  <c r="Y127" i="3"/>
  <c r="N127" i="3"/>
  <c r="Z144" i="4"/>
  <c r="X125" i="3"/>
  <c r="V142" i="4"/>
  <c r="AA125" i="3"/>
  <c r="K126" i="3"/>
  <c r="Z131" i="4"/>
  <c r="O124" i="3"/>
  <c r="K128" i="3"/>
  <c r="K127" i="3"/>
  <c r="W133" i="4"/>
  <c r="W125" i="3"/>
  <c r="O129" i="3"/>
  <c r="Y140" i="4"/>
  <c r="O130" i="3"/>
  <c r="Z124" i="3"/>
  <c r="AA124" i="3"/>
  <c r="Z123" i="3"/>
  <c r="J137" i="4"/>
  <c r="J140" i="4"/>
  <c r="U123" i="3"/>
  <c r="X123" i="3"/>
  <c r="AA123" i="3"/>
  <c r="P124" i="3"/>
  <c r="U127" i="3"/>
  <c r="AA127" i="3"/>
  <c r="W127" i="3"/>
  <c r="Z127" i="3"/>
  <c r="Q126" i="3"/>
  <c r="AA128" i="3"/>
  <c r="W135" i="4"/>
  <c r="AA133" i="4"/>
  <c r="U135" i="4"/>
  <c r="V140" i="4"/>
  <c r="L127" i="3"/>
  <c r="Q128" i="3"/>
  <c r="V125" i="3"/>
  <c r="Z126" i="3"/>
  <c r="AA144" i="4"/>
  <c r="V131" i="4"/>
  <c r="W123" i="3"/>
  <c r="X124" i="3"/>
  <c r="L128" i="3"/>
  <c r="Y123" i="3"/>
  <c r="J142" i="4"/>
  <c r="Y146" i="4"/>
  <c r="Z130" i="3"/>
  <c r="AA140" i="4"/>
  <c r="V124" i="3"/>
  <c r="P128" i="3"/>
  <c r="X128" i="3"/>
  <c r="AA130" i="3"/>
  <c r="Y128" i="3"/>
  <c r="O123" i="3"/>
  <c r="L130" i="3"/>
  <c r="Q124" i="3"/>
  <c r="O126" i="3"/>
  <c r="Q129" i="3"/>
  <c r="Z128" i="3"/>
  <c r="K123" i="3"/>
  <c r="J128" i="3"/>
  <c r="J144" i="4"/>
  <c r="Y126" i="3"/>
  <c r="Y142" i="4"/>
  <c r="Q127" i="3"/>
  <c r="W130" i="3"/>
  <c r="AA129" i="3"/>
  <c r="V123" i="3"/>
  <c r="U144" i="4"/>
  <c r="L129" i="3"/>
  <c r="N124" i="3"/>
  <c r="K125" i="3"/>
  <c r="V129" i="3"/>
  <c r="X126" i="3"/>
  <c r="N126" i="3"/>
  <c r="X135" i="4"/>
  <c r="Y130" i="3"/>
  <c r="V126" i="3"/>
  <c r="Z137" i="4"/>
  <c r="P126" i="3"/>
  <c r="Z142" i="4"/>
  <c r="X140" i="4"/>
  <c r="U124" i="3"/>
  <c r="AA137" i="4"/>
  <c r="M130" i="3"/>
  <c r="W140" i="4"/>
  <c r="L125" i="3"/>
  <c r="J133" i="4"/>
  <c r="V137" i="4"/>
  <c r="Y144" i="4"/>
  <c r="AA126" i="3"/>
  <c r="P123" i="3"/>
  <c r="J129" i="3"/>
  <c r="M123" i="3"/>
  <c r="Y137" i="4"/>
  <c r="M129" i="3"/>
  <c r="M128" i="3"/>
  <c r="Z133" i="4"/>
  <c r="AA135" i="4"/>
  <c r="V144" i="4"/>
  <c r="W142" i="4"/>
  <c r="U142" i="4"/>
  <c r="X129" i="3"/>
  <c r="K130" i="3"/>
  <c r="W137" i="4"/>
  <c r="J130" i="3"/>
  <c r="Z129" i="3"/>
  <c r="J146" i="4"/>
  <c r="V135" i="4"/>
  <c r="AA142" i="4"/>
  <c r="Y129" i="3"/>
  <c r="Y135" i="4"/>
  <c r="V127" i="3"/>
  <c r="W129" i="3"/>
  <c r="M127" i="3"/>
  <c r="W124" i="3"/>
  <c r="Q130" i="3"/>
  <c r="W128" i="3"/>
  <c r="Z135" i="4"/>
  <c r="X130" i="3"/>
  <c r="N130" i="3"/>
  <c r="V130" i="3"/>
  <c r="L126" i="3"/>
  <c r="J126" i="3"/>
  <c r="J124" i="3"/>
  <c r="U146" i="4"/>
  <c r="X144" i="4"/>
  <c r="X127" i="3"/>
  <c r="L123" i="3"/>
  <c r="J135" i="4"/>
  <c r="U128" i="3"/>
  <c r="U133" i="4"/>
  <c r="X137" i="4"/>
  <c r="W131" i="4"/>
  <c r="Z140" i="4"/>
  <c r="Q123" i="3"/>
  <c r="X142" i="4"/>
  <c r="O128" i="3"/>
  <c r="U130" i="3"/>
  <c r="O125" i="3"/>
  <c r="P130" i="3"/>
  <c r="K124" i="3"/>
  <c r="Q125" i="3"/>
  <c r="Z146" i="4"/>
  <c r="Y133" i="4"/>
  <c r="X133" i="4"/>
  <c r="Y131" i="4"/>
  <c r="V146" i="4"/>
  <c r="U125" i="3"/>
  <c r="W126" i="3"/>
  <c r="J125" i="3"/>
  <c r="J123" i="3"/>
  <c r="U137" i="4"/>
  <c r="M125" i="3"/>
  <c r="P129" i="3"/>
  <c r="M124" i="3"/>
  <c r="K129" i="3"/>
  <c r="L124" i="3"/>
  <c r="Z125" i="3"/>
  <c r="P127" i="3"/>
  <c r="X131" i="4"/>
  <c r="S133" i="4" l="1"/>
  <c r="I133" i="4"/>
  <c r="R126" i="3"/>
  <c r="T126" i="3"/>
  <c r="I135" i="4"/>
  <c r="S128" i="3"/>
  <c r="S127" i="3"/>
  <c r="I131" i="4"/>
  <c r="R129" i="3"/>
  <c r="T129" i="3"/>
  <c r="S129" i="3"/>
  <c r="R142" i="4"/>
  <c r="T142" i="4"/>
  <c r="S144" i="4"/>
  <c r="I144" i="4"/>
  <c r="R133" i="4"/>
  <c r="T133" i="4"/>
  <c r="S126" i="3"/>
  <c r="T135" i="4"/>
  <c r="R135" i="4"/>
  <c r="S146" i="4"/>
  <c r="S137" i="4"/>
  <c r="I137" i="4"/>
  <c r="T131" i="4"/>
  <c r="R131" i="4"/>
  <c r="S140" i="4"/>
  <c r="R140" i="4"/>
  <c r="T140" i="4"/>
  <c r="I140" i="4"/>
  <c r="R144" i="4"/>
  <c r="T144" i="4"/>
  <c r="S125" i="3"/>
  <c r="R130" i="3"/>
  <c r="T130" i="3"/>
  <c r="T128" i="3"/>
  <c r="R128" i="3"/>
  <c r="R127" i="3"/>
  <c r="T127" i="3"/>
  <c r="I146" i="4"/>
  <c r="T137" i="4"/>
  <c r="R137" i="4"/>
  <c r="S123" i="3"/>
  <c r="S131" i="4"/>
  <c r="S142" i="4"/>
  <c r="I142" i="4"/>
  <c r="R125" i="3"/>
  <c r="T125" i="3"/>
  <c r="S130" i="3"/>
  <c r="S135" i="4"/>
  <c r="R146" i="4"/>
  <c r="T146" i="4"/>
  <c r="S124" i="3"/>
  <c r="T124" i="3"/>
  <c r="R124" i="3"/>
  <c r="R123" i="3"/>
  <c r="T123" i="3"/>
  <c r="C567" i="3"/>
  <c r="H535" i="3"/>
  <c r="C553" i="3"/>
  <c r="H521" i="3"/>
  <c r="C563" i="3"/>
  <c r="H531" i="3"/>
  <c r="C547" i="3"/>
  <c r="H515" i="3"/>
  <c r="C556" i="3"/>
  <c r="H524" i="3"/>
  <c r="C559" i="3"/>
  <c r="H527" i="3"/>
  <c r="C572" i="3"/>
  <c r="H540" i="3"/>
  <c r="I540" i="3" s="1"/>
  <c r="C549" i="3"/>
  <c r="H517" i="3"/>
  <c r="C574" i="3"/>
  <c r="H542" i="3"/>
  <c r="I542" i="3" s="1"/>
  <c r="C569" i="3"/>
  <c r="H537" i="3"/>
  <c r="C571" i="3"/>
  <c r="H539" i="3"/>
  <c r="I539" i="3" s="1"/>
  <c r="C568" i="3"/>
  <c r="H536" i="3"/>
  <c r="C551" i="3"/>
  <c r="H519" i="3"/>
  <c r="C558" i="3"/>
  <c r="H526" i="3"/>
  <c r="C566" i="3"/>
  <c r="H534" i="3"/>
  <c r="C557" i="3"/>
  <c r="H525" i="3"/>
  <c r="C565" i="3"/>
  <c r="H533" i="3"/>
  <c r="C578" i="3"/>
  <c r="H546" i="3"/>
  <c r="I546" i="3" s="1"/>
  <c r="C573" i="3"/>
  <c r="H541" i="3"/>
  <c r="I541" i="3" s="1"/>
  <c r="C575" i="3"/>
  <c r="H543" i="3"/>
  <c r="I543" i="3" s="1"/>
  <c r="C548" i="3"/>
  <c r="H516" i="3"/>
  <c r="C555" i="3"/>
  <c r="H523" i="3"/>
  <c r="C552" i="3"/>
  <c r="H520" i="3"/>
  <c r="C550" i="3"/>
  <c r="H518" i="3"/>
  <c r="C570" i="3"/>
  <c r="H538" i="3"/>
  <c r="C576" i="3"/>
  <c r="H544" i="3"/>
  <c r="I544" i="3" s="1"/>
  <c r="C560" i="3"/>
  <c r="H528" i="3"/>
  <c r="C577" i="3"/>
  <c r="H545" i="3"/>
  <c r="I545" i="3" s="1"/>
  <c r="C554" i="3"/>
  <c r="H522" i="3"/>
  <c r="C562" i="3"/>
  <c r="H530" i="3"/>
  <c r="C564" i="3"/>
  <c r="H532" i="3"/>
  <c r="C561" i="3"/>
  <c r="H529" i="3"/>
  <c r="C612" i="4"/>
  <c r="H612" i="4" s="1"/>
  <c r="H580" i="4"/>
  <c r="C614" i="4"/>
  <c r="H614" i="4" s="1"/>
  <c r="H582" i="4"/>
  <c r="C616" i="4"/>
  <c r="H616" i="4" s="1"/>
  <c r="H584" i="4"/>
  <c r="C618" i="4"/>
  <c r="H618" i="4" s="1"/>
  <c r="H586" i="4"/>
  <c r="C620" i="4"/>
  <c r="H620" i="4" s="1"/>
  <c r="H588" i="4"/>
  <c r="C622" i="4"/>
  <c r="H622" i="4" s="1"/>
  <c r="H590" i="4"/>
  <c r="C624" i="4"/>
  <c r="H624" i="4" s="1"/>
  <c r="H592" i="4"/>
  <c r="C626" i="4"/>
  <c r="H626" i="4" s="1"/>
  <c r="H594" i="4"/>
  <c r="C628" i="4"/>
  <c r="H628" i="4" s="1"/>
  <c r="H596" i="4"/>
  <c r="C630" i="4"/>
  <c r="H630" i="4" s="1"/>
  <c r="H598" i="4"/>
  <c r="C632" i="4"/>
  <c r="H632" i="4" s="1"/>
  <c r="H600" i="4"/>
  <c r="C634" i="4"/>
  <c r="H634" i="4" s="1"/>
  <c r="H602" i="4"/>
  <c r="C636" i="4"/>
  <c r="H636" i="4" s="1"/>
  <c r="I636" i="4" s="1"/>
  <c r="H604" i="4"/>
  <c r="I604" i="4" s="1"/>
  <c r="C638" i="4"/>
  <c r="H638" i="4" s="1"/>
  <c r="I638" i="4" s="1"/>
  <c r="H606" i="4"/>
  <c r="I606" i="4" s="1"/>
  <c r="C640" i="4"/>
  <c r="H640" i="4" s="1"/>
  <c r="I640" i="4" s="1"/>
  <c r="H608" i="4"/>
  <c r="I608" i="4" s="1"/>
  <c r="C642" i="4"/>
  <c r="H642" i="4" s="1"/>
  <c r="I642" i="4" s="1"/>
  <c r="H610" i="4"/>
  <c r="I610" i="4" s="1"/>
  <c r="G156" i="4"/>
  <c r="G158" i="4"/>
  <c r="G160" i="4"/>
  <c r="G162" i="4"/>
  <c r="C611" i="4"/>
  <c r="H611" i="4" s="1"/>
  <c r="H579" i="4"/>
  <c r="C613" i="4"/>
  <c r="H613" i="4" s="1"/>
  <c r="H581" i="4"/>
  <c r="C615" i="4"/>
  <c r="H615" i="4" s="1"/>
  <c r="H583" i="4"/>
  <c r="C617" i="4"/>
  <c r="H617" i="4" s="1"/>
  <c r="H585" i="4"/>
  <c r="C619" i="4"/>
  <c r="H619" i="4" s="1"/>
  <c r="H587" i="4"/>
  <c r="C621" i="4"/>
  <c r="H621" i="4" s="1"/>
  <c r="H589" i="4"/>
  <c r="C623" i="4"/>
  <c r="H623" i="4" s="1"/>
  <c r="H591" i="4"/>
  <c r="C625" i="4"/>
  <c r="H625" i="4" s="1"/>
  <c r="H593" i="4"/>
  <c r="C627" i="4"/>
  <c r="H627" i="4" s="1"/>
  <c r="H595" i="4"/>
  <c r="C629" i="4"/>
  <c r="H629" i="4" s="1"/>
  <c r="H597" i="4"/>
  <c r="C631" i="4"/>
  <c r="H631" i="4" s="1"/>
  <c r="H599" i="4"/>
  <c r="C633" i="4"/>
  <c r="H633" i="4" s="1"/>
  <c r="H601" i="4"/>
  <c r="C635" i="4"/>
  <c r="H635" i="4" s="1"/>
  <c r="I635" i="4" s="1"/>
  <c r="H603" i="4"/>
  <c r="I603" i="4" s="1"/>
  <c r="C637" i="4"/>
  <c r="H637" i="4" s="1"/>
  <c r="I637" i="4" s="1"/>
  <c r="H605" i="4"/>
  <c r="I605" i="4" s="1"/>
  <c r="C639" i="4"/>
  <c r="H639" i="4" s="1"/>
  <c r="I639" i="4" s="1"/>
  <c r="H607" i="4"/>
  <c r="I607" i="4" s="1"/>
  <c r="C641" i="4"/>
  <c r="H641" i="4" s="1"/>
  <c r="I641" i="4" s="1"/>
  <c r="H609" i="4"/>
  <c r="I609" i="4" s="1"/>
  <c r="G147" i="4"/>
  <c r="G151" i="4"/>
  <c r="G149" i="4"/>
  <c r="G153" i="4"/>
  <c r="G146" i="3"/>
  <c r="G144" i="3"/>
  <c r="G142" i="3"/>
  <c r="G140" i="3"/>
  <c r="G145" i="3"/>
  <c r="G143" i="3"/>
  <c r="G141" i="3"/>
  <c r="G139" i="3"/>
  <c r="V152" i="4"/>
  <c r="L132" i="3"/>
  <c r="N138" i="3"/>
  <c r="Y131" i="3"/>
  <c r="V141" i="4"/>
  <c r="P133" i="3"/>
  <c r="Q133" i="3"/>
  <c r="Y145" i="4"/>
  <c r="U150" i="4"/>
  <c r="AA154" i="4"/>
  <c r="Q137" i="3"/>
  <c r="Z138" i="3"/>
  <c r="V138" i="3"/>
  <c r="V150" i="4"/>
  <c r="J145" i="4"/>
  <c r="P132" i="3"/>
  <c r="W134" i="3"/>
  <c r="V131" i="3"/>
  <c r="W138" i="3"/>
  <c r="X148" i="4"/>
  <c r="X136" i="3"/>
  <c r="Y152" i="4"/>
  <c r="U152" i="4"/>
  <c r="X131" i="3"/>
  <c r="Z131" i="3"/>
  <c r="U154" i="4"/>
  <c r="W135" i="3"/>
  <c r="L134" i="3"/>
  <c r="K131" i="3"/>
  <c r="N136" i="3"/>
  <c r="X143" i="4"/>
  <c r="X141" i="4"/>
  <c r="J136" i="3"/>
  <c r="X150" i="4"/>
  <c r="L135" i="3"/>
  <c r="M138" i="3"/>
  <c r="Y154" i="4"/>
  <c r="X154" i="4"/>
  <c r="U136" i="3"/>
  <c r="X135" i="3"/>
  <c r="Z150" i="4"/>
  <c r="W154" i="4"/>
  <c r="AA134" i="3"/>
  <c r="K133" i="3"/>
  <c r="V148" i="4"/>
  <c r="O133" i="3"/>
  <c r="V154" i="4"/>
  <c r="N133" i="3"/>
  <c r="Y133" i="3"/>
  <c r="W148" i="4"/>
  <c r="Z145" i="4"/>
  <c r="W132" i="3"/>
  <c r="V139" i="4"/>
  <c r="N137" i="3"/>
  <c r="K136" i="3"/>
  <c r="J143" i="4"/>
  <c r="J132" i="3"/>
  <c r="U133" i="3"/>
  <c r="V134" i="3"/>
  <c r="X132" i="3"/>
  <c r="P131" i="3"/>
  <c r="AA131" i="3"/>
  <c r="Q135" i="3"/>
  <c r="W150" i="4"/>
  <c r="J141" i="4"/>
  <c r="AA145" i="4"/>
  <c r="P137" i="3"/>
  <c r="V132" i="3"/>
  <c r="K138" i="3"/>
  <c r="V137" i="3"/>
  <c r="L137" i="3"/>
  <c r="Z148" i="4"/>
  <c r="Z136" i="3"/>
  <c r="Q134" i="3"/>
  <c r="Y148" i="4"/>
  <c r="W141" i="4"/>
  <c r="O132" i="3"/>
  <c r="O137" i="3"/>
  <c r="Q138" i="3"/>
  <c r="X137" i="3"/>
  <c r="P138" i="3"/>
  <c r="O134" i="3"/>
  <c r="J154" i="4"/>
  <c r="J138" i="3"/>
  <c r="Y137" i="3"/>
  <c r="P135" i="3"/>
  <c r="Z141" i="4"/>
  <c r="Z152" i="4"/>
  <c r="Y136" i="3"/>
  <c r="AA143" i="4"/>
  <c r="Z143" i="4"/>
  <c r="Y150" i="4"/>
  <c r="V143" i="4"/>
  <c r="L133" i="3"/>
  <c r="Y132" i="3"/>
  <c r="U138" i="3"/>
  <c r="Y138" i="3"/>
  <c r="O136" i="3"/>
  <c r="Y139" i="4"/>
  <c r="Z139" i="4"/>
  <c r="N134" i="3"/>
  <c r="Z133" i="3"/>
  <c r="W145" i="4"/>
  <c r="V135" i="3"/>
  <c r="J134" i="3"/>
  <c r="X133" i="3"/>
  <c r="K132" i="3"/>
  <c r="U139" i="4"/>
  <c r="M133" i="3"/>
  <c r="O138" i="3"/>
  <c r="Z134" i="3"/>
  <c r="N135" i="3"/>
  <c r="V133" i="3"/>
  <c r="U135" i="3"/>
  <c r="M132" i="3"/>
  <c r="Y135" i="3"/>
  <c r="J137" i="3"/>
  <c r="Q131" i="3"/>
  <c r="U131" i="3"/>
  <c r="Z154" i="4"/>
  <c r="Y143" i="4"/>
  <c r="AA133" i="3"/>
  <c r="J150" i="4"/>
  <c r="AA132" i="3"/>
  <c r="U132" i="3"/>
  <c r="W131" i="3"/>
  <c r="M137" i="3"/>
  <c r="U148" i="4"/>
  <c r="X138" i="3"/>
  <c r="J139" i="4"/>
  <c r="V136" i="3"/>
  <c r="Y141" i="4"/>
  <c r="Z135" i="3"/>
  <c r="AA141" i="4"/>
  <c r="N131" i="3"/>
  <c r="X139" i="4"/>
  <c r="J148" i="4"/>
  <c r="AA136" i="3"/>
  <c r="X134" i="3"/>
  <c r="X152" i="4"/>
  <c r="L138" i="3"/>
  <c r="J131" i="3"/>
  <c r="J135" i="3"/>
  <c r="W143" i="4"/>
  <c r="J152" i="4"/>
  <c r="Z137" i="3"/>
  <c r="K134" i="3"/>
  <c r="P134" i="3"/>
  <c r="M131" i="3"/>
  <c r="U143" i="4"/>
  <c r="AA135" i="3"/>
  <c r="Z132" i="3"/>
  <c r="O131" i="3"/>
  <c r="AA137" i="3"/>
  <c r="W137" i="3"/>
  <c r="M135" i="3"/>
  <c r="P136" i="3"/>
  <c r="M136" i="3"/>
  <c r="U145" i="4"/>
  <c r="U134" i="3"/>
  <c r="W139" i="4"/>
  <c r="U141" i="4"/>
  <c r="Q132" i="3"/>
  <c r="W152" i="4"/>
  <c r="AA138" i="3"/>
  <c r="L136" i="3"/>
  <c r="U137" i="3"/>
  <c r="K135" i="3"/>
  <c r="Q136" i="3"/>
  <c r="AA139" i="4"/>
  <c r="N132" i="3"/>
  <c r="Y134" i="3"/>
  <c r="AA152" i="4"/>
  <c r="W133" i="3"/>
  <c r="AA148" i="4"/>
  <c r="O135" i="3"/>
  <c r="J133" i="3"/>
  <c r="AA150" i="4"/>
  <c r="X145" i="4"/>
  <c r="K137" i="3"/>
  <c r="V145" i="4"/>
  <c r="L131" i="3"/>
  <c r="W136" i="3"/>
  <c r="M134" i="3"/>
  <c r="I134" i="3" l="1"/>
  <c r="S134" i="3"/>
  <c r="I141" i="4"/>
  <c r="I143" i="4"/>
  <c r="T150" i="4"/>
  <c r="R150" i="4"/>
  <c r="S137" i="3"/>
  <c r="S138" i="3"/>
  <c r="S132" i="3"/>
  <c r="I152" i="4"/>
  <c r="I145" i="4"/>
  <c r="T141" i="4"/>
  <c r="R141" i="4"/>
  <c r="T133" i="3"/>
  <c r="R133" i="3"/>
  <c r="S133" i="3"/>
  <c r="R143" i="4"/>
  <c r="T143" i="4"/>
  <c r="T136" i="3"/>
  <c r="R136" i="3"/>
  <c r="T139" i="4"/>
  <c r="R139" i="4"/>
  <c r="T137" i="3"/>
  <c r="R137" i="3"/>
  <c r="I138" i="3"/>
  <c r="S154" i="4"/>
  <c r="S131" i="3"/>
  <c r="R131" i="3"/>
  <c r="T131" i="3"/>
  <c r="R132" i="3"/>
  <c r="T132" i="3"/>
  <c r="R152" i="4"/>
  <c r="T152" i="4"/>
  <c r="T145" i="4"/>
  <c r="R145" i="4"/>
  <c r="R134" i="3"/>
  <c r="T134" i="3"/>
  <c r="S141" i="4"/>
  <c r="I133" i="3"/>
  <c r="S150" i="4"/>
  <c r="I135" i="3"/>
  <c r="S135" i="3"/>
  <c r="S136" i="3"/>
  <c r="I148" i="4"/>
  <c r="I154" i="4"/>
  <c r="S152" i="4"/>
  <c r="S145" i="4"/>
  <c r="S143" i="4"/>
  <c r="I150" i="4"/>
  <c r="R135" i="3"/>
  <c r="T135" i="3"/>
  <c r="I136" i="3"/>
  <c r="S139" i="4"/>
  <c r="I139" i="4"/>
  <c r="S148" i="4"/>
  <c r="R148" i="4"/>
  <c r="T148" i="4"/>
  <c r="I137" i="3"/>
  <c r="R138" i="3"/>
  <c r="T138" i="3"/>
  <c r="T154" i="4"/>
  <c r="R154" i="4"/>
  <c r="I131" i="3"/>
  <c r="I132" i="3"/>
  <c r="C608" i="3"/>
  <c r="H576" i="3"/>
  <c r="I576" i="3" s="1"/>
  <c r="C582" i="3"/>
  <c r="H550" i="3"/>
  <c r="C584" i="3"/>
  <c r="H552" i="3"/>
  <c r="C580" i="3"/>
  <c r="H548" i="3"/>
  <c r="C605" i="3"/>
  <c r="H573" i="3"/>
  <c r="I573" i="3" s="1"/>
  <c r="C590" i="3"/>
  <c r="H558" i="3"/>
  <c r="C600" i="3"/>
  <c r="H568" i="3"/>
  <c r="C599" i="3"/>
  <c r="H567" i="3"/>
  <c r="C596" i="3"/>
  <c r="H564" i="3"/>
  <c r="C586" i="3"/>
  <c r="H554" i="3"/>
  <c r="C592" i="3"/>
  <c r="H560" i="3"/>
  <c r="C589" i="3"/>
  <c r="H557" i="3"/>
  <c r="C606" i="3"/>
  <c r="H574" i="3"/>
  <c r="I574" i="3" s="1"/>
  <c r="C591" i="3"/>
  <c r="H559" i="3"/>
  <c r="C579" i="3"/>
  <c r="H547" i="3"/>
  <c r="C585" i="3"/>
  <c r="H553" i="3"/>
  <c r="C602" i="3"/>
  <c r="H570" i="3"/>
  <c r="C587" i="3"/>
  <c r="H555" i="3"/>
  <c r="C607" i="3"/>
  <c r="H575" i="3"/>
  <c r="I575" i="3" s="1"/>
  <c r="C610" i="3"/>
  <c r="H578" i="3"/>
  <c r="I578" i="3" s="1"/>
  <c r="C598" i="3"/>
  <c r="H566" i="3"/>
  <c r="C583" i="3"/>
  <c r="H551" i="3"/>
  <c r="C603" i="3"/>
  <c r="H571" i="3"/>
  <c r="I571" i="3" s="1"/>
  <c r="C593" i="3"/>
  <c r="H561" i="3"/>
  <c r="C594" i="3"/>
  <c r="H562" i="3"/>
  <c r="C609" i="3"/>
  <c r="H577" i="3"/>
  <c r="I577" i="3" s="1"/>
  <c r="C597" i="3"/>
  <c r="H565" i="3"/>
  <c r="C601" i="3"/>
  <c r="H569" i="3"/>
  <c r="C581" i="3"/>
  <c r="H549" i="3"/>
  <c r="C604" i="3"/>
  <c r="H572" i="3"/>
  <c r="I572" i="3" s="1"/>
  <c r="C588" i="3"/>
  <c r="H556" i="3"/>
  <c r="C595" i="3"/>
  <c r="H563" i="3"/>
  <c r="G161" i="4"/>
  <c r="G157" i="4"/>
  <c r="G159" i="4"/>
  <c r="G155" i="4"/>
  <c r="G170" i="4"/>
  <c r="G168" i="4"/>
  <c r="G166" i="4"/>
  <c r="G164" i="4"/>
  <c r="G147" i="3"/>
  <c r="G149" i="3"/>
  <c r="G151" i="3"/>
  <c r="G153" i="3"/>
  <c r="G148" i="3"/>
  <c r="G150" i="3"/>
  <c r="G152" i="3"/>
  <c r="G154" i="3"/>
  <c r="AA143" i="3"/>
  <c r="U139" i="3"/>
  <c r="Y151" i="4"/>
  <c r="N140" i="3"/>
  <c r="K144" i="3"/>
  <c r="P146" i="3"/>
  <c r="X142" i="3"/>
  <c r="N142" i="3"/>
  <c r="Q139" i="3"/>
  <c r="P145" i="3"/>
  <c r="Y143" i="3"/>
  <c r="K141" i="3"/>
  <c r="Z156" i="4"/>
  <c r="M145" i="3"/>
  <c r="J141" i="3"/>
  <c r="U140" i="3"/>
  <c r="V151" i="4"/>
  <c r="V160" i="4"/>
  <c r="Y142" i="3"/>
  <c r="W156" i="4"/>
  <c r="Y139" i="3"/>
  <c r="W145" i="3"/>
  <c r="X144" i="3"/>
  <c r="P144" i="3"/>
  <c r="N146" i="3"/>
  <c r="W147" i="4"/>
  <c r="X160" i="4"/>
  <c r="K139" i="3"/>
  <c r="V139" i="3"/>
  <c r="Z141" i="3"/>
  <c r="W158" i="4"/>
  <c r="K143" i="3"/>
  <c r="X140" i="3"/>
  <c r="J146" i="3"/>
  <c r="X151" i="4"/>
  <c r="M143" i="3"/>
  <c r="V146" i="3"/>
  <c r="Z139" i="3"/>
  <c r="X141" i="3"/>
  <c r="U156" i="4"/>
  <c r="V147" i="4"/>
  <c r="Y146" i="3"/>
  <c r="V162" i="4"/>
  <c r="Y147" i="4"/>
  <c r="Q142" i="3"/>
  <c r="N139" i="3"/>
  <c r="M146" i="3"/>
  <c r="W151" i="4"/>
  <c r="AA146" i="3"/>
  <c r="M142" i="3"/>
  <c r="W146" i="3"/>
  <c r="Y158" i="4"/>
  <c r="X153" i="4"/>
  <c r="J145" i="3"/>
  <c r="W139" i="3"/>
  <c r="W160" i="4"/>
  <c r="J158" i="4"/>
  <c r="K145" i="3"/>
  <c r="L143" i="3"/>
  <c r="AA158" i="4"/>
  <c r="J160" i="4"/>
  <c r="AA149" i="4"/>
  <c r="V143" i="3"/>
  <c r="K142" i="3"/>
  <c r="N141" i="3"/>
  <c r="X143" i="3"/>
  <c r="AA144" i="3"/>
  <c r="Z147" i="4"/>
  <c r="L139" i="3"/>
  <c r="L144" i="3"/>
  <c r="M139" i="3"/>
  <c r="Q145" i="3"/>
  <c r="Z149" i="4"/>
  <c r="Z140" i="3"/>
  <c r="O140" i="3"/>
  <c r="V140" i="3"/>
  <c r="AA141" i="3"/>
  <c r="Y153" i="4"/>
  <c r="V153" i="4"/>
  <c r="J153" i="4"/>
  <c r="W143" i="3"/>
  <c r="O144" i="3"/>
  <c r="Q140" i="3"/>
  <c r="X162" i="4"/>
  <c r="V141" i="3"/>
  <c r="Q146" i="3"/>
  <c r="J156" i="4"/>
  <c r="O145" i="3"/>
  <c r="P140" i="3"/>
  <c r="Y145" i="3"/>
  <c r="AA142" i="3"/>
  <c r="U147" i="4"/>
  <c r="K140" i="3"/>
  <c r="J147" i="4"/>
  <c r="X158" i="4"/>
  <c r="J151" i="4"/>
  <c r="X156" i="4"/>
  <c r="U151" i="4"/>
  <c r="X145" i="3"/>
  <c r="O146" i="3"/>
  <c r="V156" i="4"/>
  <c r="AA140" i="3"/>
  <c r="Y156" i="4"/>
  <c r="O139" i="3"/>
  <c r="N144" i="3"/>
  <c r="X146" i="3"/>
  <c r="AA156" i="4"/>
  <c r="L146" i="3"/>
  <c r="Y160" i="4"/>
  <c r="W162" i="4"/>
  <c r="W149" i="4"/>
  <c r="P143" i="3"/>
  <c r="J140" i="3"/>
  <c r="Z144" i="3"/>
  <c r="L141" i="3"/>
  <c r="J162" i="4"/>
  <c r="Q143" i="3"/>
  <c r="AA145" i="3"/>
  <c r="M141" i="3"/>
  <c r="V145" i="3"/>
  <c r="Z145" i="3"/>
  <c r="AA162" i="4"/>
  <c r="J149" i="4"/>
  <c r="Y162" i="4"/>
  <c r="U162" i="4"/>
  <c r="J144" i="3"/>
  <c r="U141" i="3"/>
  <c r="O142" i="3"/>
  <c r="W142" i="3"/>
  <c r="Z153" i="4"/>
  <c r="Z162" i="4"/>
  <c r="Q141" i="3"/>
  <c r="Y141" i="3"/>
  <c r="V158" i="4"/>
  <c r="J143" i="3"/>
  <c r="M140" i="3"/>
  <c r="W141" i="3"/>
  <c r="X147" i="4"/>
  <c r="U160" i="4"/>
  <c r="X139" i="3"/>
  <c r="J139" i="3"/>
  <c r="AA160" i="4"/>
  <c r="Z142" i="3"/>
  <c r="U145" i="3"/>
  <c r="U158" i="4"/>
  <c r="Y149" i="4"/>
  <c r="W140" i="3"/>
  <c r="K146" i="3"/>
  <c r="Z158" i="4"/>
  <c r="AA153" i="4"/>
  <c r="Z151" i="4"/>
  <c r="P139" i="3"/>
  <c r="Q144" i="3"/>
  <c r="AA147" i="4"/>
  <c r="O141" i="3"/>
  <c r="U149" i="4"/>
  <c r="J142" i="3"/>
  <c r="U142" i="3"/>
  <c r="L140" i="3"/>
  <c r="L145" i="3"/>
  <c r="V149" i="4"/>
  <c r="V144" i="3"/>
  <c r="U153" i="4"/>
  <c r="Y140" i="3"/>
  <c r="V142" i="3"/>
  <c r="N145" i="3"/>
  <c r="L142" i="3"/>
  <c r="W144" i="3"/>
  <c r="P141" i="3"/>
  <c r="U146" i="3"/>
  <c r="AA139" i="3"/>
  <c r="U144" i="3"/>
  <c r="Z143" i="3"/>
  <c r="N143" i="3"/>
  <c r="P142" i="3"/>
  <c r="Z146" i="3"/>
  <c r="X149" i="4"/>
  <c r="M144" i="3"/>
  <c r="U143" i="3"/>
  <c r="Y144" i="3"/>
  <c r="W153" i="4"/>
  <c r="O143" i="3"/>
  <c r="Z160" i="4"/>
  <c r="AA151" i="4"/>
  <c r="I147" i="4" l="1"/>
  <c r="S158" i="4"/>
  <c r="R160" i="4"/>
  <c r="T160" i="4"/>
  <c r="S156" i="4"/>
  <c r="R156" i="4"/>
  <c r="T156" i="4"/>
  <c r="T147" i="4"/>
  <c r="R147" i="4"/>
  <c r="S146" i="3"/>
  <c r="S145" i="3"/>
  <c r="I144" i="3"/>
  <c r="R144" i="3"/>
  <c r="T144" i="3"/>
  <c r="S160" i="4"/>
  <c r="I149" i="4"/>
  <c r="I151" i="4"/>
  <c r="I143" i="3"/>
  <c r="R146" i="3"/>
  <c r="T146" i="3"/>
  <c r="R145" i="3"/>
  <c r="T145" i="3"/>
  <c r="S144" i="3"/>
  <c r="R149" i="4"/>
  <c r="T149" i="4"/>
  <c r="T142" i="3"/>
  <c r="R142" i="3"/>
  <c r="S141" i="3"/>
  <c r="I141" i="3"/>
  <c r="I140" i="3"/>
  <c r="S139" i="3"/>
  <c r="S151" i="4"/>
  <c r="T151" i="4"/>
  <c r="R151" i="4"/>
  <c r="S143" i="3"/>
  <c r="I146" i="3"/>
  <c r="I145" i="3"/>
  <c r="R158" i="4"/>
  <c r="T158" i="4"/>
  <c r="S149" i="4"/>
  <c r="S142" i="3"/>
  <c r="R141" i="3"/>
  <c r="T141" i="3"/>
  <c r="S153" i="4"/>
  <c r="T153" i="4"/>
  <c r="R153" i="4"/>
  <c r="I153" i="4"/>
  <c r="S140" i="3"/>
  <c r="T139" i="3"/>
  <c r="R139" i="3"/>
  <c r="R143" i="3"/>
  <c r="T143" i="3"/>
  <c r="S147" i="4"/>
  <c r="I142" i="3"/>
  <c r="S162" i="4"/>
  <c r="R162" i="4"/>
  <c r="T162" i="4"/>
  <c r="T140" i="3"/>
  <c r="R140" i="3"/>
  <c r="I139" i="3"/>
  <c r="C626" i="3"/>
  <c r="H626" i="3" s="1"/>
  <c r="H594" i="3"/>
  <c r="C641" i="3"/>
  <c r="H641" i="3" s="1"/>
  <c r="I641" i="3" s="1"/>
  <c r="H609" i="3"/>
  <c r="I609" i="3" s="1"/>
  <c r="C639" i="3"/>
  <c r="H639" i="3" s="1"/>
  <c r="I639" i="3" s="1"/>
  <c r="H607" i="3"/>
  <c r="I607" i="3" s="1"/>
  <c r="C620" i="3"/>
  <c r="H620" i="3" s="1"/>
  <c r="H588" i="3"/>
  <c r="C613" i="3"/>
  <c r="H613" i="3" s="1"/>
  <c r="H581" i="3"/>
  <c r="C615" i="3"/>
  <c r="H615" i="3" s="1"/>
  <c r="H583" i="3"/>
  <c r="C617" i="3"/>
  <c r="H617" i="3" s="1"/>
  <c r="H585" i="3"/>
  <c r="C623" i="3"/>
  <c r="H623" i="3" s="1"/>
  <c r="H591" i="3"/>
  <c r="C618" i="3"/>
  <c r="H618" i="3" s="1"/>
  <c r="H586" i="3"/>
  <c r="C622" i="3"/>
  <c r="H622" i="3" s="1"/>
  <c r="H590" i="3"/>
  <c r="C642" i="3"/>
  <c r="H642" i="3" s="1"/>
  <c r="I642" i="3" s="1"/>
  <c r="H610" i="3"/>
  <c r="I610" i="3" s="1"/>
  <c r="C619" i="3"/>
  <c r="H619" i="3" s="1"/>
  <c r="H587" i="3"/>
  <c r="C631" i="3"/>
  <c r="H631" i="3" s="1"/>
  <c r="H599" i="3"/>
  <c r="C612" i="3"/>
  <c r="H612" i="3" s="1"/>
  <c r="H580" i="3"/>
  <c r="C614" i="3"/>
  <c r="H614" i="3" s="1"/>
  <c r="H582" i="3"/>
  <c r="C635" i="3"/>
  <c r="H635" i="3" s="1"/>
  <c r="I635" i="3" s="1"/>
  <c r="H603" i="3"/>
  <c r="I603" i="3" s="1"/>
  <c r="C630" i="3"/>
  <c r="H630" i="3" s="1"/>
  <c r="H598" i="3"/>
  <c r="C611" i="3"/>
  <c r="H611" i="3" s="1"/>
  <c r="H579" i="3"/>
  <c r="C638" i="3"/>
  <c r="H638" i="3" s="1"/>
  <c r="I638" i="3" s="1"/>
  <c r="H606" i="3"/>
  <c r="I606" i="3" s="1"/>
  <c r="C621" i="3"/>
  <c r="H621" i="3" s="1"/>
  <c r="H589" i="3"/>
  <c r="C624" i="3"/>
  <c r="H624" i="3" s="1"/>
  <c r="H592" i="3"/>
  <c r="C628" i="3"/>
  <c r="H628" i="3" s="1"/>
  <c r="H596" i="3"/>
  <c r="C632" i="3"/>
  <c r="H632" i="3" s="1"/>
  <c r="H600" i="3"/>
  <c r="C627" i="3"/>
  <c r="H627" i="3" s="1"/>
  <c r="H595" i="3"/>
  <c r="C636" i="3"/>
  <c r="H636" i="3" s="1"/>
  <c r="I636" i="3" s="1"/>
  <c r="H604" i="3"/>
  <c r="I604" i="3" s="1"/>
  <c r="C633" i="3"/>
  <c r="H633" i="3" s="1"/>
  <c r="H601" i="3"/>
  <c r="C629" i="3"/>
  <c r="H629" i="3" s="1"/>
  <c r="H597" i="3"/>
  <c r="C625" i="3"/>
  <c r="H625" i="3" s="1"/>
  <c r="H593" i="3"/>
  <c r="C634" i="3"/>
  <c r="H634" i="3" s="1"/>
  <c r="H602" i="3"/>
  <c r="C637" i="3"/>
  <c r="H637" i="3" s="1"/>
  <c r="I637" i="3" s="1"/>
  <c r="H605" i="3"/>
  <c r="I605" i="3" s="1"/>
  <c r="C616" i="3"/>
  <c r="H616" i="3" s="1"/>
  <c r="H584" i="3"/>
  <c r="C640" i="3"/>
  <c r="H640" i="3" s="1"/>
  <c r="I640" i="3" s="1"/>
  <c r="H608" i="3"/>
  <c r="I608" i="3" s="1"/>
  <c r="G172" i="4"/>
  <c r="G174" i="4"/>
  <c r="G176" i="4"/>
  <c r="G178" i="4"/>
  <c r="G163" i="4"/>
  <c r="G167" i="4"/>
  <c r="G165" i="4"/>
  <c r="G169" i="4"/>
  <c r="G162" i="3"/>
  <c r="G160" i="3"/>
  <c r="G158" i="3"/>
  <c r="G156" i="3"/>
  <c r="G161" i="3"/>
  <c r="G159" i="3"/>
  <c r="G157" i="3"/>
  <c r="G155" i="3"/>
  <c r="X168" i="4"/>
  <c r="V157" i="4"/>
  <c r="K148" i="3"/>
  <c r="L151" i="3"/>
  <c r="K151" i="3"/>
  <c r="M154" i="3"/>
  <c r="V161" i="4"/>
  <c r="V164" i="4"/>
  <c r="U150" i="3"/>
  <c r="K147" i="3"/>
  <c r="J147" i="3"/>
  <c r="M148" i="3"/>
  <c r="U147" i="3"/>
  <c r="U151" i="3"/>
  <c r="W157" i="4"/>
  <c r="X170" i="4"/>
  <c r="Y148" i="3"/>
  <c r="V166" i="4"/>
  <c r="W152" i="3"/>
  <c r="AA170" i="4"/>
  <c r="AA148" i="3"/>
  <c r="N151" i="3"/>
  <c r="W155" i="4"/>
  <c r="Z159" i="4"/>
  <c r="X148" i="3"/>
  <c r="W168" i="4"/>
  <c r="Z161" i="4"/>
  <c r="J166" i="4"/>
  <c r="J151" i="3"/>
  <c r="V151" i="3"/>
  <c r="Y164" i="4"/>
  <c r="X147" i="3"/>
  <c r="Y157" i="4"/>
  <c r="K152" i="3"/>
  <c r="AA154" i="3"/>
  <c r="M152" i="3"/>
  <c r="Q150" i="3"/>
  <c r="V147" i="3"/>
  <c r="X154" i="3"/>
  <c r="W151" i="3"/>
  <c r="Y155" i="4"/>
  <c r="X157" i="4"/>
  <c r="J152" i="3"/>
  <c r="J155" i="4"/>
  <c r="W147" i="3"/>
  <c r="L147" i="3"/>
  <c r="K149" i="3"/>
  <c r="U148" i="3"/>
  <c r="Q148" i="3"/>
  <c r="Y170" i="4"/>
  <c r="Z168" i="4"/>
  <c r="V159" i="4"/>
  <c r="U155" i="4"/>
  <c r="AA153" i="3"/>
  <c r="M147" i="3"/>
  <c r="W166" i="4"/>
  <c r="O153" i="3"/>
  <c r="Y161" i="4"/>
  <c r="U154" i="3"/>
  <c r="Q153" i="3"/>
  <c r="Z170" i="4"/>
  <c r="V150" i="3"/>
  <c r="V154" i="3"/>
  <c r="O154" i="3"/>
  <c r="U161" i="4"/>
  <c r="Y159" i="4"/>
  <c r="AA161" i="4"/>
  <c r="O147" i="3"/>
  <c r="X159" i="4"/>
  <c r="AA151" i="3"/>
  <c r="M149" i="3"/>
  <c r="V170" i="4"/>
  <c r="U153" i="3"/>
  <c r="W164" i="4"/>
  <c r="V149" i="3"/>
  <c r="U168" i="4"/>
  <c r="AA159" i="4"/>
  <c r="X161" i="4"/>
  <c r="L153" i="3"/>
  <c r="Z155" i="4"/>
  <c r="Q154" i="3"/>
  <c r="X164" i="4"/>
  <c r="Z166" i="4"/>
  <c r="Y152" i="3"/>
  <c r="P148" i="3"/>
  <c r="Y149" i="3"/>
  <c r="Y166" i="4"/>
  <c r="AA152" i="3"/>
  <c r="Q151" i="3"/>
  <c r="L152" i="3"/>
  <c r="P153" i="3"/>
  <c r="AA168" i="4"/>
  <c r="W153" i="3"/>
  <c r="O151" i="3"/>
  <c r="P151" i="3"/>
  <c r="M150" i="3"/>
  <c r="Y154" i="3"/>
  <c r="O149" i="3"/>
  <c r="L154" i="3"/>
  <c r="J153" i="3"/>
  <c r="N154" i="3"/>
  <c r="Y168" i="4"/>
  <c r="W150" i="3"/>
  <c r="Q149" i="3"/>
  <c r="N150" i="3"/>
  <c r="V155" i="4"/>
  <c r="AA150" i="3"/>
  <c r="K150" i="3"/>
  <c r="W149" i="3"/>
  <c r="J164" i="4"/>
  <c r="Z150" i="3"/>
  <c r="X150" i="3"/>
  <c r="N149" i="3"/>
  <c r="O152" i="3"/>
  <c r="AA155" i="4"/>
  <c r="Z153" i="3"/>
  <c r="Z152" i="3"/>
  <c r="V153" i="3"/>
  <c r="U164" i="4"/>
  <c r="Z154" i="3"/>
  <c r="U157" i="4"/>
  <c r="X149" i="3"/>
  <c r="V148" i="3"/>
  <c r="K153" i="3"/>
  <c r="J168" i="4"/>
  <c r="J159" i="4"/>
  <c r="L149" i="3"/>
  <c r="Y151" i="3"/>
  <c r="M153" i="3"/>
  <c r="Z151" i="3"/>
  <c r="X151" i="3"/>
  <c r="J157" i="4"/>
  <c r="AA157" i="4"/>
  <c r="U159" i="4"/>
  <c r="U166" i="4"/>
  <c r="V168" i="4"/>
  <c r="J161" i="4"/>
  <c r="N147" i="3"/>
  <c r="Q147" i="3"/>
  <c r="U170" i="4"/>
  <c r="O150" i="3"/>
  <c r="M151" i="3"/>
  <c r="L148" i="3"/>
  <c r="P149" i="3"/>
  <c r="W154" i="3"/>
  <c r="J149" i="3"/>
  <c r="P147" i="3"/>
  <c r="P152" i="3"/>
  <c r="Y147" i="3"/>
  <c r="Z149" i="3"/>
  <c r="U152" i="3"/>
  <c r="AA164" i="4"/>
  <c r="N148" i="3"/>
  <c r="Y150" i="3"/>
  <c r="X152" i="3"/>
  <c r="Z164" i="4"/>
  <c r="U149" i="3"/>
  <c r="AA149" i="3"/>
  <c r="Z157" i="4"/>
  <c r="N152" i="3"/>
  <c r="P154" i="3"/>
  <c r="AA147" i="3"/>
  <c r="Z148" i="3"/>
  <c r="Y153" i="3"/>
  <c r="Q152" i="3"/>
  <c r="W159" i="4"/>
  <c r="X166" i="4"/>
  <c r="N153" i="3"/>
  <c r="J154" i="3"/>
  <c r="P150" i="3"/>
  <c r="W170" i="4"/>
  <c r="W161" i="4"/>
  <c r="X155" i="4"/>
  <c r="X153" i="3"/>
  <c r="W148" i="3"/>
  <c r="J150" i="3"/>
  <c r="O148" i="3"/>
  <c r="J170" i="4"/>
  <c r="J148" i="3"/>
  <c r="AA166" i="4"/>
  <c r="V152" i="3"/>
  <c r="K154" i="3"/>
  <c r="Z147" i="3"/>
  <c r="L150" i="3"/>
  <c r="R168" i="4" l="1"/>
  <c r="T168" i="4"/>
  <c r="I168" i="4"/>
  <c r="R150" i="3"/>
  <c r="T150" i="3"/>
  <c r="R159" i="4"/>
  <c r="T159" i="4"/>
  <c r="R166" i="4"/>
  <c r="T166" i="4"/>
  <c r="I151" i="3"/>
  <c r="S151" i="3"/>
  <c r="R152" i="3"/>
  <c r="T152" i="3"/>
  <c r="T155" i="4"/>
  <c r="R155" i="4"/>
  <c r="I153" i="3"/>
  <c r="S154" i="3"/>
  <c r="R154" i="3"/>
  <c r="T154" i="3"/>
  <c r="S161" i="4"/>
  <c r="S170" i="4"/>
  <c r="I147" i="3"/>
  <c r="S148" i="3"/>
  <c r="S150" i="3"/>
  <c r="S166" i="4"/>
  <c r="I166" i="4"/>
  <c r="S152" i="3"/>
  <c r="S155" i="4"/>
  <c r="T164" i="4"/>
  <c r="R164" i="4"/>
  <c r="T161" i="4"/>
  <c r="R161" i="4"/>
  <c r="I148" i="3"/>
  <c r="S149" i="3"/>
  <c r="S168" i="4"/>
  <c r="I150" i="3"/>
  <c r="S157" i="4"/>
  <c r="S159" i="4"/>
  <c r="R151" i="3"/>
  <c r="T151" i="3"/>
  <c r="S164" i="4"/>
  <c r="S153" i="3"/>
  <c r="I154" i="3"/>
  <c r="R170" i="4"/>
  <c r="T170" i="4"/>
  <c r="I170" i="4"/>
  <c r="S147" i="3"/>
  <c r="T157" i="4"/>
  <c r="R157" i="4"/>
  <c r="I152" i="3"/>
  <c r="I164" i="4"/>
  <c r="T153" i="3"/>
  <c r="R153" i="3"/>
  <c r="R147" i="3"/>
  <c r="T147" i="3"/>
  <c r="R148" i="3"/>
  <c r="T148" i="3"/>
  <c r="R149" i="3"/>
  <c r="T149" i="3"/>
  <c r="I149" i="3"/>
  <c r="G177" i="4"/>
  <c r="G173" i="4"/>
  <c r="G175" i="4"/>
  <c r="G171" i="4"/>
  <c r="G186" i="4"/>
  <c r="G184" i="4"/>
  <c r="G182" i="4"/>
  <c r="G180" i="4"/>
  <c r="G163" i="3"/>
  <c r="G165" i="3"/>
  <c r="G167" i="3"/>
  <c r="G169" i="3"/>
  <c r="G164" i="3"/>
  <c r="G166" i="3"/>
  <c r="G168" i="3"/>
  <c r="G170" i="3"/>
  <c r="Q160" i="3"/>
  <c r="J160" i="3"/>
  <c r="U160" i="3"/>
  <c r="X157" i="3"/>
  <c r="J157" i="3"/>
  <c r="X174" i="4"/>
  <c r="V167" i="4"/>
  <c r="X161" i="3"/>
  <c r="V159" i="3"/>
  <c r="AA160" i="3"/>
  <c r="W161" i="3"/>
  <c r="P156" i="3"/>
  <c r="O156" i="3"/>
  <c r="AA158" i="3"/>
  <c r="AA172" i="4"/>
  <c r="M158" i="3"/>
  <c r="AA159" i="3"/>
  <c r="K160" i="3"/>
  <c r="Q158" i="3"/>
  <c r="W163" i="4"/>
  <c r="V174" i="4"/>
  <c r="U167" i="4"/>
  <c r="AA161" i="3"/>
  <c r="V178" i="4"/>
  <c r="X172" i="4"/>
  <c r="Z167" i="4"/>
  <c r="W158" i="3"/>
  <c r="W160" i="3"/>
  <c r="Y156" i="3"/>
  <c r="AA174" i="4"/>
  <c r="Y159" i="3"/>
  <c r="V161" i="3"/>
  <c r="Z159" i="3"/>
  <c r="N156" i="3"/>
  <c r="Q161" i="3"/>
  <c r="Z172" i="4"/>
  <c r="V169" i="4"/>
  <c r="J176" i="4"/>
  <c r="Z162" i="3"/>
  <c r="V160" i="3"/>
  <c r="L155" i="3"/>
  <c r="U162" i="3"/>
  <c r="Z165" i="4"/>
  <c r="P160" i="3"/>
  <c r="W157" i="3"/>
  <c r="Y169" i="4"/>
  <c r="V163" i="4"/>
  <c r="J156" i="3"/>
  <c r="J158" i="3"/>
  <c r="Y174" i="4"/>
  <c r="K162" i="3"/>
  <c r="P159" i="3"/>
  <c r="M157" i="3"/>
  <c r="V165" i="4"/>
  <c r="AA157" i="3"/>
  <c r="W172" i="4"/>
  <c r="P157" i="3"/>
  <c r="K161" i="3"/>
  <c r="J167" i="4"/>
  <c r="M162" i="3"/>
  <c r="Z157" i="3"/>
  <c r="L156" i="3"/>
  <c r="O162" i="3"/>
  <c r="Y172" i="4"/>
  <c r="X178" i="4"/>
  <c r="Y158" i="3"/>
  <c r="O160" i="3"/>
  <c r="AA169" i="4"/>
  <c r="O155" i="3"/>
  <c r="Q155" i="3"/>
  <c r="M161" i="3"/>
  <c r="O157" i="3"/>
  <c r="Z156" i="3"/>
  <c r="N157" i="3"/>
  <c r="Z176" i="4"/>
  <c r="X155" i="3"/>
  <c r="Z178" i="4"/>
  <c r="X162" i="3"/>
  <c r="Y163" i="4"/>
  <c r="W156" i="3"/>
  <c r="J172" i="4"/>
  <c r="AA162" i="3"/>
  <c r="AA156" i="3"/>
  <c r="U157" i="3"/>
  <c r="Y165" i="4"/>
  <c r="M155" i="3"/>
  <c r="P161" i="3"/>
  <c r="O159" i="3"/>
  <c r="Q159" i="3"/>
  <c r="L160" i="3"/>
  <c r="U169" i="4"/>
  <c r="L158" i="3"/>
  <c r="X159" i="3"/>
  <c r="U163" i="4"/>
  <c r="P155" i="3"/>
  <c r="V172" i="4"/>
  <c r="U165" i="4"/>
  <c r="W178" i="4"/>
  <c r="W176" i="4"/>
  <c r="K156" i="3"/>
  <c r="U158" i="3"/>
  <c r="U161" i="3"/>
  <c r="N158" i="3"/>
  <c r="X156" i="3"/>
  <c r="Z160" i="3"/>
  <c r="Z169" i="4"/>
  <c r="Z161" i="3"/>
  <c r="V156" i="3"/>
  <c r="J155" i="3"/>
  <c r="V162" i="3"/>
  <c r="U174" i="4"/>
  <c r="K157" i="3"/>
  <c r="Y155" i="3"/>
  <c r="L161" i="3"/>
  <c r="Y160" i="3"/>
  <c r="Y176" i="4"/>
  <c r="P158" i="3"/>
  <c r="Y167" i="4"/>
  <c r="AA163" i="4"/>
  <c r="W174" i="4"/>
  <c r="J169" i="4"/>
  <c r="N162" i="3"/>
  <c r="W165" i="4"/>
  <c r="W155" i="3"/>
  <c r="W159" i="3"/>
  <c r="X158" i="3"/>
  <c r="W162" i="3"/>
  <c r="AA165" i="4"/>
  <c r="L157" i="3"/>
  <c r="AA155" i="3"/>
  <c r="Y178" i="4"/>
  <c r="U172" i="4"/>
  <c r="M159" i="3"/>
  <c r="Z158" i="3"/>
  <c r="Z163" i="4"/>
  <c r="N161" i="3"/>
  <c r="Z155" i="3"/>
  <c r="N155" i="3"/>
  <c r="Y162" i="3"/>
  <c r="W169" i="4"/>
  <c r="W167" i="4"/>
  <c r="U178" i="4"/>
  <c r="Q156" i="3"/>
  <c r="K158" i="3"/>
  <c r="J165" i="4"/>
  <c r="X163" i="4"/>
  <c r="Q157" i="3"/>
  <c r="K155" i="3"/>
  <c r="O161" i="3"/>
  <c r="J161" i="3"/>
  <c r="J163" i="4"/>
  <c r="J178" i="4"/>
  <c r="Q162" i="3"/>
  <c r="AA176" i="4"/>
  <c r="X169" i="4"/>
  <c r="AA167" i="4"/>
  <c r="Y157" i="3"/>
  <c r="P162" i="3"/>
  <c r="O158" i="3"/>
  <c r="Z174" i="4"/>
  <c r="M160" i="3"/>
  <c r="V155" i="3"/>
  <c r="U159" i="3"/>
  <c r="U156" i="3"/>
  <c r="L159" i="3"/>
  <c r="J162" i="3"/>
  <c r="J174" i="4"/>
  <c r="Y161" i="3"/>
  <c r="N160" i="3"/>
  <c r="L162" i="3"/>
  <c r="V176" i="4"/>
  <c r="X165" i="4"/>
  <c r="X176" i="4"/>
  <c r="N159" i="3"/>
  <c r="K159" i="3"/>
  <c r="U176" i="4"/>
  <c r="AA178" i="4"/>
  <c r="J159" i="3"/>
  <c r="V158" i="3"/>
  <c r="X160" i="3"/>
  <c r="U155" i="3"/>
  <c r="M156" i="3"/>
  <c r="X167" i="4"/>
  <c r="V157" i="3"/>
  <c r="I176" i="4" l="1"/>
  <c r="T158" i="3"/>
  <c r="R158" i="3"/>
  <c r="S169" i="4"/>
  <c r="S172" i="4"/>
  <c r="R165" i="4"/>
  <c r="T165" i="4"/>
  <c r="I165" i="4"/>
  <c r="S157" i="3"/>
  <c r="R178" i="4"/>
  <c r="T178" i="4"/>
  <c r="I169" i="4"/>
  <c r="T156" i="3"/>
  <c r="R156" i="3"/>
  <c r="S155" i="3"/>
  <c r="R163" i="4"/>
  <c r="T163" i="4"/>
  <c r="R162" i="3"/>
  <c r="T162" i="3"/>
  <c r="R161" i="3"/>
  <c r="T161" i="3"/>
  <c r="R174" i="4"/>
  <c r="T174" i="4"/>
  <c r="S159" i="3"/>
  <c r="S158" i="3"/>
  <c r="R157" i="3"/>
  <c r="T157" i="3"/>
  <c r="S178" i="4"/>
  <c r="S156" i="3"/>
  <c r="R155" i="3"/>
  <c r="T155" i="3"/>
  <c r="S174" i="4"/>
  <c r="I174" i="4"/>
  <c r="I167" i="4"/>
  <c r="R159" i="3"/>
  <c r="T159" i="3"/>
  <c r="S165" i="4"/>
  <c r="I178" i="4"/>
  <c r="R169" i="4"/>
  <c r="T169" i="4"/>
  <c r="T172" i="4"/>
  <c r="R172" i="4"/>
  <c r="S163" i="4"/>
  <c r="S162" i="3"/>
  <c r="S161" i="3"/>
  <c r="T167" i="4"/>
  <c r="R167" i="4"/>
  <c r="R160" i="3"/>
  <c r="T160" i="3"/>
  <c r="T176" i="4"/>
  <c r="R176" i="4"/>
  <c r="S176" i="4"/>
  <c r="I172" i="4"/>
  <c r="I163" i="4"/>
  <c r="S167" i="4"/>
  <c r="S160" i="3"/>
  <c r="G188" i="4"/>
  <c r="G190" i="4"/>
  <c r="G192" i="4"/>
  <c r="G194" i="4"/>
  <c r="G179" i="4"/>
  <c r="G183" i="4"/>
  <c r="G181" i="4"/>
  <c r="G185" i="4"/>
  <c r="G178" i="3"/>
  <c r="G176" i="3"/>
  <c r="G174" i="3"/>
  <c r="G172" i="3"/>
  <c r="G177" i="3"/>
  <c r="G175" i="3"/>
  <c r="G173" i="3"/>
  <c r="G171" i="3"/>
  <c r="J180" i="4"/>
  <c r="Z184" i="4"/>
  <c r="Y175" i="4"/>
  <c r="Y177" i="4"/>
  <c r="U166" i="3"/>
  <c r="Z163" i="3"/>
  <c r="K164" i="3"/>
  <c r="U168" i="3"/>
  <c r="V169" i="3"/>
  <c r="W169" i="3"/>
  <c r="N166" i="3"/>
  <c r="Y169" i="3"/>
  <c r="V184" i="4"/>
  <c r="K167" i="3"/>
  <c r="J167" i="3"/>
  <c r="K166" i="3"/>
  <c r="V165" i="3"/>
  <c r="K168" i="3"/>
  <c r="X167" i="3"/>
  <c r="Y165" i="3"/>
  <c r="AA165" i="3"/>
  <c r="W167" i="3"/>
  <c r="W175" i="4"/>
  <c r="X163" i="3"/>
  <c r="M164" i="3"/>
  <c r="J186" i="4"/>
  <c r="U186" i="4"/>
  <c r="U165" i="3"/>
  <c r="O170" i="3"/>
  <c r="U175" i="4"/>
  <c r="AA167" i="3"/>
  <c r="Q169" i="3"/>
  <c r="U173" i="4"/>
  <c r="M167" i="3"/>
  <c r="U171" i="4"/>
  <c r="Q165" i="3"/>
  <c r="AA163" i="3"/>
  <c r="M166" i="3"/>
  <c r="Z167" i="3"/>
  <c r="J164" i="3"/>
  <c r="J169" i="3"/>
  <c r="Z164" i="3"/>
  <c r="Z166" i="3"/>
  <c r="L164" i="3"/>
  <c r="W173" i="4"/>
  <c r="N170" i="3"/>
  <c r="L166" i="3"/>
  <c r="X166" i="3"/>
  <c r="L163" i="3"/>
  <c r="M168" i="3"/>
  <c r="AA171" i="4"/>
  <c r="Z168" i="3"/>
  <c r="X168" i="3"/>
  <c r="U169" i="3"/>
  <c r="X175" i="4"/>
  <c r="Q168" i="3"/>
  <c r="O167" i="3"/>
  <c r="V168" i="3"/>
  <c r="P164" i="3"/>
  <c r="L165" i="3"/>
  <c r="X171" i="4"/>
  <c r="K165" i="3"/>
  <c r="W177" i="4"/>
  <c r="J163" i="3"/>
  <c r="W168" i="3"/>
  <c r="O166" i="3"/>
  <c r="J177" i="4"/>
  <c r="W166" i="3"/>
  <c r="X182" i="4"/>
  <c r="P165" i="3"/>
  <c r="Z186" i="4"/>
  <c r="Z165" i="3"/>
  <c r="Q166" i="3"/>
  <c r="J165" i="3"/>
  <c r="W170" i="3"/>
  <c r="Y182" i="4"/>
  <c r="Z182" i="4"/>
  <c r="W182" i="4"/>
  <c r="V163" i="3"/>
  <c r="L168" i="3"/>
  <c r="O169" i="3"/>
  <c r="V171" i="4"/>
  <c r="AA177" i="4"/>
  <c r="Y166" i="3"/>
  <c r="O168" i="3"/>
  <c r="V180" i="4"/>
  <c r="V175" i="4"/>
  <c r="X180" i="4"/>
  <c r="X177" i="4"/>
  <c r="J168" i="3"/>
  <c r="K163" i="3"/>
  <c r="M169" i="3"/>
  <c r="N167" i="3"/>
  <c r="W164" i="3"/>
  <c r="Z169" i="3"/>
  <c r="P169" i="3"/>
  <c r="X186" i="4"/>
  <c r="X184" i="4"/>
  <c r="J182" i="4"/>
  <c r="N164" i="3"/>
  <c r="AA186" i="4"/>
  <c r="Z171" i="4"/>
  <c r="V166" i="3"/>
  <c r="AA168" i="3"/>
  <c r="K170" i="3"/>
  <c r="AA182" i="4"/>
  <c r="Z173" i="4"/>
  <c r="W171" i="4"/>
  <c r="AA166" i="3"/>
  <c r="AA170" i="3"/>
  <c r="Y163" i="3"/>
  <c r="J175" i="4"/>
  <c r="U163" i="3"/>
  <c r="Z175" i="4"/>
  <c r="O164" i="3"/>
  <c r="W186" i="4"/>
  <c r="U164" i="3"/>
  <c r="Z177" i="4"/>
  <c r="AA184" i="4"/>
  <c r="M165" i="3"/>
  <c r="AA180" i="4"/>
  <c r="J173" i="4"/>
  <c r="P166" i="3"/>
  <c r="V164" i="3"/>
  <c r="O165" i="3"/>
  <c r="P167" i="3"/>
  <c r="Y184" i="4"/>
  <c r="X170" i="3"/>
  <c r="AA169" i="3"/>
  <c r="Q163" i="3"/>
  <c r="N168" i="3"/>
  <c r="J171" i="4"/>
  <c r="L167" i="3"/>
  <c r="K169" i="3"/>
  <c r="P163" i="3"/>
  <c r="P168" i="3"/>
  <c r="Z170" i="3"/>
  <c r="Z180" i="4"/>
  <c r="X165" i="3"/>
  <c r="M163" i="3"/>
  <c r="Y171" i="4"/>
  <c r="V170" i="3"/>
  <c r="U170" i="3"/>
  <c r="J170" i="3"/>
  <c r="U182" i="4"/>
  <c r="V177" i="4"/>
  <c r="U180" i="4"/>
  <c r="W184" i="4"/>
  <c r="X173" i="4"/>
  <c r="Y173" i="4"/>
  <c r="U167" i="3"/>
  <c r="X164" i="3"/>
  <c r="V167" i="3"/>
  <c r="W165" i="3"/>
  <c r="O163" i="3"/>
  <c r="P170" i="3"/>
  <c r="AA175" i="4"/>
  <c r="N165" i="3"/>
  <c r="N163" i="3"/>
  <c r="U184" i="4"/>
  <c r="J166" i="3"/>
  <c r="Y180" i="4"/>
  <c r="Y186" i="4"/>
  <c r="X169" i="3"/>
  <c r="V173" i="4"/>
  <c r="Y164" i="3"/>
  <c r="V186" i="4"/>
  <c r="Y170" i="3"/>
  <c r="L170" i="3"/>
  <c r="J184" i="4"/>
  <c r="N169" i="3"/>
  <c r="Q170" i="3"/>
  <c r="W180" i="4"/>
  <c r="Q164" i="3"/>
  <c r="Q167" i="3"/>
  <c r="AA173" i="4"/>
  <c r="AA164" i="3"/>
  <c r="W163" i="3"/>
  <c r="V182" i="4"/>
  <c r="M170" i="3"/>
  <c r="Y168" i="3"/>
  <c r="U177" i="4"/>
  <c r="L169" i="3"/>
  <c r="Y167" i="3"/>
  <c r="T177" i="4" l="1"/>
  <c r="R177" i="4"/>
  <c r="S177" i="4"/>
  <c r="R166" i="3"/>
  <c r="T166" i="3"/>
  <c r="I175" i="4"/>
  <c r="I170" i="3"/>
  <c r="R163" i="3"/>
  <c r="T163" i="3"/>
  <c r="I184" i="4"/>
  <c r="S184" i="4"/>
  <c r="S166" i="3"/>
  <c r="S167" i="3"/>
  <c r="S175" i="4"/>
  <c r="S171" i="4"/>
  <c r="T169" i="3"/>
  <c r="R169" i="3"/>
  <c r="S163" i="3"/>
  <c r="R165" i="3"/>
  <c r="T165" i="3"/>
  <c r="I177" i="4"/>
  <c r="T180" i="4"/>
  <c r="R180" i="4"/>
  <c r="R170" i="3"/>
  <c r="T170" i="3"/>
  <c r="I186" i="4"/>
  <c r="I163" i="3"/>
  <c r="I164" i="3"/>
  <c r="R164" i="3"/>
  <c r="T164" i="3"/>
  <c r="I173" i="4"/>
  <c r="R182" i="4"/>
  <c r="T182" i="4"/>
  <c r="I182" i="4"/>
  <c r="R184" i="4"/>
  <c r="T184" i="4"/>
  <c r="I166" i="3"/>
  <c r="I180" i="4"/>
  <c r="S169" i="3"/>
  <c r="R186" i="4"/>
  <c r="T186" i="4"/>
  <c r="S164" i="3"/>
  <c r="R173" i="4"/>
  <c r="T173" i="4"/>
  <c r="S182" i="4"/>
  <c r="I168" i="3"/>
  <c r="S168" i="3"/>
  <c r="R167" i="3"/>
  <c r="T167" i="3"/>
  <c r="I171" i="4"/>
  <c r="R168" i="3"/>
  <c r="T168" i="3"/>
  <c r="I167" i="3"/>
  <c r="R175" i="4"/>
  <c r="T175" i="4"/>
  <c r="R171" i="4"/>
  <c r="T171" i="4"/>
  <c r="S180" i="4"/>
  <c r="I169" i="3"/>
  <c r="S170" i="3"/>
  <c r="S186" i="4"/>
  <c r="S173" i="4"/>
  <c r="S165" i="3"/>
  <c r="I165" i="3"/>
  <c r="G193" i="4"/>
  <c r="G189" i="4"/>
  <c r="G191" i="4"/>
  <c r="G187" i="4"/>
  <c r="G202" i="4"/>
  <c r="G200" i="4"/>
  <c r="G198" i="4"/>
  <c r="G196" i="4"/>
  <c r="G179" i="3"/>
  <c r="G181" i="3"/>
  <c r="G183" i="3"/>
  <c r="G185" i="3"/>
  <c r="G180" i="3"/>
  <c r="G182" i="3"/>
  <c r="G184" i="3"/>
  <c r="G186" i="3"/>
  <c r="O174" i="3"/>
  <c r="X171" i="3"/>
  <c r="Y183" i="4"/>
  <c r="Z185" i="4"/>
  <c r="K175" i="3"/>
  <c r="Q173" i="3"/>
  <c r="Y175" i="3"/>
  <c r="P178" i="3"/>
  <c r="Q176" i="3"/>
  <c r="P176" i="3"/>
  <c r="K171" i="3"/>
  <c r="Y192" i="4"/>
  <c r="M171" i="3"/>
  <c r="X185" i="4"/>
  <c r="U190" i="4"/>
  <c r="U178" i="3"/>
  <c r="Z176" i="3"/>
  <c r="X194" i="4"/>
  <c r="W171" i="3"/>
  <c r="W185" i="4"/>
  <c r="V179" i="4"/>
  <c r="Z192" i="4"/>
  <c r="X174" i="3"/>
  <c r="AA172" i="3"/>
  <c r="X181" i="4"/>
  <c r="J188" i="4"/>
  <c r="U174" i="3"/>
  <c r="Y181" i="4"/>
  <c r="W176" i="3"/>
  <c r="P171" i="3"/>
  <c r="N177" i="3"/>
  <c r="W179" i="4"/>
  <c r="J177" i="3"/>
  <c r="W190" i="4"/>
  <c r="W177" i="3"/>
  <c r="Y194" i="4"/>
  <c r="J178" i="3"/>
  <c r="AA179" i="4"/>
  <c r="J179" i="4"/>
  <c r="U185" i="4"/>
  <c r="AA188" i="4"/>
  <c r="Q178" i="3"/>
  <c r="W181" i="4"/>
  <c r="J172" i="3"/>
  <c r="P174" i="3"/>
  <c r="Y179" i="4"/>
  <c r="J175" i="3"/>
  <c r="V192" i="4"/>
  <c r="AA190" i="4"/>
  <c r="V190" i="4"/>
  <c r="V183" i="4"/>
  <c r="V181" i="4"/>
  <c r="J190" i="4"/>
  <c r="P177" i="3"/>
  <c r="V172" i="3"/>
  <c r="AA173" i="3"/>
  <c r="L174" i="3"/>
  <c r="Y173" i="3"/>
  <c r="Z177" i="3"/>
  <c r="U172" i="3"/>
  <c r="Y178" i="3"/>
  <c r="Q171" i="3"/>
  <c r="X183" i="4"/>
  <c r="K173" i="3"/>
  <c r="W178" i="3"/>
  <c r="X178" i="3"/>
  <c r="AA194" i="4"/>
  <c r="X173" i="3"/>
  <c r="Z173" i="3"/>
  <c r="J173" i="3"/>
  <c r="X188" i="4"/>
  <c r="V175" i="3"/>
  <c r="N175" i="3"/>
  <c r="Y188" i="4"/>
  <c r="M177" i="3"/>
  <c r="V178" i="3"/>
  <c r="N172" i="3"/>
  <c r="U177" i="3"/>
  <c r="J192" i="4"/>
  <c r="X175" i="3"/>
  <c r="O178" i="3"/>
  <c r="AA177" i="3"/>
  <c r="V194" i="4"/>
  <c r="K178" i="3"/>
  <c r="K177" i="3"/>
  <c r="X177" i="3"/>
  <c r="K176" i="3"/>
  <c r="W172" i="3"/>
  <c r="Z194" i="4"/>
  <c r="U181" i="4"/>
  <c r="Z175" i="3"/>
  <c r="J181" i="4"/>
  <c r="U173" i="3"/>
  <c r="Y171" i="3"/>
  <c r="L177" i="3"/>
  <c r="U176" i="3"/>
  <c r="U171" i="3"/>
  <c r="Q174" i="3"/>
  <c r="J174" i="3"/>
  <c r="AA171" i="3"/>
  <c r="Y177" i="3"/>
  <c r="P172" i="3"/>
  <c r="Y185" i="4"/>
  <c r="AA178" i="3"/>
  <c r="L173" i="3"/>
  <c r="L176" i="3"/>
  <c r="V176" i="3"/>
  <c r="V177" i="3"/>
  <c r="N178" i="3"/>
  <c r="M174" i="3"/>
  <c r="U192" i="4"/>
  <c r="Z190" i="4"/>
  <c r="U175" i="3"/>
  <c r="U194" i="4"/>
  <c r="N171" i="3"/>
  <c r="W192" i="4"/>
  <c r="O172" i="3"/>
  <c r="AA192" i="4"/>
  <c r="W175" i="3"/>
  <c r="AA181" i="4"/>
  <c r="V174" i="3"/>
  <c r="K172" i="3"/>
  <c r="W194" i="4"/>
  <c r="O176" i="3"/>
  <c r="U179" i="4"/>
  <c r="Q172" i="3"/>
  <c r="AA183" i="4"/>
  <c r="AA175" i="3"/>
  <c r="W188" i="4"/>
  <c r="V171" i="3"/>
  <c r="Z181" i="4"/>
  <c r="N173" i="3"/>
  <c r="P175" i="3"/>
  <c r="U183" i="4"/>
  <c r="L175" i="3"/>
  <c r="AA185" i="4"/>
  <c r="Q177" i="3"/>
  <c r="J185" i="4"/>
  <c r="J183" i="4"/>
  <c r="Q175" i="3"/>
  <c r="N176" i="3"/>
  <c r="O177" i="3"/>
  <c r="M175" i="3"/>
  <c r="Y176" i="3"/>
  <c r="X190" i="4"/>
  <c r="AA176" i="3"/>
  <c r="N174" i="3"/>
  <c r="M178" i="3"/>
  <c r="O171" i="3"/>
  <c r="W183" i="4"/>
  <c r="Z179" i="4"/>
  <c r="Z172" i="3"/>
  <c r="J176" i="3"/>
  <c r="Y174" i="3"/>
  <c r="L172" i="3"/>
  <c r="K174" i="3"/>
  <c r="M172" i="3"/>
  <c r="Z178" i="3"/>
  <c r="U188" i="4"/>
  <c r="V185" i="4"/>
  <c r="M176" i="3"/>
  <c r="W174" i="3"/>
  <c r="Z171" i="3"/>
  <c r="L171" i="3"/>
  <c r="L178" i="3"/>
  <c r="J171" i="3"/>
  <c r="Z174" i="3"/>
  <c r="X172" i="3"/>
  <c r="J194" i="4"/>
  <c r="O173" i="3"/>
  <c r="Z183" i="4"/>
  <c r="M173" i="3"/>
  <c r="AA174" i="3"/>
  <c r="Y190" i="4"/>
  <c r="Y172" i="3"/>
  <c r="Z188" i="4"/>
  <c r="X179" i="4"/>
  <c r="O175" i="3"/>
  <c r="X176" i="3"/>
  <c r="X192" i="4"/>
  <c r="V173" i="3"/>
  <c r="P173" i="3"/>
  <c r="W173" i="3"/>
  <c r="V188" i="4"/>
  <c r="I178" i="3" l="1"/>
  <c r="T192" i="4"/>
  <c r="R192" i="4"/>
  <c r="I183" i="4"/>
  <c r="R173" i="3"/>
  <c r="T173" i="3"/>
  <c r="R190" i="4"/>
  <c r="T190" i="4"/>
  <c r="T183" i="4"/>
  <c r="R183" i="4"/>
  <c r="I181" i="4"/>
  <c r="S178" i="3"/>
  <c r="I176" i="3"/>
  <c r="S176" i="3"/>
  <c r="S174" i="3"/>
  <c r="S173" i="3"/>
  <c r="S183" i="4"/>
  <c r="S175" i="3"/>
  <c r="S172" i="3"/>
  <c r="I171" i="3"/>
  <c r="S171" i="3"/>
  <c r="S188" i="4"/>
  <c r="S179" i="4"/>
  <c r="I174" i="3"/>
  <c r="S181" i="4"/>
  <c r="R194" i="4"/>
  <c r="T194" i="4"/>
  <c r="T178" i="3"/>
  <c r="R178" i="3"/>
  <c r="S192" i="4"/>
  <c r="I175" i="3"/>
  <c r="R185" i="4"/>
  <c r="T185" i="4"/>
  <c r="I179" i="4"/>
  <c r="S177" i="3"/>
  <c r="T177" i="3"/>
  <c r="R177" i="3"/>
  <c r="R174" i="3"/>
  <c r="T174" i="3"/>
  <c r="R175" i="3"/>
  <c r="T175" i="3"/>
  <c r="T176" i="3"/>
  <c r="R176" i="3"/>
  <c r="I173" i="3"/>
  <c r="S190" i="4"/>
  <c r="R181" i="4"/>
  <c r="T181" i="4"/>
  <c r="S194" i="4"/>
  <c r="S185" i="4"/>
  <c r="I185" i="4"/>
  <c r="I172" i="3"/>
  <c r="T172" i="3"/>
  <c r="R172" i="3"/>
  <c r="R171" i="3"/>
  <c r="T171" i="3"/>
  <c r="T188" i="4"/>
  <c r="R188" i="4"/>
  <c r="R179" i="4"/>
  <c r="T179" i="4"/>
  <c r="I177" i="3"/>
  <c r="G204" i="4"/>
  <c r="G206" i="4"/>
  <c r="G208" i="4"/>
  <c r="G210" i="4"/>
  <c r="G195" i="4"/>
  <c r="G199" i="4"/>
  <c r="G197" i="4"/>
  <c r="G201" i="4"/>
  <c r="G194" i="3"/>
  <c r="G192" i="3"/>
  <c r="G190" i="3"/>
  <c r="G188" i="3"/>
  <c r="G193" i="3"/>
  <c r="G191" i="3"/>
  <c r="G189" i="3"/>
  <c r="G187" i="3"/>
  <c r="U200" i="4"/>
  <c r="L186" i="3"/>
  <c r="Z193" i="4"/>
  <c r="M183" i="3"/>
  <c r="M179" i="3"/>
  <c r="P183" i="3"/>
  <c r="U189" i="4"/>
  <c r="AA191" i="4"/>
  <c r="K183" i="3"/>
  <c r="Z180" i="3"/>
  <c r="J191" i="4"/>
  <c r="J182" i="3"/>
  <c r="J187" i="4"/>
  <c r="J202" i="4"/>
  <c r="Y198" i="4"/>
  <c r="J189" i="4"/>
  <c r="P179" i="3"/>
  <c r="N185" i="3"/>
  <c r="U202" i="4"/>
  <c r="N180" i="3"/>
  <c r="X196" i="4"/>
  <c r="U183" i="3"/>
  <c r="M182" i="3"/>
  <c r="K184" i="3"/>
  <c r="V200" i="4"/>
  <c r="K180" i="3"/>
  <c r="Y183" i="3"/>
  <c r="V189" i="4"/>
  <c r="O186" i="3"/>
  <c r="Y193" i="4"/>
  <c r="W179" i="3"/>
  <c r="Z181" i="3"/>
  <c r="M186" i="3"/>
  <c r="J185" i="3"/>
  <c r="AA184" i="3"/>
  <c r="AA196" i="4"/>
  <c r="X179" i="3"/>
  <c r="U181" i="3"/>
  <c r="X191" i="4"/>
  <c r="V182" i="3"/>
  <c r="Y182" i="3"/>
  <c r="P180" i="3"/>
  <c r="Q186" i="3"/>
  <c r="W193" i="4"/>
  <c r="K181" i="3"/>
  <c r="X183" i="3"/>
  <c r="M180" i="3"/>
  <c r="J184" i="3"/>
  <c r="J196" i="4"/>
  <c r="Z184" i="3"/>
  <c r="K182" i="3"/>
  <c r="AA182" i="3"/>
  <c r="W183" i="3"/>
  <c r="X187" i="4"/>
  <c r="U193" i="4"/>
  <c r="N184" i="3"/>
  <c r="X200" i="4"/>
  <c r="Y191" i="4"/>
  <c r="AA187" i="4"/>
  <c r="X185" i="3"/>
  <c r="Z183" i="3"/>
  <c r="O182" i="3"/>
  <c r="Y200" i="4"/>
  <c r="N186" i="3"/>
  <c r="AA186" i="3"/>
  <c r="V181" i="3"/>
  <c r="Z187" i="4"/>
  <c r="L183" i="3"/>
  <c r="J180" i="3"/>
  <c r="V198" i="4"/>
  <c r="U179" i="3"/>
  <c r="AA181" i="3"/>
  <c r="W184" i="3"/>
  <c r="W185" i="3"/>
  <c r="L185" i="3"/>
  <c r="AA200" i="4"/>
  <c r="J193" i="4"/>
  <c r="AA185" i="3"/>
  <c r="V196" i="4"/>
  <c r="U185" i="3"/>
  <c r="O185" i="3"/>
  <c r="V183" i="3"/>
  <c r="V193" i="4"/>
  <c r="U187" i="4"/>
  <c r="Z198" i="4"/>
  <c r="AA183" i="3"/>
  <c r="Y179" i="3"/>
  <c r="Q185" i="3"/>
  <c r="X182" i="3"/>
  <c r="Q183" i="3"/>
  <c r="O180" i="3"/>
  <c r="Y180" i="3"/>
  <c r="M185" i="3"/>
  <c r="U198" i="4"/>
  <c r="K179" i="3"/>
  <c r="L182" i="3"/>
  <c r="W202" i="4"/>
  <c r="AA198" i="4"/>
  <c r="P184" i="3"/>
  <c r="K186" i="3"/>
  <c r="V185" i="3"/>
  <c r="Q184" i="3"/>
  <c r="Z182" i="3"/>
  <c r="U180" i="3"/>
  <c r="L184" i="3"/>
  <c r="Z189" i="4"/>
  <c r="V187" i="4"/>
  <c r="Q179" i="3"/>
  <c r="P186" i="3"/>
  <c r="Z186" i="3"/>
  <c r="X202" i="4"/>
  <c r="U184" i="3"/>
  <c r="Q180" i="3"/>
  <c r="Z179" i="3"/>
  <c r="O181" i="3"/>
  <c r="W189" i="4"/>
  <c r="Z200" i="4"/>
  <c r="AA189" i="4"/>
  <c r="X180" i="3"/>
  <c r="W186" i="3"/>
  <c r="V184" i="3"/>
  <c r="O179" i="3"/>
  <c r="N181" i="3"/>
  <c r="W196" i="4"/>
  <c r="M184" i="3"/>
  <c r="N182" i="3"/>
  <c r="W187" i="4"/>
  <c r="X193" i="4"/>
  <c r="X181" i="3"/>
  <c r="X186" i="3"/>
  <c r="AA193" i="4"/>
  <c r="J181" i="3"/>
  <c r="Y185" i="3"/>
  <c r="J198" i="4"/>
  <c r="Z191" i="4"/>
  <c r="U182" i="3"/>
  <c r="AA179" i="3"/>
  <c r="V179" i="3"/>
  <c r="Y196" i="4"/>
  <c r="O184" i="3"/>
  <c r="Q182" i="3"/>
  <c r="X184" i="3"/>
  <c r="W182" i="3"/>
  <c r="W181" i="3"/>
  <c r="Y187" i="4"/>
  <c r="J183" i="3"/>
  <c r="AA202" i="4"/>
  <c r="L180" i="3"/>
  <c r="J186" i="3"/>
  <c r="W198" i="4"/>
  <c r="L181" i="3"/>
  <c r="X198" i="4"/>
  <c r="Z202" i="4"/>
  <c r="L179" i="3"/>
  <c r="W191" i="4"/>
  <c r="AA180" i="3"/>
  <c r="V186" i="3"/>
  <c r="J179" i="3"/>
  <c r="K185" i="3"/>
  <c r="X189" i="4"/>
  <c r="Q181" i="3"/>
  <c r="Y189" i="4"/>
  <c r="U196" i="4"/>
  <c r="V202" i="4"/>
  <c r="W200" i="4"/>
  <c r="U191" i="4"/>
  <c r="Y186" i="3"/>
  <c r="P185" i="3"/>
  <c r="V180" i="3"/>
  <c r="U186" i="3"/>
  <c r="Z185" i="3"/>
  <c r="V191" i="4"/>
  <c r="P181" i="3"/>
  <c r="N183" i="3"/>
  <c r="Z196" i="4"/>
  <c r="M181" i="3"/>
  <c r="Y202" i="4"/>
  <c r="P182" i="3"/>
  <c r="J200" i="4"/>
  <c r="Y184" i="3"/>
  <c r="O183" i="3"/>
  <c r="N179" i="3"/>
  <c r="W180" i="3"/>
  <c r="Y181" i="3"/>
  <c r="R183" i="3" l="1"/>
  <c r="T183" i="3"/>
  <c r="S179" i="3"/>
  <c r="I181" i="3"/>
  <c r="R191" i="4"/>
  <c r="T191" i="4"/>
  <c r="S183" i="3"/>
  <c r="I184" i="3"/>
  <c r="T193" i="4"/>
  <c r="R193" i="4"/>
  <c r="S193" i="4"/>
  <c r="I179" i="3"/>
  <c r="R189" i="4"/>
  <c r="T189" i="4"/>
  <c r="S200" i="4"/>
  <c r="R184" i="3"/>
  <c r="T184" i="3"/>
  <c r="I185" i="3"/>
  <c r="S186" i="3"/>
  <c r="I186" i="3"/>
  <c r="I180" i="3"/>
  <c r="T180" i="3"/>
  <c r="R180" i="3"/>
  <c r="R182" i="3"/>
  <c r="T182" i="3"/>
  <c r="I200" i="4"/>
  <c r="R181" i="3"/>
  <c r="T181" i="3"/>
  <c r="R187" i="4"/>
  <c r="T187" i="4"/>
  <c r="T196" i="4"/>
  <c r="R196" i="4"/>
  <c r="R185" i="3"/>
  <c r="T185" i="3"/>
  <c r="I202" i="4"/>
  <c r="S184" i="3"/>
  <c r="S196" i="4"/>
  <c r="I182" i="3"/>
  <c r="S182" i="3"/>
  <c r="R202" i="4"/>
  <c r="T202" i="4"/>
  <c r="S189" i="4"/>
  <c r="S181" i="3"/>
  <c r="R198" i="4"/>
  <c r="T198" i="4"/>
  <c r="I196" i="4"/>
  <c r="S202" i="4"/>
  <c r="T179" i="3"/>
  <c r="R179" i="3"/>
  <c r="R200" i="4"/>
  <c r="T200" i="4"/>
  <c r="S191" i="4"/>
  <c r="I183" i="3"/>
  <c r="S198" i="4"/>
  <c r="I198" i="4"/>
  <c r="S187" i="4"/>
  <c r="S185" i="3"/>
  <c r="R186" i="3"/>
  <c r="T186" i="3"/>
  <c r="S180" i="3"/>
  <c r="G209" i="4"/>
  <c r="G205" i="4"/>
  <c r="G207" i="4"/>
  <c r="G203" i="4"/>
  <c r="G218" i="4"/>
  <c r="G216" i="4"/>
  <c r="G214" i="4"/>
  <c r="G212" i="4"/>
  <c r="G195" i="3"/>
  <c r="G197" i="3"/>
  <c r="G199" i="3"/>
  <c r="G201" i="3"/>
  <c r="G196" i="3"/>
  <c r="G198" i="3"/>
  <c r="G200" i="3"/>
  <c r="G202" i="3"/>
  <c r="W199" i="4"/>
  <c r="X208" i="4"/>
  <c r="Y187" i="3"/>
  <c r="AA193" i="3"/>
  <c r="K190" i="3"/>
  <c r="Y188" i="3"/>
  <c r="O192" i="3"/>
  <c r="P192" i="3"/>
  <c r="Q189" i="3"/>
  <c r="N188" i="3"/>
  <c r="P194" i="3"/>
  <c r="U210" i="4"/>
  <c r="AA206" i="4"/>
  <c r="O191" i="3"/>
  <c r="U190" i="3"/>
  <c r="V189" i="3"/>
  <c r="J206" i="4"/>
  <c r="N191" i="3"/>
  <c r="V194" i="3"/>
  <c r="P188" i="3"/>
  <c r="L189" i="3"/>
  <c r="K194" i="3"/>
  <c r="L192" i="3"/>
  <c r="Z192" i="3"/>
  <c r="AA187" i="3"/>
  <c r="J199" i="4"/>
  <c r="O190" i="3"/>
  <c r="L191" i="3"/>
  <c r="J201" i="4"/>
  <c r="N187" i="3"/>
  <c r="V197" i="4"/>
  <c r="X199" i="4"/>
  <c r="W191" i="3"/>
  <c r="P189" i="3"/>
  <c r="U197" i="4"/>
  <c r="Z201" i="4"/>
  <c r="X193" i="3"/>
  <c r="U194" i="3"/>
  <c r="Y206" i="4"/>
  <c r="M188" i="3"/>
  <c r="J189" i="3"/>
  <c r="U189" i="3"/>
  <c r="V192" i="3"/>
  <c r="M190" i="3"/>
  <c r="W192" i="3"/>
  <c r="K189" i="3"/>
  <c r="X195" i="4"/>
  <c r="N192" i="3"/>
  <c r="V191" i="3"/>
  <c r="W204" i="4"/>
  <c r="V204" i="4"/>
  <c r="X197" i="4"/>
  <c r="V206" i="4"/>
  <c r="Q194" i="3"/>
  <c r="J204" i="4"/>
  <c r="U204" i="4"/>
  <c r="Y210" i="4"/>
  <c r="L194" i="3"/>
  <c r="V199" i="4"/>
  <c r="O193" i="3"/>
  <c r="W194" i="3"/>
  <c r="X201" i="4"/>
  <c r="W189" i="3"/>
  <c r="U208" i="4"/>
  <c r="Z210" i="4"/>
  <c r="U201" i="4"/>
  <c r="W190" i="3"/>
  <c r="U199" i="4"/>
  <c r="AA190" i="3"/>
  <c r="AA197" i="4"/>
  <c r="N193" i="3"/>
  <c r="X191" i="3"/>
  <c r="J190" i="3"/>
  <c r="J210" i="4"/>
  <c r="X210" i="4"/>
  <c r="W188" i="3"/>
  <c r="L193" i="3"/>
  <c r="Q191" i="3"/>
  <c r="Q192" i="3"/>
  <c r="P190" i="3"/>
  <c r="J208" i="4"/>
  <c r="Z195" i="4"/>
  <c r="Z191" i="3"/>
  <c r="O194" i="3"/>
  <c r="Z197" i="4"/>
  <c r="Y208" i="4"/>
  <c r="AA201" i="4"/>
  <c r="Z187" i="3"/>
  <c r="P191" i="3"/>
  <c r="AA199" i="4"/>
  <c r="X204" i="4"/>
  <c r="X194" i="3"/>
  <c r="W206" i="4"/>
  <c r="Y195" i="4"/>
  <c r="X189" i="3"/>
  <c r="Z206" i="4"/>
  <c r="V188" i="3"/>
  <c r="M192" i="3"/>
  <c r="K187" i="3"/>
  <c r="Y193" i="3"/>
  <c r="Y191" i="3"/>
  <c r="AA204" i="4"/>
  <c r="J192" i="3"/>
  <c r="J187" i="3"/>
  <c r="Y201" i="4"/>
  <c r="K188" i="3"/>
  <c r="Y194" i="3"/>
  <c r="M194" i="3"/>
  <c r="N190" i="3"/>
  <c r="U193" i="3"/>
  <c r="U192" i="3"/>
  <c r="O187" i="3"/>
  <c r="AA188" i="3"/>
  <c r="K191" i="3"/>
  <c r="AA208" i="4"/>
  <c r="Z208" i="4"/>
  <c r="J197" i="4"/>
  <c r="Z188" i="3"/>
  <c r="V187" i="3"/>
  <c r="Y190" i="3"/>
  <c r="J188" i="3"/>
  <c r="M191" i="3"/>
  <c r="M187" i="3"/>
  <c r="V210" i="4"/>
  <c r="Z199" i="4"/>
  <c r="Y189" i="3"/>
  <c r="X190" i="3"/>
  <c r="M189" i="3"/>
  <c r="X187" i="3"/>
  <c r="P187" i="3"/>
  <c r="P193" i="3"/>
  <c r="J195" i="4"/>
  <c r="L188" i="3"/>
  <c r="U187" i="3"/>
  <c r="W201" i="4"/>
  <c r="L187" i="3"/>
  <c r="Y197" i="4"/>
  <c r="AA189" i="3"/>
  <c r="AA210" i="4"/>
  <c r="Q188" i="3"/>
  <c r="J193" i="3"/>
  <c r="V208" i="4"/>
  <c r="Y204" i="4"/>
  <c r="W197" i="4"/>
  <c r="X188" i="3"/>
  <c r="AA191" i="3"/>
  <c r="W195" i="4"/>
  <c r="N194" i="3"/>
  <c r="Z189" i="3"/>
  <c r="U206" i="4"/>
  <c r="Z190" i="3"/>
  <c r="O189" i="3"/>
  <c r="J191" i="3"/>
  <c r="Y199" i="4"/>
  <c r="U191" i="3"/>
  <c r="V193" i="3"/>
  <c r="V190" i="3"/>
  <c r="Z194" i="3"/>
  <c r="N189" i="3"/>
  <c r="V195" i="4"/>
  <c r="AA194" i="3"/>
  <c r="M193" i="3"/>
  <c r="L190" i="3"/>
  <c r="X206" i="4"/>
  <c r="O188" i="3"/>
  <c r="X192" i="3"/>
  <c r="Q193" i="3"/>
  <c r="Q190" i="3"/>
  <c r="U195" i="4"/>
  <c r="U188" i="3"/>
  <c r="Z193" i="3"/>
  <c r="K192" i="3"/>
  <c r="J194" i="3"/>
  <c r="AA195" i="4"/>
  <c r="AA192" i="3"/>
  <c r="Z204" i="4"/>
  <c r="V201" i="4"/>
  <c r="W187" i="3"/>
  <c r="W208" i="4"/>
  <c r="Q187" i="3"/>
  <c r="W193" i="3"/>
  <c r="K193" i="3"/>
  <c r="W210" i="4"/>
  <c r="Y192" i="3"/>
  <c r="T194" i="3" l="1"/>
  <c r="R194" i="3"/>
  <c r="R206" i="4"/>
  <c r="T206" i="4"/>
  <c r="R201" i="4"/>
  <c r="T201" i="4"/>
  <c r="T204" i="4"/>
  <c r="R204" i="4"/>
  <c r="S206" i="4"/>
  <c r="I206" i="4"/>
  <c r="S189" i="3"/>
  <c r="R189" i="3"/>
  <c r="T189" i="3"/>
  <c r="I208" i="4"/>
  <c r="S201" i="4"/>
  <c r="S187" i="3"/>
  <c r="R195" i="4"/>
  <c r="T195" i="4"/>
  <c r="S193" i="3"/>
  <c r="S199" i="4"/>
  <c r="R190" i="3"/>
  <c r="T190" i="3"/>
  <c r="R197" i="4"/>
  <c r="T197" i="4"/>
  <c r="I197" i="4"/>
  <c r="R210" i="4"/>
  <c r="T210" i="4"/>
  <c r="I201" i="4"/>
  <c r="S188" i="3"/>
  <c r="T188" i="3"/>
  <c r="R188" i="3"/>
  <c r="I195" i="4"/>
  <c r="R193" i="3"/>
  <c r="T193" i="3"/>
  <c r="S190" i="3"/>
  <c r="I204" i="4"/>
  <c r="T208" i="4"/>
  <c r="R208" i="4"/>
  <c r="S197" i="4"/>
  <c r="S210" i="4"/>
  <c r="R187" i="3"/>
  <c r="T187" i="3"/>
  <c r="S195" i="4"/>
  <c r="I199" i="4"/>
  <c r="R191" i="3"/>
  <c r="T191" i="3"/>
  <c r="S204" i="4"/>
  <c r="R192" i="3"/>
  <c r="T192" i="3"/>
  <c r="S194" i="3"/>
  <c r="S192" i="3"/>
  <c r="S208" i="4"/>
  <c r="I210" i="4"/>
  <c r="T199" i="4"/>
  <c r="R199" i="4"/>
  <c r="S191" i="3"/>
  <c r="G220" i="4"/>
  <c r="G222" i="4"/>
  <c r="G224" i="4"/>
  <c r="G226" i="4"/>
  <c r="G211" i="4"/>
  <c r="G215" i="4"/>
  <c r="G213" i="4"/>
  <c r="G217" i="4"/>
  <c r="G210" i="3"/>
  <c r="G208" i="3"/>
  <c r="G206" i="3"/>
  <c r="G204" i="3"/>
  <c r="G209" i="3"/>
  <c r="G207" i="3"/>
  <c r="G205" i="3"/>
  <c r="G203" i="3"/>
  <c r="U200" i="3"/>
  <c r="V216" i="4"/>
  <c r="N195" i="3"/>
  <c r="V195" i="3"/>
  <c r="Y196" i="3"/>
  <c r="U203" i="4"/>
  <c r="AA207" i="4"/>
  <c r="AA218" i="4"/>
  <c r="J195" i="3"/>
  <c r="AA198" i="3"/>
  <c r="AA201" i="3"/>
  <c r="U205" i="4"/>
  <c r="W201" i="3"/>
  <c r="P200" i="3"/>
  <c r="N200" i="3"/>
  <c r="X205" i="4"/>
  <c r="M202" i="3"/>
  <c r="N201" i="3"/>
  <c r="K200" i="3"/>
  <c r="U201" i="3"/>
  <c r="X207" i="4"/>
  <c r="Z212" i="4"/>
  <c r="J203" i="4"/>
  <c r="O197" i="3"/>
  <c r="Z203" i="4"/>
  <c r="AA197" i="3"/>
  <c r="U197" i="3"/>
  <c r="J197" i="3"/>
  <c r="M201" i="3"/>
  <c r="AA196" i="3"/>
  <c r="W198" i="3"/>
  <c r="O201" i="3"/>
  <c r="X209" i="4"/>
  <c r="J216" i="4"/>
  <c r="W195" i="3"/>
  <c r="O200" i="3"/>
  <c r="AA214" i="4"/>
  <c r="U198" i="3"/>
  <c r="U207" i="4"/>
  <c r="K199" i="3"/>
  <c r="M199" i="3"/>
  <c r="W209" i="4"/>
  <c r="Y214" i="4"/>
  <c r="V207" i="4"/>
  <c r="Z218" i="4"/>
  <c r="Z201" i="3"/>
  <c r="O202" i="3"/>
  <c r="U214" i="4"/>
  <c r="J212" i="4"/>
  <c r="AA195" i="3"/>
  <c r="P195" i="3"/>
  <c r="Z214" i="4"/>
  <c r="W196" i="3"/>
  <c r="Q199" i="3"/>
  <c r="M197" i="3"/>
  <c r="Z216" i="4"/>
  <c r="Y207" i="4"/>
  <c r="W216" i="4"/>
  <c r="AA212" i="4"/>
  <c r="V196" i="3"/>
  <c r="X196" i="3"/>
  <c r="AA203" i="4"/>
  <c r="V209" i="4"/>
  <c r="Y197" i="3"/>
  <c r="AA199" i="3"/>
  <c r="Z195" i="3"/>
  <c r="V201" i="3"/>
  <c r="V198" i="3"/>
  <c r="AA209" i="4"/>
  <c r="L202" i="3"/>
  <c r="Y198" i="3"/>
  <c r="J202" i="3"/>
  <c r="U218" i="4"/>
  <c r="Z200" i="3"/>
  <c r="U195" i="3"/>
  <c r="W205" i="4"/>
  <c r="V200" i="3"/>
  <c r="Z199" i="3"/>
  <c r="Z205" i="4"/>
  <c r="Z198" i="3"/>
  <c r="L196" i="3"/>
  <c r="Y202" i="3"/>
  <c r="X203" i="4"/>
  <c r="J196" i="3"/>
  <c r="J199" i="3"/>
  <c r="J198" i="3"/>
  <c r="O195" i="3"/>
  <c r="X198" i="3"/>
  <c r="L197" i="3"/>
  <c r="U196" i="3"/>
  <c r="X212" i="4"/>
  <c r="V214" i="4"/>
  <c r="J200" i="3"/>
  <c r="U209" i="4"/>
  <c r="Z207" i="4"/>
  <c r="X202" i="3"/>
  <c r="M200" i="3"/>
  <c r="AA216" i="4"/>
  <c r="K198" i="3"/>
  <c r="U202" i="3"/>
  <c r="AA205" i="4"/>
  <c r="W218" i="4"/>
  <c r="P197" i="3"/>
  <c r="P201" i="3"/>
  <c r="W212" i="4"/>
  <c r="K197" i="3"/>
  <c r="W197" i="3"/>
  <c r="N198" i="3"/>
  <c r="M196" i="3"/>
  <c r="U216" i="4"/>
  <c r="K196" i="3"/>
  <c r="Y195" i="3"/>
  <c r="X197" i="3"/>
  <c r="W203" i="4"/>
  <c r="V218" i="4"/>
  <c r="L199" i="3"/>
  <c r="Y218" i="4"/>
  <c r="V205" i="4"/>
  <c r="N199" i="3"/>
  <c r="X195" i="3"/>
  <c r="N202" i="3"/>
  <c r="X214" i="4"/>
  <c r="J218" i="4"/>
  <c r="V212" i="4"/>
  <c r="Q196" i="3"/>
  <c r="N197" i="3"/>
  <c r="P199" i="3"/>
  <c r="L198" i="3"/>
  <c r="W202" i="3"/>
  <c r="N196" i="3"/>
  <c r="Y200" i="3"/>
  <c r="X216" i="4"/>
  <c r="M198" i="3"/>
  <c r="Q202" i="3"/>
  <c r="J201" i="3"/>
  <c r="O199" i="3"/>
  <c r="L201" i="3"/>
  <c r="V197" i="3"/>
  <c r="AA200" i="3"/>
  <c r="Q197" i="3"/>
  <c r="J214" i="4"/>
  <c r="L195" i="3"/>
  <c r="O198" i="3"/>
  <c r="K202" i="3"/>
  <c r="Y216" i="4"/>
  <c r="M195" i="3"/>
  <c r="Y203" i="4"/>
  <c r="Q198" i="3"/>
  <c r="J205" i="4"/>
  <c r="U199" i="3"/>
  <c r="Y212" i="4"/>
  <c r="X200" i="3"/>
  <c r="W200" i="3"/>
  <c r="U212" i="4"/>
  <c r="X218" i="4"/>
  <c r="Q200" i="3"/>
  <c r="O196" i="3"/>
  <c r="AA202" i="3"/>
  <c r="J207" i="4"/>
  <c r="Y205" i="4"/>
  <c r="X201" i="3"/>
  <c r="Y209" i="4"/>
  <c r="Q201" i="3"/>
  <c r="Q195" i="3"/>
  <c r="Z209" i="4"/>
  <c r="V202" i="3"/>
  <c r="Z202" i="3"/>
  <c r="W214" i="4"/>
  <c r="W207" i="4"/>
  <c r="V199" i="3"/>
  <c r="P202" i="3"/>
  <c r="W199" i="3"/>
  <c r="P198" i="3"/>
  <c r="Y201" i="3"/>
  <c r="P196" i="3"/>
  <c r="V203" i="4"/>
  <c r="J209" i="4"/>
  <c r="K201" i="3"/>
  <c r="Z197" i="3"/>
  <c r="L200" i="3"/>
  <c r="X199" i="3"/>
  <c r="Y199" i="3"/>
  <c r="K195" i="3"/>
  <c r="Z196" i="3"/>
  <c r="I199" i="3" l="1"/>
  <c r="S203" i="4"/>
  <c r="S205" i="4"/>
  <c r="R199" i="3"/>
  <c r="T199" i="3"/>
  <c r="I218" i="4"/>
  <c r="S195" i="3"/>
  <c r="R195" i="3"/>
  <c r="T195" i="3"/>
  <c r="I205" i="4"/>
  <c r="S197" i="3"/>
  <c r="S199" i="3"/>
  <c r="R203" i="4"/>
  <c r="T203" i="4"/>
  <c r="S212" i="4"/>
  <c r="R202" i="3"/>
  <c r="T202" i="3"/>
  <c r="S218" i="4"/>
  <c r="S196" i="3"/>
  <c r="R216" i="4"/>
  <c r="T216" i="4"/>
  <c r="R198" i="3"/>
  <c r="T198" i="3"/>
  <c r="I198" i="3"/>
  <c r="S207" i="4"/>
  <c r="I209" i="4"/>
  <c r="S201" i="3"/>
  <c r="I201" i="3"/>
  <c r="I216" i="4"/>
  <c r="R200" i="3"/>
  <c r="T200" i="3"/>
  <c r="T209" i="4"/>
  <c r="R209" i="4"/>
  <c r="I195" i="3"/>
  <c r="R205" i="4"/>
  <c r="T205" i="4"/>
  <c r="I197" i="3"/>
  <c r="T212" i="4"/>
  <c r="R212" i="4"/>
  <c r="R214" i="4"/>
  <c r="T214" i="4"/>
  <c r="I214" i="4"/>
  <c r="S209" i="4"/>
  <c r="S202" i="3"/>
  <c r="S216" i="4"/>
  <c r="R197" i="3"/>
  <c r="T197" i="3"/>
  <c r="I203" i="4"/>
  <c r="I212" i="4"/>
  <c r="R201" i="3"/>
  <c r="T201" i="3"/>
  <c r="I202" i="3"/>
  <c r="R218" i="4"/>
  <c r="T218" i="4"/>
  <c r="I196" i="3"/>
  <c r="T196" i="3"/>
  <c r="R196" i="3"/>
  <c r="S198" i="3"/>
  <c r="R207" i="4"/>
  <c r="T207" i="4"/>
  <c r="I207" i="4"/>
  <c r="S214" i="4"/>
  <c r="I200" i="3"/>
  <c r="S200" i="3"/>
  <c r="G225" i="4"/>
  <c r="G221" i="4"/>
  <c r="G223" i="4"/>
  <c r="G219" i="4"/>
  <c r="G234" i="4"/>
  <c r="G232" i="4"/>
  <c r="G230" i="4"/>
  <c r="G228" i="4"/>
  <c r="G211" i="3"/>
  <c r="G213" i="3"/>
  <c r="G215" i="3"/>
  <c r="G217" i="3"/>
  <c r="G212" i="3"/>
  <c r="G214" i="3"/>
  <c r="G216" i="3"/>
  <c r="G218" i="3"/>
  <c r="U205" i="3"/>
  <c r="Z208" i="3"/>
  <c r="Z222" i="4"/>
  <c r="N204" i="3"/>
  <c r="K209" i="3"/>
  <c r="P204" i="3"/>
  <c r="P205" i="3"/>
  <c r="Y205" i="3"/>
  <c r="W207" i="3"/>
  <c r="AA220" i="4"/>
  <c r="V224" i="4"/>
  <c r="P203" i="3"/>
  <c r="O206" i="3"/>
  <c r="O207" i="3"/>
  <c r="L209" i="3"/>
  <c r="U222" i="4"/>
  <c r="J213" i="4"/>
  <c r="X222" i="4"/>
  <c r="V211" i="4"/>
  <c r="U204" i="3"/>
  <c r="K207" i="3"/>
  <c r="AA204" i="3"/>
  <c r="Z217" i="4"/>
  <c r="V205" i="3"/>
  <c r="M207" i="3"/>
  <c r="J215" i="4"/>
  <c r="V222" i="4"/>
  <c r="U213" i="4"/>
  <c r="Q208" i="3"/>
  <c r="L204" i="3"/>
  <c r="M203" i="3"/>
  <c r="W204" i="3"/>
  <c r="X203" i="3"/>
  <c r="Z224" i="4"/>
  <c r="W205" i="3"/>
  <c r="Y213" i="4"/>
  <c r="V209" i="3"/>
  <c r="J206" i="3"/>
  <c r="Y226" i="4"/>
  <c r="W226" i="4"/>
  <c r="J209" i="3"/>
  <c r="W222" i="4"/>
  <c r="O205" i="3"/>
  <c r="U220" i="4"/>
  <c r="V207" i="3"/>
  <c r="W203" i="3"/>
  <c r="AA209" i="3"/>
  <c r="X204" i="3"/>
  <c r="N207" i="3"/>
  <c r="K206" i="3"/>
  <c r="X205" i="3"/>
  <c r="M210" i="3"/>
  <c r="V210" i="3"/>
  <c r="X211" i="4"/>
  <c r="X207" i="3"/>
  <c r="X224" i="4"/>
  <c r="M206" i="3"/>
  <c r="U210" i="3"/>
  <c r="Z204" i="3"/>
  <c r="Y206" i="3"/>
  <c r="L203" i="3"/>
  <c r="Z226" i="4"/>
  <c r="J205" i="3"/>
  <c r="J208" i="3"/>
  <c r="X215" i="4"/>
  <c r="M208" i="3"/>
  <c r="M209" i="3"/>
  <c r="Q210" i="3"/>
  <c r="L210" i="3"/>
  <c r="X220" i="4"/>
  <c r="J224" i="4"/>
  <c r="AA217" i="4"/>
  <c r="K203" i="3"/>
  <c r="Z211" i="4"/>
  <c r="X206" i="3"/>
  <c r="J220" i="4"/>
  <c r="Z220" i="4"/>
  <c r="W208" i="3"/>
  <c r="W220" i="4"/>
  <c r="V215" i="4"/>
  <c r="J210" i="3"/>
  <c r="AA213" i="4"/>
  <c r="V206" i="3"/>
  <c r="U203" i="3"/>
  <c r="L208" i="3"/>
  <c r="U226" i="4"/>
  <c r="K208" i="3"/>
  <c r="W215" i="4"/>
  <c r="W210" i="3"/>
  <c r="P206" i="3"/>
  <c r="K210" i="3"/>
  <c r="Q203" i="3"/>
  <c r="W224" i="4"/>
  <c r="W213" i="4"/>
  <c r="Z213" i="4"/>
  <c r="Q209" i="3"/>
  <c r="Y208" i="3"/>
  <c r="X209" i="3"/>
  <c r="AA203" i="3"/>
  <c r="Q207" i="3"/>
  <c r="L206" i="3"/>
  <c r="K205" i="3"/>
  <c r="AA211" i="4"/>
  <c r="K204" i="3"/>
  <c r="Y217" i="4"/>
  <c r="Z203" i="3"/>
  <c r="M204" i="3"/>
  <c r="V217" i="4"/>
  <c r="N210" i="3"/>
  <c r="X208" i="3"/>
  <c r="U209" i="3"/>
  <c r="Q206" i="3"/>
  <c r="V204" i="3"/>
  <c r="Y220" i="4"/>
  <c r="J207" i="3"/>
  <c r="AA224" i="4"/>
  <c r="Q205" i="3"/>
  <c r="AA226" i="4"/>
  <c r="V213" i="4"/>
  <c r="V203" i="3"/>
  <c r="L207" i="3"/>
  <c r="U224" i="4"/>
  <c r="V226" i="4"/>
  <c r="Y209" i="3"/>
  <c r="Z206" i="3"/>
  <c r="P207" i="3"/>
  <c r="X210" i="3"/>
  <c r="O210" i="3"/>
  <c r="Z210" i="3"/>
  <c r="Z215" i="4"/>
  <c r="O204" i="3"/>
  <c r="N206" i="3"/>
  <c r="O203" i="3"/>
  <c r="AA205" i="3"/>
  <c r="O208" i="3"/>
  <c r="Y207" i="3"/>
  <c r="U211" i="4"/>
  <c r="Z205" i="3"/>
  <c r="AA222" i="4"/>
  <c r="N203" i="3"/>
  <c r="X226" i="4"/>
  <c r="W206" i="3"/>
  <c r="J204" i="3"/>
  <c r="M205" i="3"/>
  <c r="AA215" i="4"/>
  <c r="N208" i="3"/>
  <c r="AA210" i="3"/>
  <c r="U208" i="3"/>
  <c r="W217" i="4"/>
  <c r="X217" i="4"/>
  <c r="Q204" i="3"/>
  <c r="Y210" i="3"/>
  <c r="W209" i="3"/>
  <c r="Y222" i="4"/>
  <c r="P210" i="3"/>
  <c r="W211" i="4"/>
  <c r="J217" i="4"/>
  <c r="V220" i="4"/>
  <c r="Z207" i="3"/>
  <c r="Y215" i="4"/>
  <c r="J222" i="4"/>
  <c r="N209" i="3"/>
  <c r="J203" i="3"/>
  <c r="Y203" i="3"/>
  <c r="P208" i="3"/>
  <c r="P209" i="3"/>
  <c r="U206" i="3"/>
  <c r="V208" i="3"/>
  <c r="J211" i="4"/>
  <c r="AA207" i="3"/>
  <c r="U215" i="4"/>
  <c r="N205" i="3"/>
  <c r="Y224" i="4"/>
  <c r="U207" i="3"/>
  <c r="X213" i="4"/>
  <c r="Y211" i="4"/>
  <c r="Z209" i="3"/>
  <c r="L205" i="3"/>
  <c r="O209" i="3"/>
  <c r="U217" i="4"/>
  <c r="AA208" i="3"/>
  <c r="J226" i="4"/>
  <c r="AA206" i="3"/>
  <c r="Y204" i="3"/>
  <c r="I203" i="3" l="1"/>
  <c r="S220" i="4"/>
  <c r="I209" i="3"/>
  <c r="T224" i="4"/>
  <c r="R224" i="4"/>
  <c r="R203" i="3"/>
  <c r="T203" i="3"/>
  <c r="T210" i="3"/>
  <c r="R210" i="3"/>
  <c r="R222" i="4"/>
  <c r="T222" i="4"/>
  <c r="I208" i="3"/>
  <c r="T208" i="3"/>
  <c r="R208" i="3"/>
  <c r="S206" i="3"/>
  <c r="S226" i="4"/>
  <c r="S217" i="4"/>
  <c r="I217" i="4"/>
  <c r="R204" i="3"/>
  <c r="T204" i="3"/>
  <c r="T220" i="4"/>
  <c r="R220" i="4"/>
  <c r="R211" i="4"/>
  <c r="T211" i="4"/>
  <c r="S210" i="3"/>
  <c r="T209" i="3"/>
  <c r="R209" i="3"/>
  <c r="S222" i="4"/>
  <c r="I213" i="4"/>
  <c r="R206" i="3"/>
  <c r="T206" i="3"/>
  <c r="T215" i="4"/>
  <c r="R215" i="4"/>
  <c r="S209" i="3"/>
  <c r="R213" i="4"/>
  <c r="T213" i="4"/>
  <c r="I206" i="3"/>
  <c r="I204" i="3"/>
  <c r="S203" i="3"/>
  <c r="I207" i="3"/>
  <c r="S205" i="3"/>
  <c r="R205" i="3"/>
  <c r="T205" i="3"/>
  <c r="I215" i="4"/>
  <c r="S211" i="4"/>
  <c r="S208" i="3"/>
  <c r="R226" i="4"/>
  <c r="T226" i="4"/>
  <c r="S224" i="4"/>
  <c r="S215" i="4"/>
  <c r="R217" i="4"/>
  <c r="T217" i="4"/>
  <c r="S204" i="3"/>
  <c r="I211" i="4"/>
  <c r="I210" i="3"/>
  <c r="R207" i="3"/>
  <c r="T207" i="3"/>
  <c r="S207" i="3"/>
  <c r="S213" i="4"/>
  <c r="I205" i="3"/>
  <c r="G236" i="4"/>
  <c r="G238" i="4"/>
  <c r="G240" i="4"/>
  <c r="G242" i="4"/>
  <c r="G227" i="4"/>
  <c r="G231" i="4"/>
  <c r="G229" i="4"/>
  <c r="G233" i="4"/>
  <c r="G226" i="3"/>
  <c r="G224" i="3"/>
  <c r="G222" i="3"/>
  <c r="G220" i="3"/>
  <c r="G225" i="3"/>
  <c r="G223" i="3"/>
  <c r="G221" i="3"/>
  <c r="G219" i="3"/>
  <c r="U216" i="3"/>
  <c r="J230" i="4"/>
  <c r="Y214" i="3"/>
  <c r="Q217" i="3"/>
  <c r="J234" i="4"/>
  <c r="M216" i="3"/>
  <c r="M211" i="3"/>
  <c r="W219" i="4"/>
  <c r="J214" i="3"/>
  <c r="J221" i="4"/>
  <c r="N218" i="3"/>
  <c r="J211" i="3"/>
  <c r="M212" i="3"/>
  <c r="P216" i="3"/>
  <c r="O217" i="3"/>
  <c r="M215" i="3"/>
  <c r="Y223" i="4"/>
  <c r="P215" i="3"/>
  <c r="W225" i="4"/>
  <c r="AA215" i="3"/>
  <c r="J212" i="3"/>
  <c r="W221" i="4"/>
  <c r="Q212" i="3"/>
  <c r="Y211" i="3"/>
  <c r="J225" i="4"/>
  <c r="W234" i="4"/>
  <c r="W230" i="4"/>
  <c r="Z215" i="3"/>
  <c r="Y219" i="4"/>
  <c r="L215" i="3"/>
  <c r="Q213" i="3"/>
  <c r="W212" i="3"/>
  <c r="X211" i="3"/>
  <c r="P212" i="3"/>
  <c r="Y218" i="3"/>
  <c r="V230" i="4"/>
  <c r="AA228" i="4"/>
  <c r="X218" i="3"/>
  <c r="J217" i="3"/>
  <c r="U225" i="4"/>
  <c r="AA211" i="3"/>
  <c r="Z223" i="4"/>
  <c r="Z234" i="4"/>
  <c r="M213" i="3"/>
  <c r="U234" i="4"/>
  <c r="U218" i="3"/>
  <c r="W211" i="3"/>
  <c r="X228" i="4"/>
  <c r="J219" i="4"/>
  <c r="L211" i="3"/>
  <c r="Z217" i="3"/>
  <c r="Q214" i="3"/>
  <c r="U221" i="4"/>
  <c r="Z211" i="3"/>
  <c r="V214" i="3"/>
  <c r="Y230" i="4"/>
  <c r="L212" i="3"/>
  <c r="W223" i="4"/>
  <c r="Y234" i="4"/>
  <c r="L214" i="3"/>
  <c r="Y215" i="3"/>
  <c r="W216" i="3"/>
  <c r="AA218" i="3"/>
  <c r="M214" i="3"/>
  <c r="Z218" i="3"/>
  <c r="Y212" i="3"/>
  <c r="AA221" i="4"/>
  <c r="U223" i="4"/>
  <c r="W213" i="3"/>
  <c r="K211" i="3"/>
  <c r="J215" i="3"/>
  <c r="X214" i="3"/>
  <c r="J213" i="3"/>
  <c r="X234" i="4"/>
  <c r="Z214" i="3"/>
  <c r="X221" i="4"/>
  <c r="O212" i="3"/>
  <c r="V228" i="4"/>
  <c r="W232" i="4"/>
  <c r="V221" i="4"/>
  <c r="V217" i="3"/>
  <c r="M218" i="3"/>
  <c r="AA217" i="3"/>
  <c r="U230" i="4"/>
  <c r="AA234" i="4"/>
  <c r="J223" i="4"/>
  <c r="Z213" i="3"/>
  <c r="U217" i="3"/>
  <c r="X213" i="3"/>
  <c r="Y217" i="3"/>
  <c r="V225" i="4"/>
  <c r="K218" i="3"/>
  <c r="O215" i="3"/>
  <c r="W228" i="4"/>
  <c r="W215" i="3"/>
  <c r="AA214" i="3"/>
  <c r="P211" i="3"/>
  <c r="K215" i="3"/>
  <c r="N214" i="3"/>
  <c r="J228" i="4"/>
  <c r="N212" i="3"/>
  <c r="O211" i="3"/>
  <c r="Z221" i="4"/>
  <c r="U212" i="3"/>
  <c r="M217" i="3"/>
  <c r="O213" i="3"/>
  <c r="N217" i="3"/>
  <c r="X219" i="4"/>
  <c r="W214" i="3"/>
  <c r="Z228" i="4"/>
  <c r="X217" i="3"/>
  <c r="Q211" i="3"/>
  <c r="AA232" i="4"/>
  <c r="O218" i="3"/>
  <c r="N216" i="3"/>
  <c r="P218" i="3"/>
  <c r="Q215" i="3"/>
  <c r="V232" i="4"/>
  <c r="L213" i="3"/>
  <c r="Q216" i="3"/>
  <c r="V218" i="3"/>
  <c r="V213" i="3"/>
  <c r="V219" i="4"/>
  <c r="Y213" i="3"/>
  <c r="N211" i="3"/>
  <c r="O216" i="3"/>
  <c r="Z225" i="4"/>
  <c r="K213" i="3"/>
  <c r="AA219" i="4"/>
  <c r="Y216" i="3"/>
  <c r="Z212" i="3"/>
  <c r="X230" i="4"/>
  <c r="L216" i="3"/>
  <c r="K214" i="3"/>
  <c r="J218" i="3"/>
  <c r="U232" i="4"/>
  <c r="U219" i="4"/>
  <c r="N213" i="3"/>
  <c r="L217" i="3"/>
  <c r="J232" i="4"/>
  <c r="K212" i="3"/>
  <c r="Y221" i="4"/>
  <c r="X225" i="4"/>
  <c r="AA225" i="4"/>
  <c r="X215" i="3"/>
  <c r="AA230" i="4"/>
  <c r="Y232" i="4"/>
  <c r="X212" i="3"/>
  <c r="U211" i="3"/>
  <c r="W217" i="3"/>
  <c r="V212" i="3"/>
  <c r="V234" i="4"/>
  <c r="V211" i="3"/>
  <c r="X232" i="4"/>
  <c r="U215" i="3"/>
  <c r="Q218" i="3"/>
  <c r="X216" i="3"/>
  <c r="X223" i="4"/>
  <c r="P214" i="3"/>
  <c r="Z232" i="4"/>
  <c r="V223" i="4"/>
  <c r="Z219" i="4"/>
  <c r="P213" i="3"/>
  <c r="P217" i="3"/>
  <c r="Y228" i="4"/>
  <c r="J216" i="3"/>
  <c r="AA213" i="3"/>
  <c r="U228" i="4"/>
  <c r="W218" i="3"/>
  <c r="Z216" i="3"/>
  <c r="U213" i="3"/>
  <c r="V216" i="3"/>
  <c r="K217" i="3"/>
  <c r="Y225" i="4"/>
  <c r="U214" i="3"/>
  <c r="AA216" i="3"/>
  <c r="N215" i="3"/>
  <c r="V215" i="3"/>
  <c r="O214" i="3"/>
  <c r="K216" i="3"/>
  <c r="L218" i="3"/>
  <c r="AA212" i="3"/>
  <c r="Z230" i="4"/>
  <c r="AA223" i="4"/>
  <c r="R214" i="3" l="1"/>
  <c r="T214" i="3"/>
  <c r="R234" i="4"/>
  <c r="T234" i="4"/>
  <c r="T228" i="4"/>
  <c r="R228" i="4"/>
  <c r="S232" i="4"/>
  <c r="S214" i="3"/>
  <c r="I218" i="3"/>
  <c r="R221" i="4"/>
  <c r="T221" i="4"/>
  <c r="S234" i="4"/>
  <c r="I232" i="4"/>
  <c r="R230" i="4"/>
  <c r="T230" i="4"/>
  <c r="I215" i="3"/>
  <c r="S215" i="3"/>
  <c r="S219" i="4"/>
  <c r="I228" i="4"/>
  <c r="R217" i="3"/>
  <c r="T217" i="3"/>
  <c r="S218" i="3"/>
  <c r="I211" i="3"/>
  <c r="S221" i="4"/>
  <c r="I213" i="3"/>
  <c r="S230" i="4"/>
  <c r="I230" i="4"/>
  <c r="I217" i="3"/>
  <c r="S217" i="3"/>
  <c r="I212" i="3"/>
  <c r="T212" i="3"/>
  <c r="R212" i="3"/>
  <c r="T213" i="3"/>
  <c r="R213" i="3"/>
  <c r="I216" i="3"/>
  <c r="I214" i="3"/>
  <c r="R219" i="4"/>
  <c r="T219" i="4"/>
  <c r="R218" i="3"/>
  <c r="T218" i="3"/>
  <c r="T225" i="4"/>
  <c r="R225" i="4"/>
  <c r="S211" i="3"/>
  <c r="T211" i="3"/>
  <c r="R211" i="3"/>
  <c r="S213" i="3"/>
  <c r="R223" i="4"/>
  <c r="T223" i="4"/>
  <c r="I234" i="4"/>
  <c r="R232" i="4"/>
  <c r="T232" i="4"/>
  <c r="R215" i="3"/>
  <c r="T215" i="3"/>
  <c r="S228" i="4"/>
  <c r="S225" i="4"/>
  <c r="S212" i="3"/>
  <c r="S223" i="4"/>
  <c r="R216" i="3"/>
  <c r="T216" i="3"/>
  <c r="S216" i="3"/>
  <c r="G241" i="4"/>
  <c r="G237" i="4"/>
  <c r="G239" i="4"/>
  <c r="G235" i="4"/>
  <c r="G250" i="4"/>
  <c r="G248" i="4"/>
  <c r="G246" i="4"/>
  <c r="G244" i="4"/>
  <c r="G227" i="3"/>
  <c r="G229" i="3"/>
  <c r="G231" i="3"/>
  <c r="G233" i="3"/>
  <c r="G228" i="3"/>
  <c r="G230" i="3"/>
  <c r="G232" i="3"/>
  <c r="G234" i="3"/>
  <c r="V222" i="3"/>
  <c r="U223" i="3"/>
  <c r="K220" i="3"/>
  <c r="Z242" i="4"/>
  <c r="P223" i="3"/>
  <c r="Y221" i="3"/>
  <c r="U222" i="3"/>
  <c r="N222" i="3"/>
  <c r="J242" i="4"/>
  <c r="N221" i="3"/>
  <c r="O223" i="3"/>
  <c r="K223" i="3"/>
  <c r="Z223" i="3"/>
  <c r="U227" i="4"/>
  <c r="X229" i="4"/>
  <c r="Y224" i="3"/>
  <c r="AA224" i="3"/>
  <c r="Z220" i="3"/>
  <c r="Z231" i="4"/>
  <c r="U229" i="4"/>
  <c r="Y242" i="4"/>
  <c r="M226" i="3"/>
  <c r="V227" i="4"/>
  <c r="Y222" i="3"/>
  <c r="X236" i="4"/>
  <c r="U226" i="3"/>
  <c r="Y226" i="3"/>
  <c r="K219" i="3"/>
  <c r="Z240" i="4"/>
  <c r="O219" i="3"/>
  <c r="Y225" i="3"/>
  <c r="K225" i="3"/>
  <c r="U221" i="3"/>
  <c r="Q224" i="3"/>
  <c r="U225" i="3"/>
  <c r="O225" i="3"/>
  <c r="Y238" i="4"/>
  <c r="O226" i="3"/>
  <c r="X227" i="4"/>
  <c r="L224" i="3"/>
  <c r="V225" i="3"/>
  <c r="AA223" i="3"/>
  <c r="O221" i="3"/>
  <c r="L220" i="3"/>
  <c r="W222" i="3"/>
  <c r="W220" i="3"/>
  <c r="M223" i="3"/>
  <c r="W233" i="4"/>
  <c r="X221" i="3"/>
  <c r="P219" i="3"/>
  <c r="Y227" i="4"/>
  <c r="X242" i="4"/>
  <c r="J222" i="3"/>
  <c r="M219" i="3"/>
  <c r="AA236" i="4"/>
  <c r="U240" i="4"/>
  <c r="N223" i="3"/>
  <c r="V226" i="3"/>
  <c r="W224" i="3"/>
  <c r="M224" i="3"/>
  <c r="W240" i="4"/>
  <c r="W223" i="3"/>
  <c r="U233" i="4"/>
  <c r="Z233" i="4"/>
  <c r="X222" i="3"/>
  <c r="Z221" i="3"/>
  <c r="V221" i="3"/>
  <c r="Z225" i="3"/>
  <c r="J236" i="4"/>
  <c r="V238" i="4"/>
  <c r="X238" i="4"/>
  <c r="W229" i="4"/>
  <c r="U236" i="4"/>
  <c r="N220" i="3"/>
  <c r="Y240" i="4"/>
  <c r="Z227" i="4"/>
  <c r="K222" i="3"/>
  <c r="X240" i="4"/>
  <c r="V240" i="4"/>
  <c r="L225" i="3"/>
  <c r="W238" i="4"/>
  <c r="V242" i="4"/>
  <c r="Q219" i="3"/>
  <c r="V220" i="3"/>
  <c r="J220" i="3"/>
  <c r="Z226" i="3"/>
  <c r="J223" i="3"/>
  <c r="AA220" i="3"/>
  <c r="Q220" i="3"/>
  <c r="W231" i="4"/>
  <c r="W225" i="3"/>
  <c r="N225" i="3"/>
  <c r="L226" i="3"/>
  <c r="O220" i="3"/>
  <c r="W242" i="4"/>
  <c r="O222" i="3"/>
  <c r="X225" i="3"/>
  <c r="U238" i="4"/>
  <c r="P222" i="3"/>
  <c r="Y223" i="3"/>
  <c r="AA242" i="4"/>
  <c r="AA226" i="3"/>
  <c r="Q222" i="3"/>
  <c r="AA222" i="3"/>
  <c r="M225" i="3"/>
  <c r="J231" i="4"/>
  <c r="P225" i="3"/>
  <c r="J227" i="4"/>
  <c r="Q225" i="3"/>
  <c r="Z229" i="4"/>
  <c r="AA219" i="3"/>
  <c r="V229" i="4"/>
  <c r="U242" i="4"/>
  <c r="N226" i="3"/>
  <c r="W226" i="3"/>
  <c r="AA227" i="4"/>
  <c r="Y220" i="3"/>
  <c r="X226" i="3"/>
  <c r="Z222" i="3"/>
  <c r="L221" i="3"/>
  <c r="X220" i="3"/>
  <c r="K224" i="3"/>
  <c r="W227" i="4"/>
  <c r="P221" i="3"/>
  <c r="X219" i="3"/>
  <c r="AA221" i="3"/>
  <c r="K221" i="3"/>
  <c r="AA240" i="4"/>
  <c r="J233" i="4"/>
  <c r="U220" i="3"/>
  <c r="J238" i="4"/>
  <c r="U231" i="4"/>
  <c r="X231" i="4"/>
  <c r="J240" i="4"/>
  <c r="Z238" i="4"/>
  <c r="N224" i="3"/>
  <c r="V219" i="3"/>
  <c r="J219" i="3"/>
  <c r="Y231" i="4"/>
  <c r="Y233" i="4"/>
  <c r="AA233" i="4"/>
  <c r="V236" i="4"/>
  <c r="V224" i="3"/>
  <c r="AA225" i="3"/>
  <c r="U219" i="3"/>
  <c r="Z219" i="3"/>
  <c r="Z224" i="3"/>
  <c r="Y236" i="4"/>
  <c r="M222" i="3"/>
  <c r="L222" i="3"/>
  <c r="K226" i="3"/>
  <c r="Q223" i="3"/>
  <c r="J224" i="3"/>
  <c r="Z236" i="4"/>
  <c r="Y219" i="3"/>
  <c r="W221" i="3"/>
  <c r="N219" i="3"/>
  <c r="X233" i="4"/>
  <c r="P220" i="3"/>
  <c r="P224" i="3"/>
  <c r="U224" i="3"/>
  <c r="M220" i="3"/>
  <c r="W236" i="4"/>
  <c r="X223" i="3"/>
  <c r="AA238" i="4"/>
  <c r="AA229" i="4"/>
  <c r="Q221" i="3"/>
  <c r="J229" i="4"/>
  <c r="M221" i="3"/>
  <c r="O224" i="3"/>
  <c r="J225" i="3"/>
  <c r="J221" i="3"/>
  <c r="L223" i="3"/>
  <c r="AA231" i="4"/>
  <c r="V231" i="4"/>
  <c r="W219" i="3"/>
  <c r="P226" i="3"/>
  <c r="L219" i="3"/>
  <c r="J226" i="3"/>
  <c r="Y229" i="4"/>
  <c r="Q226" i="3"/>
  <c r="X224" i="3"/>
  <c r="V223" i="3"/>
  <c r="V233" i="4"/>
  <c r="S231" i="4" l="1"/>
  <c r="R238" i="4"/>
  <c r="T238" i="4"/>
  <c r="I238" i="4"/>
  <c r="R233" i="4"/>
  <c r="T233" i="4"/>
  <c r="R227" i="4"/>
  <c r="T227" i="4"/>
  <c r="S223" i="3"/>
  <c r="R222" i="3"/>
  <c r="T222" i="3"/>
  <c r="S225" i="3"/>
  <c r="R224" i="3"/>
  <c r="T224" i="3"/>
  <c r="T231" i="4"/>
  <c r="R231" i="4"/>
  <c r="I240" i="4"/>
  <c r="R221" i="3"/>
  <c r="T221" i="3"/>
  <c r="S233" i="4"/>
  <c r="T220" i="3"/>
  <c r="R220" i="3"/>
  <c r="I227" i="4"/>
  <c r="S226" i="3"/>
  <c r="S222" i="3"/>
  <c r="I231" i="4"/>
  <c r="R242" i="4"/>
  <c r="T242" i="4"/>
  <c r="I233" i="4"/>
  <c r="S220" i="3"/>
  <c r="T236" i="4"/>
  <c r="R236" i="4"/>
  <c r="S227" i="4"/>
  <c r="S224" i="3"/>
  <c r="R229" i="4"/>
  <c r="T229" i="4"/>
  <c r="S229" i="4"/>
  <c r="T240" i="4"/>
  <c r="R240" i="4"/>
  <c r="S242" i="4"/>
  <c r="S219" i="3"/>
  <c r="S236" i="4"/>
  <c r="I236" i="4"/>
  <c r="R226" i="3"/>
  <c r="T226" i="3"/>
  <c r="R225" i="3"/>
  <c r="T225" i="3"/>
  <c r="I229" i="4"/>
  <c r="S238" i="4"/>
  <c r="S240" i="4"/>
  <c r="S221" i="3"/>
  <c r="I242" i="4"/>
  <c r="R219" i="3"/>
  <c r="T219" i="3"/>
  <c r="R223" i="3"/>
  <c r="T223" i="3"/>
  <c r="G252" i="4"/>
  <c r="G254" i="4"/>
  <c r="G256" i="4"/>
  <c r="G258" i="4"/>
  <c r="G243" i="4"/>
  <c r="G247" i="4"/>
  <c r="G245" i="4"/>
  <c r="G249" i="4"/>
  <c r="G242" i="3"/>
  <c r="G240" i="3"/>
  <c r="G238" i="3"/>
  <c r="G236" i="3"/>
  <c r="G241" i="3"/>
  <c r="G239" i="3"/>
  <c r="G237" i="3"/>
  <c r="G235" i="3"/>
  <c r="N231" i="3"/>
  <c r="W246" i="4"/>
  <c r="Z235" i="4"/>
  <c r="W227" i="3"/>
  <c r="X231" i="3"/>
  <c r="X241" i="4"/>
  <c r="M227" i="3"/>
  <c r="W232" i="3"/>
  <c r="K231" i="3"/>
  <c r="V227" i="3"/>
  <c r="V241" i="4"/>
  <c r="Z233" i="3"/>
  <c r="Y237" i="4"/>
  <c r="U228" i="3"/>
  <c r="W235" i="4"/>
  <c r="Q229" i="3"/>
  <c r="W231" i="3"/>
  <c r="Q232" i="3"/>
  <c r="Y232" i="3"/>
  <c r="L229" i="3"/>
  <c r="V229" i="3"/>
  <c r="Z239" i="4"/>
  <c r="Q230" i="3"/>
  <c r="O233" i="3"/>
  <c r="W229" i="3"/>
  <c r="Q234" i="3"/>
  <c r="Q228" i="3"/>
  <c r="P228" i="3"/>
  <c r="K229" i="3"/>
  <c r="J241" i="4"/>
  <c r="P231" i="3"/>
  <c r="V239" i="4"/>
  <c r="X239" i="4"/>
  <c r="L230" i="3"/>
  <c r="M229" i="3"/>
  <c r="Y241" i="4"/>
  <c r="Y231" i="3"/>
  <c r="X234" i="3"/>
  <c r="W230" i="3"/>
  <c r="V231" i="3"/>
  <c r="O228" i="3"/>
  <c r="Z230" i="3"/>
  <c r="Y230" i="3"/>
  <c r="Z246" i="4"/>
  <c r="Q227" i="3"/>
  <c r="X230" i="3"/>
  <c r="X246" i="4"/>
  <c r="AA239" i="4"/>
  <c r="K232" i="3"/>
  <c r="AA246" i="4"/>
  <c r="L234" i="3"/>
  <c r="M231" i="3"/>
  <c r="AA231" i="3"/>
  <c r="J248" i="4"/>
  <c r="W239" i="4"/>
  <c r="AA232" i="3"/>
  <c r="W228" i="3"/>
  <c r="J246" i="4"/>
  <c r="AA244" i="4"/>
  <c r="K234" i="3"/>
  <c r="Q233" i="3"/>
  <c r="AA248" i="4"/>
  <c r="P233" i="3"/>
  <c r="U250" i="4"/>
  <c r="J233" i="3"/>
  <c r="O230" i="3"/>
  <c r="P229" i="3"/>
  <c r="J244" i="4"/>
  <c r="P230" i="3"/>
  <c r="X237" i="4"/>
  <c r="U231" i="3"/>
  <c r="Y246" i="4"/>
  <c r="U241" i="4"/>
  <c r="J239" i="4"/>
  <c r="Z241" i="4"/>
  <c r="P232" i="3"/>
  <c r="W237" i="4"/>
  <c r="Z248" i="4"/>
  <c r="J230" i="3"/>
  <c r="AA230" i="3"/>
  <c r="Y250" i="4"/>
  <c r="N229" i="3"/>
  <c r="N234" i="3"/>
  <c r="U244" i="4"/>
  <c r="U246" i="4"/>
  <c r="Z250" i="4"/>
  <c r="Z232" i="3"/>
  <c r="U230" i="3"/>
  <c r="J237" i="4"/>
  <c r="V248" i="4"/>
  <c r="AA228" i="3"/>
  <c r="X229" i="3"/>
  <c r="J228" i="3"/>
  <c r="AA237" i="4"/>
  <c r="L227" i="3"/>
  <c r="J231" i="3"/>
  <c r="W250" i="4"/>
  <c r="AA229" i="3"/>
  <c r="X248" i="4"/>
  <c r="J235" i="4"/>
  <c r="Y234" i="3"/>
  <c r="V230" i="3"/>
  <c r="L233" i="3"/>
  <c r="K233" i="3"/>
  <c r="M232" i="3"/>
  <c r="N228" i="3"/>
  <c r="V232" i="3"/>
  <c r="X250" i="4"/>
  <c r="W234" i="3"/>
  <c r="L231" i="3"/>
  <c r="Z229" i="3"/>
  <c r="V244" i="4"/>
  <c r="M228" i="3"/>
  <c r="K228" i="3"/>
  <c r="Z228" i="3"/>
  <c r="M233" i="3"/>
  <c r="AA241" i="4"/>
  <c r="Y233" i="3"/>
  <c r="AA235" i="4"/>
  <c r="V250" i="4"/>
  <c r="N233" i="3"/>
  <c r="P227" i="3"/>
  <c r="AA234" i="3"/>
  <c r="V228" i="3"/>
  <c r="W244" i="4"/>
  <c r="J234" i="3"/>
  <c r="Y248" i="4"/>
  <c r="AA250" i="4"/>
  <c r="W241" i="4"/>
  <c r="X233" i="3"/>
  <c r="V233" i="3"/>
  <c r="Y229" i="3"/>
  <c r="U234" i="3"/>
  <c r="Z237" i="4"/>
  <c r="U235" i="4"/>
  <c r="W233" i="3"/>
  <c r="X235" i="4"/>
  <c r="J232" i="3"/>
  <c r="V235" i="4"/>
  <c r="U239" i="4"/>
  <c r="X232" i="3"/>
  <c r="L228" i="3"/>
  <c r="AA233" i="3"/>
  <c r="O232" i="3"/>
  <c r="U248" i="4"/>
  <c r="X244" i="4"/>
  <c r="Z231" i="3"/>
  <c r="U227" i="3"/>
  <c r="N227" i="3"/>
  <c r="K230" i="3"/>
  <c r="L232" i="3"/>
  <c r="Y239" i="4"/>
  <c r="U232" i="3"/>
  <c r="M230" i="3"/>
  <c r="M234" i="3"/>
  <c r="Z244" i="4"/>
  <c r="O229" i="3"/>
  <c r="N230" i="3"/>
  <c r="O227" i="3"/>
  <c r="Y228" i="3"/>
  <c r="V237" i="4"/>
  <c r="Y227" i="3"/>
  <c r="W248" i="4"/>
  <c r="V234" i="3"/>
  <c r="U233" i="3"/>
  <c r="V246" i="4"/>
  <c r="J229" i="3"/>
  <c r="O234" i="3"/>
  <c r="N232" i="3"/>
  <c r="X228" i="3"/>
  <c r="U229" i="3"/>
  <c r="K227" i="3"/>
  <c r="Y235" i="4"/>
  <c r="X227" i="3"/>
  <c r="J227" i="3"/>
  <c r="Q231" i="3"/>
  <c r="Z227" i="3"/>
  <c r="Y244" i="4"/>
  <c r="O231" i="3"/>
  <c r="AA227" i="3"/>
  <c r="J250" i="4"/>
  <c r="P234" i="3"/>
  <c r="Z234" i="3"/>
  <c r="U237" i="4"/>
  <c r="I232" i="3" l="1"/>
  <c r="R233" i="3"/>
  <c r="T233" i="3"/>
  <c r="I234" i="3"/>
  <c r="I227" i="3"/>
  <c r="S229" i="3"/>
  <c r="S230" i="3"/>
  <c r="R239" i="4"/>
  <c r="T239" i="4"/>
  <c r="R228" i="3"/>
  <c r="T228" i="3"/>
  <c r="S232" i="3"/>
  <c r="T244" i="4"/>
  <c r="R244" i="4"/>
  <c r="I250" i="4"/>
  <c r="T229" i="3"/>
  <c r="R229" i="3"/>
  <c r="R230" i="3"/>
  <c r="T230" i="3"/>
  <c r="S239" i="4"/>
  <c r="I235" i="4"/>
  <c r="I244" i="4"/>
  <c r="S233" i="3"/>
  <c r="R234" i="3"/>
  <c r="T234" i="3"/>
  <c r="R250" i="4"/>
  <c r="T250" i="4"/>
  <c r="S227" i="3"/>
  <c r="I237" i="4"/>
  <c r="R248" i="4"/>
  <c r="T248" i="4"/>
  <c r="I230" i="3"/>
  <c r="S231" i="3"/>
  <c r="R231" i="3"/>
  <c r="T231" i="3"/>
  <c r="I241" i="4"/>
  <c r="S228" i="3"/>
  <c r="R232" i="3"/>
  <c r="T232" i="3"/>
  <c r="R235" i="4"/>
  <c r="T235" i="4"/>
  <c r="S234" i="3"/>
  <c r="S250" i="4"/>
  <c r="R227" i="3"/>
  <c r="T227" i="3"/>
  <c r="R237" i="4"/>
  <c r="T237" i="4"/>
  <c r="I248" i="4"/>
  <c r="I229" i="3"/>
  <c r="I239" i="4"/>
  <c r="R246" i="4"/>
  <c r="T246" i="4"/>
  <c r="I246" i="4"/>
  <c r="I231" i="3"/>
  <c r="T241" i="4"/>
  <c r="R241" i="4"/>
  <c r="I228" i="3"/>
  <c r="S241" i="4"/>
  <c r="S244" i="4"/>
  <c r="S235" i="4"/>
  <c r="I233" i="3"/>
  <c r="S237" i="4"/>
  <c r="S248" i="4"/>
  <c r="S246" i="4"/>
  <c r="G257" i="4"/>
  <c r="G253" i="4"/>
  <c r="G255" i="4"/>
  <c r="G251" i="4"/>
  <c r="G266" i="4"/>
  <c r="G264" i="4"/>
  <c r="G262" i="4"/>
  <c r="G260" i="4"/>
  <c r="G243" i="3"/>
  <c r="G245" i="3"/>
  <c r="G247" i="3"/>
  <c r="G249" i="3"/>
  <c r="G244" i="3"/>
  <c r="G246" i="3"/>
  <c r="G248" i="3"/>
  <c r="G250" i="3"/>
  <c r="U237" i="3"/>
  <c r="V254" i="4"/>
  <c r="U242" i="3"/>
  <c r="Z241" i="3"/>
  <c r="U256" i="4"/>
  <c r="X245" i="4"/>
  <c r="L242" i="3"/>
  <c r="N239" i="3"/>
  <c r="N241" i="3"/>
  <c r="J249" i="4"/>
  <c r="W254" i="4"/>
  <c r="O239" i="3"/>
  <c r="J247" i="4"/>
  <c r="V241" i="3"/>
  <c r="Y243" i="4"/>
  <c r="J239" i="3"/>
  <c r="U252" i="4"/>
  <c r="Z236" i="3"/>
  <c r="V258" i="4"/>
  <c r="X236" i="3"/>
  <c r="V235" i="3"/>
  <c r="X238" i="3"/>
  <c r="L236" i="3"/>
  <c r="Y254" i="4"/>
  <c r="W258" i="4"/>
  <c r="W238" i="3"/>
  <c r="Y245" i="4"/>
  <c r="U241" i="3"/>
  <c r="M236" i="3"/>
  <c r="Y242" i="3"/>
  <c r="X254" i="4"/>
  <c r="V243" i="4"/>
  <c r="Z254" i="4"/>
  <c r="U235" i="3"/>
  <c r="P241" i="3"/>
  <c r="M239" i="3"/>
  <c r="M237" i="3"/>
  <c r="Q239" i="3"/>
  <c r="J245" i="4"/>
  <c r="J258" i="4"/>
  <c r="M242" i="3"/>
  <c r="W249" i="4"/>
  <c r="Z243" i="4"/>
  <c r="K242" i="3"/>
  <c r="X241" i="3"/>
  <c r="X249" i="4"/>
  <c r="V256" i="4"/>
  <c r="O237" i="3"/>
  <c r="Z240" i="3"/>
  <c r="X256" i="4"/>
  <c r="Y239" i="3"/>
  <c r="Z252" i="4"/>
  <c r="W241" i="3"/>
  <c r="AA242" i="3"/>
  <c r="P242" i="3"/>
  <c r="U236" i="3"/>
  <c r="AA239" i="3"/>
  <c r="V252" i="4"/>
  <c r="N237" i="3"/>
  <c r="J237" i="3"/>
  <c r="X258" i="4"/>
  <c r="Q241" i="3"/>
  <c r="J236" i="3"/>
  <c r="N235" i="3"/>
  <c r="AA258" i="4"/>
  <c r="J242" i="3"/>
  <c r="P239" i="3"/>
  <c r="Q236" i="3"/>
  <c r="X242" i="3"/>
  <c r="L239" i="3"/>
  <c r="W235" i="3"/>
  <c r="X243" i="4"/>
  <c r="L241" i="3"/>
  <c r="AA247" i="4"/>
  <c r="N240" i="3"/>
  <c r="J238" i="3"/>
  <c r="V242" i="3"/>
  <c r="W247" i="4"/>
  <c r="AA240" i="3"/>
  <c r="X240" i="3"/>
  <c r="W245" i="4"/>
  <c r="O240" i="3"/>
  <c r="AA245" i="4"/>
  <c r="Y235" i="3"/>
  <c r="U238" i="3"/>
  <c r="M240" i="3"/>
  <c r="K239" i="3"/>
  <c r="J252" i="4"/>
  <c r="Y247" i="4"/>
  <c r="Y241" i="3"/>
  <c r="W239" i="3"/>
  <c r="L240" i="3"/>
  <c r="N242" i="3"/>
  <c r="Z249" i="4"/>
  <c r="O242" i="3"/>
  <c r="AA241" i="3"/>
  <c r="Q242" i="3"/>
  <c r="J254" i="4"/>
  <c r="J241" i="3"/>
  <c r="Z258" i="4"/>
  <c r="K241" i="3"/>
  <c r="Q240" i="3"/>
  <c r="AA235" i="3"/>
  <c r="Y249" i="4"/>
  <c r="K238" i="3"/>
  <c r="W252" i="4"/>
  <c r="AA243" i="4"/>
  <c r="U258" i="4"/>
  <c r="V249" i="4"/>
  <c r="Y238" i="3"/>
  <c r="V238" i="3"/>
  <c r="P237" i="3"/>
  <c r="M241" i="3"/>
  <c r="O241" i="3"/>
  <c r="L237" i="3"/>
  <c r="J235" i="3"/>
  <c r="Z235" i="3"/>
  <c r="Y237" i="3"/>
  <c r="V237" i="3"/>
  <c r="U240" i="3"/>
  <c r="K236" i="3"/>
  <c r="AA256" i="4"/>
  <c r="U245" i="4"/>
  <c r="O235" i="3"/>
  <c r="AA236" i="3"/>
  <c r="W243" i="4"/>
  <c r="X252" i="4"/>
  <c r="AA254" i="4"/>
  <c r="AA238" i="3"/>
  <c r="P236" i="3"/>
  <c r="W236" i="3"/>
  <c r="Y258" i="4"/>
  <c r="Z237" i="3"/>
  <c r="V240" i="3"/>
  <c r="P238" i="3"/>
  <c r="K235" i="3"/>
  <c r="V245" i="4"/>
  <c r="U243" i="4"/>
  <c r="Z242" i="3"/>
  <c r="W256" i="4"/>
  <c r="Z239" i="3"/>
  <c r="Q237" i="3"/>
  <c r="AA249" i="4"/>
  <c r="V239" i="3"/>
  <c r="W237" i="3"/>
  <c r="U249" i="4"/>
  <c r="V247" i="4"/>
  <c r="J256" i="4"/>
  <c r="P235" i="3"/>
  <c r="U254" i="4"/>
  <c r="Y252" i="4"/>
  <c r="O238" i="3"/>
  <c r="Q238" i="3"/>
  <c r="Z238" i="3"/>
  <c r="Y240" i="3"/>
  <c r="P240" i="3"/>
  <c r="O236" i="3"/>
  <c r="L235" i="3"/>
  <c r="Q235" i="3"/>
  <c r="J243" i="4"/>
  <c r="W240" i="3"/>
  <c r="K240" i="3"/>
  <c r="M238" i="3"/>
  <c r="U247" i="4"/>
  <c r="J240" i="3"/>
  <c r="N238" i="3"/>
  <c r="Y256" i="4"/>
  <c r="X237" i="3"/>
  <c r="Y236" i="3"/>
  <c r="X239" i="3"/>
  <c r="X235" i="3"/>
  <c r="AA237" i="3"/>
  <c r="K237" i="3"/>
  <c r="M235" i="3"/>
  <c r="AA252" i="4"/>
  <c r="W242" i="3"/>
  <c r="Z247" i="4"/>
  <c r="Z245" i="4"/>
  <c r="N236" i="3"/>
  <c r="Z256" i="4"/>
  <c r="L238" i="3"/>
  <c r="U239" i="3"/>
  <c r="V236" i="3"/>
  <c r="X247" i="4"/>
  <c r="R245" i="4" l="1"/>
  <c r="T245" i="4"/>
  <c r="I238" i="3"/>
  <c r="S238" i="3"/>
  <c r="S245" i="4"/>
  <c r="S235" i="3"/>
  <c r="I242" i="3"/>
  <c r="S241" i="3"/>
  <c r="I247" i="4"/>
  <c r="S239" i="3"/>
  <c r="I240" i="3"/>
  <c r="R238" i="3"/>
  <c r="T238" i="3"/>
  <c r="I245" i="4"/>
  <c r="R249" i="4"/>
  <c r="T249" i="4"/>
  <c r="I236" i="3"/>
  <c r="R235" i="3"/>
  <c r="T235" i="3"/>
  <c r="I243" i="4"/>
  <c r="I241" i="3"/>
  <c r="R254" i="4"/>
  <c r="T254" i="4"/>
  <c r="T247" i="4"/>
  <c r="R247" i="4"/>
  <c r="I239" i="3"/>
  <c r="S258" i="4"/>
  <c r="S249" i="4"/>
  <c r="I249" i="4"/>
  <c r="R236" i="3"/>
  <c r="T236" i="3"/>
  <c r="T252" i="4"/>
  <c r="R252" i="4"/>
  <c r="R243" i="4"/>
  <c r="T243" i="4"/>
  <c r="S242" i="3"/>
  <c r="T242" i="3"/>
  <c r="R242" i="3"/>
  <c r="S254" i="4"/>
  <c r="R239" i="3"/>
  <c r="T239" i="3"/>
  <c r="T256" i="4"/>
  <c r="R256" i="4"/>
  <c r="S237" i="3"/>
  <c r="I237" i="3"/>
  <c r="S240" i="3"/>
  <c r="S252" i="4"/>
  <c r="S243" i="4"/>
  <c r="T241" i="3"/>
  <c r="R241" i="3"/>
  <c r="S247" i="4"/>
  <c r="S256" i="4"/>
  <c r="T240" i="3"/>
  <c r="R240" i="3"/>
  <c r="R258" i="4"/>
  <c r="T258" i="4"/>
  <c r="S236" i="3"/>
  <c r="I235" i="3"/>
  <c r="T237" i="3"/>
  <c r="R237" i="3"/>
  <c r="G268" i="4"/>
  <c r="G270" i="4"/>
  <c r="G272" i="4"/>
  <c r="G274" i="4"/>
  <c r="G259" i="4"/>
  <c r="G263" i="4"/>
  <c r="G261" i="4"/>
  <c r="G265" i="4"/>
  <c r="G258" i="3"/>
  <c r="G256" i="3"/>
  <c r="G254" i="3"/>
  <c r="G252" i="3"/>
  <c r="G257" i="3"/>
  <c r="G255" i="3"/>
  <c r="G253" i="3"/>
  <c r="G251" i="3"/>
  <c r="U246" i="3"/>
  <c r="U260" i="4"/>
  <c r="X244" i="3"/>
  <c r="Y253" i="4"/>
  <c r="W260" i="4"/>
  <c r="P245" i="3"/>
  <c r="W246" i="3"/>
  <c r="J253" i="4"/>
  <c r="X266" i="4"/>
  <c r="L250" i="3"/>
  <c r="M244" i="3"/>
  <c r="Z257" i="4"/>
  <c r="O243" i="3"/>
  <c r="K249" i="3"/>
  <c r="P243" i="3"/>
  <c r="O244" i="3"/>
  <c r="Z243" i="3"/>
  <c r="U257" i="4"/>
  <c r="P244" i="3"/>
  <c r="AA262" i="4"/>
  <c r="K245" i="3"/>
  <c r="J248" i="3"/>
  <c r="Y244" i="3"/>
  <c r="X245" i="3"/>
  <c r="U251" i="4"/>
  <c r="Q248" i="3"/>
  <c r="U249" i="3"/>
  <c r="AA257" i="4"/>
  <c r="AA244" i="3"/>
  <c r="AA250" i="3"/>
  <c r="U244" i="3"/>
  <c r="X260" i="4"/>
  <c r="Q249" i="3"/>
  <c r="J251" i="4"/>
  <c r="P249" i="3"/>
  <c r="M250" i="3"/>
  <c r="V251" i="4"/>
  <c r="V245" i="3"/>
  <c r="Q244" i="3"/>
  <c r="N243" i="3"/>
  <c r="U262" i="4"/>
  <c r="W262" i="4"/>
  <c r="Z262" i="4"/>
  <c r="M247" i="3"/>
  <c r="O247" i="3"/>
  <c r="W249" i="3"/>
  <c r="O249" i="3"/>
  <c r="N247" i="3"/>
  <c r="U250" i="3"/>
  <c r="X250" i="3"/>
  <c r="M248" i="3"/>
  <c r="Z244" i="3"/>
  <c r="N250" i="3"/>
  <c r="U247" i="3"/>
  <c r="L246" i="3"/>
  <c r="W247" i="3"/>
  <c r="J266" i="4"/>
  <c r="AA248" i="3"/>
  <c r="AA253" i="4"/>
  <c r="V248" i="3"/>
  <c r="M246" i="3"/>
  <c r="N248" i="3"/>
  <c r="Z264" i="4"/>
  <c r="K246" i="3"/>
  <c r="AA243" i="3"/>
  <c r="X253" i="4"/>
  <c r="Q247" i="3"/>
  <c r="W251" i="4"/>
  <c r="AA264" i="4"/>
  <c r="Z247" i="3"/>
  <c r="X243" i="3"/>
  <c r="V262" i="4"/>
  <c r="AA260" i="4"/>
  <c r="V264" i="4"/>
  <c r="U243" i="3"/>
  <c r="J257" i="4"/>
  <c r="X264" i="4"/>
  <c r="X257" i="4"/>
  <c r="V244" i="3"/>
  <c r="Y243" i="3"/>
  <c r="Y246" i="3"/>
  <c r="W266" i="4"/>
  <c r="X251" i="4"/>
  <c r="Y266" i="4"/>
  <c r="M243" i="3"/>
  <c r="AA245" i="3"/>
  <c r="J249" i="3"/>
  <c r="O248" i="3"/>
  <c r="Y262" i="4"/>
  <c r="K243" i="3"/>
  <c r="V266" i="4"/>
  <c r="J250" i="3"/>
  <c r="Z250" i="3"/>
  <c r="P248" i="3"/>
  <c r="V257" i="4"/>
  <c r="W250" i="3"/>
  <c r="N246" i="3"/>
  <c r="Z255" i="4"/>
  <c r="W257" i="4"/>
  <c r="Y255" i="4"/>
  <c r="J244" i="3"/>
  <c r="AA255" i="4"/>
  <c r="W253" i="4"/>
  <c r="Q243" i="3"/>
  <c r="Z248" i="3"/>
  <c r="Z246" i="3"/>
  <c r="Z245" i="3"/>
  <c r="J262" i="4"/>
  <c r="W248" i="3"/>
  <c r="X247" i="3"/>
  <c r="L247" i="3"/>
  <c r="N244" i="3"/>
  <c r="Y248" i="3"/>
  <c r="Y250" i="3"/>
  <c r="J264" i="4"/>
  <c r="J255" i="4"/>
  <c r="L245" i="3"/>
  <c r="Y260" i="4"/>
  <c r="O250" i="3"/>
  <c r="U248" i="3"/>
  <c r="X262" i="4"/>
  <c r="X255" i="4"/>
  <c r="Z266" i="4"/>
  <c r="Q250" i="3"/>
  <c r="J245" i="3"/>
  <c r="X248" i="3"/>
  <c r="X246" i="3"/>
  <c r="X249" i="3"/>
  <c r="M245" i="3"/>
  <c r="Y257" i="4"/>
  <c r="V250" i="3"/>
  <c r="J260" i="4"/>
  <c r="AA246" i="3"/>
  <c r="U253" i="4"/>
  <c r="V253" i="4"/>
  <c r="Z249" i="3"/>
  <c r="N245" i="3"/>
  <c r="P246" i="3"/>
  <c r="J246" i="3"/>
  <c r="Y247" i="3"/>
  <c r="L248" i="3"/>
  <c r="O246" i="3"/>
  <c r="W244" i="3"/>
  <c r="K244" i="3"/>
  <c r="J243" i="3"/>
  <c r="N249" i="3"/>
  <c r="L244" i="3"/>
  <c r="V255" i="4"/>
  <c r="W264" i="4"/>
  <c r="Q246" i="3"/>
  <c r="M249" i="3"/>
  <c r="V249" i="3"/>
  <c r="Q245" i="3"/>
  <c r="W245" i="3"/>
  <c r="J247" i="3"/>
  <c r="AA249" i="3"/>
  <c r="AA251" i="4"/>
  <c r="U245" i="3"/>
  <c r="V246" i="3"/>
  <c r="Y245" i="3"/>
  <c r="K247" i="3"/>
  <c r="U255" i="4"/>
  <c r="L249" i="3"/>
  <c r="Y249" i="3"/>
  <c r="U266" i="4"/>
  <c r="AA247" i="3"/>
  <c r="K248" i="3"/>
  <c r="W255" i="4"/>
  <c r="V243" i="3"/>
  <c r="K250" i="3"/>
  <c r="V260" i="4"/>
  <c r="Z253" i="4"/>
  <c r="Y251" i="4"/>
  <c r="U264" i="4"/>
  <c r="W243" i="3"/>
  <c r="AA266" i="4"/>
  <c r="L243" i="3"/>
  <c r="P247" i="3"/>
  <c r="Y264" i="4"/>
  <c r="O245" i="3"/>
  <c r="Z260" i="4"/>
  <c r="P250" i="3"/>
  <c r="Z251" i="4"/>
  <c r="V247" i="3"/>
  <c r="I247" i="3" l="1"/>
  <c r="I248" i="3"/>
  <c r="R262" i="4"/>
  <c r="T262" i="4"/>
  <c r="S260" i="4"/>
  <c r="R249" i="3"/>
  <c r="T249" i="3"/>
  <c r="S257" i="4"/>
  <c r="R255" i="4"/>
  <c r="T255" i="4"/>
  <c r="I264" i="4"/>
  <c r="S262" i="4"/>
  <c r="I262" i="4"/>
  <c r="S251" i="4"/>
  <c r="S250" i="3"/>
  <c r="R266" i="4"/>
  <c r="T266" i="4"/>
  <c r="I266" i="4"/>
  <c r="S245" i="3"/>
  <c r="T245" i="3"/>
  <c r="R245" i="3"/>
  <c r="R246" i="3"/>
  <c r="T246" i="3"/>
  <c r="R248" i="3"/>
  <c r="T248" i="3"/>
  <c r="I249" i="3"/>
  <c r="I250" i="3"/>
  <c r="I243" i="3"/>
  <c r="T243" i="3"/>
  <c r="R243" i="3"/>
  <c r="S244" i="3"/>
  <c r="I246" i="3"/>
  <c r="R251" i="4"/>
  <c r="T251" i="4"/>
  <c r="T260" i="4"/>
  <c r="R260" i="4"/>
  <c r="S249" i="3"/>
  <c r="R250" i="3"/>
  <c r="T250" i="3"/>
  <c r="T257" i="4"/>
  <c r="R257" i="4"/>
  <c r="S266" i="4"/>
  <c r="R244" i="3"/>
  <c r="T244" i="3"/>
  <c r="R253" i="4"/>
  <c r="T253" i="4"/>
  <c r="I245" i="3"/>
  <c r="S246" i="3"/>
  <c r="S255" i="4"/>
  <c r="R264" i="4"/>
  <c r="T264" i="4"/>
  <c r="R247" i="3"/>
  <c r="T247" i="3"/>
  <c r="S264" i="4"/>
  <c r="S247" i="3"/>
  <c r="S248" i="3"/>
  <c r="I260" i="4"/>
  <c r="S243" i="3"/>
  <c r="I244" i="3"/>
  <c r="S253" i="4"/>
  <c r="G273" i="4"/>
  <c r="G269" i="4"/>
  <c r="G271" i="4"/>
  <c r="G267" i="4"/>
  <c r="G282" i="4"/>
  <c r="G280" i="4"/>
  <c r="G278" i="4"/>
  <c r="G276" i="4"/>
  <c r="G259" i="3"/>
  <c r="G261" i="3"/>
  <c r="G263" i="3"/>
  <c r="G265" i="3"/>
  <c r="G260" i="3"/>
  <c r="G262" i="3"/>
  <c r="G264" i="3"/>
  <c r="G266" i="3"/>
  <c r="U253" i="3"/>
  <c r="L257" i="3"/>
  <c r="M252" i="3"/>
  <c r="X270" i="4"/>
  <c r="X268" i="4"/>
  <c r="Z270" i="4"/>
  <c r="W257" i="3"/>
  <c r="U272" i="4"/>
  <c r="AA258" i="3"/>
  <c r="AA268" i="4"/>
  <c r="AA259" i="4"/>
  <c r="Q253" i="3"/>
  <c r="Z253" i="3"/>
  <c r="AA263" i="4"/>
  <c r="V252" i="3"/>
  <c r="W253" i="3"/>
  <c r="W270" i="4"/>
  <c r="K252" i="3"/>
  <c r="AA272" i="4"/>
  <c r="J257" i="3"/>
  <c r="K256" i="3"/>
  <c r="Z257" i="3"/>
  <c r="Z251" i="3"/>
  <c r="Y253" i="3"/>
  <c r="Z256" i="3"/>
  <c r="AA265" i="4"/>
  <c r="Z261" i="4"/>
  <c r="Z259" i="4"/>
  <c r="Z258" i="3"/>
  <c r="X251" i="3"/>
  <c r="AA270" i="4"/>
  <c r="Y256" i="3"/>
  <c r="N257" i="3"/>
  <c r="X263" i="4"/>
  <c r="U258" i="3"/>
  <c r="J265" i="4"/>
  <c r="P251" i="3"/>
  <c r="M257" i="3"/>
  <c r="V257" i="3"/>
  <c r="U251" i="3"/>
  <c r="Q251" i="3"/>
  <c r="AA251" i="3"/>
  <c r="W255" i="3"/>
  <c r="V261" i="4"/>
  <c r="J252" i="3"/>
  <c r="AA261" i="4"/>
  <c r="U263" i="4"/>
  <c r="N258" i="3"/>
  <c r="V268" i="4"/>
  <c r="O254" i="3"/>
  <c r="V258" i="3"/>
  <c r="M255" i="3"/>
  <c r="U261" i="4"/>
  <c r="X272" i="4"/>
  <c r="U274" i="4"/>
  <c r="J253" i="3"/>
  <c r="Z274" i="4"/>
  <c r="X254" i="3"/>
  <c r="U252" i="3"/>
  <c r="V265" i="4"/>
  <c r="Q254" i="3"/>
  <c r="AA256" i="3"/>
  <c r="Z252" i="3"/>
  <c r="X253" i="3"/>
  <c r="J258" i="3"/>
  <c r="L255" i="3"/>
  <c r="V255" i="3"/>
  <c r="Y274" i="4"/>
  <c r="J274" i="4"/>
  <c r="W263" i="4"/>
  <c r="M253" i="3"/>
  <c r="J255" i="3"/>
  <c r="L253" i="3"/>
  <c r="W254" i="3"/>
  <c r="J256" i="3"/>
  <c r="Y254" i="3"/>
  <c r="AA253" i="3"/>
  <c r="V251" i="3"/>
  <c r="Y259" i="4"/>
  <c r="W272" i="4"/>
  <c r="Z255" i="3"/>
  <c r="M251" i="3"/>
  <c r="Y272" i="4"/>
  <c r="M258" i="3"/>
  <c r="J270" i="4"/>
  <c r="Y252" i="3"/>
  <c r="L254" i="3"/>
  <c r="O253" i="3"/>
  <c r="X265" i="4"/>
  <c r="AA254" i="3"/>
  <c r="Z272" i="4"/>
  <c r="P256" i="3"/>
  <c r="M254" i="3"/>
  <c r="L258" i="3"/>
  <c r="Q252" i="3"/>
  <c r="V256" i="3"/>
  <c r="V274" i="4"/>
  <c r="X255" i="3"/>
  <c r="Y261" i="4"/>
  <c r="P258" i="3"/>
  <c r="M256" i="3"/>
  <c r="J263" i="4"/>
  <c r="AA274" i="4"/>
  <c r="Y251" i="3"/>
  <c r="AA252" i="3"/>
  <c r="V263" i="4"/>
  <c r="K258" i="3"/>
  <c r="L256" i="3"/>
  <c r="V270" i="4"/>
  <c r="X258" i="3"/>
  <c r="L252" i="3"/>
  <c r="X259" i="4"/>
  <c r="N252" i="3"/>
  <c r="AA255" i="3"/>
  <c r="Y258" i="3"/>
  <c r="J268" i="4"/>
  <c r="W259" i="4"/>
  <c r="K254" i="3"/>
  <c r="O252" i="3"/>
  <c r="O258" i="3"/>
  <c r="K253" i="3"/>
  <c r="K251" i="3"/>
  <c r="N254" i="3"/>
  <c r="J261" i="4"/>
  <c r="J259" i="4"/>
  <c r="O257" i="3"/>
  <c r="N255" i="3"/>
  <c r="J251" i="3"/>
  <c r="U268" i="4"/>
  <c r="O256" i="3"/>
  <c r="Y257" i="3"/>
  <c r="L251" i="3"/>
  <c r="V259" i="4"/>
  <c r="Y263" i="4"/>
  <c r="K255" i="3"/>
  <c r="O255" i="3"/>
  <c r="Z268" i="4"/>
  <c r="P252" i="3"/>
  <c r="Z263" i="4"/>
  <c r="X274" i="4"/>
  <c r="U256" i="3"/>
  <c r="W252" i="3"/>
  <c r="N251" i="3"/>
  <c r="U255" i="3"/>
  <c r="X257" i="3"/>
  <c r="X252" i="3"/>
  <c r="Y270" i="4"/>
  <c r="X256" i="3"/>
  <c r="U265" i="4"/>
  <c r="Z265" i="4"/>
  <c r="U254" i="3"/>
  <c r="Q258" i="3"/>
  <c r="O251" i="3"/>
  <c r="P255" i="3"/>
  <c r="P254" i="3"/>
  <c r="V253" i="3"/>
  <c r="P257" i="3"/>
  <c r="Y268" i="4"/>
  <c r="W258" i="3"/>
  <c r="W268" i="4"/>
  <c r="N253" i="3"/>
  <c r="N256" i="3"/>
  <c r="Q257" i="3"/>
  <c r="Q256" i="3"/>
  <c r="V272" i="4"/>
  <c r="J254" i="3"/>
  <c r="U257" i="3"/>
  <c r="W274" i="4"/>
  <c r="K257" i="3"/>
  <c r="W265" i="4"/>
  <c r="Y265" i="4"/>
  <c r="Z254" i="3"/>
  <c r="W256" i="3"/>
  <c r="Y255" i="3"/>
  <c r="J272" i="4"/>
  <c r="V254" i="3"/>
  <c r="W261" i="4"/>
  <c r="Q255" i="3"/>
  <c r="P253" i="3"/>
  <c r="U270" i="4"/>
  <c r="U259" i="4"/>
  <c r="W251" i="3"/>
  <c r="X261" i="4"/>
  <c r="AA257" i="3"/>
  <c r="R270" i="4" l="1"/>
  <c r="T270" i="4"/>
  <c r="S256" i="3"/>
  <c r="T272" i="4"/>
  <c r="R272" i="4"/>
  <c r="S258" i="3"/>
  <c r="S263" i="4"/>
  <c r="I270" i="4"/>
  <c r="S272" i="4"/>
  <c r="S252" i="3"/>
  <c r="T268" i="4"/>
  <c r="R268" i="4"/>
  <c r="I272" i="4"/>
  <c r="R274" i="4"/>
  <c r="T274" i="4"/>
  <c r="I265" i="4"/>
  <c r="R252" i="3"/>
  <c r="T252" i="3"/>
  <c r="I259" i="4"/>
  <c r="R261" i="4"/>
  <c r="T261" i="4"/>
  <c r="I261" i="4"/>
  <c r="S254" i="3"/>
  <c r="S274" i="4"/>
  <c r="S259" i="4"/>
  <c r="S253" i="3"/>
  <c r="I268" i="4"/>
  <c r="R256" i="3"/>
  <c r="T256" i="3"/>
  <c r="S261" i="4"/>
  <c r="R254" i="3"/>
  <c r="T254" i="3"/>
  <c r="I274" i="4"/>
  <c r="R265" i="4"/>
  <c r="T265" i="4"/>
  <c r="R251" i="3"/>
  <c r="T251" i="3"/>
  <c r="R257" i="3"/>
  <c r="T257" i="3"/>
  <c r="R255" i="3"/>
  <c r="T255" i="3"/>
  <c r="S268" i="4"/>
  <c r="T263" i="4"/>
  <c r="R263" i="4"/>
  <c r="R258" i="3"/>
  <c r="T258" i="3"/>
  <c r="I263" i="4"/>
  <c r="S270" i="4"/>
  <c r="S265" i="4"/>
  <c r="S251" i="3"/>
  <c r="R259" i="4"/>
  <c r="T259" i="4"/>
  <c r="S257" i="3"/>
  <c r="S255" i="3"/>
  <c r="T253" i="3"/>
  <c r="R253" i="3"/>
  <c r="G284" i="4"/>
  <c r="G286" i="4"/>
  <c r="G288" i="4"/>
  <c r="G290" i="4"/>
  <c r="G275" i="4"/>
  <c r="G279" i="4"/>
  <c r="G277" i="4"/>
  <c r="G281" i="4"/>
  <c r="G274" i="3"/>
  <c r="G272" i="3"/>
  <c r="G270" i="3"/>
  <c r="G268" i="3"/>
  <c r="G273" i="3"/>
  <c r="G271" i="3"/>
  <c r="G269" i="3"/>
  <c r="G267" i="3"/>
  <c r="U264" i="3"/>
  <c r="Z262" i="3"/>
  <c r="Z276" i="4"/>
  <c r="K260" i="3"/>
  <c r="J259" i="3"/>
  <c r="L259" i="3"/>
  <c r="V263" i="3"/>
  <c r="AA278" i="4"/>
  <c r="Z266" i="3"/>
  <c r="X282" i="4"/>
  <c r="P265" i="3"/>
  <c r="X259" i="3"/>
  <c r="Z261" i="3"/>
  <c r="W260" i="3"/>
  <c r="X260" i="3"/>
  <c r="K259" i="3"/>
  <c r="Q266" i="3"/>
  <c r="U266" i="3"/>
  <c r="Q260" i="3"/>
  <c r="W264" i="3"/>
  <c r="W271" i="4"/>
  <c r="Z265" i="3"/>
  <c r="Y280" i="4"/>
  <c r="P261" i="3"/>
  <c r="Y271" i="4"/>
  <c r="J276" i="4"/>
  <c r="AA265" i="3"/>
  <c r="U259" i="3"/>
  <c r="Q262" i="3"/>
  <c r="M266" i="3"/>
  <c r="Z280" i="4"/>
  <c r="N262" i="3"/>
  <c r="Z260" i="3"/>
  <c r="AA259" i="3"/>
  <c r="V265" i="3"/>
  <c r="U265" i="3"/>
  <c r="V282" i="4"/>
  <c r="X263" i="3"/>
  <c r="AA261" i="3"/>
  <c r="M261" i="3"/>
  <c r="Z259" i="3"/>
  <c r="L264" i="3"/>
  <c r="M265" i="3"/>
  <c r="P262" i="3"/>
  <c r="X276" i="4"/>
  <c r="U261" i="3"/>
  <c r="U262" i="3"/>
  <c r="Z267" i="4"/>
  <c r="X280" i="4"/>
  <c r="AA267" i="4"/>
  <c r="J262" i="3"/>
  <c r="J280" i="4"/>
  <c r="AA271" i="4"/>
  <c r="O259" i="3"/>
  <c r="M259" i="3"/>
  <c r="O263" i="3"/>
  <c r="X273" i="4"/>
  <c r="Q261" i="3"/>
  <c r="X267" i="4"/>
  <c r="U260" i="3"/>
  <c r="U278" i="4"/>
  <c r="K266" i="3"/>
  <c r="Z264" i="3"/>
  <c r="U267" i="4"/>
  <c r="Y266" i="3"/>
  <c r="V273" i="4"/>
  <c r="W278" i="4"/>
  <c r="K261" i="3"/>
  <c r="X265" i="3"/>
  <c r="Y263" i="3"/>
  <c r="J264" i="3"/>
  <c r="V262" i="3"/>
  <c r="N265" i="3"/>
  <c r="W263" i="3"/>
  <c r="V261" i="3"/>
  <c r="Z269" i="4"/>
  <c r="V264" i="3"/>
  <c r="Q263" i="3"/>
  <c r="P264" i="3"/>
  <c r="N259" i="3"/>
  <c r="O266" i="3"/>
  <c r="P259" i="3"/>
  <c r="AA262" i="3"/>
  <c r="AA260" i="3"/>
  <c r="N266" i="3"/>
  <c r="Z282" i="4"/>
  <c r="X271" i="4"/>
  <c r="Z278" i="4"/>
  <c r="V260" i="3"/>
  <c r="N264" i="3"/>
  <c r="L260" i="3"/>
  <c r="J261" i="3"/>
  <c r="M262" i="3"/>
  <c r="N263" i="3"/>
  <c r="Y265" i="3"/>
  <c r="V278" i="4"/>
  <c r="U282" i="4"/>
  <c r="J278" i="4"/>
  <c r="P260" i="3"/>
  <c r="K264" i="3"/>
  <c r="Y264" i="3"/>
  <c r="Y267" i="4"/>
  <c r="W276" i="4"/>
  <c r="V276" i="4"/>
  <c r="O260" i="3"/>
  <c r="Y259" i="3"/>
  <c r="L265" i="3"/>
  <c r="X278" i="4"/>
  <c r="K262" i="3"/>
  <c r="O265" i="3"/>
  <c r="Y282" i="4"/>
  <c r="N261" i="3"/>
  <c r="J271" i="4"/>
  <c r="X262" i="3"/>
  <c r="Y261" i="3"/>
  <c r="O264" i="3"/>
  <c r="V280" i="4"/>
  <c r="W280" i="4"/>
  <c r="V266" i="3"/>
  <c r="Y276" i="4"/>
  <c r="L261" i="3"/>
  <c r="W259" i="3"/>
  <c r="AA263" i="3"/>
  <c r="W265" i="3"/>
  <c r="Y260" i="3"/>
  <c r="U263" i="3"/>
  <c r="V267" i="4"/>
  <c r="U269" i="4"/>
  <c r="Q259" i="3"/>
  <c r="AA273" i="4"/>
  <c r="Y262" i="3"/>
  <c r="W261" i="3"/>
  <c r="M264" i="3"/>
  <c r="M263" i="3"/>
  <c r="N260" i="3"/>
  <c r="L263" i="3"/>
  <c r="J273" i="4"/>
  <c r="AA266" i="3"/>
  <c r="X264" i="3"/>
  <c r="Z273" i="4"/>
  <c r="L266" i="3"/>
  <c r="J263" i="3"/>
  <c r="AA280" i="4"/>
  <c r="AA282" i="4"/>
  <c r="U276" i="4"/>
  <c r="K263" i="3"/>
  <c r="V271" i="4"/>
  <c r="K265" i="3"/>
  <c r="O262" i="3"/>
  <c r="U273" i="4"/>
  <c r="X261" i="3"/>
  <c r="W267" i="4"/>
  <c r="O261" i="3"/>
  <c r="J267" i="4"/>
  <c r="M260" i="3"/>
  <c r="P263" i="3"/>
  <c r="AA264" i="3"/>
  <c r="U280" i="4"/>
  <c r="J269" i="4"/>
  <c r="Z263" i="3"/>
  <c r="W273" i="4"/>
  <c r="Y273" i="4"/>
  <c r="V269" i="4"/>
  <c r="Z271" i="4"/>
  <c r="W266" i="3"/>
  <c r="J265" i="3"/>
  <c r="Y269" i="4"/>
  <c r="L262" i="3"/>
  <c r="J266" i="3"/>
  <c r="V259" i="3"/>
  <c r="J282" i="4"/>
  <c r="W269" i="4"/>
  <c r="W262" i="3"/>
  <c r="X266" i="3"/>
  <c r="X269" i="4"/>
  <c r="Q265" i="3"/>
  <c r="Y278" i="4"/>
  <c r="W282" i="4"/>
  <c r="Q264" i="3"/>
  <c r="P266" i="3"/>
  <c r="AA276" i="4"/>
  <c r="AA269" i="4"/>
  <c r="U271" i="4"/>
  <c r="J260" i="3"/>
  <c r="I280" i="4" l="1"/>
  <c r="R269" i="4"/>
  <c r="T269" i="4"/>
  <c r="I261" i="3"/>
  <c r="R262" i="3"/>
  <c r="T262" i="3"/>
  <c r="I278" i="4"/>
  <c r="S267" i="4"/>
  <c r="S266" i="3"/>
  <c r="S273" i="4"/>
  <c r="S269" i="4"/>
  <c r="I269" i="4"/>
  <c r="R280" i="4"/>
  <c r="T280" i="4"/>
  <c r="R271" i="4"/>
  <c r="T271" i="4"/>
  <c r="I271" i="4"/>
  <c r="S278" i="4"/>
  <c r="S263" i="3"/>
  <c r="T276" i="4"/>
  <c r="R276" i="4"/>
  <c r="S265" i="3"/>
  <c r="R265" i="3"/>
  <c r="T265" i="3"/>
  <c r="R282" i="4"/>
  <c r="T282" i="4"/>
  <c r="S260" i="3"/>
  <c r="I264" i="3"/>
  <c r="S262" i="3"/>
  <c r="S271" i="4"/>
  <c r="I263" i="3"/>
  <c r="I267" i="4"/>
  <c r="I276" i="4"/>
  <c r="I266" i="3"/>
  <c r="S282" i="4"/>
  <c r="I260" i="3"/>
  <c r="R264" i="3"/>
  <c r="T264" i="3"/>
  <c r="T261" i="3"/>
  <c r="R261" i="3"/>
  <c r="R263" i="3"/>
  <c r="T263" i="3"/>
  <c r="R267" i="4"/>
  <c r="T267" i="4"/>
  <c r="S276" i="4"/>
  <c r="I265" i="3"/>
  <c r="T273" i="4"/>
  <c r="R273" i="4"/>
  <c r="I273" i="4"/>
  <c r="R259" i="3"/>
  <c r="T259" i="3"/>
  <c r="S264" i="3"/>
  <c r="S261" i="3"/>
  <c r="I262" i="3"/>
  <c r="S280" i="4"/>
  <c r="R278" i="4"/>
  <c r="T278" i="4"/>
  <c r="T266" i="3"/>
  <c r="R266" i="3"/>
  <c r="I282" i="4"/>
  <c r="S259" i="3"/>
  <c r="I259" i="3"/>
  <c r="R260" i="3"/>
  <c r="T260" i="3"/>
  <c r="G289" i="4"/>
  <c r="G285" i="4"/>
  <c r="G287" i="4"/>
  <c r="G283" i="4"/>
  <c r="G298" i="4"/>
  <c r="G296" i="4"/>
  <c r="G294" i="4"/>
  <c r="G292" i="4"/>
  <c r="G275" i="3"/>
  <c r="G277" i="3"/>
  <c r="G279" i="3"/>
  <c r="G281" i="3"/>
  <c r="G276" i="3"/>
  <c r="G278" i="3"/>
  <c r="G280" i="3"/>
  <c r="G282" i="3"/>
  <c r="U277" i="4"/>
  <c r="Z281" i="4"/>
  <c r="M267" i="3"/>
  <c r="V268" i="3"/>
  <c r="P269" i="3"/>
  <c r="N273" i="3"/>
  <c r="N274" i="3"/>
  <c r="X270" i="3"/>
  <c r="AA269" i="3"/>
  <c r="J288" i="4"/>
  <c r="P267" i="3"/>
  <c r="Y277" i="4"/>
  <c r="AA290" i="4"/>
  <c r="V274" i="3"/>
  <c r="P270" i="3"/>
  <c r="W273" i="3"/>
  <c r="X268" i="3"/>
  <c r="U273" i="3"/>
  <c r="Z290" i="4"/>
  <c r="V270" i="3"/>
  <c r="W268" i="3"/>
  <c r="Q269" i="3"/>
  <c r="Y272" i="3"/>
  <c r="Z269" i="3"/>
  <c r="J269" i="3"/>
  <c r="W271" i="3"/>
  <c r="W277" i="4"/>
  <c r="AA272" i="3"/>
  <c r="L272" i="3"/>
  <c r="K268" i="3"/>
  <c r="U272" i="3"/>
  <c r="O267" i="3"/>
  <c r="W281" i="4"/>
  <c r="Q272" i="3"/>
  <c r="V269" i="3"/>
  <c r="AA275" i="4"/>
  <c r="Y271" i="3"/>
  <c r="Y268" i="3"/>
  <c r="V267" i="3"/>
  <c r="Y275" i="4"/>
  <c r="O268" i="3"/>
  <c r="J270" i="3"/>
  <c r="N269" i="3"/>
  <c r="U267" i="3"/>
  <c r="U284" i="4"/>
  <c r="X272" i="3"/>
  <c r="P273" i="3"/>
  <c r="V286" i="4"/>
  <c r="U270" i="3"/>
  <c r="W274" i="3"/>
  <c r="Y269" i="3"/>
  <c r="K273" i="3"/>
  <c r="O272" i="3"/>
  <c r="Z275" i="4"/>
  <c r="Z272" i="3"/>
  <c r="Z271" i="3"/>
  <c r="J272" i="3"/>
  <c r="K267" i="3"/>
  <c r="Q267" i="3"/>
  <c r="V281" i="4"/>
  <c r="L273" i="3"/>
  <c r="V272" i="3"/>
  <c r="W290" i="4"/>
  <c r="N268" i="3"/>
  <c r="X274" i="3"/>
  <c r="O274" i="3"/>
  <c r="V284" i="4"/>
  <c r="Y274" i="3"/>
  <c r="Z274" i="3"/>
  <c r="Q273" i="3"/>
  <c r="W288" i="4"/>
  <c r="K274" i="3"/>
  <c r="U286" i="4"/>
  <c r="N270" i="3"/>
  <c r="M268" i="3"/>
  <c r="N267" i="3"/>
  <c r="M273" i="3"/>
  <c r="K269" i="3"/>
  <c r="W269" i="3"/>
  <c r="X288" i="4"/>
  <c r="W267" i="3"/>
  <c r="W284" i="4"/>
  <c r="X284" i="4"/>
  <c r="W275" i="4"/>
  <c r="V275" i="4"/>
  <c r="J267" i="3"/>
  <c r="U288" i="4"/>
  <c r="X281" i="4"/>
  <c r="Y284" i="4"/>
  <c r="O273" i="3"/>
  <c r="Y286" i="4"/>
  <c r="W286" i="4"/>
  <c r="Y290" i="4"/>
  <c r="X277" i="4"/>
  <c r="AA270" i="3"/>
  <c r="U275" i="4"/>
  <c r="AA288" i="4"/>
  <c r="M272" i="3"/>
  <c r="Z270" i="3"/>
  <c r="W270" i="3"/>
  <c r="J284" i="4"/>
  <c r="P274" i="3"/>
  <c r="U274" i="3"/>
  <c r="V277" i="4"/>
  <c r="Y288" i="4"/>
  <c r="J274" i="3"/>
  <c r="AA279" i="4"/>
  <c r="L271" i="3"/>
  <c r="AA277" i="4"/>
  <c r="U279" i="4"/>
  <c r="AA274" i="3"/>
  <c r="J268" i="3"/>
  <c r="X290" i="4"/>
  <c r="Z288" i="4"/>
  <c r="J271" i="3"/>
  <c r="K272" i="3"/>
  <c r="AA284" i="4"/>
  <c r="Z284" i="4"/>
  <c r="J290" i="4"/>
  <c r="Y273" i="3"/>
  <c r="M270" i="3"/>
  <c r="X269" i="3"/>
  <c r="Q268" i="3"/>
  <c r="P268" i="3"/>
  <c r="U281" i="4"/>
  <c r="U268" i="3"/>
  <c r="AA273" i="3"/>
  <c r="Z268" i="3"/>
  <c r="L269" i="3"/>
  <c r="O269" i="3"/>
  <c r="P271" i="3"/>
  <c r="K271" i="3"/>
  <c r="U271" i="3"/>
  <c r="J275" i="4"/>
  <c r="Z277" i="4"/>
  <c r="AA286" i="4"/>
  <c r="M269" i="3"/>
  <c r="M274" i="3"/>
  <c r="K270" i="3"/>
  <c r="W272" i="3"/>
  <c r="N272" i="3"/>
  <c r="U290" i="4"/>
  <c r="AA271" i="3"/>
  <c r="Q274" i="3"/>
  <c r="X286" i="4"/>
  <c r="Y279" i="4"/>
  <c r="Y281" i="4"/>
  <c r="V279" i="4"/>
  <c r="J286" i="4"/>
  <c r="J277" i="4"/>
  <c r="J279" i="4"/>
  <c r="W279" i="4"/>
  <c r="Y270" i="3"/>
  <c r="J273" i="3"/>
  <c r="L270" i="3"/>
  <c r="V288" i="4"/>
  <c r="X275" i="4"/>
  <c r="L268" i="3"/>
  <c r="L267" i="3"/>
  <c r="N271" i="3"/>
  <c r="Z273" i="3"/>
  <c r="L274" i="3"/>
  <c r="V290" i="4"/>
  <c r="O270" i="3"/>
  <c r="Z279" i="4"/>
  <c r="X279" i="4"/>
  <c r="Q271" i="3"/>
  <c r="Z286" i="4"/>
  <c r="Q270" i="3"/>
  <c r="V273" i="3"/>
  <c r="M271" i="3"/>
  <c r="AA267" i="3"/>
  <c r="X271" i="3"/>
  <c r="Z267" i="3"/>
  <c r="Y267" i="3"/>
  <c r="V271" i="3"/>
  <c r="J281" i="4"/>
  <c r="X273" i="3"/>
  <c r="AA281" i="4"/>
  <c r="X267" i="3"/>
  <c r="P272" i="3"/>
  <c r="U269" i="3"/>
  <c r="AA268" i="3"/>
  <c r="O271" i="3"/>
  <c r="S284" i="4" l="1"/>
  <c r="S273" i="3"/>
  <c r="T279" i="4"/>
  <c r="R279" i="4"/>
  <c r="T288" i="4"/>
  <c r="R288" i="4"/>
  <c r="R290" i="4"/>
  <c r="T290" i="4"/>
  <c r="S275" i="4"/>
  <c r="T284" i="4"/>
  <c r="R284" i="4"/>
  <c r="I273" i="3"/>
  <c r="S279" i="4"/>
  <c r="R271" i="3"/>
  <c r="T271" i="3"/>
  <c r="S288" i="4"/>
  <c r="I269" i="3"/>
  <c r="T270" i="3"/>
  <c r="R270" i="3"/>
  <c r="R281" i="4"/>
  <c r="T281" i="4"/>
  <c r="R268" i="3"/>
  <c r="T268" i="3"/>
  <c r="S267" i="3"/>
  <c r="I274" i="3"/>
  <c r="S274" i="3"/>
  <c r="I272" i="3"/>
  <c r="S272" i="3"/>
  <c r="I277" i="4"/>
  <c r="T273" i="3"/>
  <c r="R273" i="3"/>
  <c r="I279" i="4"/>
  <c r="S271" i="3"/>
  <c r="R269" i="3"/>
  <c r="T269" i="3"/>
  <c r="S290" i="4"/>
  <c r="S281" i="4"/>
  <c r="I281" i="4"/>
  <c r="S268" i="3"/>
  <c r="I267" i="3"/>
  <c r="I275" i="4"/>
  <c r="R277" i="4"/>
  <c r="T277" i="4"/>
  <c r="S270" i="3"/>
  <c r="I268" i="3"/>
  <c r="R275" i="4"/>
  <c r="T275" i="4"/>
  <c r="T274" i="3"/>
  <c r="R274" i="3"/>
  <c r="R286" i="4"/>
  <c r="T286" i="4"/>
  <c r="T272" i="3"/>
  <c r="R272" i="3"/>
  <c r="S277" i="4"/>
  <c r="I271" i="3"/>
  <c r="S269" i="3"/>
  <c r="I270" i="3"/>
  <c r="R267" i="3"/>
  <c r="T267" i="3"/>
  <c r="S286" i="4"/>
  <c r="G300" i="4"/>
  <c r="G302" i="4"/>
  <c r="G304" i="4"/>
  <c r="G306" i="4"/>
  <c r="G291" i="4"/>
  <c r="G295" i="4"/>
  <c r="G293" i="4"/>
  <c r="G297" i="4"/>
  <c r="G290" i="3"/>
  <c r="G288" i="3"/>
  <c r="G286" i="3"/>
  <c r="G284" i="3"/>
  <c r="G289" i="3"/>
  <c r="G287" i="3"/>
  <c r="G285" i="3"/>
  <c r="G283" i="3"/>
  <c r="N277" i="3"/>
  <c r="J281" i="3"/>
  <c r="X296" i="4"/>
  <c r="Z294" i="4"/>
  <c r="P282" i="3"/>
  <c r="Q279" i="3"/>
  <c r="P276" i="3"/>
  <c r="U296" i="4"/>
  <c r="Z296" i="4"/>
  <c r="J278" i="3"/>
  <c r="W294" i="4"/>
  <c r="AA283" i="4"/>
  <c r="Z281" i="3"/>
  <c r="W276" i="3"/>
  <c r="X287" i="4"/>
  <c r="Z283" i="4"/>
  <c r="AA285" i="4"/>
  <c r="J296" i="4"/>
  <c r="P279" i="3"/>
  <c r="AA281" i="3"/>
  <c r="AA276" i="3"/>
  <c r="V276" i="3"/>
  <c r="V287" i="4"/>
  <c r="J279" i="3"/>
  <c r="W289" i="4"/>
  <c r="Z279" i="3"/>
  <c r="X281" i="3"/>
  <c r="Y278" i="3"/>
  <c r="U287" i="4"/>
  <c r="V279" i="3"/>
  <c r="O278" i="3"/>
  <c r="Y282" i="3"/>
  <c r="U298" i="4"/>
  <c r="W275" i="3"/>
  <c r="U275" i="3"/>
  <c r="K275" i="3"/>
  <c r="L282" i="3"/>
  <c r="AA294" i="4"/>
  <c r="Z276" i="3"/>
  <c r="Y285" i="4"/>
  <c r="L280" i="3"/>
  <c r="M277" i="3"/>
  <c r="O280" i="3"/>
  <c r="X294" i="4"/>
  <c r="L279" i="3"/>
  <c r="X289" i="4"/>
  <c r="K277" i="3"/>
  <c r="Y277" i="3"/>
  <c r="X279" i="3"/>
  <c r="V282" i="3"/>
  <c r="J285" i="4"/>
  <c r="V298" i="4"/>
  <c r="Q280" i="3"/>
  <c r="Y280" i="3"/>
  <c r="V292" i="4"/>
  <c r="J283" i="4"/>
  <c r="M281" i="3"/>
  <c r="U282" i="3"/>
  <c r="O276" i="3"/>
  <c r="X292" i="4"/>
  <c r="W278" i="3"/>
  <c r="Z282" i="3"/>
  <c r="W277" i="3"/>
  <c r="O275" i="3"/>
  <c r="V281" i="3"/>
  <c r="AA292" i="4"/>
  <c r="J276" i="3"/>
  <c r="AA275" i="3"/>
  <c r="Q275" i="3"/>
  <c r="X275" i="3"/>
  <c r="J280" i="3"/>
  <c r="Y279" i="3"/>
  <c r="W292" i="4"/>
  <c r="AA280" i="3"/>
  <c r="X285" i="4"/>
  <c r="J282" i="3"/>
  <c r="L277" i="3"/>
  <c r="X276" i="3"/>
  <c r="V280" i="3"/>
  <c r="Y298" i="4"/>
  <c r="K276" i="3"/>
  <c r="P280" i="3"/>
  <c r="X298" i="4"/>
  <c r="U292" i="4"/>
  <c r="M282" i="3"/>
  <c r="U289" i="4"/>
  <c r="Q281" i="3"/>
  <c r="W296" i="4"/>
  <c r="AA287" i="4"/>
  <c r="V277" i="3"/>
  <c r="Q278" i="3"/>
  <c r="O282" i="3"/>
  <c r="X283" i="4"/>
  <c r="N281" i="3"/>
  <c r="J292" i="4"/>
  <c r="Y276" i="3"/>
  <c r="X278" i="3"/>
  <c r="Y296" i="4"/>
  <c r="N276" i="3"/>
  <c r="O279" i="3"/>
  <c r="Y289" i="4"/>
  <c r="M276" i="3"/>
  <c r="K278" i="3"/>
  <c r="J287" i="4"/>
  <c r="U278" i="3"/>
  <c r="AA277" i="3"/>
  <c r="W298" i="4"/>
  <c r="W282" i="3"/>
  <c r="N275" i="3"/>
  <c r="V294" i="4"/>
  <c r="U285" i="4"/>
  <c r="X277" i="3"/>
  <c r="L275" i="3"/>
  <c r="M278" i="3"/>
  <c r="Y294" i="4"/>
  <c r="P275" i="3"/>
  <c r="Z275" i="3"/>
  <c r="Z278" i="3"/>
  <c r="Z292" i="4"/>
  <c r="Z289" i="4"/>
  <c r="Y292" i="4"/>
  <c r="U280" i="3"/>
  <c r="Y283" i="4"/>
  <c r="M275" i="3"/>
  <c r="V275" i="3"/>
  <c r="U279" i="3"/>
  <c r="M279" i="3"/>
  <c r="X282" i="3"/>
  <c r="L278" i="3"/>
  <c r="W283" i="4"/>
  <c r="X280" i="3"/>
  <c r="AA278" i="3"/>
  <c r="V296" i="4"/>
  <c r="J277" i="3"/>
  <c r="Y287" i="4"/>
  <c r="AA296" i="4"/>
  <c r="W281" i="3"/>
  <c r="Q276" i="3"/>
  <c r="U277" i="3"/>
  <c r="O277" i="3"/>
  <c r="O281" i="3"/>
  <c r="AA289" i="4"/>
  <c r="V285" i="4"/>
  <c r="AA298" i="4"/>
  <c r="V278" i="3"/>
  <c r="J298" i="4"/>
  <c r="W287" i="4"/>
  <c r="W280" i="3"/>
  <c r="U281" i="3"/>
  <c r="L276" i="3"/>
  <c r="K282" i="3"/>
  <c r="P277" i="3"/>
  <c r="P278" i="3"/>
  <c r="Z280" i="3"/>
  <c r="V283" i="4"/>
  <c r="J294" i="4"/>
  <c r="Y275" i="3"/>
  <c r="U276" i="3"/>
  <c r="V289" i="4"/>
  <c r="N278" i="3"/>
  <c r="Z298" i="4"/>
  <c r="P281" i="3"/>
  <c r="N282" i="3"/>
  <c r="Z285" i="4"/>
  <c r="N279" i="3"/>
  <c r="U294" i="4"/>
  <c r="U283" i="4"/>
  <c r="Z277" i="3"/>
  <c r="W279" i="3"/>
  <c r="Y281" i="3"/>
  <c r="W285" i="4"/>
  <c r="J289" i="4"/>
  <c r="Z287" i="4"/>
  <c r="M280" i="3"/>
  <c r="K280" i="3"/>
  <c r="N280" i="3"/>
  <c r="K279" i="3"/>
  <c r="AA282" i="3"/>
  <c r="Q282" i="3"/>
  <c r="L281" i="3"/>
  <c r="J275" i="3"/>
  <c r="Q277" i="3"/>
  <c r="K281" i="3"/>
  <c r="AA279" i="3"/>
  <c r="I276" i="3" l="1"/>
  <c r="S276" i="3"/>
  <c r="R296" i="4"/>
  <c r="T296" i="4"/>
  <c r="T294" i="4"/>
  <c r="R294" i="4"/>
  <c r="I280" i="3"/>
  <c r="R276" i="3"/>
  <c r="T276" i="3"/>
  <c r="S296" i="4"/>
  <c r="I296" i="4"/>
  <c r="S278" i="3"/>
  <c r="I279" i="3"/>
  <c r="R279" i="3"/>
  <c r="T279" i="3"/>
  <c r="S294" i="4"/>
  <c r="S280" i="3"/>
  <c r="R283" i="4"/>
  <c r="T283" i="4"/>
  <c r="R292" i="4"/>
  <c r="T292" i="4"/>
  <c r="S281" i="3"/>
  <c r="T281" i="3"/>
  <c r="R281" i="3"/>
  <c r="T289" i="4"/>
  <c r="R289" i="4"/>
  <c r="T298" i="4"/>
  <c r="R298" i="4"/>
  <c r="S275" i="3"/>
  <c r="R287" i="4"/>
  <c r="T287" i="4"/>
  <c r="I294" i="4"/>
  <c r="S292" i="4"/>
  <c r="I281" i="3"/>
  <c r="I282" i="3"/>
  <c r="S289" i="4"/>
  <c r="S298" i="4"/>
  <c r="I275" i="3"/>
  <c r="I278" i="3"/>
  <c r="R280" i="3"/>
  <c r="T280" i="3"/>
  <c r="S283" i="4"/>
  <c r="I292" i="4"/>
  <c r="S282" i="3"/>
  <c r="S285" i="4"/>
  <c r="R285" i="4"/>
  <c r="T285" i="4"/>
  <c r="R277" i="3"/>
  <c r="T277" i="3"/>
  <c r="I277" i="3"/>
  <c r="S287" i="4"/>
  <c r="T278" i="3"/>
  <c r="R278" i="3"/>
  <c r="S279" i="3"/>
  <c r="T282" i="3"/>
  <c r="R282" i="3"/>
  <c r="I298" i="4"/>
  <c r="R275" i="3"/>
  <c r="T275" i="3"/>
  <c r="S277" i="3"/>
  <c r="G305" i="4"/>
  <c r="G301" i="4"/>
  <c r="G303" i="4"/>
  <c r="G299" i="4"/>
  <c r="G314" i="4"/>
  <c r="G312" i="4"/>
  <c r="G310" i="4"/>
  <c r="G308" i="4"/>
  <c r="G291" i="3"/>
  <c r="G293" i="3"/>
  <c r="G295" i="3"/>
  <c r="G297" i="3"/>
  <c r="G292" i="3"/>
  <c r="G294" i="3"/>
  <c r="G296" i="3"/>
  <c r="G298" i="3"/>
  <c r="U285" i="3"/>
  <c r="M284" i="3"/>
  <c r="U291" i="4"/>
  <c r="V285" i="3"/>
  <c r="V291" i="4"/>
  <c r="X287" i="3"/>
  <c r="V286" i="3"/>
  <c r="W302" i="4"/>
  <c r="M283" i="3"/>
  <c r="Y306" i="4"/>
  <c r="P290" i="3"/>
  <c r="W285" i="3"/>
  <c r="Z283" i="3"/>
  <c r="P284" i="3"/>
  <c r="AA285" i="3"/>
  <c r="K285" i="3"/>
  <c r="W297" i="4"/>
  <c r="W287" i="3"/>
  <c r="Y290" i="3"/>
  <c r="X288" i="3"/>
  <c r="V287" i="3"/>
  <c r="Y300" i="4"/>
  <c r="X284" i="3"/>
  <c r="Q283" i="3"/>
  <c r="N283" i="3"/>
  <c r="K290" i="3"/>
  <c r="X285" i="3"/>
  <c r="J283" i="3"/>
  <c r="W295" i="4"/>
  <c r="J287" i="3"/>
  <c r="O286" i="3"/>
  <c r="W300" i="4"/>
  <c r="X291" i="4"/>
  <c r="N289" i="3"/>
  <c r="U288" i="3"/>
  <c r="Z285" i="3"/>
  <c r="U306" i="4"/>
  <c r="J297" i="4"/>
  <c r="O290" i="3"/>
  <c r="N285" i="3"/>
  <c r="K284" i="3"/>
  <c r="W288" i="3"/>
  <c r="N288" i="3"/>
  <c r="U304" i="4"/>
  <c r="U286" i="3"/>
  <c r="K288" i="3"/>
  <c r="Y284" i="3"/>
  <c r="K283" i="3"/>
  <c r="X302" i="4"/>
  <c r="W304" i="4"/>
  <c r="X300" i="4"/>
  <c r="Q286" i="3"/>
  <c r="Y286" i="3"/>
  <c r="X306" i="4"/>
  <c r="J286" i="3"/>
  <c r="X283" i="3"/>
  <c r="M289" i="3"/>
  <c r="Z284" i="3"/>
  <c r="J288" i="3"/>
  <c r="U287" i="3"/>
  <c r="W284" i="3"/>
  <c r="U283" i="3"/>
  <c r="U293" i="4"/>
  <c r="AA290" i="3"/>
  <c r="V289" i="3"/>
  <c r="J290" i="3"/>
  <c r="Z295" i="4"/>
  <c r="J304" i="4"/>
  <c r="L286" i="3"/>
  <c r="Z289" i="3"/>
  <c r="K289" i="3"/>
  <c r="Z286" i="3"/>
  <c r="K286" i="3"/>
  <c r="Q284" i="3"/>
  <c r="Q290" i="3"/>
  <c r="V284" i="3"/>
  <c r="O287" i="3"/>
  <c r="V304" i="4"/>
  <c r="J289" i="3"/>
  <c r="M290" i="3"/>
  <c r="Q288" i="3"/>
  <c r="O284" i="3"/>
  <c r="AA293" i="4"/>
  <c r="O285" i="3"/>
  <c r="Z306" i="4"/>
  <c r="AA291" i="4"/>
  <c r="X304" i="4"/>
  <c r="J285" i="3"/>
  <c r="Y297" i="4"/>
  <c r="AA289" i="3"/>
  <c r="V290" i="3"/>
  <c r="V288" i="3"/>
  <c r="P283" i="3"/>
  <c r="V306" i="4"/>
  <c r="Y289" i="3"/>
  <c r="W290" i="3"/>
  <c r="W293" i="4"/>
  <c r="L283" i="3"/>
  <c r="V295" i="4"/>
  <c r="AA283" i="3"/>
  <c r="AA287" i="3"/>
  <c r="O289" i="3"/>
  <c r="J284" i="3"/>
  <c r="Z300" i="4"/>
  <c r="J291" i="4"/>
  <c r="W283" i="3"/>
  <c r="W289" i="3"/>
  <c r="AA300" i="4"/>
  <c r="X289" i="3"/>
  <c r="Z290" i="3"/>
  <c r="U300" i="4"/>
  <c r="L285" i="3"/>
  <c r="Y285" i="3"/>
  <c r="W306" i="4"/>
  <c r="L288" i="3"/>
  <c r="Z297" i="4"/>
  <c r="X286" i="3"/>
  <c r="X293" i="4"/>
  <c r="J302" i="4"/>
  <c r="V293" i="4"/>
  <c r="M288" i="3"/>
  <c r="Y304" i="4"/>
  <c r="P286" i="3"/>
  <c r="V302" i="4"/>
  <c r="U284" i="3"/>
  <c r="J293" i="4"/>
  <c r="Z304" i="4"/>
  <c r="Z288" i="3"/>
  <c r="P285" i="3"/>
  <c r="U290" i="3"/>
  <c r="Y293" i="4"/>
  <c r="K287" i="3"/>
  <c r="M287" i="3"/>
  <c r="AA302" i="4"/>
  <c r="W291" i="4"/>
  <c r="J306" i="4"/>
  <c r="O288" i="3"/>
  <c r="U295" i="4"/>
  <c r="Y288" i="3"/>
  <c r="AA295" i="4"/>
  <c r="V300" i="4"/>
  <c r="U297" i="4"/>
  <c r="J295" i="4"/>
  <c r="Z293" i="4"/>
  <c r="AA286" i="3"/>
  <c r="N287" i="3"/>
  <c r="Z291" i="4"/>
  <c r="V283" i="3"/>
  <c r="O283" i="3"/>
  <c r="P288" i="3"/>
  <c r="AA304" i="4"/>
  <c r="Z287" i="3"/>
  <c r="L289" i="3"/>
  <c r="M286" i="3"/>
  <c r="V297" i="4"/>
  <c r="Q289" i="3"/>
  <c r="N284" i="3"/>
  <c r="AA306" i="4"/>
  <c r="J300" i="4"/>
  <c r="AA297" i="4"/>
  <c r="P289" i="3"/>
  <c r="AA284" i="3"/>
  <c r="W286" i="3"/>
  <c r="Q285" i="3"/>
  <c r="U302" i="4"/>
  <c r="Y302" i="4"/>
  <c r="Y295" i="4"/>
  <c r="L287" i="3"/>
  <c r="L284" i="3"/>
  <c r="Z302" i="4"/>
  <c r="M285" i="3"/>
  <c r="Y283" i="3"/>
  <c r="N290" i="3"/>
  <c r="U289" i="3"/>
  <c r="X290" i="3"/>
  <c r="Y287" i="3"/>
  <c r="X295" i="4"/>
  <c r="Q287" i="3"/>
  <c r="L290" i="3"/>
  <c r="Y291" i="4"/>
  <c r="P287" i="3"/>
  <c r="X297" i="4"/>
  <c r="N286" i="3"/>
  <c r="AA288" i="3"/>
  <c r="S300" i="4" l="1"/>
  <c r="T291" i="4"/>
  <c r="R291" i="4"/>
  <c r="S291" i="4"/>
  <c r="T302" i="4"/>
  <c r="R302" i="4"/>
  <c r="I306" i="4"/>
  <c r="R300" i="4"/>
  <c r="T300" i="4"/>
  <c r="I291" i="4"/>
  <c r="S302" i="4"/>
  <c r="T295" i="4"/>
  <c r="R295" i="4"/>
  <c r="I295" i="4"/>
  <c r="R286" i="3"/>
  <c r="T286" i="3"/>
  <c r="T306" i="4"/>
  <c r="R306" i="4"/>
  <c r="S297" i="4"/>
  <c r="I297" i="4"/>
  <c r="S284" i="3"/>
  <c r="R283" i="3"/>
  <c r="T283" i="3"/>
  <c r="R285" i="3"/>
  <c r="T285" i="3"/>
  <c r="I302" i="4"/>
  <c r="S295" i="4"/>
  <c r="S288" i="3"/>
  <c r="T304" i="4"/>
  <c r="R304" i="4"/>
  <c r="S306" i="4"/>
  <c r="S283" i="3"/>
  <c r="T289" i="3"/>
  <c r="R289" i="3"/>
  <c r="R287" i="3"/>
  <c r="T287" i="3"/>
  <c r="I300" i="4"/>
  <c r="R290" i="3"/>
  <c r="T290" i="3"/>
  <c r="S286" i="3"/>
  <c r="S304" i="4"/>
  <c r="I304" i="4"/>
  <c r="S289" i="3"/>
  <c r="R293" i="4"/>
  <c r="T293" i="4"/>
  <c r="S285" i="3"/>
  <c r="S290" i="3"/>
  <c r="T288" i="3"/>
  <c r="R288" i="3"/>
  <c r="R297" i="4"/>
  <c r="T297" i="4"/>
  <c r="R284" i="3"/>
  <c r="T284" i="3"/>
  <c r="S287" i="3"/>
  <c r="S293" i="4"/>
  <c r="I293" i="4"/>
  <c r="G316" i="4"/>
  <c r="G318" i="4"/>
  <c r="G320" i="4"/>
  <c r="G322" i="4"/>
  <c r="G307" i="4"/>
  <c r="G311" i="4"/>
  <c r="G309" i="4"/>
  <c r="G313" i="4"/>
  <c r="G306" i="3"/>
  <c r="G304" i="3"/>
  <c r="G302" i="3"/>
  <c r="G300" i="3"/>
  <c r="G305" i="3"/>
  <c r="G303" i="3"/>
  <c r="G301" i="3"/>
  <c r="G299" i="3"/>
  <c r="N294" i="3"/>
  <c r="AA303" i="4"/>
  <c r="V297" i="3"/>
  <c r="X292" i="3"/>
  <c r="P293" i="3"/>
  <c r="U314" i="4"/>
  <c r="L293" i="3"/>
  <c r="V308" i="4"/>
  <c r="AA301" i="4"/>
  <c r="AA312" i="4"/>
  <c r="V312" i="4"/>
  <c r="Y294" i="3"/>
  <c r="J310" i="4"/>
  <c r="AA292" i="3"/>
  <c r="L295" i="3"/>
  <c r="J305" i="4"/>
  <c r="J312" i="4"/>
  <c r="AA308" i="4"/>
  <c r="X291" i="3"/>
  <c r="X303" i="4"/>
  <c r="V294" i="3"/>
  <c r="V292" i="3"/>
  <c r="O292" i="3"/>
  <c r="N296" i="3"/>
  <c r="W298" i="3"/>
  <c r="X297" i="3"/>
  <c r="K295" i="3"/>
  <c r="O295" i="3"/>
  <c r="U312" i="4"/>
  <c r="V299" i="4"/>
  <c r="J299" i="4"/>
  <c r="X299" i="4"/>
  <c r="K298" i="3"/>
  <c r="W310" i="4"/>
  <c r="Z292" i="3"/>
  <c r="X295" i="3"/>
  <c r="Y303" i="4"/>
  <c r="J292" i="3"/>
  <c r="L294" i="3"/>
  <c r="K291" i="3"/>
  <c r="Y296" i="3"/>
  <c r="X301" i="4"/>
  <c r="U297" i="3"/>
  <c r="V301" i="4"/>
  <c r="Y299" i="4"/>
  <c r="O293" i="3"/>
  <c r="V314" i="4"/>
  <c r="V305" i="4"/>
  <c r="Q297" i="3"/>
  <c r="W294" i="3"/>
  <c r="W291" i="3"/>
  <c r="U293" i="3"/>
  <c r="N297" i="3"/>
  <c r="Q298" i="3"/>
  <c r="U296" i="3"/>
  <c r="K293" i="3"/>
  <c r="P296" i="3"/>
  <c r="J295" i="3"/>
  <c r="P294" i="3"/>
  <c r="J298" i="3"/>
  <c r="AA293" i="3"/>
  <c r="U291" i="3"/>
  <c r="P298" i="3"/>
  <c r="Y295" i="3"/>
  <c r="M291" i="3"/>
  <c r="Z314" i="4"/>
  <c r="Y305" i="4"/>
  <c r="Y301" i="4"/>
  <c r="W301" i="4"/>
  <c r="K296" i="3"/>
  <c r="V298" i="3"/>
  <c r="W292" i="3"/>
  <c r="AA294" i="3"/>
  <c r="M297" i="3"/>
  <c r="Y312" i="4"/>
  <c r="W293" i="3"/>
  <c r="Q291" i="3"/>
  <c r="J296" i="3"/>
  <c r="Q295" i="3"/>
  <c r="J293" i="3"/>
  <c r="P295" i="3"/>
  <c r="J301" i="4"/>
  <c r="L296" i="3"/>
  <c r="Y297" i="3"/>
  <c r="AA298" i="3"/>
  <c r="Q292" i="3"/>
  <c r="J294" i="3"/>
  <c r="Y310" i="4"/>
  <c r="Z312" i="4"/>
  <c r="M293" i="3"/>
  <c r="O296" i="3"/>
  <c r="Q296" i="3"/>
  <c r="N298" i="3"/>
  <c r="M296" i="3"/>
  <c r="M294" i="3"/>
  <c r="AA299" i="4"/>
  <c r="N291" i="3"/>
  <c r="Y298" i="3"/>
  <c r="N293" i="3"/>
  <c r="L291" i="3"/>
  <c r="X308" i="4"/>
  <c r="K297" i="3"/>
  <c r="O291" i="3"/>
  <c r="V291" i="3"/>
  <c r="W308" i="4"/>
  <c r="J297" i="3"/>
  <c r="Z310" i="4"/>
  <c r="Z299" i="4"/>
  <c r="V293" i="3"/>
  <c r="Y292" i="3"/>
  <c r="Z301" i="4"/>
  <c r="U308" i="4"/>
  <c r="J314" i="4"/>
  <c r="M298" i="3"/>
  <c r="U295" i="3"/>
  <c r="X293" i="3"/>
  <c r="Z298" i="3"/>
  <c r="L297" i="3"/>
  <c r="J308" i="4"/>
  <c r="AA296" i="3"/>
  <c r="M295" i="3"/>
  <c r="O297" i="3"/>
  <c r="N295" i="3"/>
  <c r="Z294" i="3"/>
  <c r="Z305" i="4"/>
  <c r="X294" i="3"/>
  <c r="N292" i="3"/>
  <c r="X298" i="3"/>
  <c r="Z295" i="3"/>
  <c r="P297" i="3"/>
  <c r="O294" i="3"/>
  <c r="Z297" i="3"/>
  <c r="Y291" i="3"/>
  <c r="W297" i="3"/>
  <c r="X310" i="4"/>
  <c r="X312" i="4"/>
  <c r="X305" i="4"/>
  <c r="L298" i="3"/>
  <c r="V303" i="4"/>
  <c r="U301" i="4"/>
  <c r="J303" i="4"/>
  <c r="W303" i="4"/>
  <c r="M292" i="3"/>
  <c r="V310" i="4"/>
  <c r="U303" i="4"/>
  <c r="K294" i="3"/>
  <c r="AA305" i="4"/>
  <c r="U298" i="3"/>
  <c r="W295" i="3"/>
  <c r="P291" i="3"/>
  <c r="U292" i="3"/>
  <c r="Z293" i="3"/>
  <c r="AA295" i="3"/>
  <c r="L292" i="3"/>
  <c r="Z291" i="3"/>
  <c r="P292" i="3"/>
  <c r="Y308" i="4"/>
  <c r="Z303" i="4"/>
  <c r="Q294" i="3"/>
  <c r="Z308" i="4"/>
  <c r="Q293" i="3"/>
  <c r="X296" i="3"/>
  <c r="Y314" i="4"/>
  <c r="J291" i="3"/>
  <c r="W299" i="4"/>
  <c r="U310" i="4"/>
  <c r="AA314" i="4"/>
  <c r="AA310" i="4"/>
  <c r="V295" i="3"/>
  <c r="V296" i="3"/>
  <c r="X314" i="4"/>
  <c r="Z296" i="3"/>
  <c r="AA297" i="3"/>
  <c r="W314" i="4"/>
  <c r="AA291" i="3"/>
  <c r="Y293" i="3"/>
  <c r="K292" i="3"/>
  <c r="U305" i="4"/>
  <c r="U294" i="3"/>
  <c r="O298" i="3"/>
  <c r="W312" i="4"/>
  <c r="W296" i="3"/>
  <c r="W305" i="4"/>
  <c r="U299" i="4"/>
  <c r="S314" i="4" l="1"/>
  <c r="T303" i="4"/>
  <c r="R303" i="4"/>
  <c r="R293" i="3"/>
  <c r="T293" i="3"/>
  <c r="T310" i="4"/>
  <c r="R310" i="4"/>
  <c r="R308" i="4"/>
  <c r="T308" i="4"/>
  <c r="T314" i="4"/>
  <c r="R314" i="4"/>
  <c r="S303" i="4"/>
  <c r="S295" i="3"/>
  <c r="S310" i="4"/>
  <c r="I310" i="4"/>
  <c r="R299" i="4"/>
  <c r="T299" i="4"/>
  <c r="S308" i="4"/>
  <c r="I297" i="3"/>
  <c r="R298" i="3"/>
  <c r="T298" i="3"/>
  <c r="R305" i="4"/>
  <c r="T305" i="4"/>
  <c r="I292" i="3"/>
  <c r="S301" i="4"/>
  <c r="I301" i="4"/>
  <c r="R312" i="4"/>
  <c r="T312" i="4"/>
  <c r="T294" i="3"/>
  <c r="R294" i="3"/>
  <c r="I296" i="3"/>
  <c r="S293" i="3"/>
  <c r="R295" i="3"/>
  <c r="T295" i="3"/>
  <c r="I295" i="3"/>
  <c r="S299" i="4"/>
  <c r="S297" i="3"/>
  <c r="S305" i="4"/>
  <c r="I291" i="3"/>
  <c r="S291" i="3"/>
  <c r="R292" i="3"/>
  <c r="T292" i="3"/>
  <c r="S312" i="4"/>
  <c r="I294" i="3"/>
  <c r="I303" i="4"/>
  <c r="R296" i="3"/>
  <c r="T296" i="3"/>
  <c r="I308" i="4"/>
  <c r="R297" i="3"/>
  <c r="T297" i="3"/>
  <c r="I298" i="3"/>
  <c r="I293" i="3"/>
  <c r="I314" i="4"/>
  <c r="S296" i="3"/>
  <c r="I299" i="4"/>
  <c r="S298" i="3"/>
  <c r="I305" i="4"/>
  <c r="R291" i="3"/>
  <c r="T291" i="3"/>
  <c r="S292" i="3"/>
  <c r="R301" i="4"/>
  <c r="T301" i="4"/>
  <c r="I312" i="4"/>
  <c r="S294" i="3"/>
  <c r="G321" i="4"/>
  <c r="G317" i="4"/>
  <c r="G319" i="4"/>
  <c r="G315" i="4"/>
  <c r="G330" i="4"/>
  <c r="G328" i="4"/>
  <c r="G326" i="4"/>
  <c r="G324" i="4"/>
  <c r="G307" i="3"/>
  <c r="G309" i="3"/>
  <c r="G311" i="3"/>
  <c r="G313" i="3"/>
  <c r="G308" i="3"/>
  <c r="G310" i="3"/>
  <c r="G312" i="3"/>
  <c r="G314" i="3"/>
  <c r="U306" i="3"/>
  <c r="O306" i="3"/>
  <c r="Q303" i="3"/>
  <c r="K300" i="3"/>
  <c r="U320" i="4"/>
  <c r="N306" i="3"/>
  <c r="Z322" i="4"/>
  <c r="J302" i="3"/>
  <c r="K303" i="3"/>
  <c r="AA309" i="4"/>
  <c r="Z313" i="4"/>
  <c r="Q304" i="3"/>
  <c r="AA306" i="3"/>
  <c r="V313" i="4"/>
  <c r="U299" i="3"/>
  <c r="X320" i="4"/>
  <c r="K304" i="3"/>
  <c r="X313" i="4"/>
  <c r="N299" i="3"/>
  <c r="Z300" i="3"/>
  <c r="V302" i="3"/>
  <c r="M301" i="3"/>
  <c r="U301" i="3"/>
  <c r="P305" i="3"/>
  <c r="O303" i="3"/>
  <c r="O300" i="3"/>
  <c r="AA300" i="3"/>
  <c r="N303" i="3"/>
  <c r="J303" i="3"/>
  <c r="Z306" i="3"/>
  <c r="M304" i="3"/>
  <c r="Z305" i="3"/>
  <c r="AA316" i="4"/>
  <c r="V305" i="3"/>
  <c r="Q302" i="3"/>
  <c r="U322" i="4"/>
  <c r="AA299" i="3"/>
  <c r="V307" i="4"/>
  <c r="Z318" i="4"/>
  <c r="N302" i="3"/>
  <c r="L304" i="3"/>
  <c r="W320" i="4"/>
  <c r="V300" i="3"/>
  <c r="Z311" i="4"/>
  <c r="J309" i="4"/>
  <c r="X309" i="4"/>
  <c r="Z309" i="4"/>
  <c r="Q300" i="3"/>
  <c r="U316" i="4"/>
  <c r="U300" i="3"/>
  <c r="X300" i="3"/>
  <c r="U313" i="4"/>
  <c r="J301" i="3"/>
  <c r="Y318" i="4"/>
  <c r="W301" i="3"/>
  <c r="AA303" i="3"/>
  <c r="V306" i="3"/>
  <c r="U309" i="4"/>
  <c r="J313" i="4"/>
  <c r="O301" i="3"/>
  <c r="J305" i="3"/>
  <c r="Y302" i="3"/>
  <c r="V322" i="4"/>
  <c r="Z302" i="3"/>
  <c r="Q306" i="3"/>
  <c r="X307" i="4"/>
  <c r="U311" i="4"/>
  <c r="Z301" i="3"/>
  <c r="X316" i="4"/>
  <c r="V311" i="4"/>
  <c r="M306" i="3"/>
  <c r="J316" i="4"/>
  <c r="M300" i="3"/>
  <c r="P302" i="3"/>
  <c r="O302" i="3"/>
  <c r="K299" i="3"/>
  <c r="W316" i="4"/>
  <c r="U302" i="3"/>
  <c r="Q305" i="3"/>
  <c r="J318" i="4"/>
  <c r="J304" i="3"/>
  <c r="AA304" i="3"/>
  <c r="AA318" i="4"/>
  <c r="K302" i="3"/>
  <c r="V316" i="4"/>
  <c r="AA302" i="3"/>
  <c r="P306" i="3"/>
  <c r="N304" i="3"/>
  <c r="N305" i="3"/>
  <c r="M303" i="3"/>
  <c r="X302" i="3"/>
  <c r="X299" i="3"/>
  <c r="Y305" i="3"/>
  <c r="V320" i="4"/>
  <c r="X305" i="3"/>
  <c r="X311" i="4"/>
  <c r="Y300" i="3"/>
  <c r="W302" i="3"/>
  <c r="V309" i="4"/>
  <c r="Z307" i="4"/>
  <c r="L306" i="3"/>
  <c r="Y311" i="4"/>
  <c r="L302" i="3"/>
  <c r="Y316" i="4"/>
  <c r="J306" i="3"/>
  <c r="W311" i="4"/>
  <c r="AA322" i="4"/>
  <c r="K305" i="3"/>
  <c r="Y309" i="4"/>
  <c r="J307" i="4"/>
  <c r="V299" i="3"/>
  <c r="J311" i="4"/>
  <c r="W309" i="4"/>
  <c r="P299" i="3"/>
  <c r="J322" i="4"/>
  <c r="X303" i="3"/>
  <c r="J299" i="3"/>
  <c r="K306" i="3"/>
  <c r="Q301" i="3"/>
  <c r="L299" i="3"/>
  <c r="V301" i="3"/>
  <c r="W322" i="4"/>
  <c r="L305" i="3"/>
  <c r="L301" i="3"/>
  <c r="AA307" i="4"/>
  <c r="Z304" i="3"/>
  <c r="AA311" i="4"/>
  <c r="P304" i="3"/>
  <c r="W299" i="3"/>
  <c r="U303" i="3"/>
  <c r="J320" i="4"/>
  <c r="Z320" i="4"/>
  <c r="L303" i="3"/>
  <c r="Y307" i="4"/>
  <c r="K301" i="3"/>
  <c r="Y313" i="4"/>
  <c r="M299" i="3"/>
  <c r="L300" i="3"/>
  <c r="Y301" i="3"/>
  <c r="W306" i="3"/>
  <c r="M305" i="3"/>
  <c r="X304" i="3"/>
  <c r="Z303" i="3"/>
  <c r="J300" i="3"/>
  <c r="Y320" i="4"/>
  <c r="Q299" i="3"/>
  <c r="N300" i="3"/>
  <c r="U307" i="4"/>
  <c r="U318" i="4"/>
  <c r="Z316" i="4"/>
  <c r="X301" i="3"/>
  <c r="Y322" i="4"/>
  <c r="W307" i="4"/>
  <c r="W305" i="3"/>
  <c r="X322" i="4"/>
  <c r="V304" i="3"/>
  <c r="V318" i="4"/>
  <c r="N301" i="3"/>
  <c r="W300" i="3"/>
  <c r="P300" i="3"/>
  <c r="Z299" i="3"/>
  <c r="AA305" i="3"/>
  <c r="Y299" i="3"/>
  <c r="W303" i="3"/>
  <c r="O299" i="3"/>
  <c r="X318" i="4"/>
  <c r="X306" i="3"/>
  <c r="W304" i="3"/>
  <c r="Y303" i="3"/>
  <c r="AA301" i="3"/>
  <c r="W318" i="4"/>
  <c r="P301" i="3"/>
  <c r="U305" i="3"/>
  <c r="M302" i="3"/>
  <c r="P303" i="3"/>
  <c r="W313" i="4"/>
  <c r="Y306" i="3"/>
  <c r="V303" i="3"/>
  <c r="AA320" i="4"/>
  <c r="U304" i="3"/>
  <c r="O305" i="3"/>
  <c r="O304" i="3"/>
  <c r="AA313" i="4"/>
  <c r="Y304" i="3"/>
  <c r="S307" i="4" l="1"/>
  <c r="I305" i="3"/>
  <c r="T311" i="4"/>
  <c r="R311" i="4"/>
  <c r="T318" i="4"/>
  <c r="R318" i="4"/>
  <c r="I302" i="3"/>
  <c r="R316" i="4"/>
  <c r="T316" i="4"/>
  <c r="R305" i="3"/>
  <c r="T305" i="3"/>
  <c r="S311" i="4"/>
  <c r="I311" i="4"/>
  <c r="I304" i="3"/>
  <c r="S318" i="4"/>
  <c r="S302" i="3"/>
  <c r="R302" i="3"/>
  <c r="T302" i="3"/>
  <c r="S301" i="3"/>
  <c r="I301" i="3"/>
  <c r="R309" i="4"/>
  <c r="T309" i="4"/>
  <c r="R313" i="4"/>
  <c r="T313" i="4"/>
  <c r="S304" i="3"/>
  <c r="S303" i="3"/>
  <c r="T320" i="4"/>
  <c r="R320" i="4"/>
  <c r="S309" i="4"/>
  <c r="T322" i="4"/>
  <c r="R322" i="4"/>
  <c r="S313" i="4"/>
  <c r="R300" i="3"/>
  <c r="T300" i="3"/>
  <c r="I306" i="3"/>
  <c r="S316" i="4"/>
  <c r="T307" i="4"/>
  <c r="R307" i="4"/>
  <c r="S305" i="3"/>
  <c r="R304" i="3"/>
  <c r="T304" i="3"/>
  <c r="R303" i="3"/>
  <c r="T303" i="3"/>
  <c r="S320" i="4"/>
  <c r="R301" i="3"/>
  <c r="T301" i="3"/>
  <c r="S322" i="4"/>
  <c r="I313" i="4"/>
  <c r="S300" i="3"/>
  <c r="S299" i="3"/>
  <c r="I307" i="4"/>
  <c r="I303" i="3"/>
  <c r="I309" i="4"/>
  <c r="I300" i="3"/>
  <c r="I299" i="3"/>
  <c r="R299" i="3"/>
  <c r="T299" i="3"/>
  <c r="R306" i="3"/>
  <c r="T306" i="3"/>
  <c r="S306" i="3"/>
  <c r="G332" i="4"/>
  <c r="G334" i="4"/>
  <c r="G336" i="4"/>
  <c r="G338" i="4"/>
  <c r="G323" i="4"/>
  <c r="G327" i="4"/>
  <c r="G325" i="4"/>
  <c r="G329" i="4"/>
  <c r="G322" i="3"/>
  <c r="G320" i="3"/>
  <c r="G318" i="3"/>
  <c r="G316" i="3"/>
  <c r="G321" i="3"/>
  <c r="G319" i="3"/>
  <c r="G317" i="3"/>
  <c r="G315" i="3"/>
  <c r="U319" i="4"/>
  <c r="W313" i="3"/>
  <c r="V311" i="3"/>
  <c r="J315" i="4"/>
  <c r="M307" i="3"/>
  <c r="Z324" i="4"/>
  <c r="J324" i="4"/>
  <c r="X314" i="3"/>
  <c r="N314" i="3"/>
  <c r="V309" i="3"/>
  <c r="O311" i="3"/>
  <c r="L310" i="3"/>
  <c r="Y308" i="3"/>
  <c r="U309" i="3"/>
  <c r="Z308" i="3"/>
  <c r="Z313" i="3"/>
  <c r="V319" i="4"/>
  <c r="Q310" i="3"/>
  <c r="M309" i="3"/>
  <c r="U330" i="4"/>
  <c r="W314" i="3"/>
  <c r="Z317" i="4"/>
  <c r="Y319" i="4"/>
  <c r="X310" i="3"/>
  <c r="W319" i="4"/>
  <c r="K312" i="3"/>
  <c r="X324" i="4"/>
  <c r="AA326" i="4"/>
  <c r="L313" i="3"/>
  <c r="M312" i="3"/>
  <c r="Y326" i="4"/>
  <c r="V324" i="4"/>
  <c r="AA309" i="3"/>
  <c r="V321" i="4"/>
  <c r="N310" i="3"/>
  <c r="AA311" i="3"/>
  <c r="Z319" i="4"/>
  <c r="X308" i="3"/>
  <c r="AA314" i="3"/>
  <c r="L311" i="3"/>
  <c r="X312" i="3"/>
  <c r="M314" i="3"/>
  <c r="Q307" i="3"/>
  <c r="AA321" i="4"/>
  <c r="W307" i="3"/>
  <c r="V315" i="4"/>
  <c r="Y330" i="4"/>
  <c r="V307" i="3"/>
  <c r="Z326" i="4"/>
  <c r="U314" i="3"/>
  <c r="Y309" i="3"/>
  <c r="W330" i="4"/>
  <c r="K308" i="3"/>
  <c r="U308" i="3"/>
  <c r="U317" i="4"/>
  <c r="M313" i="3"/>
  <c r="Z309" i="3"/>
  <c r="U307" i="3"/>
  <c r="W317" i="4"/>
  <c r="Y324" i="4"/>
  <c r="Y310" i="3"/>
  <c r="Y314" i="3"/>
  <c r="AA317" i="4"/>
  <c r="J308" i="3"/>
  <c r="Q309" i="3"/>
  <c r="K311" i="3"/>
  <c r="Z310" i="3"/>
  <c r="U324" i="4"/>
  <c r="Q308" i="3"/>
  <c r="AA324" i="4"/>
  <c r="J321" i="4"/>
  <c r="K310" i="3"/>
  <c r="J310" i="3"/>
  <c r="Z321" i="4"/>
  <c r="J314" i="3"/>
  <c r="L308" i="3"/>
  <c r="X319" i="4"/>
  <c r="O309" i="3"/>
  <c r="J326" i="4"/>
  <c r="U326" i="4"/>
  <c r="M310" i="3"/>
  <c r="U312" i="3"/>
  <c r="W328" i="4"/>
  <c r="P310" i="3"/>
  <c r="J307" i="3"/>
  <c r="J319" i="4"/>
  <c r="AA307" i="3"/>
  <c r="N309" i="3"/>
  <c r="J312" i="3"/>
  <c r="N307" i="3"/>
  <c r="AA308" i="3"/>
  <c r="W311" i="3"/>
  <c r="L309" i="3"/>
  <c r="X315" i="4"/>
  <c r="M308" i="3"/>
  <c r="J330" i="4"/>
  <c r="O312" i="3"/>
  <c r="Y311" i="3"/>
  <c r="U313" i="3"/>
  <c r="J313" i="3"/>
  <c r="J309" i="3"/>
  <c r="X307" i="3"/>
  <c r="P312" i="3"/>
  <c r="Y328" i="4"/>
  <c r="X311" i="3"/>
  <c r="W324" i="4"/>
  <c r="Z312" i="3"/>
  <c r="P313" i="3"/>
  <c r="W308" i="3"/>
  <c r="Z314" i="3"/>
  <c r="W312" i="3"/>
  <c r="J328" i="4"/>
  <c r="Y312" i="3"/>
  <c r="W326" i="4"/>
  <c r="AA310" i="3"/>
  <c r="O313" i="3"/>
  <c r="Q311" i="3"/>
  <c r="K307" i="3"/>
  <c r="X328" i="4"/>
  <c r="Z328" i="4"/>
  <c r="O307" i="3"/>
  <c r="U328" i="4"/>
  <c r="X326" i="4"/>
  <c r="V312" i="3"/>
  <c r="X321" i="4"/>
  <c r="W309" i="3"/>
  <c r="X313" i="3"/>
  <c r="K313" i="3"/>
  <c r="U315" i="4"/>
  <c r="U321" i="4"/>
  <c r="X317" i="4"/>
  <c r="K309" i="3"/>
  <c r="O314" i="3"/>
  <c r="Y313" i="3"/>
  <c r="Y307" i="3"/>
  <c r="Y315" i="4"/>
  <c r="AA312" i="3"/>
  <c r="V313" i="3"/>
  <c r="AA328" i="4"/>
  <c r="N313" i="3"/>
  <c r="U311" i="3"/>
  <c r="AA330" i="4"/>
  <c r="Q314" i="3"/>
  <c r="J311" i="3"/>
  <c r="L314" i="3"/>
  <c r="Z311" i="3"/>
  <c r="Y317" i="4"/>
  <c r="N311" i="3"/>
  <c r="X309" i="3"/>
  <c r="Q313" i="3"/>
  <c r="V308" i="3"/>
  <c r="Z315" i="4"/>
  <c r="V317" i="4"/>
  <c r="U310" i="3"/>
  <c r="Z330" i="4"/>
  <c r="O308" i="3"/>
  <c r="M311" i="3"/>
  <c r="AA319" i="4"/>
  <c r="AA315" i="4"/>
  <c r="V328" i="4"/>
  <c r="AA313" i="3"/>
  <c r="V310" i="3"/>
  <c r="P307" i="3"/>
  <c r="V326" i="4"/>
  <c r="P311" i="3"/>
  <c r="L307" i="3"/>
  <c r="Z307" i="3"/>
  <c r="W310" i="3"/>
  <c r="W321" i="4"/>
  <c r="N308" i="3"/>
  <c r="X330" i="4"/>
  <c r="Q312" i="3"/>
  <c r="P314" i="3"/>
  <c r="J317" i="4"/>
  <c r="Y321" i="4"/>
  <c r="L312" i="3"/>
  <c r="P309" i="3"/>
  <c r="O310" i="3"/>
  <c r="V314" i="3"/>
  <c r="V330" i="4"/>
  <c r="W315" i="4"/>
  <c r="N312" i="3"/>
  <c r="K314" i="3"/>
  <c r="P308" i="3"/>
  <c r="S321" i="4" l="1"/>
  <c r="I326" i="4"/>
  <c r="T330" i="4"/>
  <c r="R330" i="4"/>
  <c r="T308" i="3"/>
  <c r="R308" i="3"/>
  <c r="I328" i="4"/>
  <c r="S312" i="3"/>
  <c r="R315" i="4"/>
  <c r="T315" i="4"/>
  <c r="I324" i="4"/>
  <c r="I313" i="3"/>
  <c r="R321" i="4"/>
  <c r="T321" i="4"/>
  <c r="S330" i="4"/>
  <c r="S308" i="3"/>
  <c r="R328" i="4"/>
  <c r="T328" i="4"/>
  <c r="R312" i="3"/>
  <c r="T312" i="3"/>
  <c r="S315" i="4"/>
  <c r="R324" i="4"/>
  <c r="T324" i="4"/>
  <c r="R314" i="3"/>
  <c r="T314" i="3"/>
  <c r="R317" i="4"/>
  <c r="T317" i="4"/>
  <c r="R309" i="3"/>
  <c r="T309" i="3"/>
  <c r="T326" i="4"/>
  <c r="R326" i="4"/>
  <c r="S328" i="4"/>
  <c r="R311" i="3"/>
  <c r="T311" i="3"/>
  <c r="S311" i="3"/>
  <c r="S324" i="4"/>
  <c r="S313" i="3"/>
  <c r="R313" i="3"/>
  <c r="T313" i="3"/>
  <c r="I307" i="3"/>
  <c r="S317" i="4"/>
  <c r="T319" i="4"/>
  <c r="R319" i="4"/>
  <c r="I312" i="3"/>
  <c r="S314" i="3"/>
  <c r="I314" i="3"/>
  <c r="R307" i="3"/>
  <c r="T307" i="3"/>
  <c r="S307" i="3"/>
  <c r="I309" i="3"/>
  <c r="S310" i="3"/>
  <c r="S319" i="4"/>
  <c r="I330" i="4"/>
  <c r="I308" i="3"/>
  <c r="S326" i="4"/>
  <c r="I311" i="3"/>
  <c r="S309" i="3"/>
  <c r="I310" i="3"/>
  <c r="R310" i="3"/>
  <c r="T310" i="3"/>
  <c r="G337" i="4"/>
  <c r="G333" i="4"/>
  <c r="G335" i="4"/>
  <c r="G331" i="4"/>
  <c r="G346" i="4"/>
  <c r="G344" i="4"/>
  <c r="G342" i="4"/>
  <c r="G340" i="4"/>
  <c r="G323" i="3"/>
  <c r="G325" i="3"/>
  <c r="G327" i="3"/>
  <c r="G329" i="3"/>
  <c r="G324" i="3"/>
  <c r="G326" i="3"/>
  <c r="G328" i="3"/>
  <c r="G330" i="3"/>
  <c r="U322" i="3"/>
  <c r="K320" i="3"/>
  <c r="M316" i="3"/>
  <c r="AA317" i="3"/>
  <c r="W315" i="3"/>
  <c r="N317" i="3"/>
  <c r="Q319" i="3"/>
  <c r="Z325" i="4"/>
  <c r="V321" i="3"/>
  <c r="Q317" i="3"/>
  <c r="AA318" i="3"/>
  <c r="X327" i="4"/>
  <c r="X322" i="3"/>
  <c r="P318" i="3"/>
  <c r="Z319" i="3"/>
  <c r="X321" i="3"/>
  <c r="AA325" i="4"/>
  <c r="V315" i="3"/>
  <c r="W323" i="4"/>
  <c r="X336" i="4"/>
  <c r="Y334" i="4"/>
  <c r="W320" i="3"/>
  <c r="L316" i="3"/>
  <c r="Q322" i="3"/>
  <c r="K316" i="3"/>
  <c r="W325" i="4"/>
  <c r="K321" i="3"/>
  <c r="U323" i="4"/>
  <c r="AA316" i="3"/>
  <c r="V338" i="4"/>
  <c r="Q316" i="3"/>
  <c r="Z318" i="3"/>
  <c r="O319" i="3"/>
  <c r="Z320" i="3"/>
  <c r="X329" i="4"/>
  <c r="Y323" i="4"/>
  <c r="Z321" i="3"/>
  <c r="X320" i="3"/>
  <c r="Q318" i="3"/>
  <c r="X323" i="4"/>
  <c r="P321" i="3"/>
  <c r="Y327" i="4"/>
  <c r="L319" i="3"/>
  <c r="X332" i="4"/>
  <c r="U317" i="3"/>
  <c r="V320" i="3"/>
  <c r="M315" i="3"/>
  <c r="U338" i="4"/>
  <c r="U336" i="4"/>
  <c r="V316" i="3"/>
  <c r="W322" i="3"/>
  <c r="V327" i="4"/>
  <c r="J325" i="4"/>
  <c r="Y325" i="4"/>
  <c r="Y316" i="3"/>
  <c r="AA323" i="4"/>
  <c r="Y336" i="4"/>
  <c r="Y329" i="4"/>
  <c r="U319" i="3"/>
  <c r="Z327" i="4"/>
  <c r="J322" i="3"/>
  <c r="Z317" i="3"/>
  <c r="AA336" i="4"/>
  <c r="Q315" i="3"/>
  <c r="M319" i="3"/>
  <c r="V322" i="3"/>
  <c r="AA334" i="4"/>
  <c r="U320" i="3"/>
  <c r="U329" i="4"/>
  <c r="U318" i="3"/>
  <c r="P319" i="3"/>
  <c r="AA319" i="3"/>
  <c r="Z316" i="3"/>
  <c r="M318" i="3"/>
  <c r="J316" i="3"/>
  <c r="W317" i="3"/>
  <c r="M320" i="3"/>
  <c r="O318" i="3"/>
  <c r="J327" i="4"/>
  <c r="W338" i="4"/>
  <c r="Z336" i="4"/>
  <c r="V336" i="4"/>
  <c r="J332" i="4"/>
  <c r="J319" i="3"/>
  <c r="J321" i="3"/>
  <c r="N318" i="3"/>
  <c r="J338" i="4"/>
  <c r="J320" i="3"/>
  <c r="W332" i="4"/>
  <c r="O322" i="3"/>
  <c r="Z323" i="4"/>
  <c r="Z332" i="4"/>
  <c r="V329" i="4"/>
  <c r="J329" i="4"/>
  <c r="N316" i="3"/>
  <c r="U332" i="4"/>
  <c r="Z322" i="3"/>
  <c r="Z329" i="4"/>
  <c r="L322" i="3"/>
  <c r="AA315" i="3"/>
  <c r="U321" i="3"/>
  <c r="Y317" i="3"/>
  <c r="V332" i="4"/>
  <c r="Q321" i="3"/>
  <c r="M321" i="3"/>
  <c r="Z338" i="4"/>
  <c r="Y332" i="4"/>
  <c r="P316" i="3"/>
  <c r="L320" i="3"/>
  <c r="N315" i="3"/>
  <c r="N321" i="3"/>
  <c r="O316" i="3"/>
  <c r="J318" i="3"/>
  <c r="AA332" i="4"/>
  <c r="Y322" i="3"/>
  <c r="O317" i="3"/>
  <c r="V334" i="4"/>
  <c r="AA322" i="3"/>
  <c r="X316" i="3"/>
  <c r="J315" i="3"/>
  <c r="W329" i="4"/>
  <c r="M322" i="3"/>
  <c r="Y315" i="3"/>
  <c r="V319" i="3"/>
  <c r="Z334" i="4"/>
  <c r="U315" i="3"/>
  <c r="W334" i="4"/>
  <c r="X315" i="3"/>
  <c r="P315" i="3"/>
  <c r="L315" i="3"/>
  <c r="U316" i="3"/>
  <c r="M317" i="3"/>
  <c r="O315" i="3"/>
  <c r="Y321" i="3"/>
  <c r="U325" i="4"/>
  <c r="AA329" i="4"/>
  <c r="Y318" i="3"/>
  <c r="Y338" i="4"/>
  <c r="J336" i="4"/>
  <c r="W318" i="3"/>
  <c r="X318" i="3"/>
  <c r="U334" i="4"/>
  <c r="X338" i="4"/>
  <c r="AA320" i="3"/>
  <c r="K317" i="3"/>
  <c r="X317" i="3"/>
  <c r="X319" i="3"/>
  <c r="L317" i="3"/>
  <c r="O321" i="3"/>
  <c r="P317" i="3"/>
  <c r="L321" i="3"/>
  <c r="J323" i="4"/>
  <c r="W316" i="3"/>
  <c r="J317" i="3"/>
  <c r="K319" i="3"/>
  <c r="V317" i="3"/>
  <c r="L318" i="3"/>
  <c r="N319" i="3"/>
  <c r="Y319" i="3"/>
  <c r="N322" i="3"/>
  <c r="Q320" i="3"/>
  <c r="V325" i="4"/>
  <c r="AA338" i="4"/>
  <c r="K322" i="3"/>
  <c r="V318" i="3"/>
  <c r="P322" i="3"/>
  <c r="Z315" i="3"/>
  <c r="K318" i="3"/>
  <c r="K315" i="3"/>
  <c r="W336" i="4"/>
  <c r="N320" i="3"/>
  <c r="J334" i="4"/>
  <c r="U327" i="4"/>
  <c r="W321" i="3"/>
  <c r="O320" i="3"/>
  <c r="AA327" i="4"/>
  <c r="X325" i="4"/>
  <c r="V323" i="4"/>
  <c r="Y320" i="3"/>
  <c r="X334" i="4"/>
  <c r="W327" i="4"/>
  <c r="P320" i="3"/>
  <c r="AA321" i="3"/>
  <c r="W319" i="3"/>
  <c r="S323" i="4" l="1"/>
  <c r="T334" i="4"/>
  <c r="R334" i="4"/>
  <c r="I334" i="4"/>
  <c r="R320" i="3"/>
  <c r="T320" i="3"/>
  <c r="S325" i="4"/>
  <c r="R332" i="4"/>
  <c r="T332" i="4"/>
  <c r="I323" i="4"/>
  <c r="S334" i="4"/>
  <c r="T327" i="4"/>
  <c r="R327" i="4"/>
  <c r="T336" i="4"/>
  <c r="R336" i="4"/>
  <c r="R318" i="3"/>
  <c r="T318" i="3"/>
  <c r="I338" i="4"/>
  <c r="R329" i="4"/>
  <c r="T329" i="4"/>
  <c r="S316" i="3"/>
  <c r="R315" i="3"/>
  <c r="T315" i="3"/>
  <c r="S315" i="3"/>
  <c r="S327" i="4"/>
  <c r="I327" i="4"/>
  <c r="S320" i="3"/>
  <c r="S336" i="4"/>
  <c r="S318" i="3"/>
  <c r="T338" i="4"/>
  <c r="R338" i="4"/>
  <c r="S329" i="4"/>
  <c r="R316" i="3"/>
  <c r="T316" i="3"/>
  <c r="R322" i="3"/>
  <c r="T322" i="3"/>
  <c r="S321" i="3"/>
  <c r="R319" i="3"/>
  <c r="T319" i="3"/>
  <c r="S317" i="3"/>
  <c r="I336" i="4"/>
  <c r="R325" i="4"/>
  <c r="T325" i="4"/>
  <c r="S338" i="4"/>
  <c r="I329" i="4"/>
  <c r="S322" i="3"/>
  <c r="S332" i="4"/>
  <c r="T323" i="4"/>
  <c r="R323" i="4"/>
  <c r="I332" i="4"/>
  <c r="R321" i="3"/>
  <c r="T321" i="3"/>
  <c r="S319" i="3"/>
  <c r="R317" i="3"/>
  <c r="T317" i="3"/>
  <c r="I325" i="4"/>
  <c r="G348" i="4"/>
  <c r="G350" i="4"/>
  <c r="G352" i="4"/>
  <c r="G354" i="4"/>
  <c r="G339" i="4"/>
  <c r="G343" i="4"/>
  <c r="G341" i="4"/>
  <c r="G345" i="4"/>
  <c r="G338" i="3"/>
  <c r="G336" i="3"/>
  <c r="G334" i="3"/>
  <c r="G332" i="3"/>
  <c r="G337" i="3"/>
  <c r="G335" i="3"/>
  <c r="G333" i="3"/>
  <c r="G331" i="3"/>
  <c r="W333" i="4"/>
  <c r="L323" i="3"/>
  <c r="Q325" i="3"/>
  <c r="Y333" i="4"/>
  <c r="U346" i="4"/>
  <c r="P327" i="3"/>
  <c r="J324" i="3"/>
  <c r="V325" i="3"/>
  <c r="X325" i="3"/>
  <c r="W325" i="3"/>
  <c r="Y324" i="3"/>
  <c r="X323" i="3"/>
  <c r="J342" i="4"/>
  <c r="N329" i="3"/>
  <c r="AA329" i="3"/>
  <c r="Z333" i="4"/>
  <c r="L325" i="3"/>
  <c r="AA346" i="4"/>
  <c r="W330" i="3"/>
  <c r="P324" i="3"/>
  <c r="U342" i="4"/>
  <c r="U340" i="4"/>
  <c r="W342" i="4"/>
  <c r="P330" i="3"/>
  <c r="AA325" i="3"/>
  <c r="X328" i="3"/>
  <c r="W327" i="3"/>
  <c r="X337" i="4"/>
  <c r="W323" i="3"/>
  <c r="L324" i="3"/>
  <c r="O327" i="3"/>
  <c r="P329" i="3"/>
  <c r="M330" i="3"/>
  <c r="AA344" i="4"/>
  <c r="Z324" i="3"/>
  <c r="J329" i="3"/>
  <c r="Z323" i="3"/>
  <c r="X342" i="4"/>
  <c r="W335" i="4"/>
  <c r="Y346" i="4"/>
  <c r="U331" i="4"/>
  <c r="L327" i="3"/>
  <c r="Z344" i="4"/>
  <c r="M323" i="3"/>
  <c r="Z327" i="3"/>
  <c r="X327" i="3"/>
  <c r="W344" i="4"/>
  <c r="U344" i="4"/>
  <c r="Z328" i="3"/>
  <c r="V324" i="3"/>
  <c r="AA328" i="3"/>
  <c r="M328" i="3"/>
  <c r="Y329" i="3"/>
  <c r="Y340" i="4"/>
  <c r="J333" i="4"/>
  <c r="J326" i="3"/>
  <c r="O328" i="3"/>
  <c r="M326" i="3"/>
  <c r="P325" i="3"/>
  <c r="Z335" i="4"/>
  <c r="Z331" i="4"/>
  <c r="U335" i="4"/>
  <c r="Y337" i="4"/>
  <c r="J340" i="4"/>
  <c r="X340" i="4"/>
  <c r="AA335" i="4"/>
  <c r="U325" i="3"/>
  <c r="AA326" i="3"/>
  <c r="V329" i="3"/>
  <c r="Y330" i="3"/>
  <c r="O329" i="3"/>
  <c r="J323" i="3"/>
  <c r="Q327" i="3"/>
  <c r="AA340" i="4"/>
  <c r="W328" i="3"/>
  <c r="N328" i="3"/>
  <c r="O326" i="3"/>
  <c r="Y327" i="3"/>
  <c r="Z342" i="4"/>
  <c r="W340" i="4"/>
  <c r="X335" i="4"/>
  <c r="Q329" i="3"/>
  <c r="Q328" i="3"/>
  <c r="Q326" i="3"/>
  <c r="J344" i="4"/>
  <c r="P326" i="3"/>
  <c r="AA323" i="3"/>
  <c r="V328" i="3"/>
  <c r="N326" i="3"/>
  <c r="AA324" i="3"/>
  <c r="N325" i="3"/>
  <c r="K326" i="3"/>
  <c r="Q323" i="3"/>
  <c r="V330" i="3"/>
  <c r="O325" i="3"/>
  <c r="Y342" i="4"/>
  <c r="Z326" i="3"/>
  <c r="AA330" i="3"/>
  <c r="W329" i="3"/>
  <c r="Z340" i="4"/>
  <c r="V342" i="4"/>
  <c r="W337" i="4"/>
  <c r="AA342" i="4"/>
  <c r="V346" i="4"/>
  <c r="N323" i="3"/>
  <c r="U330" i="3"/>
  <c r="L329" i="3"/>
  <c r="N330" i="3"/>
  <c r="V340" i="4"/>
  <c r="K327" i="3"/>
  <c r="K329" i="3"/>
  <c r="X326" i="3"/>
  <c r="W331" i="4"/>
  <c r="K328" i="3"/>
  <c r="Z325" i="3"/>
  <c r="Z329" i="3"/>
  <c r="U326" i="3"/>
  <c r="K323" i="3"/>
  <c r="V335" i="4"/>
  <c r="Y325" i="3"/>
  <c r="K324" i="3"/>
  <c r="M325" i="3"/>
  <c r="U333" i="4"/>
  <c r="O324" i="3"/>
  <c r="X346" i="4"/>
  <c r="V333" i="4"/>
  <c r="X331" i="4"/>
  <c r="X329" i="3"/>
  <c r="K330" i="3"/>
  <c r="M327" i="3"/>
  <c r="P328" i="3"/>
  <c r="AA327" i="3"/>
  <c r="X330" i="3"/>
  <c r="U324" i="3"/>
  <c r="J335" i="4"/>
  <c r="Z346" i="4"/>
  <c r="J337" i="4"/>
  <c r="J325" i="3"/>
  <c r="M324" i="3"/>
  <c r="Z337" i="4"/>
  <c r="J327" i="3"/>
  <c r="Y335" i="4"/>
  <c r="K325" i="3"/>
  <c r="N327" i="3"/>
  <c r="AA333" i="4"/>
  <c r="W346" i="4"/>
  <c r="Q330" i="3"/>
  <c r="W326" i="3"/>
  <c r="V344" i="4"/>
  <c r="Y326" i="3"/>
  <c r="X333" i="4"/>
  <c r="P323" i="3"/>
  <c r="J331" i="4"/>
  <c r="U328" i="3"/>
  <c r="V331" i="4"/>
  <c r="L330" i="3"/>
  <c r="N324" i="3"/>
  <c r="U329" i="3"/>
  <c r="U337" i="4"/>
  <c r="Y331" i="4"/>
  <c r="L328" i="3"/>
  <c r="W324" i="3"/>
  <c r="V337" i="4"/>
  <c r="Y323" i="3"/>
  <c r="L326" i="3"/>
  <c r="J346" i="4"/>
  <c r="AA331" i="4"/>
  <c r="J330" i="3"/>
  <c r="X324" i="3"/>
  <c r="Y328" i="3"/>
  <c r="AA337" i="4"/>
  <c r="M329" i="3"/>
  <c r="U323" i="3"/>
  <c r="Z330" i="3"/>
  <c r="V326" i="3"/>
  <c r="O323" i="3"/>
  <c r="V323" i="3"/>
  <c r="U327" i="3"/>
  <c r="X344" i="4"/>
  <c r="Y344" i="4"/>
  <c r="J328" i="3"/>
  <c r="Q324" i="3"/>
  <c r="V327" i="3"/>
  <c r="O330" i="3"/>
  <c r="I337" i="4" l="1"/>
  <c r="R337" i="4"/>
  <c r="T337" i="4"/>
  <c r="I324" i="3"/>
  <c r="I326" i="3"/>
  <c r="S337" i="4"/>
  <c r="T346" i="4"/>
  <c r="R346" i="4"/>
  <c r="I346" i="4"/>
  <c r="T324" i="3"/>
  <c r="R324" i="3"/>
  <c r="S344" i="4"/>
  <c r="T335" i="4"/>
  <c r="R335" i="4"/>
  <c r="I342" i="4"/>
  <c r="S346" i="4"/>
  <c r="S324" i="3"/>
  <c r="S326" i="3"/>
  <c r="S335" i="4"/>
  <c r="S327" i="3"/>
  <c r="R328" i="3"/>
  <c r="T328" i="3"/>
  <c r="T342" i="4"/>
  <c r="R342" i="4"/>
  <c r="R340" i="4"/>
  <c r="T340" i="4"/>
  <c r="I329" i="3"/>
  <c r="R330" i="3"/>
  <c r="T330" i="3"/>
  <c r="I323" i="3"/>
  <c r="R325" i="3"/>
  <c r="T325" i="3"/>
  <c r="I344" i="4"/>
  <c r="I335" i="4"/>
  <c r="R327" i="3"/>
  <c r="T327" i="3"/>
  <c r="I328" i="3"/>
  <c r="S342" i="4"/>
  <c r="R331" i="4"/>
  <c r="T331" i="4"/>
  <c r="S340" i="4"/>
  <c r="I340" i="4"/>
  <c r="S329" i="3"/>
  <c r="I330" i="3"/>
  <c r="S323" i="3"/>
  <c r="S325" i="3"/>
  <c r="I325" i="3"/>
  <c r="R326" i="3"/>
  <c r="T326" i="3"/>
  <c r="R344" i="4"/>
  <c r="T344" i="4"/>
  <c r="I327" i="3"/>
  <c r="S328" i="3"/>
  <c r="S331" i="4"/>
  <c r="I331" i="4"/>
  <c r="R329" i="3"/>
  <c r="T329" i="3"/>
  <c r="S330" i="3"/>
  <c r="R333" i="4"/>
  <c r="T333" i="4"/>
  <c r="R323" i="3"/>
  <c r="T323" i="3"/>
  <c r="S333" i="4"/>
  <c r="I333" i="4"/>
  <c r="G353" i="4"/>
  <c r="G349" i="4"/>
  <c r="G351" i="4"/>
  <c r="G347" i="4"/>
  <c r="G362" i="4"/>
  <c r="G360" i="4"/>
  <c r="G358" i="4"/>
  <c r="G356" i="4"/>
  <c r="G339" i="3"/>
  <c r="G341" i="3"/>
  <c r="G343" i="3"/>
  <c r="G345" i="3"/>
  <c r="G340" i="3"/>
  <c r="G342" i="3"/>
  <c r="G344" i="3"/>
  <c r="G346" i="3"/>
  <c r="U334" i="3"/>
  <c r="O332" i="3"/>
  <c r="Z334" i="3"/>
  <c r="V352" i="4"/>
  <c r="W343" i="4"/>
  <c r="J339" i="4"/>
  <c r="N334" i="3"/>
  <c r="V338" i="3"/>
  <c r="N336" i="3"/>
  <c r="Z339" i="4"/>
  <c r="Q335" i="3"/>
  <c r="AA333" i="3"/>
  <c r="Y337" i="3"/>
  <c r="Q332" i="3"/>
  <c r="X352" i="4"/>
  <c r="K337" i="3"/>
  <c r="M332" i="3"/>
  <c r="Y336" i="3"/>
  <c r="O335" i="3"/>
  <c r="J336" i="3"/>
  <c r="O333" i="3"/>
  <c r="N338" i="3"/>
  <c r="N331" i="3"/>
  <c r="M334" i="3"/>
  <c r="Z338" i="3"/>
  <c r="U332" i="3"/>
  <c r="W348" i="4"/>
  <c r="P334" i="3"/>
  <c r="U343" i="4"/>
  <c r="K334" i="3"/>
  <c r="O331" i="3"/>
  <c r="X341" i="4"/>
  <c r="N335" i="3"/>
  <c r="X332" i="3"/>
  <c r="X334" i="3"/>
  <c r="W350" i="4"/>
  <c r="X339" i="4"/>
  <c r="Y343" i="4"/>
  <c r="Q331" i="3"/>
  <c r="V341" i="4"/>
  <c r="P336" i="3"/>
  <c r="O334" i="3"/>
  <c r="V350" i="4"/>
  <c r="W339" i="4"/>
  <c r="P332" i="3"/>
  <c r="U335" i="3"/>
  <c r="M335" i="3"/>
  <c r="U352" i="4"/>
  <c r="V348" i="4"/>
  <c r="P338" i="3"/>
  <c r="V354" i="4"/>
  <c r="J331" i="3"/>
  <c r="P333" i="3"/>
  <c r="P337" i="3"/>
  <c r="Z343" i="4"/>
  <c r="W338" i="3"/>
  <c r="Y352" i="4"/>
  <c r="AA338" i="3"/>
  <c r="X350" i="4"/>
  <c r="L334" i="3"/>
  <c r="M333" i="3"/>
  <c r="AA334" i="3"/>
  <c r="U354" i="4"/>
  <c r="Q333" i="3"/>
  <c r="J332" i="3"/>
  <c r="V334" i="3"/>
  <c r="X331" i="3"/>
  <c r="V345" i="4"/>
  <c r="Y345" i="4"/>
  <c r="J345" i="4"/>
  <c r="M336" i="3"/>
  <c r="W337" i="3"/>
  <c r="Y339" i="4"/>
  <c r="N333" i="3"/>
  <c r="AA354" i="4"/>
  <c r="Z331" i="3"/>
  <c r="Y348" i="4"/>
  <c r="K335" i="3"/>
  <c r="U339" i="4"/>
  <c r="U341" i="4"/>
  <c r="U338" i="3"/>
  <c r="Z348" i="4"/>
  <c r="K338" i="3"/>
  <c r="Z345" i="4"/>
  <c r="U345" i="4"/>
  <c r="U350" i="4"/>
  <c r="K336" i="3"/>
  <c r="W341" i="4"/>
  <c r="X333" i="3"/>
  <c r="X343" i="4"/>
  <c r="L332" i="3"/>
  <c r="X335" i="3"/>
  <c r="M331" i="3"/>
  <c r="O336" i="3"/>
  <c r="X337" i="3"/>
  <c r="W334" i="3"/>
  <c r="AA337" i="3"/>
  <c r="U331" i="3"/>
  <c r="Y331" i="3"/>
  <c r="AA352" i="4"/>
  <c r="J334" i="3"/>
  <c r="N337" i="3"/>
  <c r="V335" i="3"/>
  <c r="U337" i="3"/>
  <c r="Y335" i="3"/>
  <c r="W352" i="4"/>
  <c r="Z336" i="3"/>
  <c r="J354" i="4"/>
  <c r="Q337" i="3"/>
  <c r="L336" i="3"/>
  <c r="U333" i="3"/>
  <c r="Z335" i="3"/>
  <c r="J341" i="4"/>
  <c r="V331" i="3"/>
  <c r="X345" i="4"/>
  <c r="W336" i="3"/>
  <c r="U348" i="4"/>
  <c r="Y332" i="3"/>
  <c r="J338" i="3"/>
  <c r="V337" i="3"/>
  <c r="AA335" i="3"/>
  <c r="AA350" i="4"/>
  <c r="Z337" i="3"/>
  <c r="X338" i="3"/>
  <c r="J335" i="3"/>
  <c r="Y350" i="4"/>
  <c r="Z341" i="4"/>
  <c r="L333" i="3"/>
  <c r="AA332" i="3"/>
  <c r="Z333" i="3"/>
  <c r="O338" i="3"/>
  <c r="J350" i="4"/>
  <c r="W354" i="4"/>
  <c r="K332" i="3"/>
  <c r="W333" i="3"/>
  <c r="AA343" i="4"/>
  <c r="M337" i="3"/>
  <c r="Z352" i="4"/>
  <c r="X348" i="4"/>
  <c r="L331" i="3"/>
  <c r="Q338" i="3"/>
  <c r="K331" i="3"/>
  <c r="Q334" i="3"/>
  <c r="X354" i="4"/>
  <c r="W335" i="3"/>
  <c r="Q336" i="3"/>
  <c r="W345" i="4"/>
  <c r="L338" i="3"/>
  <c r="J337" i="3"/>
  <c r="J352" i="4"/>
  <c r="V336" i="3"/>
  <c r="Z350" i="4"/>
  <c r="Y338" i="3"/>
  <c r="AA339" i="4"/>
  <c r="Z332" i="3"/>
  <c r="Y333" i="3"/>
  <c r="AA331" i="3"/>
  <c r="AA336" i="3"/>
  <c r="Y354" i="4"/>
  <c r="U336" i="3"/>
  <c r="K333" i="3"/>
  <c r="P335" i="3"/>
  <c r="AA345" i="4"/>
  <c r="W332" i="3"/>
  <c r="O337" i="3"/>
  <c r="L337" i="3"/>
  <c r="X336" i="3"/>
  <c r="Y334" i="3"/>
  <c r="J348" i="4"/>
  <c r="Y341" i="4"/>
  <c r="V343" i="4"/>
  <c r="AA348" i="4"/>
  <c r="Z354" i="4"/>
  <c r="V332" i="3"/>
  <c r="J333" i="3"/>
  <c r="M338" i="3"/>
  <c r="J343" i="4"/>
  <c r="V339" i="4"/>
  <c r="W331" i="3"/>
  <c r="V333" i="3"/>
  <c r="L335" i="3"/>
  <c r="N332" i="3"/>
  <c r="P331" i="3"/>
  <c r="AA341" i="4"/>
  <c r="I339" i="4" l="1"/>
  <c r="S350" i="4"/>
  <c r="I337" i="3"/>
  <c r="S352" i="4"/>
  <c r="S332" i="3"/>
  <c r="R348" i="4"/>
  <c r="T348" i="4"/>
  <c r="R336" i="3"/>
  <c r="T336" i="3"/>
  <c r="I335" i="3"/>
  <c r="S335" i="3"/>
  <c r="S343" i="4"/>
  <c r="I341" i="4"/>
  <c r="I345" i="4"/>
  <c r="R332" i="3"/>
  <c r="T332" i="3"/>
  <c r="I332" i="3"/>
  <c r="I338" i="3"/>
  <c r="T350" i="4"/>
  <c r="R350" i="4"/>
  <c r="I336" i="3"/>
  <c r="R335" i="3"/>
  <c r="T335" i="3"/>
  <c r="I343" i="4"/>
  <c r="T333" i="3"/>
  <c r="R333" i="3"/>
  <c r="R341" i="4"/>
  <c r="T341" i="4"/>
  <c r="R345" i="4"/>
  <c r="T345" i="4"/>
  <c r="R331" i="3"/>
  <c r="T331" i="3"/>
  <c r="S331" i="3"/>
  <c r="S334" i="3"/>
  <c r="I334" i="3"/>
  <c r="S337" i="3"/>
  <c r="T352" i="4"/>
  <c r="R352" i="4"/>
  <c r="S333" i="3"/>
  <c r="S341" i="4"/>
  <c r="T354" i="4"/>
  <c r="R354" i="4"/>
  <c r="S345" i="4"/>
  <c r="I331" i="3"/>
  <c r="R338" i="3"/>
  <c r="T338" i="3"/>
  <c r="R334" i="3"/>
  <c r="T334" i="3"/>
  <c r="S348" i="4"/>
  <c r="T339" i="4"/>
  <c r="R339" i="4"/>
  <c r="S339" i="4"/>
  <c r="S336" i="3"/>
  <c r="T337" i="3"/>
  <c r="R337" i="3"/>
  <c r="T343" i="4"/>
  <c r="R343" i="4"/>
  <c r="I333" i="3"/>
  <c r="S354" i="4"/>
  <c r="S338" i="3"/>
  <c r="G364" i="4"/>
  <c r="G366" i="4"/>
  <c r="G368" i="4"/>
  <c r="G370" i="4"/>
  <c r="G355" i="4"/>
  <c r="G359" i="4"/>
  <c r="G357" i="4"/>
  <c r="G361" i="4"/>
  <c r="G354" i="3"/>
  <c r="G352" i="3"/>
  <c r="G350" i="3"/>
  <c r="G348" i="3"/>
  <c r="G353" i="3"/>
  <c r="G351" i="3"/>
  <c r="G349" i="3"/>
  <c r="G347" i="3"/>
  <c r="U360" i="4"/>
  <c r="K345" i="3"/>
  <c r="X351" i="4"/>
  <c r="U347" i="4"/>
  <c r="AA347" i="4"/>
  <c r="W353" i="4"/>
  <c r="J351" i="4"/>
  <c r="M343" i="3"/>
  <c r="U339" i="3"/>
  <c r="M344" i="3"/>
  <c r="O340" i="3"/>
  <c r="X349" i="4"/>
  <c r="X343" i="3"/>
  <c r="M339" i="3"/>
  <c r="U349" i="4"/>
  <c r="J349" i="4"/>
  <c r="M340" i="3"/>
  <c r="V346" i="3"/>
  <c r="V349" i="4"/>
  <c r="AA358" i="4"/>
  <c r="P343" i="3"/>
  <c r="Q344" i="3"/>
  <c r="U341" i="3"/>
  <c r="J360" i="4"/>
  <c r="Q340" i="3"/>
  <c r="L344" i="3"/>
  <c r="AA362" i="4"/>
  <c r="Y358" i="4"/>
  <c r="J344" i="3"/>
  <c r="Z342" i="3"/>
  <c r="U340" i="3"/>
  <c r="X353" i="4"/>
  <c r="AA346" i="3"/>
  <c r="J356" i="4"/>
  <c r="X362" i="4"/>
  <c r="V339" i="3"/>
  <c r="X358" i="4"/>
  <c r="U346" i="3"/>
  <c r="AA343" i="3"/>
  <c r="AA345" i="3"/>
  <c r="U345" i="3"/>
  <c r="O342" i="3"/>
  <c r="Y346" i="3"/>
  <c r="Z362" i="4"/>
  <c r="U353" i="4"/>
  <c r="AA356" i="4"/>
  <c r="K343" i="3"/>
  <c r="Z345" i="3"/>
  <c r="W344" i="3"/>
  <c r="W342" i="3"/>
  <c r="Q346" i="3"/>
  <c r="U344" i="3"/>
  <c r="Y353" i="4"/>
  <c r="Y351" i="4"/>
  <c r="AA351" i="4"/>
  <c r="P341" i="3"/>
  <c r="AA342" i="3"/>
  <c r="N343" i="3"/>
  <c r="P342" i="3"/>
  <c r="P340" i="3"/>
  <c r="Y349" i="4"/>
  <c r="V356" i="4"/>
  <c r="J340" i="3"/>
  <c r="J341" i="3"/>
  <c r="Q339" i="3"/>
  <c r="AA341" i="3"/>
  <c r="O341" i="3"/>
  <c r="AA340" i="3"/>
  <c r="Y345" i="3"/>
  <c r="Z341" i="3"/>
  <c r="Y339" i="3"/>
  <c r="W349" i="4"/>
  <c r="W362" i="4"/>
  <c r="V353" i="4"/>
  <c r="X344" i="3"/>
  <c r="O339" i="3"/>
  <c r="O344" i="3"/>
  <c r="K346" i="3"/>
  <c r="Y343" i="3"/>
  <c r="K344" i="3"/>
  <c r="Z349" i="4"/>
  <c r="N342" i="3"/>
  <c r="V343" i="3"/>
  <c r="J353" i="4"/>
  <c r="J342" i="3"/>
  <c r="W340" i="3"/>
  <c r="X360" i="4"/>
  <c r="N339" i="3"/>
  <c r="O345" i="3"/>
  <c r="U342" i="3"/>
  <c r="N345" i="3"/>
  <c r="W347" i="4"/>
  <c r="Y340" i="3"/>
  <c r="X341" i="3"/>
  <c r="Y362" i="4"/>
  <c r="Q343" i="3"/>
  <c r="J339" i="3"/>
  <c r="J347" i="4"/>
  <c r="P346" i="3"/>
  <c r="U362" i="4"/>
  <c r="L346" i="3"/>
  <c r="Z356" i="4"/>
  <c r="O343" i="3"/>
  <c r="X339" i="3"/>
  <c r="M342" i="3"/>
  <c r="O346" i="3"/>
  <c r="U356" i="4"/>
  <c r="L339" i="3"/>
  <c r="Z346" i="3"/>
  <c r="M346" i="3"/>
  <c r="P339" i="3"/>
  <c r="Y356" i="4"/>
  <c r="V342" i="3"/>
  <c r="W356" i="4"/>
  <c r="W360" i="4"/>
  <c r="Y344" i="3"/>
  <c r="X346" i="3"/>
  <c r="V344" i="3"/>
  <c r="M341" i="3"/>
  <c r="W346" i="3"/>
  <c r="K340" i="3"/>
  <c r="V347" i="4"/>
  <c r="AA339" i="3"/>
  <c r="J345" i="3"/>
  <c r="W341" i="3"/>
  <c r="AA360" i="4"/>
  <c r="Z360" i="4"/>
  <c r="J362" i="4"/>
  <c r="Y360" i="4"/>
  <c r="K342" i="3"/>
  <c r="K341" i="3"/>
  <c r="Q341" i="3"/>
  <c r="L340" i="3"/>
  <c r="J358" i="4"/>
  <c r="L342" i="3"/>
  <c r="N341" i="3"/>
  <c r="AA353" i="4"/>
  <c r="V362" i="4"/>
  <c r="Z340" i="3"/>
  <c r="K339" i="3"/>
  <c r="Q342" i="3"/>
  <c r="U351" i="4"/>
  <c r="Z339" i="3"/>
  <c r="V351" i="4"/>
  <c r="L345" i="3"/>
  <c r="Z351" i="4"/>
  <c r="AA344" i="3"/>
  <c r="J343" i="3"/>
  <c r="U358" i="4"/>
  <c r="W343" i="3"/>
  <c r="Y342" i="3"/>
  <c r="W339" i="3"/>
  <c r="N340" i="3"/>
  <c r="Z358" i="4"/>
  <c r="AA349" i="4"/>
  <c r="V360" i="4"/>
  <c r="U343" i="3"/>
  <c r="Z347" i="4"/>
  <c r="W358" i="4"/>
  <c r="Y341" i="3"/>
  <c r="X347" i="4"/>
  <c r="P344" i="3"/>
  <c r="Z344" i="3"/>
  <c r="X356" i="4"/>
  <c r="N344" i="3"/>
  <c r="V340" i="3"/>
  <c r="L343" i="3"/>
  <c r="V358" i="4"/>
  <c r="V341" i="3"/>
  <c r="X340" i="3"/>
  <c r="Y347" i="4"/>
  <c r="M345" i="3"/>
  <c r="Q345" i="3"/>
  <c r="X342" i="3"/>
  <c r="W351" i="4"/>
  <c r="X345" i="3"/>
  <c r="V345" i="3"/>
  <c r="Z343" i="3"/>
  <c r="J346" i="3"/>
  <c r="Z353" i="4"/>
  <c r="N346" i="3"/>
  <c r="L341" i="3"/>
  <c r="W345" i="3"/>
  <c r="P345" i="3"/>
  <c r="R342" i="3" l="1"/>
  <c r="T342" i="3"/>
  <c r="S343" i="3"/>
  <c r="T341" i="3"/>
  <c r="R341" i="3"/>
  <c r="R343" i="3"/>
  <c r="T343" i="3"/>
  <c r="I346" i="3"/>
  <c r="I341" i="3"/>
  <c r="S349" i="4"/>
  <c r="I343" i="3"/>
  <c r="S344" i="3"/>
  <c r="I358" i="4"/>
  <c r="S347" i="4"/>
  <c r="R356" i="4"/>
  <c r="T356" i="4"/>
  <c r="I345" i="3"/>
  <c r="T362" i="4"/>
  <c r="R362" i="4"/>
  <c r="I362" i="4"/>
  <c r="R339" i="3"/>
  <c r="T339" i="3"/>
  <c r="S339" i="3"/>
  <c r="T351" i="4"/>
  <c r="R351" i="4"/>
  <c r="I344" i="3"/>
  <c r="S356" i="4"/>
  <c r="I356" i="4"/>
  <c r="T345" i="3"/>
  <c r="R345" i="3"/>
  <c r="S346" i="3"/>
  <c r="R353" i="4"/>
  <c r="T353" i="4"/>
  <c r="S362" i="4"/>
  <c r="I339" i="3"/>
  <c r="R360" i="4"/>
  <c r="T360" i="4"/>
  <c r="S351" i="4"/>
  <c r="T358" i="4"/>
  <c r="R358" i="4"/>
  <c r="R346" i="3"/>
  <c r="T346" i="3"/>
  <c r="S353" i="4"/>
  <c r="T340" i="3"/>
  <c r="R340" i="3"/>
  <c r="S340" i="3"/>
  <c r="S360" i="4"/>
  <c r="I360" i="4"/>
  <c r="I342" i="3"/>
  <c r="S341" i="3"/>
  <c r="R349" i="4"/>
  <c r="T349" i="4"/>
  <c r="S342" i="3"/>
  <c r="R344" i="3"/>
  <c r="T344" i="3"/>
  <c r="S358" i="4"/>
  <c r="R347" i="4"/>
  <c r="T347" i="4"/>
  <c r="S345" i="3"/>
  <c r="I340" i="3"/>
  <c r="G369" i="4"/>
  <c r="G365" i="4"/>
  <c r="G367" i="4"/>
  <c r="G363" i="4"/>
  <c r="G378" i="4"/>
  <c r="G376" i="4"/>
  <c r="G374" i="4"/>
  <c r="G372" i="4"/>
  <c r="G355" i="3"/>
  <c r="G357" i="3"/>
  <c r="G359" i="3"/>
  <c r="G361" i="3"/>
  <c r="G356" i="3"/>
  <c r="G358" i="3"/>
  <c r="G360" i="3"/>
  <c r="G362" i="3"/>
  <c r="N349" i="3"/>
  <c r="Q352" i="3"/>
  <c r="U361" i="4"/>
  <c r="M348" i="3"/>
  <c r="W355" i="4"/>
  <c r="O348" i="3"/>
  <c r="U353" i="3"/>
  <c r="AA364" i="4"/>
  <c r="V353" i="3"/>
  <c r="J353" i="3"/>
  <c r="Q347" i="3"/>
  <c r="Q349" i="3"/>
  <c r="J370" i="4"/>
  <c r="K348" i="3"/>
  <c r="Y354" i="3"/>
  <c r="AA352" i="3"/>
  <c r="V370" i="4"/>
  <c r="Z357" i="4"/>
  <c r="N352" i="3"/>
  <c r="X350" i="3"/>
  <c r="W351" i="3"/>
  <c r="J350" i="3"/>
  <c r="V366" i="4"/>
  <c r="Z353" i="3"/>
  <c r="W366" i="4"/>
  <c r="X370" i="4"/>
  <c r="W348" i="3"/>
  <c r="K354" i="3"/>
  <c r="AA368" i="4"/>
  <c r="Z350" i="3"/>
  <c r="L354" i="3"/>
  <c r="AA353" i="3"/>
  <c r="U359" i="4"/>
  <c r="V357" i="4"/>
  <c r="N354" i="3"/>
  <c r="V361" i="4"/>
  <c r="Y351" i="3"/>
  <c r="X352" i="3"/>
  <c r="J357" i="4"/>
  <c r="Y366" i="4"/>
  <c r="Y368" i="4"/>
  <c r="AA350" i="3"/>
  <c r="K347" i="3"/>
  <c r="Y364" i="4"/>
  <c r="M349" i="3"/>
  <c r="X348" i="3"/>
  <c r="M354" i="3"/>
  <c r="M347" i="3"/>
  <c r="X366" i="4"/>
  <c r="P349" i="3"/>
  <c r="U351" i="3"/>
  <c r="U370" i="4"/>
  <c r="AA361" i="4"/>
  <c r="W359" i="4"/>
  <c r="Y353" i="3"/>
  <c r="Z366" i="4"/>
  <c r="N351" i="3"/>
  <c r="O347" i="3"/>
  <c r="M350" i="3"/>
  <c r="U352" i="3"/>
  <c r="Q350" i="3"/>
  <c r="U354" i="3"/>
  <c r="Z354" i="3"/>
  <c r="Q354" i="3"/>
  <c r="Y361" i="4"/>
  <c r="Y359" i="4"/>
  <c r="V349" i="3"/>
  <c r="J352" i="3"/>
  <c r="Y348" i="3"/>
  <c r="Q348" i="3"/>
  <c r="N348" i="3"/>
  <c r="V348" i="3"/>
  <c r="AA359" i="4"/>
  <c r="P353" i="3"/>
  <c r="J349" i="3"/>
  <c r="O354" i="3"/>
  <c r="X354" i="3"/>
  <c r="K353" i="3"/>
  <c r="L349" i="3"/>
  <c r="Z364" i="4"/>
  <c r="Q353" i="3"/>
  <c r="Z351" i="3"/>
  <c r="O352" i="3"/>
  <c r="V364" i="4"/>
  <c r="N347" i="3"/>
  <c r="V355" i="4"/>
  <c r="P348" i="3"/>
  <c r="W352" i="3"/>
  <c r="W353" i="3"/>
  <c r="U357" i="4"/>
  <c r="O353" i="3"/>
  <c r="V352" i="3"/>
  <c r="N353" i="3"/>
  <c r="K351" i="3"/>
  <c r="J364" i="4"/>
  <c r="O350" i="3"/>
  <c r="L352" i="3"/>
  <c r="Z348" i="3"/>
  <c r="M353" i="3"/>
  <c r="J368" i="4"/>
  <c r="W354" i="3"/>
  <c r="L351" i="3"/>
  <c r="AA347" i="3"/>
  <c r="X361" i="4"/>
  <c r="Y352" i="3"/>
  <c r="X347" i="3"/>
  <c r="W370" i="4"/>
  <c r="U348" i="3"/>
  <c r="U366" i="4"/>
  <c r="V351" i="3"/>
  <c r="X368" i="4"/>
  <c r="Z368" i="4"/>
  <c r="J366" i="4"/>
  <c r="X359" i="4"/>
  <c r="Y349" i="3"/>
  <c r="M352" i="3"/>
  <c r="Z361" i="4"/>
  <c r="Y357" i="4"/>
  <c r="W368" i="4"/>
  <c r="Y347" i="3"/>
  <c r="AA354" i="3"/>
  <c r="W349" i="3"/>
  <c r="V354" i="3"/>
  <c r="V359" i="4"/>
  <c r="M351" i="3"/>
  <c r="L350" i="3"/>
  <c r="X357" i="4"/>
  <c r="X353" i="3"/>
  <c r="P351" i="3"/>
  <c r="Z352" i="3"/>
  <c r="W347" i="3"/>
  <c r="W350" i="3"/>
  <c r="J355" i="4"/>
  <c r="AA351" i="3"/>
  <c r="J347" i="3"/>
  <c r="U349" i="3"/>
  <c r="AA348" i="3"/>
  <c r="Y350" i="3"/>
  <c r="O351" i="3"/>
  <c r="J354" i="3"/>
  <c r="N350" i="3"/>
  <c r="K352" i="3"/>
  <c r="AA355" i="4"/>
  <c r="P347" i="3"/>
  <c r="Y370" i="4"/>
  <c r="Z370" i="4"/>
  <c r="J361" i="4"/>
  <c r="K350" i="3"/>
  <c r="U368" i="4"/>
  <c r="X355" i="4"/>
  <c r="L353" i="3"/>
  <c r="Z355" i="4"/>
  <c r="AA357" i="4"/>
  <c r="W361" i="4"/>
  <c r="U364" i="4"/>
  <c r="W357" i="4"/>
  <c r="J348" i="3"/>
  <c r="V368" i="4"/>
  <c r="AA366" i="4"/>
  <c r="J351" i="3"/>
  <c r="U350" i="3"/>
  <c r="P350" i="3"/>
  <c r="U347" i="3"/>
  <c r="U355" i="4"/>
  <c r="P354" i="3"/>
  <c r="K349" i="3"/>
  <c r="Z359" i="4"/>
  <c r="Z347" i="3"/>
  <c r="L348" i="3"/>
  <c r="L347" i="3"/>
  <c r="Q351" i="3"/>
  <c r="AA370" i="4"/>
  <c r="O349" i="3"/>
  <c r="W364" i="4"/>
  <c r="X351" i="3"/>
  <c r="P352" i="3"/>
  <c r="Y355" i="4"/>
  <c r="V347" i="3"/>
  <c r="Z349" i="3"/>
  <c r="J359" i="4"/>
  <c r="X364" i="4"/>
  <c r="V350" i="3"/>
  <c r="AA349" i="3"/>
  <c r="X349" i="3"/>
  <c r="I355" i="4" l="1"/>
  <c r="T355" i="4"/>
  <c r="R355" i="4"/>
  <c r="S355" i="4"/>
  <c r="I357" i="4"/>
  <c r="R350" i="3"/>
  <c r="T350" i="3"/>
  <c r="T370" i="4"/>
  <c r="R370" i="4"/>
  <c r="S361" i="4"/>
  <c r="R347" i="3"/>
  <c r="T347" i="3"/>
  <c r="R364" i="4"/>
  <c r="T364" i="4"/>
  <c r="R354" i="3"/>
  <c r="T354" i="3"/>
  <c r="S366" i="4"/>
  <c r="S368" i="4"/>
  <c r="I368" i="4"/>
  <c r="S370" i="4"/>
  <c r="S364" i="4"/>
  <c r="S359" i="4"/>
  <c r="R351" i="3"/>
  <c r="T351" i="3"/>
  <c r="S351" i="3"/>
  <c r="R352" i="3"/>
  <c r="T352" i="3"/>
  <c r="S352" i="3"/>
  <c r="I364" i="4"/>
  <c r="S353" i="3"/>
  <c r="I359" i="4"/>
  <c r="S349" i="3"/>
  <c r="I370" i="4"/>
  <c r="R361" i="4"/>
  <c r="T361" i="4"/>
  <c r="S348" i="3"/>
  <c r="R348" i="3"/>
  <c r="T348" i="3"/>
  <c r="S347" i="3"/>
  <c r="T353" i="3"/>
  <c r="R353" i="3"/>
  <c r="T366" i="4"/>
  <c r="R366" i="4"/>
  <c r="I366" i="4"/>
  <c r="T349" i="3"/>
  <c r="R349" i="3"/>
  <c r="R357" i="4"/>
  <c r="T357" i="4"/>
  <c r="T368" i="4"/>
  <c r="R368" i="4"/>
  <c r="S357" i="4"/>
  <c r="S350" i="3"/>
  <c r="I361" i="4"/>
  <c r="S354" i="3"/>
  <c r="T359" i="4"/>
  <c r="R359" i="4"/>
  <c r="G380" i="4"/>
  <c r="G382" i="4"/>
  <c r="G384" i="4"/>
  <c r="G386" i="4"/>
  <c r="G371" i="4"/>
  <c r="G375" i="4"/>
  <c r="G373" i="4"/>
  <c r="G377" i="4"/>
  <c r="G370" i="3"/>
  <c r="G368" i="3"/>
  <c r="G366" i="3"/>
  <c r="G364" i="3"/>
  <c r="G369" i="3"/>
  <c r="G367" i="3"/>
  <c r="G365" i="3"/>
  <c r="G363" i="3"/>
  <c r="N357" i="3"/>
  <c r="AA372" i="4"/>
  <c r="Y361" i="3"/>
  <c r="O358" i="3"/>
  <c r="K359" i="3"/>
  <c r="AA359" i="3"/>
  <c r="P357" i="3"/>
  <c r="X376" i="4"/>
  <c r="N359" i="3"/>
  <c r="U356" i="3"/>
  <c r="L359" i="3"/>
  <c r="M360" i="3"/>
  <c r="U359" i="3"/>
  <c r="Z372" i="4"/>
  <c r="Q360" i="3"/>
  <c r="Y363" i="4"/>
  <c r="Z357" i="3"/>
  <c r="N356" i="3"/>
  <c r="Y372" i="4"/>
  <c r="J363" i="4"/>
  <c r="W359" i="3"/>
  <c r="P362" i="3"/>
  <c r="O360" i="3"/>
  <c r="U363" i="4"/>
  <c r="AA376" i="4"/>
  <c r="L357" i="3"/>
  <c r="AA378" i="4"/>
  <c r="W374" i="4"/>
  <c r="J372" i="4"/>
  <c r="Q362" i="3"/>
  <c r="J367" i="4"/>
  <c r="Y355" i="3"/>
  <c r="AA363" i="4"/>
  <c r="X372" i="4"/>
  <c r="AA356" i="3"/>
  <c r="Y367" i="4"/>
  <c r="U362" i="3"/>
  <c r="W367" i="4"/>
  <c r="M362" i="3"/>
  <c r="U365" i="4"/>
  <c r="AA362" i="3"/>
  <c r="Q356" i="3"/>
  <c r="Q359" i="3"/>
  <c r="X357" i="3"/>
  <c r="U361" i="3"/>
  <c r="J369" i="4"/>
  <c r="V374" i="4"/>
  <c r="P360" i="3"/>
  <c r="X356" i="3"/>
  <c r="V356" i="3"/>
  <c r="L360" i="3"/>
  <c r="Y365" i="4"/>
  <c r="J362" i="3"/>
  <c r="V362" i="3"/>
  <c r="K355" i="3"/>
  <c r="Y369" i="4"/>
  <c r="K357" i="3"/>
  <c r="O357" i="3"/>
  <c r="K362" i="3"/>
  <c r="Y360" i="3"/>
  <c r="Y358" i="3"/>
  <c r="AA367" i="4"/>
  <c r="J355" i="3"/>
  <c r="V376" i="4"/>
  <c r="O359" i="3"/>
  <c r="Z378" i="4"/>
  <c r="Z358" i="3"/>
  <c r="J357" i="3"/>
  <c r="U369" i="4"/>
  <c r="Z356" i="3"/>
  <c r="Q355" i="3"/>
  <c r="V372" i="4"/>
  <c r="M358" i="3"/>
  <c r="J365" i="4"/>
  <c r="X355" i="3"/>
  <c r="Z376" i="4"/>
  <c r="W376" i="4"/>
  <c r="M359" i="3"/>
  <c r="J360" i="3"/>
  <c r="P355" i="3"/>
  <c r="U355" i="3"/>
  <c r="U358" i="3"/>
  <c r="Z369" i="4"/>
  <c r="W362" i="3"/>
  <c r="O362" i="3"/>
  <c r="X362" i="3"/>
  <c r="K360" i="3"/>
  <c r="Y356" i="3"/>
  <c r="J374" i="4"/>
  <c r="W356" i="3"/>
  <c r="X374" i="4"/>
  <c r="N355" i="3"/>
  <c r="K361" i="3"/>
  <c r="Q358" i="3"/>
  <c r="V378" i="4"/>
  <c r="Q357" i="3"/>
  <c r="Z361" i="3"/>
  <c r="AA357" i="3"/>
  <c r="J378" i="4"/>
  <c r="W365" i="4"/>
  <c r="L362" i="3"/>
  <c r="AA374" i="4"/>
  <c r="V355" i="3"/>
  <c r="N360" i="3"/>
  <c r="L356" i="3"/>
  <c r="Z363" i="4"/>
  <c r="X361" i="3"/>
  <c r="W363" i="4"/>
  <c r="L355" i="3"/>
  <c r="V360" i="3"/>
  <c r="AA369" i="4"/>
  <c r="L361" i="3"/>
  <c r="Y376" i="4"/>
  <c r="V359" i="3"/>
  <c r="N361" i="3"/>
  <c r="W369" i="4"/>
  <c r="W361" i="3"/>
  <c r="L358" i="3"/>
  <c r="M356" i="3"/>
  <c r="K356" i="3"/>
  <c r="P356" i="3"/>
  <c r="V369" i="4"/>
  <c r="W355" i="3"/>
  <c r="W378" i="4"/>
  <c r="U374" i="4"/>
  <c r="J361" i="3"/>
  <c r="Y359" i="3"/>
  <c r="V365" i="4"/>
  <c r="W358" i="3"/>
  <c r="Z374" i="4"/>
  <c r="X378" i="4"/>
  <c r="Z362" i="3"/>
  <c r="U357" i="3"/>
  <c r="O355" i="3"/>
  <c r="U376" i="4"/>
  <c r="X365" i="4"/>
  <c r="V367" i="4"/>
  <c r="U372" i="4"/>
  <c r="V357" i="3"/>
  <c r="Z355" i="3"/>
  <c r="Y378" i="4"/>
  <c r="Q361" i="3"/>
  <c r="Z365" i="4"/>
  <c r="AA358" i="3"/>
  <c r="U378" i="4"/>
  <c r="J376" i="4"/>
  <c r="P358" i="3"/>
  <c r="P361" i="3"/>
  <c r="V358" i="3"/>
  <c r="W360" i="3"/>
  <c r="X363" i="4"/>
  <c r="J356" i="3"/>
  <c r="N358" i="3"/>
  <c r="AA355" i="3"/>
  <c r="O356" i="3"/>
  <c r="Z367" i="4"/>
  <c r="Y362" i="3"/>
  <c r="M355" i="3"/>
  <c r="W357" i="3"/>
  <c r="X360" i="3"/>
  <c r="Y357" i="3"/>
  <c r="M361" i="3"/>
  <c r="Y374" i="4"/>
  <c r="J359" i="3"/>
  <c r="X358" i="3"/>
  <c r="Z360" i="3"/>
  <c r="O361" i="3"/>
  <c r="Z359" i="3"/>
  <c r="N362" i="3"/>
  <c r="U360" i="3"/>
  <c r="M357" i="3"/>
  <c r="X369" i="4"/>
  <c r="X359" i="3"/>
  <c r="V361" i="3"/>
  <c r="U367" i="4"/>
  <c r="W372" i="4"/>
  <c r="AA360" i="3"/>
  <c r="AA365" i="4"/>
  <c r="K358" i="3"/>
  <c r="P359" i="3"/>
  <c r="V363" i="4"/>
  <c r="X367" i="4"/>
  <c r="AA361" i="3"/>
  <c r="J358" i="3"/>
  <c r="I358" i="3" l="1"/>
  <c r="S358" i="3"/>
  <c r="R365" i="4"/>
  <c r="T365" i="4"/>
  <c r="R376" i="4"/>
  <c r="T376" i="4"/>
  <c r="T374" i="4"/>
  <c r="R374" i="4"/>
  <c r="I363" i="4"/>
  <c r="S361" i="3"/>
  <c r="I362" i="3"/>
  <c r="S369" i="4"/>
  <c r="T378" i="4"/>
  <c r="R378" i="4"/>
  <c r="S365" i="4"/>
  <c r="I365" i="4"/>
  <c r="S376" i="4"/>
  <c r="T367" i="4"/>
  <c r="R367" i="4"/>
  <c r="S374" i="4"/>
  <c r="I360" i="3"/>
  <c r="I359" i="3"/>
  <c r="I361" i="3"/>
  <c r="R361" i="3"/>
  <c r="T361" i="3"/>
  <c r="R362" i="3"/>
  <c r="T362" i="3"/>
  <c r="S356" i="3"/>
  <c r="T357" i="3"/>
  <c r="R357" i="3"/>
  <c r="S367" i="4"/>
  <c r="I374" i="4"/>
  <c r="S360" i="3"/>
  <c r="R359" i="3"/>
  <c r="T359" i="3"/>
  <c r="R372" i="4"/>
  <c r="T372" i="4"/>
  <c r="I372" i="4"/>
  <c r="I369" i="4"/>
  <c r="I355" i="3"/>
  <c r="S355" i="3"/>
  <c r="T356" i="3"/>
  <c r="R356" i="3"/>
  <c r="S357" i="3"/>
  <c r="I357" i="3"/>
  <c r="I378" i="4"/>
  <c r="I376" i="4"/>
  <c r="I367" i="4"/>
  <c r="S359" i="3"/>
  <c r="R363" i="4"/>
  <c r="T363" i="4"/>
  <c r="S372" i="4"/>
  <c r="R369" i="4"/>
  <c r="T369" i="4"/>
  <c r="R355" i="3"/>
  <c r="T355" i="3"/>
  <c r="I356" i="3"/>
  <c r="S378" i="4"/>
  <c r="R358" i="3"/>
  <c r="T358" i="3"/>
  <c r="R360" i="3"/>
  <c r="T360" i="3"/>
  <c r="S363" i="4"/>
  <c r="S362" i="3"/>
  <c r="G385" i="4"/>
  <c r="G381" i="4"/>
  <c r="G383" i="4"/>
  <c r="G379" i="4"/>
  <c r="G394" i="4"/>
  <c r="G392" i="4"/>
  <c r="G390" i="4"/>
  <c r="G388" i="4"/>
  <c r="G371" i="3"/>
  <c r="G373" i="3"/>
  <c r="G375" i="3"/>
  <c r="G377" i="3"/>
  <c r="G372" i="3"/>
  <c r="G374" i="3"/>
  <c r="G376" i="3"/>
  <c r="G378" i="3"/>
  <c r="U367" i="3"/>
  <c r="Y366" i="3"/>
  <c r="V382" i="4"/>
  <c r="N364" i="3"/>
  <c r="U386" i="4"/>
  <c r="Z384" i="4"/>
  <c r="Y367" i="3"/>
  <c r="X373" i="4"/>
  <c r="W364" i="3"/>
  <c r="P366" i="3"/>
  <c r="Y371" i="4"/>
  <c r="V366" i="3"/>
  <c r="N368" i="3"/>
  <c r="W370" i="3"/>
  <c r="V364" i="3"/>
  <c r="W363" i="3"/>
  <c r="AA377" i="4"/>
  <c r="Z371" i="4"/>
  <c r="J366" i="3"/>
  <c r="AA367" i="3"/>
  <c r="K365" i="3"/>
  <c r="J371" i="4"/>
  <c r="W373" i="4"/>
  <c r="Z377" i="4"/>
  <c r="L369" i="3"/>
  <c r="Z370" i="3"/>
  <c r="X377" i="4"/>
  <c r="AA369" i="3"/>
  <c r="V363" i="3"/>
  <c r="N367" i="3"/>
  <c r="W367" i="3"/>
  <c r="Z368" i="3"/>
  <c r="Q367" i="3"/>
  <c r="J365" i="3"/>
  <c r="O370" i="3"/>
  <c r="P367" i="3"/>
  <c r="K364" i="3"/>
  <c r="Y368" i="3"/>
  <c r="L365" i="3"/>
  <c r="Q365" i="3"/>
  <c r="O365" i="3"/>
  <c r="M367" i="3"/>
  <c r="Y384" i="4"/>
  <c r="V370" i="3"/>
  <c r="J384" i="4"/>
  <c r="Z382" i="4"/>
  <c r="Z363" i="3"/>
  <c r="Z386" i="4"/>
  <c r="X382" i="4"/>
  <c r="U373" i="4"/>
  <c r="Q369" i="3"/>
  <c r="P368" i="3"/>
  <c r="W384" i="4"/>
  <c r="J364" i="3"/>
  <c r="Z373" i="4"/>
  <c r="Z367" i="3"/>
  <c r="P370" i="3"/>
  <c r="O367" i="3"/>
  <c r="AA386" i="4"/>
  <c r="U377" i="4"/>
  <c r="AA380" i="4"/>
  <c r="X386" i="4"/>
  <c r="AA364" i="3"/>
  <c r="AA368" i="3"/>
  <c r="Y370" i="3"/>
  <c r="U366" i="3"/>
  <c r="X375" i="4"/>
  <c r="M363" i="3"/>
  <c r="U371" i="4"/>
  <c r="V365" i="3"/>
  <c r="O368" i="3"/>
  <c r="J370" i="3"/>
  <c r="AA375" i="4"/>
  <c r="X370" i="3"/>
  <c r="J380" i="4"/>
  <c r="U368" i="3"/>
  <c r="L368" i="3"/>
  <c r="Y364" i="3"/>
  <c r="J368" i="3"/>
  <c r="AA384" i="4"/>
  <c r="Q370" i="3"/>
  <c r="X367" i="3"/>
  <c r="O364" i="3"/>
  <c r="K368" i="3"/>
  <c r="W386" i="4"/>
  <c r="M369" i="3"/>
  <c r="J363" i="3"/>
  <c r="AA363" i="3"/>
  <c r="U384" i="4"/>
  <c r="Q363" i="3"/>
  <c r="Z369" i="3"/>
  <c r="X380" i="4"/>
  <c r="V375" i="4"/>
  <c r="V368" i="3"/>
  <c r="AA373" i="4"/>
  <c r="V367" i="3"/>
  <c r="P363" i="3"/>
  <c r="L363" i="3"/>
  <c r="U380" i="4"/>
  <c r="L366" i="3"/>
  <c r="W368" i="3"/>
  <c r="Y369" i="3"/>
  <c r="AA371" i="4"/>
  <c r="U375" i="4"/>
  <c r="U370" i="3"/>
  <c r="U364" i="3"/>
  <c r="M366" i="3"/>
  <c r="X363" i="3"/>
  <c r="L364" i="3"/>
  <c r="J367" i="3"/>
  <c r="L367" i="3"/>
  <c r="Y377" i="4"/>
  <c r="P364" i="3"/>
  <c r="M370" i="3"/>
  <c r="W371" i="4"/>
  <c r="W380" i="4"/>
  <c r="K370" i="3"/>
  <c r="P365" i="3"/>
  <c r="M365" i="3"/>
  <c r="J373" i="4"/>
  <c r="V377" i="4"/>
  <c r="V384" i="4"/>
  <c r="Y365" i="3"/>
  <c r="L370" i="3"/>
  <c r="Z366" i="3"/>
  <c r="N370" i="3"/>
  <c r="J386" i="4"/>
  <c r="W377" i="4"/>
  <c r="Z380" i="4"/>
  <c r="AA382" i="4"/>
  <c r="X365" i="3"/>
  <c r="O366" i="3"/>
  <c r="Q366" i="3"/>
  <c r="O369" i="3"/>
  <c r="Q368" i="3"/>
  <c r="X368" i="3"/>
  <c r="P369" i="3"/>
  <c r="J377" i="4"/>
  <c r="O363" i="3"/>
  <c r="J369" i="3"/>
  <c r="U369" i="3"/>
  <c r="J375" i="4"/>
  <c r="Y386" i="4"/>
  <c r="Y380" i="4"/>
  <c r="Q364" i="3"/>
  <c r="N369" i="3"/>
  <c r="K363" i="3"/>
  <c r="U365" i="3"/>
  <c r="W375" i="4"/>
  <c r="Y373" i="4"/>
  <c r="Y382" i="4"/>
  <c r="U363" i="3"/>
  <c r="AA366" i="3"/>
  <c r="K366" i="3"/>
  <c r="X369" i="3"/>
  <c r="V369" i="3"/>
  <c r="AA365" i="3"/>
  <c r="K369" i="3"/>
  <c r="V380" i="4"/>
  <c r="X371" i="4"/>
  <c r="K367" i="3"/>
  <c r="Z364" i="3"/>
  <c r="N366" i="3"/>
  <c r="J382" i="4"/>
  <c r="M368" i="3"/>
  <c r="V373" i="4"/>
  <c r="N365" i="3"/>
  <c r="X364" i="3"/>
  <c r="AA370" i="3"/>
  <c r="V386" i="4"/>
  <c r="Y375" i="4"/>
  <c r="Y363" i="3"/>
  <c r="W366" i="3"/>
  <c r="V371" i="4"/>
  <c r="W365" i="3"/>
  <c r="U382" i="4"/>
  <c r="W369" i="3"/>
  <c r="X384" i="4"/>
  <c r="N363" i="3"/>
  <c r="Z365" i="3"/>
  <c r="X366" i="3"/>
  <c r="M364" i="3"/>
  <c r="W382" i="4"/>
  <c r="Z375" i="4"/>
  <c r="S382" i="4" l="1"/>
  <c r="S373" i="4"/>
  <c r="R368" i="3"/>
  <c r="T368" i="3"/>
  <c r="T386" i="4"/>
  <c r="R386" i="4"/>
  <c r="S377" i="4"/>
  <c r="R380" i="4"/>
  <c r="T380" i="4"/>
  <c r="I371" i="4"/>
  <c r="R370" i="3"/>
  <c r="T370" i="3"/>
  <c r="S370" i="3"/>
  <c r="I368" i="3"/>
  <c r="S368" i="3"/>
  <c r="I373" i="4"/>
  <c r="S365" i="3"/>
  <c r="S386" i="4"/>
  <c r="I369" i="3"/>
  <c r="T375" i="4"/>
  <c r="R375" i="4"/>
  <c r="I375" i="4"/>
  <c r="S367" i="3"/>
  <c r="S380" i="4"/>
  <c r="T382" i="4"/>
  <c r="R382" i="4"/>
  <c r="R373" i="4"/>
  <c r="T373" i="4"/>
  <c r="R365" i="3"/>
  <c r="T365" i="3"/>
  <c r="T384" i="4"/>
  <c r="R384" i="4"/>
  <c r="S366" i="3"/>
  <c r="R366" i="3"/>
  <c r="T366" i="3"/>
  <c r="I377" i="4"/>
  <c r="S364" i="3"/>
  <c r="I364" i="3"/>
  <c r="R363" i="3"/>
  <c r="T363" i="3"/>
  <c r="S363" i="3"/>
  <c r="S369" i="3"/>
  <c r="R369" i="3"/>
  <c r="T369" i="3"/>
  <c r="S375" i="4"/>
  <c r="I367" i="3"/>
  <c r="R367" i="3"/>
  <c r="T367" i="3"/>
  <c r="S384" i="4"/>
  <c r="I366" i="3"/>
  <c r="R377" i="4"/>
  <c r="T377" i="4"/>
  <c r="I363" i="3"/>
  <c r="T371" i="4"/>
  <c r="R371" i="4"/>
  <c r="S371" i="4"/>
  <c r="I370" i="3"/>
  <c r="I365" i="3"/>
  <c r="R364" i="3"/>
  <c r="T364" i="3"/>
  <c r="G396" i="4"/>
  <c r="G398" i="4"/>
  <c r="G400" i="4"/>
  <c r="G402" i="4"/>
  <c r="G387" i="4"/>
  <c r="G391" i="4"/>
  <c r="G389" i="4"/>
  <c r="G393" i="4"/>
  <c r="G386" i="3"/>
  <c r="G384" i="3"/>
  <c r="G382" i="3"/>
  <c r="G380" i="3"/>
  <c r="G385" i="3"/>
  <c r="G383" i="3"/>
  <c r="G381" i="3"/>
  <c r="G379" i="3"/>
  <c r="N371" i="3"/>
  <c r="Y379" i="4"/>
  <c r="M377" i="3"/>
  <c r="Q378" i="3"/>
  <c r="L374" i="3"/>
  <c r="U376" i="3"/>
  <c r="K374" i="3"/>
  <c r="U394" i="4"/>
  <c r="V376" i="3"/>
  <c r="P376" i="3"/>
  <c r="U373" i="3"/>
  <c r="Z381" i="4"/>
  <c r="W377" i="3"/>
  <c r="X377" i="3"/>
  <c r="W390" i="4"/>
  <c r="U375" i="3"/>
  <c r="Z394" i="4"/>
  <c r="Q371" i="3"/>
  <c r="Y385" i="4"/>
  <c r="P371" i="3"/>
  <c r="X379" i="4"/>
  <c r="O371" i="3"/>
  <c r="Y381" i="4"/>
  <c r="AA371" i="3"/>
  <c r="Z371" i="3"/>
  <c r="AA381" i="4"/>
  <c r="W373" i="3"/>
  <c r="P375" i="3"/>
  <c r="V373" i="3"/>
  <c r="Y378" i="3"/>
  <c r="K372" i="3"/>
  <c r="V379" i="4"/>
  <c r="V378" i="3"/>
  <c r="U381" i="4"/>
  <c r="X392" i="4"/>
  <c r="J390" i="4"/>
  <c r="V394" i="4"/>
  <c r="L376" i="3"/>
  <c r="U392" i="4"/>
  <c r="U374" i="3"/>
  <c r="AA378" i="3"/>
  <c r="Y388" i="4"/>
  <c r="U378" i="3"/>
  <c r="W376" i="3"/>
  <c r="Y383" i="4"/>
  <c r="J381" i="4"/>
  <c r="X385" i="4"/>
  <c r="AA390" i="4"/>
  <c r="Z392" i="4"/>
  <c r="J383" i="4"/>
  <c r="K375" i="3"/>
  <c r="W379" i="4"/>
  <c r="Y392" i="4"/>
  <c r="X374" i="3"/>
  <c r="W378" i="3"/>
  <c r="AA374" i="3"/>
  <c r="O373" i="3"/>
  <c r="P373" i="3"/>
  <c r="Q373" i="3"/>
  <c r="O378" i="3"/>
  <c r="V388" i="4"/>
  <c r="M375" i="3"/>
  <c r="Z390" i="4"/>
  <c r="Z373" i="3"/>
  <c r="J371" i="3"/>
  <c r="X388" i="4"/>
  <c r="W392" i="4"/>
  <c r="N377" i="3"/>
  <c r="L377" i="3"/>
  <c r="U371" i="3"/>
  <c r="O372" i="3"/>
  <c r="Q377" i="3"/>
  <c r="AA372" i="3"/>
  <c r="O374" i="3"/>
  <c r="X373" i="3"/>
  <c r="U379" i="4"/>
  <c r="AA385" i="4"/>
  <c r="Z372" i="3"/>
  <c r="J372" i="3"/>
  <c r="L372" i="3"/>
  <c r="U372" i="3"/>
  <c r="X375" i="3"/>
  <c r="W375" i="3"/>
  <c r="M373" i="3"/>
  <c r="U377" i="3"/>
  <c r="N375" i="3"/>
  <c r="AA373" i="3"/>
  <c r="Z374" i="3"/>
  <c r="AA376" i="3"/>
  <c r="V375" i="3"/>
  <c r="M371" i="3"/>
  <c r="Q372" i="3"/>
  <c r="V377" i="3"/>
  <c r="Q376" i="3"/>
  <c r="M378" i="3"/>
  <c r="N378" i="3"/>
  <c r="L375" i="3"/>
  <c r="Y390" i="4"/>
  <c r="P374" i="3"/>
  <c r="Z379" i="4"/>
  <c r="J388" i="4"/>
  <c r="J392" i="4"/>
  <c r="V392" i="4"/>
  <c r="V372" i="3"/>
  <c r="O376" i="3"/>
  <c r="N376" i="3"/>
  <c r="X394" i="4"/>
  <c r="V390" i="4"/>
  <c r="Q374" i="3"/>
  <c r="AA392" i="4"/>
  <c r="Y374" i="3"/>
  <c r="P372" i="3"/>
  <c r="Q375" i="3"/>
  <c r="J374" i="3"/>
  <c r="K373" i="3"/>
  <c r="W374" i="3"/>
  <c r="X390" i="4"/>
  <c r="AA377" i="3"/>
  <c r="P378" i="3"/>
  <c r="X372" i="3"/>
  <c r="W381" i="4"/>
  <c r="J373" i="3"/>
  <c r="Z375" i="3"/>
  <c r="M376" i="3"/>
  <c r="V381" i="4"/>
  <c r="U390" i="4"/>
  <c r="W385" i="4"/>
  <c r="Z377" i="3"/>
  <c r="N372" i="3"/>
  <c r="AA394" i="4"/>
  <c r="Y371" i="3"/>
  <c r="J394" i="4"/>
  <c r="K377" i="3"/>
  <c r="Y372" i="3"/>
  <c r="J385" i="4"/>
  <c r="L378" i="3"/>
  <c r="Y373" i="3"/>
  <c r="K378" i="3"/>
  <c r="Z383" i="4"/>
  <c r="J379" i="4"/>
  <c r="L373" i="3"/>
  <c r="X376" i="3"/>
  <c r="P377" i="3"/>
  <c r="X383" i="4"/>
  <c r="W383" i="4"/>
  <c r="J376" i="3"/>
  <c r="M374" i="3"/>
  <c r="AA379" i="4"/>
  <c r="V383" i="4"/>
  <c r="U383" i="4"/>
  <c r="Z376" i="3"/>
  <c r="K371" i="3"/>
  <c r="N374" i="3"/>
  <c r="N373" i="3"/>
  <c r="J377" i="3"/>
  <c r="J378" i="3"/>
  <c r="Z388" i="4"/>
  <c r="Y375" i="3"/>
  <c r="J375" i="3"/>
  <c r="AA383" i="4"/>
  <c r="V374" i="3"/>
  <c r="W394" i="4"/>
  <c r="Z378" i="3"/>
  <c r="L371" i="3"/>
  <c r="X371" i="3"/>
  <c r="Y394" i="4"/>
  <c r="W388" i="4"/>
  <c r="AA375" i="3"/>
  <c r="U385" i="4"/>
  <c r="O375" i="3"/>
  <c r="K376" i="3"/>
  <c r="Z385" i="4"/>
  <c r="V385" i="4"/>
  <c r="Y377" i="3"/>
  <c r="AA388" i="4"/>
  <c r="Y376" i="3"/>
  <c r="V371" i="3"/>
  <c r="X378" i="3"/>
  <c r="U388" i="4"/>
  <c r="W372" i="3"/>
  <c r="O377" i="3"/>
  <c r="W371" i="3"/>
  <c r="X381" i="4"/>
  <c r="M372" i="3"/>
  <c r="S385" i="4" l="1"/>
  <c r="I372" i="3"/>
  <c r="T372" i="3"/>
  <c r="R372" i="3"/>
  <c r="S373" i="3"/>
  <c r="T390" i="4"/>
  <c r="R390" i="4"/>
  <c r="I373" i="3"/>
  <c r="T383" i="4"/>
  <c r="R383" i="4"/>
  <c r="S390" i="4"/>
  <c r="I375" i="3"/>
  <c r="R381" i="4"/>
  <c r="T381" i="4"/>
  <c r="R374" i="3"/>
  <c r="T374" i="3"/>
  <c r="R379" i="4"/>
  <c r="T379" i="4"/>
  <c r="R385" i="4"/>
  <c r="T385" i="4"/>
  <c r="S394" i="4"/>
  <c r="S372" i="3"/>
  <c r="S383" i="4"/>
  <c r="R376" i="3"/>
  <c r="T376" i="3"/>
  <c r="S381" i="4"/>
  <c r="S379" i="4"/>
  <c r="R388" i="4"/>
  <c r="T388" i="4"/>
  <c r="R378" i="3"/>
  <c r="T378" i="3"/>
  <c r="R392" i="4"/>
  <c r="T392" i="4"/>
  <c r="R373" i="3"/>
  <c r="T373" i="3"/>
  <c r="R375" i="3"/>
  <c r="T375" i="3"/>
  <c r="S376" i="3"/>
  <c r="S388" i="4"/>
  <c r="S377" i="3"/>
  <c r="R377" i="3"/>
  <c r="T377" i="3"/>
  <c r="I371" i="3"/>
  <c r="S375" i="3"/>
  <c r="I376" i="3"/>
  <c r="I374" i="3"/>
  <c r="S378" i="3"/>
  <c r="R371" i="3"/>
  <c r="T371" i="3"/>
  <c r="S371" i="3"/>
  <c r="S392" i="4"/>
  <c r="I392" i="4"/>
  <c r="T394" i="4"/>
  <c r="R394" i="4"/>
  <c r="I394" i="4"/>
  <c r="I390" i="4"/>
  <c r="S374" i="3"/>
  <c r="I388" i="4"/>
  <c r="I377" i="3"/>
  <c r="I378" i="3"/>
  <c r="G401" i="4"/>
  <c r="G397" i="4"/>
  <c r="G399" i="4"/>
  <c r="G395" i="4"/>
  <c r="G410" i="4"/>
  <c r="G408" i="4"/>
  <c r="G406" i="4"/>
  <c r="G404" i="4"/>
  <c r="G387" i="3"/>
  <c r="G389" i="3"/>
  <c r="G391" i="3"/>
  <c r="G393" i="3"/>
  <c r="G388" i="3"/>
  <c r="G390" i="3"/>
  <c r="G392" i="3"/>
  <c r="G394" i="3"/>
  <c r="N383" i="3"/>
  <c r="P385" i="3"/>
  <c r="W386" i="3"/>
  <c r="AA391" i="4"/>
  <c r="J385" i="3"/>
  <c r="U387" i="4"/>
  <c r="Y385" i="3"/>
  <c r="O379" i="3"/>
  <c r="Z379" i="3"/>
  <c r="Z386" i="3"/>
  <c r="J402" i="4"/>
  <c r="AA402" i="4"/>
  <c r="M386" i="3"/>
  <c r="K385" i="3"/>
  <c r="V386" i="3"/>
  <c r="Q379" i="3"/>
  <c r="Z381" i="3"/>
  <c r="V382" i="3"/>
  <c r="Q380" i="3"/>
  <c r="K381" i="3"/>
  <c r="W400" i="4"/>
  <c r="X387" i="4"/>
  <c r="J383" i="3"/>
  <c r="Y379" i="3"/>
  <c r="AA379" i="3"/>
  <c r="M380" i="3"/>
  <c r="V389" i="4"/>
  <c r="M384" i="3"/>
  <c r="Y396" i="4"/>
  <c r="V398" i="4"/>
  <c r="P384" i="3"/>
  <c r="J382" i="3"/>
  <c r="U382" i="3"/>
  <c r="U383" i="3"/>
  <c r="V384" i="3"/>
  <c r="Y402" i="4"/>
  <c r="AA380" i="3"/>
  <c r="J396" i="4"/>
  <c r="AA396" i="4"/>
  <c r="L382" i="3"/>
  <c r="AA387" i="4"/>
  <c r="V379" i="3"/>
  <c r="X385" i="3"/>
  <c r="L381" i="3"/>
  <c r="W396" i="4"/>
  <c r="U393" i="4"/>
  <c r="U379" i="3"/>
  <c r="Z400" i="4"/>
  <c r="V393" i="4"/>
  <c r="Z402" i="4"/>
  <c r="Y391" i="4"/>
  <c r="K386" i="3"/>
  <c r="W389" i="4"/>
  <c r="L380" i="3"/>
  <c r="J387" i="4"/>
  <c r="Q383" i="3"/>
  <c r="W383" i="3"/>
  <c r="J384" i="3"/>
  <c r="N384" i="3"/>
  <c r="M385" i="3"/>
  <c r="AA382" i="3"/>
  <c r="W379" i="3"/>
  <c r="N379" i="3"/>
  <c r="N381" i="3"/>
  <c r="W393" i="4"/>
  <c r="O382" i="3"/>
  <c r="Y389" i="4"/>
  <c r="J393" i="4"/>
  <c r="P380" i="3"/>
  <c r="Y400" i="4"/>
  <c r="V380" i="3"/>
  <c r="X383" i="3"/>
  <c r="Y383" i="3"/>
  <c r="Z383" i="3"/>
  <c r="U389" i="4"/>
  <c r="L385" i="3"/>
  <c r="U402" i="4"/>
  <c r="AA385" i="3"/>
  <c r="W381" i="3"/>
  <c r="N385" i="3"/>
  <c r="J398" i="4"/>
  <c r="W382" i="3"/>
  <c r="Z385" i="3"/>
  <c r="L379" i="3"/>
  <c r="Z384" i="3"/>
  <c r="Y386" i="3"/>
  <c r="X402" i="4"/>
  <c r="V402" i="4"/>
  <c r="J379" i="3"/>
  <c r="K382" i="3"/>
  <c r="AA389" i="4"/>
  <c r="M381" i="3"/>
  <c r="X386" i="3"/>
  <c r="AA384" i="3"/>
  <c r="K384" i="3"/>
  <c r="W391" i="4"/>
  <c r="N386" i="3"/>
  <c r="Z396" i="4"/>
  <c r="W385" i="3"/>
  <c r="V387" i="4"/>
  <c r="P386" i="3"/>
  <c r="AA400" i="4"/>
  <c r="V383" i="3"/>
  <c r="X398" i="4"/>
  <c r="J389" i="4"/>
  <c r="V391" i="4"/>
  <c r="AA383" i="3"/>
  <c r="K383" i="3"/>
  <c r="U398" i="4"/>
  <c r="U391" i="4"/>
  <c r="L384" i="3"/>
  <c r="W387" i="4"/>
  <c r="Y384" i="3"/>
  <c r="U396" i="4"/>
  <c r="X396" i="4"/>
  <c r="Z391" i="4"/>
  <c r="O383" i="3"/>
  <c r="Q385" i="3"/>
  <c r="Q381" i="3"/>
  <c r="L386" i="3"/>
  <c r="AA393" i="4"/>
  <c r="U400" i="4"/>
  <c r="X381" i="3"/>
  <c r="P379" i="3"/>
  <c r="X382" i="3"/>
  <c r="Q384" i="3"/>
  <c r="Y381" i="3"/>
  <c r="U384" i="3"/>
  <c r="AA386" i="3"/>
  <c r="M379" i="3"/>
  <c r="Y380" i="3"/>
  <c r="Z380" i="3"/>
  <c r="Z382" i="3"/>
  <c r="X400" i="4"/>
  <c r="Q382" i="3"/>
  <c r="Y398" i="4"/>
  <c r="P381" i="3"/>
  <c r="J386" i="3"/>
  <c r="Y387" i="4"/>
  <c r="O386" i="3"/>
  <c r="X380" i="3"/>
  <c r="P383" i="3"/>
  <c r="K379" i="3"/>
  <c r="Y382" i="3"/>
  <c r="O380" i="3"/>
  <c r="X393" i="4"/>
  <c r="W402" i="4"/>
  <c r="L383" i="3"/>
  <c r="U380" i="3"/>
  <c r="V381" i="3"/>
  <c r="J400" i="4"/>
  <c r="U386" i="3"/>
  <c r="AA381" i="3"/>
  <c r="Z389" i="4"/>
  <c r="P382" i="3"/>
  <c r="X384" i="3"/>
  <c r="N382" i="3"/>
  <c r="U385" i="3"/>
  <c r="Z398" i="4"/>
  <c r="J381" i="3"/>
  <c r="M383" i="3"/>
  <c r="M382" i="3"/>
  <c r="W380" i="3"/>
  <c r="K380" i="3"/>
  <c r="X391" i="4"/>
  <c r="Z393" i="4"/>
  <c r="Y393" i="4"/>
  <c r="Q386" i="3"/>
  <c r="J391" i="4"/>
  <c r="J380" i="3"/>
  <c r="N380" i="3"/>
  <c r="V385" i="3"/>
  <c r="V396" i="4"/>
  <c r="V400" i="4"/>
  <c r="AA398" i="4"/>
  <c r="X389" i="4"/>
  <c r="O381" i="3"/>
  <c r="W384" i="3"/>
  <c r="W398" i="4"/>
  <c r="X379" i="3"/>
  <c r="U381" i="3"/>
  <c r="Z387" i="4"/>
  <c r="O384" i="3"/>
  <c r="O385" i="3"/>
  <c r="T400" i="4" l="1"/>
  <c r="R400" i="4"/>
  <c r="I396" i="4"/>
  <c r="I398" i="4"/>
  <c r="S381" i="3"/>
  <c r="I389" i="4"/>
  <c r="T387" i="4"/>
  <c r="R387" i="4"/>
  <c r="R396" i="4"/>
  <c r="T396" i="4"/>
  <c r="S384" i="3"/>
  <c r="I400" i="4"/>
  <c r="S382" i="3"/>
  <c r="I402" i="4"/>
  <c r="R393" i="4"/>
  <c r="T393" i="4"/>
  <c r="S380" i="3"/>
  <c r="R379" i="3"/>
  <c r="T379" i="3"/>
  <c r="S379" i="3"/>
  <c r="S387" i="4"/>
  <c r="R386" i="3"/>
  <c r="T386" i="3"/>
  <c r="T385" i="3"/>
  <c r="R385" i="3"/>
  <c r="R382" i="3"/>
  <c r="T382" i="3"/>
  <c r="T381" i="3"/>
  <c r="R381" i="3"/>
  <c r="T402" i="4"/>
  <c r="R402" i="4"/>
  <c r="S393" i="4"/>
  <c r="R380" i="3"/>
  <c r="T380" i="3"/>
  <c r="S386" i="3"/>
  <c r="R383" i="3"/>
  <c r="T383" i="3"/>
  <c r="S396" i="4"/>
  <c r="T398" i="4"/>
  <c r="R398" i="4"/>
  <c r="S398" i="4"/>
  <c r="R389" i="4"/>
  <c r="T389" i="4"/>
  <c r="S402" i="4"/>
  <c r="I393" i="4"/>
  <c r="I387" i="4"/>
  <c r="T391" i="4"/>
  <c r="R391" i="4"/>
  <c r="I391" i="4"/>
  <c r="S383" i="3"/>
  <c r="S400" i="4"/>
  <c r="R384" i="3"/>
  <c r="T384" i="3"/>
  <c r="S389" i="4"/>
  <c r="S385" i="3"/>
  <c r="S391" i="4"/>
  <c r="G412" i="4"/>
  <c r="G414" i="4"/>
  <c r="G416" i="4"/>
  <c r="G418" i="4"/>
  <c r="G403" i="4"/>
  <c r="G407" i="4"/>
  <c r="G405" i="4"/>
  <c r="G409" i="4"/>
  <c r="G402" i="3"/>
  <c r="G400" i="3"/>
  <c r="G398" i="3"/>
  <c r="G396" i="3"/>
  <c r="G401" i="3"/>
  <c r="G399" i="3"/>
  <c r="G397" i="3"/>
  <c r="G395" i="3"/>
  <c r="N392" i="3"/>
  <c r="V394" i="3"/>
  <c r="O393" i="3"/>
  <c r="Z404" i="4"/>
  <c r="M392" i="3"/>
  <c r="M389" i="3"/>
  <c r="Z397" i="4"/>
  <c r="Y406" i="4"/>
  <c r="M394" i="3"/>
  <c r="Y387" i="3"/>
  <c r="X395" i="4"/>
  <c r="AA394" i="3"/>
  <c r="J399" i="4"/>
  <c r="W395" i="4"/>
  <c r="U410" i="4"/>
  <c r="P387" i="3"/>
  <c r="W394" i="3"/>
  <c r="M387" i="3"/>
  <c r="W406" i="4"/>
  <c r="AA392" i="3"/>
  <c r="Y394" i="3"/>
  <c r="K389" i="3"/>
  <c r="V392" i="3"/>
  <c r="J395" i="4"/>
  <c r="O388" i="3"/>
  <c r="U397" i="4"/>
  <c r="K388" i="3"/>
  <c r="L389" i="3"/>
  <c r="Y401" i="4"/>
  <c r="X410" i="4"/>
  <c r="L393" i="3"/>
  <c r="Z401" i="4"/>
  <c r="V408" i="4"/>
  <c r="X408" i="4"/>
  <c r="J408" i="4"/>
  <c r="AA401" i="4"/>
  <c r="V397" i="4"/>
  <c r="N387" i="3"/>
  <c r="J391" i="3"/>
  <c r="U401" i="4"/>
  <c r="W388" i="3"/>
  <c r="J388" i="3"/>
  <c r="Z392" i="3"/>
  <c r="Y391" i="3"/>
  <c r="Q391" i="3"/>
  <c r="J389" i="3"/>
  <c r="K387" i="3"/>
  <c r="U388" i="3"/>
  <c r="N393" i="3"/>
  <c r="Y410" i="4"/>
  <c r="V388" i="3"/>
  <c r="O391" i="3"/>
  <c r="Y388" i="3"/>
  <c r="J392" i="3"/>
  <c r="N388" i="3"/>
  <c r="K394" i="3"/>
  <c r="U392" i="3"/>
  <c r="W391" i="3"/>
  <c r="Z410" i="4"/>
  <c r="N391" i="3"/>
  <c r="V399" i="4"/>
  <c r="W397" i="4"/>
  <c r="W410" i="4"/>
  <c r="K392" i="3"/>
  <c r="X406" i="4"/>
  <c r="U394" i="3"/>
  <c r="AA391" i="3"/>
  <c r="AA410" i="4"/>
  <c r="M390" i="3"/>
  <c r="X390" i="3"/>
  <c r="O394" i="3"/>
  <c r="AA390" i="3"/>
  <c r="AA395" i="4"/>
  <c r="Z408" i="4"/>
  <c r="X399" i="4"/>
  <c r="Z394" i="3"/>
  <c r="Q393" i="3"/>
  <c r="L391" i="3"/>
  <c r="AA393" i="3"/>
  <c r="J390" i="3"/>
  <c r="W408" i="4"/>
  <c r="W392" i="3"/>
  <c r="O387" i="3"/>
  <c r="W401" i="4"/>
  <c r="P390" i="3"/>
  <c r="U408" i="4"/>
  <c r="K391" i="3"/>
  <c r="J387" i="3"/>
  <c r="Z388" i="3"/>
  <c r="M393" i="3"/>
  <c r="V410" i="4"/>
  <c r="X404" i="4"/>
  <c r="Y399" i="4"/>
  <c r="J406" i="4"/>
  <c r="W387" i="3"/>
  <c r="J393" i="3"/>
  <c r="M391" i="3"/>
  <c r="Y395" i="4"/>
  <c r="U393" i="3"/>
  <c r="K390" i="3"/>
  <c r="V390" i="3"/>
  <c r="P388" i="3"/>
  <c r="J404" i="4"/>
  <c r="Y404" i="4"/>
  <c r="P389" i="3"/>
  <c r="L394" i="3"/>
  <c r="J410" i="4"/>
  <c r="AA387" i="3"/>
  <c r="Y389" i="3"/>
  <c r="O392" i="3"/>
  <c r="X387" i="3"/>
  <c r="P394" i="3"/>
  <c r="J397" i="4"/>
  <c r="M388" i="3"/>
  <c r="Z387" i="3"/>
  <c r="U390" i="3"/>
  <c r="N394" i="3"/>
  <c r="Z395" i="4"/>
  <c r="P393" i="3"/>
  <c r="X397" i="4"/>
  <c r="V401" i="4"/>
  <c r="L390" i="3"/>
  <c r="U399" i="4"/>
  <c r="Z389" i="3"/>
  <c r="Q390" i="3"/>
  <c r="Q388" i="3"/>
  <c r="X392" i="3"/>
  <c r="U395" i="4"/>
  <c r="O389" i="3"/>
  <c r="Y408" i="4"/>
  <c r="Y397" i="4"/>
  <c r="V389" i="3"/>
  <c r="P392" i="3"/>
  <c r="V387" i="3"/>
  <c r="W404" i="4"/>
  <c r="J394" i="3"/>
  <c r="U406" i="4"/>
  <c r="X394" i="3"/>
  <c r="P391" i="3"/>
  <c r="N390" i="3"/>
  <c r="U387" i="3"/>
  <c r="V393" i="3"/>
  <c r="K393" i="3"/>
  <c r="X388" i="3"/>
  <c r="Z390" i="3"/>
  <c r="V404" i="4"/>
  <c r="L388" i="3"/>
  <c r="X393" i="3"/>
  <c r="V391" i="3"/>
  <c r="L392" i="3"/>
  <c r="Q389" i="3"/>
  <c r="Z391" i="3"/>
  <c r="AA389" i="3"/>
  <c r="J401" i="4"/>
  <c r="X389" i="3"/>
  <c r="O390" i="3"/>
  <c r="Z406" i="4"/>
  <c r="W399" i="4"/>
  <c r="AA397" i="4"/>
  <c r="Z399" i="4"/>
  <c r="U391" i="3"/>
  <c r="AA404" i="4"/>
  <c r="AA388" i="3"/>
  <c r="Q394" i="3"/>
  <c r="V406" i="4"/>
  <c r="Z393" i="3"/>
  <c r="AA399" i="4"/>
  <c r="U389" i="3"/>
  <c r="V395" i="4"/>
  <c r="W389" i="3"/>
  <c r="N389" i="3"/>
  <c r="W393" i="3"/>
  <c r="L387" i="3"/>
  <c r="W390" i="3"/>
  <c r="U404" i="4"/>
  <c r="Y392" i="3"/>
  <c r="AA406" i="4"/>
  <c r="Y390" i="3"/>
  <c r="Y393" i="3"/>
  <c r="X401" i="4"/>
  <c r="X391" i="3"/>
  <c r="AA408" i="4"/>
  <c r="Q387" i="3"/>
  <c r="Q392" i="3"/>
  <c r="I406" i="4" l="1"/>
  <c r="S393" i="3"/>
  <c r="I404" i="4"/>
  <c r="I393" i="3"/>
  <c r="R387" i="3"/>
  <c r="T387" i="3"/>
  <c r="I397" i="4"/>
  <c r="R408" i="4"/>
  <c r="T408" i="4"/>
  <c r="T406" i="4"/>
  <c r="R406" i="4"/>
  <c r="R391" i="3"/>
  <c r="T391" i="3"/>
  <c r="S391" i="3"/>
  <c r="R395" i="4"/>
  <c r="T395" i="4"/>
  <c r="I395" i="4"/>
  <c r="S404" i="4"/>
  <c r="S394" i="3"/>
  <c r="I394" i="3"/>
  <c r="R401" i="4"/>
  <c r="T401" i="4"/>
  <c r="I388" i="3"/>
  <c r="S408" i="4"/>
  <c r="S389" i="3"/>
  <c r="I389" i="3"/>
  <c r="I390" i="3"/>
  <c r="S392" i="3"/>
  <c r="T393" i="3"/>
  <c r="R393" i="3"/>
  <c r="R394" i="3"/>
  <c r="T394" i="3"/>
  <c r="S401" i="4"/>
  <c r="T410" i="4"/>
  <c r="R410" i="4"/>
  <c r="I387" i="3"/>
  <c r="R392" i="3"/>
  <c r="T392" i="3"/>
  <c r="I392" i="3"/>
  <c r="S410" i="4"/>
  <c r="I410" i="4"/>
  <c r="S387" i="3"/>
  <c r="S388" i="3"/>
  <c r="R397" i="4"/>
  <c r="T397" i="4"/>
  <c r="I408" i="4"/>
  <c r="S390" i="3"/>
  <c r="T399" i="4"/>
  <c r="R399" i="4"/>
  <c r="S406" i="4"/>
  <c r="I391" i="3"/>
  <c r="S395" i="4"/>
  <c r="R404" i="4"/>
  <c r="T404" i="4"/>
  <c r="I401" i="4"/>
  <c r="T388" i="3"/>
  <c r="R388" i="3"/>
  <c r="S397" i="4"/>
  <c r="T389" i="3"/>
  <c r="R389" i="3"/>
  <c r="R390" i="3"/>
  <c r="T390" i="3"/>
  <c r="S399" i="4"/>
  <c r="I399" i="4"/>
  <c r="G417" i="4"/>
  <c r="G413" i="4"/>
  <c r="G415" i="4"/>
  <c r="G411" i="4"/>
  <c r="G426" i="4"/>
  <c r="G424" i="4"/>
  <c r="G422" i="4"/>
  <c r="G420" i="4"/>
  <c r="G403" i="3"/>
  <c r="G405" i="3"/>
  <c r="G407" i="3"/>
  <c r="G409" i="3"/>
  <c r="G404" i="3"/>
  <c r="G406" i="3"/>
  <c r="G408" i="3"/>
  <c r="G410" i="3"/>
  <c r="Y400" i="3"/>
  <c r="J401" i="3"/>
  <c r="Z398" i="3"/>
  <c r="W395" i="3"/>
  <c r="Z412" i="4"/>
  <c r="L397" i="3"/>
  <c r="AA400" i="3"/>
  <c r="Z418" i="4"/>
  <c r="L396" i="3"/>
  <c r="P397" i="3"/>
  <c r="Q400" i="3"/>
  <c r="Y416" i="4"/>
  <c r="V418" i="4"/>
  <c r="U396" i="3"/>
  <c r="U401" i="3"/>
  <c r="M399" i="3"/>
  <c r="X402" i="3"/>
  <c r="Q397" i="3"/>
  <c r="O401" i="3"/>
  <c r="U409" i="4"/>
  <c r="K396" i="3"/>
  <c r="Z403" i="4"/>
  <c r="Y396" i="3"/>
  <c r="Z400" i="3"/>
  <c r="V403" i="4"/>
  <c r="U400" i="3"/>
  <c r="V399" i="3"/>
  <c r="U403" i="4"/>
  <c r="Y412" i="4"/>
  <c r="X409" i="4"/>
  <c r="P399" i="3"/>
  <c r="U397" i="3"/>
  <c r="M401" i="3"/>
  <c r="K399" i="3"/>
  <c r="U399" i="3"/>
  <c r="U412" i="4"/>
  <c r="W414" i="4"/>
  <c r="X405" i="4"/>
  <c r="Y398" i="3"/>
  <c r="X395" i="3"/>
  <c r="Q395" i="3"/>
  <c r="J398" i="3"/>
  <c r="M396" i="3"/>
  <c r="Y395" i="3"/>
  <c r="L398" i="3"/>
  <c r="V395" i="3"/>
  <c r="N397" i="3"/>
  <c r="AA416" i="4"/>
  <c r="L395" i="3"/>
  <c r="N399" i="3"/>
  <c r="O397" i="3"/>
  <c r="U407" i="4"/>
  <c r="X401" i="3"/>
  <c r="J396" i="3"/>
  <c r="V412" i="4"/>
  <c r="W399" i="3"/>
  <c r="X397" i="3"/>
  <c r="K402" i="3"/>
  <c r="Y405" i="4"/>
  <c r="V405" i="4"/>
  <c r="Y397" i="3"/>
  <c r="AA396" i="3"/>
  <c r="X403" i="4"/>
  <c r="AA403" i="4"/>
  <c r="U416" i="4"/>
  <c r="M397" i="3"/>
  <c r="Y418" i="4"/>
  <c r="J416" i="4"/>
  <c r="AA407" i="4"/>
  <c r="K397" i="3"/>
  <c r="AA418" i="4"/>
  <c r="P401" i="3"/>
  <c r="AA401" i="3"/>
  <c r="V398" i="3"/>
  <c r="Z402" i="3"/>
  <c r="Z399" i="3"/>
  <c r="J418" i="4"/>
  <c r="Z395" i="3"/>
  <c r="O395" i="3"/>
  <c r="Q401" i="3"/>
  <c r="Y401" i="3"/>
  <c r="V416" i="4"/>
  <c r="Q399" i="3"/>
  <c r="W412" i="4"/>
  <c r="N398" i="3"/>
  <c r="K398" i="3"/>
  <c r="Z401" i="3"/>
  <c r="Z416" i="4"/>
  <c r="Y403" i="4"/>
  <c r="Z405" i="4"/>
  <c r="L400" i="3"/>
  <c r="N396" i="3"/>
  <c r="W405" i="4"/>
  <c r="Y414" i="4"/>
  <c r="Q396" i="3"/>
  <c r="AA412" i="4"/>
  <c r="J407" i="4"/>
  <c r="N402" i="3"/>
  <c r="W397" i="3"/>
  <c r="N400" i="3"/>
  <c r="Z414" i="4"/>
  <c r="P395" i="3"/>
  <c r="Z396" i="3"/>
  <c r="P400" i="3"/>
  <c r="O402" i="3"/>
  <c r="X399" i="3"/>
  <c r="U414" i="4"/>
  <c r="J412" i="4"/>
  <c r="V400" i="3"/>
  <c r="J409" i="4"/>
  <c r="L399" i="3"/>
  <c r="V397" i="3"/>
  <c r="X418" i="4"/>
  <c r="U402" i="3"/>
  <c r="K401" i="3"/>
  <c r="V407" i="4"/>
  <c r="P402" i="3"/>
  <c r="W401" i="3"/>
  <c r="AA405" i="4"/>
  <c r="W398" i="3"/>
  <c r="AA398" i="3"/>
  <c r="U405" i="4"/>
  <c r="N401" i="3"/>
  <c r="M398" i="3"/>
  <c r="M402" i="3"/>
  <c r="Y402" i="3"/>
  <c r="O399" i="3"/>
  <c r="W407" i="4"/>
  <c r="U398" i="3"/>
  <c r="V396" i="3"/>
  <c r="X414" i="4"/>
  <c r="J405" i="4"/>
  <c r="M400" i="3"/>
  <c r="O400" i="3"/>
  <c r="J402" i="3"/>
  <c r="J403" i="4"/>
  <c r="P398" i="3"/>
  <c r="Q402" i="3"/>
  <c r="L402" i="3"/>
  <c r="X396" i="3"/>
  <c r="J397" i="3"/>
  <c r="AA414" i="4"/>
  <c r="AA397" i="3"/>
  <c r="O398" i="3"/>
  <c r="Y407" i="4"/>
  <c r="W416" i="4"/>
  <c r="AA399" i="3"/>
  <c r="J395" i="3"/>
  <c r="J414" i="4"/>
  <c r="X398" i="3"/>
  <c r="P396" i="3"/>
  <c r="X412" i="4"/>
  <c r="W396" i="3"/>
  <c r="M395" i="3"/>
  <c r="W400" i="3"/>
  <c r="K395" i="3"/>
  <c r="Z407" i="4"/>
  <c r="W409" i="4"/>
  <c r="Y409" i="4"/>
  <c r="V414" i="4"/>
  <c r="Z409" i="4"/>
  <c r="K400" i="3"/>
  <c r="X416" i="4"/>
  <c r="V402" i="3"/>
  <c r="AA395" i="3"/>
  <c r="J400" i="3"/>
  <c r="Q398" i="3"/>
  <c r="X407" i="4"/>
  <c r="U418" i="4"/>
  <c r="X400" i="3"/>
  <c r="AA402" i="3"/>
  <c r="AA409" i="4"/>
  <c r="Y399" i="3"/>
  <c r="U395" i="3"/>
  <c r="L401" i="3"/>
  <c r="W418" i="4"/>
  <c r="O396" i="3"/>
  <c r="Z397" i="3"/>
  <c r="W402" i="3"/>
  <c r="W403" i="4"/>
  <c r="N395" i="3"/>
  <c r="J399" i="3"/>
  <c r="V409" i="4"/>
  <c r="V401" i="3"/>
  <c r="S407" i="4" l="1"/>
  <c r="S401" i="3"/>
  <c r="I399" i="3"/>
  <c r="T414" i="4"/>
  <c r="R414" i="4"/>
  <c r="I401" i="3"/>
  <c r="S414" i="4"/>
  <c r="T407" i="4"/>
  <c r="R407" i="4"/>
  <c r="I398" i="3"/>
  <c r="I405" i="4"/>
  <c r="I409" i="4"/>
  <c r="S396" i="3"/>
  <c r="I396" i="3"/>
  <c r="S395" i="3"/>
  <c r="S403" i="4"/>
  <c r="S402" i="3"/>
  <c r="S400" i="3"/>
  <c r="T397" i="3"/>
  <c r="R397" i="3"/>
  <c r="S398" i="3"/>
  <c r="R398" i="3"/>
  <c r="T398" i="3"/>
  <c r="R405" i="4"/>
  <c r="T405" i="4"/>
  <c r="R409" i="4"/>
  <c r="T409" i="4"/>
  <c r="R396" i="3"/>
  <c r="T396" i="3"/>
  <c r="R395" i="3"/>
  <c r="T395" i="3"/>
  <c r="R402" i="3"/>
  <c r="T402" i="3"/>
  <c r="R400" i="3"/>
  <c r="T400" i="3"/>
  <c r="S397" i="3"/>
  <c r="I397" i="3"/>
  <c r="T401" i="3"/>
  <c r="R401" i="3"/>
  <c r="S405" i="4"/>
  <c r="T418" i="4"/>
  <c r="R418" i="4"/>
  <c r="S409" i="4"/>
  <c r="I395" i="3"/>
  <c r="R412" i="4"/>
  <c r="T412" i="4"/>
  <c r="I402" i="3"/>
  <c r="T416" i="4"/>
  <c r="R416" i="4"/>
  <c r="I407" i="4"/>
  <c r="S399" i="3"/>
  <c r="R399" i="3"/>
  <c r="T399" i="3"/>
  <c r="S418" i="4"/>
  <c r="S412" i="4"/>
  <c r="T403" i="4"/>
  <c r="R403" i="4"/>
  <c r="I403" i="4"/>
  <c r="I400" i="3"/>
  <c r="S416" i="4"/>
  <c r="G428" i="4"/>
  <c r="G430" i="4"/>
  <c r="G432" i="4"/>
  <c r="G434" i="4"/>
  <c r="G419" i="4"/>
  <c r="G423" i="4"/>
  <c r="G421" i="4"/>
  <c r="G425" i="4"/>
  <c r="G418" i="3"/>
  <c r="G416" i="3"/>
  <c r="G414" i="3"/>
  <c r="G412" i="3"/>
  <c r="G417" i="3"/>
  <c r="G415" i="3"/>
  <c r="G413" i="3"/>
  <c r="G411" i="3"/>
  <c r="N407" i="3"/>
  <c r="AA409" i="3"/>
  <c r="O404" i="3"/>
  <c r="N403" i="3"/>
  <c r="Q409" i="3"/>
  <c r="V422" i="4"/>
  <c r="W426" i="4"/>
  <c r="J420" i="4"/>
  <c r="Z424" i="4"/>
  <c r="X413" i="4"/>
  <c r="X417" i="4"/>
  <c r="O409" i="3"/>
  <c r="Y403" i="3"/>
  <c r="X411" i="4"/>
  <c r="Y417" i="4"/>
  <c r="K405" i="3"/>
  <c r="Y404" i="3"/>
  <c r="P410" i="3"/>
  <c r="AA415" i="4"/>
  <c r="W404" i="3"/>
  <c r="U408" i="3"/>
  <c r="X409" i="3"/>
  <c r="V413" i="4"/>
  <c r="X415" i="4"/>
  <c r="U417" i="4"/>
  <c r="P407" i="3"/>
  <c r="O407" i="3"/>
  <c r="P404" i="3"/>
  <c r="W403" i="3"/>
  <c r="W413" i="4"/>
  <c r="Z405" i="3"/>
  <c r="AA417" i="4"/>
  <c r="M407" i="3"/>
  <c r="Z409" i="3"/>
  <c r="N404" i="3"/>
  <c r="Z404" i="3"/>
  <c r="U426" i="4"/>
  <c r="X420" i="4"/>
  <c r="Y415" i="4"/>
  <c r="Y426" i="4"/>
  <c r="X426" i="4"/>
  <c r="Q405" i="3"/>
  <c r="V410" i="3"/>
  <c r="O405" i="3"/>
  <c r="AA405" i="3"/>
  <c r="U424" i="4"/>
  <c r="AA407" i="3"/>
  <c r="AA403" i="3"/>
  <c r="W422" i="4"/>
  <c r="W420" i="4"/>
  <c r="Z420" i="4"/>
  <c r="O410" i="3"/>
  <c r="K404" i="3"/>
  <c r="Z426" i="4"/>
  <c r="J411" i="4"/>
  <c r="Y407" i="3"/>
  <c r="AA424" i="4"/>
  <c r="AA406" i="3"/>
  <c r="Z415" i="4"/>
  <c r="O403" i="3"/>
  <c r="W408" i="3"/>
  <c r="Y408" i="3"/>
  <c r="Z410" i="3"/>
  <c r="Y413" i="4"/>
  <c r="N409" i="3"/>
  <c r="W410" i="3"/>
  <c r="J404" i="3"/>
  <c r="Y406" i="3"/>
  <c r="M409" i="3"/>
  <c r="X408" i="3"/>
  <c r="L410" i="3"/>
  <c r="J417" i="4"/>
  <c r="K406" i="3"/>
  <c r="U410" i="3"/>
  <c r="V420" i="4"/>
  <c r="Q403" i="3"/>
  <c r="N410" i="3"/>
  <c r="X404" i="3"/>
  <c r="K410" i="3"/>
  <c r="V415" i="4"/>
  <c r="Q404" i="3"/>
  <c r="W409" i="3"/>
  <c r="L404" i="3"/>
  <c r="J426" i="4"/>
  <c r="Z408" i="3"/>
  <c r="O408" i="3"/>
  <c r="N406" i="3"/>
  <c r="AA411" i="4"/>
  <c r="V407" i="3"/>
  <c r="W405" i="3"/>
  <c r="M405" i="3"/>
  <c r="U407" i="3"/>
  <c r="L405" i="3"/>
  <c r="X406" i="3"/>
  <c r="Q410" i="3"/>
  <c r="J407" i="3"/>
  <c r="Y409" i="3"/>
  <c r="U411" i="4"/>
  <c r="Y420" i="4"/>
  <c r="M408" i="3"/>
  <c r="P405" i="3"/>
  <c r="Y411" i="4"/>
  <c r="K408" i="3"/>
  <c r="Z422" i="4"/>
  <c r="AA410" i="3"/>
  <c r="M410" i="3"/>
  <c r="U405" i="3"/>
  <c r="V408" i="3"/>
  <c r="X424" i="4"/>
  <c r="V426" i="4"/>
  <c r="V406" i="3"/>
  <c r="P409" i="3"/>
  <c r="M406" i="3"/>
  <c r="AA422" i="4"/>
  <c r="Y424" i="4"/>
  <c r="V424" i="4"/>
  <c r="Z403" i="3"/>
  <c r="K407" i="3"/>
  <c r="Z411" i="4"/>
  <c r="X403" i="3"/>
  <c r="Z417" i="4"/>
  <c r="J408" i="3"/>
  <c r="Y410" i="3"/>
  <c r="V404" i="3"/>
  <c r="L408" i="3"/>
  <c r="Z413" i="4"/>
  <c r="M403" i="3"/>
  <c r="U403" i="3"/>
  <c r="Z406" i="3"/>
  <c r="J403" i="3"/>
  <c r="U409" i="3"/>
  <c r="Q408" i="3"/>
  <c r="Q407" i="3"/>
  <c r="J409" i="3"/>
  <c r="J415" i="4"/>
  <c r="AA426" i="4"/>
  <c r="X422" i="4"/>
  <c r="W417" i="4"/>
  <c r="U422" i="4"/>
  <c r="L406" i="3"/>
  <c r="V409" i="3"/>
  <c r="N405" i="3"/>
  <c r="U413" i="4"/>
  <c r="L403" i="3"/>
  <c r="O406" i="3"/>
  <c r="P408" i="3"/>
  <c r="X407" i="3"/>
  <c r="J413" i="4"/>
  <c r="U406" i="3"/>
  <c r="U404" i="3"/>
  <c r="V403" i="3"/>
  <c r="W406" i="3"/>
  <c r="Y405" i="3"/>
  <c r="AA404" i="3"/>
  <c r="U415" i="4"/>
  <c r="AA420" i="4"/>
  <c r="Q406" i="3"/>
  <c r="P406" i="3"/>
  <c r="W415" i="4"/>
  <c r="AA413" i="4"/>
  <c r="J405" i="3"/>
  <c r="W424" i="4"/>
  <c r="Z407" i="3"/>
  <c r="K409" i="3"/>
  <c r="J410" i="3"/>
  <c r="J422" i="4"/>
  <c r="J406" i="3"/>
  <c r="Y422" i="4"/>
  <c r="X405" i="3"/>
  <c r="J424" i="4"/>
  <c r="W411" i="4"/>
  <c r="M404" i="3"/>
  <c r="V417" i="4"/>
  <c r="L407" i="3"/>
  <c r="V411" i="4"/>
  <c r="K403" i="3"/>
  <c r="U420" i="4"/>
  <c r="L409" i="3"/>
  <c r="X410" i="3"/>
  <c r="AA408" i="3"/>
  <c r="P403" i="3"/>
  <c r="W407" i="3"/>
  <c r="N408" i="3"/>
  <c r="V405" i="3"/>
  <c r="T405" i="3" l="1"/>
  <c r="R405" i="3"/>
  <c r="I405" i="3"/>
  <c r="I406" i="3"/>
  <c r="S422" i="4"/>
  <c r="R411" i="4"/>
  <c r="T411" i="4"/>
  <c r="R413" i="4"/>
  <c r="T413" i="4"/>
  <c r="R406" i="3"/>
  <c r="T406" i="3"/>
  <c r="R408" i="3"/>
  <c r="T408" i="3"/>
  <c r="S408" i="3"/>
  <c r="S415" i="4"/>
  <c r="T422" i="4"/>
  <c r="R422" i="4"/>
  <c r="S411" i="4"/>
  <c r="S409" i="3"/>
  <c r="S426" i="4"/>
  <c r="S403" i="3"/>
  <c r="I407" i="3"/>
  <c r="S424" i="4"/>
  <c r="I408" i="3"/>
  <c r="I420" i="4"/>
  <c r="T409" i="3"/>
  <c r="R409" i="3"/>
  <c r="R417" i="4"/>
  <c r="T417" i="4"/>
  <c r="T426" i="4"/>
  <c r="R426" i="4"/>
  <c r="R403" i="3"/>
  <c r="T403" i="3"/>
  <c r="S404" i="3"/>
  <c r="R407" i="3"/>
  <c r="T407" i="3"/>
  <c r="I424" i="4"/>
  <c r="S420" i="4"/>
  <c r="S410" i="3"/>
  <c r="R410" i="3"/>
  <c r="T410" i="3"/>
  <c r="S417" i="4"/>
  <c r="I426" i="4"/>
  <c r="T404" i="3"/>
  <c r="R404" i="3"/>
  <c r="S407" i="3"/>
  <c r="S413" i="4"/>
  <c r="S405" i="3"/>
  <c r="S406" i="3"/>
  <c r="R424" i="4"/>
  <c r="T424" i="4"/>
  <c r="T415" i="4"/>
  <c r="R415" i="4"/>
  <c r="I422" i="4"/>
  <c r="R420" i="4"/>
  <c r="T420" i="4"/>
  <c r="I409" i="3"/>
  <c r="I410" i="3"/>
  <c r="I403" i="3"/>
  <c r="I404" i="3"/>
  <c r="G433" i="4"/>
  <c r="G429" i="4"/>
  <c r="G431" i="4"/>
  <c r="G427" i="4"/>
  <c r="G442" i="4"/>
  <c r="G440" i="4"/>
  <c r="G438" i="4"/>
  <c r="G436" i="4"/>
  <c r="G419" i="3"/>
  <c r="G421" i="3"/>
  <c r="G423" i="3"/>
  <c r="G425" i="3"/>
  <c r="G420" i="3"/>
  <c r="G422" i="3"/>
  <c r="G424" i="3"/>
  <c r="G426" i="3"/>
  <c r="U415" i="3"/>
  <c r="X413" i="3"/>
  <c r="X414" i="3"/>
  <c r="Z434" i="4"/>
  <c r="W414" i="3"/>
  <c r="U411" i="3"/>
  <c r="J414" i="3"/>
  <c r="U421" i="4"/>
  <c r="V413" i="3"/>
  <c r="Q418" i="3"/>
  <c r="M415" i="3"/>
  <c r="K411" i="3"/>
  <c r="W432" i="4"/>
  <c r="AA428" i="4"/>
  <c r="P411" i="3"/>
  <c r="P417" i="3"/>
  <c r="N413" i="3"/>
  <c r="W412" i="3"/>
  <c r="X421" i="4"/>
  <c r="AA413" i="3"/>
  <c r="Z417" i="3"/>
  <c r="Q414" i="3"/>
  <c r="K417" i="3"/>
  <c r="U417" i="3"/>
  <c r="L418" i="3"/>
  <c r="J411" i="3"/>
  <c r="V416" i="3"/>
  <c r="W416" i="3"/>
  <c r="X432" i="4"/>
  <c r="V415" i="3"/>
  <c r="U428" i="4"/>
  <c r="J417" i="3"/>
  <c r="P412" i="3"/>
  <c r="L413" i="3"/>
  <c r="L416" i="3"/>
  <c r="W434" i="4"/>
  <c r="J430" i="4"/>
  <c r="AA432" i="4"/>
  <c r="N412" i="3"/>
  <c r="L411" i="3"/>
  <c r="X418" i="3"/>
  <c r="U413" i="3"/>
  <c r="V419" i="4"/>
  <c r="Z421" i="4"/>
  <c r="Z415" i="3"/>
  <c r="M417" i="3"/>
  <c r="Z419" i="4"/>
  <c r="X434" i="4"/>
  <c r="O414" i="3"/>
  <c r="V423" i="4"/>
  <c r="V428" i="4"/>
  <c r="P416" i="3"/>
  <c r="Y432" i="4"/>
  <c r="Y423" i="4"/>
  <c r="W423" i="4"/>
  <c r="Z412" i="3"/>
  <c r="AA415" i="3"/>
  <c r="J425" i="4"/>
  <c r="Y421" i="4"/>
  <c r="W415" i="3"/>
  <c r="V430" i="4"/>
  <c r="W418" i="3"/>
  <c r="W411" i="3"/>
  <c r="Q411" i="3"/>
  <c r="U425" i="4"/>
  <c r="W419" i="4"/>
  <c r="K412" i="3"/>
  <c r="O411" i="3"/>
  <c r="Y430" i="4"/>
  <c r="N411" i="3"/>
  <c r="Y416" i="3"/>
  <c r="K415" i="3"/>
  <c r="J412" i="3"/>
  <c r="AA425" i="4"/>
  <c r="Y412" i="3"/>
  <c r="Z432" i="4"/>
  <c r="AA418" i="3"/>
  <c r="U412" i="3"/>
  <c r="Z414" i="3"/>
  <c r="AA416" i="3"/>
  <c r="U414" i="3"/>
  <c r="AA414" i="3"/>
  <c r="P414" i="3"/>
  <c r="U434" i="4"/>
  <c r="X425" i="4"/>
  <c r="M418" i="3"/>
  <c r="N416" i="3"/>
  <c r="O415" i="3"/>
  <c r="M416" i="3"/>
  <c r="J434" i="4"/>
  <c r="W430" i="4"/>
  <c r="U423" i="4"/>
  <c r="J421" i="4"/>
  <c r="P415" i="3"/>
  <c r="J416" i="3"/>
  <c r="Q412" i="3"/>
  <c r="W428" i="4"/>
  <c r="U418" i="3"/>
  <c r="Y414" i="3"/>
  <c r="AA430" i="4"/>
  <c r="O418" i="3"/>
  <c r="Q416" i="3"/>
  <c r="O417" i="3"/>
  <c r="X412" i="3"/>
  <c r="V411" i="3"/>
  <c r="K418" i="3"/>
  <c r="J428" i="4"/>
  <c r="J423" i="4"/>
  <c r="U416" i="3"/>
  <c r="M413" i="3"/>
  <c r="O412" i="3"/>
  <c r="Q413" i="3"/>
  <c r="Z425" i="4"/>
  <c r="J415" i="3"/>
  <c r="K416" i="3"/>
  <c r="N415" i="3"/>
  <c r="Z428" i="4"/>
  <c r="Z413" i="3"/>
  <c r="Y434" i="4"/>
  <c r="X428" i="4"/>
  <c r="W417" i="3"/>
  <c r="V414" i="3"/>
  <c r="V432" i="4"/>
  <c r="V418" i="3"/>
  <c r="M412" i="3"/>
  <c r="K413" i="3"/>
  <c r="J413" i="3"/>
  <c r="Y428" i="4"/>
  <c r="Y413" i="3"/>
  <c r="K414" i="3"/>
  <c r="X430" i="4"/>
  <c r="Y417" i="3"/>
  <c r="O416" i="3"/>
  <c r="J418" i="3"/>
  <c r="P413" i="3"/>
  <c r="N414" i="3"/>
  <c r="Y425" i="4"/>
  <c r="Y411" i="3"/>
  <c r="Y418" i="3"/>
  <c r="V421" i="4"/>
  <c r="V434" i="4"/>
  <c r="AA423" i="4"/>
  <c r="AA411" i="3"/>
  <c r="U432" i="4"/>
  <c r="V417" i="3"/>
  <c r="L414" i="3"/>
  <c r="AA434" i="4"/>
  <c r="Z416" i="3"/>
  <c r="V412" i="3"/>
  <c r="U430" i="4"/>
  <c r="Z411" i="3"/>
  <c r="Q415" i="3"/>
  <c r="L417" i="3"/>
  <c r="M411" i="3"/>
  <c r="X411" i="3"/>
  <c r="AA419" i="4"/>
  <c r="X416" i="3"/>
  <c r="N417" i="3"/>
  <c r="P418" i="3"/>
  <c r="M414" i="3"/>
  <c r="X423" i="4"/>
  <c r="J419" i="4"/>
  <c r="AA412" i="3"/>
  <c r="Y419" i="4"/>
  <c r="L415" i="3"/>
  <c r="Y415" i="3"/>
  <c r="O413" i="3"/>
  <c r="Z430" i="4"/>
  <c r="AA421" i="4"/>
  <c r="N418" i="3"/>
  <c r="X419" i="4"/>
  <c r="Z423" i="4"/>
  <c r="X417" i="3"/>
  <c r="L412" i="3"/>
  <c r="X415" i="3"/>
  <c r="U419" i="4"/>
  <c r="V425" i="4"/>
  <c r="Q417" i="3"/>
  <c r="W425" i="4"/>
  <c r="Z418" i="3"/>
  <c r="AA417" i="3"/>
  <c r="W421" i="4"/>
  <c r="W413" i="3"/>
  <c r="J432" i="4"/>
  <c r="S428" i="4" l="1"/>
  <c r="I419" i="4"/>
  <c r="S432" i="4"/>
  <c r="T413" i="3"/>
  <c r="R413" i="3"/>
  <c r="I425" i="4"/>
  <c r="R428" i="4"/>
  <c r="T428" i="4"/>
  <c r="I423" i="4"/>
  <c r="T432" i="4"/>
  <c r="R432" i="4"/>
  <c r="I432" i="4"/>
  <c r="S414" i="3"/>
  <c r="S421" i="4"/>
  <c r="T434" i="4"/>
  <c r="R434" i="4"/>
  <c r="S425" i="4"/>
  <c r="R411" i="3"/>
  <c r="T411" i="3"/>
  <c r="R415" i="3"/>
  <c r="T415" i="3"/>
  <c r="S434" i="4"/>
  <c r="S417" i="3"/>
  <c r="I428" i="4"/>
  <c r="S419" i="4"/>
  <c r="S423" i="4"/>
  <c r="S413" i="3"/>
  <c r="R421" i="4"/>
  <c r="T421" i="4"/>
  <c r="I434" i="4"/>
  <c r="R425" i="4"/>
  <c r="T425" i="4"/>
  <c r="R412" i="3"/>
  <c r="T412" i="3"/>
  <c r="T417" i="3"/>
  <c r="R417" i="3"/>
  <c r="S430" i="4"/>
  <c r="S415" i="3"/>
  <c r="R418" i="3"/>
  <c r="T418" i="3"/>
  <c r="T419" i="4"/>
  <c r="R419" i="4"/>
  <c r="S418" i="3"/>
  <c r="T423" i="4"/>
  <c r="R423" i="4"/>
  <c r="R414" i="3"/>
  <c r="T414" i="3"/>
  <c r="I421" i="4"/>
  <c r="S412" i="3"/>
  <c r="S411" i="3"/>
  <c r="T430" i="4"/>
  <c r="R430" i="4"/>
  <c r="I430" i="4"/>
  <c r="R416" i="3"/>
  <c r="T416" i="3"/>
  <c r="S416" i="3"/>
  <c r="G444" i="4"/>
  <c r="G446" i="4"/>
  <c r="G448" i="4"/>
  <c r="G450" i="4"/>
  <c r="G435" i="4"/>
  <c r="G439" i="4"/>
  <c r="G437" i="4"/>
  <c r="G441" i="4"/>
  <c r="G434" i="3"/>
  <c r="G432" i="3"/>
  <c r="G430" i="3"/>
  <c r="G428" i="3"/>
  <c r="G433" i="3"/>
  <c r="G431" i="3"/>
  <c r="G429" i="3"/>
  <c r="G427" i="3"/>
  <c r="U426" i="3"/>
  <c r="K420" i="3"/>
  <c r="Y422" i="3"/>
  <c r="X423" i="3"/>
  <c r="O426" i="3"/>
  <c r="W423" i="3"/>
  <c r="V442" i="4"/>
  <c r="J420" i="3"/>
  <c r="Z431" i="4"/>
  <c r="AA440" i="4"/>
  <c r="O422" i="3"/>
  <c r="X431" i="4"/>
  <c r="U419" i="3"/>
  <c r="Y433" i="4"/>
  <c r="W431" i="4"/>
  <c r="K425" i="3"/>
  <c r="V440" i="4"/>
  <c r="Y424" i="3"/>
  <c r="V420" i="3"/>
  <c r="X421" i="3"/>
  <c r="K419" i="3"/>
  <c r="P425" i="3"/>
  <c r="N423" i="3"/>
  <c r="Y426" i="3"/>
  <c r="M423" i="3"/>
  <c r="J426" i="3"/>
  <c r="Z424" i="3"/>
  <c r="V429" i="4"/>
  <c r="Y436" i="4"/>
  <c r="L421" i="3"/>
  <c r="P419" i="3"/>
  <c r="J427" i="4"/>
  <c r="Q420" i="3"/>
  <c r="W425" i="3"/>
  <c r="L426" i="3"/>
  <c r="J436" i="4"/>
  <c r="P423" i="3"/>
  <c r="X433" i="4"/>
  <c r="N426" i="3"/>
  <c r="V423" i="3"/>
  <c r="Z419" i="3"/>
  <c r="Z422" i="3"/>
  <c r="W424" i="3"/>
  <c r="U420" i="3"/>
  <c r="AA426" i="3"/>
  <c r="Z423" i="3"/>
  <c r="O425" i="3"/>
  <c r="X424" i="3"/>
  <c r="W422" i="3"/>
  <c r="J423" i="3"/>
  <c r="W436" i="4"/>
  <c r="Z425" i="3"/>
  <c r="W427" i="4"/>
  <c r="K422" i="3"/>
  <c r="O419" i="3"/>
  <c r="V426" i="3"/>
  <c r="X422" i="3"/>
  <c r="V436" i="4"/>
  <c r="Y419" i="3"/>
  <c r="Y421" i="3"/>
  <c r="Q422" i="3"/>
  <c r="J440" i="4"/>
  <c r="J421" i="3"/>
  <c r="L424" i="3"/>
  <c r="L419" i="3"/>
  <c r="V427" i="4"/>
  <c r="Y440" i="4"/>
  <c r="X438" i="4"/>
  <c r="M422" i="3"/>
  <c r="Y438" i="4"/>
  <c r="Y442" i="4"/>
  <c r="J442" i="4"/>
  <c r="L422" i="3"/>
  <c r="V433" i="4"/>
  <c r="U429" i="4"/>
  <c r="M420" i="3"/>
  <c r="V438" i="4"/>
  <c r="W433" i="4"/>
  <c r="K426" i="3"/>
  <c r="K421" i="3"/>
  <c r="M419" i="3"/>
  <c r="Y420" i="3"/>
  <c r="Z427" i="4"/>
  <c r="W429" i="4"/>
  <c r="Z438" i="4"/>
  <c r="AA431" i="4"/>
  <c r="X436" i="4"/>
  <c r="V431" i="4"/>
  <c r="X419" i="3"/>
  <c r="Q423" i="3"/>
  <c r="K423" i="3"/>
  <c r="V419" i="3"/>
  <c r="X425" i="3"/>
  <c r="W420" i="3"/>
  <c r="V425" i="3"/>
  <c r="K424" i="3"/>
  <c r="W421" i="3"/>
  <c r="AA438" i="4"/>
  <c r="Z442" i="4"/>
  <c r="L425" i="3"/>
  <c r="AA421" i="3"/>
  <c r="AA433" i="4"/>
  <c r="N420" i="3"/>
  <c r="N425" i="3"/>
  <c r="X427" i="4"/>
  <c r="Q421" i="3"/>
  <c r="U423" i="3"/>
  <c r="M425" i="3"/>
  <c r="W440" i="4"/>
  <c r="AA429" i="4"/>
  <c r="N424" i="3"/>
  <c r="N422" i="3"/>
  <c r="X440" i="4"/>
  <c r="Q426" i="3"/>
  <c r="J419" i="3"/>
  <c r="P426" i="3"/>
  <c r="M421" i="3"/>
  <c r="X442" i="4"/>
  <c r="Q425" i="3"/>
  <c r="J433" i="4"/>
  <c r="J429" i="4"/>
  <c r="V424" i="3"/>
  <c r="W419" i="3"/>
  <c r="Z426" i="3"/>
  <c r="AA424" i="3"/>
  <c r="X420" i="3"/>
  <c r="L423" i="3"/>
  <c r="X429" i="4"/>
  <c r="P424" i="3"/>
  <c r="Y429" i="4"/>
  <c r="Z420" i="3"/>
  <c r="Z429" i="4"/>
  <c r="V421" i="3"/>
  <c r="X426" i="3"/>
  <c r="Y425" i="3"/>
  <c r="W426" i="3"/>
  <c r="P422" i="3"/>
  <c r="O424" i="3"/>
  <c r="N421" i="3"/>
  <c r="AA425" i="3"/>
  <c r="U421" i="3"/>
  <c r="U424" i="3"/>
  <c r="W442" i="4"/>
  <c r="P420" i="3"/>
  <c r="L420" i="3"/>
  <c r="O423" i="3"/>
  <c r="Z436" i="4"/>
  <c r="Q419" i="3"/>
  <c r="P421" i="3"/>
  <c r="J425" i="3"/>
  <c r="O420" i="3"/>
  <c r="Z421" i="3"/>
  <c r="Q424" i="3"/>
  <c r="W438" i="4"/>
  <c r="Y427" i="4"/>
  <c r="AA419" i="3"/>
  <c r="Y431" i="4"/>
  <c r="AA442" i="4"/>
  <c r="J431" i="4"/>
  <c r="AA423" i="3"/>
  <c r="U427" i="4"/>
  <c r="Y423" i="3"/>
  <c r="V422" i="3"/>
  <c r="J422" i="3"/>
  <c r="M426" i="3"/>
  <c r="U422" i="3"/>
  <c r="U440" i="4"/>
  <c r="U425" i="3"/>
  <c r="AA427" i="4"/>
  <c r="Z433" i="4"/>
  <c r="AA420" i="3"/>
  <c r="U436" i="4"/>
  <c r="J424" i="3"/>
  <c r="U431" i="4"/>
  <c r="Z440" i="4"/>
  <c r="AA422" i="3"/>
  <c r="N419" i="3"/>
  <c r="M424" i="3"/>
  <c r="U442" i="4"/>
  <c r="J438" i="4"/>
  <c r="U433" i="4"/>
  <c r="AA436" i="4"/>
  <c r="O421" i="3"/>
  <c r="U438" i="4"/>
  <c r="I419" i="3" l="1"/>
  <c r="R422" i="3"/>
  <c r="T422" i="3"/>
  <c r="I433" i="4"/>
  <c r="R419" i="3"/>
  <c r="T419" i="3"/>
  <c r="T420" i="3"/>
  <c r="R420" i="3"/>
  <c r="S427" i="4"/>
  <c r="S436" i="4"/>
  <c r="R429" i="4"/>
  <c r="T429" i="4"/>
  <c r="S440" i="4"/>
  <c r="I440" i="4"/>
  <c r="T431" i="4"/>
  <c r="R431" i="4"/>
  <c r="T438" i="4"/>
  <c r="R438" i="4"/>
  <c r="S433" i="4"/>
  <c r="T442" i="4"/>
  <c r="R442" i="4"/>
  <c r="R427" i="4"/>
  <c r="T427" i="4"/>
  <c r="R436" i="4"/>
  <c r="T436" i="4"/>
  <c r="R440" i="4"/>
  <c r="T440" i="4"/>
  <c r="S421" i="3"/>
  <c r="S422" i="3"/>
  <c r="I422" i="3"/>
  <c r="R425" i="3"/>
  <c r="T425" i="3"/>
  <c r="R433" i="4"/>
  <c r="T433" i="4"/>
  <c r="I442" i="4"/>
  <c r="I427" i="4"/>
  <c r="I421" i="3"/>
  <c r="R423" i="3"/>
  <c r="T423" i="3"/>
  <c r="I425" i="3"/>
  <c r="R426" i="3"/>
  <c r="T426" i="3"/>
  <c r="I420" i="3"/>
  <c r="S431" i="4"/>
  <c r="S438" i="4"/>
  <c r="I438" i="4"/>
  <c r="S423" i="3"/>
  <c r="S424" i="3"/>
  <c r="S425" i="3"/>
  <c r="S419" i="3"/>
  <c r="S420" i="3"/>
  <c r="I436" i="4"/>
  <c r="S429" i="4"/>
  <c r="S442" i="4"/>
  <c r="I429" i="4"/>
  <c r="T421" i="3"/>
  <c r="R421" i="3"/>
  <c r="I431" i="4"/>
  <c r="I423" i="3"/>
  <c r="R424" i="3"/>
  <c r="T424" i="3"/>
  <c r="I424" i="3"/>
  <c r="I426" i="3"/>
  <c r="S426" i="3"/>
  <c r="G449" i="4"/>
  <c r="G445" i="4"/>
  <c r="G447" i="4"/>
  <c r="G443" i="4"/>
  <c r="G458" i="4"/>
  <c r="G456" i="4"/>
  <c r="G454" i="4"/>
  <c r="G452" i="4"/>
  <c r="G435" i="3"/>
  <c r="G437" i="3"/>
  <c r="G439" i="3"/>
  <c r="G441" i="3"/>
  <c r="G436" i="3"/>
  <c r="G438" i="3"/>
  <c r="G440" i="3"/>
  <c r="G442" i="3"/>
  <c r="N429" i="3"/>
  <c r="M429" i="3"/>
  <c r="AA432" i="3"/>
  <c r="J431" i="3"/>
  <c r="AA428" i="3"/>
  <c r="O428" i="3"/>
  <c r="Y432" i="3"/>
  <c r="U435" i="4"/>
  <c r="X446" i="4"/>
  <c r="X434" i="3"/>
  <c r="W433" i="3"/>
  <c r="V441" i="4"/>
  <c r="N434" i="3"/>
  <c r="L431" i="3"/>
  <c r="U429" i="3"/>
  <c r="U432" i="3"/>
  <c r="Z427" i="3"/>
  <c r="N428" i="3"/>
  <c r="M433" i="3"/>
  <c r="V429" i="3"/>
  <c r="P429" i="3"/>
  <c r="V432" i="3"/>
  <c r="J437" i="4"/>
  <c r="U437" i="4"/>
  <c r="M427" i="3"/>
  <c r="Z450" i="4"/>
  <c r="J428" i="3"/>
  <c r="L434" i="3"/>
  <c r="N427" i="3"/>
  <c r="Y448" i="4"/>
  <c r="Z431" i="3"/>
  <c r="AA446" i="4"/>
  <c r="V431" i="3"/>
  <c r="U428" i="3"/>
  <c r="J446" i="4"/>
  <c r="X441" i="4"/>
  <c r="V434" i="3"/>
  <c r="V444" i="4"/>
  <c r="X427" i="3"/>
  <c r="W432" i="3"/>
  <c r="P434" i="3"/>
  <c r="W437" i="4"/>
  <c r="Z448" i="4"/>
  <c r="O434" i="3"/>
  <c r="V430" i="3"/>
  <c r="U433" i="3"/>
  <c r="K431" i="3"/>
  <c r="Q432" i="3"/>
  <c r="Z428" i="3"/>
  <c r="P427" i="3"/>
  <c r="AA437" i="4"/>
  <c r="AA441" i="4"/>
  <c r="W450" i="4"/>
  <c r="L427" i="3"/>
  <c r="Z444" i="4"/>
  <c r="Q434" i="3"/>
  <c r="W431" i="3"/>
  <c r="Y439" i="4"/>
  <c r="V448" i="4"/>
  <c r="X432" i="3"/>
  <c r="Q427" i="3"/>
  <c r="K433" i="3"/>
  <c r="Y431" i="3"/>
  <c r="Y441" i="4"/>
  <c r="X430" i="3"/>
  <c r="O430" i="3"/>
  <c r="P428" i="3"/>
  <c r="Z433" i="3"/>
  <c r="W446" i="4"/>
  <c r="AA448" i="4"/>
  <c r="AA431" i="3"/>
  <c r="Y437" i="4"/>
  <c r="V446" i="4"/>
  <c r="X444" i="4"/>
  <c r="M428" i="3"/>
  <c r="P430" i="3"/>
  <c r="AA429" i="3"/>
  <c r="Z434" i="3"/>
  <c r="U441" i="4"/>
  <c r="K432" i="3"/>
  <c r="O431" i="3"/>
  <c r="U430" i="3"/>
  <c r="J435" i="4"/>
  <c r="AA433" i="3"/>
  <c r="AA434" i="3"/>
  <c r="Z439" i="4"/>
  <c r="U431" i="3"/>
  <c r="V437" i="4"/>
  <c r="V439" i="4"/>
  <c r="W439" i="4"/>
  <c r="U446" i="4"/>
  <c r="J427" i="3"/>
  <c r="K428" i="3"/>
  <c r="Y444" i="4"/>
  <c r="K427" i="3"/>
  <c r="N433" i="3"/>
  <c r="W429" i="3"/>
  <c r="AA450" i="4"/>
  <c r="N432" i="3"/>
  <c r="Y428" i="3"/>
  <c r="W427" i="3"/>
  <c r="J444" i="4"/>
  <c r="J441" i="4"/>
  <c r="W428" i="3"/>
  <c r="J448" i="4"/>
  <c r="J432" i="3"/>
  <c r="L428" i="3"/>
  <c r="J433" i="3"/>
  <c r="AA430" i="3"/>
  <c r="Q430" i="3"/>
  <c r="U444" i="4"/>
  <c r="L432" i="3"/>
  <c r="L429" i="3"/>
  <c r="P432" i="3"/>
  <c r="M430" i="3"/>
  <c r="W441" i="4"/>
  <c r="Y446" i="4"/>
  <c r="L430" i="3"/>
  <c r="W448" i="4"/>
  <c r="V433" i="3"/>
  <c r="O432" i="3"/>
  <c r="K429" i="3"/>
  <c r="M434" i="3"/>
  <c r="Q428" i="3"/>
  <c r="Y450" i="4"/>
  <c r="Z435" i="4"/>
  <c r="Z430" i="3"/>
  <c r="AA435" i="4"/>
  <c r="X431" i="3"/>
  <c r="AA439" i="4"/>
  <c r="N430" i="3"/>
  <c r="W434" i="3"/>
  <c r="AA427" i="3"/>
  <c r="U448" i="4"/>
  <c r="Y427" i="3"/>
  <c r="X437" i="4"/>
  <c r="Z446" i="4"/>
  <c r="J434" i="3"/>
  <c r="V450" i="4"/>
  <c r="Q429" i="3"/>
  <c r="O433" i="3"/>
  <c r="Y429" i="3"/>
  <c r="O427" i="3"/>
  <c r="Z432" i="3"/>
  <c r="J439" i="4"/>
  <c r="U439" i="4"/>
  <c r="X450" i="4"/>
  <c r="AA444" i="4"/>
  <c r="U427" i="3"/>
  <c r="P431" i="3"/>
  <c r="W444" i="4"/>
  <c r="M432" i="3"/>
  <c r="X439" i="4"/>
  <c r="Q431" i="3"/>
  <c r="Y430" i="3"/>
  <c r="Z429" i="3"/>
  <c r="N431" i="3"/>
  <c r="O429" i="3"/>
  <c r="X433" i="3"/>
  <c r="V427" i="3"/>
  <c r="P433" i="3"/>
  <c r="X448" i="4"/>
  <c r="U434" i="3"/>
  <c r="X429" i="3"/>
  <c r="X435" i="4"/>
  <c r="Z437" i="4"/>
  <c r="V428" i="3"/>
  <c r="J429" i="3"/>
  <c r="W435" i="4"/>
  <c r="Z441" i="4"/>
  <c r="M431" i="3"/>
  <c r="Y435" i="4"/>
  <c r="Q433" i="3"/>
  <c r="J450" i="4"/>
  <c r="V435" i="4"/>
  <c r="J430" i="3"/>
  <c r="K434" i="3"/>
  <c r="Y434" i="3"/>
  <c r="Y433" i="3"/>
  <c r="W430" i="3"/>
  <c r="K430" i="3"/>
  <c r="X428" i="3"/>
  <c r="L433" i="3"/>
  <c r="U450" i="4"/>
  <c r="T439" i="4" l="1"/>
  <c r="R439" i="4"/>
  <c r="R431" i="3"/>
  <c r="T431" i="3"/>
  <c r="S450" i="4"/>
  <c r="R444" i="4"/>
  <c r="T444" i="4"/>
  <c r="R434" i="3"/>
  <c r="T434" i="3"/>
  <c r="R437" i="4"/>
  <c r="T437" i="4"/>
  <c r="I430" i="3"/>
  <c r="T450" i="4"/>
  <c r="R450" i="4"/>
  <c r="S441" i="4"/>
  <c r="R428" i="3"/>
  <c r="T428" i="3"/>
  <c r="I427" i="3"/>
  <c r="R433" i="3"/>
  <c r="T433" i="3"/>
  <c r="I439" i="4"/>
  <c r="I437" i="4"/>
  <c r="R430" i="3"/>
  <c r="T430" i="3"/>
  <c r="R441" i="4"/>
  <c r="T441" i="4"/>
  <c r="S428" i="3"/>
  <c r="I428" i="3"/>
  <c r="S427" i="3"/>
  <c r="S432" i="3"/>
  <c r="R429" i="3"/>
  <c r="T429" i="3"/>
  <c r="S434" i="3"/>
  <c r="S439" i="4"/>
  <c r="S431" i="3"/>
  <c r="I441" i="4"/>
  <c r="S435" i="4"/>
  <c r="I433" i="3"/>
  <c r="S433" i="3"/>
  <c r="S446" i="4"/>
  <c r="R432" i="3"/>
  <c r="T432" i="3"/>
  <c r="I429" i="3"/>
  <c r="S444" i="4"/>
  <c r="R427" i="3"/>
  <c r="T427" i="3"/>
  <c r="T435" i="4"/>
  <c r="R435" i="4"/>
  <c r="I435" i="4"/>
  <c r="T446" i="4"/>
  <c r="R446" i="4"/>
  <c r="S448" i="4"/>
  <c r="S429" i="3"/>
  <c r="I434" i="3"/>
  <c r="I431" i="3"/>
  <c r="S437" i="4"/>
  <c r="S430" i="3"/>
  <c r="I432" i="3"/>
  <c r="T448" i="4"/>
  <c r="R448" i="4"/>
  <c r="G460" i="4"/>
  <c r="G462" i="4"/>
  <c r="G464" i="4"/>
  <c r="G466" i="4"/>
  <c r="G451" i="4"/>
  <c r="G455" i="4"/>
  <c r="G453" i="4"/>
  <c r="G457" i="4"/>
  <c r="G450" i="3"/>
  <c r="G448" i="3"/>
  <c r="G446" i="3"/>
  <c r="G444" i="3"/>
  <c r="G449" i="3"/>
  <c r="G447" i="3"/>
  <c r="G445" i="3"/>
  <c r="G443" i="3"/>
  <c r="U454" i="4"/>
  <c r="W456" i="4"/>
  <c r="W438" i="3"/>
  <c r="U456" i="4"/>
  <c r="Z435" i="3"/>
  <c r="X439" i="3"/>
  <c r="M436" i="3"/>
  <c r="K438" i="3"/>
  <c r="V458" i="4"/>
  <c r="N440" i="3"/>
  <c r="U445" i="4"/>
  <c r="J447" i="4"/>
  <c r="Y438" i="3"/>
  <c r="Z458" i="4"/>
  <c r="P438" i="3"/>
  <c r="W435" i="3"/>
  <c r="O442" i="3"/>
  <c r="K441" i="3"/>
  <c r="W445" i="4"/>
  <c r="AA441" i="3"/>
  <c r="J449" i="4"/>
  <c r="J440" i="3"/>
  <c r="Y454" i="4"/>
  <c r="V438" i="3"/>
  <c r="O440" i="3"/>
  <c r="O435" i="3"/>
  <c r="W440" i="3"/>
  <c r="Y445" i="4"/>
  <c r="Q438" i="3"/>
  <c r="V439" i="3"/>
  <c r="X452" i="4"/>
  <c r="W458" i="4"/>
  <c r="J438" i="3"/>
  <c r="U435" i="3"/>
  <c r="W452" i="4"/>
  <c r="U442" i="3"/>
  <c r="L437" i="3"/>
  <c r="W443" i="4"/>
  <c r="O436" i="3"/>
  <c r="W437" i="3"/>
  <c r="V436" i="3"/>
  <c r="W449" i="4"/>
  <c r="X456" i="4"/>
  <c r="Z449" i="4"/>
  <c r="AA443" i="4"/>
  <c r="Y458" i="4"/>
  <c r="L441" i="3"/>
  <c r="O439" i="3"/>
  <c r="M437" i="3"/>
  <c r="O437" i="3"/>
  <c r="AA439" i="3"/>
  <c r="K440" i="3"/>
  <c r="U439" i="3"/>
  <c r="J452" i="4"/>
  <c r="U452" i="4"/>
  <c r="U438" i="3"/>
  <c r="V449" i="4"/>
  <c r="AA435" i="3"/>
  <c r="Q441" i="3"/>
  <c r="J439" i="3"/>
  <c r="Y437" i="3"/>
  <c r="P435" i="3"/>
  <c r="P440" i="3"/>
  <c r="N438" i="3"/>
  <c r="Z439" i="3"/>
  <c r="Q442" i="3"/>
  <c r="M438" i="3"/>
  <c r="M439" i="3"/>
  <c r="O441" i="3"/>
  <c r="AA458" i="4"/>
  <c r="Z447" i="4"/>
  <c r="Y452" i="4"/>
  <c r="X447" i="4"/>
  <c r="J456" i="4"/>
  <c r="AA436" i="3"/>
  <c r="K436" i="3"/>
  <c r="Y449" i="4"/>
  <c r="U436" i="3"/>
  <c r="X443" i="4"/>
  <c r="U443" i="4"/>
  <c r="P439" i="3"/>
  <c r="J435" i="3"/>
  <c r="V456" i="4"/>
  <c r="L442" i="3"/>
  <c r="M435" i="3"/>
  <c r="U449" i="4"/>
  <c r="K437" i="3"/>
  <c r="L435" i="3"/>
  <c r="U447" i="4"/>
  <c r="Z452" i="4"/>
  <c r="V447" i="4"/>
  <c r="J442" i="3"/>
  <c r="X449" i="4"/>
  <c r="Y440" i="3"/>
  <c r="X437" i="3"/>
  <c r="Y447" i="4"/>
  <c r="AA437" i="3"/>
  <c r="L439" i="3"/>
  <c r="W436" i="3"/>
  <c r="L436" i="3"/>
  <c r="X435" i="3"/>
  <c r="U437" i="3"/>
  <c r="L438" i="3"/>
  <c r="Z438" i="3"/>
  <c r="V435" i="3"/>
  <c r="V452" i="4"/>
  <c r="N442" i="3"/>
  <c r="V443" i="4"/>
  <c r="J437" i="3"/>
  <c r="AA442" i="3"/>
  <c r="AA456" i="4"/>
  <c r="U440" i="3"/>
  <c r="AA438" i="3"/>
  <c r="AA447" i="4"/>
  <c r="V440" i="3"/>
  <c r="L440" i="3"/>
  <c r="P441" i="3"/>
  <c r="W442" i="3"/>
  <c r="N441" i="3"/>
  <c r="Y456" i="4"/>
  <c r="P436" i="3"/>
  <c r="AA452" i="4"/>
  <c r="Y435" i="3"/>
  <c r="Q436" i="3"/>
  <c r="P442" i="3"/>
  <c r="Y439" i="3"/>
  <c r="N439" i="3"/>
  <c r="Q440" i="3"/>
  <c r="Z436" i="3"/>
  <c r="J445" i="4"/>
  <c r="X458" i="4"/>
  <c r="X442" i="3"/>
  <c r="V454" i="4"/>
  <c r="J436" i="3"/>
  <c r="N435" i="3"/>
  <c r="O438" i="3"/>
  <c r="M442" i="3"/>
  <c r="X436" i="3"/>
  <c r="Z440" i="3"/>
  <c r="W441" i="3"/>
  <c r="AA449" i="4"/>
  <c r="Q439" i="3"/>
  <c r="V445" i="4"/>
  <c r="W454" i="4"/>
  <c r="U441" i="3"/>
  <c r="J454" i="4"/>
  <c r="AA440" i="3"/>
  <c r="J458" i="4"/>
  <c r="Z441" i="3"/>
  <c r="AA454" i="4"/>
  <c r="Z454" i="4"/>
  <c r="U458" i="4"/>
  <c r="Y436" i="3"/>
  <c r="Q435" i="3"/>
  <c r="W439" i="3"/>
  <c r="Y443" i="4"/>
  <c r="V437" i="3"/>
  <c r="Z456" i="4"/>
  <c r="K442" i="3"/>
  <c r="Z445" i="4"/>
  <c r="W447" i="4"/>
  <c r="Z437" i="3"/>
  <c r="Z443" i="4"/>
  <c r="J443" i="4"/>
  <c r="K439" i="3"/>
  <c r="M440" i="3"/>
  <c r="V442" i="3"/>
  <c r="M441" i="3"/>
  <c r="X445" i="4"/>
  <c r="V441" i="3"/>
  <c r="P437" i="3"/>
  <c r="X440" i="3"/>
  <c r="J441" i="3"/>
  <c r="Y442" i="3"/>
  <c r="Q437" i="3"/>
  <c r="N437" i="3"/>
  <c r="X454" i="4"/>
  <c r="X441" i="3"/>
  <c r="N436" i="3"/>
  <c r="Z442" i="3"/>
  <c r="K435" i="3"/>
  <c r="Y441" i="3"/>
  <c r="X438" i="3"/>
  <c r="AA445" i="4"/>
  <c r="S439" i="3" l="1"/>
  <c r="R440" i="3"/>
  <c r="T440" i="3"/>
  <c r="R442" i="3"/>
  <c r="T442" i="3"/>
  <c r="S458" i="4"/>
  <c r="S440" i="3"/>
  <c r="R452" i="4"/>
  <c r="T452" i="4"/>
  <c r="I435" i="3"/>
  <c r="T458" i="4"/>
  <c r="R458" i="4"/>
  <c r="I458" i="4"/>
  <c r="S436" i="3"/>
  <c r="I437" i="3"/>
  <c r="S447" i="4"/>
  <c r="I440" i="3"/>
  <c r="S443" i="4"/>
  <c r="I442" i="3"/>
  <c r="S445" i="4"/>
  <c r="R456" i="4"/>
  <c r="T456" i="4"/>
  <c r="R438" i="3"/>
  <c r="T438" i="3"/>
  <c r="I436" i="3"/>
  <c r="S437" i="3"/>
  <c r="R439" i="3"/>
  <c r="T439" i="3"/>
  <c r="T447" i="4"/>
  <c r="R447" i="4"/>
  <c r="R443" i="4"/>
  <c r="T443" i="4"/>
  <c r="I452" i="4"/>
  <c r="S441" i="3"/>
  <c r="R441" i="3"/>
  <c r="T441" i="3"/>
  <c r="R435" i="3"/>
  <c r="T435" i="3"/>
  <c r="R445" i="4"/>
  <c r="T445" i="4"/>
  <c r="S442" i="3"/>
  <c r="S435" i="3"/>
  <c r="S438" i="3"/>
  <c r="I438" i="3"/>
  <c r="S454" i="4"/>
  <c r="I454" i="4"/>
  <c r="S449" i="4"/>
  <c r="R437" i="3"/>
  <c r="T437" i="3"/>
  <c r="S452" i="4"/>
  <c r="R449" i="4"/>
  <c r="T449" i="4"/>
  <c r="T436" i="3"/>
  <c r="R436" i="3"/>
  <c r="I439" i="3"/>
  <c r="I441" i="3"/>
  <c r="S456" i="4"/>
  <c r="I456" i="4"/>
  <c r="T454" i="4"/>
  <c r="R454" i="4"/>
  <c r="G465" i="4"/>
  <c r="G461" i="4"/>
  <c r="G463" i="4"/>
  <c r="G459" i="4"/>
  <c r="G474" i="4"/>
  <c r="G472" i="4"/>
  <c r="G470" i="4"/>
  <c r="G468" i="4"/>
  <c r="G451" i="3"/>
  <c r="G453" i="3"/>
  <c r="G455" i="3"/>
  <c r="G457" i="3"/>
  <c r="G452" i="3"/>
  <c r="G454" i="3"/>
  <c r="G456" i="3"/>
  <c r="G458" i="3"/>
  <c r="U446" i="3"/>
  <c r="N447" i="3"/>
  <c r="V457" i="4"/>
  <c r="M443" i="3"/>
  <c r="V444" i="3"/>
  <c r="Z448" i="3"/>
  <c r="V445" i="3"/>
  <c r="K450" i="3"/>
  <c r="Z444" i="3"/>
  <c r="L445" i="3"/>
  <c r="K446" i="3"/>
  <c r="U460" i="4"/>
  <c r="O444" i="3"/>
  <c r="J457" i="4"/>
  <c r="AA464" i="4"/>
  <c r="AA460" i="4"/>
  <c r="X446" i="3"/>
  <c r="Y448" i="3"/>
  <c r="K445" i="3"/>
  <c r="N450" i="3"/>
  <c r="Z450" i="3"/>
  <c r="O448" i="3"/>
  <c r="Y462" i="4"/>
  <c r="Q450" i="3"/>
  <c r="U464" i="4"/>
  <c r="W443" i="3"/>
  <c r="L446" i="3"/>
  <c r="W448" i="3"/>
  <c r="J460" i="4"/>
  <c r="J447" i="3"/>
  <c r="O445" i="3"/>
  <c r="U449" i="3"/>
  <c r="J445" i="3"/>
  <c r="Z455" i="4"/>
  <c r="V450" i="3"/>
  <c r="AA443" i="3"/>
  <c r="P450" i="3"/>
  <c r="J451" i="4"/>
  <c r="W444" i="3"/>
  <c r="P445" i="3"/>
  <c r="U462" i="4"/>
  <c r="V455" i="4"/>
  <c r="W447" i="3"/>
  <c r="X449" i="3"/>
  <c r="V464" i="4"/>
  <c r="W455" i="4"/>
  <c r="Z464" i="4"/>
  <c r="O443" i="3"/>
  <c r="N445" i="3"/>
  <c r="Z460" i="4"/>
  <c r="U457" i="4"/>
  <c r="Q447" i="3"/>
  <c r="X450" i="3"/>
  <c r="U444" i="3"/>
  <c r="X460" i="4"/>
  <c r="Z446" i="3"/>
  <c r="N448" i="3"/>
  <c r="L444" i="3"/>
  <c r="W457" i="4"/>
  <c r="AA445" i="3"/>
  <c r="Y451" i="4"/>
  <c r="X444" i="3"/>
  <c r="X448" i="3"/>
  <c r="W445" i="3"/>
  <c r="AA453" i="4"/>
  <c r="V453" i="4"/>
  <c r="Q448" i="3"/>
  <c r="W450" i="3"/>
  <c r="X453" i="4"/>
  <c r="V448" i="3"/>
  <c r="X457" i="4"/>
  <c r="Z457" i="4"/>
  <c r="O447" i="3"/>
  <c r="U453" i="4"/>
  <c r="U466" i="4"/>
  <c r="Y446" i="3"/>
  <c r="AA444" i="3"/>
  <c r="V460" i="4"/>
  <c r="AA450" i="3"/>
  <c r="P443" i="3"/>
  <c r="W451" i="4"/>
  <c r="AA447" i="3"/>
  <c r="Z449" i="3"/>
  <c r="X455" i="4"/>
  <c r="M445" i="3"/>
  <c r="N446" i="3"/>
  <c r="U450" i="3"/>
  <c r="Q444" i="3"/>
  <c r="O446" i="3"/>
  <c r="W464" i="4"/>
  <c r="Z445" i="3"/>
  <c r="U443" i="3"/>
  <c r="V446" i="3"/>
  <c r="AA466" i="4"/>
  <c r="Y460" i="4"/>
  <c r="X445" i="3"/>
  <c r="V447" i="3"/>
  <c r="J449" i="3"/>
  <c r="X464" i="4"/>
  <c r="V466" i="4"/>
  <c r="W446" i="3"/>
  <c r="U451" i="4"/>
  <c r="L449" i="3"/>
  <c r="X447" i="3"/>
  <c r="J455" i="4"/>
  <c r="V451" i="4"/>
  <c r="AA446" i="3"/>
  <c r="K443" i="3"/>
  <c r="L447" i="3"/>
  <c r="J444" i="3"/>
  <c r="M447" i="3"/>
  <c r="Y457" i="4"/>
  <c r="O449" i="3"/>
  <c r="N443" i="3"/>
  <c r="L448" i="3"/>
  <c r="Y445" i="3"/>
  <c r="M444" i="3"/>
  <c r="L450" i="3"/>
  <c r="W449" i="3"/>
  <c r="U448" i="3"/>
  <c r="O450" i="3"/>
  <c r="J443" i="3"/>
  <c r="J464" i="4"/>
  <c r="J450" i="3"/>
  <c r="V462" i="4"/>
  <c r="J453" i="4"/>
  <c r="Q443" i="3"/>
  <c r="K449" i="3"/>
  <c r="Y450" i="3"/>
  <c r="W453" i="4"/>
  <c r="Y443" i="3"/>
  <c r="Z466" i="4"/>
  <c r="N444" i="3"/>
  <c r="Z443" i="3"/>
  <c r="P448" i="3"/>
  <c r="L443" i="3"/>
  <c r="AA457" i="4"/>
  <c r="X451" i="4"/>
  <c r="AA449" i="3"/>
  <c r="W462" i="4"/>
  <c r="Y449" i="3"/>
  <c r="M448" i="3"/>
  <c r="Z462" i="4"/>
  <c r="V443" i="3"/>
  <c r="J448" i="3"/>
  <c r="Y447" i="3"/>
  <c r="X466" i="4"/>
  <c r="Z453" i="4"/>
  <c r="Y453" i="4"/>
  <c r="M450" i="3"/>
  <c r="M446" i="3"/>
  <c r="W466" i="4"/>
  <c r="U447" i="3"/>
  <c r="AA455" i="4"/>
  <c r="J466" i="4"/>
  <c r="K448" i="3"/>
  <c r="J446" i="3"/>
  <c r="Z447" i="3"/>
  <c r="P444" i="3"/>
  <c r="P447" i="3"/>
  <c r="Y455" i="4"/>
  <c r="Y466" i="4"/>
  <c r="M449" i="3"/>
  <c r="V449" i="3"/>
  <c r="U455" i="4"/>
  <c r="W460" i="4"/>
  <c r="X443" i="3"/>
  <c r="AA448" i="3"/>
  <c r="J462" i="4"/>
  <c r="Y464" i="4"/>
  <c r="K444" i="3"/>
  <c r="P449" i="3"/>
  <c r="K447" i="3"/>
  <c r="Z451" i="4"/>
  <c r="P446" i="3"/>
  <c r="AA462" i="4"/>
  <c r="N449" i="3"/>
  <c r="U445" i="3"/>
  <c r="Q445" i="3"/>
  <c r="X462" i="4"/>
  <c r="Y444" i="3"/>
  <c r="Q449" i="3"/>
  <c r="AA451" i="4"/>
  <c r="Q446" i="3"/>
  <c r="S445" i="3" l="1"/>
  <c r="S444" i="3"/>
  <c r="T451" i="4"/>
  <c r="R451" i="4"/>
  <c r="S453" i="4"/>
  <c r="I453" i="4"/>
  <c r="S466" i="4"/>
  <c r="I457" i="4"/>
  <c r="R444" i="3"/>
  <c r="T444" i="3"/>
  <c r="S460" i="4"/>
  <c r="T462" i="4"/>
  <c r="R462" i="4"/>
  <c r="S455" i="4"/>
  <c r="I455" i="4"/>
  <c r="R448" i="3"/>
  <c r="T448" i="3"/>
  <c r="I464" i="4"/>
  <c r="R445" i="3"/>
  <c r="T445" i="3"/>
  <c r="T466" i="4"/>
  <c r="R466" i="4"/>
  <c r="I466" i="4"/>
  <c r="S457" i="4"/>
  <c r="R443" i="3"/>
  <c r="T443" i="3"/>
  <c r="R460" i="4"/>
  <c r="T460" i="4"/>
  <c r="I460" i="4"/>
  <c r="S449" i="3"/>
  <c r="I462" i="4"/>
  <c r="T455" i="4"/>
  <c r="R455" i="4"/>
  <c r="S446" i="3"/>
  <c r="R453" i="4"/>
  <c r="T453" i="4"/>
  <c r="R457" i="4"/>
  <c r="T457" i="4"/>
  <c r="S451" i="4"/>
  <c r="I451" i="4"/>
  <c r="R450" i="3"/>
  <c r="T450" i="3"/>
  <c r="S450" i="3"/>
  <c r="R449" i="3"/>
  <c r="T449" i="3"/>
  <c r="S448" i="3"/>
  <c r="S464" i="4"/>
  <c r="T464" i="4"/>
  <c r="R464" i="4"/>
  <c r="S443" i="3"/>
  <c r="S462" i="4"/>
  <c r="R447" i="3"/>
  <c r="T447" i="3"/>
  <c r="S447" i="3"/>
  <c r="R446" i="3"/>
  <c r="T446" i="3"/>
  <c r="G476" i="4"/>
  <c r="G478" i="4"/>
  <c r="G480" i="4"/>
  <c r="G482" i="4"/>
  <c r="G467" i="4"/>
  <c r="G471" i="4"/>
  <c r="G469" i="4"/>
  <c r="G473" i="4"/>
  <c r="G466" i="3"/>
  <c r="G464" i="3"/>
  <c r="G462" i="3"/>
  <c r="G460" i="3"/>
  <c r="G465" i="3"/>
  <c r="G463" i="3"/>
  <c r="G461" i="3"/>
  <c r="G459" i="3"/>
  <c r="N456" i="3"/>
  <c r="W454" i="3"/>
  <c r="Y468" i="4"/>
  <c r="Z468" i="4"/>
  <c r="L452" i="3"/>
  <c r="U474" i="4"/>
  <c r="Z463" i="4"/>
  <c r="P453" i="3"/>
  <c r="P456" i="3"/>
  <c r="M453" i="3"/>
  <c r="O452" i="3"/>
  <c r="AA461" i="4"/>
  <c r="P454" i="3"/>
  <c r="V474" i="4"/>
  <c r="X459" i="4"/>
  <c r="X474" i="4"/>
  <c r="U468" i="4"/>
  <c r="L454" i="3"/>
  <c r="AA470" i="4"/>
  <c r="P457" i="3"/>
  <c r="AA474" i="4"/>
  <c r="J454" i="3"/>
  <c r="L455" i="3"/>
  <c r="Q458" i="3"/>
  <c r="Z451" i="3"/>
  <c r="X455" i="3"/>
  <c r="X470" i="4"/>
  <c r="Y451" i="3"/>
  <c r="X468" i="4"/>
  <c r="W457" i="3"/>
  <c r="AA451" i="3"/>
  <c r="K453" i="3"/>
  <c r="Q456" i="3"/>
  <c r="Z457" i="3"/>
  <c r="K458" i="3"/>
  <c r="W463" i="4"/>
  <c r="U451" i="3"/>
  <c r="K457" i="3"/>
  <c r="K456" i="3"/>
  <c r="W452" i="3"/>
  <c r="Z455" i="3"/>
  <c r="J452" i="3"/>
  <c r="Z456" i="3"/>
  <c r="Z470" i="4"/>
  <c r="Z472" i="4"/>
  <c r="O451" i="3"/>
  <c r="W458" i="3"/>
  <c r="P452" i="3"/>
  <c r="Z458" i="3"/>
  <c r="Z465" i="4"/>
  <c r="K451" i="3"/>
  <c r="W456" i="3"/>
  <c r="Y470" i="4"/>
  <c r="N454" i="3"/>
  <c r="P451" i="3"/>
  <c r="X451" i="3"/>
  <c r="Z461" i="4"/>
  <c r="J459" i="4"/>
  <c r="V465" i="4"/>
  <c r="V472" i="4"/>
  <c r="K454" i="3"/>
  <c r="V456" i="3"/>
  <c r="Y455" i="3"/>
  <c r="V453" i="3"/>
  <c r="U461" i="4"/>
  <c r="O458" i="3"/>
  <c r="Y461" i="4"/>
  <c r="Y453" i="3"/>
  <c r="Z454" i="3"/>
  <c r="L456" i="3"/>
  <c r="M457" i="3"/>
  <c r="V461" i="4"/>
  <c r="X456" i="3"/>
  <c r="AA468" i="4"/>
  <c r="W453" i="3"/>
  <c r="AA456" i="3"/>
  <c r="L451" i="3"/>
  <c r="Q453" i="3"/>
  <c r="O455" i="3"/>
  <c r="J474" i="4"/>
  <c r="AA457" i="3"/>
  <c r="O453" i="3"/>
  <c r="N455" i="3"/>
  <c r="Q451" i="3"/>
  <c r="J453" i="3"/>
  <c r="N458" i="3"/>
  <c r="Y459" i="4"/>
  <c r="M458" i="3"/>
  <c r="V458" i="3"/>
  <c r="M452" i="3"/>
  <c r="Q457" i="3"/>
  <c r="U465" i="4"/>
  <c r="X463" i="4"/>
  <c r="N451" i="3"/>
  <c r="J470" i="4"/>
  <c r="Y463" i="4"/>
  <c r="Y465" i="4"/>
  <c r="X461" i="4"/>
  <c r="Z453" i="3"/>
  <c r="V468" i="4"/>
  <c r="Y458" i="3"/>
  <c r="J458" i="3"/>
  <c r="J468" i="4"/>
  <c r="V451" i="3"/>
  <c r="M454" i="3"/>
  <c r="M456" i="3"/>
  <c r="W455" i="3"/>
  <c r="W468" i="4"/>
  <c r="Z459" i="4"/>
  <c r="Y457" i="3"/>
  <c r="J455" i="3"/>
  <c r="Q455" i="3"/>
  <c r="U457" i="3"/>
  <c r="V454" i="3"/>
  <c r="M451" i="3"/>
  <c r="U459" i="4"/>
  <c r="AA472" i="4"/>
  <c r="M455" i="3"/>
  <c r="W461" i="4"/>
  <c r="Q452" i="3"/>
  <c r="AA454" i="3"/>
  <c r="Y456" i="3"/>
  <c r="AA459" i="4"/>
  <c r="V457" i="3"/>
  <c r="V455" i="3"/>
  <c r="X453" i="3"/>
  <c r="K455" i="3"/>
  <c r="W465" i="4"/>
  <c r="U472" i="4"/>
  <c r="AA465" i="4"/>
  <c r="J461" i="4"/>
  <c r="J456" i="3"/>
  <c r="AA458" i="3"/>
  <c r="AA452" i="3"/>
  <c r="P455" i="3"/>
  <c r="U456" i="3"/>
  <c r="W470" i="4"/>
  <c r="L453" i="3"/>
  <c r="N457" i="3"/>
  <c r="V463" i="4"/>
  <c r="AA455" i="3"/>
  <c r="W474" i="4"/>
  <c r="L458" i="3"/>
  <c r="U453" i="3"/>
  <c r="P458" i="3"/>
  <c r="AA453" i="3"/>
  <c r="N452" i="3"/>
  <c r="U470" i="4"/>
  <c r="J451" i="3"/>
  <c r="V452" i="3"/>
  <c r="J463" i="4"/>
  <c r="Y452" i="3"/>
  <c r="Y474" i="4"/>
  <c r="O456" i="3"/>
  <c r="Y454" i="3"/>
  <c r="W451" i="3"/>
  <c r="U455" i="3"/>
  <c r="X458" i="3"/>
  <c r="X465" i="4"/>
  <c r="L457" i="3"/>
  <c r="X457" i="3"/>
  <c r="W472" i="4"/>
  <c r="X454" i="3"/>
  <c r="Q454" i="3"/>
  <c r="U454" i="3"/>
  <c r="J465" i="4"/>
  <c r="X452" i="3"/>
  <c r="AA463" i="4"/>
  <c r="W459" i="4"/>
  <c r="Z474" i="4"/>
  <c r="V470" i="4"/>
  <c r="K452" i="3"/>
  <c r="V459" i="4"/>
  <c r="O454" i="3"/>
  <c r="U452" i="3"/>
  <c r="X472" i="4"/>
  <c r="U458" i="3"/>
  <c r="Z452" i="3"/>
  <c r="J457" i="3"/>
  <c r="O457" i="3"/>
  <c r="N453" i="3"/>
  <c r="J472" i="4"/>
  <c r="U463" i="4"/>
  <c r="Y472" i="4"/>
  <c r="R465" i="4" l="1"/>
  <c r="T465" i="4"/>
  <c r="S453" i="3"/>
  <c r="S455" i="3"/>
  <c r="I454" i="3"/>
  <c r="R455" i="3"/>
  <c r="T455" i="3"/>
  <c r="S461" i="4"/>
  <c r="S454" i="3"/>
  <c r="R454" i="3"/>
  <c r="T454" i="3"/>
  <c r="S457" i="3"/>
  <c r="S465" i="4"/>
  <c r="I451" i="3"/>
  <c r="R461" i="4"/>
  <c r="T461" i="4"/>
  <c r="I461" i="4"/>
  <c r="S459" i="4"/>
  <c r="I459" i="4"/>
  <c r="S468" i="4"/>
  <c r="S458" i="3"/>
  <c r="I474" i="4"/>
  <c r="S452" i="3"/>
  <c r="I452" i="3"/>
  <c r="T470" i="4"/>
  <c r="R470" i="4"/>
  <c r="S456" i="3"/>
  <c r="S451" i="3"/>
  <c r="R453" i="3"/>
  <c r="T453" i="3"/>
  <c r="S463" i="4"/>
  <c r="I463" i="4"/>
  <c r="I455" i="3"/>
  <c r="R459" i="4"/>
  <c r="T459" i="4"/>
  <c r="R468" i="4"/>
  <c r="T468" i="4"/>
  <c r="I458" i="3"/>
  <c r="S474" i="4"/>
  <c r="S472" i="4"/>
  <c r="R456" i="3"/>
  <c r="T456" i="3"/>
  <c r="I456" i="3"/>
  <c r="I465" i="4"/>
  <c r="I453" i="3"/>
  <c r="T463" i="4"/>
  <c r="R463" i="4"/>
  <c r="R457" i="3"/>
  <c r="T457" i="3"/>
  <c r="T474" i="4"/>
  <c r="R474" i="4"/>
  <c r="T452" i="3"/>
  <c r="R452" i="3"/>
  <c r="R472" i="4"/>
  <c r="T472" i="4"/>
  <c r="I472" i="4"/>
  <c r="R451" i="3"/>
  <c r="T451" i="3"/>
  <c r="I468" i="4"/>
  <c r="I457" i="3"/>
  <c r="R458" i="3"/>
  <c r="T458" i="3"/>
  <c r="S470" i="4"/>
  <c r="I470" i="4"/>
  <c r="G481" i="4"/>
  <c r="G477" i="4"/>
  <c r="G479" i="4"/>
  <c r="G475" i="4"/>
  <c r="G490" i="4"/>
  <c r="G488" i="4"/>
  <c r="G486" i="4"/>
  <c r="G484" i="4"/>
  <c r="G467" i="3"/>
  <c r="G469" i="3"/>
  <c r="G471" i="3"/>
  <c r="G473" i="3"/>
  <c r="G468" i="3"/>
  <c r="G470" i="3"/>
  <c r="G472" i="3"/>
  <c r="G474" i="3"/>
  <c r="U462" i="3"/>
  <c r="O460" i="3"/>
  <c r="U471" i="4"/>
  <c r="Z465" i="3"/>
  <c r="AA466" i="3"/>
  <c r="Z466" i="3"/>
  <c r="X471" i="4"/>
  <c r="W482" i="4"/>
  <c r="P463" i="3"/>
  <c r="Q464" i="3"/>
  <c r="L460" i="3"/>
  <c r="W465" i="3"/>
  <c r="Z464" i="3"/>
  <c r="AA459" i="3"/>
  <c r="M463" i="3"/>
  <c r="Y464" i="3"/>
  <c r="Q461" i="3"/>
  <c r="V476" i="4"/>
  <c r="AA465" i="3"/>
  <c r="U465" i="3"/>
  <c r="V471" i="4"/>
  <c r="P460" i="3"/>
  <c r="J478" i="4"/>
  <c r="W471" i="4"/>
  <c r="O459" i="3"/>
  <c r="AA473" i="4"/>
  <c r="V459" i="3"/>
  <c r="K461" i="3"/>
  <c r="X469" i="4"/>
  <c r="V480" i="4"/>
  <c r="U461" i="3"/>
  <c r="K464" i="3"/>
  <c r="K465" i="3"/>
  <c r="P466" i="3"/>
  <c r="Y471" i="4"/>
  <c r="Y473" i="4"/>
  <c r="W462" i="3"/>
  <c r="AA464" i="3"/>
  <c r="V462" i="3"/>
  <c r="W464" i="3"/>
  <c r="X465" i="3"/>
  <c r="Y460" i="3"/>
  <c r="W467" i="4"/>
  <c r="Y467" i="4"/>
  <c r="AA462" i="3"/>
  <c r="M464" i="3"/>
  <c r="Z478" i="4"/>
  <c r="V469" i="4"/>
  <c r="X463" i="3"/>
  <c r="Y462" i="3"/>
  <c r="Z471" i="4"/>
  <c r="W461" i="3"/>
  <c r="Y465" i="3"/>
  <c r="N460" i="3"/>
  <c r="U466" i="3"/>
  <c r="X464" i="3"/>
  <c r="J465" i="3"/>
  <c r="X460" i="3"/>
  <c r="L459" i="3"/>
  <c r="K462" i="3"/>
  <c r="J476" i="4"/>
  <c r="J480" i="4"/>
  <c r="O462" i="3"/>
  <c r="W460" i="3"/>
  <c r="M460" i="3"/>
  <c r="L466" i="3"/>
  <c r="Q460" i="3"/>
  <c r="J464" i="3"/>
  <c r="L462" i="3"/>
  <c r="U467" i="4"/>
  <c r="U473" i="4"/>
  <c r="P464" i="3"/>
  <c r="Y459" i="3"/>
  <c r="U469" i="4"/>
  <c r="AA471" i="4"/>
  <c r="N466" i="3"/>
  <c r="J462" i="3"/>
  <c r="V464" i="3"/>
  <c r="Z461" i="3"/>
  <c r="AA482" i="4"/>
  <c r="Z473" i="4"/>
  <c r="V467" i="4"/>
  <c r="U464" i="3"/>
  <c r="L461" i="3"/>
  <c r="N464" i="3"/>
  <c r="J466" i="3"/>
  <c r="K463" i="3"/>
  <c r="Q463" i="3"/>
  <c r="P462" i="3"/>
  <c r="Y466" i="3"/>
  <c r="L464" i="3"/>
  <c r="U476" i="4"/>
  <c r="X462" i="3"/>
  <c r="U478" i="4"/>
  <c r="M459" i="3"/>
  <c r="M465" i="3"/>
  <c r="W478" i="4"/>
  <c r="Z482" i="4"/>
  <c r="J461" i="3"/>
  <c r="K459" i="3"/>
  <c r="K466" i="3"/>
  <c r="V461" i="3"/>
  <c r="O465" i="3"/>
  <c r="O461" i="3"/>
  <c r="X459" i="3"/>
  <c r="X461" i="3"/>
  <c r="X466" i="3"/>
  <c r="V466" i="3"/>
  <c r="Z459" i="3"/>
  <c r="N459" i="3"/>
  <c r="Y461" i="3"/>
  <c r="U482" i="4"/>
  <c r="Z469" i="4"/>
  <c r="U459" i="3"/>
  <c r="U460" i="3"/>
  <c r="Y478" i="4"/>
  <c r="M461" i="3"/>
  <c r="Q466" i="3"/>
  <c r="Z480" i="4"/>
  <c r="J467" i="4"/>
  <c r="O466" i="3"/>
  <c r="L463" i="3"/>
  <c r="W476" i="4"/>
  <c r="W459" i="3"/>
  <c r="AA467" i="4"/>
  <c r="X482" i="4"/>
  <c r="V482" i="4"/>
  <c r="AA476" i="4"/>
  <c r="V478" i="4"/>
  <c r="AA478" i="4"/>
  <c r="Q462" i="3"/>
  <c r="X467" i="4"/>
  <c r="W466" i="3"/>
  <c r="Y469" i="4"/>
  <c r="W473" i="4"/>
  <c r="J459" i="3"/>
  <c r="Q465" i="3"/>
  <c r="N461" i="3"/>
  <c r="V460" i="3"/>
  <c r="Q459" i="3"/>
  <c r="W469" i="4"/>
  <c r="W463" i="3"/>
  <c r="Y476" i="4"/>
  <c r="Y463" i="3"/>
  <c r="AA460" i="3"/>
  <c r="N465" i="3"/>
  <c r="P461" i="3"/>
  <c r="Z462" i="3"/>
  <c r="P465" i="3"/>
  <c r="AA480" i="4"/>
  <c r="Z467" i="4"/>
  <c r="N463" i="3"/>
  <c r="M466" i="3"/>
  <c r="N462" i="3"/>
  <c r="J460" i="3"/>
  <c r="Y482" i="4"/>
  <c r="U463" i="3"/>
  <c r="AA469" i="4"/>
  <c r="O464" i="3"/>
  <c r="AA463" i="3"/>
  <c r="M462" i="3"/>
  <c r="J471" i="4"/>
  <c r="J469" i="4"/>
  <c r="J482" i="4"/>
  <c r="X480" i="4"/>
  <c r="W480" i="4"/>
  <c r="J463" i="3"/>
  <c r="X478" i="4"/>
  <c r="P459" i="3"/>
  <c r="V465" i="3"/>
  <c r="V463" i="3"/>
  <c r="Z476" i="4"/>
  <c r="V473" i="4"/>
  <c r="U480" i="4"/>
  <c r="Y480" i="4"/>
  <c r="K460" i="3"/>
  <c r="Z463" i="3"/>
  <c r="AA461" i="3"/>
  <c r="J473" i="4"/>
  <c r="X473" i="4"/>
  <c r="Z460" i="3"/>
  <c r="X476" i="4"/>
  <c r="L465" i="3"/>
  <c r="O463" i="3"/>
  <c r="S467" i="4" l="1"/>
  <c r="I466" i="3"/>
  <c r="I469" i="4"/>
  <c r="I461" i="3"/>
  <c r="S464" i="3"/>
  <c r="R476" i="4"/>
  <c r="T476" i="4"/>
  <c r="T467" i="4"/>
  <c r="R467" i="4"/>
  <c r="R469" i="4"/>
  <c r="T469" i="4"/>
  <c r="I473" i="4"/>
  <c r="S459" i="3"/>
  <c r="S466" i="3"/>
  <c r="S471" i="4"/>
  <c r="I471" i="4"/>
  <c r="T461" i="3"/>
  <c r="R461" i="3"/>
  <c r="R464" i="3"/>
  <c r="T464" i="3"/>
  <c r="S482" i="4"/>
  <c r="S460" i="3"/>
  <c r="I459" i="3"/>
  <c r="S478" i="4"/>
  <c r="R466" i="3"/>
  <c r="T466" i="3"/>
  <c r="T471" i="4"/>
  <c r="R471" i="4"/>
  <c r="S480" i="4"/>
  <c r="T482" i="4"/>
  <c r="R482" i="4"/>
  <c r="S473" i="4"/>
  <c r="I460" i="3"/>
  <c r="T465" i="3"/>
  <c r="R465" i="3"/>
  <c r="T478" i="4"/>
  <c r="R478" i="4"/>
  <c r="I463" i="3"/>
  <c r="S462" i="3"/>
  <c r="R462" i="3"/>
  <c r="T462" i="3"/>
  <c r="T480" i="4"/>
  <c r="R480" i="4"/>
  <c r="R473" i="4"/>
  <c r="T473" i="4"/>
  <c r="R460" i="3"/>
  <c r="T460" i="3"/>
  <c r="R459" i="3"/>
  <c r="T459" i="3"/>
  <c r="S465" i="3"/>
  <c r="S476" i="4"/>
  <c r="I467" i="4"/>
  <c r="S469" i="4"/>
  <c r="S461" i="3"/>
  <c r="I464" i="3"/>
  <c r="I465" i="3"/>
  <c r="R463" i="3"/>
  <c r="T463" i="3"/>
  <c r="S463" i="3"/>
  <c r="I462" i="3"/>
  <c r="G492" i="4"/>
  <c r="G494" i="4"/>
  <c r="G496" i="4"/>
  <c r="G498" i="4"/>
  <c r="G483" i="4"/>
  <c r="G487" i="4"/>
  <c r="G485" i="4"/>
  <c r="G489" i="4"/>
  <c r="G482" i="3"/>
  <c r="G480" i="3"/>
  <c r="G478" i="3"/>
  <c r="G476" i="3"/>
  <c r="G481" i="3"/>
  <c r="G479" i="3"/>
  <c r="G477" i="3"/>
  <c r="G475" i="3"/>
  <c r="U486" i="4"/>
  <c r="M474" i="3"/>
  <c r="K471" i="3"/>
  <c r="Y479" i="4"/>
  <c r="AA486" i="4"/>
  <c r="O473" i="3"/>
  <c r="W490" i="4"/>
  <c r="U488" i="4"/>
  <c r="Y486" i="4"/>
  <c r="U469" i="3"/>
  <c r="Y473" i="3"/>
  <c r="X472" i="3"/>
  <c r="Z471" i="3"/>
  <c r="Q469" i="3"/>
  <c r="X473" i="3"/>
  <c r="V474" i="3"/>
  <c r="W467" i="3"/>
  <c r="L469" i="3"/>
  <c r="X471" i="3"/>
  <c r="V490" i="4"/>
  <c r="Z479" i="4"/>
  <c r="M473" i="3"/>
  <c r="O471" i="3"/>
  <c r="N471" i="3"/>
  <c r="M471" i="3"/>
  <c r="U484" i="4"/>
  <c r="W468" i="3"/>
  <c r="Q474" i="3"/>
  <c r="P471" i="3"/>
  <c r="Y470" i="3"/>
  <c r="Z481" i="4"/>
  <c r="Y477" i="4"/>
  <c r="Y490" i="4"/>
  <c r="K467" i="3"/>
  <c r="Z469" i="3"/>
  <c r="P470" i="3"/>
  <c r="Y468" i="3"/>
  <c r="Z467" i="3"/>
  <c r="X475" i="4"/>
  <c r="W471" i="3"/>
  <c r="P473" i="3"/>
  <c r="Z472" i="3"/>
  <c r="W488" i="4"/>
  <c r="Q471" i="3"/>
  <c r="U472" i="3"/>
  <c r="J477" i="4"/>
  <c r="J488" i="4"/>
  <c r="X477" i="4"/>
  <c r="X490" i="4"/>
  <c r="J486" i="4"/>
  <c r="P469" i="3"/>
  <c r="X467" i="3"/>
  <c r="Y488" i="4"/>
  <c r="V467" i="3"/>
  <c r="V486" i="4"/>
  <c r="W484" i="4"/>
  <c r="Y474" i="3"/>
  <c r="U481" i="4"/>
  <c r="U477" i="4"/>
  <c r="Y471" i="3"/>
  <c r="L468" i="3"/>
  <c r="Z468" i="3"/>
  <c r="Z484" i="4"/>
  <c r="V470" i="3"/>
  <c r="AA469" i="3"/>
  <c r="Z477" i="4"/>
  <c r="AA479" i="4"/>
  <c r="K472" i="3"/>
  <c r="V484" i="4"/>
  <c r="J481" i="4"/>
  <c r="Q473" i="3"/>
  <c r="U473" i="3"/>
  <c r="V469" i="3"/>
  <c r="W481" i="4"/>
  <c r="Q470" i="3"/>
  <c r="J470" i="3"/>
  <c r="Y484" i="4"/>
  <c r="U479" i="4"/>
  <c r="N468" i="3"/>
  <c r="K469" i="3"/>
  <c r="M469" i="3"/>
  <c r="W473" i="3"/>
  <c r="W486" i="4"/>
  <c r="M467" i="3"/>
  <c r="L467" i="3"/>
  <c r="AA484" i="4"/>
  <c r="M470" i="3"/>
  <c r="L473" i="3"/>
  <c r="Q468" i="3"/>
  <c r="V473" i="3"/>
  <c r="Z486" i="4"/>
  <c r="X468" i="3"/>
  <c r="X479" i="4"/>
  <c r="N467" i="3"/>
  <c r="V477" i="4"/>
  <c r="O474" i="3"/>
  <c r="J473" i="3"/>
  <c r="J469" i="3"/>
  <c r="J490" i="4"/>
  <c r="V475" i="4"/>
  <c r="J475" i="4"/>
  <c r="O469" i="3"/>
  <c r="N472" i="3"/>
  <c r="K473" i="3"/>
  <c r="L470" i="3"/>
  <c r="Z475" i="4"/>
  <c r="AA471" i="3"/>
  <c r="Y472" i="3"/>
  <c r="W469" i="3"/>
  <c r="O468" i="3"/>
  <c r="V472" i="3"/>
  <c r="AA477" i="4"/>
  <c r="V479" i="4"/>
  <c r="AA468" i="3"/>
  <c r="V471" i="3"/>
  <c r="U470" i="3"/>
  <c r="U475" i="4"/>
  <c r="P468" i="3"/>
  <c r="Q467" i="3"/>
  <c r="Y467" i="3"/>
  <c r="N474" i="3"/>
  <c r="W474" i="3"/>
  <c r="K474" i="3"/>
  <c r="V481" i="4"/>
  <c r="O472" i="3"/>
  <c r="Z470" i="3"/>
  <c r="O470" i="3"/>
  <c r="M468" i="3"/>
  <c r="AA488" i="4"/>
  <c r="U474" i="3"/>
  <c r="X486" i="4"/>
  <c r="X488" i="4"/>
  <c r="U490" i="4"/>
  <c r="X469" i="3"/>
  <c r="J471" i="3"/>
  <c r="J472" i="3"/>
  <c r="L472" i="3"/>
  <c r="N470" i="3"/>
  <c r="W479" i="4"/>
  <c r="V468" i="3"/>
  <c r="U468" i="3"/>
  <c r="W477" i="4"/>
  <c r="Z474" i="3"/>
  <c r="P467" i="3"/>
  <c r="M472" i="3"/>
  <c r="AA473" i="3"/>
  <c r="J479" i="4"/>
  <c r="AA470" i="3"/>
  <c r="AA467" i="3"/>
  <c r="X474" i="3"/>
  <c r="AA475" i="4"/>
  <c r="P472" i="3"/>
  <c r="L474" i="3"/>
  <c r="N469" i="3"/>
  <c r="K468" i="3"/>
  <c r="K470" i="3"/>
  <c r="O467" i="3"/>
  <c r="W472" i="3"/>
  <c r="P474" i="3"/>
  <c r="X481" i="4"/>
  <c r="X470" i="3"/>
  <c r="Z473" i="3"/>
  <c r="J484" i="4"/>
  <c r="V488" i="4"/>
  <c r="AA474" i="3"/>
  <c r="J468" i="3"/>
  <c r="Y481" i="4"/>
  <c r="Y475" i="4"/>
  <c r="W475" i="4"/>
  <c r="U467" i="3"/>
  <c r="L471" i="3"/>
  <c r="N473" i="3"/>
  <c r="AA481" i="4"/>
  <c r="J474" i="3"/>
  <c r="Z490" i="4"/>
  <c r="AA472" i="3"/>
  <c r="W470" i="3"/>
  <c r="Y469" i="3"/>
  <c r="X484" i="4"/>
  <c r="Q472" i="3"/>
  <c r="J467" i="3"/>
  <c r="U471" i="3"/>
  <c r="Z488" i="4"/>
  <c r="AA490" i="4"/>
  <c r="I472" i="3" l="1"/>
  <c r="I471" i="3"/>
  <c r="I484" i="4"/>
  <c r="S473" i="3"/>
  <c r="S490" i="4"/>
  <c r="I469" i="3"/>
  <c r="S471" i="3"/>
  <c r="I470" i="3"/>
  <c r="S484" i="4"/>
  <c r="S481" i="4"/>
  <c r="I467" i="3"/>
  <c r="S477" i="4"/>
  <c r="R488" i="4"/>
  <c r="T488" i="4"/>
  <c r="S479" i="4"/>
  <c r="T490" i="4"/>
  <c r="R490" i="4"/>
  <c r="S469" i="3"/>
  <c r="R470" i="3"/>
  <c r="T470" i="3"/>
  <c r="R484" i="4"/>
  <c r="T484" i="4"/>
  <c r="I473" i="3"/>
  <c r="R473" i="3"/>
  <c r="T473" i="3"/>
  <c r="R474" i="3"/>
  <c r="T474" i="3"/>
  <c r="S474" i="3"/>
  <c r="R481" i="4"/>
  <c r="T481" i="4"/>
  <c r="T468" i="3"/>
  <c r="R468" i="3"/>
  <c r="R477" i="4"/>
  <c r="T477" i="4"/>
  <c r="I488" i="4"/>
  <c r="T479" i="4"/>
  <c r="R479" i="4"/>
  <c r="T469" i="3"/>
  <c r="R469" i="3"/>
  <c r="R472" i="3"/>
  <c r="T472" i="3"/>
  <c r="S475" i="4"/>
  <c r="I474" i="3"/>
  <c r="R467" i="3"/>
  <c r="T467" i="3"/>
  <c r="I468" i="3"/>
  <c r="S486" i="4"/>
  <c r="I486" i="4"/>
  <c r="I490" i="4"/>
  <c r="R471" i="3"/>
  <c r="T471" i="3"/>
  <c r="S470" i="3"/>
  <c r="S472" i="3"/>
  <c r="R475" i="4"/>
  <c r="T475" i="4"/>
  <c r="S467" i="3"/>
  <c r="S468" i="3"/>
  <c r="S488" i="4"/>
  <c r="T486" i="4"/>
  <c r="R486" i="4"/>
  <c r="G497" i="4"/>
  <c r="G493" i="4"/>
  <c r="G495" i="4"/>
  <c r="G491" i="4"/>
  <c r="G506" i="4"/>
  <c r="G504" i="4"/>
  <c r="G502" i="4"/>
  <c r="G500" i="4"/>
  <c r="G483" i="3"/>
  <c r="G485" i="3"/>
  <c r="G487" i="3"/>
  <c r="G489" i="3"/>
  <c r="G484" i="3"/>
  <c r="G486" i="3"/>
  <c r="G488" i="3"/>
  <c r="G490" i="3"/>
  <c r="U478" i="3"/>
  <c r="V476" i="3"/>
  <c r="Z483" i="4"/>
  <c r="Z476" i="3"/>
  <c r="V483" i="4"/>
  <c r="N477" i="3"/>
  <c r="U494" i="4"/>
  <c r="J492" i="4"/>
  <c r="W494" i="4"/>
  <c r="X487" i="4"/>
  <c r="X482" i="3"/>
  <c r="Z482" i="3"/>
  <c r="V485" i="4"/>
  <c r="M477" i="3"/>
  <c r="Z485" i="4"/>
  <c r="O478" i="3"/>
  <c r="X478" i="3"/>
  <c r="W492" i="4"/>
  <c r="O481" i="3"/>
  <c r="AA478" i="3"/>
  <c r="X494" i="4"/>
  <c r="J475" i="3"/>
  <c r="K480" i="3"/>
  <c r="K477" i="3"/>
  <c r="W477" i="3"/>
  <c r="Q479" i="3"/>
  <c r="Y475" i="3"/>
  <c r="U487" i="4"/>
  <c r="Y483" i="4"/>
  <c r="L482" i="3"/>
  <c r="P482" i="3"/>
  <c r="Y485" i="4"/>
  <c r="W482" i="3"/>
  <c r="U481" i="3"/>
  <c r="P476" i="3"/>
  <c r="X492" i="4"/>
  <c r="W479" i="3"/>
  <c r="V479" i="3"/>
  <c r="Y476" i="3"/>
  <c r="W480" i="3"/>
  <c r="M478" i="3"/>
  <c r="V478" i="3"/>
  <c r="Q480" i="3"/>
  <c r="Z496" i="4"/>
  <c r="U480" i="3"/>
  <c r="J494" i="4"/>
  <c r="Z481" i="3"/>
  <c r="K475" i="3"/>
  <c r="Q477" i="3"/>
  <c r="U498" i="4"/>
  <c r="Z494" i="4"/>
  <c r="Z479" i="3"/>
  <c r="U496" i="4"/>
  <c r="AA481" i="3"/>
  <c r="X479" i="3"/>
  <c r="AA477" i="3"/>
  <c r="X477" i="3"/>
  <c r="J478" i="3"/>
  <c r="Y496" i="4"/>
  <c r="J485" i="4"/>
  <c r="V481" i="3"/>
  <c r="W478" i="3"/>
  <c r="Y489" i="4"/>
  <c r="W483" i="4"/>
  <c r="P480" i="3"/>
  <c r="L475" i="3"/>
  <c r="J479" i="3"/>
  <c r="L480" i="3"/>
  <c r="W496" i="4"/>
  <c r="N476" i="3"/>
  <c r="V480" i="3"/>
  <c r="O475" i="3"/>
  <c r="M475" i="3"/>
  <c r="J498" i="4"/>
  <c r="V492" i="4"/>
  <c r="AA476" i="3"/>
  <c r="U492" i="4"/>
  <c r="K482" i="3"/>
  <c r="Y478" i="3"/>
  <c r="AA480" i="3"/>
  <c r="V475" i="3"/>
  <c r="AA498" i="4"/>
  <c r="Z477" i="3"/>
  <c r="Y480" i="3"/>
  <c r="X476" i="3"/>
  <c r="N475" i="3"/>
  <c r="AA487" i="4"/>
  <c r="K478" i="3"/>
  <c r="X485" i="4"/>
  <c r="X489" i="4"/>
  <c r="M481" i="3"/>
  <c r="W476" i="3"/>
  <c r="J480" i="3"/>
  <c r="O477" i="3"/>
  <c r="Z480" i="3"/>
  <c r="J496" i="4"/>
  <c r="N480" i="3"/>
  <c r="AA485" i="4"/>
  <c r="O479" i="3"/>
  <c r="P477" i="3"/>
  <c r="AA496" i="4"/>
  <c r="U483" i="4"/>
  <c r="U475" i="3"/>
  <c r="N478" i="3"/>
  <c r="X498" i="4"/>
  <c r="Y492" i="4"/>
  <c r="Z475" i="3"/>
  <c r="P481" i="3"/>
  <c r="W475" i="3"/>
  <c r="V477" i="3"/>
  <c r="U482" i="3"/>
  <c r="Q475" i="3"/>
  <c r="Y477" i="3"/>
  <c r="X480" i="3"/>
  <c r="AA483" i="4"/>
  <c r="AA482" i="3"/>
  <c r="W481" i="3"/>
  <c r="P479" i="3"/>
  <c r="Y487" i="4"/>
  <c r="J483" i="4"/>
  <c r="J476" i="3"/>
  <c r="Y482" i="3"/>
  <c r="X483" i="4"/>
  <c r="O476" i="3"/>
  <c r="W485" i="4"/>
  <c r="W498" i="4"/>
  <c r="L477" i="3"/>
  <c r="L476" i="3"/>
  <c r="K481" i="3"/>
  <c r="J481" i="3"/>
  <c r="Y481" i="3"/>
  <c r="U479" i="3"/>
  <c r="P475" i="3"/>
  <c r="J489" i="4"/>
  <c r="AA479" i="3"/>
  <c r="AA489" i="4"/>
  <c r="M479" i="3"/>
  <c r="M482" i="3"/>
  <c r="Q482" i="3"/>
  <c r="U485" i="4"/>
  <c r="L479" i="3"/>
  <c r="P478" i="3"/>
  <c r="V489" i="4"/>
  <c r="AA492" i="4"/>
  <c r="Q476" i="3"/>
  <c r="M480" i="3"/>
  <c r="U477" i="3"/>
  <c r="L478" i="3"/>
  <c r="V482" i="3"/>
  <c r="K479" i="3"/>
  <c r="L481" i="3"/>
  <c r="Z489" i="4"/>
  <c r="V496" i="4"/>
  <c r="N482" i="3"/>
  <c r="X496" i="4"/>
  <c r="O482" i="3"/>
  <c r="U489" i="4"/>
  <c r="Q478" i="3"/>
  <c r="W489" i="4"/>
  <c r="AA475" i="3"/>
  <c r="J477" i="3"/>
  <c r="V487" i="4"/>
  <c r="Z478" i="3"/>
  <c r="V498" i="4"/>
  <c r="M476" i="3"/>
  <c r="Q481" i="3"/>
  <c r="O480" i="3"/>
  <c r="X481" i="3"/>
  <c r="W487" i="4"/>
  <c r="Y479" i="3"/>
  <c r="N481" i="3"/>
  <c r="Z487" i="4"/>
  <c r="J487" i="4"/>
  <c r="J482" i="3"/>
  <c r="Y498" i="4"/>
  <c r="U476" i="3"/>
  <c r="Z492" i="4"/>
  <c r="K476" i="3"/>
  <c r="Y494" i="4"/>
  <c r="AA494" i="4"/>
  <c r="V494" i="4"/>
  <c r="X475" i="3"/>
  <c r="N479" i="3"/>
  <c r="Z498" i="4"/>
  <c r="T487" i="4" l="1"/>
  <c r="R487" i="4"/>
  <c r="T496" i="4"/>
  <c r="R496" i="4"/>
  <c r="S494" i="4"/>
  <c r="R477" i="3"/>
  <c r="T477" i="3"/>
  <c r="T498" i="4"/>
  <c r="R498" i="4"/>
  <c r="S489" i="4"/>
  <c r="R492" i="4"/>
  <c r="T492" i="4"/>
  <c r="T494" i="4"/>
  <c r="R494" i="4"/>
  <c r="I494" i="4"/>
  <c r="S487" i="4"/>
  <c r="R480" i="3"/>
  <c r="T480" i="3"/>
  <c r="S485" i="4"/>
  <c r="I498" i="4"/>
  <c r="R489" i="4"/>
  <c r="T489" i="4"/>
  <c r="T476" i="3"/>
  <c r="R476" i="3"/>
  <c r="S483" i="4"/>
  <c r="R482" i="3"/>
  <c r="T482" i="3"/>
  <c r="R481" i="3"/>
  <c r="T481" i="3"/>
  <c r="S480" i="3"/>
  <c r="S496" i="4"/>
  <c r="R485" i="4"/>
  <c r="T485" i="4"/>
  <c r="S477" i="3"/>
  <c r="S476" i="3"/>
  <c r="S475" i="3"/>
  <c r="T483" i="4"/>
  <c r="R483" i="4"/>
  <c r="S481" i="3"/>
  <c r="I496" i="4"/>
  <c r="S498" i="4"/>
  <c r="I489" i="4"/>
  <c r="R475" i="3"/>
  <c r="T475" i="3"/>
  <c r="S492" i="4"/>
  <c r="I483" i="4"/>
  <c r="S482" i="3"/>
  <c r="R479" i="3"/>
  <c r="T479" i="3"/>
  <c r="S479" i="3"/>
  <c r="R478" i="3"/>
  <c r="T478" i="3"/>
  <c r="I485" i="4"/>
  <c r="I487" i="4"/>
  <c r="I492" i="4"/>
  <c r="S478" i="3"/>
  <c r="G508" i="4"/>
  <c r="G510" i="4"/>
  <c r="G512" i="4"/>
  <c r="G514" i="4"/>
  <c r="G499" i="4"/>
  <c r="G503" i="4"/>
  <c r="G501" i="4"/>
  <c r="G505" i="4"/>
  <c r="G498" i="3"/>
  <c r="G496" i="3"/>
  <c r="G494" i="3"/>
  <c r="G492" i="3"/>
  <c r="G497" i="3"/>
  <c r="G495" i="3"/>
  <c r="G493" i="3"/>
  <c r="G491" i="3"/>
  <c r="N488" i="3"/>
  <c r="X504" i="4"/>
  <c r="L484" i="3"/>
  <c r="AA490" i="3"/>
  <c r="W500" i="4"/>
  <c r="N485" i="3"/>
  <c r="W502" i="4"/>
  <c r="W488" i="3"/>
  <c r="X500" i="4"/>
  <c r="Q483" i="3"/>
  <c r="Z487" i="3"/>
  <c r="W495" i="4"/>
  <c r="AA489" i="3"/>
  <c r="Y500" i="4"/>
  <c r="Z484" i="3"/>
  <c r="J497" i="4"/>
  <c r="Z493" i="4"/>
  <c r="X506" i="4"/>
  <c r="P488" i="3"/>
  <c r="U484" i="3"/>
  <c r="O487" i="3"/>
  <c r="W497" i="4"/>
  <c r="K488" i="3"/>
  <c r="Z488" i="3"/>
  <c r="K484" i="3"/>
  <c r="Q486" i="3"/>
  <c r="L486" i="3"/>
  <c r="V489" i="3"/>
  <c r="Z495" i="4"/>
  <c r="N489" i="3"/>
  <c r="V487" i="3"/>
  <c r="Y483" i="3"/>
  <c r="W485" i="3"/>
  <c r="AA483" i="3"/>
  <c r="J491" i="4"/>
  <c r="AA495" i="4"/>
  <c r="J506" i="4"/>
  <c r="U488" i="3"/>
  <c r="V504" i="4"/>
  <c r="P483" i="3"/>
  <c r="Z506" i="4"/>
  <c r="Z485" i="3"/>
  <c r="W506" i="4"/>
  <c r="J493" i="4"/>
  <c r="Q484" i="3"/>
  <c r="V485" i="3"/>
  <c r="K487" i="3"/>
  <c r="P489" i="3"/>
  <c r="U486" i="3"/>
  <c r="Z486" i="3"/>
  <c r="U504" i="4"/>
  <c r="X488" i="3"/>
  <c r="X491" i="4"/>
  <c r="Z500" i="4"/>
  <c r="U493" i="4"/>
  <c r="N490" i="3"/>
  <c r="Y488" i="3"/>
  <c r="Y486" i="3"/>
  <c r="U491" i="4"/>
  <c r="W487" i="3"/>
  <c r="J486" i="3"/>
  <c r="Y495" i="4"/>
  <c r="P490" i="3"/>
  <c r="X485" i="3"/>
  <c r="M488" i="3"/>
  <c r="P486" i="3"/>
  <c r="J489" i="3"/>
  <c r="AA491" i="4"/>
  <c r="AA488" i="3"/>
  <c r="P487" i="3"/>
  <c r="J487" i="3"/>
  <c r="J500" i="4"/>
  <c r="O489" i="3"/>
  <c r="V486" i="3"/>
  <c r="O486" i="3"/>
  <c r="Q490" i="3"/>
  <c r="W484" i="3"/>
  <c r="V493" i="4"/>
  <c r="Z504" i="4"/>
  <c r="O484" i="3"/>
  <c r="U506" i="4"/>
  <c r="N487" i="3"/>
  <c r="X486" i="3"/>
  <c r="Y484" i="3"/>
  <c r="U490" i="3"/>
  <c r="W493" i="4"/>
  <c r="X495" i="4"/>
  <c r="AA485" i="3"/>
  <c r="K490" i="3"/>
  <c r="N486" i="3"/>
  <c r="K483" i="3"/>
  <c r="W483" i="3"/>
  <c r="O483" i="3"/>
  <c r="J504" i="4"/>
  <c r="M483" i="3"/>
  <c r="N483" i="3"/>
  <c r="J495" i="4"/>
  <c r="J483" i="3"/>
  <c r="K489" i="3"/>
  <c r="U485" i="3"/>
  <c r="X490" i="3"/>
  <c r="U502" i="4"/>
  <c r="X489" i="3"/>
  <c r="Y485" i="3"/>
  <c r="Y497" i="4"/>
  <c r="Y493" i="4"/>
  <c r="Z497" i="4"/>
  <c r="X502" i="4"/>
  <c r="J488" i="3"/>
  <c r="V500" i="4"/>
  <c r="V491" i="4"/>
  <c r="Z489" i="3"/>
  <c r="U495" i="4"/>
  <c r="V495" i="4"/>
  <c r="O490" i="3"/>
  <c r="V484" i="3"/>
  <c r="L485" i="3"/>
  <c r="L487" i="3"/>
  <c r="Z490" i="3"/>
  <c r="AA487" i="3"/>
  <c r="M487" i="3"/>
  <c r="AA486" i="3"/>
  <c r="M484" i="3"/>
  <c r="V502" i="4"/>
  <c r="V506" i="4"/>
  <c r="L489" i="3"/>
  <c r="X483" i="3"/>
  <c r="W504" i="4"/>
  <c r="V497" i="4"/>
  <c r="J484" i="3"/>
  <c r="M489" i="3"/>
  <c r="AA504" i="4"/>
  <c r="Z502" i="4"/>
  <c r="Y489" i="3"/>
  <c r="Y506" i="4"/>
  <c r="P485" i="3"/>
  <c r="U489" i="3"/>
  <c r="AA506" i="4"/>
  <c r="Z491" i="4"/>
  <c r="L483" i="3"/>
  <c r="Q487" i="3"/>
  <c r="W491" i="4"/>
  <c r="Q489" i="3"/>
  <c r="W486" i="3"/>
  <c r="L488" i="3"/>
  <c r="Y487" i="3"/>
  <c r="Z483" i="3"/>
  <c r="M485" i="3"/>
  <c r="J502" i="4"/>
  <c r="J490" i="3"/>
  <c r="Q488" i="3"/>
  <c r="U497" i="4"/>
  <c r="P484" i="3"/>
  <c r="AA484" i="3"/>
  <c r="X487" i="3"/>
  <c r="L490" i="3"/>
  <c r="Y504" i="4"/>
  <c r="AA500" i="4"/>
  <c r="Y491" i="4"/>
  <c r="M486" i="3"/>
  <c r="V488" i="3"/>
  <c r="X484" i="3"/>
  <c r="U483" i="3"/>
  <c r="M490" i="3"/>
  <c r="AA497" i="4"/>
  <c r="X497" i="4"/>
  <c r="V483" i="3"/>
  <c r="Y502" i="4"/>
  <c r="AA502" i="4"/>
  <c r="O485" i="3"/>
  <c r="K486" i="3"/>
  <c r="Q485" i="3"/>
  <c r="U487" i="3"/>
  <c r="O488" i="3"/>
  <c r="V490" i="3"/>
  <c r="K485" i="3"/>
  <c r="N484" i="3"/>
  <c r="X493" i="4"/>
  <c r="Y490" i="3"/>
  <c r="W490" i="3"/>
  <c r="AA493" i="4"/>
  <c r="J485" i="3"/>
  <c r="U500" i="4"/>
  <c r="W489" i="3"/>
  <c r="I497" i="4" l="1"/>
  <c r="R484" i="3"/>
  <c r="T484" i="3"/>
  <c r="R487" i="3"/>
  <c r="T487" i="3"/>
  <c r="S491" i="4"/>
  <c r="I490" i="3"/>
  <c r="S483" i="3"/>
  <c r="R493" i="4"/>
  <c r="T493" i="4"/>
  <c r="I493" i="4"/>
  <c r="S497" i="4"/>
  <c r="S484" i="3"/>
  <c r="I484" i="3"/>
  <c r="S504" i="4"/>
  <c r="I504" i="4"/>
  <c r="I487" i="3"/>
  <c r="R491" i="4"/>
  <c r="T491" i="4"/>
  <c r="R500" i="4"/>
  <c r="T500" i="4"/>
  <c r="I489" i="3"/>
  <c r="S489" i="3"/>
  <c r="S506" i="4"/>
  <c r="I483" i="3"/>
  <c r="T495" i="4"/>
  <c r="R495" i="4"/>
  <c r="I495" i="4"/>
  <c r="T502" i="4"/>
  <c r="R502" i="4"/>
  <c r="R504" i="4"/>
  <c r="T504" i="4"/>
  <c r="S487" i="3"/>
  <c r="I491" i="4"/>
  <c r="T506" i="4"/>
  <c r="R506" i="4"/>
  <c r="R485" i="3"/>
  <c r="T485" i="3"/>
  <c r="S485" i="3"/>
  <c r="I486" i="3"/>
  <c r="S486" i="3"/>
  <c r="S488" i="3"/>
  <c r="I500" i="4"/>
  <c r="R489" i="3"/>
  <c r="T489" i="3"/>
  <c r="I506" i="4"/>
  <c r="R483" i="3"/>
  <c r="T483" i="3"/>
  <c r="S493" i="4"/>
  <c r="I485" i="3"/>
  <c r="I488" i="3"/>
  <c r="R497" i="4"/>
  <c r="T497" i="4"/>
  <c r="R490" i="3"/>
  <c r="T490" i="3"/>
  <c r="S500" i="4"/>
  <c r="S490" i="3"/>
  <c r="R486" i="3"/>
  <c r="T486" i="3"/>
  <c r="S495" i="4"/>
  <c r="S502" i="4"/>
  <c r="I502" i="4"/>
  <c r="T488" i="3"/>
  <c r="R488" i="3"/>
  <c r="G513" i="4"/>
  <c r="G509" i="4"/>
  <c r="G511" i="4"/>
  <c r="G507" i="4"/>
  <c r="G522" i="4"/>
  <c r="G520" i="4"/>
  <c r="G518" i="4"/>
  <c r="G516" i="4"/>
  <c r="G499" i="3"/>
  <c r="G501" i="3"/>
  <c r="G503" i="3"/>
  <c r="G505" i="3"/>
  <c r="G500" i="3"/>
  <c r="G502" i="3"/>
  <c r="G504" i="3"/>
  <c r="G506" i="3"/>
  <c r="U501" i="4"/>
  <c r="M496" i="3"/>
  <c r="O497" i="3"/>
  <c r="Z493" i="3"/>
  <c r="AA495" i="3"/>
  <c r="Z514" i="4"/>
  <c r="X499" i="4"/>
  <c r="Y501" i="4"/>
  <c r="M497" i="3"/>
  <c r="J514" i="4"/>
  <c r="X498" i="3"/>
  <c r="J501" i="4"/>
  <c r="U510" i="4"/>
  <c r="U512" i="4"/>
  <c r="X512" i="4"/>
  <c r="Y492" i="3"/>
  <c r="U505" i="4"/>
  <c r="V497" i="3"/>
  <c r="O495" i="3"/>
  <c r="AA512" i="4"/>
  <c r="J495" i="3"/>
  <c r="U508" i="4"/>
  <c r="P493" i="3"/>
  <c r="Y514" i="4"/>
  <c r="Q493" i="3"/>
  <c r="X493" i="3"/>
  <c r="X496" i="3"/>
  <c r="AA497" i="3"/>
  <c r="J512" i="4"/>
  <c r="P495" i="3"/>
  <c r="J491" i="3"/>
  <c r="W492" i="3"/>
  <c r="K497" i="3"/>
  <c r="W514" i="4"/>
  <c r="Y494" i="3"/>
  <c r="V503" i="4"/>
  <c r="J492" i="3"/>
  <c r="AA499" i="4"/>
  <c r="X491" i="3"/>
  <c r="O498" i="3"/>
  <c r="U498" i="3"/>
  <c r="O492" i="3"/>
  <c r="W497" i="3"/>
  <c r="J499" i="4"/>
  <c r="Z494" i="3"/>
  <c r="L491" i="3"/>
  <c r="K496" i="3"/>
  <c r="Z491" i="3"/>
  <c r="AA498" i="3"/>
  <c r="Y510" i="4"/>
  <c r="L496" i="3"/>
  <c r="K492" i="3"/>
  <c r="U492" i="3"/>
  <c r="Q497" i="3"/>
  <c r="M495" i="3"/>
  <c r="Z496" i="3"/>
  <c r="L498" i="3"/>
  <c r="Y508" i="4"/>
  <c r="X510" i="4"/>
  <c r="Q496" i="3"/>
  <c r="M494" i="3"/>
  <c r="Y498" i="3"/>
  <c r="Q491" i="3"/>
  <c r="AA514" i="4"/>
  <c r="AA491" i="3"/>
  <c r="K491" i="3"/>
  <c r="AA508" i="4"/>
  <c r="V510" i="4"/>
  <c r="J497" i="3"/>
  <c r="Z512" i="4"/>
  <c r="Y503" i="4"/>
  <c r="L493" i="3"/>
  <c r="Y499" i="4"/>
  <c r="Z498" i="3"/>
  <c r="V496" i="3"/>
  <c r="P496" i="3"/>
  <c r="J503" i="4"/>
  <c r="N494" i="3"/>
  <c r="O493" i="3"/>
  <c r="N495" i="3"/>
  <c r="U491" i="3"/>
  <c r="L497" i="3"/>
  <c r="Y491" i="3"/>
  <c r="Q492" i="3"/>
  <c r="J496" i="3"/>
  <c r="Z510" i="4"/>
  <c r="AA505" i="4"/>
  <c r="V512" i="4"/>
  <c r="P497" i="3"/>
  <c r="V491" i="3"/>
  <c r="U503" i="4"/>
  <c r="N498" i="3"/>
  <c r="U495" i="3"/>
  <c r="K495" i="3"/>
  <c r="V498" i="3"/>
  <c r="N497" i="3"/>
  <c r="Z503" i="4"/>
  <c r="W505" i="4"/>
  <c r="X505" i="4"/>
  <c r="W498" i="3"/>
  <c r="Y493" i="3"/>
  <c r="U499" i="4"/>
  <c r="V494" i="3"/>
  <c r="W496" i="3"/>
  <c r="U497" i="3"/>
  <c r="K493" i="3"/>
  <c r="X497" i="3"/>
  <c r="V505" i="4"/>
  <c r="W508" i="4"/>
  <c r="AA501" i="4"/>
  <c r="N493" i="3"/>
  <c r="M498" i="3"/>
  <c r="J494" i="3"/>
  <c r="J493" i="3"/>
  <c r="P491" i="3"/>
  <c r="X514" i="4"/>
  <c r="Z497" i="3"/>
  <c r="J498" i="3"/>
  <c r="N496" i="3"/>
  <c r="X503" i="4"/>
  <c r="N491" i="3"/>
  <c r="V499" i="4"/>
  <c r="Z508" i="4"/>
  <c r="Z505" i="4"/>
  <c r="Q494" i="3"/>
  <c r="W512" i="4"/>
  <c r="L494" i="3"/>
  <c r="Y497" i="3"/>
  <c r="V508" i="4"/>
  <c r="O496" i="3"/>
  <c r="W501" i="4"/>
  <c r="X501" i="4"/>
  <c r="V501" i="4"/>
  <c r="O494" i="3"/>
  <c r="W494" i="3"/>
  <c r="AA493" i="3"/>
  <c r="Q498" i="3"/>
  <c r="M491" i="3"/>
  <c r="V492" i="3"/>
  <c r="W495" i="3"/>
  <c r="W499" i="4"/>
  <c r="Y512" i="4"/>
  <c r="U514" i="4"/>
  <c r="V493" i="3"/>
  <c r="Y495" i="3"/>
  <c r="X508" i="4"/>
  <c r="W493" i="3"/>
  <c r="Y496" i="3"/>
  <c r="AA503" i="4"/>
  <c r="K494" i="3"/>
  <c r="K498" i="3"/>
  <c r="J508" i="4"/>
  <c r="AA496" i="3"/>
  <c r="P492" i="3"/>
  <c r="M493" i="3"/>
  <c r="Z492" i="3"/>
  <c r="P494" i="3"/>
  <c r="O491" i="3"/>
  <c r="J505" i="4"/>
  <c r="Z499" i="4"/>
  <c r="AA494" i="3"/>
  <c r="N492" i="3"/>
  <c r="AA492" i="3"/>
  <c r="Y505" i="4"/>
  <c r="Q495" i="3"/>
  <c r="J510" i="4"/>
  <c r="P498" i="3"/>
  <c r="X492" i="3"/>
  <c r="W503" i="4"/>
  <c r="Z495" i="3"/>
  <c r="U494" i="3"/>
  <c r="L495" i="3"/>
  <c r="W510" i="4"/>
  <c r="X495" i="3"/>
  <c r="U493" i="3"/>
  <c r="W491" i="3"/>
  <c r="V514" i="4"/>
  <c r="M492" i="3"/>
  <c r="V495" i="3"/>
  <c r="L492" i="3"/>
  <c r="AA510" i="4"/>
  <c r="Z501" i="4"/>
  <c r="X494" i="3"/>
  <c r="U496" i="3"/>
  <c r="S499" i="4" l="1"/>
  <c r="I493" i="3"/>
  <c r="R508" i="4"/>
  <c r="T508" i="4"/>
  <c r="I497" i="3"/>
  <c r="I503" i="4"/>
  <c r="T512" i="4"/>
  <c r="R512" i="4"/>
  <c r="I505" i="4"/>
  <c r="I492" i="3"/>
  <c r="S497" i="3"/>
  <c r="S503" i="4"/>
  <c r="I495" i="3"/>
  <c r="S494" i="3"/>
  <c r="S514" i="4"/>
  <c r="I491" i="3"/>
  <c r="S510" i="4"/>
  <c r="T496" i="3"/>
  <c r="R496" i="3"/>
  <c r="R501" i="4"/>
  <c r="T501" i="4"/>
  <c r="T503" i="4"/>
  <c r="R503" i="4"/>
  <c r="R495" i="3"/>
  <c r="T495" i="3"/>
  <c r="R494" i="3"/>
  <c r="T494" i="3"/>
  <c r="S493" i="3"/>
  <c r="T514" i="4"/>
  <c r="R514" i="4"/>
  <c r="S505" i="4"/>
  <c r="R491" i="3"/>
  <c r="T491" i="3"/>
  <c r="S498" i="3"/>
  <c r="T510" i="4"/>
  <c r="R510" i="4"/>
  <c r="I501" i="4"/>
  <c r="R497" i="3"/>
  <c r="T497" i="3"/>
  <c r="I494" i="3"/>
  <c r="S512" i="4"/>
  <c r="R505" i="4"/>
  <c r="T505" i="4"/>
  <c r="T492" i="3"/>
  <c r="R492" i="3"/>
  <c r="I498" i="3"/>
  <c r="R498" i="3"/>
  <c r="T498" i="3"/>
  <c r="S496" i="3"/>
  <c r="I496" i="3"/>
  <c r="S508" i="4"/>
  <c r="R493" i="3"/>
  <c r="T493" i="3"/>
  <c r="T499" i="4"/>
  <c r="R499" i="4"/>
  <c r="I499" i="4"/>
  <c r="S495" i="3"/>
  <c r="S492" i="3"/>
  <c r="S491" i="3"/>
  <c r="S501" i="4"/>
  <c r="G524" i="4"/>
  <c r="G526" i="4"/>
  <c r="G528" i="4"/>
  <c r="G530" i="4"/>
  <c r="G515" i="4"/>
  <c r="G519" i="4"/>
  <c r="G517" i="4"/>
  <c r="G521" i="4"/>
  <c r="G514" i="3"/>
  <c r="G512" i="3"/>
  <c r="G510" i="3"/>
  <c r="G508" i="3"/>
  <c r="G513" i="3"/>
  <c r="G511" i="3"/>
  <c r="G509" i="3"/>
  <c r="G507" i="3"/>
  <c r="U503" i="3"/>
  <c r="Z506" i="3"/>
  <c r="L504" i="3"/>
  <c r="K503" i="3"/>
  <c r="X503" i="3"/>
  <c r="Z520" i="4"/>
  <c r="O502" i="3"/>
  <c r="L499" i="3"/>
  <c r="W502" i="3"/>
  <c r="Z500" i="3"/>
  <c r="J499" i="3"/>
  <c r="W509" i="4"/>
  <c r="X516" i="4"/>
  <c r="Y509" i="4"/>
  <c r="Q500" i="3"/>
  <c r="U513" i="4"/>
  <c r="Y511" i="4"/>
  <c r="Y502" i="3"/>
  <c r="Y518" i="4"/>
  <c r="K499" i="3"/>
  <c r="AA502" i="3"/>
  <c r="U509" i="4"/>
  <c r="X505" i="3"/>
  <c r="AA522" i="4"/>
  <c r="X499" i="3"/>
  <c r="W500" i="3"/>
  <c r="Z513" i="4"/>
  <c r="U499" i="3"/>
  <c r="U504" i="3"/>
  <c r="V520" i="4"/>
  <c r="AA506" i="3"/>
  <c r="V503" i="3"/>
  <c r="M505" i="3"/>
  <c r="V504" i="3"/>
  <c r="P503" i="3"/>
  <c r="W505" i="3"/>
  <c r="Z502" i="3"/>
  <c r="V511" i="4"/>
  <c r="P500" i="3"/>
  <c r="M499" i="3"/>
  <c r="J513" i="4"/>
  <c r="Y500" i="3"/>
  <c r="U506" i="3"/>
  <c r="Z505" i="3"/>
  <c r="P502" i="3"/>
  <c r="O501" i="3"/>
  <c r="X504" i="3"/>
  <c r="X518" i="4"/>
  <c r="AA499" i="3"/>
  <c r="O505" i="3"/>
  <c r="O506" i="3"/>
  <c r="V505" i="3"/>
  <c r="X500" i="3"/>
  <c r="Q504" i="3"/>
  <c r="P506" i="3"/>
  <c r="J502" i="3"/>
  <c r="Q505" i="3"/>
  <c r="W518" i="4"/>
  <c r="U507" i="4"/>
  <c r="O499" i="3"/>
  <c r="N506" i="3"/>
  <c r="J507" i="4"/>
  <c r="V506" i="3"/>
  <c r="V516" i="4"/>
  <c r="N500" i="3"/>
  <c r="M506" i="3"/>
  <c r="O503" i="3"/>
  <c r="U501" i="3"/>
  <c r="Q499" i="3"/>
  <c r="K500" i="3"/>
  <c r="X520" i="4"/>
  <c r="U500" i="3"/>
  <c r="Z499" i="3"/>
  <c r="L505" i="3"/>
  <c r="O500" i="3"/>
  <c r="Y506" i="3"/>
  <c r="Z503" i="3"/>
  <c r="V500" i="3"/>
  <c r="J511" i="4"/>
  <c r="K506" i="3"/>
  <c r="W520" i="4"/>
  <c r="L506" i="3"/>
  <c r="Y516" i="4"/>
  <c r="V518" i="4"/>
  <c r="AA520" i="4"/>
  <c r="N503" i="3"/>
  <c r="P501" i="3"/>
  <c r="Y503" i="3"/>
  <c r="V522" i="4"/>
  <c r="W501" i="3"/>
  <c r="N505" i="3"/>
  <c r="M504" i="3"/>
  <c r="W522" i="4"/>
  <c r="Y513" i="4"/>
  <c r="O504" i="3"/>
  <c r="N499" i="3"/>
  <c r="P499" i="3"/>
  <c r="W513" i="4"/>
  <c r="X501" i="3"/>
  <c r="W499" i="3"/>
  <c r="Z507" i="4"/>
  <c r="AA509" i="4"/>
  <c r="J500" i="3"/>
  <c r="AA511" i="4"/>
  <c r="Y522" i="4"/>
  <c r="U520" i="4"/>
  <c r="N501" i="3"/>
  <c r="K504" i="3"/>
  <c r="AA513" i="4"/>
  <c r="X507" i="4"/>
  <c r="Q501" i="3"/>
  <c r="X506" i="3"/>
  <c r="W511" i="4"/>
  <c r="J505" i="3"/>
  <c r="AA504" i="3"/>
  <c r="L503" i="3"/>
  <c r="Y505" i="3"/>
  <c r="V507" i="4"/>
  <c r="J504" i="3"/>
  <c r="J506" i="3"/>
  <c r="V509" i="4"/>
  <c r="L502" i="3"/>
  <c r="J522" i="4"/>
  <c r="Y501" i="3"/>
  <c r="J509" i="4"/>
  <c r="Y499" i="3"/>
  <c r="K505" i="3"/>
  <c r="J518" i="4"/>
  <c r="Z501" i="3"/>
  <c r="V501" i="3"/>
  <c r="Z522" i="4"/>
  <c r="J501" i="3"/>
  <c r="AA503" i="3"/>
  <c r="J503" i="3"/>
  <c r="Z511" i="4"/>
  <c r="U511" i="4"/>
  <c r="M502" i="3"/>
  <c r="Z518" i="4"/>
  <c r="V499" i="3"/>
  <c r="M500" i="3"/>
  <c r="Q502" i="3"/>
  <c r="N502" i="3"/>
  <c r="L501" i="3"/>
  <c r="X502" i="3"/>
  <c r="P504" i="3"/>
  <c r="Y507" i="4"/>
  <c r="Q506" i="3"/>
  <c r="N504" i="3"/>
  <c r="U516" i="4"/>
  <c r="Z516" i="4"/>
  <c r="V513" i="4"/>
  <c r="Q503" i="3"/>
  <c r="AA507" i="4"/>
  <c r="K502" i="3"/>
  <c r="W503" i="3"/>
  <c r="AA500" i="3"/>
  <c r="W516" i="4"/>
  <c r="U502" i="3"/>
  <c r="Z509" i="4"/>
  <c r="W504" i="3"/>
  <c r="Y520" i="4"/>
  <c r="X511" i="4"/>
  <c r="V502" i="3"/>
  <c r="J516" i="4"/>
  <c r="AA505" i="3"/>
  <c r="Y504" i="3"/>
  <c r="U522" i="4"/>
  <c r="W507" i="4"/>
  <c r="AA518" i="4"/>
  <c r="X522" i="4"/>
  <c r="AA516" i="4"/>
  <c r="M503" i="3"/>
  <c r="X509" i="4"/>
  <c r="L500" i="3"/>
  <c r="M501" i="3"/>
  <c r="W506" i="3"/>
  <c r="U518" i="4"/>
  <c r="Z504" i="3"/>
  <c r="AA501" i="3"/>
  <c r="U505" i="3"/>
  <c r="J520" i="4"/>
  <c r="X513" i="4"/>
  <c r="K501" i="3"/>
  <c r="P505" i="3"/>
  <c r="I499" i="3" l="1"/>
  <c r="I505" i="3"/>
  <c r="S522" i="4"/>
  <c r="S501" i="3"/>
  <c r="S511" i="4"/>
  <c r="R504" i="3"/>
  <c r="T504" i="3"/>
  <c r="S507" i="4"/>
  <c r="R505" i="3"/>
  <c r="T505" i="3"/>
  <c r="T522" i="4"/>
  <c r="R522" i="4"/>
  <c r="I522" i="4"/>
  <c r="S499" i="3"/>
  <c r="S509" i="4"/>
  <c r="R502" i="3"/>
  <c r="T502" i="3"/>
  <c r="T511" i="4"/>
  <c r="R511" i="4"/>
  <c r="S504" i="3"/>
  <c r="R507" i="4"/>
  <c r="T507" i="4"/>
  <c r="I516" i="4"/>
  <c r="I506" i="3"/>
  <c r="S500" i="3"/>
  <c r="I500" i="3"/>
  <c r="R520" i="4"/>
  <c r="T520" i="4"/>
  <c r="T518" i="4"/>
  <c r="R518" i="4"/>
  <c r="I503" i="3"/>
  <c r="R499" i="3"/>
  <c r="T499" i="3"/>
  <c r="R501" i="3"/>
  <c r="T501" i="3"/>
  <c r="I501" i="3"/>
  <c r="R509" i="4"/>
  <c r="T509" i="4"/>
  <c r="S516" i="4"/>
  <c r="R506" i="3"/>
  <c r="T506" i="3"/>
  <c r="I520" i="4"/>
  <c r="S503" i="3"/>
  <c r="S513" i="4"/>
  <c r="R516" i="4"/>
  <c r="T516" i="4"/>
  <c r="S505" i="3"/>
  <c r="R500" i="3"/>
  <c r="T500" i="3"/>
  <c r="R503" i="3"/>
  <c r="T503" i="3"/>
  <c r="S502" i="3"/>
  <c r="R513" i="4"/>
  <c r="T513" i="4"/>
  <c r="I502" i="3"/>
  <c r="I504" i="3"/>
  <c r="S506" i="3"/>
  <c r="S520" i="4"/>
  <c r="S518" i="4"/>
  <c r="I518" i="4"/>
  <c r="G529" i="4"/>
  <c r="G525" i="4"/>
  <c r="G527" i="4"/>
  <c r="G523" i="4"/>
  <c r="G538" i="4"/>
  <c r="G536" i="4"/>
  <c r="G534" i="4"/>
  <c r="G532" i="4"/>
  <c r="G515" i="3"/>
  <c r="G517" i="3"/>
  <c r="G519" i="3"/>
  <c r="G521" i="3"/>
  <c r="G516" i="3"/>
  <c r="G518" i="3"/>
  <c r="G520" i="3"/>
  <c r="G522" i="3"/>
  <c r="U517" i="4"/>
  <c r="Q508" i="3"/>
  <c r="V514" i="3"/>
  <c r="W507" i="3"/>
  <c r="V507" i="3"/>
  <c r="W517" i="4"/>
  <c r="V530" i="4"/>
  <c r="Y510" i="3"/>
  <c r="O511" i="3"/>
  <c r="Z509" i="3"/>
  <c r="AA530" i="4"/>
  <c r="V521" i="4"/>
  <c r="K509" i="3"/>
  <c r="X509" i="3"/>
  <c r="Z526" i="4"/>
  <c r="AA514" i="3"/>
  <c r="Z524" i="4"/>
  <c r="Q509" i="3"/>
  <c r="X511" i="3"/>
  <c r="L510" i="3"/>
  <c r="U528" i="4"/>
  <c r="K511" i="3"/>
  <c r="AA508" i="3"/>
  <c r="Y512" i="3"/>
  <c r="J507" i="3"/>
  <c r="Y530" i="4"/>
  <c r="J508" i="3"/>
  <c r="AA524" i="4"/>
  <c r="Q507" i="3"/>
  <c r="W509" i="3"/>
  <c r="K508" i="3"/>
  <c r="U530" i="4"/>
  <c r="X521" i="4"/>
  <c r="AA513" i="3"/>
  <c r="V517" i="4"/>
  <c r="M507" i="3"/>
  <c r="U514" i="3"/>
  <c r="K507" i="3"/>
  <c r="O507" i="3"/>
  <c r="X519" i="4"/>
  <c r="AA511" i="3"/>
  <c r="M513" i="3"/>
  <c r="W524" i="4"/>
  <c r="U508" i="3"/>
  <c r="W514" i="3"/>
  <c r="U507" i="3"/>
  <c r="L511" i="3"/>
  <c r="J521" i="4"/>
  <c r="AA510" i="3"/>
  <c r="U519" i="4"/>
  <c r="AA515" i="4"/>
  <c r="J519" i="4"/>
  <c r="J524" i="4"/>
  <c r="W530" i="4"/>
  <c r="W515" i="4"/>
  <c r="W519" i="4"/>
  <c r="J509" i="3"/>
  <c r="V513" i="3"/>
  <c r="J515" i="4"/>
  <c r="M509" i="3"/>
  <c r="V528" i="4"/>
  <c r="AA517" i="4"/>
  <c r="Y517" i="4"/>
  <c r="K514" i="3"/>
  <c r="AA507" i="3"/>
  <c r="L513" i="3"/>
  <c r="M508" i="3"/>
  <c r="J517" i="4"/>
  <c r="X530" i="4"/>
  <c r="M512" i="3"/>
  <c r="N514" i="3"/>
  <c r="W512" i="3"/>
  <c r="Y519" i="4"/>
  <c r="Y515" i="4"/>
  <c r="W510" i="3"/>
  <c r="V510" i="3"/>
  <c r="Z519" i="4"/>
  <c r="X524" i="4"/>
  <c r="Q511" i="3"/>
  <c r="Y511" i="3"/>
  <c r="Z521" i="4"/>
  <c r="P512" i="3"/>
  <c r="W528" i="4"/>
  <c r="U511" i="3"/>
  <c r="U513" i="3"/>
  <c r="M511" i="3"/>
  <c r="K512" i="3"/>
  <c r="V524" i="4"/>
  <c r="Z511" i="3"/>
  <c r="Z512" i="3"/>
  <c r="Y526" i="4"/>
  <c r="Y524" i="4"/>
  <c r="Z530" i="4"/>
  <c r="U521" i="4"/>
  <c r="Y528" i="4"/>
  <c r="X517" i="4"/>
  <c r="V519" i="4"/>
  <c r="W508" i="3"/>
  <c r="L507" i="3"/>
  <c r="N512" i="3"/>
  <c r="AA526" i="4"/>
  <c r="U510" i="3"/>
  <c r="V512" i="3"/>
  <c r="AA521" i="4"/>
  <c r="Y514" i="3"/>
  <c r="P513" i="3"/>
  <c r="O510" i="3"/>
  <c r="M510" i="3"/>
  <c r="AA512" i="3"/>
  <c r="J530" i="4"/>
  <c r="X513" i="3"/>
  <c r="J513" i="3"/>
  <c r="Y508" i="3"/>
  <c r="Z513" i="3"/>
  <c r="N507" i="3"/>
  <c r="Y521" i="4"/>
  <c r="U512" i="3"/>
  <c r="P507" i="3"/>
  <c r="X510" i="3"/>
  <c r="J510" i="3"/>
  <c r="N508" i="3"/>
  <c r="V509" i="3"/>
  <c r="Z510" i="3"/>
  <c r="X508" i="3"/>
  <c r="V515" i="4"/>
  <c r="J526" i="4"/>
  <c r="W513" i="3"/>
  <c r="W521" i="4"/>
  <c r="K513" i="3"/>
  <c r="O512" i="3"/>
  <c r="Q513" i="3"/>
  <c r="W511" i="3"/>
  <c r="X507" i="3"/>
  <c r="AA509" i="3"/>
  <c r="AA519" i="4"/>
  <c r="Z507" i="3"/>
  <c r="L514" i="3"/>
  <c r="Z508" i="3"/>
  <c r="Z514" i="3"/>
  <c r="X514" i="3"/>
  <c r="Z528" i="4"/>
  <c r="J528" i="4"/>
  <c r="N511" i="3"/>
  <c r="L508" i="3"/>
  <c r="Y513" i="3"/>
  <c r="N510" i="3"/>
  <c r="W526" i="4"/>
  <c r="L512" i="3"/>
  <c r="Y507" i="3"/>
  <c r="J514" i="3"/>
  <c r="Q514" i="3"/>
  <c r="P509" i="3"/>
  <c r="Z515" i="4"/>
  <c r="U509" i="3"/>
  <c r="V526" i="4"/>
  <c r="U526" i="4"/>
  <c r="P514" i="3"/>
  <c r="M514" i="3"/>
  <c r="X526" i="4"/>
  <c r="Z517" i="4"/>
  <c r="P510" i="3"/>
  <c r="J511" i="3"/>
  <c r="V511" i="3"/>
  <c r="O509" i="3"/>
  <c r="K510" i="3"/>
  <c r="N509" i="3"/>
  <c r="Q512" i="3"/>
  <c r="V508" i="3"/>
  <c r="J512" i="3"/>
  <c r="O514" i="3"/>
  <c r="P511" i="3"/>
  <c r="O508" i="3"/>
  <c r="P508" i="3"/>
  <c r="X528" i="4"/>
  <c r="X512" i="3"/>
  <c r="Q510" i="3"/>
  <c r="L509" i="3"/>
  <c r="O513" i="3"/>
  <c r="U515" i="4"/>
  <c r="Y509" i="3"/>
  <c r="U524" i="4"/>
  <c r="AA528" i="4"/>
  <c r="X515" i="4"/>
  <c r="N513" i="3"/>
  <c r="S526" i="4" l="1"/>
  <c r="R510" i="3"/>
  <c r="T510" i="3"/>
  <c r="I521" i="4"/>
  <c r="S524" i="4"/>
  <c r="T526" i="4"/>
  <c r="R526" i="4"/>
  <c r="S512" i="3"/>
  <c r="I528" i="4"/>
  <c r="R509" i="3"/>
  <c r="T509" i="3"/>
  <c r="S509" i="3"/>
  <c r="T530" i="4"/>
  <c r="R530" i="4"/>
  <c r="S521" i="4"/>
  <c r="R524" i="4"/>
  <c r="T524" i="4"/>
  <c r="I524" i="4"/>
  <c r="I515" i="4"/>
  <c r="S514" i="3"/>
  <c r="S519" i="4"/>
  <c r="R511" i="3"/>
  <c r="T511" i="3"/>
  <c r="S511" i="3"/>
  <c r="I526" i="4"/>
  <c r="T512" i="3"/>
  <c r="R512" i="3"/>
  <c r="S528" i="4"/>
  <c r="I530" i="4"/>
  <c r="R521" i="4"/>
  <c r="T521" i="4"/>
  <c r="T508" i="3"/>
  <c r="R508" i="3"/>
  <c r="R507" i="3"/>
  <c r="T507" i="3"/>
  <c r="S515" i="4"/>
  <c r="T519" i="4"/>
  <c r="R519" i="4"/>
  <c r="S517" i="4"/>
  <c r="I517" i="4"/>
  <c r="T515" i="4"/>
  <c r="R515" i="4"/>
  <c r="R514" i="3"/>
  <c r="T514" i="3"/>
  <c r="S513" i="3"/>
  <c r="R517" i="4"/>
  <c r="T517" i="4"/>
  <c r="T528" i="4"/>
  <c r="R528" i="4"/>
  <c r="S508" i="3"/>
  <c r="S507" i="3"/>
  <c r="S510" i="3"/>
  <c r="S530" i="4"/>
  <c r="R513" i="3"/>
  <c r="T513" i="3"/>
  <c r="I519" i="4"/>
  <c r="G540" i="4"/>
  <c r="G542" i="4"/>
  <c r="G544" i="4"/>
  <c r="G546" i="4"/>
  <c r="G531" i="4"/>
  <c r="G535" i="4"/>
  <c r="G533" i="4"/>
  <c r="G537" i="4"/>
  <c r="G530" i="3"/>
  <c r="G528" i="3"/>
  <c r="G526" i="3"/>
  <c r="G524" i="3"/>
  <c r="G529" i="3"/>
  <c r="G527" i="3"/>
  <c r="G525" i="3"/>
  <c r="G523" i="3"/>
  <c r="U534" i="4"/>
  <c r="J527" i="4"/>
  <c r="L522" i="3"/>
  <c r="X518" i="3"/>
  <c r="X532" i="4"/>
  <c r="X523" i="4"/>
  <c r="L518" i="3"/>
  <c r="L516" i="3"/>
  <c r="U522" i="3"/>
  <c r="V517" i="3"/>
  <c r="Y516" i="3"/>
  <c r="Y522" i="3"/>
  <c r="Z527" i="4"/>
  <c r="U517" i="3"/>
  <c r="V516" i="3"/>
  <c r="N522" i="3"/>
  <c r="U515" i="3"/>
  <c r="J520" i="3"/>
  <c r="K515" i="3"/>
  <c r="L515" i="3"/>
  <c r="U536" i="4"/>
  <c r="AA522" i="3"/>
  <c r="J538" i="4"/>
  <c r="N515" i="3"/>
  <c r="O522" i="3"/>
  <c r="Y517" i="3"/>
  <c r="L520" i="3"/>
  <c r="X536" i="4"/>
  <c r="J534" i="4"/>
  <c r="V529" i="4"/>
  <c r="U529" i="4"/>
  <c r="P522" i="3"/>
  <c r="Z536" i="4"/>
  <c r="Q522" i="3"/>
  <c r="W527" i="4"/>
  <c r="Y520" i="3"/>
  <c r="P521" i="3"/>
  <c r="J517" i="3"/>
  <c r="Z515" i="3"/>
  <c r="Y538" i="4"/>
  <c r="M519" i="3"/>
  <c r="O519" i="3"/>
  <c r="Y518" i="3"/>
  <c r="X519" i="3"/>
  <c r="Q521" i="3"/>
  <c r="Y532" i="4"/>
  <c r="J516" i="3"/>
  <c r="P519" i="3"/>
  <c r="AA532" i="4"/>
  <c r="J523" i="4"/>
  <c r="U520" i="3"/>
  <c r="N517" i="3"/>
  <c r="AA515" i="3"/>
  <c r="Z525" i="4"/>
  <c r="Y525" i="4"/>
  <c r="V521" i="3"/>
  <c r="V538" i="4"/>
  <c r="U523" i="4"/>
  <c r="P516" i="3"/>
  <c r="Q517" i="3"/>
  <c r="Z519" i="3"/>
  <c r="X529" i="4"/>
  <c r="Z534" i="4"/>
  <c r="V536" i="4"/>
  <c r="W516" i="3"/>
  <c r="Z518" i="3"/>
  <c r="J515" i="3"/>
  <c r="Q519" i="3"/>
  <c r="Q516" i="3"/>
  <c r="K522" i="3"/>
  <c r="Q518" i="3"/>
  <c r="AA519" i="3"/>
  <c r="U516" i="3"/>
  <c r="Y529" i="4"/>
  <c r="X538" i="4"/>
  <c r="U538" i="4"/>
  <c r="K518" i="3"/>
  <c r="U518" i="3"/>
  <c r="J521" i="3"/>
  <c r="Z521" i="3"/>
  <c r="Z523" i="4"/>
  <c r="W522" i="3"/>
  <c r="Z520" i="3"/>
  <c r="AA520" i="3"/>
  <c r="Y519" i="3"/>
  <c r="X527" i="4"/>
  <c r="AA538" i="4"/>
  <c r="O521" i="3"/>
  <c r="L521" i="3"/>
  <c r="O515" i="3"/>
  <c r="V518" i="3"/>
  <c r="X521" i="3"/>
  <c r="Y527" i="4"/>
  <c r="N521" i="3"/>
  <c r="K521" i="3"/>
  <c r="M516" i="3"/>
  <c r="W534" i="4"/>
  <c r="V527" i="4"/>
  <c r="M521" i="3"/>
  <c r="Z529" i="4"/>
  <c r="P520" i="3"/>
  <c r="AA521" i="3"/>
  <c r="K520" i="3"/>
  <c r="J525" i="4"/>
  <c r="W519" i="3"/>
  <c r="N518" i="3"/>
  <c r="V519" i="3"/>
  <c r="L517" i="3"/>
  <c r="W532" i="4"/>
  <c r="AA525" i="4"/>
  <c r="X520" i="3"/>
  <c r="Y523" i="4"/>
  <c r="V522" i="3"/>
  <c r="U521" i="3"/>
  <c r="M520" i="3"/>
  <c r="AA517" i="3"/>
  <c r="P518" i="3"/>
  <c r="Y515" i="3"/>
  <c r="W536" i="4"/>
  <c r="O517" i="3"/>
  <c r="W538" i="4"/>
  <c r="AA529" i="4"/>
  <c r="M515" i="3"/>
  <c r="AA536" i="4"/>
  <c r="V523" i="4"/>
  <c r="U525" i="4"/>
  <c r="Y521" i="3"/>
  <c r="M522" i="3"/>
  <c r="N520" i="3"/>
  <c r="W521" i="3"/>
  <c r="J532" i="4"/>
  <c r="J519" i="3"/>
  <c r="W529" i="4"/>
  <c r="J536" i="4"/>
  <c r="X534" i="4"/>
  <c r="AA516" i="3"/>
  <c r="Q520" i="3"/>
  <c r="AA518" i="3"/>
  <c r="P515" i="3"/>
  <c r="Z532" i="4"/>
  <c r="M518" i="3"/>
  <c r="W525" i="4"/>
  <c r="X522" i="3"/>
  <c r="X515" i="3"/>
  <c r="O518" i="3"/>
  <c r="V515" i="3"/>
  <c r="O516" i="3"/>
  <c r="Q515" i="3"/>
  <c r="K517" i="3"/>
  <c r="Z516" i="3"/>
  <c r="P517" i="3"/>
  <c r="Z538" i="4"/>
  <c r="O520" i="3"/>
  <c r="U532" i="4"/>
  <c r="Z517" i="3"/>
  <c r="Y536" i="4"/>
  <c r="J518" i="3"/>
  <c r="K519" i="3"/>
  <c r="V525" i="4"/>
  <c r="K516" i="3"/>
  <c r="N519" i="3"/>
  <c r="U519" i="3"/>
  <c r="J529" i="4"/>
  <c r="W518" i="3"/>
  <c r="N516" i="3"/>
  <c r="W520" i="3"/>
  <c r="X525" i="4"/>
  <c r="W517" i="3"/>
  <c r="V532" i="4"/>
  <c r="X517" i="3"/>
  <c r="AA523" i="4"/>
  <c r="W523" i="4"/>
  <c r="V520" i="3"/>
  <c r="AA534" i="4"/>
  <c r="AA527" i="4"/>
  <c r="L519" i="3"/>
  <c r="X516" i="3"/>
  <c r="M517" i="3"/>
  <c r="Y534" i="4"/>
  <c r="V534" i="4"/>
  <c r="W515" i="3"/>
  <c r="Z522" i="3"/>
  <c r="U527" i="4"/>
  <c r="J522" i="3"/>
  <c r="R529" i="4" l="1"/>
  <c r="T529" i="4"/>
  <c r="I525" i="4"/>
  <c r="S519" i="3"/>
  <c r="R522" i="3"/>
  <c r="T522" i="3"/>
  <c r="T538" i="4"/>
  <c r="R538" i="4"/>
  <c r="S529" i="4"/>
  <c r="S516" i="3"/>
  <c r="I516" i="3"/>
  <c r="I520" i="3"/>
  <c r="R520" i="3"/>
  <c r="T520" i="3"/>
  <c r="S527" i="4"/>
  <c r="I527" i="4"/>
  <c r="R519" i="3"/>
  <c r="T519" i="3"/>
  <c r="I532" i="4"/>
  <c r="I521" i="3"/>
  <c r="I538" i="4"/>
  <c r="I517" i="3"/>
  <c r="I529" i="4"/>
  <c r="T516" i="3"/>
  <c r="R516" i="3"/>
  <c r="S525" i="4"/>
  <c r="T527" i="4"/>
  <c r="R527" i="4"/>
  <c r="S523" i="4"/>
  <c r="I523" i="4"/>
  <c r="S532" i="4"/>
  <c r="S522" i="3"/>
  <c r="S515" i="3"/>
  <c r="I515" i="3"/>
  <c r="I536" i="4"/>
  <c r="R517" i="3"/>
  <c r="T517" i="3"/>
  <c r="S518" i="3"/>
  <c r="I519" i="3"/>
  <c r="R523" i="4"/>
  <c r="T523" i="4"/>
  <c r="R532" i="4"/>
  <c r="T532" i="4"/>
  <c r="R521" i="3"/>
  <c r="T521" i="3"/>
  <c r="S521" i="3"/>
  <c r="S538" i="4"/>
  <c r="R515" i="3"/>
  <c r="T515" i="3"/>
  <c r="S536" i="4"/>
  <c r="I518" i="3"/>
  <c r="R518" i="3"/>
  <c r="T518" i="3"/>
  <c r="S534" i="4"/>
  <c r="I534" i="4"/>
  <c r="S520" i="3"/>
  <c r="R525" i="4"/>
  <c r="T525" i="4"/>
  <c r="I522" i="3"/>
  <c r="R536" i="4"/>
  <c r="T536" i="4"/>
  <c r="S517" i="3"/>
  <c r="T534" i="4"/>
  <c r="R534" i="4"/>
  <c r="G545" i="4"/>
  <c r="G541" i="4"/>
  <c r="G543" i="4"/>
  <c r="G539" i="4"/>
  <c r="G554" i="4"/>
  <c r="G552" i="4"/>
  <c r="G550" i="4"/>
  <c r="G548" i="4"/>
  <c r="G531" i="3"/>
  <c r="G533" i="3"/>
  <c r="G535" i="3"/>
  <c r="G537" i="3"/>
  <c r="G532" i="3"/>
  <c r="G534" i="3"/>
  <c r="G536" i="3"/>
  <c r="G538" i="3"/>
  <c r="U530" i="3"/>
  <c r="J525" i="3"/>
  <c r="Z528" i="3"/>
  <c r="J527" i="3"/>
  <c r="W528" i="3"/>
  <c r="Y525" i="3"/>
  <c r="N524" i="3"/>
  <c r="U542" i="4"/>
  <c r="Y527" i="3"/>
  <c r="W535" i="4"/>
  <c r="W546" i="4"/>
  <c r="Y529" i="3"/>
  <c r="Z542" i="4"/>
  <c r="V526" i="3"/>
  <c r="Y535" i="4"/>
  <c r="V535" i="4"/>
  <c r="M528" i="3"/>
  <c r="L526" i="3"/>
  <c r="Y530" i="3"/>
  <c r="AA526" i="3"/>
  <c r="M525" i="3"/>
  <c r="U535" i="4"/>
  <c r="W540" i="4"/>
  <c r="K524" i="3"/>
  <c r="Y544" i="4"/>
  <c r="V540" i="4"/>
  <c r="Q529" i="3"/>
  <c r="W542" i="4"/>
  <c r="K523" i="3"/>
  <c r="Y533" i="4"/>
  <c r="V529" i="3"/>
  <c r="J524" i="3"/>
  <c r="AA530" i="3"/>
  <c r="Y524" i="3"/>
  <c r="W526" i="3"/>
  <c r="K529" i="3"/>
  <c r="Q527" i="3"/>
  <c r="X530" i="3"/>
  <c r="V530" i="3"/>
  <c r="AA528" i="3"/>
  <c r="L530" i="3"/>
  <c r="X528" i="3"/>
  <c r="U526" i="3"/>
  <c r="V523" i="3"/>
  <c r="W523" i="3"/>
  <c r="N523" i="3"/>
  <c r="V546" i="4"/>
  <c r="V544" i="4"/>
  <c r="L523" i="3"/>
  <c r="U523" i="3"/>
  <c r="W524" i="3"/>
  <c r="P529" i="3"/>
  <c r="AA542" i="4"/>
  <c r="Z537" i="4"/>
  <c r="U528" i="3"/>
  <c r="W531" i="4"/>
  <c r="X531" i="4"/>
  <c r="U531" i="4"/>
  <c r="K528" i="3"/>
  <c r="J529" i="3"/>
  <c r="W530" i="3"/>
  <c r="X529" i="3"/>
  <c r="AA544" i="4"/>
  <c r="V542" i="4"/>
  <c r="Z530" i="3"/>
  <c r="Y523" i="3"/>
  <c r="Z531" i="4"/>
  <c r="Q530" i="3"/>
  <c r="U524" i="3"/>
  <c r="O527" i="3"/>
  <c r="K530" i="3"/>
  <c r="AA531" i="4"/>
  <c r="J531" i="4"/>
  <c r="O530" i="3"/>
  <c r="X525" i="3"/>
  <c r="V533" i="4"/>
  <c r="N527" i="3"/>
  <c r="J542" i="4"/>
  <c r="Z526" i="3"/>
  <c r="W533" i="4"/>
  <c r="V531" i="4"/>
  <c r="J533" i="4"/>
  <c r="P526" i="3"/>
  <c r="K527" i="3"/>
  <c r="P528" i="3"/>
  <c r="U540" i="4"/>
  <c r="Q526" i="3"/>
  <c r="Y531" i="4"/>
  <c r="AA535" i="4"/>
  <c r="M530" i="3"/>
  <c r="O526" i="3"/>
  <c r="Q523" i="3"/>
  <c r="M524" i="3"/>
  <c r="AA546" i="4"/>
  <c r="X524" i="3"/>
  <c r="V524" i="3"/>
  <c r="Y528" i="3"/>
  <c r="AA529" i="3"/>
  <c r="Z533" i="4"/>
  <c r="Z546" i="4"/>
  <c r="AA525" i="3"/>
  <c r="L527" i="3"/>
  <c r="X535" i="4"/>
  <c r="Y526" i="3"/>
  <c r="J523" i="3"/>
  <c r="X546" i="4"/>
  <c r="P525" i="3"/>
  <c r="N528" i="3"/>
  <c r="AA523" i="3"/>
  <c r="W527" i="3"/>
  <c r="O528" i="3"/>
  <c r="Q524" i="3"/>
  <c r="J528" i="3"/>
  <c r="X533" i="4"/>
  <c r="U527" i="3"/>
  <c r="AA537" i="4"/>
  <c r="U529" i="3"/>
  <c r="J537" i="4"/>
  <c r="W525" i="3"/>
  <c r="O529" i="3"/>
  <c r="V527" i="3"/>
  <c r="J535" i="4"/>
  <c r="J544" i="4"/>
  <c r="M523" i="3"/>
  <c r="Z540" i="4"/>
  <c r="X537" i="4"/>
  <c r="M527" i="3"/>
  <c r="N529" i="3"/>
  <c r="L525" i="3"/>
  <c r="M526" i="3"/>
  <c r="U525" i="3"/>
  <c r="N525" i="3"/>
  <c r="V525" i="3"/>
  <c r="L524" i="3"/>
  <c r="X523" i="3"/>
  <c r="U533" i="4"/>
  <c r="J540" i="4"/>
  <c r="Z524" i="3"/>
  <c r="P530" i="3"/>
  <c r="X544" i="4"/>
  <c r="Y537" i="4"/>
  <c r="P523" i="3"/>
  <c r="P524" i="3"/>
  <c r="AA540" i="4"/>
  <c r="W529" i="3"/>
  <c r="K526" i="3"/>
  <c r="W544" i="4"/>
  <c r="X526" i="3"/>
  <c r="J530" i="3"/>
  <c r="O524" i="3"/>
  <c r="V528" i="3"/>
  <c r="V537" i="4"/>
  <c r="K525" i="3"/>
  <c r="Z523" i="3"/>
  <c r="J526" i="3"/>
  <c r="Y540" i="4"/>
  <c r="Z535" i="4"/>
  <c r="X527" i="3"/>
  <c r="U537" i="4"/>
  <c r="Z527" i="3"/>
  <c r="L529" i="3"/>
  <c r="M529" i="3"/>
  <c r="Y546" i="4"/>
  <c r="Z544" i="4"/>
  <c r="L528" i="3"/>
  <c r="X540" i="4"/>
  <c r="Y542" i="4"/>
  <c r="W537" i="4"/>
  <c r="J546" i="4"/>
  <c r="X542" i="4"/>
  <c r="N526" i="3"/>
  <c r="Q525" i="3"/>
  <c r="N530" i="3"/>
  <c r="O525" i="3"/>
  <c r="Q528" i="3"/>
  <c r="AA527" i="3"/>
  <c r="U544" i="4"/>
  <c r="Z529" i="3"/>
  <c r="O523" i="3"/>
  <c r="AA524" i="3"/>
  <c r="U546" i="4"/>
  <c r="AA533" i="4"/>
  <c r="P527" i="3"/>
  <c r="Z525" i="3"/>
  <c r="S531" i="4" l="1"/>
  <c r="T531" i="4"/>
  <c r="R531" i="4"/>
  <c r="I533" i="4"/>
  <c r="S526" i="3"/>
  <c r="S527" i="3"/>
  <c r="R537" i="4"/>
  <c r="T537" i="4"/>
  <c r="S529" i="3"/>
  <c r="T535" i="4"/>
  <c r="R535" i="4"/>
  <c r="I528" i="3"/>
  <c r="R533" i="4"/>
  <c r="T533" i="4"/>
  <c r="R526" i="3"/>
  <c r="T526" i="3"/>
  <c r="S525" i="3"/>
  <c r="I537" i="4"/>
  <c r="R523" i="3"/>
  <c r="T523" i="3"/>
  <c r="I529" i="3"/>
  <c r="I535" i="4"/>
  <c r="R528" i="3"/>
  <c r="T528" i="3"/>
  <c r="I526" i="3"/>
  <c r="R527" i="3"/>
  <c r="T527" i="3"/>
  <c r="S546" i="4"/>
  <c r="T524" i="3"/>
  <c r="R524" i="3"/>
  <c r="I523" i="3"/>
  <c r="R530" i="3"/>
  <c r="T530" i="3"/>
  <c r="I531" i="4"/>
  <c r="S544" i="4"/>
  <c r="I525" i="3"/>
  <c r="T546" i="4"/>
  <c r="R546" i="4"/>
  <c r="S537" i="4"/>
  <c r="S540" i="4"/>
  <c r="S542" i="4"/>
  <c r="R540" i="4"/>
  <c r="T540" i="4"/>
  <c r="R529" i="3"/>
  <c r="T529" i="3"/>
  <c r="T542" i="4"/>
  <c r="R542" i="4"/>
  <c r="S535" i="4"/>
  <c r="S528" i="3"/>
  <c r="T544" i="4"/>
  <c r="R544" i="4"/>
  <c r="S533" i="4"/>
  <c r="I527" i="3"/>
  <c r="R525" i="3"/>
  <c r="T525" i="3"/>
  <c r="S524" i="3"/>
  <c r="I524" i="3"/>
  <c r="S523" i="3"/>
  <c r="S530" i="3"/>
  <c r="I530" i="3"/>
  <c r="G556" i="4"/>
  <c r="G558" i="4"/>
  <c r="G560" i="4"/>
  <c r="G562" i="4"/>
  <c r="G547" i="4"/>
  <c r="G551" i="4"/>
  <c r="G549" i="4"/>
  <c r="G553" i="4"/>
  <c r="G546" i="3"/>
  <c r="G544" i="3"/>
  <c r="G542" i="3"/>
  <c r="G540" i="3"/>
  <c r="G545" i="3"/>
  <c r="G543" i="3"/>
  <c r="G541" i="3"/>
  <c r="G539" i="3"/>
  <c r="N535" i="3"/>
  <c r="W554" i="4"/>
  <c r="AA545" i="4"/>
  <c r="Y554" i="4"/>
  <c r="N536" i="3"/>
  <c r="Y534" i="3"/>
  <c r="U543" i="4"/>
  <c r="V538" i="3"/>
  <c r="Y538" i="3"/>
  <c r="N534" i="3"/>
  <c r="J536" i="3"/>
  <c r="Q535" i="3"/>
  <c r="W532" i="3"/>
  <c r="Y552" i="4"/>
  <c r="K533" i="3"/>
  <c r="Z543" i="4"/>
  <c r="Z532" i="3"/>
  <c r="P533" i="3"/>
  <c r="J554" i="4"/>
  <c r="V543" i="4"/>
  <c r="P534" i="3"/>
  <c r="AA533" i="3"/>
  <c r="P538" i="3"/>
  <c r="X543" i="4"/>
  <c r="X531" i="3"/>
  <c r="Z534" i="3"/>
  <c r="W541" i="4"/>
  <c r="O536" i="3"/>
  <c r="X554" i="4"/>
  <c r="M536" i="3"/>
  <c r="W548" i="4"/>
  <c r="W535" i="3"/>
  <c r="O537" i="3"/>
  <c r="V534" i="3"/>
  <c r="O533" i="3"/>
  <c r="J550" i="4"/>
  <c r="Y539" i="4"/>
  <c r="L537" i="3"/>
  <c r="Q533" i="3"/>
  <c r="N532" i="3"/>
  <c r="Y543" i="4"/>
  <c r="O531" i="3"/>
  <c r="Y541" i="4"/>
  <c r="AA554" i="4"/>
  <c r="AA541" i="4"/>
  <c r="W538" i="3"/>
  <c r="J537" i="3"/>
  <c r="U536" i="3"/>
  <c r="AA535" i="3"/>
  <c r="U550" i="4"/>
  <c r="X535" i="3"/>
  <c r="Y548" i="4"/>
  <c r="J534" i="3"/>
  <c r="Q537" i="3"/>
  <c r="W534" i="3"/>
  <c r="Y545" i="4"/>
  <c r="Z539" i="4"/>
  <c r="AA531" i="3"/>
  <c r="U539" i="4"/>
  <c r="U554" i="4"/>
  <c r="M537" i="3"/>
  <c r="U537" i="3"/>
  <c r="W552" i="4"/>
  <c r="W543" i="4"/>
  <c r="L531" i="3"/>
  <c r="AA536" i="3"/>
  <c r="Q531" i="3"/>
  <c r="U531" i="3"/>
  <c r="Y537" i="3"/>
  <c r="N537" i="3"/>
  <c r="Z554" i="4"/>
  <c r="V531" i="3"/>
  <c r="AA548" i="4"/>
  <c r="X548" i="4"/>
  <c r="U548" i="4"/>
  <c r="Q532" i="3"/>
  <c r="Y532" i="3"/>
  <c r="U552" i="4"/>
  <c r="W539" i="4"/>
  <c r="AA534" i="3"/>
  <c r="Z538" i="3"/>
  <c r="M535" i="3"/>
  <c r="AA539" i="4"/>
  <c r="J535" i="3"/>
  <c r="J548" i="4"/>
  <c r="P535" i="3"/>
  <c r="K534" i="3"/>
  <c r="Z537" i="3"/>
  <c r="J539" i="4"/>
  <c r="V548" i="4"/>
  <c r="M534" i="3"/>
  <c r="Y531" i="3"/>
  <c r="W545" i="4"/>
  <c r="L535" i="3"/>
  <c r="Z541" i="4"/>
  <c r="V541" i="4"/>
  <c r="P532" i="3"/>
  <c r="M533" i="3"/>
  <c r="M531" i="3"/>
  <c r="U535" i="3"/>
  <c r="AA552" i="4"/>
  <c r="Z550" i="4"/>
  <c r="Y536" i="3"/>
  <c r="K535" i="3"/>
  <c r="AA550" i="4"/>
  <c r="P537" i="3"/>
  <c r="X533" i="3"/>
  <c r="V545" i="4"/>
  <c r="V552" i="4"/>
  <c r="J552" i="4"/>
  <c r="O538" i="3"/>
  <c r="V539" i="4"/>
  <c r="O535" i="3"/>
  <c r="AA537" i="3"/>
  <c r="J538" i="3"/>
  <c r="V535" i="3"/>
  <c r="X537" i="3"/>
  <c r="N531" i="3"/>
  <c r="P536" i="3"/>
  <c r="K532" i="3"/>
  <c r="K537" i="3"/>
  <c r="U532" i="3"/>
  <c r="N533" i="3"/>
  <c r="U545" i="4"/>
  <c r="K538" i="3"/>
  <c r="W531" i="3"/>
  <c r="L532" i="3"/>
  <c r="W533" i="3"/>
  <c r="AA538" i="3"/>
  <c r="Y550" i="4"/>
  <c r="W536" i="3"/>
  <c r="X534" i="3"/>
  <c r="U538" i="3"/>
  <c r="X545" i="4"/>
  <c r="Z545" i="4"/>
  <c r="J545" i="4"/>
  <c r="X536" i="3"/>
  <c r="W537" i="3"/>
  <c r="Q534" i="3"/>
  <c r="L536" i="3"/>
  <c r="V536" i="3"/>
  <c r="X550" i="4"/>
  <c r="V533" i="3"/>
  <c r="Q538" i="3"/>
  <c r="X538" i="3"/>
  <c r="X539" i="4"/>
  <c r="P531" i="3"/>
  <c r="Q536" i="3"/>
  <c r="Z552" i="4"/>
  <c r="U533" i="3"/>
  <c r="N538" i="3"/>
  <c r="X532" i="3"/>
  <c r="W550" i="4"/>
  <c r="O532" i="3"/>
  <c r="U541" i="4"/>
  <c r="L534" i="3"/>
  <c r="O534" i="3"/>
  <c r="L533" i="3"/>
  <c r="J531" i="3"/>
  <c r="M538" i="3"/>
  <c r="J533" i="3"/>
  <c r="K531" i="3"/>
  <c r="AA532" i="3"/>
  <c r="Z531" i="3"/>
  <c r="V554" i="4"/>
  <c r="K536" i="3"/>
  <c r="M532" i="3"/>
  <c r="X552" i="4"/>
  <c r="J532" i="3"/>
  <c r="L538" i="3"/>
  <c r="U534" i="3"/>
  <c r="V532" i="3"/>
  <c r="J543" i="4"/>
  <c r="Z548" i="4"/>
  <c r="Z535" i="3"/>
  <c r="J541" i="4"/>
  <c r="Z533" i="3"/>
  <c r="Y533" i="3"/>
  <c r="Z536" i="3"/>
  <c r="V550" i="4"/>
  <c r="AA543" i="4"/>
  <c r="X541" i="4"/>
  <c r="V537" i="3"/>
  <c r="Y535" i="3"/>
  <c r="R541" i="4" l="1"/>
  <c r="T541" i="4"/>
  <c r="T550" i="4"/>
  <c r="R550" i="4"/>
  <c r="S536" i="3"/>
  <c r="S539" i="4"/>
  <c r="I532" i="3"/>
  <c r="S541" i="4"/>
  <c r="S550" i="4"/>
  <c r="I550" i="4"/>
  <c r="T543" i="4"/>
  <c r="R543" i="4"/>
  <c r="R539" i="4"/>
  <c r="T539" i="4"/>
  <c r="I548" i="4"/>
  <c r="I537" i="3"/>
  <c r="S537" i="3"/>
  <c r="T554" i="4"/>
  <c r="R554" i="4"/>
  <c r="R531" i="3"/>
  <c r="T531" i="3"/>
  <c r="S552" i="4"/>
  <c r="I533" i="3"/>
  <c r="R535" i="3"/>
  <c r="T535" i="3"/>
  <c r="S548" i="4"/>
  <c r="I538" i="3"/>
  <c r="S545" i="4"/>
  <c r="S532" i="3"/>
  <c r="R552" i="4"/>
  <c r="T552" i="4"/>
  <c r="S535" i="3"/>
  <c r="R548" i="4"/>
  <c r="T548" i="4"/>
  <c r="R537" i="3"/>
  <c r="T537" i="3"/>
  <c r="R538" i="3"/>
  <c r="T538" i="3"/>
  <c r="S538" i="3"/>
  <c r="R545" i="4"/>
  <c r="T545" i="4"/>
  <c r="I531" i="3"/>
  <c r="S531" i="3"/>
  <c r="R532" i="3"/>
  <c r="T532" i="3"/>
  <c r="I552" i="4"/>
  <c r="R533" i="3"/>
  <c r="T533" i="3"/>
  <c r="I534" i="3"/>
  <c r="S534" i="3"/>
  <c r="I535" i="3"/>
  <c r="R536" i="3"/>
  <c r="T536" i="3"/>
  <c r="I536" i="3"/>
  <c r="S543" i="4"/>
  <c r="S554" i="4"/>
  <c r="I554" i="4"/>
  <c r="S533" i="3"/>
  <c r="R534" i="3"/>
  <c r="T534" i="3"/>
  <c r="G561" i="4"/>
  <c r="G557" i="4"/>
  <c r="G559" i="4"/>
  <c r="G555" i="4"/>
  <c r="G570" i="4"/>
  <c r="G568" i="4"/>
  <c r="G566" i="4"/>
  <c r="G564" i="4"/>
  <c r="G547" i="3"/>
  <c r="G549" i="3"/>
  <c r="G551" i="3"/>
  <c r="G553" i="3"/>
  <c r="G548" i="3"/>
  <c r="G550" i="3"/>
  <c r="G552" i="3"/>
  <c r="G554" i="3"/>
  <c r="N545" i="3"/>
  <c r="N540" i="3"/>
  <c r="M543" i="3"/>
  <c r="Z542" i="3"/>
  <c r="U542" i="3"/>
  <c r="W553" i="4"/>
  <c r="Y551" i="4"/>
  <c r="AA562" i="4"/>
  <c r="X541" i="3"/>
  <c r="J545" i="3"/>
  <c r="K546" i="3"/>
  <c r="V553" i="4"/>
  <c r="W556" i="4"/>
  <c r="M545" i="3"/>
  <c r="L545" i="3"/>
  <c r="X539" i="3"/>
  <c r="W539" i="3"/>
  <c r="L542" i="3"/>
  <c r="AA553" i="4"/>
  <c r="AA546" i="3"/>
  <c r="Y546" i="3"/>
  <c r="J558" i="4"/>
  <c r="P544" i="3"/>
  <c r="U549" i="4"/>
  <c r="AA549" i="4"/>
  <c r="Z553" i="4"/>
  <c r="W551" i="4"/>
  <c r="U562" i="4"/>
  <c r="U546" i="3"/>
  <c r="Z549" i="4"/>
  <c r="Z541" i="3"/>
  <c r="J562" i="4"/>
  <c r="W546" i="3"/>
  <c r="Y545" i="3"/>
  <c r="L546" i="3"/>
  <c r="U544" i="3"/>
  <c r="V543" i="3"/>
  <c r="X560" i="4"/>
  <c r="AA558" i="4"/>
  <c r="Q542" i="3"/>
  <c r="M540" i="3"/>
  <c r="Y558" i="4"/>
  <c r="W541" i="3"/>
  <c r="U540" i="3"/>
  <c r="V540" i="3"/>
  <c r="AA556" i="4"/>
  <c r="O541" i="3"/>
  <c r="Z544" i="3"/>
  <c r="Z551" i="4"/>
  <c r="Q540" i="3"/>
  <c r="X542" i="3"/>
  <c r="K540" i="3"/>
  <c r="N541" i="3"/>
  <c r="N546" i="3"/>
  <c r="AA560" i="4"/>
  <c r="X562" i="4"/>
  <c r="L543" i="3"/>
  <c r="K545" i="3"/>
  <c r="V558" i="4"/>
  <c r="M539" i="3"/>
  <c r="Z540" i="3"/>
  <c r="V545" i="3"/>
  <c r="U543" i="3"/>
  <c r="X545" i="3"/>
  <c r="Y547" i="4"/>
  <c r="Z562" i="4"/>
  <c r="U551" i="4"/>
  <c r="K541" i="3"/>
  <c r="K539" i="3"/>
  <c r="L540" i="3"/>
  <c r="X546" i="3"/>
  <c r="P541" i="3"/>
  <c r="P545" i="3"/>
  <c r="J553" i="4"/>
  <c r="X540" i="3"/>
  <c r="Q541" i="3"/>
  <c r="J560" i="4"/>
  <c r="X558" i="4"/>
  <c r="J544" i="3"/>
  <c r="Z560" i="4"/>
  <c r="W540" i="3"/>
  <c r="AA540" i="3"/>
  <c r="Y544" i="3"/>
  <c r="AA542" i="3"/>
  <c r="Y560" i="4"/>
  <c r="J546" i="3"/>
  <c r="O540" i="3"/>
  <c r="Y541" i="3"/>
  <c r="Q545" i="3"/>
  <c r="X553" i="4"/>
  <c r="W545" i="3"/>
  <c r="L541" i="3"/>
  <c r="W562" i="4"/>
  <c r="X551" i="4"/>
  <c r="U556" i="4"/>
  <c r="W547" i="4"/>
  <c r="Y562" i="4"/>
  <c r="AA551" i="4"/>
  <c r="O539" i="3"/>
  <c r="Q544" i="3"/>
  <c r="J541" i="3"/>
  <c r="Y556" i="4"/>
  <c r="Z546" i="3"/>
  <c r="Z539" i="3"/>
  <c r="P539" i="3"/>
  <c r="V556" i="4"/>
  <c r="J556" i="4"/>
  <c r="V562" i="4"/>
  <c r="W543" i="3"/>
  <c r="X543" i="3"/>
  <c r="M541" i="3"/>
  <c r="AA543" i="3"/>
  <c r="Y539" i="3"/>
  <c r="O546" i="3"/>
  <c r="N543" i="3"/>
  <c r="V544" i="3"/>
  <c r="U553" i="4"/>
  <c r="Y540" i="3"/>
  <c r="N544" i="3"/>
  <c r="X549" i="4"/>
  <c r="X556" i="4"/>
  <c r="Z545" i="3"/>
  <c r="Q546" i="3"/>
  <c r="Y549" i="4"/>
  <c r="P546" i="3"/>
  <c r="U539" i="3"/>
  <c r="J549" i="4"/>
  <c r="V549" i="4"/>
  <c r="U541" i="3"/>
  <c r="K542" i="3"/>
  <c r="U545" i="3"/>
  <c r="J540" i="3"/>
  <c r="J551" i="4"/>
  <c r="J543" i="3"/>
  <c r="W549" i="4"/>
  <c r="O544" i="3"/>
  <c r="W544" i="3"/>
  <c r="AA544" i="3"/>
  <c r="U560" i="4"/>
  <c r="AA541" i="3"/>
  <c r="O542" i="3"/>
  <c r="L539" i="3"/>
  <c r="M542" i="3"/>
  <c r="K544" i="3"/>
  <c r="V547" i="4"/>
  <c r="W542" i="3"/>
  <c r="J539" i="3"/>
  <c r="W558" i="4"/>
  <c r="AA545" i="3"/>
  <c r="P540" i="3"/>
  <c r="M546" i="3"/>
  <c r="AA547" i="4"/>
  <c r="V551" i="4"/>
  <c r="Q543" i="3"/>
  <c r="V539" i="3"/>
  <c r="Y542" i="3"/>
  <c r="AA539" i="3"/>
  <c r="L544" i="3"/>
  <c r="U547" i="4"/>
  <c r="N542" i="3"/>
  <c r="J547" i="4"/>
  <c r="Z556" i="4"/>
  <c r="Z543" i="3"/>
  <c r="Q539" i="3"/>
  <c r="V546" i="3"/>
  <c r="K543" i="3"/>
  <c r="P543" i="3"/>
  <c r="V541" i="3"/>
  <c r="O543" i="3"/>
  <c r="V560" i="4"/>
  <c r="N539" i="3"/>
  <c r="V542" i="3"/>
  <c r="P542" i="3"/>
  <c r="Y543" i="3"/>
  <c r="O545" i="3"/>
  <c r="X544" i="3"/>
  <c r="U558" i="4"/>
  <c r="W560" i="4"/>
  <c r="Z558" i="4"/>
  <c r="Y553" i="4"/>
  <c r="J542" i="3"/>
  <c r="Z547" i="4"/>
  <c r="X547" i="4"/>
  <c r="M544" i="3"/>
  <c r="I558" i="4" l="1"/>
  <c r="T562" i="4"/>
  <c r="R562" i="4"/>
  <c r="S553" i="4"/>
  <c r="R556" i="4"/>
  <c r="T556" i="4"/>
  <c r="S546" i="3"/>
  <c r="I551" i="4"/>
  <c r="R549" i="4"/>
  <c r="T549" i="4"/>
  <c r="I562" i="4"/>
  <c r="R553" i="4"/>
  <c r="T553" i="4"/>
  <c r="R539" i="3"/>
  <c r="T539" i="3"/>
  <c r="S547" i="4"/>
  <c r="R545" i="3"/>
  <c r="T545" i="3"/>
  <c r="R543" i="3"/>
  <c r="T543" i="3"/>
  <c r="S539" i="3"/>
  <c r="S543" i="3"/>
  <c r="R541" i="3"/>
  <c r="T541" i="3"/>
  <c r="R542" i="3"/>
  <c r="T542" i="3"/>
  <c r="T540" i="3"/>
  <c r="R540" i="3"/>
  <c r="T558" i="4"/>
  <c r="R558" i="4"/>
  <c r="S551" i="4"/>
  <c r="R544" i="3"/>
  <c r="T544" i="3"/>
  <c r="S549" i="4"/>
  <c r="I556" i="4"/>
  <c r="T551" i="4"/>
  <c r="R551" i="4"/>
  <c r="S560" i="4"/>
  <c r="S542" i="3"/>
  <c r="I549" i="4"/>
  <c r="T547" i="4"/>
  <c r="R547" i="4"/>
  <c r="R546" i="3"/>
  <c r="T546" i="3"/>
  <c r="T560" i="4"/>
  <c r="R560" i="4"/>
  <c r="I560" i="4"/>
  <c r="S541" i="3"/>
  <c r="S558" i="4"/>
  <c r="S544" i="3"/>
  <c r="S562" i="4"/>
  <c r="I553" i="4"/>
  <c r="S540" i="3"/>
  <c r="S556" i="4"/>
  <c r="I547" i="4"/>
  <c r="S545" i="3"/>
  <c r="G572" i="4"/>
  <c r="G574" i="4"/>
  <c r="G576" i="4"/>
  <c r="G578" i="4"/>
  <c r="G563" i="4"/>
  <c r="G567" i="4"/>
  <c r="G565" i="4"/>
  <c r="G569" i="4"/>
  <c r="G562" i="3"/>
  <c r="G560" i="3"/>
  <c r="G558" i="3"/>
  <c r="G556" i="3"/>
  <c r="G561" i="3"/>
  <c r="G559" i="3"/>
  <c r="G557" i="3"/>
  <c r="G555" i="3"/>
  <c r="U555" i="4"/>
  <c r="P550" i="3"/>
  <c r="K550" i="3"/>
  <c r="AA548" i="3"/>
  <c r="X568" i="4"/>
  <c r="J570" i="4"/>
  <c r="W549" i="3"/>
  <c r="X551" i="3"/>
  <c r="J552" i="3"/>
  <c r="AA568" i="4"/>
  <c r="X564" i="4"/>
  <c r="Y568" i="4"/>
  <c r="J554" i="3"/>
  <c r="U547" i="3"/>
  <c r="J557" i="4"/>
  <c r="Z554" i="3"/>
  <c r="Z566" i="4"/>
  <c r="P547" i="3"/>
  <c r="P551" i="3"/>
  <c r="Y553" i="3"/>
  <c r="V564" i="4"/>
  <c r="V548" i="3"/>
  <c r="Y547" i="3"/>
  <c r="W547" i="3"/>
  <c r="O554" i="3"/>
  <c r="J547" i="3"/>
  <c r="Q550" i="3"/>
  <c r="Y570" i="4"/>
  <c r="AA557" i="4"/>
  <c r="J559" i="4"/>
  <c r="W557" i="4"/>
  <c r="N550" i="3"/>
  <c r="AA549" i="3"/>
  <c r="X566" i="4"/>
  <c r="U553" i="3"/>
  <c r="V559" i="4"/>
  <c r="N548" i="3"/>
  <c r="J555" i="4"/>
  <c r="Y549" i="3"/>
  <c r="W568" i="4"/>
  <c r="K554" i="3"/>
  <c r="U566" i="4"/>
  <c r="Z553" i="3"/>
  <c r="W564" i="4"/>
  <c r="X550" i="3"/>
  <c r="AA561" i="4"/>
  <c r="Y559" i="4"/>
  <c r="X555" i="4"/>
  <c r="V551" i="3"/>
  <c r="Z561" i="4"/>
  <c r="Z550" i="3"/>
  <c r="X548" i="3"/>
  <c r="O553" i="3"/>
  <c r="O547" i="3"/>
  <c r="N547" i="3"/>
  <c r="X559" i="4"/>
  <c r="K549" i="3"/>
  <c r="M547" i="3"/>
  <c r="X570" i="4"/>
  <c r="Q548" i="3"/>
  <c r="P552" i="3"/>
  <c r="V547" i="3"/>
  <c r="W548" i="3"/>
  <c r="O549" i="3"/>
  <c r="Z564" i="4"/>
  <c r="X553" i="3"/>
  <c r="Z559" i="4"/>
  <c r="V549" i="3"/>
  <c r="J550" i="3"/>
  <c r="V570" i="4"/>
  <c r="W561" i="4"/>
  <c r="Y554" i="3"/>
  <c r="M553" i="3"/>
  <c r="Q553" i="3"/>
  <c r="W559" i="4"/>
  <c r="M548" i="3"/>
  <c r="Y555" i="4"/>
  <c r="V553" i="3"/>
  <c r="W552" i="3"/>
  <c r="Z551" i="3"/>
  <c r="V552" i="3"/>
  <c r="K548" i="3"/>
  <c r="X557" i="4"/>
  <c r="L553" i="3"/>
  <c r="L549" i="3"/>
  <c r="O550" i="3"/>
  <c r="J551" i="3"/>
  <c r="L554" i="3"/>
  <c r="Z548" i="3"/>
  <c r="AA550" i="3"/>
  <c r="AA547" i="3"/>
  <c r="AA552" i="3"/>
  <c r="M552" i="3"/>
  <c r="AA553" i="3"/>
  <c r="P548" i="3"/>
  <c r="M550" i="3"/>
  <c r="J553" i="3"/>
  <c r="Q547" i="3"/>
  <c r="V550" i="3"/>
  <c r="M549" i="3"/>
  <c r="O548" i="3"/>
  <c r="P554" i="3"/>
  <c r="Z557" i="4"/>
  <c r="Z552" i="3"/>
  <c r="Z555" i="4"/>
  <c r="W566" i="4"/>
  <c r="AA551" i="3"/>
  <c r="K553" i="3"/>
  <c r="W555" i="4"/>
  <c r="X552" i="3"/>
  <c r="Y550" i="3"/>
  <c r="V554" i="3"/>
  <c r="Z549" i="3"/>
  <c r="U568" i="4"/>
  <c r="M554" i="3"/>
  <c r="L548" i="3"/>
  <c r="W570" i="4"/>
  <c r="Z570" i="4"/>
  <c r="U561" i="4"/>
  <c r="AA566" i="4"/>
  <c r="W550" i="3"/>
  <c r="J549" i="3"/>
  <c r="U550" i="3"/>
  <c r="P553" i="3"/>
  <c r="O551" i="3"/>
  <c r="AA554" i="3"/>
  <c r="V561" i="4"/>
  <c r="AA555" i="4"/>
  <c r="U554" i="3"/>
  <c r="N551" i="3"/>
  <c r="Y548" i="3"/>
  <c r="X561" i="4"/>
  <c r="U552" i="3"/>
  <c r="Y557" i="4"/>
  <c r="Y566" i="4"/>
  <c r="Y552" i="3"/>
  <c r="P549" i="3"/>
  <c r="N549" i="3"/>
  <c r="N554" i="3"/>
  <c r="K547" i="3"/>
  <c r="J564" i="4"/>
  <c r="AA570" i="4"/>
  <c r="U559" i="4"/>
  <c r="L547" i="3"/>
  <c r="L552" i="3"/>
  <c r="V566" i="4"/>
  <c r="X549" i="3"/>
  <c r="Z547" i="3"/>
  <c r="Z568" i="4"/>
  <c r="L551" i="3"/>
  <c r="Y561" i="4"/>
  <c r="X547" i="3"/>
  <c r="O552" i="3"/>
  <c r="L550" i="3"/>
  <c r="U548" i="3"/>
  <c r="U557" i="4"/>
  <c r="U564" i="4"/>
  <c r="J568" i="4"/>
  <c r="U570" i="4"/>
  <c r="K551" i="3"/>
  <c r="W554" i="3"/>
  <c r="Y551" i="3"/>
  <c r="U549" i="3"/>
  <c r="Q549" i="3"/>
  <c r="U551" i="3"/>
  <c r="Q551" i="3"/>
  <c r="X554" i="3"/>
  <c r="K552" i="3"/>
  <c r="V557" i="4"/>
  <c r="N552" i="3"/>
  <c r="Y564" i="4"/>
  <c r="V555" i="4"/>
  <c r="M551" i="3"/>
  <c r="AA559" i="4"/>
  <c r="J561" i="4"/>
  <c r="J566" i="4"/>
  <c r="J548" i="3"/>
  <c r="W553" i="3"/>
  <c r="AA564" i="4"/>
  <c r="N553" i="3"/>
  <c r="Q552" i="3"/>
  <c r="V568" i="4"/>
  <c r="W551" i="3"/>
  <c r="Q554" i="3"/>
  <c r="I570" i="4" l="1"/>
  <c r="R547" i="3"/>
  <c r="T547" i="3"/>
  <c r="S548" i="3"/>
  <c r="I561" i="4"/>
  <c r="T566" i="4"/>
  <c r="R566" i="4"/>
  <c r="I550" i="3"/>
  <c r="S561" i="4"/>
  <c r="T570" i="4"/>
  <c r="R570" i="4"/>
  <c r="S547" i="3"/>
  <c r="S557" i="4"/>
  <c r="I557" i="4"/>
  <c r="I568" i="4"/>
  <c r="S551" i="3"/>
  <c r="R564" i="4"/>
  <c r="T564" i="4"/>
  <c r="S554" i="3"/>
  <c r="R553" i="3"/>
  <c r="T553" i="3"/>
  <c r="S555" i="4"/>
  <c r="R561" i="4"/>
  <c r="T561" i="4"/>
  <c r="R557" i="4"/>
  <c r="T557" i="4"/>
  <c r="S568" i="4"/>
  <c r="R551" i="3"/>
  <c r="T551" i="3"/>
  <c r="S550" i="3"/>
  <c r="S559" i="4"/>
  <c r="I552" i="3"/>
  <c r="R554" i="3"/>
  <c r="T554" i="3"/>
  <c r="R555" i="4"/>
  <c r="T555" i="4"/>
  <c r="I547" i="3"/>
  <c r="R548" i="3"/>
  <c r="T548" i="3"/>
  <c r="R568" i="4"/>
  <c r="T568" i="4"/>
  <c r="R549" i="3"/>
  <c r="T549" i="3"/>
  <c r="S549" i="3"/>
  <c r="S566" i="4"/>
  <c r="I566" i="4"/>
  <c r="I564" i="4"/>
  <c r="R550" i="3"/>
  <c r="T550" i="3"/>
  <c r="T559" i="4"/>
  <c r="R559" i="4"/>
  <c r="I559" i="4"/>
  <c r="S552" i="3"/>
  <c r="T552" i="3"/>
  <c r="R552" i="3"/>
  <c r="I553" i="3"/>
  <c r="I555" i="4"/>
  <c r="S570" i="4"/>
  <c r="I548" i="3"/>
  <c r="I549" i="3"/>
  <c r="I551" i="3"/>
  <c r="S564" i="4"/>
  <c r="I554" i="3"/>
  <c r="S553" i="3"/>
  <c r="G577" i="4"/>
  <c r="G573" i="4"/>
  <c r="G575" i="4"/>
  <c r="G571" i="4"/>
  <c r="G586" i="4"/>
  <c r="G584" i="4"/>
  <c r="G582" i="4"/>
  <c r="G580" i="4"/>
  <c r="G563" i="3"/>
  <c r="G565" i="3"/>
  <c r="G567" i="3"/>
  <c r="G569" i="3"/>
  <c r="G564" i="3"/>
  <c r="G566" i="3"/>
  <c r="G568" i="3"/>
  <c r="G570" i="3"/>
  <c r="Z557" i="3"/>
  <c r="AA569" i="4"/>
  <c r="Y562" i="3"/>
  <c r="AA557" i="3"/>
  <c r="W569" i="4"/>
  <c r="O556" i="3"/>
  <c r="Y569" i="4"/>
  <c r="Y572" i="4"/>
  <c r="X578" i="4"/>
  <c r="Z574" i="4"/>
  <c r="U569" i="4"/>
  <c r="V563" i="4"/>
  <c r="Q557" i="3"/>
  <c r="Z559" i="3"/>
  <c r="Y558" i="3"/>
  <c r="W558" i="3"/>
  <c r="N560" i="3"/>
  <c r="M562" i="3"/>
  <c r="Z560" i="3"/>
  <c r="Z563" i="4"/>
  <c r="N557" i="3"/>
  <c r="K555" i="3"/>
  <c r="Q559" i="3"/>
  <c r="W563" i="4"/>
  <c r="AA565" i="4"/>
  <c r="J572" i="4"/>
  <c r="W565" i="4"/>
  <c r="L560" i="3"/>
  <c r="W557" i="3"/>
  <c r="W562" i="3"/>
  <c r="Z578" i="4"/>
  <c r="W572" i="4"/>
  <c r="AA576" i="4"/>
  <c r="Y567" i="4"/>
  <c r="AA563" i="4"/>
  <c r="M560" i="3"/>
  <c r="K557" i="3"/>
  <c r="Y574" i="4"/>
  <c r="U558" i="3"/>
  <c r="Y563" i="4"/>
  <c r="O555" i="3"/>
  <c r="U562" i="3"/>
  <c r="Y559" i="3"/>
  <c r="W574" i="4"/>
  <c r="W559" i="3"/>
  <c r="K560" i="3"/>
  <c r="AA562" i="3"/>
  <c r="N556" i="3"/>
  <c r="Y578" i="4"/>
  <c r="Y555" i="3"/>
  <c r="K561" i="3"/>
  <c r="V555" i="3"/>
  <c r="J556" i="3"/>
  <c r="V572" i="4"/>
  <c r="M557" i="3"/>
  <c r="W555" i="3"/>
  <c r="O559" i="3"/>
  <c r="L555" i="3"/>
  <c r="U563" i="4"/>
  <c r="O558" i="3"/>
  <c r="L557" i="3"/>
  <c r="N561" i="3"/>
  <c r="Q555" i="3"/>
  <c r="U574" i="4"/>
  <c r="U560" i="3"/>
  <c r="J560" i="3"/>
  <c r="K556" i="3"/>
  <c r="X567" i="4"/>
  <c r="P555" i="3"/>
  <c r="X562" i="3"/>
  <c r="P557" i="3"/>
  <c r="V561" i="3"/>
  <c r="U567" i="4"/>
  <c r="L556" i="3"/>
  <c r="K559" i="3"/>
  <c r="V565" i="4"/>
  <c r="J574" i="4"/>
  <c r="W561" i="3"/>
  <c r="L559" i="3"/>
  <c r="L561" i="3"/>
  <c r="Y576" i="4"/>
  <c r="X556" i="3"/>
  <c r="AA560" i="3"/>
  <c r="N555" i="3"/>
  <c r="Q561" i="3"/>
  <c r="U576" i="4"/>
  <c r="M561" i="3"/>
  <c r="J576" i="4"/>
  <c r="Q560" i="3"/>
  <c r="J559" i="3"/>
  <c r="X558" i="3"/>
  <c r="X569" i="4"/>
  <c r="AA578" i="4"/>
  <c r="Y565" i="4"/>
  <c r="U559" i="3"/>
  <c r="J557" i="3"/>
  <c r="X563" i="4"/>
  <c r="O557" i="3"/>
  <c r="X565" i="4"/>
  <c r="U561" i="3"/>
  <c r="V556" i="3"/>
  <c r="Y557" i="3"/>
  <c r="W576" i="4"/>
  <c r="M555" i="3"/>
  <c r="Z558" i="3"/>
  <c r="Z567" i="4"/>
  <c r="W556" i="3"/>
  <c r="Y556" i="3"/>
  <c r="U556" i="3"/>
  <c r="V569" i="4"/>
  <c r="U572" i="4"/>
  <c r="J555" i="3"/>
  <c r="V562" i="3"/>
  <c r="O562" i="3"/>
  <c r="V557" i="3"/>
  <c r="P562" i="3"/>
  <c r="L558" i="3"/>
  <c r="V574" i="4"/>
  <c r="Q558" i="3"/>
  <c r="O561" i="3"/>
  <c r="X559" i="3"/>
  <c r="K562" i="3"/>
  <c r="AA558" i="3"/>
  <c r="Z561" i="3"/>
  <c r="Z556" i="3"/>
  <c r="X576" i="4"/>
  <c r="U565" i="4"/>
  <c r="U555" i="3"/>
  <c r="Y560" i="3"/>
  <c r="Z562" i="3"/>
  <c r="P560" i="3"/>
  <c r="W567" i="4"/>
  <c r="N562" i="3"/>
  <c r="V578" i="4"/>
  <c r="M556" i="3"/>
  <c r="AA556" i="3"/>
  <c r="Y561" i="3"/>
  <c r="J558" i="3"/>
  <c r="P559" i="3"/>
  <c r="Z555" i="3"/>
  <c r="V558" i="3"/>
  <c r="V567" i="4"/>
  <c r="J565" i="4"/>
  <c r="X572" i="4"/>
  <c r="U557" i="3"/>
  <c r="X560" i="3"/>
  <c r="J567" i="4"/>
  <c r="W578" i="4"/>
  <c r="Z569" i="4"/>
  <c r="J562" i="3"/>
  <c r="AA561" i="3"/>
  <c r="J563" i="4"/>
  <c r="X574" i="4"/>
  <c r="P556" i="3"/>
  <c r="K558" i="3"/>
  <c r="X561" i="3"/>
  <c r="J578" i="4"/>
  <c r="M558" i="3"/>
  <c r="P558" i="3"/>
  <c r="Z572" i="4"/>
  <c r="L562" i="3"/>
  <c r="J561" i="3"/>
  <c r="AA559" i="3"/>
  <c r="J569" i="4"/>
  <c r="Q562" i="3"/>
  <c r="W560" i="3"/>
  <c r="N558" i="3"/>
  <c r="AA567" i="4"/>
  <c r="M559" i="3"/>
  <c r="V559" i="3"/>
  <c r="P561" i="3"/>
  <c r="AA555" i="3"/>
  <c r="Z576" i="4"/>
  <c r="Q556" i="3"/>
  <c r="AA572" i="4"/>
  <c r="X555" i="3"/>
  <c r="U578" i="4"/>
  <c r="Z565" i="4"/>
  <c r="O560" i="3"/>
  <c r="N559" i="3"/>
  <c r="V576" i="4"/>
  <c r="AA574" i="4"/>
  <c r="X557" i="3"/>
  <c r="V560" i="3"/>
  <c r="I562" i="3" l="1"/>
  <c r="S572" i="4"/>
  <c r="R569" i="4"/>
  <c r="T569" i="4"/>
  <c r="R562" i="3"/>
  <c r="T562" i="3"/>
  <c r="T560" i="3"/>
  <c r="R560" i="3"/>
  <c r="T567" i="4"/>
  <c r="R567" i="4"/>
  <c r="S559" i="3"/>
  <c r="I569" i="4"/>
  <c r="S556" i="3"/>
  <c r="I556" i="3"/>
  <c r="S563" i="4"/>
  <c r="I563" i="4"/>
  <c r="I561" i="3"/>
  <c r="T576" i="4"/>
  <c r="R576" i="4"/>
  <c r="S565" i="4"/>
  <c r="S558" i="3"/>
  <c r="S578" i="4"/>
  <c r="T556" i="3"/>
  <c r="R556" i="3"/>
  <c r="R555" i="3"/>
  <c r="T555" i="3"/>
  <c r="T563" i="4"/>
  <c r="R563" i="4"/>
  <c r="R565" i="4"/>
  <c r="T565" i="4"/>
  <c r="S557" i="3"/>
  <c r="S562" i="3"/>
  <c r="R559" i="3"/>
  <c r="T559" i="3"/>
  <c r="I558" i="3"/>
  <c r="T578" i="4"/>
  <c r="R578" i="4"/>
  <c r="S569" i="4"/>
  <c r="S555" i="3"/>
  <c r="R561" i="3"/>
  <c r="T561" i="3"/>
  <c r="S561" i="3"/>
  <c r="I565" i="4"/>
  <c r="I557" i="3"/>
  <c r="I560" i="3"/>
  <c r="S574" i="4"/>
  <c r="I567" i="4"/>
  <c r="R572" i="4"/>
  <c r="T572" i="4"/>
  <c r="S560" i="3"/>
  <c r="T574" i="4"/>
  <c r="R574" i="4"/>
  <c r="S567" i="4"/>
  <c r="I559" i="3"/>
  <c r="R558" i="3"/>
  <c r="T558" i="3"/>
  <c r="I555" i="3"/>
  <c r="S576" i="4"/>
  <c r="R557" i="3"/>
  <c r="T557" i="3"/>
  <c r="G588" i="4"/>
  <c r="G590" i="4"/>
  <c r="G592" i="4"/>
  <c r="G594" i="4"/>
  <c r="G579" i="4"/>
  <c r="G583" i="4"/>
  <c r="G581" i="4"/>
  <c r="G585" i="4"/>
  <c r="G578" i="3"/>
  <c r="G576" i="3"/>
  <c r="G574" i="3"/>
  <c r="G572" i="3"/>
  <c r="G577" i="3"/>
  <c r="G575" i="3"/>
  <c r="G573" i="3"/>
  <c r="G571" i="3"/>
  <c r="U566" i="3"/>
  <c r="U580" i="4"/>
  <c r="V564" i="3"/>
  <c r="O563" i="3"/>
  <c r="N564" i="3"/>
  <c r="K568" i="3"/>
  <c r="Y586" i="4"/>
  <c r="Q564" i="3"/>
  <c r="V586" i="4"/>
  <c r="V577" i="4"/>
  <c r="M568" i="3"/>
  <c r="Q566" i="3"/>
  <c r="Y563" i="3"/>
  <c r="Z575" i="4"/>
  <c r="X573" i="4"/>
  <c r="U575" i="4"/>
  <c r="W577" i="4"/>
  <c r="K569" i="3"/>
  <c r="Z582" i="4"/>
  <c r="V584" i="4"/>
  <c r="W575" i="4"/>
  <c r="W570" i="3"/>
  <c r="J567" i="3"/>
  <c r="Z570" i="3"/>
  <c r="K567" i="3"/>
  <c r="Z565" i="3"/>
  <c r="K565" i="3"/>
  <c r="J584" i="4"/>
  <c r="J569" i="3"/>
  <c r="Q568" i="3"/>
  <c r="O564" i="3"/>
  <c r="Z563" i="3"/>
  <c r="W586" i="4"/>
  <c r="P563" i="3"/>
  <c r="O566" i="3"/>
  <c r="Y580" i="4"/>
  <c r="W584" i="4"/>
  <c r="U571" i="4"/>
  <c r="X586" i="4"/>
  <c r="AA570" i="3"/>
  <c r="L564" i="3"/>
  <c r="N565" i="3"/>
  <c r="U563" i="3"/>
  <c r="X567" i="3"/>
  <c r="V569" i="3"/>
  <c r="W567" i="3"/>
  <c r="AA586" i="4"/>
  <c r="X584" i="4"/>
  <c r="Y584" i="4"/>
  <c r="Z566" i="3"/>
  <c r="V582" i="4"/>
  <c r="Y582" i="4"/>
  <c r="J573" i="4"/>
  <c r="N568" i="3"/>
  <c r="K566" i="3"/>
  <c r="J571" i="4"/>
  <c r="L569" i="3"/>
  <c r="J582" i="4"/>
  <c r="Z577" i="4"/>
  <c r="O568" i="3"/>
  <c r="X569" i="3"/>
  <c r="V571" i="4"/>
  <c r="AA584" i="4"/>
  <c r="P565" i="3"/>
  <c r="X580" i="4"/>
  <c r="M570" i="3"/>
  <c r="AA566" i="3"/>
  <c r="N569" i="3"/>
  <c r="Q563" i="3"/>
  <c r="Z573" i="4"/>
  <c r="Y575" i="4"/>
  <c r="P568" i="3"/>
  <c r="Z569" i="3"/>
  <c r="X582" i="4"/>
  <c r="V565" i="3"/>
  <c r="O569" i="3"/>
  <c r="Q570" i="3"/>
  <c r="W571" i="4"/>
  <c r="Q569" i="3"/>
  <c r="V568" i="3"/>
  <c r="X577" i="4"/>
  <c r="X566" i="3"/>
  <c r="J565" i="3"/>
  <c r="N566" i="3"/>
  <c r="V580" i="4"/>
  <c r="M567" i="3"/>
  <c r="U567" i="3"/>
  <c r="J570" i="3"/>
  <c r="U573" i="4"/>
  <c r="J568" i="3"/>
  <c r="V570" i="3"/>
  <c r="AA577" i="4"/>
  <c r="Z564" i="3"/>
  <c r="N563" i="3"/>
  <c r="Z580" i="4"/>
  <c r="P566" i="3"/>
  <c r="N570" i="3"/>
  <c r="Y570" i="3"/>
  <c r="V563" i="3"/>
  <c r="J577" i="4"/>
  <c r="U564" i="3"/>
  <c r="J563" i="3"/>
  <c r="L566" i="3"/>
  <c r="P569" i="3"/>
  <c r="W580" i="4"/>
  <c r="Y567" i="3"/>
  <c r="M564" i="3"/>
  <c r="W582" i="4"/>
  <c r="X564" i="3"/>
  <c r="Y566" i="3"/>
  <c r="Y573" i="4"/>
  <c r="K570" i="3"/>
  <c r="P567" i="3"/>
  <c r="X568" i="3"/>
  <c r="Y568" i="3"/>
  <c r="AA567" i="3"/>
  <c r="O567" i="3"/>
  <c r="U565" i="3"/>
  <c r="AA568" i="3"/>
  <c r="Y564" i="3"/>
  <c r="L567" i="3"/>
  <c r="X570" i="3"/>
  <c r="V567" i="3"/>
  <c r="M563" i="3"/>
  <c r="N567" i="3"/>
  <c r="W563" i="3"/>
  <c r="W573" i="4"/>
  <c r="W565" i="3"/>
  <c r="U582" i="4"/>
  <c r="V566" i="3"/>
  <c r="J586" i="4"/>
  <c r="L563" i="3"/>
  <c r="Q567" i="3"/>
  <c r="AA580" i="4"/>
  <c r="AA564" i="3"/>
  <c r="J566" i="3"/>
  <c r="K563" i="3"/>
  <c r="M565" i="3"/>
  <c r="AA569" i="3"/>
  <c r="AA575" i="4"/>
  <c r="Z571" i="4"/>
  <c r="X575" i="4"/>
  <c r="X563" i="3"/>
  <c r="M566" i="3"/>
  <c r="J580" i="4"/>
  <c r="L565" i="3"/>
  <c r="Z584" i="4"/>
  <c r="J564" i="3"/>
  <c r="Z568" i="3"/>
  <c r="AA571" i="4"/>
  <c r="J575" i="4"/>
  <c r="L570" i="3"/>
  <c r="Z567" i="3"/>
  <c r="AA582" i="4"/>
  <c r="V573" i="4"/>
  <c r="U570" i="3"/>
  <c r="P570" i="3"/>
  <c r="W566" i="3"/>
  <c r="P564" i="3"/>
  <c r="AA565" i="3"/>
  <c r="Y571" i="4"/>
  <c r="O565" i="3"/>
  <c r="L568" i="3"/>
  <c r="Y565" i="3"/>
  <c r="K564" i="3"/>
  <c r="Z586" i="4"/>
  <c r="Y577" i="4"/>
  <c r="O570" i="3"/>
  <c r="V575" i="4"/>
  <c r="U577" i="4"/>
  <c r="AA573" i="4"/>
  <c r="AA563" i="3"/>
  <c r="Y569" i="3"/>
  <c r="X571" i="4"/>
  <c r="Q565" i="3"/>
  <c r="W568" i="3"/>
  <c r="M569" i="3"/>
  <c r="W564" i="3"/>
  <c r="U569" i="3"/>
  <c r="X565" i="3"/>
  <c r="U568" i="3"/>
  <c r="W569" i="3"/>
  <c r="R584" i="4" l="1"/>
  <c r="T584" i="4"/>
  <c r="I584" i="4"/>
  <c r="I565" i="3"/>
  <c r="S575" i="4"/>
  <c r="R580" i="4"/>
  <c r="T580" i="4"/>
  <c r="S569" i="3"/>
  <c r="R564" i="3"/>
  <c r="T564" i="3"/>
  <c r="S584" i="4"/>
  <c r="S565" i="3"/>
  <c r="R568" i="3"/>
  <c r="T568" i="3"/>
  <c r="S571" i="4"/>
  <c r="R569" i="3"/>
  <c r="T569" i="3"/>
  <c r="I570" i="3"/>
  <c r="R577" i="4"/>
  <c r="T577" i="4"/>
  <c r="S586" i="4"/>
  <c r="S563" i="3"/>
  <c r="R565" i="3"/>
  <c r="T565" i="3"/>
  <c r="S582" i="4"/>
  <c r="I582" i="4"/>
  <c r="S567" i="3"/>
  <c r="S568" i="3"/>
  <c r="R571" i="4"/>
  <c r="T571" i="4"/>
  <c r="I580" i="4"/>
  <c r="I569" i="3"/>
  <c r="T586" i="4"/>
  <c r="R586" i="4"/>
  <c r="I586" i="4"/>
  <c r="I563" i="3"/>
  <c r="T582" i="4"/>
  <c r="R582" i="4"/>
  <c r="R567" i="3"/>
  <c r="T567" i="3"/>
  <c r="S580" i="4"/>
  <c r="S570" i="3"/>
  <c r="R563" i="3"/>
  <c r="T563" i="3"/>
  <c r="R566" i="3"/>
  <c r="T566" i="3"/>
  <c r="S566" i="3"/>
  <c r="I564" i="3"/>
  <c r="S573" i="4"/>
  <c r="S564" i="3"/>
  <c r="R573" i="4"/>
  <c r="T573" i="4"/>
  <c r="T575" i="4"/>
  <c r="R575" i="4"/>
  <c r="I567" i="3"/>
  <c r="I568" i="3"/>
  <c r="R570" i="3"/>
  <c r="T570" i="3"/>
  <c r="S577" i="4"/>
  <c r="I566" i="3"/>
  <c r="G593" i="4"/>
  <c r="G589" i="4"/>
  <c r="G591" i="4"/>
  <c r="G587" i="4"/>
  <c r="G602" i="4"/>
  <c r="G600" i="4"/>
  <c r="G598" i="4"/>
  <c r="G596" i="4"/>
  <c r="G579" i="3"/>
  <c r="G581" i="3"/>
  <c r="G583" i="3"/>
  <c r="G585" i="3"/>
  <c r="G580" i="3"/>
  <c r="G582" i="3"/>
  <c r="G584" i="3"/>
  <c r="G586" i="3"/>
  <c r="AA579" i="4"/>
  <c r="K573" i="3"/>
  <c r="Y573" i="3"/>
  <c r="AA572" i="3"/>
  <c r="O575" i="3"/>
  <c r="L578" i="3"/>
  <c r="P575" i="3"/>
  <c r="AA578" i="3"/>
  <c r="X588" i="4"/>
  <c r="W585" i="4"/>
  <c r="J592" i="4"/>
  <c r="Z572" i="3"/>
  <c r="W577" i="3"/>
  <c r="Z579" i="4"/>
  <c r="P578" i="3"/>
  <c r="J575" i="3"/>
  <c r="X576" i="3"/>
  <c r="V575" i="3"/>
  <c r="V585" i="4"/>
  <c r="J583" i="4"/>
  <c r="AA577" i="3"/>
  <c r="V578" i="3"/>
  <c r="W581" i="4"/>
  <c r="P574" i="3"/>
  <c r="O576" i="3"/>
  <c r="X577" i="3"/>
  <c r="L577" i="3"/>
  <c r="X572" i="3"/>
  <c r="N573" i="3"/>
  <c r="W590" i="4"/>
  <c r="Z585" i="4"/>
  <c r="P576" i="3"/>
  <c r="J594" i="4"/>
  <c r="Q578" i="3"/>
  <c r="X581" i="4"/>
  <c r="AA573" i="3"/>
  <c r="Z575" i="3"/>
  <c r="AA594" i="4"/>
  <c r="Y572" i="3"/>
  <c r="N578" i="3"/>
  <c r="W588" i="4"/>
  <c r="W592" i="4"/>
  <c r="X592" i="4"/>
  <c r="Y592" i="4"/>
  <c r="W594" i="4"/>
  <c r="N577" i="3"/>
  <c r="Q575" i="3"/>
  <c r="Q574" i="3"/>
  <c r="U572" i="3"/>
  <c r="Q573" i="3"/>
  <c r="Q576" i="3"/>
  <c r="J585" i="4"/>
  <c r="L576" i="3"/>
  <c r="AA590" i="4"/>
  <c r="V573" i="3"/>
  <c r="V576" i="3"/>
  <c r="W575" i="3"/>
  <c r="U577" i="3"/>
  <c r="L574" i="3"/>
  <c r="N574" i="3"/>
  <c r="X571" i="3"/>
  <c r="W576" i="3"/>
  <c r="Y579" i="4"/>
  <c r="Z571" i="3"/>
  <c r="J590" i="4"/>
  <c r="X583" i="4"/>
  <c r="V583" i="4"/>
  <c r="AA571" i="3"/>
  <c r="V592" i="4"/>
  <c r="O577" i="3"/>
  <c r="O578" i="3"/>
  <c r="Y594" i="4"/>
  <c r="U581" i="4"/>
  <c r="AA585" i="4"/>
  <c r="P572" i="3"/>
  <c r="L573" i="3"/>
  <c r="AA583" i="4"/>
  <c r="X594" i="4"/>
  <c r="X575" i="3"/>
  <c r="U575" i="3"/>
  <c r="AA576" i="3"/>
  <c r="Z588" i="4"/>
  <c r="L575" i="3"/>
  <c r="N576" i="3"/>
  <c r="AA575" i="3"/>
  <c r="K571" i="3"/>
  <c r="Q571" i="3"/>
  <c r="X573" i="3"/>
  <c r="Z574" i="3"/>
  <c r="Y588" i="4"/>
  <c r="O574" i="3"/>
  <c r="V579" i="4"/>
  <c r="Y590" i="4"/>
  <c r="M573" i="3"/>
  <c r="Z590" i="4"/>
  <c r="V581" i="4"/>
  <c r="Y575" i="3"/>
  <c r="Z592" i="4"/>
  <c r="U583" i="4"/>
  <c r="U571" i="3"/>
  <c r="Z583" i="4"/>
  <c r="K576" i="3"/>
  <c r="U576" i="3"/>
  <c r="W583" i="4"/>
  <c r="K574" i="3"/>
  <c r="N571" i="3"/>
  <c r="K578" i="3"/>
  <c r="W574" i="3"/>
  <c r="Z576" i="3"/>
  <c r="Z581" i="4"/>
  <c r="K577" i="3"/>
  <c r="Y581" i="4"/>
  <c r="Y577" i="3"/>
  <c r="X578" i="3"/>
  <c r="J574" i="3"/>
  <c r="P573" i="3"/>
  <c r="M575" i="3"/>
  <c r="V571" i="3"/>
  <c r="N575" i="3"/>
  <c r="X585" i="4"/>
  <c r="L571" i="3"/>
  <c r="K572" i="3"/>
  <c r="M578" i="3"/>
  <c r="J573" i="3"/>
  <c r="J581" i="4"/>
  <c r="AA581" i="4"/>
  <c r="Z577" i="3"/>
  <c r="M572" i="3"/>
  <c r="W579" i="4"/>
  <c r="O573" i="3"/>
  <c r="U578" i="3"/>
  <c r="W572" i="3"/>
  <c r="V594" i="4"/>
  <c r="J577" i="3"/>
  <c r="O572" i="3"/>
  <c r="M574" i="3"/>
  <c r="Y574" i="3"/>
  <c r="Z573" i="3"/>
  <c r="N572" i="3"/>
  <c r="L572" i="3"/>
  <c r="V577" i="3"/>
  <c r="Q577" i="3"/>
  <c r="U574" i="3"/>
  <c r="Q572" i="3"/>
  <c r="V574" i="3"/>
  <c r="V572" i="3"/>
  <c r="P571" i="3"/>
  <c r="U579" i="4"/>
  <c r="AA588" i="4"/>
  <c r="X574" i="3"/>
  <c r="J572" i="3"/>
  <c r="K575" i="3"/>
  <c r="W578" i="3"/>
  <c r="Z594" i="4"/>
  <c r="Y571" i="3"/>
  <c r="V588" i="4"/>
  <c r="M571" i="3"/>
  <c r="J578" i="3"/>
  <c r="Z578" i="3"/>
  <c r="J588" i="4"/>
  <c r="M577" i="3"/>
  <c r="P577" i="3"/>
  <c r="X579" i="4"/>
  <c r="W571" i="3"/>
  <c r="M576" i="3"/>
  <c r="X590" i="4"/>
  <c r="AA592" i="4"/>
  <c r="Y578" i="3"/>
  <c r="W573" i="3"/>
  <c r="U573" i="3"/>
  <c r="Y583" i="4"/>
  <c r="J571" i="3"/>
  <c r="J576" i="3"/>
  <c r="J579" i="4"/>
  <c r="AA574" i="3"/>
  <c r="V590" i="4"/>
  <c r="Y585" i="4"/>
  <c r="Y576" i="3"/>
  <c r="O571" i="3"/>
  <c r="T579" i="4" l="1"/>
  <c r="R579" i="4"/>
  <c r="S585" i="4"/>
  <c r="R577" i="3"/>
  <c r="T577" i="3"/>
  <c r="S572" i="3"/>
  <c r="S578" i="3"/>
  <c r="R585" i="4"/>
  <c r="T585" i="4"/>
  <c r="R571" i="3"/>
  <c r="T571" i="3"/>
  <c r="I579" i="4"/>
  <c r="S594" i="4"/>
  <c r="R578" i="3"/>
  <c r="T578" i="3"/>
  <c r="S588" i="4"/>
  <c r="I583" i="4"/>
  <c r="S575" i="3"/>
  <c r="I592" i="4"/>
  <c r="R581" i="4"/>
  <c r="T581" i="4"/>
  <c r="S574" i="3"/>
  <c r="S579" i="4"/>
  <c r="T594" i="4"/>
  <c r="R594" i="4"/>
  <c r="R588" i="4"/>
  <c r="T588" i="4"/>
  <c r="I588" i="4"/>
  <c r="S590" i="4"/>
  <c r="S583" i="4"/>
  <c r="S576" i="3"/>
  <c r="T576" i="3"/>
  <c r="R576" i="3"/>
  <c r="S592" i="4"/>
  <c r="R574" i="3"/>
  <c r="T574" i="3"/>
  <c r="R573" i="3"/>
  <c r="T573" i="3"/>
  <c r="S573" i="3"/>
  <c r="I594" i="4"/>
  <c r="T590" i="4"/>
  <c r="R590" i="4"/>
  <c r="T583" i="4"/>
  <c r="R583" i="4"/>
  <c r="R575" i="3"/>
  <c r="T575" i="3"/>
  <c r="T592" i="4"/>
  <c r="R592" i="4"/>
  <c r="I585" i="4"/>
  <c r="S571" i="3"/>
  <c r="S577" i="3"/>
  <c r="T572" i="3"/>
  <c r="R572" i="3"/>
  <c r="I590" i="4"/>
  <c r="S581" i="4"/>
  <c r="I581" i="4"/>
  <c r="G604" i="4"/>
  <c r="G606" i="4"/>
  <c r="G608" i="4"/>
  <c r="G610" i="4"/>
  <c r="G595" i="4"/>
  <c r="G599" i="4"/>
  <c r="G597" i="4"/>
  <c r="G601" i="4"/>
  <c r="G594" i="3"/>
  <c r="G592" i="3"/>
  <c r="G590" i="3"/>
  <c r="G588" i="3"/>
  <c r="G593" i="3"/>
  <c r="G591" i="3"/>
  <c r="G589" i="3"/>
  <c r="G587" i="3"/>
  <c r="V591" i="4"/>
  <c r="X589" i="4"/>
  <c r="L579" i="3"/>
  <c r="Y593" i="4"/>
  <c r="Z581" i="3"/>
  <c r="AA587" i="4"/>
  <c r="L580" i="3"/>
  <c r="W584" i="3"/>
  <c r="U579" i="3"/>
  <c r="Z579" i="3"/>
  <c r="V585" i="3"/>
  <c r="Y586" i="3"/>
  <c r="L582" i="3"/>
  <c r="O583" i="3"/>
  <c r="J589" i="4"/>
  <c r="M579" i="3"/>
  <c r="J600" i="4"/>
  <c r="Z582" i="3"/>
  <c r="M582" i="3"/>
  <c r="Q581" i="3"/>
  <c r="AA579" i="3"/>
  <c r="Y584" i="3"/>
  <c r="J596" i="4"/>
  <c r="Z600" i="4"/>
  <c r="M580" i="3"/>
  <c r="X602" i="4"/>
  <c r="AA600" i="4"/>
  <c r="O580" i="3"/>
  <c r="W602" i="4"/>
  <c r="AA593" i="4"/>
  <c r="W580" i="3"/>
  <c r="AA589" i="4"/>
  <c r="V583" i="3"/>
  <c r="L586" i="3"/>
  <c r="V596" i="4"/>
  <c r="X600" i="4"/>
  <c r="J581" i="3"/>
  <c r="N580" i="3"/>
  <c r="L584" i="3"/>
  <c r="Q586" i="3"/>
  <c r="N586" i="3"/>
  <c r="Y600" i="4"/>
  <c r="K585" i="3"/>
  <c r="AA591" i="4"/>
  <c r="V598" i="4"/>
  <c r="Y580" i="3"/>
  <c r="K586" i="3"/>
  <c r="K581" i="3"/>
  <c r="Z593" i="4"/>
  <c r="Z589" i="4"/>
  <c r="M584" i="3"/>
  <c r="Q582" i="3"/>
  <c r="V582" i="3"/>
  <c r="O585" i="3"/>
  <c r="X581" i="3"/>
  <c r="W585" i="3"/>
  <c r="L583" i="3"/>
  <c r="M586" i="3"/>
  <c r="Q579" i="3"/>
  <c r="U580" i="3"/>
  <c r="W582" i="3"/>
  <c r="V593" i="4"/>
  <c r="X584" i="3"/>
  <c r="X596" i="4"/>
  <c r="AA585" i="3"/>
  <c r="AA582" i="3"/>
  <c r="W591" i="4"/>
  <c r="V602" i="4"/>
  <c r="N585" i="3"/>
  <c r="AA583" i="3"/>
  <c r="W589" i="4"/>
  <c r="X593" i="4"/>
  <c r="Z598" i="4"/>
  <c r="V579" i="3"/>
  <c r="O582" i="3"/>
  <c r="W596" i="4"/>
  <c r="AA586" i="3"/>
  <c r="Q584" i="3"/>
  <c r="Y579" i="3"/>
  <c r="X598" i="4"/>
  <c r="Z583" i="3"/>
  <c r="U583" i="3"/>
  <c r="J579" i="3"/>
  <c r="P581" i="3"/>
  <c r="J583" i="3"/>
  <c r="X587" i="4"/>
  <c r="Z584" i="3"/>
  <c r="Z586" i="3"/>
  <c r="W579" i="3"/>
  <c r="Z602" i="4"/>
  <c r="V587" i="4"/>
  <c r="W600" i="4"/>
  <c r="Y581" i="3"/>
  <c r="Y587" i="4"/>
  <c r="AA598" i="4"/>
  <c r="P580" i="3"/>
  <c r="J582" i="3"/>
  <c r="Q585" i="3"/>
  <c r="X580" i="3"/>
  <c r="Z585" i="3"/>
  <c r="W593" i="4"/>
  <c r="P579" i="3"/>
  <c r="O581" i="3"/>
  <c r="X582" i="3"/>
  <c r="N579" i="3"/>
  <c r="AA602" i="4"/>
  <c r="Y589" i="4"/>
  <c r="N582" i="3"/>
  <c r="N584" i="3"/>
  <c r="Y596" i="4"/>
  <c r="M585" i="3"/>
  <c r="Y591" i="4"/>
  <c r="Y583" i="3"/>
  <c r="U586" i="3"/>
  <c r="Y582" i="3"/>
  <c r="J598" i="4"/>
  <c r="Q580" i="3"/>
  <c r="P583" i="3"/>
  <c r="J586" i="3"/>
  <c r="J587" i="4"/>
  <c r="L585" i="3"/>
  <c r="K582" i="3"/>
  <c r="Y598" i="4"/>
  <c r="V580" i="3"/>
  <c r="O579" i="3"/>
  <c r="W583" i="3"/>
  <c r="J585" i="3"/>
  <c r="V589" i="4"/>
  <c r="Y602" i="4"/>
  <c r="K580" i="3"/>
  <c r="AA580" i="3"/>
  <c r="W598" i="4"/>
  <c r="W586" i="3"/>
  <c r="O584" i="3"/>
  <c r="N583" i="3"/>
  <c r="K583" i="3"/>
  <c r="K584" i="3"/>
  <c r="M581" i="3"/>
  <c r="AA596" i="4"/>
  <c r="K579" i="3"/>
  <c r="AA584" i="3"/>
  <c r="Y585" i="3"/>
  <c r="N581" i="3"/>
  <c r="V586" i="3"/>
  <c r="P586" i="3"/>
  <c r="X586" i="3"/>
  <c r="W587" i="4"/>
  <c r="U585" i="3"/>
  <c r="X579" i="3"/>
  <c r="U582" i="3"/>
  <c r="J593" i="4"/>
  <c r="Z580" i="3"/>
  <c r="U581" i="3"/>
  <c r="X591" i="4"/>
  <c r="M583" i="3"/>
  <c r="Z596" i="4"/>
  <c r="Q583" i="3"/>
  <c r="Z591" i="4"/>
  <c r="O586" i="3"/>
  <c r="V584" i="3"/>
  <c r="J602" i="4"/>
  <c r="V600" i="4"/>
  <c r="U584" i="3"/>
  <c r="W581" i="3"/>
  <c r="V581" i="3"/>
  <c r="P585" i="3"/>
  <c r="L581" i="3"/>
  <c r="X583" i="3"/>
  <c r="J591" i="4"/>
  <c r="X585" i="3"/>
  <c r="J580" i="3"/>
  <c r="P584" i="3"/>
  <c r="Z587" i="4"/>
  <c r="AA581" i="3"/>
  <c r="J584" i="3"/>
  <c r="P582" i="3"/>
  <c r="T602" i="4" l="1"/>
  <c r="R602" i="4"/>
  <c r="S580" i="3"/>
  <c r="I591" i="4"/>
  <c r="T598" i="4"/>
  <c r="R598" i="4"/>
  <c r="I584" i="3"/>
  <c r="S589" i="4"/>
  <c r="R596" i="4"/>
  <c r="T596" i="4"/>
  <c r="S582" i="3"/>
  <c r="S591" i="4"/>
  <c r="R589" i="4"/>
  <c r="T589" i="4"/>
  <c r="R583" i="3"/>
  <c r="T583" i="3"/>
  <c r="R585" i="3"/>
  <c r="T585" i="3"/>
  <c r="S593" i="4"/>
  <c r="I602" i="4"/>
  <c r="S579" i="3"/>
  <c r="I579" i="3"/>
  <c r="I580" i="3"/>
  <c r="S600" i="4"/>
  <c r="I582" i="3"/>
  <c r="R582" i="3"/>
  <c r="T582" i="3"/>
  <c r="T591" i="4"/>
  <c r="R591" i="4"/>
  <c r="R586" i="3"/>
  <c r="T586" i="3"/>
  <c r="S586" i="3"/>
  <c r="I600" i="4"/>
  <c r="I589" i="4"/>
  <c r="R581" i="3"/>
  <c r="T581" i="3"/>
  <c r="I581" i="3"/>
  <c r="S583" i="3"/>
  <c r="S585" i="3"/>
  <c r="I596" i="4"/>
  <c r="I593" i="4"/>
  <c r="R593" i="4"/>
  <c r="T593" i="4"/>
  <c r="R579" i="3"/>
  <c r="T579" i="3"/>
  <c r="T580" i="3"/>
  <c r="R580" i="3"/>
  <c r="R600" i="4"/>
  <c r="T600" i="4"/>
  <c r="S584" i="3"/>
  <c r="R584" i="3"/>
  <c r="T584" i="3"/>
  <c r="S587" i="4"/>
  <c r="I587" i="4"/>
  <c r="I586" i="3"/>
  <c r="S581" i="3"/>
  <c r="I583" i="3"/>
  <c r="I585" i="3"/>
  <c r="S596" i="4"/>
  <c r="S602" i="4"/>
  <c r="S598" i="4"/>
  <c r="I598" i="4"/>
  <c r="R587" i="4"/>
  <c r="T587" i="4"/>
  <c r="G609" i="4"/>
  <c r="G605" i="4"/>
  <c r="G607" i="4"/>
  <c r="G603" i="4"/>
  <c r="G618" i="4"/>
  <c r="G616" i="4"/>
  <c r="G614" i="4"/>
  <c r="G612" i="4"/>
  <c r="G595" i="3"/>
  <c r="G597" i="3"/>
  <c r="G599" i="3"/>
  <c r="G601" i="3"/>
  <c r="G596" i="3"/>
  <c r="G598" i="3"/>
  <c r="G600" i="3"/>
  <c r="G602" i="3"/>
  <c r="N587" i="3"/>
  <c r="U591" i="3"/>
  <c r="U588" i="3"/>
  <c r="Y590" i="3"/>
  <c r="Y599" i="4"/>
  <c r="AA591" i="3"/>
  <c r="Y594" i="3"/>
  <c r="AA601" i="4"/>
  <c r="V599" i="4"/>
  <c r="W601" i="4"/>
  <c r="Y595" i="4"/>
  <c r="J589" i="3"/>
  <c r="W587" i="3"/>
  <c r="X604" i="4"/>
  <c r="X606" i="4"/>
  <c r="Z601" i="4"/>
  <c r="W591" i="3"/>
  <c r="P592" i="3"/>
  <c r="N592" i="3"/>
  <c r="O592" i="3"/>
  <c r="W594" i="3"/>
  <c r="K590" i="3"/>
  <c r="V590" i="3"/>
  <c r="Y587" i="3"/>
  <c r="AA606" i="4"/>
  <c r="P594" i="3"/>
  <c r="P593" i="3"/>
  <c r="Z597" i="4"/>
  <c r="U594" i="3"/>
  <c r="Q591" i="3"/>
  <c r="Z608" i="4"/>
  <c r="V597" i="4"/>
  <c r="U593" i="3"/>
  <c r="Y606" i="4"/>
  <c r="Q594" i="3"/>
  <c r="Q593" i="3"/>
  <c r="AA592" i="3"/>
  <c r="W608" i="4"/>
  <c r="Z599" i="4"/>
  <c r="J595" i="4"/>
  <c r="L589" i="3"/>
  <c r="J592" i="3"/>
  <c r="M591" i="3"/>
  <c r="V588" i="3"/>
  <c r="L593" i="3"/>
  <c r="O588" i="3"/>
  <c r="Z591" i="3"/>
  <c r="Y604" i="4"/>
  <c r="W589" i="3"/>
  <c r="O591" i="3"/>
  <c r="Q587" i="3"/>
  <c r="L587" i="3"/>
  <c r="J610" i="4"/>
  <c r="Y593" i="3"/>
  <c r="Z589" i="3"/>
  <c r="Q590" i="3"/>
  <c r="L592" i="3"/>
  <c r="J597" i="4"/>
  <c r="M587" i="3"/>
  <c r="Z606" i="4"/>
  <c r="V610" i="4"/>
  <c r="O587" i="3"/>
  <c r="Q592" i="3"/>
  <c r="AA590" i="3"/>
  <c r="N588" i="3"/>
  <c r="Y592" i="3"/>
  <c r="M592" i="3"/>
  <c r="X587" i="3"/>
  <c r="AA604" i="4"/>
  <c r="V608" i="4"/>
  <c r="V604" i="4"/>
  <c r="V591" i="3"/>
  <c r="V592" i="3"/>
  <c r="V601" i="4"/>
  <c r="J591" i="3"/>
  <c r="Y588" i="3"/>
  <c r="AA587" i="3"/>
  <c r="Y608" i="4"/>
  <c r="AA589" i="3"/>
  <c r="K588" i="3"/>
  <c r="P588" i="3"/>
  <c r="J594" i="3"/>
  <c r="Y591" i="3"/>
  <c r="X592" i="3"/>
  <c r="P591" i="3"/>
  <c r="K591" i="3"/>
  <c r="O593" i="3"/>
  <c r="L594" i="3"/>
  <c r="M594" i="3"/>
  <c r="Z588" i="3"/>
  <c r="N590" i="3"/>
  <c r="X610" i="4"/>
  <c r="Z610" i="4"/>
  <c r="Y589" i="3"/>
  <c r="AA593" i="3"/>
  <c r="W597" i="4"/>
  <c r="AA595" i="4"/>
  <c r="Y597" i="4"/>
  <c r="V595" i="4"/>
  <c r="V587" i="3"/>
  <c r="O590" i="3"/>
  <c r="Z593" i="3"/>
  <c r="X597" i="4"/>
  <c r="P589" i="3"/>
  <c r="AA599" i="4"/>
  <c r="J608" i="4"/>
  <c r="K594" i="3"/>
  <c r="W592" i="3"/>
  <c r="X588" i="3"/>
  <c r="W606" i="4"/>
  <c r="J599" i="4"/>
  <c r="K589" i="3"/>
  <c r="K592" i="3"/>
  <c r="V589" i="3"/>
  <c r="Y610" i="4"/>
  <c r="Z587" i="3"/>
  <c r="V593" i="3"/>
  <c r="X590" i="3"/>
  <c r="L590" i="3"/>
  <c r="U592" i="3"/>
  <c r="X601" i="4"/>
  <c r="N591" i="3"/>
  <c r="AA597" i="4"/>
  <c r="W604" i="4"/>
  <c r="L588" i="3"/>
  <c r="J590" i="3"/>
  <c r="AA610" i="4"/>
  <c r="W599" i="4"/>
  <c r="J604" i="4"/>
  <c r="W610" i="4"/>
  <c r="J601" i="4"/>
  <c r="X589" i="3"/>
  <c r="P590" i="3"/>
  <c r="W593" i="3"/>
  <c r="M593" i="3"/>
  <c r="J587" i="3"/>
  <c r="AA608" i="4"/>
  <c r="Z594" i="3"/>
  <c r="O594" i="3"/>
  <c r="AA588" i="3"/>
  <c r="Z590" i="3"/>
  <c r="M589" i="3"/>
  <c r="W595" i="4"/>
  <c r="Q589" i="3"/>
  <c r="Q588" i="3"/>
  <c r="Z592" i="3"/>
  <c r="V606" i="4"/>
  <c r="J588" i="3"/>
  <c r="K587" i="3"/>
  <c r="J593" i="3"/>
  <c r="X595" i="4"/>
  <c r="U589" i="3"/>
  <c r="N593" i="3"/>
  <c r="W588" i="3"/>
  <c r="Y601" i="4"/>
  <c r="P587" i="3"/>
  <c r="U587" i="3"/>
  <c r="M588" i="3"/>
  <c r="J606" i="4"/>
  <c r="M590" i="3"/>
  <c r="Z604" i="4"/>
  <c r="O589" i="3"/>
  <c r="X591" i="3"/>
  <c r="X608" i="4"/>
  <c r="Z595" i="4"/>
  <c r="X593" i="3"/>
  <c r="U590" i="3"/>
  <c r="K593" i="3"/>
  <c r="W590" i="3"/>
  <c r="L591" i="3"/>
  <c r="N589" i="3"/>
  <c r="AA594" i="3"/>
  <c r="V594" i="3"/>
  <c r="X599" i="4"/>
  <c r="X594" i="3"/>
  <c r="N594" i="3"/>
  <c r="T595" i="4" l="1"/>
  <c r="R595" i="4"/>
  <c r="S594" i="3"/>
  <c r="S610" i="4"/>
  <c r="T606" i="4"/>
  <c r="R606" i="4"/>
  <c r="R604" i="4"/>
  <c r="T604" i="4"/>
  <c r="T610" i="4"/>
  <c r="R610" i="4"/>
  <c r="I599" i="4"/>
  <c r="R597" i="4"/>
  <c r="T597" i="4"/>
  <c r="I595" i="4"/>
  <c r="I594" i="3"/>
  <c r="R594" i="3"/>
  <c r="T594" i="3"/>
  <c r="R593" i="3"/>
  <c r="T593" i="3"/>
  <c r="I591" i="3"/>
  <c r="R601" i="4"/>
  <c r="T601" i="4"/>
  <c r="T588" i="3"/>
  <c r="R588" i="3"/>
  <c r="I587" i="3"/>
  <c r="I593" i="3"/>
  <c r="S593" i="3"/>
  <c r="S606" i="4"/>
  <c r="S599" i="4"/>
  <c r="S592" i="3"/>
  <c r="I592" i="3"/>
  <c r="S591" i="3"/>
  <c r="S590" i="3"/>
  <c r="I601" i="4"/>
  <c r="I589" i="3"/>
  <c r="S589" i="3"/>
  <c r="R587" i="3"/>
  <c r="T587" i="3"/>
  <c r="S595" i="4"/>
  <c r="T599" i="4"/>
  <c r="R599" i="4"/>
  <c r="R592" i="3"/>
  <c r="T592" i="3"/>
  <c r="R591" i="3"/>
  <c r="T591" i="3"/>
  <c r="S608" i="4"/>
  <c r="S597" i="4"/>
  <c r="I597" i="4"/>
  <c r="I590" i="3"/>
  <c r="S588" i="3"/>
  <c r="S604" i="4"/>
  <c r="T608" i="4"/>
  <c r="R608" i="4"/>
  <c r="R590" i="3"/>
  <c r="T590" i="3"/>
  <c r="S601" i="4"/>
  <c r="R589" i="3"/>
  <c r="T589" i="3"/>
  <c r="I588" i="3"/>
  <c r="S587" i="3"/>
  <c r="G620" i="4"/>
  <c r="G622" i="4"/>
  <c r="G624" i="4"/>
  <c r="G626" i="4"/>
  <c r="G611" i="4"/>
  <c r="G615" i="4"/>
  <c r="G613" i="4"/>
  <c r="G617" i="4"/>
  <c r="G610" i="3"/>
  <c r="G608" i="3"/>
  <c r="G606" i="3"/>
  <c r="G604" i="3"/>
  <c r="G609" i="3"/>
  <c r="G607" i="3"/>
  <c r="G605" i="3"/>
  <c r="G603" i="3"/>
  <c r="N599" i="3"/>
  <c r="U601" i="3"/>
  <c r="J612" i="4"/>
  <c r="Y612" i="4"/>
  <c r="Z601" i="3"/>
  <c r="W614" i="4"/>
  <c r="Z595" i="3"/>
  <c r="V598" i="3"/>
  <c r="V600" i="3"/>
  <c r="Y609" i="4"/>
  <c r="L602" i="3"/>
  <c r="K597" i="3"/>
  <c r="M597" i="3"/>
  <c r="V599" i="3"/>
  <c r="M596" i="3"/>
  <c r="Y600" i="3"/>
  <c r="M601" i="3"/>
  <c r="J600" i="3"/>
  <c r="Q601" i="3"/>
  <c r="Y601" i="3"/>
  <c r="AA618" i="4"/>
  <c r="Q595" i="3"/>
  <c r="W598" i="3"/>
  <c r="L595" i="3"/>
  <c r="V609" i="4"/>
  <c r="O596" i="3"/>
  <c r="V603" i="4"/>
  <c r="V614" i="4"/>
  <c r="Z602" i="3"/>
  <c r="P602" i="3"/>
  <c r="W616" i="4"/>
  <c r="AA612" i="4"/>
  <c r="W599" i="3"/>
  <c r="Y598" i="3"/>
  <c r="X607" i="4"/>
  <c r="Z609" i="4"/>
  <c r="AA601" i="3"/>
  <c r="V605" i="4"/>
  <c r="X595" i="3"/>
  <c r="K602" i="3"/>
  <c r="O600" i="3"/>
  <c r="AA609" i="4"/>
  <c r="W618" i="4"/>
  <c r="L599" i="3"/>
  <c r="U602" i="3"/>
  <c r="Q598" i="3"/>
  <c r="AA603" i="4"/>
  <c r="Z612" i="4"/>
  <c r="X603" i="4"/>
  <c r="AA596" i="3"/>
  <c r="J596" i="3"/>
  <c r="L600" i="3"/>
  <c r="J598" i="3"/>
  <c r="Y618" i="4"/>
  <c r="AA607" i="4"/>
  <c r="O602" i="3"/>
  <c r="Q602" i="3"/>
  <c r="N602" i="3"/>
  <c r="W600" i="3"/>
  <c r="M595" i="3"/>
  <c r="AA598" i="3"/>
  <c r="J601" i="3"/>
  <c r="W609" i="4"/>
  <c r="AA595" i="3"/>
  <c r="W601" i="3"/>
  <c r="AA605" i="4"/>
  <c r="AA599" i="3"/>
  <c r="Q600" i="3"/>
  <c r="AA602" i="3"/>
  <c r="Y599" i="3"/>
  <c r="Y602" i="3"/>
  <c r="V616" i="4"/>
  <c r="L597" i="3"/>
  <c r="U600" i="3"/>
  <c r="Q597" i="3"/>
  <c r="J605" i="4"/>
  <c r="J607" i="4"/>
  <c r="K595" i="3"/>
  <c r="X614" i="4"/>
  <c r="X597" i="3"/>
  <c r="M602" i="3"/>
  <c r="X602" i="3"/>
  <c r="K601" i="3"/>
  <c r="J618" i="4"/>
  <c r="AA597" i="3"/>
  <c r="N597" i="3"/>
  <c r="M598" i="3"/>
  <c r="Y595" i="3"/>
  <c r="J614" i="4"/>
  <c r="Z596" i="3"/>
  <c r="O599" i="3"/>
  <c r="X605" i="4"/>
  <c r="X598" i="3"/>
  <c r="L596" i="3"/>
  <c r="O597" i="3"/>
  <c r="X599" i="3"/>
  <c r="J603" i="4"/>
  <c r="L598" i="3"/>
  <c r="V595" i="3"/>
  <c r="Y597" i="3"/>
  <c r="Z600" i="3"/>
  <c r="P597" i="3"/>
  <c r="X600" i="3"/>
  <c r="Z607" i="4"/>
  <c r="Z599" i="3"/>
  <c r="Z597" i="3"/>
  <c r="M600" i="3"/>
  <c r="V601" i="3"/>
  <c r="Z618" i="4"/>
  <c r="W597" i="3"/>
  <c r="V618" i="4"/>
  <c r="Y607" i="4"/>
  <c r="AA614" i="4"/>
  <c r="W596" i="3"/>
  <c r="U599" i="3"/>
  <c r="W603" i="4"/>
  <c r="W595" i="3"/>
  <c r="P595" i="3"/>
  <c r="Y603" i="4"/>
  <c r="W612" i="4"/>
  <c r="Y596" i="3"/>
  <c r="J602" i="3"/>
  <c r="K596" i="3"/>
  <c r="V607" i="4"/>
  <c r="J597" i="3"/>
  <c r="N595" i="3"/>
  <c r="O595" i="3"/>
  <c r="V602" i="3"/>
  <c r="W602" i="3"/>
  <c r="U595" i="3"/>
  <c r="P600" i="3"/>
  <c r="AA600" i="3"/>
  <c r="K599" i="3"/>
  <c r="V612" i="4"/>
  <c r="X612" i="4"/>
  <c r="N600" i="3"/>
  <c r="Y616" i="4"/>
  <c r="V597" i="3"/>
  <c r="O598" i="3"/>
  <c r="J595" i="3"/>
  <c r="X596" i="3"/>
  <c r="K600" i="3"/>
  <c r="P598" i="3"/>
  <c r="L601" i="3"/>
  <c r="X601" i="3"/>
  <c r="X616" i="4"/>
  <c r="O601" i="3"/>
  <c r="U596" i="3"/>
  <c r="N601" i="3"/>
  <c r="V596" i="3"/>
  <c r="M599" i="3"/>
  <c r="J599" i="3"/>
  <c r="Z614" i="4"/>
  <c r="U597" i="3"/>
  <c r="P596" i="3"/>
  <c r="J609" i="4"/>
  <c r="U598" i="3"/>
  <c r="X609" i="4"/>
  <c r="Z603" i="4"/>
  <c r="Y614" i="4"/>
  <c r="N598" i="3"/>
  <c r="AA616" i="4"/>
  <c r="J616" i="4"/>
  <c r="Y605" i="4"/>
  <c r="W605" i="4"/>
  <c r="Z616" i="4"/>
  <c r="W607" i="4"/>
  <c r="P601" i="3"/>
  <c r="P599" i="3"/>
  <c r="X618" i="4"/>
  <c r="N596" i="3"/>
  <c r="K598" i="3"/>
  <c r="Z598" i="3"/>
  <c r="Q599" i="3"/>
  <c r="Z605" i="4"/>
  <c r="Q596" i="3"/>
  <c r="S596" i="3" l="1"/>
  <c r="I618" i="4"/>
  <c r="S598" i="3"/>
  <c r="S600" i="3"/>
  <c r="R603" i="4"/>
  <c r="T603" i="4"/>
  <c r="S612" i="4"/>
  <c r="R601" i="3"/>
  <c r="T601" i="3"/>
  <c r="S602" i="3"/>
  <c r="S614" i="4"/>
  <c r="I600" i="3"/>
  <c r="R605" i="4"/>
  <c r="T605" i="4"/>
  <c r="R612" i="4"/>
  <c r="T612" i="4"/>
  <c r="I601" i="3"/>
  <c r="I602" i="3"/>
  <c r="I597" i="3"/>
  <c r="R599" i="3"/>
  <c r="T599" i="3"/>
  <c r="S609" i="4"/>
  <c r="R596" i="3"/>
  <c r="T596" i="3"/>
  <c r="T614" i="4"/>
  <c r="R614" i="4"/>
  <c r="S616" i="4"/>
  <c r="I612" i="4"/>
  <c r="S601" i="3"/>
  <c r="R595" i="3"/>
  <c r="T595" i="3"/>
  <c r="S595" i="3"/>
  <c r="S607" i="4"/>
  <c r="I599" i="3"/>
  <c r="I596" i="3"/>
  <c r="R600" i="3"/>
  <c r="T600" i="3"/>
  <c r="R616" i="4"/>
  <c r="T616" i="4"/>
  <c r="S603" i="4"/>
  <c r="R602" i="3"/>
  <c r="T602" i="3"/>
  <c r="R597" i="3"/>
  <c r="T597" i="3"/>
  <c r="S597" i="3"/>
  <c r="T607" i="4"/>
  <c r="R607" i="4"/>
  <c r="I598" i="3"/>
  <c r="R609" i="4"/>
  <c r="T609" i="4"/>
  <c r="S618" i="4"/>
  <c r="T618" i="4"/>
  <c r="R618" i="4"/>
  <c r="R598" i="3"/>
  <c r="T598" i="3"/>
  <c r="I614" i="4"/>
  <c r="S605" i="4"/>
  <c r="I616" i="4"/>
  <c r="I595" i="3"/>
  <c r="S599" i="3"/>
  <c r="G625" i="4"/>
  <c r="G621" i="4"/>
  <c r="G623" i="4"/>
  <c r="G619" i="4"/>
  <c r="G634" i="4"/>
  <c r="G632" i="4"/>
  <c r="G630" i="4"/>
  <c r="G628" i="4"/>
  <c r="G611" i="3"/>
  <c r="G613" i="3"/>
  <c r="G615" i="3"/>
  <c r="G617" i="3"/>
  <c r="G612" i="3"/>
  <c r="G614" i="3"/>
  <c r="G616" i="3"/>
  <c r="G618" i="3"/>
  <c r="N606" i="3"/>
  <c r="L606" i="3"/>
  <c r="U609" i="3"/>
  <c r="Z620" i="4"/>
  <c r="AA617" i="4"/>
  <c r="P609" i="3"/>
  <c r="J615" i="4"/>
  <c r="Y615" i="4"/>
  <c r="W603" i="3"/>
  <c r="O610" i="3"/>
  <c r="J617" i="4"/>
  <c r="W613" i="4"/>
  <c r="J620" i="4"/>
  <c r="J608" i="3"/>
  <c r="U605" i="3"/>
  <c r="Y626" i="4"/>
  <c r="AA611" i="4"/>
  <c r="U603" i="3"/>
  <c r="L605" i="3"/>
  <c r="W626" i="4"/>
  <c r="AA607" i="3"/>
  <c r="Y622" i="4"/>
  <c r="L607" i="3"/>
  <c r="AA605" i="3"/>
  <c r="O608" i="3"/>
  <c r="U606" i="3"/>
  <c r="N603" i="3"/>
  <c r="Y610" i="3"/>
  <c r="Y609" i="3"/>
  <c r="X603" i="3"/>
  <c r="X604" i="3"/>
  <c r="X613" i="4"/>
  <c r="Y620" i="4"/>
  <c r="J610" i="3"/>
  <c r="X615" i="4"/>
  <c r="Y607" i="3"/>
  <c r="Y624" i="4"/>
  <c r="K610" i="3"/>
  <c r="V605" i="3"/>
  <c r="N605" i="3"/>
  <c r="U608" i="3"/>
  <c r="P603" i="3"/>
  <c r="X620" i="4"/>
  <c r="V624" i="4"/>
  <c r="Q606" i="3"/>
  <c r="Y604" i="3"/>
  <c r="Q603" i="3"/>
  <c r="AA624" i="4"/>
  <c r="Z608" i="3"/>
  <c r="W606" i="3"/>
  <c r="Y608" i="3"/>
  <c r="V620" i="4"/>
  <c r="W609" i="3"/>
  <c r="K603" i="3"/>
  <c r="Q609" i="3"/>
  <c r="O604" i="3"/>
  <c r="X610" i="3"/>
  <c r="K605" i="3"/>
  <c r="J624" i="4"/>
  <c r="P606" i="3"/>
  <c r="Z604" i="3"/>
  <c r="Z617" i="4"/>
  <c r="Y613" i="4"/>
  <c r="J607" i="3"/>
  <c r="L610" i="3"/>
  <c r="Q605" i="3"/>
  <c r="W607" i="3"/>
  <c r="W624" i="4"/>
  <c r="M607" i="3"/>
  <c r="K607" i="3"/>
  <c r="AA606" i="3"/>
  <c r="Q610" i="3"/>
  <c r="L609" i="3"/>
  <c r="M608" i="3"/>
  <c r="Q608" i="3"/>
  <c r="Y606" i="3"/>
  <c r="W617" i="4"/>
  <c r="W615" i="4"/>
  <c r="M604" i="3"/>
  <c r="O609" i="3"/>
  <c r="AA613" i="4"/>
  <c r="N604" i="3"/>
  <c r="Z626" i="4"/>
  <c r="X626" i="4"/>
  <c r="M605" i="3"/>
  <c r="X609" i="3"/>
  <c r="Z624" i="4"/>
  <c r="V611" i="4"/>
  <c r="M603" i="3"/>
  <c r="AA604" i="3"/>
  <c r="V608" i="3"/>
  <c r="K606" i="3"/>
  <c r="W611" i="4"/>
  <c r="X622" i="4"/>
  <c r="J613" i="4"/>
  <c r="Z613" i="4"/>
  <c r="Q607" i="3"/>
  <c r="P607" i="3"/>
  <c r="V610" i="3"/>
  <c r="J606" i="3"/>
  <c r="K608" i="3"/>
  <c r="V606" i="3"/>
  <c r="X617" i="4"/>
  <c r="W620" i="4"/>
  <c r="Z615" i="4"/>
  <c r="M610" i="3"/>
  <c r="W604" i="3"/>
  <c r="N609" i="3"/>
  <c r="AA610" i="3"/>
  <c r="K609" i="3"/>
  <c r="O603" i="3"/>
  <c r="W622" i="4"/>
  <c r="V603" i="3"/>
  <c r="X608" i="3"/>
  <c r="V617" i="4"/>
  <c r="J626" i="4"/>
  <c r="K604" i="3"/>
  <c r="X611" i="4"/>
  <c r="Z610" i="3"/>
  <c r="O605" i="3"/>
  <c r="W605" i="3"/>
  <c r="J605" i="3"/>
  <c r="Z605" i="3"/>
  <c r="Z609" i="3"/>
  <c r="X607" i="3"/>
  <c r="U607" i="3"/>
  <c r="V615" i="4"/>
  <c r="AA622" i="4"/>
  <c r="J622" i="4"/>
  <c r="L603" i="3"/>
  <c r="Q604" i="3"/>
  <c r="L608" i="3"/>
  <c r="V626" i="4"/>
  <c r="V607" i="3"/>
  <c r="V609" i="3"/>
  <c r="J611" i="4"/>
  <c r="L604" i="3"/>
  <c r="Z606" i="3"/>
  <c r="AA626" i="4"/>
  <c r="Z622" i="4"/>
  <c r="AA608" i="3"/>
  <c r="O606" i="3"/>
  <c r="N607" i="3"/>
  <c r="Y611" i="4"/>
  <c r="J603" i="3"/>
  <c r="O607" i="3"/>
  <c r="J604" i="3"/>
  <c r="AA603" i="3"/>
  <c r="X605" i="3"/>
  <c r="V622" i="4"/>
  <c r="V613" i="4"/>
  <c r="Y617" i="4"/>
  <c r="M606" i="3"/>
  <c r="P604" i="3"/>
  <c r="J609" i="3"/>
  <c r="V604" i="3"/>
  <c r="Z611" i="4"/>
  <c r="AA620" i="4"/>
  <c r="P610" i="3"/>
  <c r="U610" i="3"/>
  <c r="X624" i="4"/>
  <c r="W610" i="3"/>
  <c r="AA615" i="4"/>
  <c r="U604" i="3"/>
  <c r="N608" i="3"/>
  <c r="P605" i="3"/>
  <c r="N610" i="3"/>
  <c r="M609" i="3"/>
  <c r="Z603" i="3"/>
  <c r="AA609" i="3"/>
  <c r="Y605" i="3"/>
  <c r="W608" i="3"/>
  <c r="X606" i="3"/>
  <c r="Y603" i="3"/>
  <c r="Z607" i="3"/>
  <c r="P608" i="3"/>
  <c r="R608" i="3" l="1"/>
  <c r="T608" i="3"/>
  <c r="R605" i="3"/>
  <c r="T605" i="3"/>
  <c r="R603" i="3"/>
  <c r="T603" i="3"/>
  <c r="S620" i="4"/>
  <c r="I613" i="4"/>
  <c r="S622" i="4"/>
  <c r="S605" i="3"/>
  <c r="I617" i="4"/>
  <c r="S603" i="3"/>
  <c r="R620" i="4"/>
  <c r="T620" i="4"/>
  <c r="S611" i="4"/>
  <c r="R609" i="3"/>
  <c r="T609" i="3"/>
  <c r="S615" i="4"/>
  <c r="I615" i="4"/>
  <c r="R607" i="3"/>
  <c r="T607" i="3"/>
  <c r="S607" i="3"/>
  <c r="I624" i="4"/>
  <c r="T626" i="4"/>
  <c r="R626" i="4"/>
  <c r="S617" i="4"/>
  <c r="T611" i="4"/>
  <c r="R611" i="4"/>
  <c r="S609" i="3"/>
  <c r="T615" i="4"/>
  <c r="R615" i="4"/>
  <c r="S624" i="4"/>
  <c r="R606" i="3"/>
  <c r="T606" i="3"/>
  <c r="R610" i="3"/>
  <c r="T610" i="3"/>
  <c r="T622" i="4"/>
  <c r="R622" i="4"/>
  <c r="S626" i="4"/>
  <c r="R617" i="4"/>
  <c r="T617" i="4"/>
  <c r="T604" i="3"/>
  <c r="R604" i="3"/>
  <c r="I611" i="4"/>
  <c r="S610" i="3"/>
  <c r="S613" i="4"/>
  <c r="S608" i="3"/>
  <c r="R613" i="4"/>
  <c r="T613" i="4"/>
  <c r="I622" i="4"/>
  <c r="I626" i="4"/>
  <c r="S604" i="3"/>
  <c r="I620" i="4"/>
  <c r="T624" i="4"/>
  <c r="R624" i="4"/>
  <c r="S606" i="3"/>
  <c r="G636" i="4"/>
  <c r="G638" i="4"/>
  <c r="G640" i="4"/>
  <c r="G642" i="4"/>
  <c r="G627" i="4"/>
  <c r="G631" i="4"/>
  <c r="G629" i="4"/>
  <c r="G633" i="4"/>
  <c r="G626" i="3"/>
  <c r="G624" i="3"/>
  <c r="G622" i="3"/>
  <c r="G620" i="3"/>
  <c r="G625" i="3"/>
  <c r="G623" i="3"/>
  <c r="G621" i="3"/>
  <c r="G619" i="3"/>
  <c r="N615" i="3"/>
  <c r="Z618" i="3"/>
  <c r="U613" i="3"/>
  <c r="K615" i="3"/>
  <c r="P616" i="3"/>
  <c r="W616" i="3"/>
  <c r="AA612" i="3"/>
  <c r="K611" i="3"/>
  <c r="P617" i="3"/>
  <c r="X630" i="4"/>
  <c r="Z617" i="3"/>
  <c r="W625" i="4"/>
  <c r="W628" i="4"/>
  <c r="Z623" i="4"/>
  <c r="Y616" i="3"/>
  <c r="Z611" i="3"/>
  <c r="Y613" i="3"/>
  <c r="N613" i="3"/>
  <c r="AA616" i="3"/>
  <c r="Q612" i="3"/>
  <c r="U614" i="3"/>
  <c r="L611" i="3"/>
  <c r="Z621" i="4"/>
  <c r="J616" i="3"/>
  <c r="J617" i="3"/>
  <c r="K617" i="3"/>
  <c r="X628" i="4"/>
  <c r="Q613" i="3"/>
  <c r="O615" i="3"/>
  <c r="Y628" i="4"/>
  <c r="P611" i="3"/>
  <c r="M613" i="3"/>
  <c r="K616" i="3"/>
  <c r="L618" i="3"/>
  <c r="Z612" i="3"/>
  <c r="N612" i="3"/>
  <c r="P615" i="3"/>
  <c r="J628" i="4"/>
  <c r="Y618" i="3"/>
  <c r="W634" i="4"/>
  <c r="V632" i="4"/>
  <c r="Q614" i="3"/>
  <c r="O613" i="3"/>
  <c r="X613" i="3"/>
  <c r="U617" i="3"/>
  <c r="W617" i="3"/>
  <c r="V634" i="4"/>
  <c r="N614" i="3"/>
  <c r="O612" i="3"/>
  <c r="J621" i="4"/>
  <c r="W632" i="4"/>
  <c r="X616" i="3"/>
  <c r="Z615" i="3"/>
  <c r="AA632" i="4"/>
  <c r="V617" i="3"/>
  <c r="W615" i="3"/>
  <c r="AA621" i="4"/>
  <c r="J632" i="4"/>
  <c r="AA619" i="4"/>
  <c r="N616" i="3"/>
  <c r="O617" i="3"/>
  <c r="V611" i="3"/>
  <c r="K612" i="3"/>
  <c r="L617" i="3"/>
  <c r="V616" i="3"/>
  <c r="K614" i="3"/>
  <c r="X612" i="3"/>
  <c r="V612" i="3"/>
  <c r="J619" i="4"/>
  <c r="V623" i="4"/>
  <c r="U615" i="3"/>
  <c r="O616" i="3"/>
  <c r="W613" i="3"/>
  <c r="J630" i="4"/>
  <c r="Z628" i="4"/>
  <c r="V625" i="4"/>
  <c r="L616" i="3"/>
  <c r="V613" i="3"/>
  <c r="P613" i="3"/>
  <c r="J611" i="3"/>
  <c r="Z632" i="4"/>
  <c r="AA614" i="3"/>
  <c r="V614" i="3"/>
  <c r="Y625" i="4"/>
  <c r="Y611" i="3"/>
  <c r="M612" i="3"/>
  <c r="W623" i="4"/>
  <c r="W611" i="3"/>
  <c r="Y617" i="3"/>
  <c r="Y632" i="4"/>
  <c r="X632" i="4"/>
  <c r="X615" i="3"/>
  <c r="O611" i="3"/>
  <c r="L612" i="3"/>
  <c r="K618" i="3"/>
  <c r="N617" i="3"/>
  <c r="Z616" i="3"/>
  <c r="O614" i="3"/>
  <c r="Q618" i="3"/>
  <c r="J625" i="4"/>
  <c r="X621" i="4"/>
  <c r="AA623" i="4"/>
  <c r="AA613" i="3"/>
  <c r="J615" i="3"/>
  <c r="X634" i="4"/>
  <c r="X619" i="4"/>
  <c r="AA611" i="3"/>
  <c r="L615" i="3"/>
  <c r="M615" i="3"/>
  <c r="U616" i="3"/>
  <c r="W612" i="3"/>
  <c r="J634" i="4"/>
  <c r="X618" i="3"/>
  <c r="Y630" i="4"/>
  <c r="Y612" i="3"/>
  <c r="Q611" i="3"/>
  <c r="J623" i="4"/>
  <c r="Y634" i="4"/>
  <c r="AA618" i="3"/>
  <c r="X617" i="3"/>
  <c r="Y619" i="4"/>
  <c r="Y615" i="3"/>
  <c r="AA615" i="3"/>
  <c r="W614" i="3"/>
  <c r="V630" i="4"/>
  <c r="U611" i="3"/>
  <c r="X625" i="4"/>
  <c r="J614" i="3"/>
  <c r="M617" i="3"/>
  <c r="W630" i="4"/>
  <c r="M616" i="3"/>
  <c r="Q615" i="3"/>
  <c r="W621" i="4"/>
  <c r="P618" i="3"/>
  <c r="M618" i="3"/>
  <c r="AA617" i="3"/>
  <c r="X611" i="3"/>
  <c r="Z630" i="4"/>
  <c r="J613" i="3"/>
  <c r="Z634" i="4"/>
  <c r="W619" i="4"/>
  <c r="M611" i="3"/>
  <c r="Q616" i="3"/>
  <c r="AA630" i="4"/>
  <c r="U618" i="3"/>
  <c r="Z614" i="3"/>
  <c r="Q617" i="3"/>
  <c r="Y623" i="4"/>
  <c r="L614" i="3"/>
  <c r="P612" i="3"/>
  <c r="O618" i="3"/>
  <c r="N611" i="3"/>
  <c r="W618" i="3"/>
  <c r="M614" i="3"/>
  <c r="AA628" i="4"/>
  <c r="Y614" i="3"/>
  <c r="X614" i="3"/>
  <c r="P614" i="3"/>
  <c r="AA625" i="4"/>
  <c r="K613" i="3"/>
  <c r="U612" i="3"/>
  <c r="Y621" i="4"/>
  <c r="J618" i="3"/>
  <c r="V628" i="4"/>
  <c r="X623" i="4"/>
  <c r="Z619" i="4"/>
  <c r="N618" i="3"/>
  <c r="J612" i="3"/>
  <c r="L613" i="3"/>
  <c r="Z625" i="4"/>
  <c r="V621" i="4"/>
  <c r="AA634" i="4"/>
  <c r="V619" i="4"/>
  <c r="V618" i="3"/>
  <c r="Z613" i="3"/>
  <c r="V615" i="3"/>
  <c r="R619" i="4" l="1"/>
  <c r="T619" i="4"/>
  <c r="R611" i="3"/>
  <c r="T611" i="3"/>
  <c r="S612" i="3"/>
  <c r="S614" i="3"/>
  <c r="I616" i="3"/>
  <c r="I632" i="4"/>
  <c r="T616" i="3"/>
  <c r="R616" i="3"/>
  <c r="I628" i="4"/>
  <c r="R618" i="3"/>
  <c r="T618" i="3"/>
  <c r="S632" i="4"/>
  <c r="R614" i="3"/>
  <c r="T614" i="3"/>
  <c r="S623" i="4"/>
  <c r="I623" i="4"/>
  <c r="S619" i="4"/>
  <c r="I619" i="4"/>
  <c r="R617" i="3"/>
  <c r="T617" i="3"/>
  <c r="S634" i="4"/>
  <c r="R621" i="4"/>
  <c r="T621" i="4"/>
  <c r="S613" i="3"/>
  <c r="S616" i="3"/>
  <c r="T623" i="4"/>
  <c r="R623" i="4"/>
  <c r="R628" i="4"/>
  <c r="T628" i="4"/>
  <c r="S618" i="3"/>
  <c r="T634" i="4"/>
  <c r="R634" i="4"/>
  <c r="I621" i="4"/>
  <c r="R615" i="3"/>
  <c r="T615" i="3"/>
  <c r="I630" i="4"/>
  <c r="T630" i="4"/>
  <c r="R630" i="4"/>
  <c r="S628" i="4"/>
  <c r="I617" i="3"/>
  <c r="S617" i="3"/>
  <c r="I618" i="3"/>
  <c r="S625" i="4"/>
  <c r="I634" i="4"/>
  <c r="I611" i="3"/>
  <c r="R612" i="3"/>
  <c r="T612" i="3"/>
  <c r="R613" i="3"/>
  <c r="T613" i="3"/>
  <c r="I613" i="3"/>
  <c r="S615" i="3"/>
  <c r="S630" i="4"/>
  <c r="I615" i="3"/>
  <c r="R632" i="4"/>
  <c r="T632" i="4"/>
  <c r="I614" i="3"/>
  <c r="R625" i="4"/>
  <c r="T625" i="4"/>
  <c r="I625" i="4"/>
  <c r="S611" i="3"/>
  <c r="I612" i="3"/>
  <c r="S621" i="4"/>
  <c r="G641" i="4"/>
  <c r="G637" i="4"/>
  <c r="G639" i="4"/>
  <c r="G635" i="4"/>
  <c r="G627" i="3"/>
  <c r="G629" i="3"/>
  <c r="G631" i="3"/>
  <c r="G633" i="3"/>
  <c r="G628" i="3"/>
  <c r="G630" i="3"/>
  <c r="G632" i="3"/>
  <c r="G634" i="3"/>
  <c r="N622" i="3"/>
  <c r="W623" i="3"/>
  <c r="O625" i="3"/>
  <c r="O622" i="3"/>
  <c r="AA631" i="4"/>
  <c r="U625" i="3"/>
  <c r="K625" i="3"/>
  <c r="J631" i="4"/>
  <c r="Z636" i="4"/>
  <c r="O621" i="3"/>
  <c r="X621" i="3"/>
  <c r="W625" i="3"/>
  <c r="X629" i="4"/>
  <c r="Z621" i="3"/>
  <c r="P621" i="3"/>
  <c r="Z623" i="3"/>
  <c r="V622" i="3"/>
  <c r="N625" i="3"/>
  <c r="J623" i="3"/>
  <c r="V631" i="4"/>
  <c r="J622" i="3"/>
  <c r="Y627" i="4"/>
  <c r="Z633" i="4"/>
  <c r="Y626" i="3"/>
  <c r="O620" i="3"/>
  <c r="Y623" i="3"/>
  <c r="M621" i="3"/>
  <c r="M625" i="3"/>
  <c r="W629" i="4"/>
  <c r="P626" i="3"/>
  <c r="J627" i="4"/>
  <c r="V629" i="4"/>
  <c r="Y621" i="3"/>
  <c r="X620" i="3"/>
  <c r="V619" i="3"/>
  <c r="Y640" i="4"/>
  <c r="W631" i="4"/>
  <c r="O624" i="3"/>
  <c r="X633" i="4"/>
  <c r="V621" i="3"/>
  <c r="Q623" i="3"/>
  <c r="AA625" i="3"/>
  <c r="Y631" i="4"/>
  <c r="W619" i="3"/>
  <c r="J624" i="3"/>
  <c r="AA623" i="3"/>
  <c r="AA622" i="3"/>
  <c r="V636" i="4"/>
  <c r="N621" i="3"/>
  <c r="L624" i="3"/>
  <c r="W640" i="4"/>
  <c r="V620" i="3"/>
  <c r="Q626" i="3"/>
  <c r="U622" i="3"/>
  <c r="P620" i="3"/>
  <c r="X626" i="3"/>
  <c r="J619" i="3"/>
  <c r="Z625" i="3"/>
  <c r="X624" i="3"/>
  <c r="K620" i="3"/>
  <c r="W626" i="3"/>
  <c r="AA627" i="4"/>
  <c r="N626" i="3"/>
  <c r="Z631" i="4"/>
  <c r="U626" i="3"/>
  <c r="U620" i="3"/>
  <c r="AA626" i="3"/>
  <c r="J629" i="4"/>
  <c r="J638" i="4"/>
  <c r="O623" i="3"/>
  <c r="X638" i="4"/>
  <c r="J626" i="3"/>
  <c r="X640" i="4"/>
  <c r="J620" i="3"/>
  <c r="Y619" i="3"/>
  <c r="N620" i="3"/>
  <c r="Y633" i="4"/>
  <c r="N623" i="3"/>
  <c r="Q620" i="3"/>
  <c r="Z629" i="4"/>
  <c r="Y642" i="4"/>
  <c r="W638" i="4"/>
  <c r="P622" i="3"/>
  <c r="J636" i="4"/>
  <c r="V626" i="3"/>
  <c r="M620" i="3"/>
  <c r="U624" i="3"/>
  <c r="W633" i="4"/>
  <c r="AA621" i="3"/>
  <c r="AA619" i="3"/>
  <c r="M619" i="3"/>
  <c r="Y629" i="4"/>
  <c r="AA636" i="4"/>
  <c r="Q619" i="3"/>
  <c r="Q624" i="3"/>
  <c r="M624" i="3"/>
  <c r="X627" i="4"/>
  <c r="J621" i="3"/>
  <c r="U623" i="3"/>
  <c r="K624" i="3"/>
  <c r="L623" i="3"/>
  <c r="L619" i="3"/>
  <c r="AA640" i="4"/>
  <c r="J642" i="4"/>
  <c r="X623" i="3"/>
  <c r="K621" i="3"/>
  <c r="V624" i="3"/>
  <c r="AA624" i="3"/>
  <c r="W642" i="4"/>
  <c r="AA620" i="3"/>
  <c r="P625" i="3"/>
  <c r="Z638" i="4"/>
  <c r="Q625" i="3"/>
  <c r="Z620" i="3"/>
  <c r="Z627" i="4"/>
  <c r="X625" i="3"/>
  <c r="Q621" i="3"/>
  <c r="N619" i="3"/>
  <c r="Z640" i="4"/>
  <c r="M623" i="3"/>
  <c r="V638" i="4"/>
  <c r="K619" i="3"/>
  <c r="U621" i="3"/>
  <c r="P624" i="3"/>
  <c r="X642" i="4"/>
  <c r="V640" i="4"/>
  <c r="L626" i="3"/>
  <c r="P623" i="3"/>
  <c r="Y624" i="3"/>
  <c r="Y625" i="3"/>
  <c r="J625" i="3"/>
  <c r="AA638" i="4"/>
  <c r="Z619" i="3"/>
  <c r="V625" i="3"/>
  <c r="Z622" i="3"/>
  <c r="L625" i="3"/>
  <c r="O626" i="3"/>
  <c r="K626" i="3"/>
  <c r="V633" i="4"/>
  <c r="W624" i="3"/>
  <c r="L621" i="3"/>
  <c r="AA633" i="4"/>
  <c r="AA642" i="4"/>
  <c r="Z624" i="3"/>
  <c r="W622" i="3"/>
  <c r="X619" i="3"/>
  <c r="Y638" i="4"/>
  <c r="J640" i="4"/>
  <c r="W620" i="3"/>
  <c r="X636" i="4"/>
  <c r="X631" i="4"/>
  <c r="W627" i="4"/>
  <c r="V627" i="4"/>
  <c r="K622" i="3"/>
  <c r="Z642" i="4"/>
  <c r="V642" i="4"/>
  <c r="K623" i="3"/>
  <c r="Y622" i="3"/>
  <c r="N624" i="3"/>
  <c r="Y620" i="3"/>
  <c r="O619" i="3"/>
  <c r="M626" i="3"/>
  <c r="W636" i="4"/>
  <c r="Z626" i="3"/>
  <c r="V623" i="3"/>
  <c r="P619" i="3"/>
  <c r="W621" i="3"/>
  <c r="X622" i="3"/>
  <c r="L622" i="3"/>
  <c r="U619" i="3"/>
  <c r="M622" i="3"/>
  <c r="Q622" i="3"/>
  <c r="L620" i="3"/>
  <c r="J633" i="4"/>
  <c r="Y636" i="4"/>
  <c r="AA629" i="4"/>
  <c r="S636" i="4" l="1"/>
  <c r="S625" i="3"/>
  <c r="S623" i="3"/>
  <c r="S638" i="4"/>
  <c r="T638" i="4"/>
  <c r="R638" i="4"/>
  <c r="T624" i="3"/>
  <c r="R624" i="3"/>
  <c r="S640" i="4"/>
  <c r="T642" i="4"/>
  <c r="R642" i="4"/>
  <c r="S626" i="3"/>
  <c r="T631" i="4"/>
  <c r="R631" i="4"/>
  <c r="R622" i="3"/>
  <c r="T622" i="3"/>
  <c r="I623" i="3"/>
  <c r="T640" i="4"/>
  <c r="R640" i="4"/>
  <c r="S629" i="4"/>
  <c r="I629" i="4"/>
  <c r="S621" i="3"/>
  <c r="S642" i="4"/>
  <c r="S633" i="4"/>
  <c r="S620" i="3"/>
  <c r="T620" i="3"/>
  <c r="R620" i="3"/>
  <c r="R619" i="3"/>
  <c r="T619" i="3"/>
  <c r="I626" i="3"/>
  <c r="I631" i="4"/>
  <c r="S631" i="4"/>
  <c r="I624" i="3"/>
  <c r="I625" i="3"/>
  <c r="R623" i="3"/>
  <c r="T623" i="3"/>
  <c r="S624" i="3"/>
  <c r="R629" i="4"/>
  <c r="T629" i="4"/>
  <c r="R621" i="3"/>
  <c r="T621" i="3"/>
  <c r="I621" i="3"/>
  <c r="R633" i="4"/>
  <c r="T633" i="4"/>
  <c r="I620" i="3"/>
  <c r="S627" i="4"/>
  <c r="R626" i="3"/>
  <c r="T626" i="3"/>
  <c r="S622" i="3"/>
  <c r="R636" i="4"/>
  <c r="T636" i="4"/>
  <c r="R625" i="3"/>
  <c r="T625" i="3"/>
  <c r="I633" i="4"/>
  <c r="I619" i="3"/>
  <c r="S619" i="3"/>
  <c r="T627" i="4"/>
  <c r="R627" i="4"/>
  <c r="I627" i="4"/>
  <c r="I622" i="3"/>
  <c r="G642" i="3"/>
  <c r="G640" i="3"/>
  <c r="G638" i="3"/>
  <c r="G636" i="3"/>
  <c r="G641" i="3"/>
  <c r="G639" i="3"/>
  <c r="G637" i="3"/>
  <c r="G635" i="3"/>
  <c r="AA637" i="4"/>
  <c r="O628" i="3"/>
  <c r="V630" i="3"/>
  <c r="U618" i="4"/>
  <c r="U610" i="4"/>
  <c r="Z633" i="3"/>
  <c r="V633" i="3"/>
  <c r="O634" i="3"/>
  <c r="Q629" i="3"/>
  <c r="U639" i="4"/>
  <c r="X639" i="4"/>
  <c r="X631" i="3"/>
  <c r="U635" i="4"/>
  <c r="P629" i="3"/>
  <c r="V628" i="3"/>
  <c r="U619" i="4"/>
  <c r="Z632" i="3"/>
  <c r="W628" i="3"/>
  <c r="Y628" i="3"/>
  <c r="U616" i="4"/>
  <c r="U601" i="4"/>
  <c r="P633" i="3"/>
  <c r="J627" i="3"/>
  <c r="AA628" i="3"/>
  <c r="O631" i="3"/>
  <c r="M634" i="3"/>
  <c r="O627" i="3"/>
  <c r="M631" i="3"/>
  <c r="V629" i="3"/>
  <c r="U604" i="4"/>
  <c r="AA629" i="3"/>
  <c r="U587" i="4"/>
  <c r="J631" i="3"/>
  <c r="L629" i="3"/>
  <c r="U586" i="4"/>
  <c r="Z637" i="4"/>
  <c r="U636" i="4"/>
  <c r="O629" i="3"/>
  <c r="V627" i="3"/>
  <c r="P632" i="3"/>
  <c r="N627" i="3"/>
  <c r="X635" i="4"/>
  <c r="K629" i="3"/>
  <c r="N632" i="3"/>
  <c r="M629" i="3"/>
  <c r="U612" i="4"/>
  <c r="Y637" i="4"/>
  <c r="Y633" i="3"/>
  <c r="U585" i="4"/>
  <c r="N631" i="3"/>
  <c r="M627" i="3"/>
  <c r="U629" i="3"/>
  <c r="U615" i="4"/>
  <c r="K627" i="3"/>
  <c r="L632" i="3"/>
  <c r="J628" i="3"/>
  <c r="U611" i="4"/>
  <c r="U627" i="4"/>
  <c r="U634" i="3"/>
  <c r="AA639" i="4"/>
  <c r="U589" i="4"/>
  <c r="Z629" i="3"/>
  <c r="X628" i="3"/>
  <c r="Q634" i="3"/>
  <c r="AA633" i="3"/>
  <c r="J641" i="4"/>
  <c r="P627" i="3"/>
  <c r="Y630" i="3"/>
  <c r="W633" i="3"/>
  <c r="U633" i="3"/>
  <c r="AA630" i="3"/>
  <c r="O633" i="3"/>
  <c r="U595" i="4"/>
  <c r="U593" i="4"/>
  <c r="P631" i="3"/>
  <c r="P628" i="3"/>
  <c r="N628" i="3"/>
  <c r="AA641" i="4"/>
  <c r="Z641" i="4"/>
  <c r="W639" i="4"/>
  <c r="J634" i="3"/>
  <c r="N634" i="3"/>
  <c r="U594" i="4"/>
  <c r="X629" i="3"/>
  <c r="J630" i="3"/>
  <c r="X633" i="3"/>
  <c r="U598" i="4"/>
  <c r="AA635" i="4"/>
  <c r="M633" i="3"/>
  <c r="U631" i="4"/>
  <c r="U607" i="4"/>
  <c r="Z639" i="4"/>
  <c r="U614" i="4"/>
  <c r="U609" i="4"/>
  <c r="V639" i="4"/>
  <c r="N633" i="3"/>
  <c r="U622" i="4"/>
  <c r="U628" i="4"/>
  <c r="K630" i="3"/>
  <c r="U592" i="4"/>
  <c r="V632" i="3"/>
  <c r="K633" i="3"/>
  <c r="U613" i="4"/>
  <c r="U626" i="4"/>
  <c r="Q627" i="3"/>
  <c r="X632" i="3"/>
  <c r="U617" i="4"/>
  <c r="U625" i="4"/>
  <c r="Y639" i="4"/>
  <c r="Y635" i="4"/>
  <c r="U640" i="4"/>
  <c r="Z630" i="3"/>
  <c r="K634" i="3"/>
  <c r="Q631" i="3"/>
  <c r="Q630" i="3"/>
  <c r="U606" i="4"/>
  <c r="U588" i="4"/>
  <c r="AA634" i="3"/>
  <c r="X630" i="3"/>
  <c r="U628" i="3"/>
  <c r="L628" i="3"/>
  <c r="U633" i="4"/>
  <c r="L633" i="3"/>
  <c r="L634" i="3"/>
  <c r="U637" i="4"/>
  <c r="W637" i="4"/>
  <c r="U596" i="4"/>
  <c r="Y627" i="3"/>
  <c r="U632" i="3"/>
  <c r="X641" i="4"/>
  <c r="U603" i="4"/>
  <c r="W627" i="3"/>
  <c r="U623" i="4"/>
  <c r="U634" i="4"/>
  <c r="Q633" i="3"/>
  <c r="K632" i="3"/>
  <c r="J639" i="4"/>
  <c r="N629" i="3"/>
  <c r="J629" i="3"/>
  <c r="Y629" i="3"/>
  <c r="M630" i="3"/>
  <c r="W631" i="3"/>
  <c r="Y641" i="4"/>
  <c r="U590" i="4"/>
  <c r="Z635" i="4"/>
  <c r="L630" i="3"/>
  <c r="W632" i="3"/>
  <c r="N630" i="3"/>
  <c r="Q632" i="3"/>
  <c r="J632" i="3"/>
  <c r="Z628" i="3"/>
  <c r="Z631" i="3"/>
  <c r="U600" i="4"/>
  <c r="W634" i="3"/>
  <c r="Q628" i="3"/>
  <c r="Z634" i="3"/>
  <c r="V641" i="4"/>
  <c r="J633" i="3"/>
  <c r="AA627" i="3"/>
  <c r="Y634" i="3"/>
  <c r="U608" i="4"/>
  <c r="X627" i="3"/>
  <c r="K628" i="3"/>
  <c r="V637" i="4"/>
  <c r="J635" i="4"/>
  <c r="U624" i="4"/>
  <c r="U638" i="4"/>
  <c r="AA631" i="3"/>
  <c r="U605" i="4"/>
  <c r="V634" i="3"/>
  <c r="U631" i="3"/>
  <c r="U597" i="4"/>
  <c r="U602" i="4"/>
  <c r="Z627" i="3"/>
  <c r="X634" i="3"/>
  <c r="U630" i="3"/>
  <c r="U591" i="4"/>
  <c r="U620" i="4"/>
  <c r="V635" i="4"/>
  <c r="U584" i="4"/>
  <c r="U632" i="4"/>
  <c r="M628" i="3"/>
  <c r="U641" i="4"/>
  <c r="U642" i="4"/>
  <c r="W629" i="3"/>
  <c r="U621" i="4"/>
  <c r="W641" i="4"/>
  <c r="U629" i="4"/>
  <c r="Y631" i="3"/>
  <c r="P634" i="3"/>
  <c r="W635" i="4"/>
  <c r="O630" i="3"/>
  <c r="K631" i="3"/>
  <c r="U630" i="4"/>
  <c r="V631" i="3"/>
  <c r="U627" i="3"/>
  <c r="P630" i="3"/>
  <c r="J637" i="4"/>
  <c r="O632" i="3"/>
  <c r="U599" i="4"/>
  <c r="X637" i="4"/>
  <c r="L631" i="3"/>
  <c r="W630" i="3"/>
  <c r="Y632" i="3"/>
  <c r="L627" i="3"/>
  <c r="AA632" i="3"/>
  <c r="M632" i="3"/>
  <c r="J1" i="4" l="1"/>
  <c r="W1" i="4"/>
  <c r="AA1" i="4"/>
  <c r="Z1" i="4"/>
  <c r="V1" i="4"/>
  <c r="Y1" i="4"/>
  <c r="X1" i="4"/>
  <c r="S627" i="3"/>
  <c r="I629" i="3"/>
  <c r="R632" i="3"/>
  <c r="T632" i="3"/>
  <c r="R627" i="3"/>
  <c r="T627" i="3"/>
  <c r="R629" i="3"/>
  <c r="T629" i="3"/>
  <c r="S639" i="4"/>
  <c r="R631" i="3"/>
  <c r="T631" i="3"/>
  <c r="I633" i="3"/>
  <c r="R633" i="3"/>
  <c r="T633" i="3"/>
  <c r="I634" i="3"/>
  <c r="R637" i="4"/>
  <c r="T637" i="4"/>
  <c r="S629" i="3"/>
  <c r="S630" i="3"/>
  <c r="T639" i="4"/>
  <c r="R639" i="4"/>
  <c r="R635" i="4"/>
  <c r="T635" i="4"/>
  <c r="R641" i="4"/>
  <c r="T641" i="4"/>
  <c r="I630" i="3"/>
  <c r="I632" i="3"/>
  <c r="I631" i="3"/>
  <c r="S635" i="4"/>
  <c r="R634" i="3"/>
  <c r="T634" i="3"/>
  <c r="S634" i="3"/>
  <c r="S628" i="3"/>
  <c r="I628" i="3"/>
  <c r="S641" i="4"/>
  <c r="I627" i="3"/>
  <c r="S637" i="4"/>
  <c r="R630" i="3"/>
  <c r="T630" i="3"/>
  <c r="S632" i="3"/>
  <c r="S631" i="3"/>
  <c r="S633" i="3"/>
  <c r="R628" i="3"/>
  <c r="T628" i="3"/>
  <c r="U1" i="4"/>
  <c r="W640" i="3"/>
  <c r="P638" i="3"/>
  <c r="N641" i="3"/>
  <c r="O638" i="3"/>
  <c r="AA642" i="3"/>
  <c r="J639" i="3"/>
  <c r="X642" i="3"/>
  <c r="Y635" i="3"/>
  <c r="K639" i="3"/>
  <c r="N642" i="3"/>
  <c r="M636" i="3"/>
  <c r="K641" i="3"/>
  <c r="J640" i="3"/>
  <c r="U638" i="3"/>
  <c r="V636" i="3"/>
  <c r="Q638" i="3"/>
  <c r="AA640" i="3"/>
  <c r="P642" i="3"/>
  <c r="M641" i="3"/>
  <c r="W635" i="3"/>
  <c r="U637" i="3"/>
  <c r="M637" i="3"/>
  <c r="M638" i="3"/>
  <c r="K636" i="3"/>
  <c r="P636" i="3"/>
  <c r="AA638" i="3"/>
  <c r="J641" i="3"/>
  <c r="Y637" i="3"/>
  <c r="W642" i="3"/>
  <c r="Q635" i="3"/>
  <c r="L639" i="3"/>
  <c r="L640" i="3"/>
  <c r="K637" i="3"/>
  <c r="P639" i="3"/>
  <c r="M640" i="3"/>
  <c r="V641" i="3"/>
  <c r="L635" i="3"/>
  <c r="Y636" i="3"/>
  <c r="V635" i="3"/>
  <c r="K638" i="3"/>
  <c r="J637" i="3"/>
  <c r="Q637" i="3"/>
  <c r="N638" i="3"/>
  <c r="K642" i="3"/>
  <c r="O641" i="3"/>
  <c r="Y640" i="3"/>
  <c r="AA639" i="3"/>
  <c r="U641" i="3"/>
  <c r="M639" i="3"/>
  <c r="L636" i="3"/>
  <c r="N637" i="3"/>
  <c r="O639" i="3"/>
  <c r="U639" i="3"/>
  <c r="Z641" i="3"/>
  <c r="N639" i="3"/>
  <c r="Y639" i="3"/>
  <c r="Z636" i="3"/>
  <c r="V637" i="3"/>
  <c r="Q639" i="3"/>
  <c r="J642" i="3"/>
  <c r="W636" i="3"/>
  <c r="L642" i="3"/>
  <c r="X637" i="3"/>
  <c r="P641" i="3"/>
  <c r="Z637" i="3"/>
  <c r="N635" i="3"/>
  <c r="AA635" i="3"/>
  <c r="W638" i="3"/>
  <c r="X640" i="3"/>
  <c r="J638" i="3"/>
  <c r="AA636" i="3"/>
  <c r="V639" i="3"/>
  <c r="Z638" i="3"/>
  <c r="O640" i="3"/>
  <c r="P635" i="3"/>
  <c r="X635" i="3"/>
  <c r="J635" i="3"/>
  <c r="X641" i="3"/>
  <c r="Z639" i="3"/>
  <c r="M635" i="3"/>
  <c r="U635" i="3"/>
  <c r="W637" i="3"/>
  <c r="N636" i="3"/>
  <c r="P640" i="3"/>
  <c r="X638" i="3"/>
  <c r="Z635" i="3"/>
  <c r="Q636" i="3"/>
  <c r="O637" i="3"/>
  <c r="U636" i="3"/>
  <c r="V642" i="3"/>
  <c r="O635" i="3"/>
  <c r="AA637" i="3"/>
  <c r="K640" i="3"/>
  <c r="K635" i="3"/>
  <c r="Q640" i="3"/>
  <c r="Q641" i="3"/>
  <c r="Y638" i="3"/>
  <c r="U642" i="3"/>
  <c r="U640" i="3"/>
  <c r="J636" i="3"/>
  <c r="X636" i="3"/>
  <c r="Z642" i="3"/>
  <c r="N640" i="3"/>
  <c r="M642" i="3"/>
  <c r="L638" i="3"/>
  <c r="X639" i="3"/>
  <c r="P637" i="3"/>
  <c r="Y642" i="3"/>
  <c r="Z640" i="3"/>
  <c r="AA641" i="3"/>
  <c r="Y641" i="3"/>
  <c r="O636" i="3"/>
  <c r="Q642" i="3"/>
  <c r="L641" i="3"/>
  <c r="V640" i="3"/>
  <c r="O642" i="3"/>
  <c r="W641" i="3"/>
  <c r="V638" i="3"/>
  <c r="L637" i="3"/>
  <c r="W639" i="3"/>
  <c r="O1" i="3" l="1"/>
  <c r="Q1" i="3"/>
  <c r="M1" i="3"/>
  <c r="L1" i="3"/>
  <c r="J1" i="3"/>
  <c r="K1" i="3"/>
  <c r="P1" i="3"/>
  <c r="N1" i="3"/>
  <c r="S1" i="4"/>
  <c r="T1" i="4"/>
  <c r="R1" i="4"/>
  <c r="I1" i="3"/>
  <c r="U1" i="3"/>
  <c r="K122" i="1" s="1"/>
  <c r="Y1" i="3"/>
  <c r="AA1" i="3"/>
  <c r="W1" i="3"/>
  <c r="V1" i="3"/>
  <c r="AB7" i="4" s="1"/>
  <c r="X1" i="3"/>
  <c r="Z1" i="3"/>
  <c r="R639" i="3"/>
  <c r="T639" i="3"/>
  <c r="R635" i="3"/>
  <c r="T635" i="3"/>
  <c r="S639" i="3"/>
  <c r="R637" i="3"/>
  <c r="T637" i="3"/>
  <c r="S642" i="3"/>
  <c r="S637" i="3"/>
  <c r="S635" i="3"/>
  <c r="T640" i="3"/>
  <c r="R640" i="3"/>
  <c r="S638" i="3"/>
  <c r="R638" i="3"/>
  <c r="T638" i="3"/>
  <c r="S636" i="3"/>
  <c r="T636" i="3"/>
  <c r="R636" i="3"/>
  <c r="R642" i="3"/>
  <c r="T642" i="3"/>
  <c r="R641" i="3"/>
  <c r="T641" i="3"/>
  <c r="S640" i="3"/>
  <c r="S641" i="3"/>
  <c r="A27" i="1"/>
  <c r="A28" i="1"/>
  <c r="A29" i="1"/>
  <c r="A16" i="1"/>
  <c r="A17" i="1"/>
  <c r="A19" i="1"/>
  <c r="A21" i="1"/>
  <c r="A18" i="1"/>
  <c r="A20" i="1"/>
  <c r="A22" i="1"/>
  <c r="A3" i="1"/>
  <c r="A4" i="1"/>
  <c r="A6" i="1"/>
  <c r="A8" i="1"/>
  <c r="A10" i="1"/>
  <c r="A12" i="1"/>
  <c r="A5" i="1"/>
  <c r="A7" i="1"/>
  <c r="A9" i="1"/>
  <c r="A11" i="1"/>
  <c r="T1" i="3" l="1"/>
  <c r="K126" i="1" s="1"/>
  <c r="R1" i="3"/>
  <c r="J126" i="1" s="1"/>
  <c r="S1" i="3"/>
  <c r="I126" i="1" s="1"/>
  <c r="J128" i="1" l="1"/>
</calcChain>
</file>

<file path=xl/sharedStrings.xml><?xml version="1.0" encoding="utf-8"?>
<sst xmlns="http://schemas.openxmlformats.org/spreadsheetml/2006/main" count="4673" uniqueCount="320">
  <si>
    <r>
      <rPr>
        <b/>
        <sz val="10"/>
        <color theme="1"/>
        <rFont val="Arial Unicode MS"/>
        <family val="2"/>
        <charset val="134"/>
      </rPr>
      <t>战士</t>
    </r>
  </si>
  <si>
    <t>--</t>
    <phoneticPr fontId="3" type="noConversion"/>
  </si>
  <si>
    <r>
      <rPr>
        <b/>
        <sz val="10"/>
        <color theme="1"/>
        <rFont val="Arial Unicode MS"/>
        <family val="2"/>
        <charset val="134"/>
      </rPr>
      <t>武斗家</t>
    </r>
  </si>
  <si>
    <r>
      <rPr>
        <b/>
        <sz val="10"/>
        <color theme="1"/>
        <rFont val="Arial Unicode MS"/>
        <family val="2"/>
        <charset val="134"/>
      </rPr>
      <t>僧侣</t>
    </r>
  </si>
  <si>
    <r>
      <rPr>
        <b/>
        <sz val="10"/>
        <color theme="1"/>
        <rFont val="Arial Unicode MS"/>
        <family val="2"/>
        <charset val="134"/>
      </rPr>
      <t>舞师</t>
    </r>
  </si>
  <si>
    <r>
      <rPr>
        <b/>
        <sz val="10"/>
        <color theme="1"/>
        <rFont val="Arial Unicode MS"/>
        <family val="2"/>
        <charset val="134"/>
      </rPr>
      <t>盗贼</t>
    </r>
  </si>
  <si>
    <r>
      <rPr>
        <b/>
        <sz val="10"/>
        <color theme="1"/>
        <rFont val="Arial Unicode MS"/>
        <family val="2"/>
        <charset val="134"/>
      </rPr>
      <t>养羊师</t>
    </r>
  </si>
  <si>
    <r>
      <rPr>
        <b/>
        <sz val="10"/>
        <color theme="1"/>
        <rFont val="Arial Unicode MS"/>
        <family val="2"/>
        <charset val="134"/>
      </rPr>
      <t>吟游诗人</t>
    </r>
  </si>
  <si>
    <r>
      <rPr>
        <b/>
        <sz val="10"/>
        <color theme="1"/>
        <rFont val="Arial Unicode MS"/>
        <family val="2"/>
        <charset val="134"/>
      </rPr>
      <t>滑稽师</t>
    </r>
  </si>
  <si>
    <r>
      <rPr>
        <b/>
        <sz val="10"/>
        <color theme="1"/>
        <rFont val="Arial Unicode MS"/>
        <family val="2"/>
        <charset val="134"/>
      </rPr>
      <t>水手</t>
    </r>
  </si>
  <si>
    <t>--</t>
    <phoneticPr fontId="3" type="noConversion"/>
  </si>
  <si>
    <t>hp</t>
    <phoneticPr fontId="3" type="noConversion"/>
  </si>
  <si>
    <t>mp</t>
    <phoneticPr fontId="3" type="noConversion"/>
  </si>
  <si>
    <t>金币寻获</t>
    <phoneticPr fontId="3" type="noConversion"/>
  </si>
  <si>
    <r>
      <rPr>
        <sz val="10"/>
        <color theme="1"/>
        <rFont val="Arial Unicode MS"/>
        <family val="2"/>
        <charset val="134"/>
      </rPr>
      <t>战斗大师</t>
    </r>
  </si>
  <si>
    <r>
      <rPr>
        <sz val="10"/>
        <color theme="1"/>
        <rFont val="Arial Unicode MS"/>
        <family val="2"/>
        <charset val="134"/>
      </rPr>
      <t>战士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武斗家</t>
    </r>
    <phoneticPr fontId="8" type="noConversion"/>
  </si>
  <si>
    <r>
      <rPr>
        <sz val="10"/>
        <color theme="1"/>
        <rFont val="Arial Unicode MS"/>
        <family val="2"/>
        <charset val="134"/>
      </rPr>
      <t>魔法战士</t>
    </r>
  </si>
  <si>
    <r>
      <rPr>
        <sz val="10"/>
        <color theme="1"/>
        <rFont val="Arial Unicode MS"/>
        <family val="2"/>
        <charset val="134"/>
      </rPr>
      <t>战士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魔法使</t>
    </r>
    <phoneticPr fontId="8" type="noConversion"/>
  </si>
  <si>
    <r>
      <rPr>
        <sz val="10"/>
        <color theme="1"/>
        <rFont val="Arial Unicode MS"/>
        <family val="2"/>
        <charset val="134"/>
      </rPr>
      <t>圣骑士</t>
    </r>
  </si>
  <si>
    <r>
      <rPr>
        <sz val="10"/>
        <color theme="1"/>
        <rFont val="Arial Unicode MS"/>
        <family val="2"/>
        <charset val="134"/>
      </rPr>
      <t>武斗家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僧侣</t>
    </r>
    <phoneticPr fontId="8" type="noConversion"/>
  </si>
  <si>
    <r>
      <rPr>
        <sz val="10"/>
        <color theme="1"/>
        <rFont val="Arial Unicode MS"/>
        <family val="2"/>
        <charset val="134"/>
      </rPr>
      <t>贤者</t>
    </r>
  </si>
  <si>
    <r>
      <rPr>
        <sz val="10"/>
        <color theme="1"/>
        <rFont val="Arial Unicode MS"/>
        <family val="2"/>
        <charset val="134"/>
      </rPr>
      <t>僧侣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魔法使</t>
    </r>
    <phoneticPr fontId="8" type="noConversion"/>
  </si>
  <si>
    <r>
      <rPr>
        <sz val="10"/>
        <color theme="1"/>
        <rFont val="Arial Unicode MS"/>
        <family val="2"/>
        <charset val="134"/>
      </rPr>
      <t>魔物猎人</t>
    </r>
  </si>
  <si>
    <r>
      <rPr>
        <sz val="10"/>
        <color theme="1"/>
        <rFont val="Arial Unicode MS"/>
        <family val="2"/>
        <charset val="134"/>
      </rPr>
      <t>盗贼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养羊师</t>
    </r>
    <phoneticPr fontId="8" type="noConversion"/>
  </si>
  <si>
    <r>
      <rPr>
        <sz val="10"/>
        <color theme="1"/>
        <rFont val="Arial Unicode MS"/>
        <family val="2"/>
        <charset val="134"/>
      </rPr>
      <t>海贼</t>
    </r>
  </si>
  <si>
    <r>
      <rPr>
        <sz val="10"/>
        <color theme="1"/>
        <rFont val="Arial Unicode MS"/>
        <family val="2"/>
        <charset val="134"/>
      </rPr>
      <t>盗贼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水手</t>
    </r>
    <phoneticPr fontId="8" type="noConversion"/>
  </si>
  <si>
    <r>
      <rPr>
        <sz val="10"/>
        <color theme="1"/>
        <rFont val="Arial Unicode MS"/>
        <family val="2"/>
        <charset val="134"/>
      </rPr>
      <t>超级明星</t>
    </r>
  </si>
  <si>
    <r>
      <rPr>
        <sz val="10"/>
        <color theme="1"/>
        <rFont val="Arial Unicode MS"/>
        <family val="2"/>
        <charset val="134"/>
      </rPr>
      <t>舞师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吟游诗人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滑稽师</t>
    </r>
    <phoneticPr fontId="8" type="noConversion"/>
  </si>
  <si>
    <t>幸运</t>
    <phoneticPr fontId="3" type="noConversion"/>
  </si>
  <si>
    <t>命中</t>
    <phoneticPr fontId="3" type="noConversion"/>
  </si>
  <si>
    <t>闪避</t>
    <phoneticPr fontId="3" type="noConversion"/>
  </si>
  <si>
    <t>--</t>
    <phoneticPr fontId="3" type="noConversion"/>
  </si>
  <si>
    <t>魔法师</t>
    <phoneticPr fontId="3" type="noConversion"/>
  </si>
  <si>
    <r>
      <rPr>
        <sz val="10"/>
        <color theme="1"/>
        <rFont val="Arial Unicode MS"/>
        <family val="2"/>
        <charset val="134"/>
      </rPr>
      <t>天地雷鳴士</t>
    </r>
  </si>
  <si>
    <r>
      <rPr>
        <sz val="10"/>
        <color theme="1"/>
        <rFont val="Arial Unicode MS"/>
        <family val="2"/>
        <charset val="134"/>
      </rPr>
      <t>贤者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超级明星</t>
    </r>
    <phoneticPr fontId="8" type="noConversion"/>
  </si>
  <si>
    <r>
      <rPr>
        <sz val="10"/>
        <color theme="1"/>
        <rFont val="Arial Unicode MS"/>
        <family val="2"/>
        <charset val="134"/>
      </rPr>
      <t>神之手</t>
    </r>
  </si>
  <si>
    <r>
      <rPr>
        <sz val="10"/>
        <color theme="1"/>
        <rFont val="Arial Unicode MS"/>
        <family val="2"/>
        <charset val="134"/>
      </rPr>
      <t>战斗大师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圣骑士</t>
    </r>
    <phoneticPr fontId="8" type="noConversion"/>
  </si>
  <si>
    <r>
      <rPr>
        <sz val="10"/>
        <color theme="1"/>
        <rFont val="Arial Unicode MS"/>
        <family val="2"/>
        <charset val="134"/>
      </rPr>
      <t>勇者</t>
    </r>
  </si>
  <si>
    <t>下级职业</t>
    <phoneticPr fontId="3" type="noConversion"/>
  </si>
  <si>
    <t>上级职业</t>
    <phoneticPr fontId="3" type="noConversion"/>
  </si>
  <si>
    <t>终极职业</t>
    <phoneticPr fontId="3" type="noConversion"/>
  </si>
  <si>
    <t>职业成长</t>
    <phoneticPr fontId="3" type="noConversion"/>
  </si>
  <si>
    <t>属性偏重</t>
    <phoneticPr fontId="3" type="noConversion"/>
  </si>
  <si>
    <t>hp</t>
    <phoneticPr fontId="3" type="noConversion"/>
  </si>
  <si>
    <t>敏捷</t>
    <phoneticPr fontId="3" type="noConversion"/>
  </si>
  <si>
    <t>幸运</t>
    <phoneticPr fontId="3" type="noConversion"/>
  </si>
  <si>
    <r>
      <rPr>
        <sz val="10"/>
        <color theme="1"/>
        <rFont val="宋体"/>
        <family val="2"/>
      </rPr>
      <t>魔法师</t>
    </r>
    <phoneticPr fontId="3" type="noConversion"/>
  </si>
  <si>
    <t>物攻</t>
    <phoneticPr fontId="3" type="noConversion"/>
  </si>
  <si>
    <t>物防</t>
    <phoneticPr fontId="3" type="noConversion"/>
  </si>
  <si>
    <t>魔防</t>
    <phoneticPr fontId="3" type="noConversion"/>
  </si>
  <si>
    <t>物理</t>
    <phoneticPr fontId="3" type="noConversion"/>
  </si>
  <si>
    <r>
      <rPr>
        <b/>
        <sz val="10"/>
        <color theme="0"/>
        <rFont val="宋体"/>
        <family val="2"/>
      </rPr>
      <t>下级职业</t>
    </r>
    <phoneticPr fontId="3" type="noConversion"/>
  </si>
  <si>
    <r>
      <rPr>
        <b/>
        <sz val="10"/>
        <color theme="0"/>
        <rFont val="宋体"/>
        <family val="2"/>
      </rPr>
      <t>敏捷</t>
    </r>
    <phoneticPr fontId="3" type="noConversion"/>
  </si>
  <si>
    <r>
      <rPr>
        <b/>
        <sz val="10"/>
        <color theme="0"/>
        <rFont val="宋体"/>
        <family val="3"/>
        <charset val="134"/>
      </rPr>
      <t>职业需求</t>
    </r>
    <phoneticPr fontId="3" type="noConversion"/>
  </si>
  <si>
    <r>
      <rPr>
        <sz val="10"/>
        <color theme="0"/>
        <rFont val="宋体"/>
        <family val="3"/>
        <charset val="134"/>
      </rPr>
      <t>上级职业</t>
    </r>
    <phoneticPr fontId="3" type="noConversion"/>
  </si>
  <si>
    <r>
      <rPr>
        <sz val="10"/>
        <color theme="0"/>
        <rFont val="宋体"/>
        <family val="3"/>
        <charset val="134"/>
      </rPr>
      <t>职业需求</t>
    </r>
    <phoneticPr fontId="3" type="noConversion"/>
  </si>
  <si>
    <t>地脉</t>
    <phoneticPr fontId="3" type="noConversion"/>
  </si>
  <si>
    <t>神圣</t>
    <phoneticPr fontId="3" type="noConversion"/>
  </si>
  <si>
    <t>黑暗</t>
    <phoneticPr fontId="3" type="noConversion"/>
  </si>
  <si>
    <r>
      <rPr>
        <sz val="10"/>
        <color theme="0"/>
        <rFont val="宋体"/>
        <family val="3"/>
        <charset val="134"/>
      </rPr>
      <t>终极职业</t>
    </r>
    <phoneticPr fontId="3" type="noConversion"/>
  </si>
  <si>
    <r>
      <rPr>
        <sz val="10"/>
        <color theme="0"/>
        <rFont val="宋体"/>
        <family val="3"/>
        <charset val="134"/>
      </rPr>
      <t>职业需求</t>
    </r>
    <phoneticPr fontId="3" type="noConversion"/>
  </si>
  <si>
    <t>冷却</t>
    <phoneticPr fontId="3" type="noConversion"/>
  </si>
  <si>
    <t>火炎</t>
    <phoneticPr fontId="3" type="noConversion"/>
  </si>
  <si>
    <t>电击</t>
    <phoneticPr fontId="3" type="noConversion"/>
  </si>
  <si>
    <t>weapon修正</t>
    <phoneticPr fontId="3" type="noConversion"/>
  </si>
  <si>
    <t>力量</t>
    <phoneticPr fontId="3" type="noConversion"/>
  </si>
  <si>
    <t>防御力</t>
    <phoneticPr fontId="3" type="noConversion"/>
  </si>
  <si>
    <t>魔攻</t>
    <phoneticPr fontId="3" type="noConversion"/>
  </si>
  <si>
    <t>敏捷</t>
    <phoneticPr fontId="3" type="noConversion"/>
  </si>
  <si>
    <r>
      <rPr>
        <sz val="10"/>
        <color theme="1"/>
        <rFont val="宋体"/>
        <family val="2"/>
      </rPr>
      <t>魔法师</t>
    </r>
    <phoneticPr fontId="3" type="noConversion"/>
  </si>
  <si>
    <t>drop修正</t>
    <phoneticPr fontId="3" type="noConversion"/>
  </si>
  <si>
    <t>sp</t>
    <phoneticPr fontId="3" type="noConversion"/>
  </si>
  <si>
    <t>物攻</t>
    <phoneticPr fontId="3" type="noConversion"/>
  </si>
  <si>
    <t>魔攻</t>
    <phoneticPr fontId="3" type="noConversion"/>
  </si>
  <si>
    <t>魔防</t>
    <phoneticPr fontId="3" type="noConversion"/>
  </si>
  <si>
    <t>痛打</t>
    <phoneticPr fontId="3" type="noConversion"/>
  </si>
  <si>
    <t>IC2022</t>
    <phoneticPr fontId="3" type="noConversion"/>
  </si>
  <si>
    <t>IC2050</t>
  </si>
  <si>
    <t>IC2053</t>
  </si>
  <si>
    <t>IC2028</t>
    <phoneticPr fontId="3" type="noConversion"/>
  </si>
  <si>
    <t>IC2050</t>
    <phoneticPr fontId="3" type="noConversion"/>
  </si>
  <si>
    <t>IC2055</t>
  </si>
  <si>
    <t>IC2057</t>
    <phoneticPr fontId="3" type="noConversion"/>
  </si>
  <si>
    <t>IC2058</t>
    <phoneticPr fontId="3" type="noConversion"/>
  </si>
  <si>
    <t>IC2048</t>
    <phoneticPr fontId="3" type="noConversion"/>
  </si>
  <si>
    <t>IC2051</t>
    <phoneticPr fontId="3" type="noConversion"/>
  </si>
  <si>
    <t>IC2074</t>
  </si>
  <si>
    <t>IC2071</t>
    <phoneticPr fontId="3" type="noConversion"/>
  </si>
  <si>
    <t>IC2113</t>
  </si>
  <si>
    <t>IC2604</t>
    <phoneticPr fontId="3" type="noConversion"/>
  </si>
  <si>
    <t>IC2095</t>
  </si>
  <si>
    <t>IC2201</t>
    <phoneticPr fontId="3" type="noConversion"/>
  </si>
  <si>
    <t>IC2070</t>
    <phoneticPr fontId="3" type="noConversion"/>
  </si>
  <si>
    <t>IC2076</t>
  </si>
  <si>
    <t>IC2103</t>
  </si>
  <si>
    <t>地脉</t>
    <phoneticPr fontId="3" type="noConversion"/>
  </si>
  <si>
    <t>电击</t>
    <phoneticPr fontId="3" type="noConversion"/>
  </si>
  <si>
    <t>冷却</t>
    <phoneticPr fontId="3" type="noConversion"/>
  </si>
  <si>
    <t>火炎</t>
    <phoneticPr fontId="3" type="noConversion"/>
  </si>
  <si>
    <t>神圣</t>
    <phoneticPr fontId="3" type="noConversion"/>
  </si>
  <si>
    <t>物理</t>
    <phoneticPr fontId="3" type="noConversion"/>
  </si>
  <si>
    <t>魔攻</t>
    <phoneticPr fontId="3" type="noConversion"/>
  </si>
  <si>
    <t>主属性</t>
    <phoneticPr fontId="3" type="noConversion"/>
  </si>
  <si>
    <t>imge</t>
    <phoneticPr fontId="3" type="noConversion"/>
  </si>
  <si>
    <t>属性成长</t>
    <phoneticPr fontId="3" type="noConversion"/>
  </si>
  <si>
    <t>职业档次</t>
    <phoneticPr fontId="3" type="noConversion"/>
  </si>
  <si>
    <t>下级职业</t>
    <phoneticPr fontId="3" type="noConversion"/>
  </si>
  <si>
    <t>上级职业</t>
    <phoneticPr fontId="3" type="noConversion"/>
  </si>
  <si>
    <t>终极职业</t>
    <phoneticPr fontId="3" type="noConversion"/>
  </si>
  <si>
    <t>属性数量</t>
    <phoneticPr fontId="3" type="noConversion"/>
  </si>
  <si>
    <t>能力</t>
    <phoneticPr fontId="3" type="noConversion"/>
  </si>
  <si>
    <t>实际能力</t>
    <phoneticPr fontId="3" type="noConversion"/>
  </si>
  <si>
    <t>其他能力</t>
    <phoneticPr fontId="3" type="noConversion"/>
  </si>
  <si>
    <t>s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</si>
  <si>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</si>
  <si>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</si>
  <si>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</si>
  <si>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drop品质</t>
    <phoneticPr fontId="3" type="noConversion"/>
  </si>
  <si>
    <t>属性数量</t>
    <phoneticPr fontId="3" type="noConversion"/>
  </si>
  <si>
    <t>能力</t>
    <phoneticPr fontId="3" type="noConversion"/>
  </si>
  <si>
    <t>实际能力</t>
    <phoneticPr fontId="3" type="noConversion"/>
  </si>
  <si>
    <t>其他能力</t>
    <phoneticPr fontId="3" type="noConversion"/>
  </si>
  <si>
    <t>s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</si>
  <si>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</si>
  <si>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</si>
  <si>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</si>
  <si>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weapon品质</t>
    <phoneticPr fontId="3" type="noConversion"/>
  </si>
  <si>
    <t>s</t>
    <phoneticPr fontId="3" type="noConversion"/>
  </si>
  <si>
    <t>--</t>
    <phoneticPr fontId="3" type="noConversion"/>
  </si>
  <si>
    <t>a</t>
    <phoneticPr fontId="3" type="noConversion"/>
  </si>
  <si>
    <t>a</t>
    <phoneticPr fontId="3" type="noConversion"/>
  </si>
  <si>
    <t>b</t>
    <phoneticPr fontId="3" type="noConversion"/>
  </si>
  <si>
    <t>b</t>
    <phoneticPr fontId="3" type="noConversion"/>
  </si>
  <si>
    <t>b</t>
    <phoneticPr fontId="3" type="noConversion"/>
  </si>
  <si>
    <t>--</t>
    <phoneticPr fontId="3" type="noConversion"/>
  </si>
  <si>
    <t>b</t>
    <phoneticPr fontId="3" type="noConversion"/>
  </si>
  <si>
    <t>--</t>
    <phoneticPr fontId="3" type="noConversion"/>
  </si>
  <si>
    <t>c</t>
    <phoneticPr fontId="3" type="noConversion"/>
  </si>
  <si>
    <t>--</t>
    <phoneticPr fontId="3" type="noConversion"/>
  </si>
  <si>
    <t>c</t>
    <phoneticPr fontId="3" type="noConversion"/>
  </si>
  <si>
    <t>--</t>
    <phoneticPr fontId="3" type="noConversion"/>
  </si>
  <si>
    <t>c</t>
    <phoneticPr fontId="3" type="noConversion"/>
  </si>
  <si>
    <t>--</t>
    <phoneticPr fontId="3" type="noConversion"/>
  </si>
  <si>
    <t>c</t>
    <phoneticPr fontId="3" type="noConversion"/>
  </si>
  <si>
    <t>--</t>
    <phoneticPr fontId="3" type="noConversion"/>
  </si>
  <si>
    <t>c</t>
    <phoneticPr fontId="3" type="noConversion"/>
  </si>
  <si>
    <t>--</t>
    <phoneticPr fontId="3" type="noConversion"/>
  </si>
  <si>
    <t>c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</si>
  <si>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</si>
  <si>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</si>
  <si>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</si>
  <si>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</si>
  <si>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</si>
  <si>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</si>
  <si>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</si>
  <si>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</si>
  <si>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</si>
  <si>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</si>
  <si>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</si>
  <si>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</si>
  <si>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</si>
  <si>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</si>
  <si>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</si>
  <si>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</si>
  <si>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</si>
  <si>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</si>
  <si>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</si>
  <si>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</si>
  <si>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</si>
  <si>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</si>
  <si>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</si>
  <si>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</si>
  <si>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--</t>
    <phoneticPr fontId="3" type="noConversion"/>
  </si>
  <si>
    <t>hp</t>
    <phoneticPr fontId="3" type="noConversion"/>
  </si>
  <si>
    <t>mp</t>
    <phoneticPr fontId="3" type="noConversion"/>
  </si>
  <si>
    <t>hp</t>
    <phoneticPr fontId="3" type="noConversion"/>
  </si>
  <si>
    <t>mp</t>
    <phoneticPr fontId="3" type="noConversion"/>
  </si>
  <si>
    <t>物攻</t>
    <phoneticPr fontId="3" type="noConversion"/>
  </si>
  <si>
    <t>物防</t>
    <phoneticPr fontId="3" type="noConversion"/>
  </si>
  <si>
    <t>魔攻</t>
    <phoneticPr fontId="3" type="noConversion"/>
  </si>
  <si>
    <t>魔防</t>
    <phoneticPr fontId="3" type="noConversion"/>
  </si>
  <si>
    <r>
      <rPr>
        <sz val="10"/>
        <color theme="1"/>
        <rFont val="宋体"/>
        <family val="3"/>
        <charset val="134"/>
      </rPr>
      <t>下级职业</t>
    </r>
    <phoneticPr fontId="3" type="noConversion"/>
  </si>
  <si>
    <r>
      <rPr>
        <sz val="10"/>
        <color theme="1"/>
        <rFont val="宋体"/>
        <family val="3"/>
        <charset val="134"/>
      </rPr>
      <t>吟游诗人</t>
    </r>
    <phoneticPr fontId="3" type="noConversion"/>
  </si>
  <si>
    <r>
      <rPr>
        <sz val="10"/>
        <color theme="1"/>
        <rFont val="宋体"/>
        <family val="3"/>
        <charset val="134"/>
      </rPr>
      <t>滑稽师</t>
    </r>
    <phoneticPr fontId="3" type="noConversion"/>
  </si>
  <si>
    <r>
      <rPr>
        <sz val="10"/>
        <color theme="1"/>
        <rFont val="宋体"/>
        <family val="3"/>
        <charset val="134"/>
      </rPr>
      <t>天地雷鳴士</t>
    </r>
  </si>
  <si>
    <r>
      <rPr>
        <b/>
        <sz val="10"/>
        <color theme="0"/>
        <rFont val="宋体"/>
        <family val="3"/>
        <charset val="134"/>
      </rPr>
      <t>武器</t>
    </r>
    <r>
      <rPr>
        <b/>
        <sz val="10"/>
        <color theme="0"/>
        <rFont val="Arial"/>
        <family val="2"/>
      </rPr>
      <t>id</t>
    </r>
    <phoneticPr fontId="3" type="noConversion"/>
  </si>
  <si>
    <r>
      <rPr>
        <b/>
        <sz val="10"/>
        <color theme="0"/>
        <rFont val="宋体"/>
        <family val="3"/>
        <charset val="134"/>
      </rPr>
      <t>品质</t>
    </r>
    <phoneticPr fontId="3" type="noConversion"/>
  </si>
  <si>
    <r>
      <rPr>
        <b/>
        <sz val="10"/>
        <color theme="0"/>
        <rFont val="宋体"/>
        <family val="3"/>
        <charset val="134"/>
      </rPr>
      <t>技能</t>
    </r>
    <phoneticPr fontId="3" type="noConversion"/>
  </si>
  <si>
    <r>
      <rPr>
        <b/>
        <sz val="10"/>
        <color theme="0"/>
        <rFont val="宋体"/>
        <family val="3"/>
        <charset val="134"/>
      </rPr>
      <t>职业</t>
    </r>
    <phoneticPr fontId="3" type="noConversion"/>
  </si>
  <si>
    <r>
      <rPr>
        <b/>
        <sz val="10"/>
        <color theme="0"/>
        <rFont val="宋体"/>
        <family val="3"/>
        <charset val="134"/>
      </rPr>
      <t>职业需求</t>
    </r>
    <phoneticPr fontId="3" type="noConversion"/>
  </si>
  <si>
    <r>
      <rPr>
        <b/>
        <sz val="10"/>
        <color theme="0"/>
        <rFont val="宋体"/>
        <family val="3"/>
        <charset val="134"/>
      </rPr>
      <t>职业等级</t>
    </r>
    <phoneticPr fontId="3" type="noConversion"/>
  </si>
  <si>
    <r>
      <rPr>
        <b/>
        <sz val="10"/>
        <color theme="0"/>
        <rFont val="宋体"/>
        <family val="3"/>
        <charset val="134"/>
      </rPr>
      <t>主属性</t>
    </r>
    <phoneticPr fontId="3" type="noConversion"/>
  </si>
  <si>
    <r>
      <rPr>
        <b/>
        <sz val="10"/>
        <color theme="0"/>
        <rFont val="宋体"/>
        <family val="3"/>
        <charset val="134"/>
      </rPr>
      <t>额外伤害</t>
    </r>
    <phoneticPr fontId="3" type="noConversion"/>
  </si>
  <si>
    <r>
      <rPr>
        <b/>
        <sz val="10"/>
        <color theme="0"/>
        <rFont val="宋体"/>
        <family val="3"/>
        <charset val="134"/>
      </rPr>
      <t>物攻</t>
    </r>
    <phoneticPr fontId="3" type="noConversion"/>
  </si>
  <si>
    <r>
      <rPr>
        <b/>
        <sz val="10"/>
        <color theme="0"/>
        <rFont val="宋体"/>
        <family val="3"/>
        <charset val="134"/>
      </rPr>
      <t>物防</t>
    </r>
    <phoneticPr fontId="3" type="noConversion"/>
  </si>
  <si>
    <r>
      <rPr>
        <b/>
        <sz val="10"/>
        <color theme="0"/>
        <rFont val="宋体"/>
        <family val="3"/>
        <charset val="134"/>
      </rPr>
      <t>魔攻</t>
    </r>
    <phoneticPr fontId="3" type="noConversion"/>
  </si>
  <si>
    <r>
      <rPr>
        <b/>
        <sz val="10"/>
        <color theme="0"/>
        <rFont val="宋体"/>
        <family val="3"/>
        <charset val="134"/>
      </rPr>
      <t>魔防</t>
    </r>
    <phoneticPr fontId="3" type="noConversion"/>
  </si>
  <si>
    <r>
      <rPr>
        <b/>
        <sz val="10"/>
        <color theme="0"/>
        <rFont val="宋体"/>
        <family val="3"/>
        <charset val="134"/>
      </rPr>
      <t>敏捷</t>
    </r>
    <phoneticPr fontId="3" type="noConversion"/>
  </si>
  <si>
    <r>
      <rPr>
        <b/>
        <sz val="10"/>
        <color theme="0"/>
        <rFont val="宋体"/>
        <family val="3"/>
        <charset val="134"/>
      </rPr>
      <t>幸运</t>
    </r>
    <phoneticPr fontId="3" type="noConversion"/>
  </si>
  <si>
    <r>
      <rPr>
        <b/>
        <sz val="10"/>
        <color theme="0"/>
        <rFont val="宋体"/>
        <family val="3"/>
        <charset val="134"/>
      </rPr>
      <t>命中</t>
    </r>
    <phoneticPr fontId="3" type="noConversion"/>
  </si>
  <si>
    <r>
      <rPr>
        <b/>
        <sz val="10"/>
        <color theme="0"/>
        <rFont val="宋体"/>
        <family val="3"/>
        <charset val="134"/>
      </rPr>
      <t>闪避</t>
    </r>
    <phoneticPr fontId="3" type="noConversion"/>
  </si>
  <si>
    <r>
      <rPr>
        <b/>
        <sz val="10"/>
        <color theme="0"/>
        <rFont val="宋体"/>
        <family val="3"/>
        <charset val="134"/>
      </rPr>
      <t>痛打</t>
    </r>
    <phoneticPr fontId="3" type="noConversion"/>
  </si>
  <si>
    <r>
      <rPr>
        <b/>
        <sz val="10"/>
        <color theme="0"/>
        <rFont val="宋体"/>
        <family val="3"/>
        <charset val="134"/>
      </rPr>
      <t>物理</t>
    </r>
    <phoneticPr fontId="3" type="noConversion"/>
  </si>
  <si>
    <r>
      <rPr>
        <b/>
        <sz val="10"/>
        <color theme="0"/>
        <rFont val="宋体"/>
        <family val="3"/>
        <charset val="134"/>
      </rPr>
      <t>地脉</t>
    </r>
    <phoneticPr fontId="3" type="noConversion"/>
  </si>
  <si>
    <r>
      <rPr>
        <b/>
        <sz val="10"/>
        <color theme="0"/>
        <rFont val="宋体"/>
        <family val="3"/>
        <charset val="134"/>
      </rPr>
      <t>冷却</t>
    </r>
    <phoneticPr fontId="3" type="noConversion"/>
  </si>
  <si>
    <r>
      <rPr>
        <b/>
        <sz val="10"/>
        <color theme="0"/>
        <rFont val="宋体"/>
        <family val="3"/>
        <charset val="134"/>
      </rPr>
      <t>火炎</t>
    </r>
    <phoneticPr fontId="3" type="noConversion"/>
  </si>
  <si>
    <r>
      <rPr>
        <b/>
        <sz val="10"/>
        <color theme="0"/>
        <rFont val="宋体"/>
        <family val="3"/>
        <charset val="134"/>
      </rPr>
      <t>神圣</t>
    </r>
    <phoneticPr fontId="3" type="noConversion"/>
  </si>
  <si>
    <r>
      <rPr>
        <b/>
        <sz val="10"/>
        <color theme="0"/>
        <rFont val="宋体"/>
        <family val="3"/>
        <charset val="134"/>
      </rPr>
      <t>黑暗</t>
    </r>
    <phoneticPr fontId="3" type="noConversion"/>
  </si>
  <si>
    <r>
      <rPr>
        <b/>
        <sz val="10"/>
        <color theme="0"/>
        <rFont val="宋体"/>
        <family val="3"/>
        <charset val="134"/>
      </rPr>
      <t>电击</t>
    </r>
    <phoneticPr fontId="3" type="noConversion"/>
  </si>
  <si>
    <r>
      <rPr>
        <sz val="10"/>
        <color theme="1"/>
        <rFont val="宋体"/>
        <family val="3"/>
        <charset val="134"/>
      </rPr>
      <t>下级职业</t>
    </r>
    <phoneticPr fontId="3" type="noConversion"/>
  </si>
  <si>
    <r>
      <rPr>
        <sz val="10"/>
        <color theme="1"/>
        <rFont val="宋体"/>
        <family val="3"/>
        <charset val="134"/>
      </rPr>
      <t>战士</t>
    </r>
    <phoneticPr fontId="3" type="noConversion"/>
  </si>
  <si>
    <r>
      <rPr>
        <sz val="10"/>
        <color theme="1"/>
        <rFont val="宋体"/>
        <family val="3"/>
        <charset val="134"/>
      </rPr>
      <t>武斗家</t>
    </r>
    <phoneticPr fontId="3" type="noConversion"/>
  </si>
  <si>
    <r>
      <rPr>
        <sz val="10"/>
        <color theme="1"/>
        <rFont val="宋体"/>
        <family val="3"/>
        <charset val="134"/>
      </rPr>
      <t>魔法师</t>
    </r>
    <phoneticPr fontId="3" type="noConversion"/>
  </si>
  <si>
    <r>
      <rPr>
        <sz val="10"/>
        <color theme="1"/>
        <rFont val="宋体"/>
        <family val="3"/>
        <charset val="134"/>
      </rPr>
      <t>僧侣</t>
    </r>
    <phoneticPr fontId="3" type="noConversion"/>
  </si>
  <si>
    <r>
      <rPr>
        <sz val="10"/>
        <color theme="1"/>
        <rFont val="宋体"/>
        <family val="3"/>
        <charset val="134"/>
      </rPr>
      <t>舞师</t>
    </r>
    <phoneticPr fontId="3" type="noConversion"/>
  </si>
  <si>
    <r>
      <rPr>
        <sz val="10"/>
        <color theme="1"/>
        <rFont val="宋体"/>
        <family val="3"/>
        <charset val="134"/>
      </rPr>
      <t>盗贼</t>
    </r>
    <phoneticPr fontId="3" type="noConversion"/>
  </si>
  <si>
    <r>
      <rPr>
        <sz val="10"/>
        <color theme="1"/>
        <rFont val="宋体"/>
        <family val="3"/>
        <charset val="134"/>
      </rPr>
      <t>养羊师</t>
    </r>
    <phoneticPr fontId="3" type="noConversion"/>
  </si>
  <si>
    <r>
      <rPr>
        <sz val="10"/>
        <color theme="1"/>
        <rFont val="宋体"/>
        <family val="3"/>
        <charset val="134"/>
      </rPr>
      <t>吟游诗人</t>
    </r>
    <phoneticPr fontId="3" type="noConversion"/>
  </si>
  <si>
    <r>
      <rPr>
        <sz val="10"/>
        <color theme="1"/>
        <rFont val="宋体"/>
        <family val="3"/>
        <charset val="134"/>
      </rPr>
      <t>水手</t>
    </r>
    <phoneticPr fontId="3" type="noConversion"/>
  </si>
  <si>
    <r>
      <rPr>
        <sz val="10"/>
        <color theme="1"/>
        <rFont val="宋体"/>
        <family val="3"/>
        <charset val="134"/>
      </rPr>
      <t>上级职业</t>
    </r>
    <phoneticPr fontId="3" type="noConversion"/>
  </si>
  <si>
    <r>
      <rPr>
        <sz val="10"/>
        <color theme="1"/>
        <rFont val="宋体"/>
        <family val="3"/>
        <charset val="134"/>
      </rPr>
      <t>战斗大师</t>
    </r>
    <phoneticPr fontId="3" type="noConversion"/>
  </si>
  <si>
    <r>
      <rPr>
        <sz val="10"/>
        <color theme="1"/>
        <rFont val="宋体"/>
        <family val="3"/>
        <charset val="134"/>
      </rPr>
      <t>魔法战士</t>
    </r>
    <phoneticPr fontId="3" type="noConversion"/>
  </si>
  <si>
    <r>
      <rPr>
        <sz val="10"/>
        <color theme="1"/>
        <rFont val="宋体"/>
        <family val="3"/>
        <charset val="134"/>
      </rPr>
      <t>圣骑士</t>
    </r>
    <phoneticPr fontId="3" type="noConversion"/>
  </si>
  <si>
    <r>
      <rPr>
        <sz val="10"/>
        <color theme="1"/>
        <rFont val="宋体"/>
        <family val="3"/>
        <charset val="134"/>
      </rPr>
      <t>贤者</t>
    </r>
    <phoneticPr fontId="3" type="noConversion"/>
  </si>
  <si>
    <r>
      <rPr>
        <sz val="10"/>
        <color theme="1"/>
        <rFont val="宋体"/>
        <family val="3"/>
        <charset val="134"/>
      </rPr>
      <t>魔物猎人</t>
    </r>
    <phoneticPr fontId="3" type="noConversion"/>
  </si>
  <si>
    <r>
      <rPr>
        <sz val="10"/>
        <color theme="1"/>
        <rFont val="宋体"/>
        <family val="3"/>
        <charset val="134"/>
      </rPr>
      <t>海贼</t>
    </r>
    <phoneticPr fontId="3" type="noConversion"/>
  </si>
  <si>
    <r>
      <rPr>
        <sz val="10"/>
        <color theme="1"/>
        <rFont val="宋体"/>
        <family val="3"/>
        <charset val="134"/>
      </rPr>
      <t>超级明星</t>
    </r>
    <phoneticPr fontId="3" type="noConversion"/>
  </si>
  <si>
    <r>
      <rPr>
        <sz val="10"/>
        <color theme="1"/>
        <rFont val="宋体"/>
        <family val="3"/>
        <charset val="134"/>
      </rPr>
      <t>终极职业</t>
    </r>
    <phoneticPr fontId="3" type="noConversion"/>
  </si>
  <si>
    <r>
      <rPr>
        <sz val="10"/>
        <color theme="1"/>
        <rFont val="宋体"/>
        <family val="3"/>
        <charset val="134"/>
      </rPr>
      <t>神之手</t>
    </r>
    <phoneticPr fontId="3" type="noConversion"/>
  </si>
  <si>
    <r>
      <rPr>
        <sz val="10"/>
        <color theme="1"/>
        <rFont val="宋体"/>
        <family val="3"/>
        <charset val="134"/>
      </rPr>
      <t>勇者</t>
    </r>
    <phoneticPr fontId="3" type="noConversion"/>
  </si>
  <si>
    <r>
      <rPr>
        <b/>
        <sz val="10"/>
        <color theme="0"/>
        <rFont val="宋体"/>
        <family val="3"/>
        <charset val="134"/>
      </rPr>
      <t>挂饰</t>
    </r>
    <r>
      <rPr>
        <b/>
        <sz val="10"/>
        <color theme="0"/>
        <rFont val="Arial"/>
        <family val="2"/>
      </rPr>
      <t>id</t>
    </r>
    <phoneticPr fontId="3" type="noConversion"/>
  </si>
  <si>
    <t>物防</t>
    <phoneticPr fontId="3" type="noConversion"/>
  </si>
  <si>
    <t>物攻</t>
    <phoneticPr fontId="3" type="noConversion"/>
  </si>
  <si>
    <t>闪避</t>
    <phoneticPr fontId="3" type="noConversion"/>
  </si>
  <si>
    <t>命中</t>
    <phoneticPr fontId="3" type="noConversion"/>
  </si>
  <si>
    <t>暴击</t>
    <phoneticPr fontId="3" type="noConversion"/>
  </si>
  <si>
    <t>employPrice</t>
    <phoneticPr fontId="3" type="noConversion"/>
  </si>
  <si>
    <t>sp</t>
    <phoneticPr fontId="3" type="noConversion"/>
  </si>
  <si>
    <r>
      <rPr>
        <b/>
        <sz val="10"/>
        <color theme="1"/>
        <rFont val="宋体"/>
        <family val="3"/>
        <charset val="134"/>
      </rPr>
      <t>职业</t>
    </r>
    <r>
      <rPr>
        <b/>
        <sz val="10"/>
        <color theme="1"/>
        <rFont val="Arial"/>
        <family val="2"/>
      </rPr>
      <t>Max</t>
    </r>
    <phoneticPr fontId="3" type="noConversion"/>
  </si>
  <si>
    <t>雇佣兵男</t>
    <phoneticPr fontId="3" type="noConversion"/>
  </si>
  <si>
    <t>雇佣兵女</t>
    <phoneticPr fontId="3" type="noConversion"/>
  </si>
  <si>
    <t>魔法战士+贤者+海贼</t>
    <phoneticPr fontId="8" type="noConversion"/>
  </si>
  <si>
    <t>转职</t>
    <phoneticPr fontId="3" type="noConversion"/>
  </si>
  <si>
    <t>职业需求4级</t>
    <phoneticPr fontId="3" type="noConversion"/>
  </si>
  <si>
    <r>
      <rPr>
        <sz val="10"/>
        <color theme="1"/>
        <rFont val="Arial Unicode MS"/>
        <family val="2"/>
        <charset val="134"/>
      </rPr>
      <t>武斗家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僧侣</t>
    </r>
    <phoneticPr fontId="8" type="noConversion"/>
  </si>
  <si>
    <r>
      <rPr>
        <sz val="10"/>
        <color theme="1"/>
        <rFont val="Arial Unicode MS"/>
        <family val="2"/>
        <charset val="134"/>
      </rPr>
      <t>盗贼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弓箭手</t>
    </r>
    <phoneticPr fontId="8" type="noConversion"/>
  </si>
  <si>
    <r>
      <rPr>
        <sz val="10"/>
        <color theme="1"/>
        <rFont val="Arial Unicode MS"/>
        <family val="2"/>
        <charset val="134"/>
      </rPr>
      <t>盗贼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炼金术师</t>
    </r>
    <phoneticPr fontId="8" type="noConversion"/>
  </si>
  <si>
    <t>职业基础</t>
    <phoneticPr fontId="3" type="noConversion"/>
  </si>
  <si>
    <r>
      <t>npc</t>
    </r>
    <r>
      <rPr>
        <b/>
        <sz val="10"/>
        <color theme="0"/>
        <rFont val="宋体"/>
        <family val="3"/>
        <charset val="134"/>
      </rPr>
      <t>基础</t>
    </r>
    <r>
      <rPr>
        <sz val="10"/>
        <color theme="1"/>
        <rFont val="宋体"/>
        <family val="3"/>
        <charset val="134"/>
      </rPr>
      <t>础</t>
    </r>
    <phoneticPr fontId="3" type="noConversion"/>
  </si>
  <si>
    <t>威尔</t>
  </si>
  <si>
    <t>月爁</t>
  </si>
  <si>
    <t>艾米莉塔</t>
  </si>
  <si>
    <t>塞维尔</t>
  </si>
  <si>
    <t>雷格拉</t>
  </si>
  <si>
    <t>络纱娜</t>
  </si>
  <si>
    <t>神职侍女</t>
  </si>
  <si>
    <t>水那</t>
  </si>
  <si>
    <t>火狐</t>
  </si>
  <si>
    <t>克莱尔</t>
  </si>
  <si>
    <t>梅洛蒂亚娜</t>
  </si>
  <si>
    <t>莎露媞</t>
  </si>
  <si>
    <t>克尔安奴</t>
  </si>
  <si>
    <t>幻兽</t>
  </si>
  <si>
    <t>狐伯莲</t>
  </si>
  <si>
    <t>雷龙</t>
  </si>
  <si>
    <t>伊丽莎斯</t>
  </si>
  <si>
    <t>死神</t>
  </si>
  <si>
    <t>露丝</t>
  </si>
  <si>
    <t>伊琳娜</t>
  </si>
  <si>
    <t>伊夫琳</t>
  </si>
  <si>
    <t>莉莉</t>
  </si>
  <si>
    <t>普罗阿</t>
  </si>
  <si>
    <t>菲尼莉</t>
  </si>
  <si>
    <t>女佣</t>
  </si>
  <si>
    <t>女佣（邪恶）</t>
  </si>
  <si>
    <t>纳斯塔西娅</t>
  </si>
  <si>
    <t>依库瑞娅</t>
  </si>
  <si>
    <t>男佣兵</t>
  </si>
  <si>
    <t>女佣兵</t>
  </si>
  <si>
    <t>基础职业</t>
    <phoneticPr fontId="3" type="noConversion"/>
  </si>
  <si>
    <t>弓箭手</t>
    <phoneticPr fontId="3" type="noConversion"/>
  </si>
  <si>
    <t>炼金术师</t>
    <phoneticPr fontId="3" type="noConversion"/>
  </si>
  <si>
    <t>炼金术师</t>
    <phoneticPr fontId="3" type="noConversion"/>
  </si>
  <si>
    <t>战士</t>
    <phoneticPr fontId="3" type="noConversion"/>
  </si>
  <si>
    <t>僧侣</t>
    <phoneticPr fontId="3" type="noConversion"/>
  </si>
  <si>
    <t>魔法师</t>
    <phoneticPr fontId="3" type="noConversion"/>
  </si>
  <si>
    <t>战斗大师</t>
    <phoneticPr fontId="3" type="noConversion"/>
  </si>
  <si>
    <t>圣骑士</t>
    <phoneticPr fontId="3" type="noConversion"/>
  </si>
  <si>
    <t>盗贼</t>
    <phoneticPr fontId="3" type="noConversion"/>
  </si>
  <si>
    <t>弓箭手</t>
    <phoneticPr fontId="3" type="noConversion"/>
  </si>
  <si>
    <t>武斗家</t>
    <phoneticPr fontId="3" type="noConversion"/>
  </si>
  <si>
    <t>舞师</t>
    <phoneticPr fontId="3" type="noConversion"/>
  </si>
  <si>
    <t>魔法战士</t>
    <phoneticPr fontId="3" type="noConversion"/>
  </si>
  <si>
    <t>吟游诗人</t>
    <phoneticPr fontId="3" type="noConversion"/>
  </si>
  <si>
    <t>魔物猎人</t>
    <phoneticPr fontId="3" type="noConversion"/>
  </si>
  <si>
    <t>战斗大师</t>
    <phoneticPr fontId="3" type="noConversion"/>
  </si>
  <si>
    <t>海贼</t>
    <phoneticPr fontId="3" type="noConversion"/>
  </si>
  <si>
    <t>超级明星</t>
    <phoneticPr fontId="3" type="noConversion"/>
  </si>
  <si>
    <t>滑稽师</t>
    <phoneticPr fontId="3" type="noConversion"/>
  </si>
  <si>
    <t>贤者</t>
    <phoneticPr fontId="3" type="noConversion"/>
  </si>
  <si>
    <t>超级明星</t>
    <phoneticPr fontId="3" type="noConversion"/>
  </si>
  <si>
    <t>魔法战士</t>
    <phoneticPr fontId="3" type="noConversion"/>
  </si>
  <si>
    <t>战斗大师</t>
    <phoneticPr fontId="3" type="noConversion"/>
  </si>
  <si>
    <t>战士</t>
    <phoneticPr fontId="3" type="noConversion"/>
  </si>
  <si>
    <t>·</t>
    <phoneticPr fontId="3" type="noConversion"/>
  </si>
  <si>
    <t>属性偏重</t>
    <phoneticPr fontId="3" type="noConversion"/>
  </si>
  <si>
    <t>职业类型</t>
    <phoneticPr fontId="3" type="noConversion"/>
  </si>
  <si>
    <r>
      <t>npc</t>
    </r>
    <r>
      <rPr>
        <b/>
        <i/>
        <sz val="10"/>
        <color theme="0"/>
        <rFont val="宋体"/>
        <family val="3"/>
        <charset val="134"/>
      </rPr>
      <t>基础成长</t>
    </r>
    <phoneticPr fontId="3" type="noConversion"/>
  </si>
  <si>
    <t>average</t>
    <phoneticPr fontId="3" type="noConversion"/>
  </si>
  <si>
    <t>lv</t>
    <phoneticPr fontId="3" type="noConversion"/>
  </si>
  <si>
    <t>基础伤害减免</t>
    <phoneticPr fontId="3" type="noConversion"/>
  </si>
  <si>
    <t>总伤害减免</t>
    <phoneticPr fontId="3" type="noConversion"/>
  </si>
  <si>
    <t>基础抗性</t>
    <phoneticPr fontId="3" type="noConversion"/>
  </si>
  <si>
    <t>装备抗性</t>
    <phoneticPr fontId="3" type="noConversion"/>
  </si>
  <si>
    <t>东方国将军</t>
    <phoneticPr fontId="3" type="noConversion"/>
  </si>
  <si>
    <t>死神强化版</t>
    <phoneticPr fontId="3" type="noConversion"/>
  </si>
  <si>
    <t>柯丽雅</t>
    <phoneticPr fontId="3" type="noConversion"/>
  </si>
  <si>
    <t>战斗大师</t>
    <phoneticPr fontId="3" type="noConversion"/>
  </si>
  <si>
    <t>魔法战士</t>
    <phoneticPr fontId="3" type="noConversion"/>
  </si>
  <si>
    <t>魔物猎人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</si>
</sst>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¥&quot;#,##0.00;&quot;¥&quot;\-#,##0.00"/>
    <numFmt numFmtId="176" formatCode="0.000000000000000%"/>
    <numFmt numFmtId="177" formatCode="0.00000000000000%"/>
    <numFmt numFmtId="178" formatCode="0.000000000%"/>
    <numFmt numFmtId="179" formatCode="0.00000000%"/>
    <numFmt numFmtId="180" formatCode="0.00_ "/>
  </numFmts>
  <fonts count="17" x14ac:knownFonts="1">
    <font>
      <sz val="11"/>
      <color theme="1"/>
      <name val="宋体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name val="宋体"/>
      <family val="3"/>
      <charset val="134"/>
      <scheme val="minor"/>
    </font>
    <font>
      <b/>
      <sz val="10"/>
      <color theme="1"/>
      <name val="Arial Unicode MS"/>
      <family val="2"/>
      <charset val="134"/>
    </font>
    <font>
      <sz val="10"/>
      <color theme="1"/>
      <name val="宋体"/>
      <family val="3"/>
      <charset val="134"/>
    </font>
    <font>
      <sz val="10"/>
      <color theme="1"/>
      <name val="宋体"/>
      <family val="2"/>
    </font>
    <font>
      <sz val="10"/>
      <color theme="1"/>
      <name val="Arial Unicode MS"/>
      <family val="2"/>
      <charset val="134"/>
    </font>
    <font>
      <sz val="9"/>
      <name val="宋体"/>
      <family val="3"/>
      <charset val="134"/>
    </font>
    <font>
      <b/>
      <sz val="10"/>
      <color theme="0"/>
      <name val="宋体"/>
      <family val="3"/>
      <charset val="134"/>
    </font>
    <font>
      <sz val="10"/>
      <color theme="0"/>
      <name val="宋体"/>
      <family val="3"/>
      <charset val="134"/>
    </font>
    <font>
      <b/>
      <sz val="10"/>
      <color theme="0"/>
      <name val="Arial"/>
      <family val="2"/>
    </font>
    <font>
      <b/>
      <sz val="10"/>
      <color theme="0"/>
      <name val="宋体"/>
      <family val="2"/>
    </font>
    <font>
      <sz val="10"/>
      <color theme="0"/>
      <name val="Arial"/>
      <family val="2"/>
    </font>
    <font>
      <b/>
      <sz val="10"/>
      <color theme="1"/>
      <name val="宋体"/>
      <family val="3"/>
      <charset val="134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/>
    <xf numFmtId="0" fontId="1" fillId="0" borderId="5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9" fillId="2" borderId="5" xfId="0" applyFont="1" applyFill="1" applyBorder="1" applyAlignment="1">
      <alignment horizontal="center"/>
    </xf>
    <xf numFmtId="0" fontId="10" fillId="3" borderId="5" xfId="0" applyFont="1" applyFill="1" applyBorder="1"/>
    <xf numFmtId="9" fontId="1" fillId="0" borderId="5" xfId="0" applyNumberFormat="1" applyFont="1" applyBorder="1"/>
    <xf numFmtId="0" fontId="11" fillId="2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/>
    </xf>
    <xf numFmtId="9" fontId="5" fillId="0" borderId="5" xfId="0" applyNumberFormat="1" applyFont="1" applyBorder="1"/>
    <xf numFmtId="0" fontId="1" fillId="0" borderId="5" xfId="0" applyFont="1" applyBorder="1"/>
    <xf numFmtId="0" fontId="10" fillId="3" borderId="0" xfId="0" applyFont="1" applyFill="1"/>
    <xf numFmtId="0" fontId="13" fillId="3" borderId="0" xfId="0" applyFont="1" applyFill="1"/>
    <xf numFmtId="0" fontId="5" fillId="0" borderId="5" xfId="0" applyNumberFormat="1" applyFont="1" applyBorder="1"/>
    <xf numFmtId="0" fontId="2" fillId="4" borderId="4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1" fillId="0" borderId="5" xfId="0" quotePrefix="1" applyFont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5" xfId="0" applyFont="1" applyBorder="1" applyAlignment="1">
      <alignment horizontal="center"/>
    </xf>
    <xf numFmtId="9" fontId="11" fillId="2" borderId="5" xfId="0" applyNumberFormat="1" applyFont="1" applyFill="1" applyBorder="1" applyAlignment="1">
      <alignment horizontal="center" vertical="center"/>
    </xf>
    <xf numFmtId="9" fontId="1" fillId="0" borderId="5" xfId="0" applyNumberFormat="1" applyFont="1" applyBorder="1" applyAlignment="1">
      <alignment horizontal="center"/>
    </xf>
    <xf numFmtId="9" fontId="1" fillId="0" borderId="0" xfId="0" applyNumberFormat="1" applyFont="1" applyAlignment="1">
      <alignment horizontal="center"/>
    </xf>
    <xf numFmtId="9" fontId="11" fillId="2" borderId="5" xfId="0" applyNumberFormat="1" applyFont="1" applyFill="1" applyBorder="1" applyAlignment="1">
      <alignment horizontal="center"/>
    </xf>
    <xf numFmtId="9" fontId="1" fillId="0" borderId="5" xfId="0" applyNumberFormat="1" applyFont="1" applyBorder="1" applyAlignment="1">
      <alignment horizontal="center" vertical="center"/>
    </xf>
    <xf numFmtId="7" fontId="1" fillId="0" borderId="0" xfId="0" applyNumberFormat="1" applyFont="1"/>
    <xf numFmtId="0" fontId="5" fillId="0" borderId="0" xfId="0" applyFont="1"/>
    <xf numFmtId="176" fontId="1" fillId="0" borderId="0" xfId="0" applyNumberFormat="1" applyFont="1"/>
    <xf numFmtId="177" fontId="1" fillId="0" borderId="0" xfId="0" applyNumberFormat="1" applyFont="1" applyAlignment="1">
      <alignment horizontal="center"/>
    </xf>
    <xf numFmtId="178" fontId="1" fillId="0" borderId="0" xfId="0" applyNumberFormat="1" applyFont="1"/>
    <xf numFmtId="179" fontId="1" fillId="0" borderId="0" xfId="0" applyNumberFormat="1" applyFont="1"/>
    <xf numFmtId="0" fontId="2" fillId="0" borderId="5" xfId="0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9" fontId="1" fillId="0" borderId="0" xfId="0" applyNumberFormat="1" applyFont="1" applyBorder="1"/>
    <xf numFmtId="0" fontId="5" fillId="0" borderId="0" xfId="0" applyNumberFormat="1" applyFont="1" applyBorder="1"/>
    <xf numFmtId="0" fontId="1" fillId="0" borderId="0" xfId="0" applyFont="1" applyBorder="1"/>
    <xf numFmtId="0" fontId="7" fillId="0" borderId="5" xfId="0" applyFont="1" applyFill="1" applyBorder="1" applyAlignment="1">
      <alignment horizontal="left" vertical="center"/>
    </xf>
    <xf numFmtId="49" fontId="0" fillId="5" borderId="9" xfId="0" applyNumberFormat="1" applyFont="1" applyFill="1" applyBorder="1" applyAlignment="1">
      <alignment vertical="center"/>
    </xf>
    <xf numFmtId="49" fontId="0" fillId="0" borderId="9" xfId="0" applyNumberFormat="1" applyFont="1" applyBorder="1" applyAlignment="1">
      <alignment vertical="center"/>
    </xf>
    <xf numFmtId="49" fontId="0" fillId="5" borderId="0" xfId="0" applyNumberFormat="1" applyFont="1" applyFill="1" applyBorder="1" applyAlignment="1">
      <alignment vertical="center"/>
    </xf>
    <xf numFmtId="49" fontId="0" fillId="0" borderId="0" xfId="0" applyNumberFormat="1" applyFont="1" applyBorder="1" applyAlignment="1">
      <alignment vertical="center"/>
    </xf>
    <xf numFmtId="0" fontId="4" fillId="0" borderId="5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49" fontId="0" fillId="5" borderId="5" xfId="0" applyNumberFormat="1" applyFont="1" applyFill="1" applyBorder="1" applyAlignment="1">
      <alignment vertical="center"/>
    </xf>
    <xf numFmtId="49" fontId="0" fillId="0" borderId="5" xfId="0" applyNumberFormat="1" applyFont="1" applyBorder="1" applyAlignment="1">
      <alignment vertical="center"/>
    </xf>
    <xf numFmtId="0" fontId="1" fillId="0" borderId="0" xfId="0" applyNumberFormat="1" applyFont="1"/>
    <xf numFmtId="180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49" fontId="0" fillId="4" borderId="9" xfId="0" applyNumberFormat="1" applyFont="1" applyFill="1" applyBorder="1" applyAlignment="1">
      <alignment vertical="center"/>
    </xf>
    <xf numFmtId="49" fontId="0" fillId="4" borderId="0" xfId="0" applyNumberFormat="1" applyFont="1" applyFill="1" applyBorder="1" applyAlignment="1">
      <alignment vertical="center"/>
    </xf>
    <xf numFmtId="49" fontId="0" fillId="6" borderId="9" xfId="0" applyNumberFormat="1" applyFont="1" applyFill="1" applyBorder="1" applyAlignment="1">
      <alignment vertical="center"/>
    </xf>
    <xf numFmtId="49" fontId="0" fillId="6" borderId="0" xfId="0" applyNumberFormat="1" applyFont="1" applyFill="1" applyBorder="1" applyAlignment="1">
      <alignment vertical="center"/>
    </xf>
    <xf numFmtId="49" fontId="0" fillId="4" borderId="5" xfId="0" applyNumberFormat="1" applyFont="1" applyFill="1" applyBorder="1" applyAlignment="1">
      <alignment vertical="center"/>
    </xf>
    <xf numFmtId="49" fontId="0" fillId="6" borderId="5" xfId="0" applyNumberFormat="1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&#26032;&#24314;&#25991;&#20214;&#22841;%20(4)\&#26032;&#35774;&#3574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设计"/>
      <sheetName val="装备设计"/>
      <sheetName val="武器表"/>
      <sheetName val="挂饰表"/>
      <sheetName val="技能设计"/>
      <sheetName val="怪物设计"/>
      <sheetName val="怪物表"/>
      <sheetName val="标准怪"/>
      <sheetName val="公式"/>
      <sheetName val="角色1"/>
      <sheetName val="角色2"/>
      <sheetName val="角色3"/>
      <sheetName val="装备1"/>
      <sheetName val="武器列表"/>
      <sheetName val="挂饰列表"/>
      <sheetName val="特殊效果列表"/>
      <sheetName val="材料表"/>
      <sheetName val="家具"/>
      <sheetName val="消耗品"/>
      <sheetName val="产出"/>
      <sheetName val="材料合成"/>
      <sheetName val="新材料"/>
      <sheetName val="工房属性"/>
      <sheetName val="drop合成"/>
      <sheetName val="weapon合成"/>
      <sheetName val="Sheet1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怪物类别</v>
          </cell>
        </row>
      </sheetData>
      <sheetData sheetId="6">
        <row r="3">
          <cell r="D3" t="str">
            <v>飞行系</v>
          </cell>
        </row>
      </sheetData>
      <sheetData sheetId="7">
        <row r="2">
          <cell r="B2" t="str">
            <v>物理次数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3">
          <cell r="L3">
            <v>1314</v>
          </cell>
        </row>
      </sheetData>
      <sheetData sheetId="20"/>
      <sheetData sheetId="21">
        <row r="3">
          <cell r="C3" t="str">
            <v>石材</v>
          </cell>
        </row>
      </sheetData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54"/>
  <sheetViews>
    <sheetView topLeftCell="F52" workbookViewId="0">
      <selection activeCell="O27" sqref="O27:O29"/>
    </sheetView>
  </sheetViews>
  <sheetFormatPr defaultRowHeight="12.75" x14ac:dyDescent="0.2"/>
  <cols>
    <col min="1" max="1" width="19.25" style="1" bestFit="1" customWidth="1"/>
    <col min="2" max="8" width="9" style="1"/>
    <col min="9" max="9" width="21.75" style="1" bestFit="1" customWidth="1"/>
    <col min="10" max="12" width="19.25" style="1" bestFit="1" customWidth="1"/>
    <col min="13" max="13" width="23.125" style="1" customWidth="1"/>
    <col min="14" max="14" width="8.375" style="1" customWidth="1"/>
    <col min="15" max="15" width="26.875" style="1" customWidth="1"/>
    <col min="16" max="16" width="39.375" style="1" customWidth="1"/>
    <col min="17" max="16384" width="9" style="1"/>
  </cols>
  <sheetData>
    <row r="1" spans="1:16" ht="13.5" thickBot="1" x14ac:dyDescent="0.25"/>
    <row r="2" spans="1:16" x14ac:dyDescent="0.2">
      <c r="A2" s="1" t="s">
        <v>236</v>
      </c>
      <c r="B2" s="12" t="s">
        <v>51</v>
      </c>
      <c r="C2" s="13" t="s">
        <v>11</v>
      </c>
      <c r="D2" s="13" t="s">
        <v>71</v>
      </c>
      <c r="E2" s="20" t="s">
        <v>72</v>
      </c>
      <c r="F2" s="20" t="s">
        <v>48</v>
      </c>
      <c r="G2" s="20" t="s">
        <v>73</v>
      </c>
      <c r="H2" s="14" t="s">
        <v>74</v>
      </c>
      <c r="I2" s="13" t="s">
        <v>52</v>
      </c>
      <c r="J2" s="13" t="s">
        <v>28</v>
      </c>
      <c r="K2" s="13" t="s">
        <v>29</v>
      </c>
      <c r="L2" s="13" t="s">
        <v>30</v>
      </c>
      <c r="M2" s="14" t="s">
        <v>75</v>
      </c>
      <c r="N2" s="14" t="s">
        <v>13</v>
      </c>
      <c r="O2" s="15" t="s">
        <v>53</v>
      </c>
      <c r="P2" s="1" t="s">
        <v>236</v>
      </c>
    </row>
    <row r="3" spans="1:16" ht="15" x14ac:dyDescent="0.2">
      <c r="A3" s="1">
        <f>INT(A40/(SUM(A$40:A$49)/10)*[1]产出!$L$3)</f>
        <v>1346</v>
      </c>
      <c r="B3" s="27" t="s">
        <v>0</v>
      </c>
      <c r="C3" s="2">
        <v>26</v>
      </c>
      <c r="D3" s="2">
        <v>4</v>
      </c>
      <c r="E3" s="2">
        <v>18</v>
      </c>
      <c r="F3" s="2">
        <v>18</v>
      </c>
      <c r="G3" s="2">
        <v>0</v>
      </c>
      <c r="H3" s="2">
        <v>1</v>
      </c>
      <c r="I3" s="2">
        <v>4</v>
      </c>
      <c r="J3" s="2">
        <v>5</v>
      </c>
      <c r="K3" s="2">
        <f>(99+J3/100)%</f>
        <v>0.99049999999999994</v>
      </c>
      <c r="L3" s="2">
        <f>(1+I3/100)%</f>
        <v>1.04E-2</v>
      </c>
      <c r="M3" s="2">
        <f>(1+J3/100)%</f>
        <v>1.0500000000000001E-2</v>
      </c>
      <c r="N3" s="2"/>
      <c r="O3" s="3" t="s">
        <v>31</v>
      </c>
    </row>
    <row r="4" spans="1:16" ht="15" x14ac:dyDescent="0.2">
      <c r="A4" s="1">
        <f>INT(A41/(SUM(A$40:A$49)/10)*[1]产出!$L$3)</f>
        <v>1347</v>
      </c>
      <c r="B4" s="27" t="s">
        <v>2</v>
      </c>
      <c r="C4" s="2">
        <v>24</v>
      </c>
      <c r="D4" s="2">
        <v>2</v>
      </c>
      <c r="E4" s="2">
        <v>18</v>
      </c>
      <c r="F4" s="2">
        <v>11</v>
      </c>
      <c r="G4" s="2">
        <v>0</v>
      </c>
      <c r="H4" s="2">
        <v>1</v>
      </c>
      <c r="I4" s="2">
        <v>23</v>
      </c>
      <c r="J4" s="2">
        <v>11</v>
      </c>
      <c r="K4" s="2">
        <f t="shared" ref="K4:K12" si="0">(99+J4/100)%</f>
        <v>0.99109999999999998</v>
      </c>
      <c r="L4" s="2">
        <f t="shared" ref="L4:M12" si="1">(1+I4/100)%</f>
        <v>1.23E-2</v>
      </c>
      <c r="M4" s="2">
        <f t="shared" si="1"/>
        <v>1.11E-2</v>
      </c>
      <c r="N4" s="2"/>
      <c r="O4" s="3" t="s">
        <v>31</v>
      </c>
    </row>
    <row r="5" spans="1:16" x14ac:dyDescent="0.2">
      <c r="A5" s="1">
        <f>INT(A42/(SUM(A$40:A$49)/10)*[1]产出!$L$3)</f>
        <v>1250</v>
      </c>
      <c r="B5" s="27" t="s">
        <v>32</v>
      </c>
      <c r="C5" s="2">
        <v>18</v>
      </c>
      <c r="D5" s="2">
        <v>18</v>
      </c>
      <c r="E5" s="2">
        <v>4</v>
      </c>
      <c r="F5" s="2">
        <v>4</v>
      </c>
      <c r="G5" s="2">
        <v>18</v>
      </c>
      <c r="H5" s="2">
        <v>2</v>
      </c>
      <c r="I5" s="2">
        <v>18</v>
      </c>
      <c r="J5" s="2">
        <v>14</v>
      </c>
      <c r="K5" s="2">
        <f t="shared" si="0"/>
        <v>0.99140000000000006</v>
      </c>
      <c r="L5" s="2">
        <f t="shared" si="1"/>
        <v>1.18E-2</v>
      </c>
      <c r="M5" s="2">
        <f t="shared" si="1"/>
        <v>1.14E-2</v>
      </c>
      <c r="N5" s="2"/>
      <c r="O5" s="3" t="s">
        <v>31</v>
      </c>
    </row>
    <row r="6" spans="1:16" ht="15" x14ac:dyDescent="0.2">
      <c r="A6" s="1">
        <f>INT(A43/(SUM(A$40:A$49)/10)*[1]产出!$L$3)</f>
        <v>1356</v>
      </c>
      <c r="B6" s="27" t="s">
        <v>3</v>
      </c>
      <c r="C6" s="2">
        <v>19</v>
      </c>
      <c r="D6" s="2">
        <v>14</v>
      </c>
      <c r="E6" s="2">
        <v>9</v>
      </c>
      <c r="F6" s="2">
        <v>9</v>
      </c>
      <c r="G6" s="2">
        <v>18</v>
      </c>
      <c r="H6" s="2">
        <v>3</v>
      </c>
      <c r="I6" s="2">
        <v>14</v>
      </c>
      <c r="J6" s="2">
        <v>9</v>
      </c>
      <c r="K6" s="2">
        <f t="shared" si="0"/>
        <v>0.9909</v>
      </c>
      <c r="L6" s="2">
        <f t="shared" si="1"/>
        <v>1.14E-2</v>
      </c>
      <c r="M6" s="2">
        <f t="shared" si="1"/>
        <v>1.09E-2</v>
      </c>
      <c r="N6" s="2"/>
      <c r="O6" s="3" t="s">
        <v>31</v>
      </c>
    </row>
    <row r="7" spans="1:16" ht="15" x14ac:dyDescent="0.2">
      <c r="A7" s="1">
        <f>INT(A44/(SUM(A$40:A$49)/10)*[1]产出!$L$3)</f>
        <v>1270</v>
      </c>
      <c r="B7" s="27" t="s">
        <v>4</v>
      </c>
      <c r="C7" s="2">
        <v>15</v>
      </c>
      <c r="D7" s="2">
        <v>10</v>
      </c>
      <c r="E7" s="2">
        <v>10</v>
      </c>
      <c r="F7" s="2">
        <v>9</v>
      </c>
      <c r="G7" s="2">
        <v>13</v>
      </c>
      <c r="H7" s="2">
        <v>2</v>
      </c>
      <c r="I7" s="2">
        <v>25</v>
      </c>
      <c r="J7" s="2">
        <v>15</v>
      </c>
      <c r="K7" s="2">
        <f t="shared" si="0"/>
        <v>0.99150000000000005</v>
      </c>
      <c r="L7" s="2">
        <f t="shared" si="1"/>
        <v>1.2500000000000001E-2</v>
      </c>
      <c r="M7" s="2">
        <f t="shared" si="1"/>
        <v>1.15E-2</v>
      </c>
      <c r="N7" s="2"/>
      <c r="O7" s="3" t="s">
        <v>31</v>
      </c>
    </row>
    <row r="8" spans="1:16" ht="15" x14ac:dyDescent="0.2">
      <c r="A8" s="1">
        <f>INT(A45/(SUM(A$40:A$49)/10)*[1]产出!$L$3)</f>
        <v>1337</v>
      </c>
      <c r="B8" s="27" t="s">
        <v>5</v>
      </c>
      <c r="C8" s="2">
        <v>20</v>
      </c>
      <c r="D8" s="2">
        <v>5</v>
      </c>
      <c r="E8" s="2">
        <v>9</v>
      </c>
      <c r="F8" s="2">
        <v>9</v>
      </c>
      <c r="G8" s="2">
        <v>0</v>
      </c>
      <c r="H8" s="2">
        <v>1</v>
      </c>
      <c r="I8" s="2">
        <v>20</v>
      </c>
      <c r="J8" s="2">
        <v>20</v>
      </c>
      <c r="K8" s="2">
        <f t="shared" si="0"/>
        <v>0.99199999999999999</v>
      </c>
      <c r="L8" s="2">
        <f t="shared" si="1"/>
        <v>1.2E-2</v>
      </c>
      <c r="M8" s="2">
        <f t="shared" si="1"/>
        <v>1.2E-2</v>
      </c>
      <c r="N8" s="2"/>
      <c r="O8" s="3" t="s">
        <v>31</v>
      </c>
    </row>
    <row r="9" spans="1:16" ht="15" x14ac:dyDescent="0.2">
      <c r="A9" s="1">
        <f>INT(A46/(SUM(A$40:A$49)/10)*[1]产出!$L$3)</f>
        <v>1317</v>
      </c>
      <c r="B9" s="27" t="s">
        <v>6</v>
      </c>
      <c r="C9" s="2">
        <v>17</v>
      </c>
      <c r="D9" s="2">
        <v>12</v>
      </c>
      <c r="E9" s="2">
        <v>6</v>
      </c>
      <c r="F9" s="2">
        <v>12</v>
      </c>
      <c r="G9" s="2">
        <v>12</v>
      </c>
      <c r="H9" s="2">
        <v>4</v>
      </c>
      <c r="I9" s="2">
        <v>10</v>
      </c>
      <c r="J9" s="2">
        <v>13</v>
      </c>
      <c r="K9" s="2">
        <f t="shared" si="0"/>
        <v>0.99129999999999996</v>
      </c>
      <c r="L9" s="2">
        <f t="shared" si="1"/>
        <v>1.1000000000000001E-2</v>
      </c>
      <c r="M9" s="2">
        <f t="shared" si="1"/>
        <v>1.1299999999999999E-2</v>
      </c>
      <c r="N9" s="2"/>
      <c r="O9" s="3" t="s">
        <v>31</v>
      </c>
    </row>
    <row r="10" spans="1:16" ht="15" x14ac:dyDescent="0.2">
      <c r="A10" s="1">
        <f>INT(A47/(SUM(A$40:A$49)/10)*[1]产出!$L$3)</f>
        <v>1342</v>
      </c>
      <c r="B10" s="27" t="s">
        <v>7</v>
      </c>
      <c r="C10" s="2">
        <v>21</v>
      </c>
      <c r="D10" s="2">
        <v>10</v>
      </c>
      <c r="E10" s="2">
        <v>8</v>
      </c>
      <c r="F10" s="2">
        <v>8</v>
      </c>
      <c r="G10" s="2">
        <v>15</v>
      </c>
      <c r="H10" s="2">
        <v>3</v>
      </c>
      <c r="I10" s="2">
        <v>10</v>
      </c>
      <c r="J10" s="2">
        <v>8</v>
      </c>
      <c r="K10" s="2">
        <f t="shared" si="0"/>
        <v>0.99080000000000001</v>
      </c>
      <c r="L10" s="2">
        <f t="shared" si="1"/>
        <v>1.1000000000000001E-2</v>
      </c>
      <c r="M10" s="2">
        <f t="shared" si="1"/>
        <v>1.0800000000000001E-2</v>
      </c>
      <c r="N10" s="2"/>
      <c r="O10" s="3" t="s">
        <v>31</v>
      </c>
    </row>
    <row r="11" spans="1:16" ht="15" x14ac:dyDescent="0.2">
      <c r="A11" s="1">
        <f>INT(A48/(SUM(A$40:A$49)/10)*[1]产出!$L$3)</f>
        <v>1249</v>
      </c>
      <c r="B11" s="27" t="s">
        <v>8</v>
      </c>
      <c r="C11" s="2">
        <v>16</v>
      </c>
      <c r="D11" s="2">
        <v>9</v>
      </c>
      <c r="E11" s="2">
        <v>10</v>
      </c>
      <c r="F11" s="2">
        <v>10</v>
      </c>
      <c r="G11" s="2">
        <v>8</v>
      </c>
      <c r="H11" s="2">
        <v>5</v>
      </c>
      <c r="I11" s="2">
        <v>18</v>
      </c>
      <c r="J11" s="2">
        <v>18</v>
      </c>
      <c r="K11" s="2">
        <f t="shared" si="0"/>
        <v>0.99180000000000001</v>
      </c>
      <c r="L11" s="2">
        <f t="shared" si="1"/>
        <v>1.18E-2</v>
      </c>
      <c r="M11" s="2">
        <f t="shared" si="1"/>
        <v>1.18E-2</v>
      </c>
      <c r="N11" s="2"/>
      <c r="O11" s="3" t="s">
        <v>31</v>
      </c>
    </row>
    <row r="12" spans="1:16" ht="15.75" thickBot="1" x14ac:dyDescent="0.25">
      <c r="A12" s="1">
        <f>INT(A49/(SUM(A$40:A$49)/10)*[1]产出!$L$3)</f>
        <v>1322</v>
      </c>
      <c r="B12" s="28" t="s">
        <v>9</v>
      </c>
      <c r="C12" s="4">
        <v>20</v>
      </c>
      <c r="D12" s="4">
        <v>3</v>
      </c>
      <c r="E12" s="4">
        <v>12</v>
      </c>
      <c r="F12" s="4">
        <v>17</v>
      </c>
      <c r="G12" s="4">
        <v>0</v>
      </c>
      <c r="H12" s="4">
        <v>1</v>
      </c>
      <c r="I12" s="4">
        <v>17</v>
      </c>
      <c r="J12" s="4">
        <v>15</v>
      </c>
      <c r="K12" s="4">
        <f t="shared" si="0"/>
        <v>0.99150000000000005</v>
      </c>
      <c r="L12" s="4">
        <f t="shared" si="1"/>
        <v>1.1699999999999999E-2</v>
      </c>
      <c r="M12" s="4">
        <f t="shared" si="1"/>
        <v>1.15E-2</v>
      </c>
      <c r="N12" s="4"/>
      <c r="O12" s="3" t="s">
        <v>31</v>
      </c>
    </row>
    <row r="13" spans="1:16" x14ac:dyDescent="0.2">
      <c r="B13" s="8"/>
      <c r="C13" s="8">
        <f>SUM(C3:C12)/10</f>
        <v>19.600000000000001</v>
      </c>
      <c r="D13" s="8">
        <f t="shared" ref="D13:L13" si="2">SUM(D3:D12)/10</f>
        <v>8.6999999999999993</v>
      </c>
      <c r="E13" s="8">
        <f t="shared" si="2"/>
        <v>10.4</v>
      </c>
      <c r="F13" s="8">
        <f t="shared" si="2"/>
        <v>10.7</v>
      </c>
      <c r="G13" s="8">
        <f t="shared" si="2"/>
        <v>8.4</v>
      </c>
      <c r="H13" s="8">
        <f t="shared" si="2"/>
        <v>2.2999999999999998</v>
      </c>
      <c r="I13" s="8">
        <f t="shared" si="2"/>
        <v>15.9</v>
      </c>
      <c r="J13" s="8">
        <f t="shared" si="2"/>
        <v>12.8</v>
      </c>
      <c r="K13" s="8">
        <f t="shared" si="2"/>
        <v>0.99128000000000005</v>
      </c>
      <c r="L13" s="8">
        <f t="shared" si="2"/>
        <v>1.159E-2</v>
      </c>
      <c r="M13" s="8">
        <f>MAX(M3:M12)</f>
        <v>1.2E-2</v>
      </c>
      <c r="N13" s="8">
        <f>MAX(N3:N12)</f>
        <v>0</v>
      </c>
      <c r="O13" s="8">
        <f>MAX(O3:O12)</f>
        <v>0</v>
      </c>
    </row>
    <row r="14" spans="1:16" ht="13.5" thickBot="1" x14ac:dyDescent="0.25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</row>
    <row r="15" spans="1:16" x14ac:dyDescent="0.2">
      <c r="B15" s="16" t="s">
        <v>54</v>
      </c>
      <c r="C15" s="13" t="s">
        <v>11</v>
      </c>
      <c r="D15" s="13" t="s">
        <v>71</v>
      </c>
      <c r="E15" s="20" t="s">
        <v>72</v>
      </c>
      <c r="F15" s="20" t="s">
        <v>48</v>
      </c>
      <c r="G15" s="20" t="s">
        <v>73</v>
      </c>
      <c r="H15" s="14" t="s">
        <v>74</v>
      </c>
      <c r="I15" s="13" t="s">
        <v>52</v>
      </c>
      <c r="J15" s="13" t="s">
        <v>28</v>
      </c>
      <c r="K15" s="13" t="s">
        <v>29</v>
      </c>
      <c r="L15" s="13" t="s">
        <v>30</v>
      </c>
      <c r="M15" s="14" t="s">
        <v>75</v>
      </c>
      <c r="N15" s="17" t="s">
        <v>13</v>
      </c>
      <c r="O15" s="16" t="s">
        <v>55</v>
      </c>
      <c r="P15" s="1" t="s">
        <v>236</v>
      </c>
    </row>
    <row r="16" spans="1:16" ht="15" x14ac:dyDescent="0.2">
      <c r="A16" s="1">
        <f>INT(A50/(SUM(A$50:A$56)/7)*[1]产出!$L$3*1.2)</f>
        <v>1924</v>
      </c>
      <c r="B16" s="6" t="s">
        <v>14</v>
      </c>
      <c r="C16" s="2">
        <f>INT(C3*1.2)</f>
        <v>31</v>
      </c>
      <c r="D16" s="2">
        <f>INT(D3*1.2)</f>
        <v>4</v>
      </c>
      <c r="E16" s="2">
        <f>INT(E3*1.2)</f>
        <v>21</v>
      </c>
      <c r="F16" s="2">
        <f>INT(F3*1.2)</f>
        <v>21</v>
      </c>
      <c r="G16" s="2">
        <v>0</v>
      </c>
      <c r="H16" s="2">
        <v>1</v>
      </c>
      <c r="I16" s="2">
        <f>INT(I4*1.2)</f>
        <v>27</v>
      </c>
      <c r="J16" s="2">
        <f>INT(J4*1.2)</f>
        <v>13</v>
      </c>
      <c r="K16" s="2">
        <f>(99+J16/100)%</f>
        <v>0.99129999999999996</v>
      </c>
      <c r="L16" s="2">
        <f>(1+I16/100)%</f>
        <v>1.2699999999999999E-2</v>
      </c>
      <c r="M16" s="2">
        <f>(1+J16/100)%</f>
        <v>1.1299999999999999E-2</v>
      </c>
      <c r="N16" s="2"/>
      <c r="O16" s="7" t="s">
        <v>15</v>
      </c>
    </row>
    <row r="17" spans="1:18" ht="15" x14ac:dyDescent="0.2">
      <c r="A17" s="1">
        <f>INT(A51/(SUM(A$50:A$56)/7)*[1]产出!$L$3*1.2)</f>
        <v>1785</v>
      </c>
      <c r="B17" s="6" t="s">
        <v>16</v>
      </c>
      <c r="C17" s="2">
        <f>INT(C3*1.2)</f>
        <v>31</v>
      </c>
      <c r="D17" s="2">
        <f>INT(D5*1.2)</f>
        <v>21</v>
      </c>
      <c r="E17" s="2">
        <f>INT(E3*1.2)</f>
        <v>21</v>
      </c>
      <c r="F17" s="2">
        <f>F16</f>
        <v>21</v>
      </c>
      <c r="G17" s="2">
        <f>INT(G5*1.2)</f>
        <v>21</v>
      </c>
      <c r="H17" s="2">
        <f>INT(3*1.2)</f>
        <v>3</v>
      </c>
      <c r="I17" s="2">
        <f>INT(I5*1.2)</f>
        <v>21</v>
      </c>
      <c r="J17" s="2">
        <f>INT(J5*1.2)</f>
        <v>16</v>
      </c>
      <c r="K17" s="2">
        <f t="shared" ref="K17:K22" si="3">(99+J17/100)%</f>
        <v>0.99159999999999993</v>
      </c>
      <c r="L17" s="2">
        <f t="shared" ref="L17:M22" si="4">(1+I17/100)%</f>
        <v>1.21E-2</v>
      </c>
      <c r="M17" s="2">
        <f t="shared" si="4"/>
        <v>1.1599999999999999E-2</v>
      </c>
      <c r="N17" s="2"/>
      <c r="O17" s="7" t="s">
        <v>17</v>
      </c>
    </row>
    <row r="18" spans="1:18" ht="15" x14ac:dyDescent="0.2">
      <c r="A18" s="1">
        <f>INT(A52/(SUM(A$50:A$56)/7)*[1]产出!$L$3*1.2)</f>
        <v>1925</v>
      </c>
      <c r="B18" s="6" t="s">
        <v>18</v>
      </c>
      <c r="C18" s="2">
        <f>INT(C4*1.2)</f>
        <v>28</v>
      </c>
      <c r="D18" s="2">
        <f>INT(D6*1.2)</f>
        <v>16</v>
      </c>
      <c r="E18" s="2">
        <f>INT(E4*1.2)</f>
        <v>21</v>
      </c>
      <c r="F18" s="2">
        <f>INT(F4*1.2)</f>
        <v>13</v>
      </c>
      <c r="G18" s="2">
        <f>INT(G6*1.2)</f>
        <v>21</v>
      </c>
      <c r="H18" s="2">
        <v>4</v>
      </c>
      <c r="I18" s="2">
        <f>INT(I4*1.2)</f>
        <v>27</v>
      </c>
      <c r="J18" s="2">
        <f>INT(J4*1.2)</f>
        <v>13</v>
      </c>
      <c r="K18" s="2">
        <f t="shared" si="3"/>
        <v>0.99129999999999996</v>
      </c>
      <c r="L18" s="2">
        <f t="shared" si="4"/>
        <v>1.2699999999999999E-2</v>
      </c>
      <c r="M18" s="2">
        <f t="shared" si="4"/>
        <v>1.1299999999999999E-2</v>
      </c>
      <c r="N18" s="2"/>
      <c r="O18" s="7" t="s">
        <v>19</v>
      </c>
    </row>
    <row r="19" spans="1:18" ht="15" x14ac:dyDescent="0.2">
      <c r="A19" s="1">
        <f>INT(A53/(SUM(A$50:A$56)/7)*[1]产出!$L$3*1.2)</f>
        <v>1681</v>
      </c>
      <c r="B19" s="6" t="s">
        <v>20</v>
      </c>
      <c r="C19" s="2">
        <f>INT(C6*1.2)</f>
        <v>22</v>
      </c>
      <c r="D19" s="2">
        <f>INT(D5*1.2)</f>
        <v>21</v>
      </c>
      <c r="E19" s="2">
        <f>INT(E6*1.2)</f>
        <v>10</v>
      </c>
      <c r="F19" s="2">
        <f>INT(F6*1.2)</f>
        <v>10</v>
      </c>
      <c r="G19" s="2">
        <f>INT(G6*1.2)</f>
        <v>21</v>
      </c>
      <c r="H19" s="2">
        <v>4</v>
      </c>
      <c r="I19" s="2">
        <f>INT(I5*1.2)</f>
        <v>21</v>
      </c>
      <c r="J19" s="2">
        <f>INT(J5*1.2)</f>
        <v>16</v>
      </c>
      <c r="K19" s="2">
        <f t="shared" si="3"/>
        <v>0.99159999999999993</v>
      </c>
      <c r="L19" s="2">
        <f t="shared" si="4"/>
        <v>1.21E-2</v>
      </c>
      <c r="M19" s="2">
        <f t="shared" si="4"/>
        <v>1.1599999999999999E-2</v>
      </c>
      <c r="N19" s="2"/>
      <c r="O19" s="7" t="s">
        <v>21</v>
      </c>
    </row>
    <row r="20" spans="1:18" ht="15" x14ac:dyDescent="0.2">
      <c r="A20" s="1">
        <f>INT(A54/(SUM(A$50:A$56)/7)*[1]产出!$L$3*1.2)</f>
        <v>192</v>
      </c>
      <c r="B20" s="6" t="s">
        <v>22</v>
      </c>
      <c r="C20" s="2">
        <f>INT(C8*1.2)</f>
        <v>24</v>
      </c>
      <c r="D20" s="2">
        <f>INT(D9*1.2)</f>
        <v>14</v>
      </c>
      <c r="E20" s="2">
        <f>INT(E8*1.2)</f>
        <v>10</v>
      </c>
      <c r="F20" s="2">
        <f>INT(F9*1.2)</f>
        <v>14</v>
      </c>
      <c r="G20" s="2">
        <f>INT(G9*1.2)</f>
        <v>14</v>
      </c>
      <c r="H20" s="2">
        <v>5</v>
      </c>
      <c r="I20" s="2">
        <f>INT(I8*1.2)</f>
        <v>24</v>
      </c>
      <c r="J20" s="2">
        <f>INT(J8*1.2)</f>
        <v>24</v>
      </c>
      <c r="K20" s="2">
        <f t="shared" si="3"/>
        <v>0.99239999999999995</v>
      </c>
      <c r="L20" s="2">
        <f t="shared" si="4"/>
        <v>1.24E-2</v>
      </c>
      <c r="M20" s="2">
        <f t="shared" si="4"/>
        <v>1.24E-2</v>
      </c>
      <c r="N20" s="2"/>
      <c r="O20" s="7" t="s">
        <v>23</v>
      </c>
    </row>
    <row r="21" spans="1:18" ht="15" x14ac:dyDescent="0.2">
      <c r="A21" s="1">
        <f>INT(A55/(SUM(A$50:A$56)/7)*[1]产出!$L$3*1.2)</f>
        <v>1882</v>
      </c>
      <c r="B21" s="6" t="s">
        <v>24</v>
      </c>
      <c r="C21" s="2">
        <f>INT(C12*1.2)</f>
        <v>24</v>
      </c>
      <c r="D21" s="2">
        <f>INT(D8*1.2)</f>
        <v>6</v>
      </c>
      <c r="E21" s="2">
        <f>INT(E12*1.2)</f>
        <v>14</v>
      </c>
      <c r="F21" s="2">
        <f>INT(F12*1.2)</f>
        <v>20</v>
      </c>
      <c r="G21" s="2">
        <v>0</v>
      </c>
      <c r="H21" s="2">
        <v>1</v>
      </c>
      <c r="I21" s="2">
        <f>INT(I8*1.2)</f>
        <v>24</v>
      </c>
      <c r="J21" s="2">
        <f>INT(J8*1.2)</f>
        <v>24</v>
      </c>
      <c r="K21" s="2">
        <f t="shared" si="3"/>
        <v>0.99239999999999995</v>
      </c>
      <c r="L21" s="2">
        <f t="shared" si="4"/>
        <v>1.24E-2</v>
      </c>
      <c r="M21" s="2">
        <f t="shared" si="4"/>
        <v>1.24E-2</v>
      </c>
      <c r="N21" s="2"/>
      <c r="O21" s="7" t="s">
        <v>25</v>
      </c>
    </row>
    <row r="22" spans="1:18" ht="15" x14ac:dyDescent="0.2">
      <c r="A22" s="1">
        <f>INT(A56/(SUM(A$50:A$56)/7)*[1]产出!$L$3*1.2)</f>
        <v>1645</v>
      </c>
      <c r="B22" s="6" t="s">
        <v>26</v>
      </c>
      <c r="C22" s="2">
        <f>INT(C10*1.2)</f>
        <v>25</v>
      </c>
      <c r="D22" s="2">
        <f>INT(D10*1.2)</f>
        <v>12</v>
      </c>
      <c r="E22" s="2">
        <f>INT(E11*1.2)</f>
        <v>12</v>
      </c>
      <c r="F22" s="2">
        <f>INT(F11*1.2)</f>
        <v>12</v>
      </c>
      <c r="G22" s="2">
        <f>INT(G10*1.2)</f>
        <v>18</v>
      </c>
      <c r="H22" s="2">
        <v>6</v>
      </c>
      <c r="I22" s="2">
        <f>INT(I7*1.2)</f>
        <v>30</v>
      </c>
      <c r="J22" s="2">
        <f>INT(J11*1.2)</f>
        <v>21</v>
      </c>
      <c r="K22" s="2">
        <f t="shared" si="3"/>
        <v>0.99209999999999998</v>
      </c>
      <c r="L22" s="2">
        <f t="shared" si="4"/>
        <v>1.3000000000000001E-2</v>
      </c>
      <c r="M22" s="2">
        <f t="shared" si="4"/>
        <v>1.21E-2</v>
      </c>
      <c r="N22" s="2"/>
      <c r="O22" s="7" t="s">
        <v>27</v>
      </c>
    </row>
    <row r="23" spans="1:18" x14ac:dyDescent="0.2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</row>
    <row r="24" spans="1:18" x14ac:dyDescent="0.2"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</row>
    <row r="25" spans="1:18" ht="13.5" thickBo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R25" s="1">
        <v>350</v>
      </c>
    </row>
    <row r="26" spans="1:18" x14ac:dyDescent="0.2">
      <c r="B26" s="18" t="s">
        <v>59</v>
      </c>
      <c r="C26" s="13" t="s">
        <v>11</v>
      </c>
      <c r="D26" s="13" t="s">
        <v>71</v>
      </c>
      <c r="E26" s="20" t="s">
        <v>72</v>
      </c>
      <c r="F26" s="20" t="s">
        <v>48</v>
      </c>
      <c r="G26" s="20" t="s">
        <v>73</v>
      </c>
      <c r="H26" s="14" t="s">
        <v>74</v>
      </c>
      <c r="I26" s="13" t="s">
        <v>52</v>
      </c>
      <c r="J26" s="13" t="s">
        <v>28</v>
      </c>
      <c r="K26" s="13" t="s">
        <v>29</v>
      </c>
      <c r="L26" s="13" t="s">
        <v>30</v>
      </c>
      <c r="M26" s="14" t="s">
        <v>75</v>
      </c>
      <c r="N26" s="19" t="s">
        <v>13</v>
      </c>
      <c r="O26" s="18" t="s">
        <v>60</v>
      </c>
      <c r="P26" s="1" t="s">
        <v>236</v>
      </c>
      <c r="R26" s="1">
        <f>R25/(R25+99*H35)</f>
        <v>0.38033556463531254</v>
      </c>
    </row>
    <row r="27" spans="1:18" ht="15" x14ac:dyDescent="0.2">
      <c r="A27" s="1">
        <f>INT(A57/(SUM(A$57:A$59)/3)*[1]产出!$L$3*1.44)</f>
        <v>1846</v>
      </c>
      <c r="B27" s="6" t="s">
        <v>33</v>
      </c>
      <c r="C27" s="2">
        <f>INT(C22*1.2)</f>
        <v>30</v>
      </c>
      <c r="D27" s="2">
        <f>INT(D19*1.2)</f>
        <v>25</v>
      </c>
      <c r="E27" s="2">
        <f>INT(E22*1.2)</f>
        <v>14</v>
      </c>
      <c r="F27" s="2">
        <f>INT(F22*1.2)</f>
        <v>14</v>
      </c>
      <c r="G27" s="2">
        <f>INT(G19*1.2)</f>
        <v>25</v>
      </c>
      <c r="H27" s="2">
        <f>ROUND(H22*1.2,0)</f>
        <v>7</v>
      </c>
      <c r="I27" s="2">
        <f>INT(I22*1.2)</f>
        <v>36</v>
      </c>
      <c r="J27" s="2">
        <f>INT(J22*1.2)</f>
        <v>25</v>
      </c>
      <c r="K27" s="2">
        <f>(99+J27/100)%</f>
        <v>0.99250000000000005</v>
      </c>
      <c r="L27" s="2">
        <f t="shared" ref="L27:M29" si="5">(1+I27/100)%</f>
        <v>1.3599999999999999E-2</v>
      </c>
      <c r="M27" s="2">
        <f t="shared" si="5"/>
        <v>1.2500000000000001E-2</v>
      </c>
      <c r="N27" s="2"/>
      <c r="O27" s="7" t="s">
        <v>34</v>
      </c>
    </row>
    <row r="28" spans="1:18" ht="15" x14ac:dyDescent="0.2">
      <c r="A28" s="1">
        <f>INT(A58/(SUM(A$57:A$59)/3)*[1]产出!$L$3*1.44)</f>
        <v>1924</v>
      </c>
      <c r="B28" s="6" t="s">
        <v>35</v>
      </c>
      <c r="C28" s="2">
        <f>INT(C16*1.5)</f>
        <v>46</v>
      </c>
      <c r="D28" s="2">
        <f>INT(D18*1.2)</f>
        <v>19</v>
      </c>
      <c r="E28" s="2">
        <f>INT(E16*1.2)</f>
        <v>25</v>
      </c>
      <c r="F28" s="2">
        <f>INT(F16*1.2)</f>
        <v>25</v>
      </c>
      <c r="G28" s="2">
        <f>INT(G19*1.2)</f>
        <v>25</v>
      </c>
      <c r="H28" s="2">
        <v>5</v>
      </c>
      <c r="I28" s="2">
        <f>INT(I16*1.2)</f>
        <v>32</v>
      </c>
      <c r="J28" s="2">
        <f>INT(J18*1.2)</f>
        <v>15</v>
      </c>
      <c r="K28" s="2">
        <f>(99+J28/100)%</f>
        <v>0.99150000000000005</v>
      </c>
      <c r="L28" s="2">
        <f t="shared" si="5"/>
        <v>1.32E-2</v>
      </c>
      <c r="M28" s="2">
        <f t="shared" si="5"/>
        <v>1.15E-2</v>
      </c>
      <c r="N28" s="2"/>
      <c r="O28" s="7" t="s">
        <v>36</v>
      </c>
    </row>
    <row r="29" spans="1:18" ht="15" x14ac:dyDescent="0.2">
      <c r="A29" s="1">
        <f>INT(A59/(SUM(A$57:A$59)/3)*[1]产出!$L$3*1.44)</f>
        <v>1906</v>
      </c>
      <c r="B29" s="6" t="s">
        <v>37</v>
      </c>
      <c r="C29" s="2">
        <f>INT(SUM(C16:C22)*1.2/7)</f>
        <v>31</v>
      </c>
      <c r="D29" s="2">
        <f>INT(SUM(D16:D22)*1.2/7)</f>
        <v>16</v>
      </c>
      <c r="E29" s="2">
        <f>INT(SUM(E16:E22)*1.2/7)</f>
        <v>18</v>
      </c>
      <c r="F29" s="2">
        <f>INT(SUM(F16:F22)*1.2/7)</f>
        <v>19</v>
      </c>
      <c r="G29" s="2">
        <f>INT(SUM(G16:G22)*1.2/5)</f>
        <v>22</v>
      </c>
      <c r="H29" s="2">
        <v>3</v>
      </c>
      <c r="I29" s="2">
        <f>INT(SUM(I16:I22)*1.2/7)</f>
        <v>29</v>
      </c>
      <c r="J29" s="2">
        <f>INT(SUM(J16:J22)*1.2/7)</f>
        <v>21</v>
      </c>
      <c r="K29" s="2">
        <f>(99+J29/100)%</f>
        <v>0.99209999999999998</v>
      </c>
      <c r="L29" s="2">
        <f t="shared" si="5"/>
        <v>1.29E-2</v>
      </c>
      <c r="M29" s="2">
        <f t="shared" si="5"/>
        <v>1.21E-2</v>
      </c>
      <c r="N29" s="2"/>
      <c r="O29" s="50" t="s">
        <v>241</v>
      </c>
    </row>
    <row r="31" spans="1:18" ht="13.5" thickBot="1" x14ac:dyDescent="0.25"/>
    <row r="32" spans="1:18" x14ac:dyDescent="0.2">
      <c r="B32" s="19" t="s">
        <v>41</v>
      </c>
      <c r="C32" s="13" t="s">
        <v>11</v>
      </c>
      <c r="D32" s="13" t="s">
        <v>71</v>
      </c>
      <c r="E32" s="20" t="s">
        <v>72</v>
      </c>
      <c r="F32" s="20" t="s">
        <v>48</v>
      </c>
      <c r="G32" s="20" t="s">
        <v>73</v>
      </c>
      <c r="H32" s="14" t="s">
        <v>74</v>
      </c>
      <c r="I32" s="13" t="s">
        <v>52</v>
      </c>
      <c r="J32" s="13" t="s">
        <v>28</v>
      </c>
      <c r="K32" s="9" t="s">
        <v>50</v>
      </c>
      <c r="L32" s="9" t="s">
        <v>56</v>
      </c>
      <c r="M32" s="9" t="s">
        <v>61</v>
      </c>
      <c r="N32" s="9" t="s">
        <v>62</v>
      </c>
      <c r="O32" s="9" t="s">
        <v>57</v>
      </c>
      <c r="P32" s="9" t="s">
        <v>58</v>
      </c>
      <c r="Q32" s="9" t="s">
        <v>63</v>
      </c>
    </row>
    <row r="33" spans="1:19" x14ac:dyDescent="0.2">
      <c r="A33" s="1">
        <f>SUM(C33:H33)</f>
        <v>22.2</v>
      </c>
      <c r="B33" s="5" t="s">
        <v>38</v>
      </c>
      <c r="C33" s="2">
        <v>5</v>
      </c>
      <c r="D33" s="2">
        <v>1.2</v>
      </c>
      <c r="E33" s="2">
        <v>4</v>
      </c>
      <c r="F33" s="2">
        <v>4</v>
      </c>
      <c r="G33" s="2">
        <v>4</v>
      </c>
      <c r="H33" s="2">
        <v>4</v>
      </c>
      <c r="I33" s="2">
        <v>2</v>
      </c>
      <c r="J33" s="2">
        <v>2</v>
      </c>
      <c r="K33" s="2">
        <v>2</v>
      </c>
      <c r="L33" s="2">
        <v>2</v>
      </c>
      <c r="M33" s="2">
        <v>2</v>
      </c>
      <c r="N33" s="2">
        <v>2</v>
      </c>
      <c r="O33" s="2">
        <v>2</v>
      </c>
      <c r="P33" s="2">
        <v>2</v>
      </c>
      <c r="Q33" s="2">
        <v>2</v>
      </c>
    </row>
    <row r="34" spans="1:19" x14ac:dyDescent="0.2">
      <c r="B34" s="5" t="s">
        <v>39</v>
      </c>
      <c r="C34" s="2">
        <f>C33*1.2</f>
        <v>6</v>
      </c>
      <c r="D34" s="2">
        <f>D33*1.2</f>
        <v>1.44</v>
      </c>
      <c r="E34" s="2">
        <f t="shared" ref="D34:J35" si="6">E33*1.2</f>
        <v>4.8</v>
      </c>
      <c r="F34" s="2">
        <f t="shared" si="6"/>
        <v>4.8</v>
      </c>
      <c r="G34" s="2">
        <f t="shared" si="6"/>
        <v>4.8</v>
      </c>
      <c r="H34" s="2">
        <f>H33*1.2</f>
        <v>4.8</v>
      </c>
      <c r="I34" s="2">
        <f t="shared" si="6"/>
        <v>2.4</v>
      </c>
      <c r="J34" s="2">
        <f t="shared" si="6"/>
        <v>2.4</v>
      </c>
      <c r="K34" s="2">
        <f>K33*1.2</f>
        <v>2.4</v>
      </c>
      <c r="L34" s="2">
        <v>2.4</v>
      </c>
      <c r="M34" s="2">
        <f t="shared" ref="M34:P35" si="7">M33*1.2</f>
        <v>2.4</v>
      </c>
      <c r="N34" s="2">
        <f t="shared" si="7"/>
        <v>2.4</v>
      </c>
      <c r="O34" s="2">
        <f t="shared" si="7"/>
        <v>2.4</v>
      </c>
      <c r="P34" s="2">
        <f t="shared" si="7"/>
        <v>2.4</v>
      </c>
      <c r="Q34" s="2">
        <f>P34</f>
        <v>2.4</v>
      </c>
    </row>
    <row r="35" spans="1:19" x14ac:dyDescent="0.2">
      <c r="B35" s="5" t="s">
        <v>40</v>
      </c>
      <c r="C35" s="2">
        <f>C34*1.2</f>
        <v>7.1999999999999993</v>
      </c>
      <c r="D35" s="2">
        <f t="shared" si="6"/>
        <v>1.728</v>
      </c>
      <c r="E35" s="2">
        <f t="shared" si="6"/>
        <v>5.76</v>
      </c>
      <c r="F35" s="2">
        <f t="shared" si="6"/>
        <v>5.76</v>
      </c>
      <c r="G35" s="2">
        <f t="shared" si="6"/>
        <v>5.76</v>
      </c>
      <c r="H35" s="2">
        <f>H34*1.2</f>
        <v>5.76</v>
      </c>
      <c r="I35" s="2">
        <f t="shared" si="6"/>
        <v>2.88</v>
      </c>
      <c r="J35" s="2">
        <f t="shared" si="6"/>
        <v>2.88</v>
      </c>
      <c r="K35" s="2">
        <f>K34*1.2</f>
        <v>2.88</v>
      </c>
      <c r="L35" s="2">
        <v>2.88</v>
      </c>
      <c r="M35" s="2">
        <f t="shared" si="7"/>
        <v>2.88</v>
      </c>
      <c r="N35" s="2">
        <f t="shared" si="7"/>
        <v>2.88</v>
      </c>
      <c r="O35" s="2">
        <f t="shared" si="7"/>
        <v>2.88</v>
      </c>
      <c r="P35" s="2">
        <f t="shared" si="7"/>
        <v>2.88</v>
      </c>
      <c r="Q35" s="2">
        <f>P35</f>
        <v>2.88</v>
      </c>
    </row>
    <row r="38" spans="1:19" x14ac:dyDescent="0.2">
      <c r="C38" s="1">
        <v>2</v>
      </c>
      <c r="D38" s="1">
        <v>3</v>
      </c>
      <c r="E38" s="1">
        <v>4</v>
      </c>
      <c r="F38" s="1">
        <v>5</v>
      </c>
      <c r="G38" s="1">
        <v>6</v>
      </c>
      <c r="H38" s="1">
        <v>7</v>
      </c>
      <c r="I38" s="1">
        <v>8</v>
      </c>
      <c r="J38" s="1">
        <v>9</v>
      </c>
      <c r="K38" s="1">
        <v>10</v>
      </c>
      <c r="L38" s="1">
        <v>11</v>
      </c>
      <c r="M38" s="1">
        <v>12</v>
      </c>
      <c r="N38" s="1">
        <v>13</v>
      </c>
      <c r="O38" s="1">
        <v>14</v>
      </c>
      <c r="P38" s="1">
        <v>15</v>
      </c>
      <c r="Q38" s="1">
        <v>16</v>
      </c>
    </row>
    <row r="39" spans="1:19" x14ac:dyDescent="0.2">
      <c r="B39" s="10" t="s">
        <v>42</v>
      </c>
      <c r="C39" s="21" t="s">
        <v>175</v>
      </c>
      <c r="D39" s="21" t="s">
        <v>176</v>
      </c>
      <c r="E39" s="21" t="s">
        <v>177</v>
      </c>
      <c r="F39" s="21" t="s">
        <v>178</v>
      </c>
      <c r="G39" s="21" t="s">
        <v>179</v>
      </c>
      <c r="H39" s="21" t="s">
        <v>180</v>
      </c>
      <c r="I39" s="21" t="s">
        <v>44</v>
      </c>
      <c r="J39" s="21" t="s">
        <v>45</v>
      </c>
      <c r="K39" s="21" t="s">
        <v>50</v>
      </c>
      <c r="L39" s="21" t="s">
        <v>56</v>
      </c>
      <c r="M39" s="21" t="s">
        <v>61</v>
      </c>
      <c r="N39" s="21" t="s">
        <v>62</v>
      </c>
      <c r="O39" s="21" t="s">
        <v>57</v>
      </c>
      <c r="P39" s="21" t="s">
        <v>58</v>
      </c>
      <c r="Q39" s="21" t="s">
        <v>63</v>
      </c>
      <c r="R39" s="24" t="s">
        <v>102</v>
      </c>
      <c r="S39" s="25" t="s">
        <v>103</v>
      </c>
    </row>
    <row r="40" spans="1:19" ht="15" x14ac:dyDescent="0.3">
      <c r="A40" s="39">
        <f>(C40+1)*C$33+(E40+1)*E$33/2+(1+F40)*F$33/4+(1+G40)*G$33/2+(1+H40)*H$33/4+1/(1-((3+I40+J40*2)*I$33)/1000)*F$33</f>
        <v>13.819292604501607</v>
      </c>
      <c r="B40" s="11" t="s">
        <v>0</v>
      </c>
      <c r="C40" s="11">
        <v>0.1</v>
      </c>
      <c r="D40" s="11">
        <v>-0.6</v>
      </c>
      <c r="E40" s="11">
        <v>0.1</v>
      </c>
      <c r="F40" s="11">
        <v>0</v>
      </c>
      <c r="G40" s="11">
        <v>-0.8</v>
      </c>
      <c r="H40" s="11">
        <v>-0.3</v>
      </c>
      <c r="I40" s="11">
        <v>-0.4</v>
      </c>
      <c r="J40" s="11">
        <v>-0.1</v>
      </c>
      <c r="K40" s="11">
        <f>IF(K$39=$R40,0%,-50%)</f>
        <v>-0.5</v>
      </c>
      <c r="L40" s="11">
        <f t="shared" ref="L40:L59" si="8">IF(L$39=$R40,200%,-50%)</f>
        <v>2</v>
      </c>
      <c r="M40" s="11">
        <f t="shared" ref="M40:Q55" si="9">IF(M$39=$R40,200%,-50%)</f>
        <v>-0.5</v>
      </c>
      <c r="N40" s="11">
        <f t="shared" si="9"/>
        <v>-0.5</v>
      </c>
      <c r="O40" s="11">
        <f t="shared" si="9"/>
        <v>-0.5</v>
      </c>
      <c r="P40" s="11">
        <f t="shared" si="9"/>
        <v>-0.5</v>
      </c>
      <c r="Q40" s="11">
        <f t="shared" si="9"/>
        <v>-0.5</v>
      </c>
      <c r="R40" s="22" t="s">
        <v>56</v>
      </c>
      <c r="S40" s="23" t="s">
        <v>76</v>
      </c>
    </row>
    <row r="41" spans="1:19" ht="15" x14ac:dyDescent="0.3">
      <c r="A41" s="39">
        <f t="shared" ref="A41:A59" si="10">(C41+1)*C$33+(E41+1)*E$33/2+(1+F41)*F$33/4+(1+G41)*G$33/2+(1+H41)*H$33/4+1/(1-((3+I41+J41*2)*I$33)/1000)*F$33</f>
        <v>13.825359766529132</v>
      </c>
      <c r="B41" s="11" t="s">
        <v>2</v>
      </c>
      <c r="C41" s="11">
        <v>0</v>
      </c>
      <c r="D41" s="11">
        <v>-0.5</v>
      </c>
      <c r="E41" s="11">
        <v>0.1</v>
      </c>
      <c r="F41" s="11">
        <v>-0.1</v>
      </c>
      <c r="G41" s="11">
        <v>-0.5</v>
      </c>
      <c r="H41" s="11">
        <v>-0.3</v>
      </c>
      <c r="I41" s="11">
        <v>0.15</v>
      </c>
      <c r="J41" s="11">
        <v>0</v>
      </c>
      <c r="K41" s="11">
        <f t="shared" ref="K41:K59" si="11">IF(K$39=$R41,0%,-50%)</f>
        <v>0</v>
      </c>
      <c r="L41" s="11">
        <f t="shared" si="8"/>
        <v>-0.5</v>
      </c>
      <c r="M41" s="11">
        <f t="shared" si="9"/>
        <v>-0.5</v>
      </c>
      <c r="N41" s="11">
        <f t="shared" si="9"/>
        <v>-0.5</v>
      </c>
      <c r="O41" s="11">
        <f t="shared" si="9"/>
        <v>-0.5</v>
      </c>
      <c r="P41" s="11">
        <f t="shared" si="9"/>
        <v>-0.5</v>
      </c>
      <c r="Q41" s="11">
        <f t="shared" si="9"/>
        <v>-0.5</v>
      </c>
      <c r="R41" s="22" t="s">
        <v>50</v>
      </c>
      <c r="S41" s="23" t="s">
        <v>77</v>
      </c>
    </row>
    <row r="42" spans="1:19" x14ac:dyDescent="0.2">
      <c r="A42" s="39">
        <f t="shared" si="10"/>
        <v>12.829008863819499</v>
      </c>
      <c r="B42" s="11" t="s">
        <v>46</v>
      </c>
      <c r="C42" s="11">
        <v>-0.4</v>
      </c>
      <c r="D42" s="11">
        <v>0.1</v>
      </c>
      <c r="E42" s="11">
        <v>-0.4</v>
      </c>
      <c r="F42" s="11">
        <v>-0.2</v>
      </c>
      <c r="G42" s="11">
        <v>0.3</v>
      </c>
      <c r="H42" s="11">
        <v>0.2</v>
      </c>
      <c r="I42" s="11">
        <v>0.2</v>
      </c>
      <c r="J42" s="11">
        <v>0.2</v>
      </c>
      <c r="K42" s="11">
        <f t="shared" si="11"/>
        <v>-0.5</v>
      </c>
      <c r="L42" s="11">
        <f t="shared" si="8"/>
        <v>-0.5</v>
      </c>
      <c r="M42" s="11">
        <f t="shared" si="9"/>
        <v>-0.5</v>
      </c>
      <c r="N42" s="11">
        <f t="shared" si="9"/>
        <v>-0.5</v>
      </c>
      <c r="O42" s="11">
        <f t="shared" si="9"/>
        <v>-0.5</v>
      </c>
      <c r="P42" s="11">
        <f t="shared" si="9"/>
        <v>-0.5</v>
      </c>
      <c r="Q42" s="11">
        <f t="shared" si="9"/>
        <v>2</v>
      </c>
      <c r="R42" s="22" t="s">
        <v>63</v>
      </c>
      <c r="S42" s="23" t="s">
        <v>78</v>
      </c>
    </row>
    <row r="43" spans="1:19" ht="15" x14ac:dyDescent="0.3">
      <c r="A43" s="39">
        <f t="shared" si="10"/>
        <v>13.924954719259409</v>
      </c>
      <c r="B43" s="11" t="s">
        <v>3</v>
      </c>
      <c r="C43" s="11">
        <v>-0.2</v>
      </c>
      <c r="D43" s="11">
        <v>0</v>
      </c>
      <c r="E43" s="11">
        <v>-0.2</v>
      </c>
      <c r="F43" s="11">
        <v>-0.3</v>
      </c>
      <c r="G43" s="11">
        <v>0.1</v>
      </c>
      <c r="H43" s="11">
        <v>0.4</v>
      </c>
      <c r="I43" s="11">
        <v>0.1</v>
      </c>
      <c r="J43" s="11">
        <v>0</v>
      </c>
      <c r="K43" s="11">
        <f t="shared" si="11"/>
        <v>-0.5</v>
      </c>
      <c r="L43" s="11">
        <f t="shared" si="8"/>
        <v>-0.5</v>
      </c>
      <c r="M43" s="11">
        <f t="shared" si="9"/>
        <v>-0.5</v>
      </c>
      <c r="N43" s="11">
        <f t="shared" si="9"/>
        <v>-0.5</v>
      </c>
      <c r="O43" s="11">
        <f t="shared" si="9"/>
        <v>2</v>
      </c>
      <c r="P43" s="11">
        <f t="shared" si="9"/>
        <v>-0.5</v>
      </c>
      <c r="Q43" s="11">
        <f t="shared" si="9"/>
        <v>-0.5</v>
      </c>
      <c r="R43" s="22" t="s">
        <v>57</v>
      </c>
      <c r="S43" s="23" t="s">
        <v>79</v>
      </c>
    </row>
    <row r="44" spans="1:19" ht="15" x14ac:dyDescent="0.3">
      <c r="A44" s="39">
        <f t="shared" si="10"/>
        <v>13.033884630899557</v>
      </c>
      <c r="B44" s="11" t="s">
        <v>4</v>
      </c>
      <c r="C44" s="11">
        <v>-0.3</v>
      </c>
      <c r="D44" s="11">
        <v>-0.2</v>
      </c>
      <c r="E44" s="11">
        <v>-0.2</v>
      </c>
      <c r="F44" s="11">
        <v>-0.3</v>
      </c>
      <c r="G44" s="11">
        <v>0</v>
      </c>
      <c r="H44" s="11">
        <v>0.2</v>
      </c>
      <c r="I44" s="11">
        <v>0.4</v>
      </c>
      <c r="J44" s="11">
        <v>0.4</v>
      </c>
      <c r="K44" s="11">
        <f t="shared" si="11"/>
        <v>-0.5</v>
      </c>
      <c r="L44" s="11">
        <f t="shared" si="8"/>
        <v>-0.5</v>
      </c>
      <c r="M44" s="11">
        <f t="shared" si="9"/>
        <v>-0.5</v>
      </c>
      <c r="N44" s="11">
        <f t="shared" si="9"/>
        <v>2</v>
      </c>
      <c r="O44" s="11">
        <f t="shared" si="9"/>
        <v>-0.5</v>
      </c>
      <c r="P44" s="11">
        <f t="shared" si="9"/>
        <v>-0.5</v>
      </c>
      <c r="Q44" s="11">
        <f t="shared" si="9"/>
        <v>-0.5</v>
      </c>
      <c r="R44" s="22" t="s">
        <v>62</v>
      </c>
      <c r="S44" s="23" t="s">
        <v>80</v>
      </c>
    </row>
    <row r="45" spans="1:19" ht="15" x14ac:dyDescent="0.3">
      <c r="A45" s="39">
        <f t="shared" si="10"/>
        <v>13.722526146419952</v>
      </c>
      <c r="B45" s="11" t="s">
        <v>5</v>
      </c>
      <c r="C45" s="11">
        <v>-0.1</v>
      </c>
      <c r="D45" s="11">
        <v>-0.4</v>
      </c>
      <c r="E45" s="11">
        <v>-0.1</v>
      </c>
      <c r="F45" s="11">
        <v>-0.3</v>
      </c>
      <c r="G45" s="11">
        <v>-0.1</v>
      </c>
      <c r="H45" s="11">
        <v>-0.1</v>
      </c>
      <c r="I45" s="11">
        <v>0.2</v>
      </c>
      <c r="J45" s="11">
        <v>-0.2</v>
      </c>
      <c r="K45" s="11">
        <f t="shared" si="11"/>
        <v>-0.5</v>
      </c>
      <c r="L45" s="11">
        <f t="shared" si="8"/>
        <v>-0.5</v>
      </c>
      <c r="M45" s="11">
        <f t="shared" si="9"/>
        <v>-0.5</v>
      </c>
      <c r="N45" s="11">
        <f t="shared" si="9"/>
        <v>-0.5</v>
      </c>
      <c r="O45" s="11">
        <f t="shared" si="9"/>
        <v>-0.5</v>
      </c>
      <c r="P45" s="11">
        <f t="shared" si="9"/>
        <v>2</v>
      </c>
      <c r="Q45" s="11">
        <f t="shared" si="9"/>
        <v>-0.5</v>
      </c>
      <c r="R45" s="22" t="s">
        <v>58</v>
      </c>
      <c r="S45" s="23" t="s">
        <v>81</v>
      </c>
    </row>
    <row r="46" spans="1:19" ht="15" x14ac:dyDescent="0.3">
      <c r="A46" s="39">
        <f t="shared" si="10"/>
        <v>13.524144869215291</v>
      </c>
      <c r="B46" s="11" t="s">
        <v>6</v>
      </c>
      <c r="C46" s="11">
        <v>-0.2</v>
      </c>
      <c r="D46" s="11">
        <v>-0.3</v>
      </c>
      <c r="E46" s="11">
        <v>-0.15</v>
      </c>
      <c r="F46" s="11">
        <v>-0.2</v>
      </c>
      <c r="G46" s="11">
        <v>0</v>
      </c>
      <c r="H46" s="11">
        <v>0</v>
      </c>
      <c r="I46" s="11">
        <v>0</v>
      </c>
      <c r="J46" s="11">
        <v>0</v>
      </c>
      <c r="K46" s="11">
        <f t="shared" si="11"/>
        <v>-0.5</v>
      </c>
      <c r="L46" s="11">
        <f t="shared" si="8"/>
        <v>2</v>
      </c>
      <c r="M46" s="11">
        <f t="shared" si="9"/>
        <v>-0.5</v>
      </c>
      <c r="N46" s="11">
        <f t="shared" si="9"/>
        <v>-0.5</v>
      </c>
      <c r="O46" s="11">
        <f t="shared" si="9"/>
        <v>-0.5</v>
      </c>
      <c r="P46" s="11">
        <f t="shared" si="9"/>
        <v>-0.5</v>
      </c>
      <c r="Q46" s="11">
        <f t="shared" si="9"/>
        <v>-0.5</v>
      </c>
      <c r="R46" s="22" t="s">
        <v>56</v>
      </c>
      <c r="S46" s="23" t="s">
        <v>82</v>
      </c>
    </row>
    <row r="47" spans="1:19" ht="15" x14ac:dyDescent="0.3">
      <c r="A47" s="39">
        <f t="shared" si="10"/>
        <v>13.774954719259409</v>
      </c>
      <c r="B47" s="11" t="s">
        <v>7</v>
      </c>
      <c r="C47" s="11">
        <v>-0.2</v>
      </c>
      <c r="D47" s="11">
        <v>0</v>
      </c>
      <c r="E47" s="11">
        <v>-0.25</v>
      </c>
      <c r="F47" s="11">
        <v>-0.15</v>
      </c>
      <c r="G47" s="11">
        <v>0.2</v>
      </c>
      <c r="H47" s="11">
        <v>0</v>
      </c>
      <c r="I47" s="11">
        <v>-0.1</v>
      </c>
      <c r="J47" s="11">
        <v>0.1</v>
      </c>
      <c r="K47" s="11">
        <f t="shared" si="11"/>
        <v>-0.5</v>
      </c>
      <c r="L47" s="11">
        <f t="shared" si="8"/>
        <v>-0.5</v>
      </c>
      <c r="M47" s="11">
        <f t="shared" si="9"/>
        <v>-0.5</v>
      </c>
      <c r="N47" s="11">
        <f t="shared" si="9"/>
        <v>-0.5</v>
      </c>
      <c r="O47" s="11">
        <f t="shared" si="9"/>
        <v>2</v>
      </c>
      <c r="P47" s="11">
        <f t="shared" si="9"/>
        <v>-0.5</v>
      </c>
      <c r="Q47" s="11">
        <f t="shared" si="9"/>
        <v>-0.5</v>
      </c>
      <c r="R47" s="22" t="s">
        <v>57</v>
      </c>
      <c r="S47" s="23" t="s">
        <v>83</v>
      </c>
    </row>
    <row r="48" spans="1:19" ht="15" x14ac:dyDescent="0.3">
      <c r="A48" s="39">
        <f t="shared" si="10"/>
        <v>12.822526146419953</v>
      </c>
      <c r="B48" s="11" t="s">
        <v>8</v>
      </c>
      <c r="C48" s="11">
        <v>-0.3</v>
      </c>
      <c r="D48" s="11">
        <v>-0.4</v>
      </c>
      <c r="E48" s="11">
        <v>-0.3</v>
      </c>
      <c r="F48" s="11">
        <v>-0.2</v>
      </c>
      <c r="G48" s="11">
        <v>-0.2</v>
      </c>
      <c r="H48" s="11">
        <v>0.5</v>
      </c>
      <c r="I48" s="11">
        <v>-0.3</v>
      </c>
      <c r="J48" s="11">
        <v>0.05</v>
      </c>
      <c r="K48" s="11">
        <f t="shared" si="11"/>
        <v>-0.5</v>
      </c>
      <c r="L48" s="11">
        <f t="shared" si="8"/>
        <v>-0.5</v>
      </c>
      <c r="M48" s="11">
        <f t="shared" si="9"/>
        <v>-0.5</v>
      </c>
      <c r="N48" s="11">
        <f t="shared" si="9"/>
        <v>-0.5</v>
      </c>
      <c r="O48" s="11">
        <f t="shared" si="9"/>
        <v>-0.5</v>
      </c>
      <c r="P48" s="11">
        <f t="shared" si="9"/>
        <v>-0.5</v>
      </c>
      <c r="Q48" s="11">
        <f t="shared" si="9"/>
        <v>2</v>
      </c>
      <c r="R48" s="22" t="s">
        <v>96</v>
      </c>
      <c r="S48" s="23" t="s">
        <v>84</v>
      </c>
    </row>
    <row r="49" spans="1:20" ht="15" x14ac:dyDescent="0.3">
      <c r="A49" s="39">
        <f t="shared" si="10"/>
        <v>13.574549753496328</v>
      </c>
      <c r="B49" s="11" t="s">
        <v>9</v>
      </c>
      <c r="C49" s="11">
        <v>0.15</v>
      </c>
      <c r="D49" s="11">
        <v>-0.2</v>
      </c>
      <c r="E49" s="11">
        <v>-0.1</v>
      </c>
      <c r="F49" s="11">
        <v>0.1</v>
      </c>
      <c r="G49" s="11">
        <v>-0.8</v>
      </c>
      <c r="H49" s="11">
        <v>-0.5</v>
      </c>
      <c r="I49" s="11">
        <v>0.05</v>
      </c>
      <c r="J49" s="11">
        <v>0</v>
      </c>
      <c r="K49" s="11">
        <f t="shared" si="11"/>
        <v>-0.5</v>
      </c>
      <c r="L49" s="11">
        <f t="shared" si="8"/>
        <v>-0.5</v>
      </c>
      <c r="M49" s="11">
        <f t="shared" si="9"/>
        <v>2</v>
      </c>
      <c r="N49" s="11">
        <f t="shared" si="9"/>
        <v>-0.5</v>
      </c>
      <c r="O49" s="11">
        <f t="shared" si="9"/>
        <v>-0.5</v>
      </c>
      <c r="P49" s="11">
        <f t="shared" si="9"/>
        <v>-0.5</v>
      </c>
      <c r="Q49" s="11">
        <f t="shared" si="9"/>
        <v>-0.5</v>
      </c>
      <c r="R49" s="22" t="s">
        <v>97</v>
      </c>
      <c r="S49" s="23" t="s">
        <v>85</v>
      </c>
    </row>
    <row r="50" spans="1:20" ht="15" x14ac:dyDescent="0.3">
      <c r="A50" s="39">
        <f t="shared" si="10"/>
        <v>15.824954719259409</v>
      </c>
      <c r="B50" s="11" t="s">
        <v>14</v>
      </c>
      <c r="C50" s="11">
        <v>0.2</v>
      </c>
      <c r="D50" s="11">
        <v>-0.4</v>
      </c>
      <c r="E50" s="11">
        <v>0.15</v>
      </c>
      <c r="F50" s="11">
        <v>0.1</v>
      </c>
      <c r="G50" s="11">
        <v>-0.2</v>
      </c>
      <c r="H50" s="11">
        <v>-0.2</v>
      </c>
      <c r="I50" s="11">
        <v>0.1</v>
      </c>
      <c r="J50" s="11">
        <v>0</v>
      </c>
      <c r="K50" s="11">
        <f t="shared" si="11"/>
        <v>0</v>
      </c>
      <c r="L50" s="11">
        <f t="shared" si="8"/>
        <v>-0.5</v>
      </c>
      <c r="M50" s="11">
        <f t="shared" si="9"/>
        <v>-0.5</v>
      </c>
      <c r="N50" s="11">
        <f t="shared" si="9"/>
        <v>-0.5</v>
      </c>
      <c r="O50" s="11">
        <f t="shared" si="9"/>
        <v>-0.5</v>
      </c>
      <c r="P50" s="11">
        <f t="shared" si="9"/>
        <v>-0.5</v>
      </c>
      <c r="Q50" s="11">
        <f t="shared" si="9"/>
        <v>-0.5</v>
      </c>
      <c r="R50" s="22" t="s">
        <v>50</v>
      </c>
      <c r="S50" s="23" t="s">
        <v>86</v>
      </c>
    </row>
    <row r="51" spans="1:20" ht="15" x14ac:dyDescent="0.3">
      <c r="A51" s="39">
        <f t="shared" si="10"/>
        <v>14.678197381671701</v>
      </c>
      <c r="B51" s="11" t="s">
        <v>16</v>
      </c>
      <c r="C51" s="11">
        <v>-0.1</v>
      </c>
      <c r="D51" s="11">
        <v>0.1</v>
      </c>
      <c r="E51" s="11">
        <v>0.05</v>
      </c>
      <c r="F51" s="11">
        <v>-0.15</v>
      </c>
      <c r="G51" s="11">
        <v>0</v>
      </c>
      <c r="H51" s="11">
        <v>0.2</v>
      </c>
      <c r="I51" s="11">
        <v>-0.1</v>
      </c>
      <c r="J51" s="11">
        <v>0.3</v>
      </c>
      <c r="K51" s="11">
        <f t="shared" si="11"/>
        <v>-0.5</v>
      </c>
      <c r="L51" s="11">
        <f t="shared" si="8"/>
        <v>-0.5</v>
      </c>
      <c r="M51" s="11">
        <f t="shared" si="9"/>
        <v>-0.5</v>
      </c>
      <c r="N51" s="11">
        <f t="shared" si="9"/>
        <v>-0.5</v>
      </c>
      <c r="O51" s="11">
        <f t="shared" si="9"/>
        <v>-0.5</v>
      </c>
      <c r="P51" s="11">
        <f t="shared" si="9"/>
        <v>-0.5</v>
      </c>
      <c r="Q51" s="11">
        <f t="shared" si="9"/>
        <v>2</v>
      </c>
      <c r="R51" s="22" t="s">
        <v>63</v>
      </c>
      <c r="S51" s="23" t="s">
        <v>87</v>
      </c>
    </row>
    <row r="52" spans="1:20" ht="15" x14ac:dyDescent="0.3">
      <c r="A52" s="39">
        <f t="shared" si="10"/>
        <v>15.825359766529134</v>
      </c>
      <c r="B52" s="11" t="s">
        <v>18</v>
      </c>
      <c r="C52" s="11">
        <v>0</v>
      </c>
      <c r="D52" s="11">
        <v>0</v>
      </c>
      <c r="E52" s="11">
        <v>0.1</v>
      </c>
      <c r="F52" s="11">
        <v>0</v>
      </c>
      <c r="G52" s="11">
        <v>0.15</v>
      </c>
      <c r="H52" s="11">
        <v>0.3</v>
      </c>
      <c r="I52" s="11">
        <v>0.15</v>
      </c>
      <c r="J52" s="11">
        <v>0</v>
      </c>
      <c r="K52" s="11">
        <f t="shared" si="11"/>
        <v>-0.5</v>
      </c>
      <c r="L52" s="11">
        <f t="shared" si="8"/>
        <v>-0.5</v>
      </c>
      <c r="M52" s="11">
        <f t="shared" si="9"/>
        <v>-0.5</v>
      </c>
      <c r="N52" s="11">
        <f t="shared" si="9"/>
        <v>-0.5</v>
      </c>
      <c r="O52" s="11">
        <f t="shared" si="9"/>
        <v>2</v>
      </c>
      <c r="P52" s="11">
        <f t="shared" si="9"/>
        <v>-0.5</v>
      </c>
      <c r="Q52" s="11">
        <f t="shared" si="9"/>
        <v>-0.5</v>
      </c>
      <c r="R52" s="22" t="s">
        <v>57</v>
      </c>
      <c r="S52" s="23" t="s">
        <v>88</v>
      </c>
    </row>
    <row r="53" spans="1:20" ht="15" x14ac:dyDescent="0.3">
      <c r="A53" s="39">
        <f t="shared" si="10"/>
        <v>13.824549753496328</v>
      </c>
      <c r="B53" s="11" t="s">
        <v>20</v>
      </c>
      <c r="C53" s="11">
        <v>-0.2</v>
      </c>
      <c r="D53" s="11">
        <v>0.2</v>
      </c>
      <c r="E53" s="11">
        <v>-0.3</v>
      </c>
      <c r="F53" s="11">
        <v>-0.2</v>
      </c>
      <c r="G53" s="11">
        <v>0.2</v>
      </c>
      <c r="H53" s="11">
        <v>0.2</v>
      </c>
      <c r="I53" s="11">
        <v>0.05</v>
      </c>
      <c r="J53" s="11">
        <v>0</v>
      </c>
      <c r="K53" s="11">
        <f t="shared" si="11"/>
        <v>-0.5</v>
      </c>
      <c r="L53" s="11">
        <f t="shared" si="8"/>
        <v>-0.5</v>
      </c>
      <c r="M53" s="11">
        <f t="shared" si="9"/>
        <v>-0.5</v>
      </c>
      <c r="N53" s="11">
        <f t="shared" si="9"/>
        <v>2</v>
      </c>
      <c r="O53" s="11">
        <f t="shared" si="9"/>
        <v>-0.5</v>
      </c>
      <c r="P53" s="11">
        <f t="shared" si="9"/>
        <v>-0.5</v>
      </c>
      <c r="Q53" s="11">
        <f t="shared" si="9"/>
        <v>-0.5</v>
      </c>
      <c r="R53" s="22" t="s">
        <v>98</v>
      </c>
      <c r="S53" s="23" t="s">
        <v>89</v>
      </c>
    </row>
    <row r="54" spans="1:20" ht="15" x14ac:dyDescent="0.3">
      <c r="A54" s="39">
        <f>1.1*1.44</f>
        <v>1.5840000000000001</v>
      </c>
      <c r="B54" s="11" t="s">
        <v>22</v>
      </c>
      <c r="C54" s="11">
        <v>-0.05</v>
      </c>
      <c r="D54" s="11">
        <v>-0.05</v>
      </c>
      <c r="E54" s="11">
        <v>0</v>
      </c>
      <c r="F54" s="11">
        <v>0</v>
      </c>
      <c r="G54" s="11">
        <v>0.2</v>
      </c>
      <c r="H54" s="11">
        <v>0</v>
      </c>
      <c r="I54" s="11">
        <v>0.1</v>
      </c>
      <c r="J54" s="11">
        <v>0.05</v>
      </c>
      <c r="K54" s="11">
        <f t="shared" si="11"/>
        <v>-0.5</v>
      </c>
      <c r="L54" s="11">
        <f t="shared" si="8"/>
        <v>-0.5</v>
      </c>
      <c r="M54" s="11">
        <f t="shared" si="9"/>
        <v>-0.5</v>
      </c>
      <c r="N54" s="11">
        <f t="shared" si="9"/>
        <v>-0.5</v>
      </c>
      <c r="O54" s="11">
        <f t="shared" si="9"/>
        <v>-0.5</v>
      </c>
      <c r="P54" s="11">
        <f t="shared" si="9"/>
        <v>2</v>
      </c>
      <c r="Q54" s="11">
        <f t="shared" si="9"/>
        <v>-0.5</v>
      </c>
      <c r="R54" s="22" t="s">
        <v>58</v>
      </c>
      <c r="S54" s="23" t="s">
        <v>90</v>
      </c>
    </row>
    <row r="55" spans="1:20" ht="15" x14ac:dyDescent="0.3">
      <c r="A55" s="39">
        <f t="shared" si="10"/>
        <v>15.47495471925941</v>
      </c>
      <c r="B55" s="11" t="s">
        <v>24</v>
      </c>
      <c r="C55" s="11">
        <v>0.05</v>
      </c>
      <c r="D55" s="11">
        <v>-0.1</v>
      </c>
      <c r="E55" s="11">
        <v>0.1</v>
      </c>
      <c r="F55" s="11">
        <v>0.2</v>
      </c>
      <c r="G55" s="11">
        <v>-0.1</v>
      </c>
      <c r="H55" s="11">
        <v>0</v>
      </c>
      <c r="I55" s="11">
        <v>0.1</v>
      </c>
      <c r="J55" s="11">
        <v>0</v>
      </c>
      <c r="K55" s="11">
        <f t="shared" si="11"/>
        <v>-0.5</v>
      </c>
      <c r="L55" s="11">
        <f t="shared" si="8"/>
        <v>-0.5</v>
      </c>
      <c r="M55" s="11">
        <f t="shared" si="9"/>
        <v>2</v>
      </c>
      <c r="N55" s="11">
        <f t="shared" si="9"/>
        <v>-0.5</v>
      </c>
      <c r="O55" s="11">
        <f t="shared" si="9"/>
        <v>-0.5</v>
      </c>
      <c r="P55" s="11">
        <f t="shared" si="9"/>
        <v>-0.5</v>
      </c>
      <c r="Q55" s="11">
        <f t="shared" si="9"/>
        <v>-0.5</v>
      </c>
      <c r="R55" s="22" t="s">
        <v>97</v>
      </c>
      <c r="S55" s="23" t="s">
        <v>91</v>
      </c>
    </row>
    <row r="56" spans="1:20" ht="15" x14ac:dyDescent="0.3">
      <c r="A56" s="39">
        <f t="shared" si="10"/>
        <v>13.525764895330113</v>
      </c>
      <c r="B56" s="11" t="s">
        <v>26</v>
      </c>
      <c r="C56" s="11">
        <v>-0.2</v>
      </c>
      <c r="D56" s="11">
        <v>-0.1</v>
      </c>
      <c r="E56" s="11">
        <v>-0.2</v>
      </c>
      <c r="F56" s="11">
        <v>-0.1</v>
      </c>
      <c r="G56" s="11">
        <v>0</v>
      </c>
      <c r="H56" s="11">
        <v>0</v>
      </c>
      <c r="I56" s="11">
        <v>-0.1</v>
      </c>
      <c r="J56" s="11">
        <v>0.15</v>
      </c>
      <c r="K56" s="11">
        <f t="shared" si="11"/>
        <v>0</v>
      </c>
      <c r="L56" s="11">
        <f t="shared" si="8"/>
        <v>-0.5</v>
      </c>
      <c r="M56" s="11">
        <f t="shared" ref="M56:Q59" si="12">IF(M$39=$R56,200%,-50%)</f>
        <v>-0.5</v>
      </c>
      <c r="N56" s="11">
        <f t="shared" si="12"/>
        <v>-0.5</v>
      </c>
      <c r="O56" s="11">
        <f t="shared" si="12"/>
        <v>-0.5</v>
      </c>
      <c r="P56" s="11">
        <f t="shared" si="12"/>
        <v>-0.5</v>
      </c>
      <c r="Q56" s="11">
        <f t="shared" si="12"/>
        <v>-0.5</v>
      </c>
      <c r="R56" s="22" t="s">
        <v>100</v>
      </c>
      <c r="S56" s="23" t="s">
        <v>89</v>
      </c>
    </row>
    <row r="57" spans="1:20" ht="15" x14ac:dyDescent="0.3">
      <c r="A57" s="39">
        <f t="shared" si="10"/>
        <v>15.425359766529134</v>
      </c>
      <c r="B57" s="11" t="s">
        <v>33</v>
      </c>
      <c r="C57" s="11">
        <v>0</v>
      </c>
      <c r="D57" s="11">
        <v>0.2</v>
      </c>
      <c r="E57" s="11">
        <v>-0.1</v>
      </c>
      <c r="F57" s="11">
        <v>-0.1</v>
      </c>
      <c r="G57" s="11">
        <v>0.3</v>
      </c>
      <c r="H57" s="11">
        <v>0.1</v>
      </c>
      <c r="I57" s="11">
        <v>0.15</v>
      </c>
      <c r="J57" s="11">
        <v>0</v>
      </c>
      <c r="K57" s="11">
        <f t="shared" si="11"/>
        <v>-0.5</v>
      </c>
      <c r="L57" s="11">
        <f t="shared" si="8"/>
        <v>-0.5</v>
      </c>
      <c r="M57" s="11">
        <f t="shared" si="12"/>
        <v>-0.5</v>
      </c>
      <c r="N57" s="11">
        <f t="shared" si="12"/>
        <v>-0.5</v>
      </c>
      <c r="O57" s="11">
        <f t="shared" si="12"/>
        <v>-0.5</v>
      </c>
      <c r="P57" s="11">
        <f t="shared" si="12"/>
        <v>-0.5</v>
      </c>
      <c r="Q57" s="11">
        <f t="shared" si="12"/>
        <v>2</v>
      </c>
      <c r="R57" s="22" t="s">
        <v>63</v>
      </c>
      <c r="S57" s="23" t="s">
        <v>92</v>
      </c>
    </row>
    <row r="58" spans="1:20" ht="15" x14ac:dyDescent="0.3">
      <c r="A58" s="39">
        <f t="shared" si="10"/>
        <v>16.074954719259409</v>
      </c>
      <c r="B58" s="11" t="s">
        <v>35</v>
      </c>
      <c r="C58" s="11">
        <v>0.1</v>
      </c>
      <c r="D58" s="11">
        <v>-0.1</v>
      </c>
      <c r="E58" s="11">
        <v>0.25</v>
      </c>
      <c r="F58" s="11">
        <v>0.05</v>
      </c>
      <c r="G58" s="11">
        <v>0</v>
      </c>
      <c r="H58" s="11">
        <v>0</v>
      </c>
      <c r="I58" s="11">
        <v>0.1</v>
      </c>
      <c r="J58" s="11">
        <v>0</v>
      </c>
      <c r="K58" s="11">
        <f t="shared" si="11"/>
        <v>-0.5</v>
      </c>
      <c r="L58" s="11">
        <f t="shared" si="8"/>
        <v>-0.5</v>
      </c>
      <c r="M58" s="11">
        <f t="shared" si="12"/>
        <v>-0.5</v>
      </c>
      <c r="N58" s="11">
        <f t="shared" si="12"/>
        <v>-0.5</v>
      </c>
      <c r="O58" s="11">
        <f t="shared" si="12"/>
        <v>2</v>
      </c>
      <c r="P58" s="11">
        <f t="shared" si="12"/>
        <v>-0.5</v>
      </c>
      <c r="Q58" s="11">
        <f t="shared" si="12"/>
        <v>-0.5</v>
      </c>
      <c r="R58" s="22" t="s">
        <v>99</v>
      </c>
      <c r="S58" s="23" t="s">
        <v>93</v>
      </c>
    </row>
    <row r="59" spans="1:20" ht="15" x14ac:dyDescent="0.3">
      <c r="A59" s="39">
        <f t="shared" si="10"/>
        <v>15.925764895330111</v>
      </c>
      <c r="B59" s="11" t="s">
        <v>37</v>
      </c>
      <c r="C59" s="11">
        <v>0.1</v>
      </c>
      <c r="D59" s="11">
        <v>0.1</v>
      </c>
      <c r="E59" s="11">
        <v>0.1</v>
      </c>
      <c r="F59" s="11">
        <v>0</v>
      </c>
      <c r="G59" s="11">
        <v>0.1</v>
      </c>
      <c r="H59" s="11">
        <v>0</v>
      </c>
      <c r="I59" s="11">
        <v>0</v>
      </c>
      <c r="J59" s="11">
        <v>0.1</v>
      </c>
      <c r="K59" s="11">
        <f t="shared" si="11"/>
        <v>-0.5</v>
      </c>
      <c r="L59" s="11">
        <f t="shared" si="8"/>
        <v>2</v>
      </c>
      <c r="M59" s="11">
        <f t="shared" si="12"/>
        <v>-0.5</v>
      </c>
      <c r="N59" s="11">
        <f t="shared" si="12"/>
        <v>-0.5</v>
      </c>
      <c r="O59" s="11">
        <f t="shared" si="12"/>
        <v>-0.5</v>
      </c>
      <c r="P59" s="11">
        <f t="shared" si="12"/>
        <v>-0.5</v>
      </c>
      <c r="Q59" s="11">
        <f t="shared" si="12"/>
        <v>-0.5</v>
      </c>
      <c r="R59" s="22" t="s">
        <v>95</v>
      </c>
      <c r="S59" s="23" t="s">
        <v>94</v>
      </c>
    </row>
    <row r="61" spans="1:20" x14ac:dyDescent="0.2">
      <c r="B61" s="10" t="s">
        <v>64</v>
      </c>
      <c r="C61" s="9" t="s">
        <v>11</v>
      </c>
      <c r="D61" s="9" t="s">
        <v>12</v>
      </c>
      <c r="E61" s="9" t="s">
        <v>47</v>
      </c>
      <c r="F61" s="9" t="s">
        <v>48</v>
      </c>
      <c r="G61" s="9" t="s">
        <v>101</v>
      </c>
      <c r="H61" s="9" t="s">
        <v>49</v>
      </c>
      <c r="I61" s="9" t="s">
        <v>68</v>
      </c>
      <c r="J61" s="9" t="s">
        <v>28</v>
      </c>
      <c r="L61" s="10" t="s">
        <v>70</v>
      </c>
      <c r="M61" s="9" t="s">
        <v>11</v>
      </c>
      <c r="N61" s="9" t="s">
        <v>12</v>
      </c>
      <c r="O61" s="9" t="s">
        <v>65</v>
      </c>
      <c r="P61" s="9" t="s">
        <v>66</v>
      </c>
      <c r="Q61" s="9" t="s">
        <v>67</v>
      </c>
      <c r="R61" s="9" t="s">
        <v>49</v>
      </c>
      <c r="S61" s="9" t="s">
        <v>68</v>
      </c>
      <c r="T61" s="9" t="s">
        <v>28</v>
      </c>
    </row>
    <row r="62" spans="1:20" ht="15" x14ac:dyDescent="0.3">
      <c r="B62" s="11" t="s">
        <v>0</v>
      </c>
      <c r="C62" s="11">
        <v>0.3</v>
      </c>
      <c r="D62" s="11">
        <v>0</v>
      </c>
      <c r="E62" s="11">
        <v>-0.1</v>
      </c>
      <c r="F62" s="11">
        <v>0.1</v>
      </c>
      <c r="G62" s="11">
        <v>-0.8</v>
      </c>
      <c r="H62" s="11">
        <v>-0.5</v>
      </c>
      <c r="I62" s="11">
        <v>0</v>
      </c>
      <c r="J62" s="11">
        <v>0</v>
      </c>
      <c r="L62" s="11" t="s">
        <v>0</v>
      </c>
      <c r="M62" s="11">
        <v>0.3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  <c r="T62" s="11">
        <v>0</v>
      </c>
    </row>
    <row r="63" spans="1:20" ht="15" x14ac:dyDescent="0.3">
      <c r="B63" s="11" t="s">
        <v>2</v>
      </c>
      <c r="C63" s="11">
        <v>0.2</v>
      </c>
      <c r="D63" s="11">
        <v>0</v>
      </c>
      <c r="E63" s="11">
        <v>0</v>
      </c>
      <c r="F63" s="11">
        <v>0</v>
      </c>
      <c r="G63" s="11">
        <v>-0.8</v>
      </c>
      <c r="H63" s="11">
        <v>-0.5</v>
      </c>
      <c r="I63" s="11">
        <v>0</v>
      </c>
      <c r="J63" s="11">
        <v>0</v>
      </c>
      <c r="L63" s="11" t="s">
        <v>2</v>
      </c>
      <c r="M63" s="11">
        <v>0.3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</row>
    <row r="64" spans="1:20" x14ac:dyDescent="0.2">
      <c r="B64" s="11" t="s">
        <v>69</v>
      </c>
      <c r="C64" s="11">
        <v>0.2</v>
      </c>
      <c r="D64" s="11">
        <v>0</v>
      </c>
      <c r="E64" s="11">
        <v>-0.5</v>
      </c>
      <c r="F64" s="11">
        <v>0</v>
      </c>
      <c r="G64" s="11">
        <v>1.5</v>
      </c>
      <c r="H64" s="11">
        <v>0</v>
      </c>
      <c r="I64" s="11">
        <v>0</v>
      </c>
      <c r="J64" s="11">
        <v>0</v>
      </c>
      <c r="L64" s="11" t="s">
        <v>69</v>
      </c>
      <c r="M64" s="11">
        <v>0.3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</row>
    <row r="65" spans="2:20" ht="15" x14ac:dyDescent="0.3">
      <c r="B65" s="11" t="s">
        <v>3</v>
      </c>
      <c r="C65" s="11">
        <v>0.2</v>
      </c>
      <c r="D65" s="11">
        <v>0</v>
      </c>
      <c r="E65" s="11">
        <v>-0.3</v>
      </c>
      <c r="F65" s="11">
        <v>0</v>
      </c>
      <c r="G65" s="11">
        <v>1.2</v>
      </c>
      <c r="H65" s="11">
        <v>0</v>
      </c>
      <c r="I65" s="11">
        <v>0</v>
      </c>
      <c r="J65" s="11">
        <v>0</v>
      </c>
      <c r="L65" s="11" t="s">
        <v>3</v>
      </c>
      <c r="M65" s="11">
        <v>0.3</v>
      </c>
      <c r="N65" s="11">
        <v>0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  <c r="T65" s="11">
        <v>0</v>
      </c>
    </row>
    <row r="66" spans="2:20" ht="15" x14ac:dyDescent="0.3">
      <c r="B66" s="11" t="s">
        <v>4</v>
      </c>
      <c r="C66" s="11">
        <v>0.2</v>
      </c>
      <c r="D66" s="11">
        <v>0</v>
      </c>
      <c r="E66" s="11">
        <v>-0.3</v>
      </c>
      <c r="F66" s="11">
        <v>0</v>
      </c>
      <c r="G66" s="11">
        <v>0.5</v>
      </c>
      <c r="H66" s="11">
        <v>0</v>
      </c>
      <c r="I66" s="11">
        <v>0.2</v>
      </c>
      <c r="J66" s="11">
        <v>0</v>
      </c>
      <c r="L66" s="11" t="s">
        <v>4</v>
      </c>
      <c r="M66" s="11">
        <v>0.3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</row>
    <row r="67" spans="2:20" ht="15" x14ac:dyDescent="0.3">
      <c r="B67" s="11" t="s">
        <v>5</v>
      </c>
      <c r="C67" s="11">
        <v>0.2</v>
      </c>
      <c r="D67" s="11">
        <v>0</v>
      </c>
      <c r="E67" s="11">
        <v>-0.2</v>
      </c>
      <c r="F67" s="11">
        <v>0</v>
      </c>
      <c r="G67" s="11">
        <v>0</v>
      </c>
      <c r="H67" s="11">
        <v>-0.3</v>
      </c>
      <c r="I67" s="11">
        <v>0.15</v>
      </c>
      <c r="J67" s="11">
        <v>0.2</v>
      </c>
      <c r="L67" s="11" t="s">
        <v>5</v>
      </c>
      <c r="M67" s="11">
        <v>0.3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</row>
    <row r="68" spans="2:20" ht="15" x14ac:dyDescent="0.3">
      <c r="B68" s="11" t="s">
        <v>6</v>
      </c>
      <c r="C68" s="11">
        <v>0.2</v>
      </c>
      <c r="D68" s="11">
        <v>0</v>
      </c>
      <c r="E68" s="11">
        <v>0</v>
      </c>
      <c r="F68" s="11">
        <v>0</v>
      </c>
      <c r="G68" s="11">
        <v>1.2</v>
      </c>
      <c r="H68" s="11">
        <v>0</v>
      </c>
      <c r="I68" s="11">
        <v>0</v>
      </c>
      <c r="J68" s="11">
        <v>0.2</v>
      </c>
      <c r="L68" s="11" t="s">
        <v>6</v>
      </c>
      <c r="M68" s="11">
        <v>0.3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</row>
    <row r="69" spans="2:20" ht="15" x14ac:dyDescent="0.3">
      <c r="B69" s="11" t="s">
        <v>7</v>
      </c>
      <c r="C69" s="11">
        <v>0.2</v>
      </c>
      <c r="D69" s="11">
        <v>0</v>
      </c>
      <c r="E69" s="11">
        <v>0</v>
      </c>
      <c r="F69" s="11">
        <v>0</v>
      </c>
      <c r="G69" s="11">
        <v>1.2</v>
      </c>
      <c r="H69" s="11">
        <v>0</v>
      </c>
      <c r="I69" s="11">
        <v>0</v>
      </c>
      <c r="J69" s="11">
        <v>0.15</v>
      </c>
      <c r="L69" s="11" t="s">
        <v>7</v>
      </c>
      <c r="M69" s="11">
        <v>0.3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</row>
    <row r="70" spans="2:20" ht="15" x14ac:dyDescent="0.3">
      <c r="B70" s="11" t="s">
        <v>8</v>
      </c>
      <c r="C70" s="11">
        <v>0.3</v>
      </c>
      <c r="D70" s="11">
        <v>0.1</v>
      </c>
      <c r="E70" s="11">
        <v>0.1</v>
      </c>
      <c r="F70" s="11">
        <v>0.1</v>
      </c>
      <c r="G70" s="11">
        <v>1.2</v>
      </c>
      <c r="H70" s="11">
        <v>0</v>
      </c>
      <c r="I70" s="11">
        <v>0</v>
      </c>
      <c r="J70" s="11">
        <v>0.3</v>
      </c>
      <c r="L70" s="11" t="s">
        <v>8</v>
      </c>
      <c r="M70" s="11">
        <v>0.3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</row>
    <row r="71" spans="2:20" ht="15" x14ac:dyDescent="0.3">
      <c r="B71" s="11" t="s">
        <v>9</v>
      </c>
      <c r="C71" s="11">
        <v>0.2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0.1</v>
      </c>
      <c r="J71" s="11">
        <v>0</v>
      </c>
      <c r="L71" s="11" t="s">
        <v>9</v>
      </c>
      <c r="M71" s="11">
        <v>0.3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</row>
    <row r="72" spans="2:20" ht="15" x14ac:dyDescent="0.3">
      <c r="B72" s="11" t="s">
        <v>14</v>
      </c>
      <c r="C72" s="11">
        <v>0.2</v>
      </c>
      <c r="D72" s="11">
        <v>0</v>
      </c>
      <c r="E72" s="11">
        <v>0.1</v>
      </c>
      <c r="F72" s="11">
        <v>0</v>
      </c>
      <c r="G72" s="11">
        <v>0</v>
      </c>
      <c r="H72" s="11">
        <v>-0.5</v>
      </c>
      <c r="I72" s="11">
        <v>0.1</v>
      </c>
      <c r="J72" s="11">
        <v>0</v>
      </c>
      <c r="L72" s="11" t="s">
        <v>14</v>
      </c>
      <c r="M72" s="11">
        <v>0.3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</row>
    <row r="73" spans="2:20" ht="15" x14ac:dyDescent="0.3">
      <c r="B73" s="11" t="s">
        <v>16</v>
      </c>
      <c r="C73" s="11">
        <v>0.2</v>
      </c>
      <c r="D73" s="11">
        <v>0.1</v>
      </c>
      <c r="E73" s="11">
        <v>0</v>
      </c>
      <c r="F73" s="11">
        <v>0</v>
      </c>
      <c r="G73" s="11">
        <v>1.5</v>
      </c>
      <c r="H73" s="11">
        <v>0</v>
      </c>
      <c r="I73" s="11">
        <v>0</v>
      </c>
      <c r="J73" s="11">
        <v>0</v>
      </c>
      <c r="L73" s="11" t="s">
        <v>16</v>
      </c>
      <c r="M73" s="11">
        <v>0.3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</row>
    <row r="74" spans="2:20" ht="15" x14ac:dyDescent="0.3">
      <c r="B74" s="11" t="s">
        <v>18</v>
      </c>
      <c r="C74" s="11">
        <v>0.3</v>
      </c>
      <c r="D74" s="11">
        <v>0.1</v>
      </c>
      <c r="E74" s="11">
        <v>0</v>
      </c>
      <c r="F74" s="11">
        <v>0</v>
      </c>
      <c r="G74" s="11">
        <v>0.8</v>
      </c>
      <c r="H74" s="11">
        <v>0</v>
      </c>
      <c r="I74" s="11">
        <v>0</v>
      </c>
      <c r="J74" s="11">
        <v>0</v>
      </c>
      <c r="L74" s="11" t="s">
        <v>18</v>
      </c>
      <c r="M74" s="11">
        <v>0.3</v>
      </c>
      <c r="N74" s="11">
        <v>0</v>
      </c>
      <c r="O74" s="11">
        <v>0</v>
      </c>
      <c r="P74" s="11">
        <v>0</v>
      </c>
      <c r="Q74" s="11">
        <v>0</v>
      </c>
      <c r="R74" s="11">
        <v>0</v>
      </c>
      <c r="S74" s="11">
        <v>0</v>
      </c>
      <c r="T74" s="11">
        <v>0</v>
      </c>
    </row>
    <row r="75" spans="2:20" ht="15" x14ac:dyDescent="0.3">
      <c r="B75" s="11" t="s">
        <v>20</v>
      </c>
      <c r="C75" s="11">
        <v>0.25</v>
      </c>
      <c r="D75" s="11">
        <v>0.05</v>
      </c>
      <c r="E75" s="11">
        <v>0.05</v>
      </c>
      <c r="F75" s="11">
        <v>0.05</v>
      </c>
      <c r="G75" s="11">
        <v>1.5</v>
      </c>
      <c r="H75" s="11">
        <v>0</v>
      </c>
      <c r="I75" s="11">
        <v>0.05</v>
      </c>
      <c r="J75" s="11">
        <v>0.05</v>
      </c>
      <c r="L75" s="11" t="s">
        <v>20</v>
      </c>
      <c r="M75" s="11">
        <v>0.3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</row>
    <row r="76" spans="2:20" ht="15" x14ac:dyDescent="0.3">
      <c r="B76" s="11" t="s">
        <v>22</v>
      </c>
      <c r="C76" s="11">
        <v>0.2</v>
      </c>
      <c r="D76" s="11">
        <v>0.05</v>
      </c>
      <c r="E76" s="11">
        <v>0</v>
      </c>
      <c r="F76" s="11">
        <v>0</v>
      </c>
      <c r="G76" s="11">
        <v>0</v>
      </c>
      <c r="H76" s="11">
        <v>0</v>
      </c>
      <c r="I76" s="11">
        <v>0.3</v>
      </c>
      <c r="J76" s="11">
        <v>0</v>
      </c>
      <c r="L76" s="11" t="s">
        <v>22</v>
      </c>
      <c r="M76" s="11">
        <v>0.3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</row>
    <row r="77" spans="2:20" ht="15" x14ac:dyDescent="0.3">
      <c r="B77" s="11" t="s">
        <v>24</v>
      </c>
      <c r="C77" s="11">
        <v>0.2</v>
      </c>
      <c r="D77" s="11">
        <v>0</v>
      </c>
      <c r="E77" s="11">
        <v>0.1</v>
      </c>
      <c r="F77" s="11">
        <v>0</v>
      </c>
      <c r="G77" s="11">
        <v>0</v>
      </c>
      <c r="H77" s="11">
        <v>0</v>
      </c>
      <c r="I77" s="11">
        <v>0</v>
      </c>
      <c r="J77" s="11">
        <v>0.2</v>
      </c>
      <c r="L77" s="11" t="s">
        <v>24</v>
      </c>
      <c r="M77" s="11">
        <v>0.3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</row>
    <row r="78" spans="2:20" ht="15" x14ac:dyDescent="0.3">
      <c r="B78" s="11" t="s">
        <v>26</v>
      </c>
      <c r="C78" s="11">
        <v>0.25</v>
      </c>
      <c r="D78" s="11">
        <v>0.05</v>
      </c>
      <c r="E78" s="11">
        <v>0.05</v>
      </c>
      <c r="F78" s="11">
        <v>0.05</v>
      </c>
      <c r="G78" s="11">
        <v>1</v>
      </c>
      <c r="H78" s="11">
        <v>0</v>
      </c>
      <c r="I78" s="11">
        <v>0.05</v>
      </c>
      <c r="J78" s="11">
        <v>0.05</v>
      </c>
      <c r="L78" s="11" t="s">
        <v>26</v>
      </c>
      <c r="M78" s="11">
        <v>0.3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</row>
    <row r="79" spans="2:20" ht="15" x14ac:dyDescent="0.3">
      <c r="B79" s="11" t="s">
        <v>33</v>
      </c>
      <c r="C79" s="11">
        <v>0.2</v>
      </c>
      <c r="D79" s="11">
        <v>0</v>
      </c>
      <c r="E79" s="11">
        <v>-0.1</v>
      </c>
      <c r="F79" s="11">
        <v>0</v>
      </c>
      <c r="G79" s="11">
        <v>1.5</v>
      </c>
      <c r="H79" s="11">
        <v>0</v>
      </c>
      <c r="I79" s="11">
        <v>0</v>
      </c>
      <c r="J79" s="11">
        <v>0</v>
      </c>
      <c r="L79" s="11" t="s">
        <v>33</v>
      </c>
      <c r="M79" s="11">
        <v>0.3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</row>
    <row r="80" spans="2:20" ht="15" x14ac:dyDescent="0.3">
      <c r="B80" s="11" t="s">
        <v>35</v>
      </c>
      <c r="C80" s="11">
        <v>0.3</v>
      </c>
      <c r="D80" s="11">
        <v>0.05</v>
      </c>
      <c r="E80" s="11">
        <v>0.05</v>
      </c>
      <c r="F80" s="11">
        <v>0.1</v>
      </c>
      <c r="G80" s="11">
        <v>0</v>
      </c>
      <c r="H80" s="11">
        <v>0</v>
      </c>
      <c r="I80" s="11">
        <v>0.05</v>
      </c>
      <c r="J80" s="11">
        <v>0.05</v>
      </c>
      <c r="L80" s="11" t="s">
        <v>35</v>
      </c>
      <c r="M80" s="11">
        <v>0.3</v>
      </c>
      <c r="N80" s="11">
        <v>0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  <c r="T80" s="11">
        <v>0</v>
      </c>
    </row>
    <row r="81" spans="2:20" ht="15" x14ac:dyDescent="0.3">
      <c r="B81" s="11" t="s">
        <v>37</v>
      </c>
      <c r="C81" s="11">
        <v>0.25</v>
      </c>
      <c r="D81" s="11">
        <v>0.05</v>
      </c>
      <c r="E81" s="11">
        <v>0.05</v>
      </c>
      <c r="F81" s="11">
        <v>0.05</v>
      </c>
      <c r="G81" s="11">
        <v>0.5</v>
      </c>
      <c r="H81" s="11">
        <v>0</v>
      </c>
      <c r="I81" s="11">
        <v>0.05</v>
      </c>
      <c r="J81" s="11">
        <v>0.05</v>
      </c>
      <c r="L81" s="11" t="s">
        <v>37</v>
      </c>
      <c r="M81" s="11">
        <v>0.3</v>
      </c>
      <c r="N81" s="11">
        <v>0</v>
      </c>
      <c r="O81" s="11">
        <v>0</v>
      </c>
      <c r="P81" s="11">
        <v>0</v>
      </c>
      <c r="Q81" s="11">
        <v>0</v>
      </c>
      <c r="R81" s="11">
        <v>0</v>
      </c>
      <c r="S81" s="11">
        <v>0</v>
      </c>
      <c r="T81" s="11">
        <v>0</v>
      </c>
    </row>
    <row r="82" spans="2:20" x14ac:dyDescent="0.2">
      <c r="D82" s="1">
        <v>1</v>
      </c>
      <c r="E82" s="1">
        <v>2</v>
      </c>
      <c r="F82" s="1">
        <v>3</v>
      </c>
      <c r="G82" s="1">
        <v>4</v>
      </c>
      <c r="H82" s="1">
        <v>5</v>
      </c>
      <c r="I82" s="1">
        <v>6</v>
      </c>
      <c r="J82" s="1">
        <v>7</v>
      </c>
      <c r="K82" s="1">
        <v>8</v>
      </c>
    </row>
    <row r="83" spans="2:20" x14ac:dyDescent="0.2">
      <c r="B83" s="10" t="s">
        <v>104</v>
      </c>
      <c r="C83" s="10" t="s">
        <v>105</v>
      </c>
      <c r="D83" s="21" t="s">
        <v>11</v>
      </c>
      <c r="E83" s="21" t="s">
        <v>12</v>
      </c>
      <c r="F83" s="21" t="s">
        <v>47</v>
      </c>
      <c r="G83" s="21" t="s">
        <v>48</v>
      </c>
      <c r="H83" s="21" t="s">
        <v>101</v>
      </c>
      <c r="I83" s="21" t="s">
        <v>49</v>
      </c>
      <c r="J83" s="21" t="s">
        <v>68</v>
      </c>
      <c r="K83" s="21" t="s">
        <v>28</v>
      </c>
    </row>
    <row r="84" spans="2:20" ht="15" x14ac:dyDescent="0.3">
      <c r="B84" s="11" t="s">
        <v>0</v>
      </c>
      <c r="C84" s="26" t="s">
        <v>106</v>
      </c>
      <c r="D84" s="23">
        <f t="shared" ref="D84:K93" si="13">VLOOKUP($C84,role_grow,D$82+1,FALSE)*(1+VLOOKUP($B84,role_property_weight,D$82+1,FALSE))</f>
        <v>5.5</v>
      </c>
      <c r="E84" s="23">
        <f t="shared" si="13"/>
        <v>0.48</v>
      </c>
      <c r="F84" s="23">
        <f t="shared" si="13"/>
        <v>4.4000000000000004</v>
      </c>
      <c r="G84" s="23">
        <f t="shared" si="13"/>
        <v>4</v>
      </c>
      <c r="H84" s="23">
        <f t="shared" si="13"/>
        <v>0.79999999999999982</v>
      </c>
      <c r="I84" s="23">
        <f t="shared" si="13"/>
        <v>2.8</v>
      </c>
      <c r="J84" s="23">
        <f t="shared" si="13"/>
        <v>1.2</v>
      </c>
      <c r="K84" s="23">
        <f t="shared" si="13"/>
        <v>1.8</v>
      </c>
    </row>
    <row r="85" spans="2:20" ht="15" x14ac:dyDescent="0.3">
      <c r="B85" s="11" t="s">
        <v>2</v>
      </c>
      <c r="C85" s="26" t="s">
        <v>106</v>
      </c>
      <c r="D85" s="23">
        <f t="shared" si="13"/>
        <v>5</v>
      </c>
      <c r="E85" s="23">
        <f t="shared" si="13"/>
        <v>0.6</v>
      </c>
      <c r="F85" s="23">
        <f t="shared" si="13"/>
        <v>4.4000000000000004</v>
      </c>
      <c r="G85" s="23">
        <f t="shared" si="13"/>
        <v>3.6</v>
      </c>
      <c r="H85" s="23">
        <f t="shared" si="13"/>
        <v>2</v>
      </c>
      <c r="I85" s="23">
        <f t="shared" si="13"/>
        <v>2.8</v>
      </c>
      <c r="J85" s="23">
        <f t="shared" si="13"/>
        <v>2.2999999999999998</v>
      </c>
      <c r="K85" s="23">
        <f t="shared" si="13"/>
        <v>2</v>
      </c>
    </row>
    <row r="86" spans="2:20" x14ac:dyDescent="0.2">
      <c r="B86" s="11" t="s">
        <v>46</v>
      </c>
      <c r="C86" s="26" t="s">
        <v>106</v>
      </c>
      <c r="D86" s="23">
        <f t="shared" si="13"/>
        <v>3</v>
      </c>
      <c r="E86" s="23">
        <f t="shared" si="13"/>
        <v>1.32</v>
      </c>
      <c r="F86" s="23">
        <f t="shared" si="13"/>
        <v>2.4</v>
      </c>
      <c r="G86" s="23">
        <f t="shared" si="13"/>
        <v>3.2</v>
      </c>
      <c r="H86" s="23">
        <f t="shared" si="13"/>
        <v>5.2</v>
      </c>
      <c r="I86" s="23">
        <f t="shared" si="13"/>
        <v>4.8</v>
      </c>
      <c r="J86" s="23">
        <f t="shared" si="13"/>
        <v>2.4</v>
      </c>
      <c r="K86" s="23">
        <f t="shared" si="13"/>
        <v>2.4</v>
      </c>
    </row>
    <row r="87" spans="2:20" ht="15" x14ac:dyDescent="0.3">
      <c r="B87" s="11" t="s">
        <v>3</v>
      </c>
      <c r="C87" s="26" t="s">
        <v>106</v>
      </c>
      <c r="D87" s="23">
        <f t="shared" si="13"/>
        <v>4</v>
      </c>
      <c r="E87" s="23">
        <f t="shared" si="13"/>
        <v>1.2</v>
      </c>
      <c r="F87" s="23">
        <f t="shared" si="13"/>
        <v>3.2</v>
      </c>
      <c r="G87" s="23">
        <f t="shared" si="13"/>
        <v>2.8</v>
      </c>
      <c r="H87" s="23">
        <f t="shared" si="13"/>
        <v>4.4000000000000004</v>
      </c>
      <c r="I87" s="23">
        <f t="shared" si="13"/>
        <v>5.6</v>
      </c>
      <c r="J87" s="23">
        <f t="shared" si="13"/>
        <v>2.2000000000000002</v>
      </c>
      <c r="K87" s="23">
        <f t="shared" si="13"/>
        <v>2</v>
      </c>
    </row>
    <row r="88" spans="2:20" ht="15" x14ac:dyDescent="0.3">
      <c r="B88" s="11" t="s">
        <v>4</v>
      </c>
      <c r="C88" s="26" t="s">
        <v>106</v>
      </c>
      <c r="D88" s="23">
        <f t="shared" si="13"/>
        <v>3.5</v>
      </c>
      <c r="E88" s="23">
        <f t="shared" si="13"/>
        <v>0.96</v>
      </c>
      <c r="F88" s="23">
        <f t="shared" si="13"/>
        <v>3.2</v>
      </c>
      <c r="G88" s="23">
        <f t="shared" si="13"/>
        <v>2.8</v>
      </c>
      <c r="H88" s="23">
        <f t="shared" si="13"/>
        <v>4</v>
      </c>
      <c r="I88" s="23">
        <f t="shared" si="13"/>
        <v>4.8</v>
      </c>
      <c r="J88" s="23">
        <f t="shared" si="13"/>
        <v>2.8</v>
      </c>
      <c r="K88" s="23">
        <f t="shared" si="13"/>
        <v>2.8</v>
      </c>
    </row>
    <row r="89" spans="2:20" ht="15" x14ac:dyDescent="0.3">
      <c r="B89" s="11" t="s">
        <v>5</v>
      </c>
      <c r="C89" s="26" t="s">
        <v>106</v>
      </c>
      <c r="D89" s="23">
        <f t="shared" si="13"/>
        <v>4.5</v>
      </c>
      <c r="E89" s="23">
        <f t="shared" si="13"/>
        <v>0.72</v>
      </c>
      <c r="F89" s="23">
        <f t="shared" si="13"/>
        <v>3.6</v>
      </c>
      <c r="G89" s="23">
        <f t="shared" si="13"/>
        <v>2.8</v>
      </c>
      <c r="H89" s="23">
        <f t="shared" si="13"/>
        <v>3.6</v>
      </c>
      <c r="I89" s="23">
        <f t="shared" si="13"/>
        <v>3.6</v>
      </c>
      <c r="J89" s="23">
        <f t="shared" si="13"/>
        <v>2.4</v>
      </c>
      <c r="K89" s="23">
        <f t="shared" si="13"/>
        <v>1.6</v>
      </c>
    </row>
    <row r="90" spans="2:20" ht="15" x14ac:dyDescent="0.3">
      <c r="B90" s="11" t="s">
        <v>6</v>
      </c>
      <c r="C90" s="26" t="s">
        <v>106</v>
      </c>
      <c r="D90" s="23">
        <f t="shared" si="13"/>
        <v>4</v>
      </c>
      <c r="E90" s="23">
        <f t="shared" si="13"/>
        <v>0.84</v>
      </c>
      <c r="F90" s="23">
        <f t="shared" si="13"/>
        <v>3.4</v>
      </c>
      <c r="G90" s="23">
        <f t="shared" si="13"/>
        <v>3.2</v>
      </c>
      <c r="H90" s="23">
        <f t="shared" si="13"/>
        <v>4</v>
      </c>
      <c r="I90" s="23">
        <f t="shared" si="13"/>
        <v>4</v>
      </c>
      <c r="J90" s="23">
        <f t="shared" si="13"/>
        <v>2</v>
      </c>
      <c r="K90" s="23">
        <f t="shared" si="13"/>
        <v>2</v>
      </c>
    </row>
    <row r="91" spans="2:20" ht="15" x14ac:dyDescent="0.3">
      <c r="B91" s="11" t="s">
        <v>7</v>
      </c>
      <c r="C91" s="26" t="s">
        <v>106</v>
      </c>
      <c r="D91" s="23">
        <f t="shared" si="13"/>
        <v>4</v>
      </c>
      <c r="E91" s="23">
        <f t="shared" si="13"/>
        <v>1.2</v>
      </c>
      <c r="F91" s="23">
        <f t="shared" si="13"/>
        <v>3</v>
      </c>
      <c r="G91" s="23">
        <f t="shared" si="13"/>
        <v>3.4</v>
      </c>
      <c r="H91" s="23">
        <f t="shared" si="13"/>
        <v>4.8</v>
      </c>
      <c r="I91" s="23">
        <f t="shared" si="13"/>
        <v>4</v>
      </c>
      <c r="J91" s="23">
        <f t="shared" si="13"/>
        <v>1.8</v>
      </c>
      <c r="K91" s="23">
        <f t="shared" si="13"/>
        <v>2.2000000000000002</v>
      </c>
    </row>
    <row r="92" spans="2:20" ht="15" x14ac:dyDescent="0.3">
      <c r="B92" s="11" t="s">
        <v>8</v>
      </c>
      <c r="C92" s="26" t="s">
        <v>106</v>
      </c>
      <c r="D92" s="23">
        <f t="shared" si="13"/>
        <v>3.5</v>
      </c>
      <c r="E92" s="23">
        <f t="shared" si="13"/>
        <v>0.72</v>
      </c>
      <c r="F92" s="23">
        <f t="shared" si="13"/>
        <v>2.8</v>
      </c>
      <c r="G92" s="23">
        <f t="shared" si="13"/>
        <v>3.2</v>
      </c>
      <c r="H92" s="23">
        <f t="shared" si="13"/>
        <v>3.2</v>
      </c>
      <c r="I92" s="23">
        <f t="shared" si="13"/>
        <v>6</v>
      </c>
      <c r="J92" s="23">
        <f t="shared" si="13"/>
        <v>1.4</v>
      </c>
      <c r="K92" s="23">
        <f t="shared" si="13"/>
        <v>2.1</v>
      </c>
    </row>
    <row r="93" spans="2:20" ht="15" x14ac:dyDescent="0.3">
      <c r="B93" s="11" t="s">
        <v>9</v>
      </c>
      <c r="C93" s="26" t="s">
        <v>106</v>
      </c>
      <c r="D93" s="23">
        <f t="shared" si="13"/>
        <v>5.75</v>
      </c>
      <c r="E93" s="23">
        <f t="shared" si="13"/>
        <v>0.96</v>
      </c>
      <c r="F93" s="23">
        <f t="shared" si="13"/>
        <v>3.6</v>
      </c>
      <c r="G93" s="23">
        <f t="shared" si="13"/>
        <v>4.4000000000000004</v>
      </c>
      <c r="H93" s="23">
        <f t="shared" si="13"/>
        <v>0.79999999999999982</v>
      </c>
      <c r="I93" s="23">
        <f t="shared" si="13"/>
        <v>2</v>
      </c>
      <c r="J93" s="23">
        <f t="shared" si="13"/>
        <v>2.1</v>
      </c>
      <c r="K93" s="23">
        <f t="shared" si="13"/>
        <v>2</v>
      </c>
    </row>
    <row r="94" spans="2:20" ht="15" x14ac:dyDescent="0.3">
      <c r="B94" s="11" t="s">
        <v>14</v>
      </c>
      <c r="C94" s="26" t="s">
        <v>107</v>
      </c>
      <c r="D94" s="23">
        <f t="shared" ref="D94:K103" si="14">VLOOKUP($C94,role_grow,D$82+1,FALSE)*(1+VLOOKUP($B94,role_property_weight,D$82+1,FALSE))</f>
        <v>7.1999999999999993</v>
      </c>
      <c r="E94" s="23">
        <f t="shared" si="14"/>
        <v>0.86399999999999999</v>
      </c>
      <c r="F94" s="23">
        <f t="shared" si="14"/>
        <v>5.52</v>
      </c>
      <c r="G94" s="23">
        <f t="shared" si="14"/>
        <v>5.28</v>
      </c>
      <c r="H94" s="23">
        <f t="shared" si="14"/>
        <v>3.84</v>
      </c>
      <c r="I94" s="23">
        <f t="shared" si="14"/>
        <v>3.84</v>
      </c>
      <c r="J94" s="23">
        <f t="shared" si="14"/>
        <v>2.64</v>
      </c>
      <c r="K94" s="23">
        <f t="shared" si="14"/>
        <v>2.4</v>
      </c>
    </row>
    <row r="95" spans="2:20" ht="15" x14ac:dyDescent="0.3">
      <c r="B95" s="11" t="s">
        <v>16</v>
      </c>
      <c r="C95" s="26" t="s">
        <v>107</v>
      </c>
      <c r="D95" s="23">
        <f t="shared" si="14"/>
        <v>5.4</v>
      </c>
      <c r="E95" s="23">
        <f t="shared" si="14"/>
        <v>1.5840000000000001</v>
      </c>
      <c r="F95" s="23">
        <f t="shared" si="14"/>
        <v>5.04</v>
      </c>
      <c r="G95" s="23">
        <f t="shared" si="14"/>
        <v>4.08</v>
      </c>
      <c r="H95" s="23">
        <f t="shared" si="14"/>
        <v>4.8</v>
      </c>
      <c r="I95" s="23">
        <f t="shared" si="14"/>
        <v>5.76</v>
      </c>
      <c r="J95" s="23">
        <f t="shared" si="14"/>
        <v>2.16</v>
      </c>
      <c r="K95" s="23">
        <f t="shared" si="14"/>
        <v>3.12</v>
      </c>
    </row>
    <row r="96" spans="2:20" ht="15" x14ac:dyDescent="0.3">
      <c r="B96" s="11" t="s">
        <v>18</v>
      </c>
      <c r="C96" s="26" t="s">
        <v>107</v>
      </c>
      <c r="D96" s="23">
        <f t="shared" si="14"/>
        <v>6</v>
      </c>
      <c r="E96" s="23">
        <f t="shared" si="14"/>
        <v>1.44</v>
      </c>
      <c r="F96" s="23">
        <f t="shared" si="14"/>
        <v>5.28</v>
      </c>
      <c r="G96" s="23">
        <f t="shared" si="14"/>
        <v>4.8</v>
      </c>
      <c r="H96" s="23">
        <f t="shared" si="14"/>
        <v>5.52</v>
      </c>
      <c r="I96" s="23">
        <f t="shared" si="14"/>
        <v>6.24</v>
      </c>
      <c r="J96" s="23">
        <f t="shared" si="14"/>
        <v>2.76</v>
      </c>
      <c r="K96" s="23">
        <f t="shared" si="14"/>
        <v>2.4</v>
      </c>
    </row>
    <row r="97" spans="2:11" ht="15" x14ac:dyDescent="0.3">
      <c r="B97" s="11" t="s">
        <v>20</v>
      </c>
      <c r="C97" s="26" t="s">
        <v>107</v>
      </c>
      <c r="D97" s="23">
        <f t="shared" si="14"/>
        <v>4.8000000000000007</v>
      </c>
      <c r="E97" s="23">
        <f t="shared" si="14"/>
        <v>1.728</v>
      </c>
      <c r="F97" s="23">
        <f t="shared" si="14"/>
        <v>3.36</v>
      </c>
      <c r="G97" s="23">
        <f t="shared" si="14"/>
        <v>3.84</v>
      </c>
      <c r="H97" s="23">
        <f t="shared" si="14"/>
        <v>5.76</v>
      </c>
      <c r="I97" s="23">
        <f t="shared" si="14"/>
        <v>5.76</v>
      </c>
      <c r="J97" s="23">
        <f t="shared" si="14"/>
        <v>2.52</v>
      </c>
      <c r="K97" s="23">
        <f t="shared" si="14"/>
        <v>2.4</v>
      </c>
    </row>
    <row r="98" spans="2:11" ht="15" x14ac:dyDescent="0.3">
      <c r="B98" s="11" t="s">
        <v>22</v>
      </c>
      <c r="C98" s="26" t="s">
        <v>107</v>
      </c>
      <c r="D98" s="23">
        <f t="shared" si="14"/>
        <v>5.6999999999999993</v>
      </c>
      <c r="E98" s="23">
        <f t="shared" si="14"/>
        <v>1.3679999999999999</v>
      </c>
      <c r="F98" s="23">
        <f t="shared" si="14"/>
        <v>4.8</v>
      </c>
      <c r="G98" s="23">
        <f t="shared" si="14"/>
        <v>4.8</v>
      </c>
      <c r="H98" s="23">
        <f t="shared" si="14"/>
        <v>5.76</v>
      </c>
      <c r="I98" s="23">
        <f t="shared" si="14"/>
        <v>4.8</v>
      </c>
      <c r="J98" s="23">
        <f t="shared" si="14"/>
        <v>2.64</v>
      </c>
      <c r="K98" s="23">
        <f t="shared" si="14"/>
        <v>2.52</v>
      </c>
    </row>
    <row r="99" spans="2:11" ht="15" x14ac:dyDescent="0.3">
      <c r="B99" s="11" t="s">
        <v>24</v>
      </c>
      <c r="C99" s="26" t="s">
        <v>107</v>
      </c>
      <c r="D99" s="23">
        <f t="shared" si="14"/>
        <v>6.3000000000000007</v>
      </c>
      <c r="E99" s="23">
        <f t="shared" si="14"/>
        <v>1.296</v>
      </c>
      <c r="F99" s="23">
        <f t="shared" si="14"/>
        <v>5.28</v>
      </c>
      <c r="G99" s="23">
        <f t="shared" si="14"/>
        <v>5.76</v>
      </c>
      <c r="H99" s="23">
        <f t="shared" si="14"/>
        <v>4.32</v>
      </c>
      <c r="I99" s="23">
        <f t="shared" si="14"/>
        <v>4.8</v>
      </c>
      <c r="J99" s="23">
        <f t="shared" si="14"/>
        <v>2.64</v>
      </c>
      <c r="K99" s="23">
        <f t="shared" si="14"/>
        <v>2.4</v>
      </c>
    </row>
    <row r="100" spans="2:11" ht="15" x14ac:dyDescent="0.3">
      <c r="B100" s="11" t="s">
        <v>26</v>
      </c>
      <c r="C100" s="26" t="s">
        <v>107</v>
      </c>
      <c r="D100" s="23">
        <f t="shared" si="14"/>
        <v>4.8000000000000007</v>
      </c>
      <c r="E100" s="23">
        <f t="shared" si="14"/>
        <v>1.296</v>
      </c>
      <c r="F100" s="23">
        <f t="shared" si="14"/>
        <v>3.84</v>
      </c>
      <c r="G100" s="23">
        <f t="shared" si="14"/>
        <v>4.32</v>
      </c>
      <c r="H100" s="23">
        <f t="shared" si="14"/>
        <v>4.8</v>
      </c>
      <c r="I100" s="23">
        <f t="shared" si="14"/>
        <v>4.8</v>
      </c>
      <c r="J100" s="23">
        <f t="shared" si="14"/>
        <v>2.16</v>
      </c>
      <c r="K100" s="23">
        <f t="shared" si="14"/>
        <v>2.76</v>
      </c>
    </row>
    <row r="101" spans="2:11" ht="15" x14ac:dyDescent="0.3">
      <c r="B101" s="11" t="s">
        <v>33</v>
      </c>
      <c r="C101" s="26" t="s">
        <v>108</v>
      </c>
      <c r="D101" s="23">
        <f t="shared" si="14"/>
        <v>7.1999999999999993</v>
      </c>
      <c r="E101" s="23">
        <f t="shared" si="14"/>
        <v>2.0735999999999999</v>
      </c>
      <c r="F101" s="23">
        <f t="shared" si="14"/>
        <v>5.1840000000000002</v>
      </c>
      <c r="G101" s="23">
        <f t="shared" si="14"/>
        <v>5.1840000000000002</v>
      </c>
      <c r="H101" s="23">
        <f t="shared" si="14"/>
        <v>7.4879999999999995</v>
      </c>
      <c r="I101" s="23">
        <f t="shared" si="14"/>
        <v>6.3360000000000003</v>
      </c>
      <c r="J101" s="23">
        <f t="shared" si="14"/>
        <v>3.3119999999999998</v>
      </c>
      <c r="K101" s="23">
        <f t="shared" si="14"/>
        <v>2.88</v>
      </c>
    </row>
    <row r="102" spans="2:11" ht="15" x14ac:dyDescent="0.3">
      <c r="B102" s="11" t="s">
        <v>35</v>
      </c>
      <c r="C102" s="26" t="s">
        <v>108</v>
      </c>
      <c r="D102" s="23">
        <f t="shared" si="14"/>
        <v>7.92</v>
      </c>
      <c r="E102" s="23">
        <f t="shared" si="14"/>
        <v>1.5551999999999999</v>
      </c>
      <c r="F102" s="23">
        <f t="shared" si="14"/>
        <v>7.1999999999999993</v>
      </c>
      <c r="G102" s="23">
        <f t="shared" si="14"/>
        <v>6.048</v>
      </c>
      <c r="H102" s="23">
        <f t="shared" si="14"/>
        <v>5.76</v>
      </c>
      <c r="I102" s="23">
        <f t="shared" si="14"/>
        <v>5.76</v>
      </c>
      <c r="J102" s="23">
        <f t="shared" si="14"/>
        <v>3.1680000000000001</v>
      </c>
      <c r="K102" s="23">
        <f t="shared" si="14"/>
        <v>2.88</v>
      </c>
    </row>
    <row r="103" spans="2:11" ht="15" x14ac:dyDescent="0.3">
      <c r="B103" s="11" t="s">
        <v>37</v>
      </c>
      <c r="C103" s="26" t="s">
        <v>108</v>
      </c>
      <c r="D103" s="23">
        <f t="shared" si="14"/>
        <v>7.92</v>
      </c>
      <c r="E103" s="23">
        <f t="shared" si="14"/>
        <v>1.9008</v>
      </c>
      <c r="F103" s="23">
        <f t="shared" si="14"/>
        <v>6.3360000000000003</v>
      </c>
      <c r="G103" s="23">
        <f t="shared" si="14"/>
        <v>5.76</v>
      </c>
      <c r="H103" s="23">
        <f t="shared" si="14"/>
        <v>6.3360000000000003</v>
      </c>
      <c r="I103" s="23">
        <f t="shared" si="14"/>
        <v>5.76</v>
      </c>
      <c r="J103" s="23">
        <f t="shared" si="14"/>
        <v>2.88</v>
      </c>
      <c r="K103" s="23">
        <f t="shared" si="14"/>
        <v>3.1680000000000001</v>
      </c>
    </row>
    <row r="104" spans="2:11" x14ac:dyDescent="0.2">
      <c r="B104" s="47"/>
      <c r="C104" s="48"/>
      <c r="D104" s="49"/>
      <c r="E104" s="49"/>
      <c r="F104" s="49"/>
      <c r="G104" s="49"/>
      <c r="H104" s="49"/>
      <c r="I104" s="49"/>
      <c r="J104" s="49"/>
      <c r="K104" s="49"/>
    </row>
    <row r="105" spans="2:11" x14ac:dyDescent="0.2">
      <c r="B105" s="22" t="s">
        <v>239</v>
      </c>
      <c r="C105" s="26"/>
      <c r="D105" s="23">
        <f>D84*0.7</f>
        <v>3.8499999999999996</v>
      </c>
      <c r="E105" s="23">
        <f t="shared" ref="E105:K105" si="15">E84*0.7</f>
        <v>0.33599999999999997</v>
      </c>
      <c r="F105" s="23">
        <f t="shared" si="15"/>
        <v>3.08</v>
      </c>
      <c r="G105" s="23">
        <f t="shared" si="15"/>
        <v>2.8</v>
      </c>
      <c r="H105" s="23">
        <f t="shared" si="15"/>
        <v>0.55999999999999983</v>
      </c>
      <c r="I105" s="23">
        <f t="shared" si="15"/>
        <v>1.9599999999999997</v>
      </c>
      <c r="J105" s="23">
        <f t="shared" si="15"/>
        <v>0.84</v>
      </c>
      <c r="K105" s="23">
        <f t="shared" si="15"/>
        <v>1.26</v>
      </c>
    </row>
    <row r="106" spans="2:11" x14ac:dyDescent="0.2">
      <c r="B106" s="22" t="s">
        <v>240</v>
      </c>
      <c r="C106" s="26"/>
      <c r="D106" s="23">
        <f>D86*0.7</f>
        <v>2.0999999999999996</v>
      </c>
      <c r="E106" s="23">
        <f t="shared" ref="E106:K106" si="16">E86*0.7</f>
        <v>0.92399999999999993</v>
      </c>
      <c r="F106" s="23">
        <f t="shared" si="16"/>
        <v>1.68</v>
      </c>
      <c r="G106" s="23">
        <f t="shared" si="16"/>
        <v>2.2399999999999998</v>
      </c>
      <c r="H106" s="23">
        <f t="shared" si="16"/>
        <v>3.6399999999999997</v>
      </c>
      <c r="I106" s="23">
        <f t="shared" si="16"/>
        <v>3.36</v>
      </c>
      <c r="J106" s="23">
        <f t="shared" si="16"/>
        <v>1.68</v>
      </c>
      <c r="K106" s="23">
        <f t="shared" si="16"/>
        <v>1.68</v>
      </c>
    </row>
    <row r="107" spans="2:11" x14ac:dyDescent="0.2">
      <c r="B107" s="47"/>
      <c r="C107" s="48"/>
      <c r="D107" s="49"/>
      <c r="E107" s="49"/>
      <c r="F107" s="49"/>
      <c r="G107" s="49"/>
      <c r="H107" s="49"/>
      <c r="I107" s="49"/>
      <c r="J107" s="49"/>
      <c r="K107" s="49"/>
    </row>
    <row r="108" spans="2:11" x14ac:dyDescent="0.2">
      <c r="B108" s="47"/>
      <c r="C108" s="48"/>
      <c r="D108" s="49"/>
      <c r="E108" s="49"/>
      <c r="F108" s="49"/>
      <c r="G108" s="49"/>
      <c r="H108" s="49"/>
      <c r="I108" s="49"/>
      <c r="J108" s="49"/>
      <c r="K108" s="49"/>
    </row>
    <row r="109" spans="2:11" x14ac:dyDescent="0.2">
      <c r="B109" s="47"/>
      <c r="C109" s="48"/>
      <c r="D109" s="49"/>
      <c r="E109" s="49"/>
      <c r="F109" s="49"/>
      <c r="G109" s="49"/>
      <c r="H109" s="49"/>
      <c r="I109" s="49"/>
      <c r="J109" s="49"/>
      <c r="K109" s="49"/>
    </row>
    <row r="110" spans="2:11" x14ac:dyDescent="0.2">
      <c r="B110" s="47"/>
      <c r="C110" s="48"/>
      <c r="D110" s="49"/>
      <c r="E110" s="49"/>
      <c r="F110" s="49"/>
      <c r="G110" s="49"/>
      <c r="H110" s="49"/>
      <c r="I110" s="49"/>
      <c r="J110" s="49"/>
      <c r="K110" s="49"/>
    </row>
    <row r="111" spans="2:11" x14ac:dyDescent="0.2">
      <c r="B111" s="47"/>
      <c r="C111" s="48"/>
      <c r="D111" s="49"/>
      <c r="E111" s="49"/>
      <c r="F111" s="49"/>
      <c r="G111" s="49"/>
      <c r="H111" s="49"/>
      <c r="I111" s="49"/>
      <c r="J111" s="49"/>
      <c r="K111" s="49"/>
    </row>
    <row r="112" spans="2:11" x14ac:dyDescent="0.2">
      <c r="B112" s="47"/>
      <c r="C112" s="48"/>
      <c r="D112" s="49"/>
      <c r="E112" s="49"/>
      <c r="F112" s="49"/>
      <c r="G112" s="49"/>
      <c r="H112" s="49"/>
      <c r="I112" s="49"/>
      <c r="J112" s="49"/>
      <c r="K112" s="49"/>
    </row>
    <row r="113" spans="2:17" x14ac:dyDescent="0.2">
      <c r="B113" s="47"/>
      <c r="C113" s="48"/>
      <c r="D113" s="49"/>
      <c r="E113" s="49"/>
      <c r="F113" s="49"/>
      <c r="G113" s="49"/>
      <c r="H113" s="49"/>
      <c r="I113" s="49"/>
      <c r="J113" s="49"/>
      <c r="K113" s="49"/>
    </row>
    <row r="114" spans="2:17" x14ac:dyDescent="0.2">
      <c r="B114" s="47"/>
      <c r="C114" s="48"/>
      <c r="D114" s="49"/>
      <c r="E114" s="49"/>
      <c r="F114" s="49"/>
      <c r="G114" s="49"/>
      <c r="H114" s="49"/>
      <c r="I114" s="49"/>
      <c r="J114" s="49"/>
      <c r="K114" s="49"/>
    </row>
    <row r="115" spans="2:17" x14ac:dyDescent="0.2">
      <c r="B115" s="47"/>
      <c r="C115" s="48"/>
      <c r="D115" s="49"/>
      <c r="E115" s="49"/>
      <c r="F115" s="49"/>
      <c r="G115" s="49"/>
      <c r="H115" s="49"/>
      <c r="I115" s="49"/>
      <c r="J115" s="49"/>
      <c r="K115" s="49"/>
    </row>
    <row r="116" spans="2:17" x14ac:dyDescent="0.2">
      <c r="B116" s="47"/>
      <c r="C116" s="48"/>
      <c r="D116" s="49"/>
      <c r="E116" s="49"/>
      <c r="F116" s="49"/>
      <c r="G116" s="49"/>
      <c r="H116" s="49"/>
      <c r="I116" s="49"/>
      <c r="J116" s="49"/>
      <c r="K116" s="49"/>
    </row>
    <row r="117" spans="2:17" x14ac:dyDescent="0.2">
      <c r="B117" s="47"/>
      <c r="C117" s="48"/>
      <c r="D117" s="49"/>
      <c r="E117" s="49"/>
      <c r="F117" s="49"/>
      <c r="G117" s="49"/>
      <c r="H117" s="49"/>
      <c r="I117" s="49"/>
      <c r="J117" s="49"/>
      <c r="K117" s="49"/>
    </row>
    <row r="120" spans="2:17" x14ac:dyDescent="0.2">
      <c r="B120" s="40" t="s">
        <v>308</v>
      </c>
      <c r="C120" s="21" t="s">
        <v>175</v>
      </c>
      <c r="D120" s="21" t="s">
        <v>174</v>
      </c>
      <c r="E120" s="21" t="s">
        <v>177</v>
      </c>
      <c r="F120" s="21" t="s">
        <v>178</v>
      </c>
      <c r="G120" s="21" t="s">
        <v>179</v>
      </c>
      <c r="H120" s="21" t="s">
        <v>180</v>
      </c>
      <c r="I120" s="21" t="s">
        <v>44</v>
      </c>
      <c r="J120" s="21" t="s">
        <v>45</v>
      </c>
      <c r="K120" s="21" t="s">
        <v>50</v>
      </c>
      <c r="L120" s="21" t="s">
        <v>56</v>
      </c>
      <c r="M120" s="21" t="s">
        <v>61</v>
      </c>
      <c r="N120" s="21" t="s">
        <v>62</v>
      </c>
      <c r="O120" s="21" t="s">
        <v>57</v>
      </c>
      <c r="P120" s="21" t="s">
        <v>58</v>
      </c>
      <c r="Q120" s="21" t="s">
        <v>63</v>
      </c>
    </row>
    <row r="121" spans="2:17" x14ac:dyDescent="0.2">
      <c r="C121" s="1">
        <f>(C35*99)*(1+装备设计!$F$3+装备设计!$L$3*2*1.3)+C29</f>
        <v>1328.2959999999998</v>
      </c>
      <c r="D121" s="1">
        <f>(D35*99)*(1+装备设计!$F$3+装备设计!$L$3*2)+D29</f>
        <v>302.71667200000002</v>
      </c>
      <c r="E121" s="1">
        <f>(E35*99)*(1+装备设计!$E$3+装备设计!$L$3*2)+E29</f>
        <v>1152.7776000000001</v>
      </c>
      <c r="F121" s="1">
        <f>(F35*99)*(1+装备设计!$K$3*2)+F29</f>
        <v>1045.432</v>
      </c>
      <c r="G121" s="1">
        <f>(G35*99)*(1+装备设计!$F$3*(1+1)+装备设计!$L$3*2)+G29</f>
        <v>1089.48928</v>
      </c>
      <c r="H121" s="1">
        <f>(H35*99)*(1+装备设计!$L$3*2)+H29</f>
        <v>846.95519999999999</v>
      </c>
      <c r="I121" s="62">
        <f>(I35*99)*(1+装备设计!F3+装备设计!L3*2)+I29</f>
        <v>506.86111999999997</v>
      </c>
      <c r="J121" s="62">
        <f>(J35*99)*(1+装备设计!L3*2)+J29</f>
        <v>442.9776</v>
      </c>
      <c r="K121" s="1">
        <f>1-200/(200+(80*$N$35*装备设计!$F$3))+(1-200/(200+(80*$N$35*装备设计!$L$3)))*2</f>
        <v>0.61739218448289312</v>
      </c>
      <c r="L121" s="41"/>
      <c r="M121" s="41">
        <v>0.81667403803626704</v>
      </c>
    </row>
    <row r="122" spans="2:17" x14ac:dyDescent="0.2">
      <c r="K122" s="41">
        <f>武器表!U1+挂饰表!U1*2</f>
        <v>0.75595667870036087</v>
      </c>
      <c r="M122" s="1">
        <v>0.40833701901813402</v>
      </c>
    </row>
    <row r="125" spans="2:17" x14ac:dyDescent="0.2">
      <c r="I125" s="40" t="s">
        <v>233</v>
      </c>
      <c r="J125" s="40" t="s">
        <v>234</v>
      </c>
      <c r="K125" s="40" t="s">
        <v>235</v>
      </c>
    </row>
    <row r="126" spans="2:17" x14ac:dyDescent="0.2">
      <c r="I126" s="41">
        <f>I121/500+武器表!S1+挂饰表!S1*2</f>
        <v>1.6543889066666666</v>
      </c>
      <c r="J126" s="44">
        <f>J121/500+武器表!R1+挂饰表!R1*2+100%</f>
        <v>2.5199552000000001</v>
      </c>
      <c r="K126" s="43">
        <f>J121/5000+武器表!T1</f>
        <v>0.31859552000000002</v>
      </c>
    </row>
    <row r="128" spans="2:17" x14ac:dyDescent="0.2">
      <c r="J128" s="41">
        <f>J126-I126</f>
        <v>0.86556629333333346</v>
      </c>
    </row>
    <row r="132" spans="2:9" x14ac:dyDescent="0.2">
      <c r="I132" s="41"/>
    </row>
    <row r="134" spans="2:9" x14ac:dyDescent="0.2">
      <c r="B134" s="45" t="s">
        <v>238</v>
      </c>
      <c r="C134" s="45" t="s">
        <v>237</v>
      </c>
    </row>
    <row r="135" spans="2:9" ht="15" x14ac:dyDescent="0.2">
      <c r="B135" s="38" t="s">
        <v>0</v>
      </c>
      <c r="C135" s="46">
        <f>VLOOKUP(B135,B$3:D$35,3,FALSE)+VLOOKUP("下级职业",B$32:D$35,3,FALSE)*99*(1+VLOOKUP(B135,B$39:D$59,3,FALSE))</f>
        <v>51.52</v>
      </c>
    </row>
    <row r="136" spans="2:9" ht="15" x14ac:dyDescent="0.2">
      <c r="B136" s="38" t="s">
        <v>2</v>
      </c>
      <c r="C136" s="46">
        <f t="shared" ref="C136:C144" si="17">VLOOKUP(B136,B$3:D$35,3,FALSE)+VLOOKUP("下级职业",B$32:D$35,3,FALSE)*99*(1+VLOOKUP(B136,B$39:D$59,3,FALSE))</f>
        <v>61.4</v>
      </c>
    </row>
    <row r="137" spans="2:9" x14ac:dyDescent="0.2">
      <c r="B137" s="38" t="s">
        <v>46</v>
      </c>
      <c r="C137" s="46">
        <f t="shared" si="17"/>
        <v>148.68</v>
      </c>
    </row>
    <row r="138" spans="2:9" ht="15" x14ac:dyDescent="0.2">
      <c r="B138" s="38" t="s">
        <v>3</v>
      </c>
      <c r="C138" s="46">
        <f t="shared" si="17"/>
        <v>132.80000000000001</v>
      </c>
    </row>
    <row r="139" spans="2:9" ht="15" x14ac:dyDescent="0.2">
      <c r="B139" s="38" t="s">
        <v>4</v>
      </c>
      <c r="C139" s="46">
        <f t="shared" si="17"/>
        <v>105.04</v>
      </c>
    </row>
    <row r="140" spans="2:9" ht="15" x14ac:dyDescent="0.2">
      <c r="B140" s="38" t="s">
        <v>5</v>
      </c>
      <c r="C140" s="46">
        <f t="shared" si="17"/>
        <v>76.28</v>
      </c>
    </row>
    <row r="141" spans="2:9" ht="15" x14ac:dyDescent="0.2">
      <c r="B141" s="38" t="s">
        <v>6</v>
      </c>
      <c r="C141" s="46">
        <f t="shared" si="17"/>
        <v>95.16</v>
      </c>
    </row>
    <row r="142" spans="2:9" ht="15" x14ac:dyDescent="0.2">
      <c r="B142" s="38" t="s">
        <v>7</v>
      </c>
      <c r="C142" s="46">
        <f t="shared" si="17"/>
        <v>128.80000000000001</v>
      </c>
    </row>
    <row r="143" spans="2:9" ht="15" x14ac:dyDescent="0.2">
      <c r="B143" s="38" t="s">
        <v>8</v>
      </c>
      <c r="C143" s="46">
        <f t="shared" si="17"/>
        <v>80.28</v>
      </c>
    </row>
    <row r="144" spans="2:9" ht="15" x14ac:dyDescent="0.2">
      <c r="B144" s="38" t="s">
        <v>9</v>
      </c>
      <c r="C144" s="46">
        <f t="shared" si="17"/>
        <v>98.04</v>
      </c>
    </row>
    <row r="145" spans="2:3" ht="15" x14ac:dyDescent="0.2">
      <c r="B145" s="38" t="s">
        <v>14</v>
      </c>
      <c r="C145" s="46">
        <f>VLOOKUP(B145,B$3:D$35,3,FALSE)+VLOOKUP("上级职业",B$32:D$35,3,FALSE)*99*(1+VLOOKUP(B145,B$39:D$59,3,FALSE))</f>
        <v>89.536000000000001</v>
      </c>
    </row>
    <row r="146" spans="2:3" ht="15" x14ac:dyDescent="0.2">
      <c r="B146" s="38" t="s">
        <v>16</v>
      </c>
      <c r="C146" s="46">
        <f t="shared" ref="C146:C151" si="18">VLOOKUP(B146,B$3:D$35,3,FALSE)+VLOOKUP("上级职业",B$32:D$35,3,FALSE)*99*(1+VLOOKUP(B146,B$39:D$59,3,FALSE))</f>
        <v>177.816</v>
      </c>
    </row>
    <row r="147" spans="2:3" ht="15" x14ac:dyDescent="0.2">
      <c r="B147" s="38" t="s">
        <v>18</v>
      </c>
      <c r="C147" s="46">
        <f t="shared" si="18"/>
        <v>158.56</v>
      </c>
    </row>
    <row r="148" spans="2:3" ht="15" x14ac:dyDescent="0.2">
      <c r="B148" s="38" t="s">
        <v>20</v>
      </c>
      <c r="C148" s="46">
        <f t="shared" si="18"/>
        <v>192.072</v>
      </c>
    </row>
    <row r="149" spans="2:3" ht="15" x14ac:dyDescent="0.2">
      <c r="B149" s="38" t="s">
        <v>22</v>
      </c>
      <c r="C149" s="46">
        <f t="shared" si="18"/>
        <v>149.43199999999999</v>
      </c>
    </row>
    <row r="150" spans="2:3" ht="15" x14ac:dyDescent="0.2">
      <c r="B150" s="38" t="s">
        <v>24</v>
      </c>
      <c r="C150" s="46">
        <f t="shared" si="18"/>
        <v>134.304</v>
      </c>
    </row>
    <row r="151" spans="2:3" ht="15" x14ac:dyDescent="0.2">
      <c r="B151" s="38" t="s">
        <v>26</v>
      </c>
      <c r="C151" s="46">
        <f t="shared" si="18"/>
        <v>140.304</v>
      </c>
    </row>
    <row r="152" spans="2:3" ht="15" x14ac:dyDescent="0.2">
      <c r="B152" s="38" t="s">
        <v>33</v>
      </c>
      <c r="C152" s="46">
        <f>VLOOKUP(B152,B$3:D$35,3,FALSE)+VLOOKUP("终极职业",B$32:D$35,3,FALSE)*99*(1+VLOOKUP(B152,B$39:D$59,3,FALSE))</f>
        <v>230.28639999999999</v>
      </c>
    </row>
    <row r="153" spans="2:3" ht="15" x14ac:dyDescent="0.2">
      <c r="B153" s="38" t="s">
        <v>35</v>
      </c>
      <c r="C153" s="46">
        <f>VLOOKUP(B153,B$3:D$35,3,FALSE)+VLOOKUP("终极职业",B$32:D$35,3,FALSE)*99*(1+VLOOKUP(B153,B$39:D$59,3,FALSE))</f>
        <v>172.9648</v>
      </c>
    </row>
    <row r="154" spans="2:3" ht="15" x14ac:dyDescent="0.2">
      <c r="B154" s="38" t="s">
        <v>37</v>
      </c>
      <c r="C154" s="46">
        <f>VLOOKUP(B154,B$3:D$35,3,FALSE)+VLOOKUP("终极职业",B$32:D$35,3,FALSE)*99*(1+VLOOKUP(B154,B$39:D$59,3,FALSE))</f>
        <v>204.17920000000001</v>
      </c>
    </row>
  </sheetData>
  <phoneticPr fontId="3" type="noConversion"/>
  <conditionalFormatting sqref="L3:M1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{F4AD8058-0BA4-4283-A5C8-35E10594EEDC}</x14:id>
        </ext>
      </extLst>
    </cfRule>
  </conditionalFormatting>
  <conditionalFormatting sqref="K3:K1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{A4D0AACD-2112-48E6-8302-9FAFE43149DC}</x14:id>
        </ext>
      </extLst>
    </cfRule>
  </conditionalFormatting>
  <conditionalFormatting sqref="C3:J12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{999C6913-B8CE-4C74-8C96-BF2AEF171A8B}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AD8058-0BA4-4283-A5C8-35E10594EE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L3:M12</xm:sqref>
        </x14:conditionalFormatting>
        <x14:conditionalFormatting xmlns:xm="http://schemas.microsoft.com/office/excel/2006/main">
          <x14:cfRule type="dataBar" id="{A4D0AACD-2112-48E6-8302-9FAFE43149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K3:K12</xm:sqref>
        </x14:conditionalFormatting>
        <x14:conditionalFormatting xmlns:xm="http://schemas.microsoft.com/office/excel/2006/main">
          <x14:cfRule type="dataBar" id="{999C6913-B8CE-4C74-8C96-BF2AEF171A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C3:J12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61"/>
  <sheetViews>
    <sheetView tabSelected="1" workbookViewId="0">
      <selection activeCell="L5" sqref="L5"/>
    </sheetView>
  </sheetViews>
  <sheetFormatPr defaultRowHeight="12.75" x14ac:dyDescent="0.15"/>
  <cols>
    <col min="1" max="1" width="9" style="8"/>
    <col min="2" max="2" width="13.625" style="8" customWidth="1"/>
    <col min="3" max="13" width="9" style="8"/>
    <col min="14" max="15" width="10.375" style="8" customWidth="1"/>
    <col min="16" max="30" width="9" style="8"/>
    <col min="31" max="31" width="9" style="66"/>
    <col min="32" max="16384" width="9" style="8"/>
  </cols>
  <sheetData>
    <row r="1" spans="1:33" ht="13.5" thickBot="1" x14ac:dyDescent="0.2">
      <c r="AF1" s="8">
        <v>1600</v>
      </c>
    </row>
    <row r="2" spans="1:33" x14ac:dyDescent="0.15">
      <c r="B2" s="13" t="s">
        <v>247</v>
      </c>
      <c r="C2" s="13" t="s">
        <v>11</v>
      </c>
      <c r="D2" s="13" t="s">
        <v>71</v>
      </c>
      <c r="E2" s="20" t="s">
        <v>72</v>
      </c>
      <c r="F2" s="20" t="s">
        <v>48</v>
      </c>
      <c r="G2" s="20" t="s">
        <v>73</v>
      </c>
      <c r="H2" s="14" t="s">
        <v>74</v>
      </c>
      <c r="I2" s="13" t="s">
        <v>52</v>
      </c>
      <c r="J2" s="13" t="s">
        <v>28</v>
      </c>
      <c r="L2" s="8" t="s">
        <v>304</v>
      </c>
      <c r="N2" s="30" t="s">
        <v>305</v>
      </c>
      <c r="O2" s="31" t="s">
        <v>306</v>
      </c>
      <c r="P2" s="30" t="s">
        <v>11</v>
      </c>
      <c r="Q2" s="30" t="s">
        <v>71</v>
      </c>
      <c r="R2" s="56" t="s">
        <v>72</v>
      </c>
      <c r="S2" s="56" t="s">
        <v>48</v>
      </c>
      <c r="T2" s="56" t="s">
        <v>73</v>
      </c>
      <c r="U2" s="31" t="s">
        <v>74</v>
      </c>
      <c r="V2" s="30" t="s">
        <v>52</v>
      </c>
      <c r="W2" s="30" t="s">
        <v>28</v>
      </c>
      <c r="X2" s="21" t="s">
        <v>50</v>
      </c>
      <c r="Y2" s="21" t="s">
        <v>56</v>
      </c>
      <c r="Z2" s="21" t="s">
        <v>61</v>
      </c>
      <c r="AA2" s="21" t="s">
        <v>62</v>
      </c>
      <c r="AB2" s="21" t="s">
        <v>57</v>
      </c>
      <c r="AC2" s="21" t="s">
        <v>58</v>
      </c>
      <c r="AD2" s="21" t="s">
        <v>63</v>
      </c>
    </row>
    <row r="3" spans="1:33" ht="15" x14ac:dyDescent="0.15">
      <c r="A3" s="8">
        <v>1</v>
      </c>
      <c r="B3" s="6" t="s">
        <v>0</v>
      </c>
      <c r="C3" s="2">
        <v>26</v>
      </c>
      <c r="D3" s="2">
        <v>4</v>
      </c>
      <c r="E3" s="2">
        <v>18</v>
      </c>
      <c r="F3" s="2">
        <v>18</v>
      </c>
      <c r="G3" s="2">
        <v>0</v>
      </c>
      <c r="H3" s="2">
        <v>1</v>
      </c>
      <c r="I3" s="2">
        <v>4</v>
      </c>
      <c r="J3" s="2">
        <v>5</v>
      </c>
      <c r="M3" s="22" t="s">
        <v>56</v>
      </c>
      <c r="N3" s="6" t="s">
        <v>0</v>
      </c>
      <c r="O3" s="57">
        <v>1</v>
      </c>
      <c r="P3" s="2">
        <f>(100%+职业设计!C40)*$O3</f>
        <v>1.1000000000000001</v>
      </c>
      <c r="Q3" s="2">
        <f>(100%+职业设计!D40)*$O3</f>
        <v>0.4</v>
      </c>
      <c r="R3" s="2">
        <f>(100%+职业设计!E40)*$O3</f>
        <v>1.1000000000000001</v>
      </c>
      <c r="S3" s="2">
        <f>(100%+职业设计!F40)*$O3</f>
        <v>1</v>
      </c>
      <c r="T3" s="2">
        <f>(100%+职业设计!G40)*$O3</f>
        <v>0.19999999999999996</v>
      </c>
      <c r="U3" s="2">
        <f>(100%+职业设计!H40)*$O3</f>
        <v>0.7</v>
      </c>
      <c r="V3" s="2">
        <f>(100%+职业设计!I40)*$O3</f>
        <v>0.6</v>
      </c>
      <c r="W3" s="2">
        <f>(100%+职业设计!J40)*$O3</f>
        <v>0.9</v>
      </c>
      <c r="X3" s="2">
        <f>(R3+S3)/2*(IF($M3=X$2,2,1))</f>
        <v>1.05</v>
      </c>
      <c r="Y3" s="2">
        <f>($T3+$U3)/2*(IF($M3=Y$2,2,1))</f>
        <v>0.89999999999999991</v>
      </c>
      <c r="Z3" s="2">
        <f t="shared" ref="Z3:AD18" si="0">($T3+$U3)/2*(IF($M3=Z$2,2,1))</f>
        <v>0.44999999999999996</v>
      </c>
      <c r="AA3" s="2">
        <f t="shared" si="0"/>
        <v>0.44999999999999996</v>
      </c>
      <c r="AB3" s="2">
        <f t="shared" si="0"/>
        <v>0.44999999999999996</v>
      </c>
      <c r="AC3" s="2">
        <f t="shared" si="0"/>
        <v>0.44999999999999996</v>
      </c>
      <c r="AD3" s="2">
        <f t="shared" si="0"/>
        <v>0.44999999999999996</v>
      </c>
      <c r="AF3" s="8">
        <f>SUM(P3:W3)</f>
        <v>6</v>
      </c>
      <c r="AG3" s="8">
        <f>INT(AF3*($AF$1/$AF$3))</f>
        <v>1600</v>
      </c>
    </row>
    <row r="4" spans="1:33" ht="15" x14ac:dyDescent="0.15">
      <c r="A4" s="8">
        <v>2</v>
      </c>
      <c r="B4" s="6" t="s">
        <v>2</v>
      </c>
      <c r="C4" s="2">
        <v>24</v>
      </c>
      <c r="D4" s="2">
        <v>2</v>
      </c>
      <c r="E4" s="2">
        <v>18</v>
      </c>
      <c r="F4" s="2">
        <v>11</v>
      </c>
      <c r="G4" s="2">
        <v>0</v>
      </c>
      <c r="H4" s="2">
        <v>1</v>
      </c>
      <c r="I4" s="2">
        <v>23</v>
      </c>
      <c r="J4" s="2">
        <v>11</v>
      </c>
      <c r="M4" s="22" t="s">
        <v>50</v>
      </c>
      <c r="N4" s="6" t="s">
        <v>2</v>
      </c>
      <c r="O4" s="57">
        <v>1</v>
      </c>
      <c r="P4" s="2">
        <f>(100%+职业设计!C41)*$O4</f>
        <v>1</v>
      </c>
      <c r="Q4" s="2">
        <f>(100%+职业设计!D41)*$O4</f>
        <v>0.5</v>
      </c>
      <c r="R4" s="2">
        <f>(100%+职业设计!E41)*$O4</f>
        <v>1.1000000000000001</v>
      </c>
      <c r="S4" s="2">
        <f>(100%+职业设计!F41)*$O4</f>
        <v>0.9</v>
      </c>
      <c r="T4" s="2">
        <f>(100%+职业设计!G41)*$O4</f>
        <v>0.5</v>
      </c>
      <c r="U4" s="2">
        <f>(100%+职业设计!H41)*$O4</f>
        <v>0.7</v>
      </c>
      <c r="V4" s="2">
        <f>(100%+职业设计!I41)*$O4</f>
        <v>1.1499999999999999</v>
      </c>
      <c r="W4" s="2">
        <f>(100%+职业设计!J41)*$O4</f>
        <v>1</v>
      </c>
      <c r="X4" s="2">
        <f t="shared" ref="X4:X22" si="1">(R4+S4)/2*(IF($M4=X$2,2,1))</f>
        <v>2</v>
      </c>
      <c r="Y4" s="2">
        <f t="shared" ref="Y4:AD22" si="2">($T4+$U4)/2*(IF($M4=Y$2,2,1))</f>
        <v>0.6</v>
      </c>
      <c r="Z4" s="2">
        <f t="shared" si="0"/>
        <v>0.6</v>
      </c>
      <c r="AA4" s="2">
        <f t="shared" si="0"/>
        <v>0.6</v>
      </c>
      <c r="AB4" s="2">
        <f t="shared" si="0"/>
        <v>0.6</v>
      </c>
      <c r="AC4" s="2">
        <f t="shared" si="0"/>
        <v>0.6</v>
      </c>
      <c r="AD4" s="2">
        <f t="shared" si="0"/>
        <v>0.6</v>
      </c>
      <c r="AF4" s="8">
        <f t="shared" ref="AF4:AF22" si="3">SUM(P4:W4)</f>
        <v>6.85</v>
      </c>
      <c r="AG4" s="8">
        <f t="shared" ref="AG4:AG22" si="4">INT(AF4*($AF$1/$AF$3))</f>
        <v>1826</v>
      </c>
    </row>
    <row r="5" spans="1:33" x14ac:dyDescent="0.15">
      <c r="A5" s="8">
        <v>3</v>
      </c>
      <c r="B5" s="6" t="s">
        <v>32</v>
      </c>
      <c r="C5" s="2">
        <v>18</v>
      </c>
      <c r="D5" s="2">
        <v>18</v>
      </c>
      <c r="E5" s="2">
        <v>4</v>
      </c>
      <c r="F5" s="2">
        <v>4</v>
      </c>
      <c r="G5" s="2">
        <v>18</v>
      </c>
      <c r="H5" s="2">
        <v>2</v>
      </c>
      <c r="I5" s="2">
        <v>18</v>
      </c>
      <c r="J5" s="2">
        <v>14</v>
      </c>
      <c r="M5" s="22" t="s">
        <v>63</v>
      </c>
      <c r="N5" s="6" t="s">
        <v>32</v>
      </c>
      <c r="O5" s="57">
        <v>1</v>
      </c>
      <c r="P5" s="2">
        <f>(100%+职业设计!C42)*$O5</f>
        <v>0.6</v>
      </c>
      <c r="Q5" s="2">
        <f>(100%+职业设计!D42)*$O5</f>
        <v>1.1000000000000001</v>
      </c>
      <c r="R5" s="2">
        <f>(100%+职业设计!E42)*$O5</f>
        <v>0.6</v>
      </c>
      <c r="S5" s="2">
        <f>(100%+职业设计!F42)*$O5</f>
        <v>0.8</v>
      </c>
      <c r="T5" s="2">
        <f>(100%+职业设计!G42)*$O5</f>
        <v>1.3</v>
      </c>
      <c r="U5" s="2">
        <f>(100%+职业设计!H42)*$O5</f>
        <v>1.2</v>
      </c>
      <c r="V5" s="2">
        <f>(100%+职业设计!I42)*$O5</f>
        <v>1.2</v>
      </c>
      <c r="W5" s="2">
        <f>(100%+职业设计!J42)*$O5</f>
        <v>1.2</v>
      </c>
      <c r="X5" s="2">
        <f t="shared" si="1"/>
        <v>0.7</v>
      </c>
      <c r="Y5" s="2">
        <f t="shared" si="2"/>
        <v>1.25</v>
      </c>
      <c r="Z5" s="2">
        <f t="shared" si="0"/>
        <v>1.25</v>
      </c>
      <c r="AA5" s="2">
        <f t="shared" si="0"/>
        <v>1.25</v>
      </c>
      <c r="AB5" s="2">
        <f t="shared" si="0"/>
        <v>1.25</v>
      </c>
      <c r="AC5" s="2">
        <f t="shared" si="0"/>
        <v>1.25</v>
      </c>
      <c r="AD5" s="2">
        <f t="shared" si="0"/>
        <v>2.5</v>
      </c>
      <c r="AF5" s="8">
        <f t="shared" si="3"/>
        <v>8</v>
      </c>
      <c r="AG5" s="8">
        <f t="shared" si="4"/>
        <v>2133</v>
      </c>
    </row>
    <row r="6" spans="1:33" ht="15" x14ac:dyDescent="0.15">
      <c r="A6" s="8">
        <v>4</v>
      </c>
      <c r="B6" s="6" t="s">
        <v>3</v>
      </c>
      <c r="C6" s="2">
        <v>19</v>
      </c>
      <c r="D6" s="2">
        <v>14</v>
      </c>
      <c r="E6" s="2">
        <v>9</v>
      </c>
      <c r="F6" s="2">
        <v>9</v>
      </c>
      <c r="G6" s="2">
        <v>18</v>
      </c>
      <c r="H6" s="2">
        <v>3</v>
      </c>
      <c r="I6" s="2">
        <v>14</v>
      </c>
      <c r="J6" s="2">
        <v>9</v>
      </c>
      <c r="M6" s="22" t="s">
        <v>57</v>
      </c>
      <c r="N6" s="6" t="s">
        <v>3</v>
      </c>
      <c r="O6" s="57">
        <v>1</v>
      </c>
      <c r="P6" s="2">
        <f>(100%+职业设计!C43)*$O6</f>
        <v>0.8</v>
      </c>
      <c r="Q6" s="2">
        <f>(100%+职业设计!D43)*$O6</f>
        <v>1</v>
      </c>
      <c r="R6" s="2">
        <f>(100%+职业设计!E43)*$O6</f>
        <v>0.8</v>
      </c>
      <c r="S6" s="2">
        <f>(100%+职业设计!F43)*$O6</f>
        <v>0.7</v>
      </c>
      <c r="T6" s="2">
        <f>(100%+职业设计!G43)*$O6</f>
        <v>1.1000000000000001</v>
      </c>
      <c r="U6" s="2">
        <f>(100%+职业设计!H43)*$O6</f>
        <v>1.4</v>
      </c>
      <c r="V6" s="2">
        <f>(100%+职业设计!I43)*$O6</f>
        <v>1.1000000000000001</v>
      </c>
      <c r="W6" s="2">
        <f>(100%+职业设计!J43)*$O6</f>
        <v>1</v>
      </c>
      <c r="X6" s="2">
        <f t="shared" si="1"/>
        <v>0.75</v>
      </c>
      <c r="Y6" s="2">
        <f t="shared" si="2"/>
        <v>1.25</v>
      </c>
      <c r="Z6" s="2">
        <f t="shared" si="0"/>
        <v>1.25</v>
      </c>
      <c r="AA6" s="2">
        <f t="shared" si="0"/>
        <v>1.25</v>
      </c>
      <c r="AB6" s="2">
        <f t="shared" si="0"/>
        <v>2.5</v>
      </c>
      <c r="AC6" s="2">
        <f t="shared" si="0"/>
        <v>1.25</v>
      </c>
      <c r="AD6" s="2">
        <f t="shared" si="0"/>
        <v>1.25</v>
      </c>
      <c r="AF6" s="8">
        <f t="shared" si="3"/>
        <v>7.9</v>
      </c>
      <c r="AG6" s="8">
        <f t="shared" si="4"/>
        <v>2106</v>
      </c>
    </row>
    <row r="7" spans="1:33" ht="15" x14ac:dyDescent="0.15">
      <c r="A7" s="8">
        <v>5</v>
      </c>
      <c r="B7" s="6" t="s">
        <v>4</v>
      </c>
      <c r="C7" s="2">
        <v>15</v>
      </c>
      <c r="D7" s="2">
        <v>10</v>
      </c>
      <c r="E7" s="2">
        <v>10</v>
      </c>
      <c r="F7" s="2">
        <v>9</v>
      </c>
      <c r="G7" s="2">
        <v>13</v>
      </c>
      <c r="H7" s="2">
        <v>2</v>
      </c>
      <c r="I7" s="2">
        <v>25</v>
      </c>
      <c r="J7" s="2">
        <v>15</v>
      </c>
      <c r="M7" s="22" t="s">
        <v>62</v>
      </c>
      <c r="N7" s="6" t="s">
        <v>4</v>
      </c>
      <c r="O7" s="57">
        <v>1</v>
      </c>
      <c r="P7" s="2">
        <f>(100%+职业设计!C44)*$O7</f>
        <v>0.7</v>
      </c>
      <c r="Q7" s="2">
        <f>(100%+职业设计!D44)*$O7</f>
        <v>0.8</v>
      </c>
      <c r="R7" s="2">
        <f>(100%+职业设计!E44)*$O7</f>
        <v>0.8</v>
      </c>
      <c r="S7" s="2">
        <f>(100%+职业设计!F44)*$O7</f>
        <v>0.7</v>
      </c>
      <c r="T7" s="2">
        <f>(100%+职业设计!G44)*$O7</f>
        <v>1</v>
      </c>
      <c r="U7" s="2">
        <f>(100%+职业设计!H44)*$O7</f>
        <v>1.2</v>
      </c>
      <c r="V7" s="2">
        <f>(100%+职业设计!I44)*$O7</f>
        <v>1.4</v>
      </c>
      <c r="W7" s="2">
        <f>(100%+职业设计!J44)*$O7</f>
        <v>1.4</v>
      </c>
      <c r="X7" s="2">
        <f t="shared" si="1"/>
        <v>0.75</v>
      </c>
      <c r="Y7" s="2">
        <f t="shared" si="2"/>
        <v>1.1000000000000001</v>
      </c>
      <c r="Z7" s="2">
        <f t="shared" si="0"/>
        <v>1.1000000000000001</v>
      </c>
      <c r="AA7" s="2">
        <f t="shared" si="0"/>
        <v>2.2000000000000002</v>
      </c>
      <c r="AB7" s="2">
        <f t="shared" si="0"/>
        <v>1.1000000000000001</v>
      </c>
      <c r="AC7" s="2">
        <f t="shared" si="0"/>
        <v>1.1000000000000001</v>
      </c>
      <c r="AD7" s="2">
        <f t="shared" si="0"/>
        <v>1.1000000000000001</v>
      </c>
      <c r="AF7" s="8">
        <f t="shared" si="3"/>
        <v>8</v>
      </c>
      <c r="AG7" s="8">
        <f t="shared" si="4"/>
        <v>2133</v>
      </c>
    </row>
    <row r="8" spans="1:33" ht="15" x14ac:dyDescent="0.15">
      <c r="A8" s="8">
        <v>6</v>
      </c>
      <c r="B8" s="6" t="s">
        <v>5</v>
      </c>
      <c r="C8" s="2">
        <v>20</v>
      </c>
      <c r="D8" s="2">
        <v>5</v>
      </c>
      <c r="E8" s="2">
        <v>9</v>
      </c>
      <c r="F8" s="2">
        <v>9</v>
      </c>
      <c r="G8" s="2">
        <v>0</v>
      </c>
      <c r="H8" s="2">
        <v>1</v>
      </c>
      <c r="I8" s="2">
        <v>20</v>
      </c>
      <c r="J8" s="2">
        <v>20</v>
      </c>
      <c r="M8" s="22" t="s">
        <v>58</v>
      </c>
      <c r="N8" s="6" t="s">
        <v>5</v>
      </c>
      <c r="O8" s="57">
        <v>1</v>
      </c>
      <c r="P8" s="2">
        <f>(100%+职业设计!C45)*$O8</f>
        <v>0.9</v>
      </c>
      <c r="Q8" s="2">
        <f>(100%+职业设计!D45)*$O8</f>
        <v>0.6</v>
      </c>
      <c r="R8" s="2">
        <f>(100%+职业设计!E45)*$O8</f>
        <v>0.9</v>
      </c>
      <c r="S8" s="2">
        <f>(100%+职业设计!F45)*$O8</f>
        <v>0.7</v>
      </c>
      <c r="T8" s="2">
        <f>(100%+职业设计!G45)*$O8</f>
        <v>0.9</v>
      </c>
      <c r="U8" s="2">
        <f>(100%+职业设计!H45)*$O8</f>
        <v>0.9</v>
      </c>
      <c r="V8" s="2">
        <f>(100%+职业设计!I45)*$O8</f>
        <v>1.2</v>
      </c>
      <c r="W8" s="2">
        <f>(100%+职业设计!J45)*$O8</f>
        <v>0.8</v>
      </c>
      <c r="X8" s="2">
        <f t="shared" si="1"/>
        <v>0.8</v>
      </c>
      <c r="Y8" s="2">
        <f t="shared" si="2"/>
        <v>0.9</v>
      </c>
      <c r="Z8" s="2">
        <f t="shared" si="0"/>
        <v>0.9</v>
      </c>
      <c r="AA8" s="2">
        <f t="shared" si="0"/>
        <v>0.9</v>
      </c>
      <c r="AB8" s="2">
        <f t="shared" si="0"/>
        <v>0.9</v>
      </c>
      <c r="AC8" s="2">
        <f t="shared" si="0"/>
        <v>1.8</v>
      </c>
      <c r="AD8" s="2">
        <f t="shared" si="0"/>
        <v>0.9</v>
      </c>
      <c r="AF8" s="8">
        <f t="shared" si="3"/>
        <v>6.8999999999999995</v>
      </c>
      <c r="AG8" s="8">
        <f t="shared" si="4"/>
        <v>1840</v>
      </c>
    </row>
    <row r="9" spans="1:33" ht="15" x14ac:dyDescent="0.15">
      <c r="A9" s="8">
        <v>7</v>
      </c>
      <c r="B9" s="55" t="s">
        <v>280</v>
      </c>
      <c r="C9" s="2">
        <v>17</v>
      </c>
      <c r="D9" s="2">
        <v>12</v>
      </c>
      <c r="E9" s="2">
        <v>6</v>
      </c>
      <c r="F9" s="2">
        <v>12</v>
      </c>
      <c r="G9" s="2">
        <v>12</v>
      </c>
      <c r="H9" s="2">
        <v>4</v>
      </c>
      <c r="I9" s="2">
        <v>10</v>
      </c>
      <c r="J9" s="2">
        <v>13</v>
      </c>
      <c r="M9" s="22" t="s">
        <v>56</v>
      </c>
      <c r="N9" s="55" t="s">
        <v>280</v>
      </c>
      <c r="O9" s="57">
        <v>1</v>
      </c>
      <c r="P9" s="2">
        <f>(100%+职业设计!C46)*$O9</f>
        <v>0.8</v>
      </c>
      <c r="Q9" s="2">
        <f>(100%+职业设计!D46)*$O9</f>
        <v>0.7</v>
      </c>
      <c r="R9" s="2">
        <f>(100%+职业设计!E46)*$O9</f>
        <v>0.85</v>
      </c>
      <c r="S9" s="2">
        <f>(100%+职业设计!F46)*$O9</f>
        <v>0.8</v>
      </c>
      <c r="T9" s="2">
        <f>(100%+职业设计!G46)*$O9</f>
        <v>1</v>
      </c>
      <c r="U9" s="2">
        <f>(100%+职业设计!H46)*$O9</f>
        <v>1</v>
      </c>
      <c r="V9" s="2">
        <f>(100%+职业设计!I46)*$O9</f>
        <v>1</v>
      </c>
      <c r="W9" s="2">
        <f>(100%+职业设计!J46)*$O9</f>
        <v>1</v>
      </c>
      <c r="X9" s="2">
        <f t="shared" si="1"/>
        <v>0.82499999999999996</v>
      </c>
      <c r="Y9" s="2">
        <f t="shared" si="2"/>
        <v>2</v>
      </c>
      <c r="Z9" s="2">
        <f t="shared" si="0"/>
        <v>1</v>
      </c>
      <c r="AA9" s="2">
        <f t="shared" si="0"/>
        <v>1</v>
      </c>
      <c r="AB9" s="2">
        <f t="shared" si="0"/>
        <v>1</v>
      </c>
      <c r="AC9" s="2">
        <f t="shared" si="0"/>
        <v>1</v>
      </c>
      <c r="AD9" s="2">
        <f t="shared" si="0"/>
        <v>1</v>
      </c>
      <c r="AF9" s="8">
        <f t="shared" si="3"/>
        <v>7.15</v>
      </c>
      <c r="AG9" s="8">
        <f t="shared" si="4"/>
        <v>1906</v>
      </c>
    </row>
    <row r="10" spans="1:33" ht="15" x14ac:dyDescent="0.15">
      <c r="A10" s="8">
        <v>8</v>
      </c>
      <c r="B10" s="6" t="s">
        <v>7</v>
      </c>
      <c r="C10" s="2">
        <v>21</v>
      </c>
      <c r="D10" s="2">
        <v>10</v>
      </c>
      <c r="E10" s="2">
        <v>8</v>
      </c>
      <c r="F10" s="2">
        <v>8</v>
      </c>
      <c r="G10" s="2">
        <v>15</v>
      </c>
      <c r="H10" s="2">
        <v>3</v>
      </c>
      <c r="I10" s="2">
        <v>10</v>
      </c>
      <c r="J10" s="2">
        <v>8</v>
      </c>
      <c r="M10" s="22" t="s">
        <v>57</v>
      </c>
      <c r="N10" s="6" t="s">
        <v>7</v>
      </c>
      <c r="O10" s="57">
        <v>1</v>
      </c>
      <c r="P10" s="2">
        <f>(100%+职业设计!C47)*$O10</f>
        <v>0.8</v>
      </c>
      <c r="Q10" s="2">
        <f>(100%+职业设计!D47)*$O10</f>
        <v>1</v>
      </c>
      <c r="R10" s="2">
        <f>(100%+职业设计!E47)*$O10</f>
        <v>0.75</v>
      </c>
      <c r="S10" s="2">
        <f>(100%+职业设计!F47)*$O10</f>
        <v>0.85</v>
      </c>
      <c r="T10" s="2">
        <f>(100%+职业设计!G47)*$O10</f>
        <v>1.2</v>
      </c>
      <c r="U10" s="2">
        <f>(100%+职业设计!H47)*$O10</f>
        <v>1</v>
      </c>
      <c r="V10" s="2">
        <f>(100%+职业设计!I47)*$O10</f>
        <v>0.9</v>
      </c>
      <c r="W10" s="2">
        <f>(100%+职业设计!J47)*$O10</f>
        <v>1.1000000000000001</v>
      </c>
      <c r="X10" s="2">
        <f t="shared" si="1"/>
        <v>0.8</v>
      </c>
      <c r="Y10" s="2">
        <f t="shared" si="2"/>
        <v>1.1000000000000001</v>
      </c>
      <c r="Z10" s="2">
        <f t="shared" si="0"/>
        <v>1.1000000000000001</v>
      </c>
      <c r="AA10" s="2">
        <f t="shared" si="0"/>
        <v>1.1000000000000001</v>
      </c>
      <c r="AB10" s="2">
        <f t="shared" si="0"/>
        <v>2.2000000000000002</v>
      </c>
      <c r="AC10" s="2">
        <f t="shared" si="0"/>
        <v>1.1000000000000001</v>
      </c>
      <c r="AD10" s="2">
        <f t="shared" si="0"/>
        <v>1.1000000000000001</v>
      </c>
      <c r="AF10" s="8">
        <f t="shared" si="3"/>
        <v>7.6</v>
      </c>
      <c r="AG10" s="8">
        <f t="shared" si="4"/>
        <v>2026</v>
      </c>
    </row>
    <row r="11" spans="1:33" ht="15" x14ac:dyDescent="0.15">
      <c r="A11" s="8">
        <v>9</v>
      </c>
      <c r="B11" s="6" t="s">
        <v>8</v>
      </c>
      <c r="C11" s="2">
        <v>16</v>
      </c>
      <c r="D11" s="2">
        <v>9</v>
      </c>
      <c r="E11" s="2">
        <v>10</v>
      </c>
      <c r="F11" s="2">
        <v>10</v>
      </c>
      <c r="G11" s="2">
        <v>8</v>
      </c>
      <c r="H11" s="2">
        <v>5</v>
      </c>
      <c r="I11" s="2">
        <v>18</v>
      </c>
      <c r="J11" s="2">
        <v>18</v>
      </c>
      <c r="M11" s="22" t="s">
        <v>96</v>
      </c>
      <c r="N11" s="6" t="s">
        <v>8</v>
      </c>
      <c r="O11" s="57">
        <v>1</v>
      </c>
      <c r="P11" s="2">
        <f>(100%+职业设计!C48)*$O11</f>
        <v>0.7</v>
      </c>
      <c r="Q11" s="2">
        <f>(100%+职业设计!D48)*$O11</f>
        <v>0.6</v>
      </c>
      <c r="R11" s="2">
        <f>(100%+职业设计!E48)*$O11</f>
        <v>0.7</v>
      </c>
      <c r="S11" s="2">
        <f>(100%+职业设计!F48)*$O11</f>
        <v>0.8</v>
      </c>
      <c r="T11" s="2">
        <f>(100%+职业设计!G48)*$O11</f>
        <v>0.8</v>
      </c>
      <c r="U11" s="2">
        <f>(100%+职业设计!H48)*$O11</f>
        <v>1.5</v>
      </c>
      <c r="V11" s="2">
        <f>(100%+职业设计!I48)*$O11</f>
        <v>0.7</v>
      </c>
      <c r="W11" s="2">
        <f>(100%+职业设计!J48)*$O11</f>
        <v>1.05</v>
      </c>
      <c r="X11" s="2">
        <f t="shared" si="1"/>
        <v>0.75</v>
      </c>
      <c r="Y11" s="2">
        <f t="shared" si="2"/>
        <v>1.1499999999999999</v>
      </c>
      <c r="Z11" s="2">
        <f t="shared" si="0"/>
        <v>1.1499999999999999</v>
      </c>
      <c r="AA11" s="2">
        <f t="shared" si="0"/>
        <v>1.1499999999999999</v>
      </c>
      <c r="AB11" s="2">
        <f t="shared" si="0"/>
        <v>1.1499999999999999</v>
      </c>
      <c r="AC11" s="2">
        <f t="shared" si="0"/>
        <v>1.1499999999999999</v>
      </c>
      <c r="AD11" s="2">
        <f t="shared" si="0"/>
        <v>2.2999999999999998</v>
      </c>
      <c r="AF11" s="8">
        <f t="shared" si="3"/>
        <v>6.85</v>
      </c>
      <c r="AG11" s="8">
        <f t="shared" si="4"/>
        <v>1826</v>
      </c>
    </row>
    <row r="12" spans="1:33" ht="15" x14ac:dyDescent="0.15">
      <c r="A12" s="8">
        <v>10</v>
      </c>
      <c r="B12" s="55" t="s">
        <v>281</v>
      </c>
      <c r="C12" s="2">
        <v>20</v>
      </c>
      <c r="D12" s="2">
        <v>3</v>
      </c>
      <c r="E12" s="2">
        <v>12</v>
      </c>
      <c r="F12" s="2">
        <v>17</v>
      </c>
      <c r="G12" s="2">
        <v>0</v>
      </c>
      <c r="H12" s="2">
        <v>1</v>
      </c>
      <c r="I12" s="2">
        <v>17</v>
      </c>
      <c r="J12" s="2">
        <v>15</v>
      </c>
      <c r="M12" s="22" t="s">
        <v>61</v>
      </c>
      <c r="N12" s="55" t="s">
        <v>281</v>
      </c>
      <c r="O12" s="57">
        <v>1</v>
      </c>
      <c r="P12" s="2">
        <f>(100%+职业设计!C49)*$O12</f>
        <v>1.1499999999999999</v>
      </c>
      <c r="Q12" s="2">
        <f>(100%+职业设计!D49)*$O12</f>
        <v>0.8</v>
      </c>
      <c r="R12" s="2">
        <f>(100%+职业设计!E49)*$O12</f>
        <v>0.9</v>
      </c>
      <c r="S12" s="2">
        <f>(100%+职业设计!F49)*$O12</f>
        <v>1.1000000000000001</v>
      </c>
      <c r="T12" s="2">
        <f>(100%+职业设计!G49)*$O12</f>
        <v>0.19999999999999996</v>
      </c>
      <c r="U12" s="2">
        <f>(100%+职业设计!H49)*$O12</f>
        <v>0.5</v>
      </c>
      <c r="V12" s="2">
        <f>(100%+职业设计!I49)*$O12</f>
        <v>1.05</v>
      </c>
      <c r="W12" s="2">
        <f>(100%+职业设计!J49)*$O12</f>
        <v>1</v>
      </c>
      <c r="X12" s="2">
        <f t="shared" si="1"/>
        <v>1</v>
      </c>
      <c r="Y12" s="2">
        <f t="shared" si="2"/>
        <v>0.35</v>
      </c>
      <c r="Z12" s="2">
        <f t="shared" si="0"/>
        <v>0.7</v>
      </c>
      <c r="AA12" s="2">
        <f t="shared" si="0"/>
        <v>0.35</v>
      </c>
      <c r="AB12" s="2">
        <f t="shared" si="0"/>
        <v>0.35</v>
      </c>
      <c r="AC12" s="2">
        <f t="shared" si="0"/>
        <v>0.35</v>
      </c>
      <c r="AD12" s="2">
        <f t="shared" si="0"/>
        <v>0.35</v>
      </c>
      <c r="AF12" s="8">
        <f t="shared" si="3"/>
        <v>6.7</v>
      </c>
      <c r="AG12" s="8">
        <f t="shared" si="4"/>
        <v>1786</v>
      </c>
    </row>
    <row r="13" spans="1:33" ht="15" x14ac:dyDescent="0.15">
      <c r="A13" s="8">
        <v>11</v>
      </c>
      <c r="B13" s="6" t="s">
        <v>14</v>
      </c>
      <c r="C13" s="2">
        <v>31</v>
      </c>
      <c r="D13" s="2">
        <v>4</v>
      </c>
      <c r="E13" s="2">
        <v>21</v>
      </c>
      <c r="F13" s="2">
        <v>21</v>
      </c>
      <c r="G13" s="2">
        <v>0</v>
      </c>
      <c r="H13" s="2">
        <v>1</v>
      </c>
      <c r="I13" s="2">
        <v>27</v>
      </c>
      <c r="J13" s="2">
        <v>13</v>
      </c>
      <c r="M13" s="22" t="s">
        <v>50</v>
      </c>
      <c r="N13" s="6" t="s">
        <v>14</v>
      </c>
      <c r="O13" s="6">
        <f>O3*1.2</f>
        <v>1.2</v>
      </c>
      <c r="P13" s="2">
        <f>(100%+职业设计!C50)*$O13</f>
        <v>1.44</v>
      </c>
      <c r="Q13" s="2">
        <f>(100%+职业设计!D50)*$O13</f>
        <v>0.72</v>
      </c>
      <c r="R13" s="2">
        <f>(100%+职业设计!E50)*$O13</f>
        <v>1.38</v>
      </c>
      <c r="S13" s="2">
        <f>(100%+职业设计!F50)*$O13</f>
        <v>1.32</v>
      </c>
      <c r="T13" s="2">
        <f>(100%+职业设计!G50)*$O13</f>
        <v>0.96</v>
      </c>
      <c r="U13" s="2">
        <f>(100%+职业设计!H50)*$O13</f>
        <v>0.96</v>
      </c>
      <c r="V13" s="2">
        <f>(100%+职业设计!I50)*$O13</f>
        <v>1.32</v>
      </c>
      <c r="W13" s="2">
        <f>(100%+职业设计!J50)*$O13</f>
        <v>1.2</v>
      </c>
      <c r="X13" s="2">
        <f t="shared" si="1"/>
        <v>2.7</v>
      </c>
      <c r="Y13" s="2">
        <f t="shared" si="2"/>
        <v>0.96</v>
      </c>
      <c r="Z13" s="2">
        <f t="shared" si="0"/>
        <v>0.96</v>
      </c>
      <c r="AA13" s="2">
        <f t="shared" si="0"/>
        <v>0.96</v>
      </c>
      <c r="AB13" s="2">
        <f t="shared" si="0"/>
        <v>0.96</v>
      </c>
      <c r="AC13" s="2">
        <f t="shared" si="0"/>
        <v>0.96</v>
      </c>
      <c r="AD13" s="2">
        <f t="shared" si="0"/>
        <v>0.96</v>
      </c>
      <c r="AF13" s="8">
        <f t="shared" si="3"/>
        <v>9.2999999999999989</v>
      </c>
      <c r="AG13" s="8">
        <f t="shared" si="4"/>
        <v>2480</v>
      </c>
    </row>
    <row r="14" spans="1:33" ht="15" x14ac:dyDescent="0.15">
      <c r="A14" s="8">
        <v>12</v>
      </c>
      <c r="B14" s="6" t="s">
        <v>16</v>
      </c>
      <c r="C14" s="2">
        <v>31</v>
      </c>
      <c r="D14" s="2">
        <v>21</v>
      </c>
      <c r="E14" s="2">
        <v>21</v>
      </c>
      <c r="F14" s="2">
        <v>21</v>
      </c>
      <c r="G14" s="2">
        <v>21</v>
      </c>
      <c r="H14" s="2">
        <v>3</v>
      </c>
      <c r="I14" s="2">
        <v>21</v>
      </c>
      <c r="J14" s="2">
        <v>16</v>
      </c>
      <c r="M14" s="22" t="s">
        <v>63</v>
      </c>
      <c r="N14" s="6" t="s">
        <v>16</v>
      </c>
      <c r="O14" s="6">
        <f t="shared" ref="O14:O19" si="5">O4*1.2</f>
        <v>1.2</v>
      </c>
      <c r="P14" s="2">
        <f>(100%+职业设计!C51)*$O14</f>
        <v>1.08</v>
      </c>
      <c r="Q14" s="2">
        <f>(100%+职业设计!D51)*$O14</f>
        <v>1.32</v>
      </c>
      <c r="R14" s="2">
        <f>(100%+职业设计!E51)*$O14</f>
        <v>1.26</v>
      </c>
      <c r="S14" s="2">
        <f>(100%+职业设计!F51)*$O14</f>
        <v>1.02</v>
      </c>
      <c r="T14" s="2">
        <f>(100%+职业设计!G51)*$O14</f>
        <v>1.2</v>
      </c>
      <c r="U14" s="2">
        <f>(100%+职业设计!H51)*$O14</f>
        <v>1.44</v>
      </c>
      <c r="V14" s="2">
        <f>(100%+职业设计!I51)*$O14</f>
        <v>1.08</v>
      </c>
      <c r="W14" s="2">
        <f>(100%+职业设计!J51)*$O14</f>
        <v>1.56</v>
      </c>
      <c r="X14" s="2">
        <f t="shared" si="1"/>
        <v>1.1400000000000001</v>
      </c>
      <c r="Y14" s="2">
        <f t="shared" si="2"/>
        <v>1.3199999999999998</v>
      </c>
      <c r="Z14" s="2">
        <f t="shared" si="0"/>
        <v>1.3199999999999998</v>
      </c>
      <c r="AA14" s="2">
        <f t="shared" si="0"/>
        <v>1.3199999999999998</v>
      </c>
      <c r="AB14" s="2">
        <f t="shared" si="0"/>
        <v>1.3199999999999998</v>
      </c>
      <c r="AC14" s="2">
        <f t="shared" si="0"/>
        <v>1.3199999999999998</v>
      </c>
      <c r="AD14" s="2">
        <f t="shared" si="0"/>
        <v>2.6399999999999997</v>
      </c>
      <c r="AF14" s="8">
        <f t="shared" si="3"/>
        <v>9.9600000000000009</v>
      </c>
      <c r="AG14" s="8">
        <f t="shared" si="4"/>
        <v>2656</v>
      </c>
    </row>
    <row r="15" spans="1:33" ht="15" x14ac:dyDescent="0.15">
      <c r="A15" s="8">
        <v>13</v>
      </c>
      <c r="B15" s="6" t="s">
        <v>18</v>
      </c>
      <c r="C15" s="2">
        <v>28</v>
      </c>
      <c r="D15" s="2">
        <v>16</v>
      </c>
      <c r="E15" s="2">
        <v>21</v>
      </c>
      <c r="F15" s="2">
        <v>13</v>
      </c>
      <c r="G15" s="2">
        <v>21</v>
      </c>
      <c r="H15" s="2">
        <v>4</v>
      </c>
      <c r="I15" s="2">
        <v>27</v>
      </c>
      <c r="J15" s="2">
        <v>13</v>
      </c>
      <c r="M15" s="22" t="s">
        <v>57</v>
      </c>
      <c r="N15" s="6" t="s">
        <v>18</v>
      </c>
      <c r="O15" s="6">
        <f t="shared" si="5"/>
        <v>1.2</v>
      </c>
      <c r="P15" s="2">
        <f>(100%+职业设计!C52)*$O15</f>
        <v>1.2</v>
      </c>
      <c r="Q15" s="2">
        <f>(100%+职业设计!D52)*$O15</f>
        <v>1.2</v>
      </c>
      <c r="R15" s="2">
        <f>(100%+职业设计!E52)*$O15</f>
        <v>1.32</v>
      </c>
      <c r="S15" s="2">
        <f>(100%+职业设计!F52)*$O15</f>
        <v>1.2</v>
      </c>
      <c r="T15" s="2">
        <f>(100%+职业设计!G52)*$O15</f>
        <v>1.38</v>
      </c>
      <c r="U15" s="2">
        <f>(100%+职业设计!H52)*$O15</f>
        <v>1.56</v>
      </c>
      <c r="V15" s="2">
        <f>(100%+职业设计!I52)*$O15</f>
        <v>1.38</v>
      </c>
      <c r="W15" s="2">
        <f>(100%+职业设计!J52)*$O15</f>
        <v>1.2</v>
      </c>
      <c r="X15" s="2">
        <f t="shared" si="1"/>
        <v>1.26</v>
      </c>
      <c r="Y15" s="2">
        <f t="shared" si="2"/>
        <v>1.47</v>
      </c>
      <c r="Z15" s="2">
        <f t="shared" si="0"/>
        <v>1.47</v>
      </c>
      <c r="AA15" s="2">
        <f t="shared" si="0"/>
        <v>1.47</v>
      </c>
      <c r="AB15" s="2">
        <f t="shared" si="0"/>
        <v>2.94</v>
      </c>
      <c r="AC15" s="2">
        <f t="shared" si="0"/>
        <v>1.47</v>
      </c>
      <c r="AD15" s="2">
        <f t="shared" si="0"/>
        <v>1.47</v>
      </c>
      <c r="AF15" s="8">
        <f t="shared" si="3"/>
        <v>10.439999999999998</v>
      </c>
      <c r="AG15" s="8">
        <f t="shared" si="4"/>
        <v>2784</v>
      </c>
    </row>
    <row r="16" spans="1:33" ht="15" x14ac:dyDescent="0.15">
      <c r="A16" s="8">
        <v>14</v>
      </c>
      <c r="B16" s="6" t="s">
        <v>20</v>
      </c>
      <c r="C16" s="2">
        <v>22</v>
      </c>
      <c r="D16" s="2">
        <v>21</v>
      </c>
      <c r="E16" s="2">
        <v>10</v>
      </c>
      <c r="F16" s="2">
        <v>10</v>
      </c>
      <c r="G16" s="2">
        <v>21</v>
      </c>
      <c r="H16" s="2">
        <v>4</v>
      </c>
      <c r="I16" s="2">
        <v>21</v>
      </c>
      <c r="J16" s="2">
        <v>16</v>
      </c>
      <c r="M16" s="22" t="s">
        <v>98</v>
      </c>
      <c r="N16" s="6" t="s">
        <v>20</v>
      </c>
      <c r="O16" s="6">
        <f t="shared" si="5"/>
        <v>1.2</v>
      </c>
      <c r="P16" s="2">
        <f>(100%+职业设计!C53)*$O16</f>
        <v>0.96</v>
      </c>
      <c r="Q16" s="2">
        <f>(100%+职业设计!D53)*$O16</f>
        <v>1.44</v>
      </c>
      <c r="R16" s="2">
        <f>(100%+职业设计!E53)*$O16</f>
        <v>0.84</v>
      </c>
      <c r="S16" s="2">
        <f>(100%+职业设计!F53)*$O16</f>
        <v>0.96</v>
      </c>
      <c r="T16" s="2">
        <f>(100%+职业设计!G53)*$O16</f>
        <v>1.44</v>
      </c>
      <c r="U16" s="2">
        <f>(100%+职业设计!H53)*$O16</f>
        <v>1.44</v>
      </c>
      <c r="V16" s="2">
        <f>(100%+职业设计!I53)*$O16</f>
        <v>1.26</v>
      </c>
      <c r="W16" s="2">
        <f>(100%+职业设计!J53)*$O16</f>
        <v>1.2</v>
      </c>
      <c r="X16" s="2">
        <f t="shared" si="1"/>
        <v>0.89999999999999991</v>
      </c>
      <c r="Y16" s="2">
        <f t="shared" si="2"/>
        <v>1.44</v>
      </c>
      <c r="Z16" s="2">
        <f t="shared" si="0"/>
        <v>1.44</v>
      </c>
      <c r="AA16" s="2">
        <f t="shared" si="0"/>
        <v>2.88</v>
      </c>
      <c r="AB16" s="2">
        <f t="shared" si="0"/>
        <v>1.44</v>
      </c>
      <c r="AC16" s="2">
        <f t="shared" si="0"/>
        <v>1.44</v>
      </c>
      <c r="AD16" s="2">
        <f t="shared" si="0"/>
        <v>1.44</v>
      </c>
      <c r="AF16" s="8">
        <f t="shared" si="3"/>
        <v>9.5399999999999974</v>
      </c>
      <c r="AG16" s="8">
        <f t="shared" si="4"/>
        <v>2544</v>
      </c>
    </row>
    <row r="17" spans="1:36" ht="15" x14ac:dyDescent="0.15">
      <c r="A17" s="8">
        <v>15</v>
      </c>
      <c r="B17" s="6" t="s">
        <v>22</v>
      </c>
      <c r="C17" s="2">
        <v>24</v>
      </c>
      <c r="D17" s="2">
        <v>14</v>
      </c>
      <c r="E17" s="2">
        <v>10</v>
      </c>
      <c r="F17" s="2">
        <v>14</v>
      </c>
      <c r="G17" s="2">
        <v>14</v>
      </c>
      <c r="H17" s="2">
        <v>5</v>
      </c>
      <c r="I17" s="2">
        <v>24</v>
      </c>
      <c r="J17" s="2">
        <v>24</v>
      </c>
      <c r="M17" s="22" t="s">
        <v>58</v>
      </c>
      <c r="N17" s="6" t="s">
        <v>22</v>
      </c>
      <c r="O17" s="6">
        <f t="shared" si="5"/>
        <v>1.2</v>
      </c>
      <c r="P17" s="2">
        <f>(100%+职业设计!C54)*$O17</f>
        <v>1.1399999999999999</v>
      </c>
      <c r="Q17" s="2">
        <f>(100%+职业设计!D54)*$O17</f>
        <v>1.1399999999999999</v>
      </c>
      <c r="R17" s="2">
        <f>(100%+职业设计!E54)*$O17</f>
        <v>1.2</v>
      </c>
      <c r="S17" s="2">
        <f>(100%+职业设计!F54)*$O17</f>
        <v>1.2</v>
      </c>
      <c r="T17" s="2">
        <f>(100%+职业设计!G54)*$O17</f>
        <v>1.44</v>
      </c>
      <c r="U17" s="2">
        <f>(100%+职业设计!H54)*$O17</f>
        <v>1.2</v>
      </c>
      <c r="V17" s="2">
        <f>(100%+职业设计!I54)*$O17</f>
        <v>1.32</v>
      </c>
      <c r="W17" s="2">
        <f>(100%+职业设计!J54)*$O17</f>
        <v>1.26</v>
      </c>
      <c r="X17" s="2">
        <f t="shared" si="1"/>
        <v>1.2</v>
      </c>
      <c r="Y17" s="2">
        <f t="shared" si="2"/>
        <v>1.3199999999999998</v>
      </c>
      <c r="Z17" s="2">
        <f t="shared" si="0"/>
        <v>1.3199999999999998</v>
      </c>
      <c r="AA17" s="2">
        <f t="shared" si="0"/>
        <v>1.3199999999999998</v>
      </c>
      <c r="AB17" s="2">
        <f t="shared" si="0"/>
        <v>1.3199999999999998</v>
      </c>
      <c r="AC17" s="2">
        <f t="shared" si="0"/>
        <v>2.6399999999999997</v>
      </c>
      <c r="AD17" s="2">
        <f t="shared" si="0"/>
        <v>1.3199999999999998</v>
      </c>
      <c r="AF17" s="8">
        <f t="shared" si="3"/>
        <v>9.8999999999999986</v>
      </c>
      <c r="AG17" s="8">
        <f t="shared" si="4"/>
        <v>2640</v>
      </c>
    </row>
    <row r="18" spans="1:36" ht="15" x14ac:dyDescent="0.15">
      <c r="A18" s="8">
        <v>16</v>
      </c>
      <c r="B18" s="6" t="s">
        <v>24</v>
      </c>
      <c r="C18" s="2">
        <v>24</v>
      </c>
      <c r="D18" s="2">
        <v>6</v>
      </c>
      <c r="E18" s="2">
        <v>14</v>
      </c>
      <c r="F18" s="2">
        <v>20</v>
      </c>
      <c r="G18" s="2">
        <v>0</v>
      </c>
      <c r="H18" s="2">
        <v>1</v>
      </c>
      <c r="I18" s="2">
        <v>24</v>
      </c>
      <c r="J18" s="2">
        <v>24</v>
      </c>
      <c r="M18" s="22" t="s">
        <v>61</v>
      </c>
      <c r="N18" s="6" t="s">
        <v>24</v>
      </c>
      <c r="O18" s="6">
        <f t="shared" si="5"/>
        <v>1.2</v>
      </c>
      <c r="P18" s="2">
        <f>(100%+职业设计!C55)*$O18</f>
        <v>1.26</v>
      </c>
      <c r="Q18" s="2">
        <f>(100%+职业设计!D55)*$O18</f>
        <v>1.08</v>
      </c>
      <c r="R18" s="2">
        <f>(100%+职业设计!E55)*$O18</f>
        <v>1.32</v>
      </c>
      <c r="S18" s="2">
        <f>(100%+职业设计!F55)*$O18</f>
        <v>1.44</v>
      </c>
      <c r="T18" s="2">
        <f>(100%+职业设计!G55)*$O18</f>
        <v>1.08</v>
      </c>
      <c r="U18" s="2">
        <f>(100%+职业设计!H55)*$O18</f>
        <v>1.2</v>
      </c>
      <c r="V18" s="2">
        <f>(100%+职业设计!I55)*$O18</f>
        <v>1.32</v>
      </c>
      <c r="W18" s="2">
        <f>(100%+职业设计!J55)*$O18</f>
        <v>1.2</v>
      </c>
      <c r="X18" s="2">
        <f t="shared" si="1"/>
        <v>1.38</v>
      </c>
      <c r="Y18" s="2">
        <f t="shared" si="2"/>
        <v>1.1400000000000001</v>
      </c>
      <c r="Z18" s="2">
        <f t="shared" si="0"/>
        <v>2.2800000000000002</v>
      </c>
      <c r="AA18" s="2">
        <f t="shared" si="0"/>
        <v>1.1400000000000001</v>
      </c>
      <c r="AB18" s="2">
        <f t="shared" si="0"/>
        <v>1.1400000000000001</v>
      </c>
      <c r="AC18" s="2">
        <f t="shared" si="0"/>
        <v>1.1400000000000001</v>
      </c>
      <c r="AD18" s="2">
        <f t="shared" si="0"/>
        <v>1.1400000000000001</v>
      </c>
      <c r="AF18" s="8">
        <f t="shared" si="3"/>
        <v>9.8999999999999986</v>
      </c>
      <c r="AG18" s="8">
        <f t="shared" si="4"/>
        <v>2640</v>
      </c>
    </row>
    <row r="19" spans="1:36" ht="15" x14ac:dyDescent="0.15">
      <c r="A19" s="8">
        <v>17</v>
      </c>
      <c r="B19" s="6" t="s">
        <v>26</v>
      </c>
      <c r="C19" s="2">
        <v>25</v>
      </c>
      <c r="D19" s="2">
        <v>12</v>
      </c>
      <c r="E19" s="2">
        <v>12</v>
      </c>
      <c r="F19" s="2">
        <v>12</v>
      </c>
      <c r="G19" s="2">
        <v>18</v>
      </c>
      <c r="H19" s="2">
        <v>6</v>
      </c>
      <c r="I19" s="2">
        <v>30</v>
      </c>
      <c r="J19" s="2">
        <v>21</v>
      </c>
      <c r="M19" s="22" t="s">
        <v>50</v>
      </c>
      <c r="N19" s="6" t="s">
        <v>26</v>
      </c>
      <c r="O19" s="6">
        <f t="shared" si="5"/>
        <v>1.2</v>
      </c>
      <c r="P19" s="2">
        <f>(100%+职业设计!C56)*$O19</f>
        <v>0.96</v>
      </c>
      <c r="Q19" s="2">
        <f>(100%+职业设计!D56)*$O19</f>
        <v>1.08</v>
      </c>
      <c r="R19" s="2">
        <f>(100%+职业设计!E56)*$O19</f>
        <v>0.96</v>
      </c>
      <c r="S19" s="2">
        <f>(100%+职业设计!F56)*$O19</f>
        <v>1.08</v>
      </c>
      <c r="T19" s="2">
        <f>(100%+职业设计!G56)*$O19</f>
        <v>1.2</v>
      </c>
      <c r="U19" s="2">
        <f>(100%+职业设计!H56)*$O19</f>
        <v>1.2</v>
      </c>
      <c r="V19" s="2">
        <f>(100%+职业设计!I56)*$O19</f>
        <v>1.08</v>
      </c>
      <c r="W19" s="2">
        <f>(100%+职业设计!J56)*$O19</f>
        <v>1.38</v>
      </c>
      <c r="X19" s="2">
        <f t="shared" si="1"/>
        <v>2.04</v>
      </c>
      <c r="Y19" s="2">
        <f t="shared" si="2"/>
        <v>1.2</v>
      </c>
      <c r="Z19" s="2">
        <f t="shared" si="2"/>
        <v>1.2</v>
      </c>
      <c r="AA19" s="2">
        <f t="shared" si="2"/>
        <v>1.2</v>
      </c>
      <c r="AB19" s="2">
        <f t="shared" si="2"/>
        <v>1.2</v>
      </c>
      <c r="AC19" s="2">
        <f t="shared" si="2"/>
        <v>1.2</v>
      </c>
      <c r="AD19" s="2">
        <f t="shared" si="2"/>
        <v>1.2</v>
      </c>
      <c r="AF19" s="8">
        <f t="shared" si="3"/>
        <v>8.9400000000000013</v>
      </c>
      <c r="AG19" s="8">
        <f t="shared" si="4"/>
        <v>2384</v>
      </c>
    </row>
    <row r="20" spans="1:36" ht="15" x14ac:dyDescent="0.15">
      <c r="A20" s="8">
        <v>18</v>
      </c>
      <c r="B20" s="6" t="s">
        <v>33</v>
      </c>
      <c r="C20" s="2">
        <v>30</v>
      </c>
      <c r="D20" s="2">
        <v>25</v>
      </c>
      <c r="E20" s="2">
        <v>14</v>
      </c>
      <c r="F20" s="2">
        <v>14</v>
      </c>
      <c r="G20" s="2">
        <v>25</v>
      </c>
      <c r="H20" s="2">
        <v>7</v>
      </c>
      <c r="I20" s="2">
        <v>36</v>
      </c>
      <c r="J20" s="2">
        <v>25</v>
      </c>
      <c r="M20" s="22" t="s">
        <v>63</v>
      </c>
      <c r="N20" s="6" t="s">
        <v>33</v>
      </c>
      <c r="O20" s="6">
        <f>O17*1.2</f>
        <v>1.44</v>
      </c>
      <c r="P20" s="2">
        <f>(100%+职业设计!C57)*$O20</f>
        <v>1.44</v>
      </c>
      <c r="Q20" s="2">
        <f>(100%+职业设计!D57)*$O20</f>
        <v>1.728</v>
      </c>
      <c r="R20" s="2">
        <f>(100%+职业设计!E57)*$O20</f>
        <v>1.296</v>
      </c>
      <c r="S20" s="2">
        <f>(100%+职业设计!F57)*$O20</f>
        <v>1.296</v>
      </c>
      <c r="T20" s="2">
        <f>(100%+职业设计!G57)*$O20</f>
        <v>1.8719999999999999</v>
      </c>
      <c r="U20" s="2">
        <f>(100%+职业设计!H57)*$O20</f>
        <v>1.5840000000000001</v>
      </c>
      <c r="V20" s="2">
        <f>(100%+职业设计!I57)*$O20</f>
        <v>1.6559999999999999</v>
      </c>
      <c r="W20" s="2">
        <f>(100%+职业设计!J57)*$O20</f>
        <v>1.44</v>
      </c>
      <c r="X20" s="2">
        <f t="shared" si="1"/>
        <v>1.296</v>
      </c>
      <c r="Y20" s="2">
        <f t="shared" si="2"/>
        <v>1.728</v>
      </c>
      <c r="Z20" s="2">
        <f t="shared" si="2"/>
        <v>1.728</v>
      </c>
      <c r="AA20" s="2">
        <f t="shared" si="2"/>
        <v>1.728</v>
      </c>
      <c r="AB20" s="2">
        <f t="shared" si="2"/>
        <v>1.728</v>
      </c>
      <c r="AC20" s="2">
        <f t="shared" si="2"/>
        <v>1.728</v>
      </c>
      <c r="AD20" s="2">
        <f t="shared" si="2"/>
        <v>3.456</v>
      </c>
      <c r="AF20" s="8">
        <f t="shared" si="3"/>
        <v>12.312000000000001</v>
      </c>
      <c r="AG20" s="8">
        <f t="shared" si="4"/>
        <v>3283</v>
      </c>
    </row>
    <row r="21" spans="1:36" ht="15" x14ac:dyDescent="0.15">
      <c r="A21" s="8">
        <v>19</v>
      </c>
      <c r="B21" s="6" t="s">
        <v>35</v>
      </c>
      <c r="C21" s="2">
        <v>46</v>
      </c>
      <c r="D21" s="2">
        <v>19</v>
      </c>
      <c r="E21" s="2">
        <v>25</v>
      </c>
      <c r="F21" s="2">
        <v>25</v>
      </c>
      <c r="G21" s="2">
        <v>25</v>
      </c>
      <c r="H21" s="2">
        <v>5</v>
      </c>
      <c r="I21" s="2">
        <v>32</v>
      </c>
      <c r="J21" s="2">
        <v>15</v>
      </c>
      <c r="M21" s="22" t="s">
        <v>57</v>
      </c>
      <c r="N21" s="6" t="s">
        <v>35</v>
      </c>
      <c r="O21" s="6">
        <f>O18*1.2</f>
        <v>1.44</v>
      </c>
      <c r="P21" s="2">
        <f>(100%+职业设计!C58)*$O21</f>
        <v>1.5840000000000001</v>
      </c>
      <c r="Q21" s="2">
        <f>(100%+职业设计!D58)*$O21</f>
        <v>1.296</v>
      </c>
      <c r="R21" s="2">
        <f>(100%+职业设计!E58)*$O21</f>
        <v>1.7999999999999998</v>
      </c>
      <c r="S21" s="2">
        <f>(100%+职业设计!F58)*$O21</f>
        <v>1.512</v>
      </c>
      <c r="T21" s="2">
        <f>(100%+职业设计!G58)*$O21</f>
        <v>1.44</v>
      </c>
      <c r="U21" s="2">
        <f>(100%+职业设计!H58)*$O21</f>
        <v>1.44</v>
      </c>
      <c r="V21" s="2">
        <f>(100%+职业设计!I58)*$O21</f>
        <v>1.5840000000000001</v>
      </c>
      <c r="W21" s="2">
        <f>(100%+职业设计!J58)*$O21</f>
        <v>1.44</v>
      </c>
      <c r="X21" s="2">
        <f t="shared" si="1"/>
        <v>1.6559999999999999</v>
      </c>
      <c r="Y21" s="2">
        <f t="shared" si="2"/>
        <v>1.44</v>
      </c>
      <c r="Z21" s="2">
        <f t="shared" si="2"/>
        <v>1.44</v>
      </c>
      <c r="AA21" s="2">
        <f t="shared" si="2"/>
        <v>1.44</v>
      </c>
      <c r="AB21" s="2">
        <f t="shared" si="2"/>
        <v>2.88</v>
      </c>
      <c r="AC21" s="2">
        <f t="shared" si="2"/>
        <v>1.44</v>
      </c>
      <c r="AD21" s="2">
        <f t="shared" si="2"/>
        <v>1.44</v>
      </c>
      <c r="AF21" s="8">
        <f t="shared" si="3"/>
        <v>12.095999999999998</v>
      </c>
      <c r="AG21" s="8">
        <f t="shared" si="4"/>
        <v>3225</v>
      </c>
    </row>
    <row r="22" spans="1:36" ht="15" x14ac:dyDescent="0.15">
      <c r="A22" s="8">
        <v>20</v>
      </c>
      <c r="B22" s="6" t="s">
        <v>37</v>
      </c>
      <c r="C22" s="2">
        <v>31</v>
      </c>
      <c r="D22" s="2">
        <v>16</v>
      </c>
      <c r="E22" s="2">
        <v>18</v>
      </c>
      <c r="F22" s="2">
        <v>19</v>
      </c>
      <c r="G22" s="2">
        <v>22</v>
      </c>
      <c r="H22" s="2">
        <v>3</v>
      </c>
      <c r="I22" s="2">
        <v>29</v>
      </c>
      <c r="J22" s="2">
        <v>21</v>
      </c>
      <c r="M22" s="22" t="s">
        <v>95</v>
      </c>
      <c r="N22" s="6" t="s">
        <v>37</v>
      </c>
      <c r="O22" s="6">
        <f>O19*1.2</f>
        <v>1.44</v>
      </c>
      <c r="P22" s="2">
        <f>(100%+职业设计!C59)*$O22</f>
        <v>1.5840000000000001</v>
      </c>
      <c r="Q22" s="2">
        <f>(100%+职业设计!D59)*$O22</f>
        <v>1.5840000000000001</v>
      </c>
      <c r="R22" s="2">
        <f>(100%+职业设计!E59)*$O22</f>
        <v>1.5840000000000001</v>
      </c>
      <c r="S22" s="2">
        <f>(100%+职业设计!F59)*$O22</f>
        <v>1.44</v>
      </c>
      <c r="T22" s="2">
        <f>(100%+职业设计!G59)*$O22</f>
        <v>1.5840000000000001</v>
      </c>
      <c r="U22" s="2">
        <f>(100%+职业设计!H59)*$O22</f>
        <v>1.44</v>
      </c>
      <c r="V22" s="2">
        <f>(100%+职业设计!I59)*$O22</f>
        <v>1.44</v>
      </c>
      <c r="W22" s="2">
        <f>(100%+职业设计!J59)*$O22</f>
        <v>1.5840000000000001</v>
      </c>
      <c r="X22" s="2">
        <f t="shared" si="1"/>
        <v>1.512</v>
      </c>
      <c r="Y22" s="2">
        <f t="shared" si="2"/>
        <v>3.024</v>
      </c>
      <c r="Z22" s="2">
        <f t="shared" si="2"/>
        <v>1.512</v>
      </c>
      <c r="AA22" s="2">
        <f t="shared" si="2"/>
        <v>1.512</v>
      </c>
      <c r="AB22" s="2">
        <f t="shared" si="2"/>
        <v>1.512</v>
      </c>
      <c r="AC22" s="2">
        <f t="shared" si="2"/>
        <v>1.512</v>
      </c>
      <c r="AD22" s="2">
        <f t="shared" si="2"/>
        <v>1.512</v>
      </c>
      <c r="AF22" s="8">
        <f t="shared" si="3"/>
        <v>12.239999999999998</v>
      </c>
      <c r="AG22" s="8">
        <f t="shared" si="4"/>
        <v>3264</v>
      </c>
    </row>
    <row r="23" spans="1:36" ht="13.5" thickBot="1" x14ac:dyDescent="0.2"/>
    <row r="24" spans="1:36" x14ac:dyDescent="0.15">
      <c r="B24" s="13" t="s">
        <v>248</v>
      </c>
      <c r="C24" s="14" t="s">
        <v>279</v>
      </c>
      <c r="D24" s="13" t="s">
        <v>11</v>
      </c>
      <c r="E24" s="13" t="s">
        <v>71</v>
      </c>
      <c r="F24" s="20" t="s">
        <v>72</v>
      </c>
      <c r="G24" s="20" t="s">
        <v>48</v>
      </c>
      <c r="H24" s="20" t="s">
        <v>73</v>
      </c>
      <c r="I24" s="14" t="s">
        <v>74</v>
      </c>
      <c r="J24" s="13" t="s">
        <v>52</v>
      </c>
      <c r="K24" s="13" t="s">
        <v>28</v>
      </c>
      <c r="N24" s="58" t="s">
        <v>307</v>
      </c>
      <c r="O24" s="59" t="s">
        <v>279</v>
      </c>
      <c r="P24" s="13" t="s">
        <v>11</v>
      </c>
      <c r="Q24" s="13" t="s">
        <v>71</v>
      </c>
      <c r="R24" s="20" t="s">
        <v>72</v>
      </c>
      <c r="S24" s="20" t="s">
        <v>48</v>
      </c>
      <c r="T24" s="20" t="s">
        <v>73</v>
      </c>
      <c r="U24" s="14" t="s">
        <v>74</v>
      </c>
      <c r="V24" s="13" t="s">
        <v>52</v>
      </c>
      <c r="W24" s="13" t="s">
        <v>28</v>
      </c>
      <c r="X24" s="21" t="s">
        <v>50</v>
      </c>
      <c r="Y24" s="21" t="s">
        <v>56</v>
      </c>
      <c r="Z24" s="21" t="s">
        <v>61</v>
      </c>
      <c r="AA24" s="21" t="s">
        <v>62</v>
      </c>
      <c r="AB24" s="21" t="s">
        <v>57</v>
      </c>
      <c r="AC24" s="21" t="s">
        <v>58</v>
      </c>
      <c r="AD24" s="21" t="s">
        <v>63</v>
      </c>
      <c r="AI24" s="8">
        <v>1600</v>
      </c>
    </row>
    <row r="25" spans="1:36" ht="13.5" x14ac:dyDescent="0.15">
      <c r="A25" s="8">
        <v>1</v>
      </c>
      <c r="B25" s="51" t="s">
        <v>249</v>
      </c>
      <c r="C25" s="53" t="s">
        <v>282</v>
      </c>
      <c r="D25" s="2">
        <v>20</v>
      </c>
      <c r="E25" s="2">
        <v>3</v>
      </c>
      <c r="F25" s="2">
        <v>12</v>
      </c>
      <c r="G25" s="2">
        <v>16</v>
      </c>
      <c r="H25" s="2">
        <v>0</v>
      </c>
      <c r="I25" s="2">
        <v>1</v>
      </c>
      <c r="J25" s="2">
        <v>17</v>
      </c>
      <c r="K25" s="2">
        <v>15</v>
      </c>
      <c r="L25" s="8">
        <v>1600</v>
      </c>
      <c r="M25" s="8">
        <v>0</v>
      </c>
      <c r="N25" s="60" t="s">
        <v>249</v>
      </c>
      <c r="O25" s="60" t="s">
        <v>282</v>
      </c>
      <c r="P25" s="2">
        <v>6</v>
      </c>
      <c r="Q25" s="2">
        <v>1.2</v>
      </c>
      <c r="R25" s="2">
        <v>4.5</v>
      </c>
      <c r="S25" s="2">
        <v>1</v>
      </c>
      <c r="T25" s="2">
        <v>4.5</v>
      </c>
      <c r="U25" s="2">
        <v>1</v>
      </c>
      <c r="V25" s="2">
        <v>2</v>
      </c>
      <c r="W25" s="2">
        <v>2</v>
      </c>
      <c r="X25" s="66"/>
      <c r="Y25" s="66"/>
      <c r="Z25" s="66"/>
      <c r="AA25" s="66"/>
      <c r="AB25" s="66"/>
      <c r="AC25" s="66"/>
      <c r="AD25" s="66"/>
      <c r="AF25" s="8">
        <f>W25*99*V$20</f>
        <v>327.88799999999998</v>
      </c>
      <c r="AG25" s="63">
        <f>AF25/500+1</f>
        <v>1.6557759999999999</v>
      </c>
      <c r="AI25" s="8">
        <f>P25+R25/2+S25/4+T25/2+U25/4+Q25+V25+W25</f>
        <v>16.2</v>
      </c>
      <c r="AJ25" s="8">
        <f>INT(AI25*(AI$24/AI$26))</f>
        <v>1600</v>
      </c>
    </row>
    <row r="26" spans="1:36" ht="13.5" x14ac:dyDescent="0.15">
      <c r="A26" s="8">
        <v>2</v>
      </c>
      <c r="B26" s="69" t="s">
        <v>250</v>
      </c>
      <c r="C26" s="70" t="s">
        <v>283</v>
      </c>
      <c r="D26" s="68">
        <v>26</v>
      </c>
      <c r="E26" s="68">
        <v>4</v>
      </c>
      <c r="F26" s="68">
        <v>18</v>
      </c>
      <c r="G26" s="68">
        <v>18</v>
      </c>
      <c r="H26" s="68">
        <v>0</v>
      </c>
      <c r="I26" s="68">
        <v>1</v>
      </c>
      <c r="J26" s="68">
        <v>4</v>
      </c>
      <c r="K26" s="68">
        <v>5</v>
      </c>
      <c r="L26" s="8">
        <v>1600</v>
      </c>
      <c r="M26" s="8">
        <v>0</v>
      </c>
      <c r="N26" s="73" t="s">
        <v>250</v>
      </c>
      <c r="O26" s="73" t="s">
        <v>283</v>
      </c>
      <c r="P26" s="68">
        <v>5</v>
      </c>
      <c r="Q26" s="68">
        <v>1.2</v>
      </c>
      <c r="R26" s="68">
        <v>4</v>
      </c>
      <c r="S26" s="68">
        <v>4</v>
      </c>
      <c r="T26" s="68">
        <v>4</v>
      </c>
      <c r="U26" s="68">
        <v>4</v>
      </c>
      <c r="V26" s="68">
        <v>2</v>
      </c>
      <c r="W26" s="68">
        <v>2</v>
      </c>
      <c r="X26" s="66"/>
      <c r="Y26" s="66"/>
      <c r="Z26" s="66"/>
      <c r="AA26" s="66"/>
      <c r="AB26" s="66"/>
      <c r="AC26" s="66"/>
      <c r="AD26" s="66"/>
      <c r="AF26" s="8">
        <f t="shared" ref="AF26:AF55" si="6">W26*99*V$20</f>
        <v>327.88799999999998</v>
      </c>
      <c r="AG26" s="63">
        <f t="shared" ref="AG26:AG55" si="7">AF26/500+1</f>
        <v>1.6557759999999999</v>
      </c>
      <c r="AI26" s="8">
        <f>P26+R26/2+S26/4+T26/2+U26/4+Q26+V26+W26</f>
        <v>16.2</v>
      </c>
      <c r="AJ26" s="8">
        <f t="shared" ref="AJ26:AJ55" si="8">INT(AI26*(AI$24/AI$26))</f>
        <v>1600</v>
      </c>
    </row>
    <row r="27" spans="1:36" ht="13.5" x14ac:dyDescent="0.15">
      <c r="A27" s="8">
        <v>3</v>
      </c>
      <c r="B27" s="71" t="s">
        <v>251</v>
      </c>
      <c r="C27" s="72" t="s">
        <v>32</v>
      </c>
      <c r="D27" s="68">
        <v>18</v>
      </c>
      <c r="E27" s="68">
        <v>18</v>
      </c>
      <c r="F27" s="68">
        <v>4</v>
      </c>
      <c r="G27" s="68">
        <v>4</v>
      </c>
      <c r="H27" s="68">
        <v>18</v>
      </c>
      <c r="I27" s="68">
        <v>2</v>
      </c>
      <c r="J27" s="68">
        <v>18</v>
      </c>
      <c r="K27" s="68">
        <v>14</v>
      </c>
      <c r="L27" s="8">
        <v>1679</v>
      </c>
      <c r="M27" s="8">
        <v>0</v>
      </c>
      <c r="N27" s="74" t="s">
        <v>251</v>
      </c>
      <c r="O27" s="74" t="s">
        <v>32</v>
      </c>
      <c r="P27" s="68">
        <v>4.25</v>
      </c>
      <c r="Q27" s="68">
        <v>1.7</v>
      </c>
      <c r="R27" s="68">
        <v>2.5</v>
      </c>
      <c r="S27" s="68">
        <v>4</v>
      </c>
      <c r="T27" s="68">
        <v>6.5</v>
      </c>
      <c r="U27" s="68">
        <v>5</v>
      </c>
      <c r="V27" s="68">
        <v>1.3</v>
      </c>
      <c r="W27" s="68">
        <v>3</v>
      </c>
      <c r="X27" s="66"/>
      <c r="Y27" s="66"/>
      <c r="Z27" s="66"/>
      <c r="AA27" s="66"/>
      <c r="AB27" s="66"/>
      <c r="AC27" s="66"/>
      <c r="AD27" s="66"/>
      <c r="AF27" s="8">
        <f t="shared" si="6"/>
        <v>491.83199999999999</v>
      </c>
      <c r="AG27" s="63">
        <f t="shared" si="7"/>
        <v>1.9836640000000001</v>
      </c>
      <c r="AI27" s="8">
        <f t="shared" ref="AI27:AI61" si="9">P27+R27/2+S27/4+T27/2+U27/4+Q27+V27+W27</f>
        <v>17</v>
      </c>
      <c r="AJ27" s="8">
        <f t="shared" si="8"/>
        <v>1679</v>
      </c>
    </row>
    <row r="28" spans="1:36" ht="13.5" x14ac:dyDescent="0.15">
      <c r="A28" s="8">
        <v>4</v>
      </c>
      <c r="B28" s="69" t="s">
        <v>252</v>
      </c>
      <c r="C28" s="70" t="s">
        <v>280</v>
      </c>
      <c r="D28" s="68">
        <v>17</v>
      </c>
      <c r="E28" s="68">
        <v>0</v>
      </c>
      <c r="F28" s="68">
        <v>22</v>
      </c>
      <c r="G28" s="68">
        <v>2</v>
      </c>
      <c r="H28" s="68">
        <v>0</v>
      </c>
      <c r="I28" s="68">
        <v>5</v>
      </c>
      <c r="J28" s="68">
        <v>15</v>
      </c>
      <c r="K28" s="68">
        <v>15</v>
      </c>
      <c r="L28" s="8">
        <v>1669</v>
      </c>
      <c r="M28" s="8">
        <v>0</v>
      </c>
      <c r="N28" s="73" t="s">
        <v>252</v>
      </c>
      <c r="O28" s="73" t="s">
        <v>280</v>
      </c>
      <c r="P28" s="68">
        <v>4.25</v>
      </c>
      <c r="Q28" s="68">
        <v>1</v>
      </c>
      <c r="R28" s="68">
        <v>6</v>
      </c>
      <c r="S28" s="68">
        <v>5</v>
      </c>
      <c r="T28" s="68">
        <v>2.5</v>
      </c>
      <c r="U28" s="68">
        <v>5</v>
      </c>
      <c r="V28" s="68">
        <v>3.2</v>
      </c>
      <c r="W28" s="68">
        <v>1.7</v>
      </c>
      <c r="X28" s="66"/>
      <c r="Y28" s="66"/>
      <c r="Z28" s="66"/>
      <c r="AA28" s="66"/>
      <c r="AB28" s="66"/>
      <c r="AC28" s="66"/>
      <c r="AD28" s="66"/>
      <c r="AF28" s="8">
        <f t="shared" si="6"/>
        <v>278.70479999999998</v>
      </c>
      <c r="AG28" s="63">
        <f t="shared" si="7"/>
        <v>1.5574095999999999</v>
      </c>
      <c r="AI28" s="8">
        <f t="shared" si="9"/>
        <v>16.899999999999999</v>
      </c>
      <c r="AJ28" s="8">
        <f t="shared" si="8"/>
        <v>1669</v>
      </c>
    </row>
    <row r="29" spans="1:36" ht="13.5" x14ac:dyDescent="0.15">
      <c r="A29" s="8">
        <v>5</v>
      </c>
      <c r="B29" s="51" t="s">
        <v>253</v>
      </c>
      <c r="C29" s="53" t="s">
        <v>282</v>
      </c>
      <c r="D29" s="2">
        <v>18</v>
      </c>
      <c r="E29" s="2">
        <v>3</v>
      </c>
      <c r="F29" s="2">
        <v>11</v>
      </c>
      <c r="G29" s="2">
        <v>18</v>
      </c>
      <c r="H29" s="2">
        <v>5</v>
      </c>
      <c r="I29" s="2">
        <v>3</v>
      </c>
      <c r="J29" s="2">
        <v>15</v>
      </c>
      <c r="K29" s="2">
        <v>14</v>
      </c>
      <c r="L29" s="8">
        <v>1772</v>
      </c>
      <c r="M29" s="8">
        <f>L29</f>
        <v>1772</v>
      </c>
      <c r="N29" s="60" t="s">
        <v>253</v>
      </c>
      <c r="O29" s="60" t="s">
        <v>282</v>
      </c>
      <c r="P29" s="2">
        <v>4.25</v>
      </c>
      <c r="Q29" s="2">
        <v>1.2</v>
      </c>
      <c r="R29" s="2">
        <v>5</v>
      </c>
      <c r="S29" s="2">
        <v>1</v>
      </c>
      <c r="T29" s="2">
        <v>5</v>
      </c>
      <c r="U29" s="2">
        <v>1</v>
      </c>
      <c r="V29" s="2">
        <v>2</v>
      </c>
      <c r="W29" s="2">
        <v>5</v>
      </c>
      <c r="X29" s="66"/>
      <c r="Y29" s="66"/>
      <c r="Z29" s="66"/>
      <c r="AA29" s="66"/>
      <c r="AB29" s="66"/>
      <c r="AC29" s="66"/>
      <c r="AD29" s="66"/>
      <c r="AF29" s="8">
        <f t="shared" si="6"/>
        <v>819.71999999999991</v>
      </c>
      <c r="AG29" s="63">
        <f t="shared" si="7"/>
        <v>2.6394399999999996</v>
      </c>
      <c r="AI29" s="8">
        <f t="shared" si="9"/>
        <v>17.95</v>
      </c>
      <c r="AJ29" s="8">
        <f t="shared" si="8"/>
        <v>1772</v>
      </c>
    </row>
    <row r="30" spans="1:36" ht="13.5" x14ac:dyDescent="0.15">
      <c r="A30" s="8">
        <v>6</v>
      </c>
      <c r="B30" s="52" t="s">
        <v>254</v>
      </c>
      <c r="C30" s="53" t="s">
        <v>282</v>
      </c>
      <c r="D30" s="2">
        <v>17</v>
      </c>
      <c r="E30" s="2">
        <v>8</v>
      </c>
      <c r="F30" s="2">
        <v>12</v>
      </c>
      <c r="G30" s="2">
        <v>17</v>
      </c>
      <c r="H30" s="2">
        <v>2</v>
      </c>
      <c r="I30" s="2">
        <v>5</v>
      </c>
      <c r="J30" s="2">
        <v>16</v>
      </c>
      <c r="K30" s="2">
        <v>15</v>
      </c>
      <c r="L30" s="8">
        <v>1580</v>
      </c>
      <c r="M30" s="8">
        <f>L30*2</f>
        <v>3160</v>
      </c>
      <c r="N30" s="61" t="s">
        <v>254</v>
      </c>
      <c r="O30" s="60" t="s">
        <v>282</v>
      </c>
      <c r="P30" s="2">
        <v>5</v>
      </c>
      <c r="Q30" s="2">
        <v>1</v>
      </c>
      <c r="R30" s="2">
        <v>5</v>
      </c>
      <c r="S30" s="2">
        <v>2</v>
      </c>
      <c r="T30" s="2">
        <v>4</v>
      </c>
      <c r="U30" s="2">
        <v>4</v>
      </c>
      <c r="V30" s="2">
        <v>3</v>
      </c>
      <c r="W30" s="2">
        <v>1</v>
      </c>
      <c r="X30" s="66"/>
      <c r="Y30" s="66"/>
      <c r="Z30" s="66"/>
      <c r="AA30" s="66"/>
      <c r="AB30" s="66"/>
      <c r="AC30" s="66"/>
      <c r="AD30" s="66"/>
      <c r="AF30" s="8">
        <f t="shared" si="6"/>
        <v>163.94399999999999</v>
      </c>
      <c r="AG30" s="63">
        <f t="shared" si="7"/>
        <v>1.327888</v>
      </c>
      <c r="AI30" s="8">
        <f t="shared" si="9"/>
        <v>16</v>
      </c>
      <c r="AJ30" s="8">
        <f t="shared" si="8"/>
        <v>1580</v>
      </c>
    </row>
    <row r="31" spans="1:36" ht="13.5" x14ac:dyDescent="0.15">
      <c r="A31" s="8">
        <v>7</v>
      </c>
      <c r="B31" s="52" t="s">
        <v>255</v>
      </c>
      <c r="C31" s="54" t="s">
        <v>284</v>
      </c>
      <c r="D31" s="2">
        <v>19</v>
      </c>
      <c r="E31" s="2">
        <v>14</v>
      </c>
      <c r="F31" s="2">
        <v>9</v>
      </c>
      <c r="G31" s="2">
        <v>9</v>
      </c>
      <c r="H31" s="2">
        <v>18</v>
      </c>
      <c r="I31" s="2">
        <v>3</v>
      </c>
      <c r="J31" s="2">
        <v>14</v>
      </c>
      <c r="K31" s="2">
        <v>9</v>
      </c>
      <c r="L31" s="8">
        <v>1649</v>
      </c>
      <c r="M31" s="8">
        <f>L31*2</f>
        <v>3298</v>
      </c>
      <c r="N31" s="61" t="s">
        <v>255</v>
      </c>
      <c r="O31" s="61" t="s">
        <v>284</v>
      </c>
      <c r="P31" s="2">
        <v>4.75</v>
      </c>
      <c r="Q31" s="2">
        <v>1.4</v>
      </c>
      <c r="R31" s="2">
        <v>2.5</v>
      </c>
      <c r="S31" s="2">
        <v>3</v>
      </c>
      <c r="T31" s="2">
        <v>6</v>
      </c>
      <c r="U31" s="2">
        <v>5</v>
      </c>
      <c r="V31" s="2">
        <v>1.3</v>
      </c>
      <c r="W31" s="2">
        <v>3</v>
      </c>
      <c r="X31" s="66"/>
      <c r="Y31" s="66"/>
      <c r="Z31" s="66"/>
      <c r="AA31" s="66"/>
      <c r="AB31" s="66"/>
      <c r="AC31" s="66"/>
      <c r="AD31" s="66"/>
      <c r="AF31" s="8">
        <f t="shared" si="6"/>
        <v>491.83199999999999</v>
      </c>
      <c r="AG31" s="63">
        <f t="shared" si="7"/>
        <v>1.9836640000000001</v>
      </c>
      <c r="AI31" s="8">
        <f t="shared" si="9"/>
        <v>16.700000000000003</v>
      </c>
      <c r="AJ31" s="8">
        <f t="shared" si="8"/>
        <v>1649</v>
      </c>
    </row>
    <row r="32" spans="1:36" ht="13.5" x14ac:dyDescent="0.15">
      <c r="A32" s="8">
        <v>8</v>
      </c>
      <c r="B32" s="51" t="s">
        <v>256</v>
      </c>
      <c r="C32" s="53" t="s">
        <v>285</v>
      </c>
      <c r="D32" s="2">
        <v>14</v>
      </c>
      <c r="E32" s="2">
        <v>25</v>
      </c>
      <c r="F32" s="2">
        <v>4</v>
      </c>
      <c r="G32" s="2">
        <v>4</v>
      </c>
      <c r="H32" s="2">
        <v>20</v>
      </c>
      <c r="I32" s="2">
        <v>5</v>
      </c>
      <c r="J32" s="2">
        <v>10</v>
      </c>
      <c r="K32" s="2">
        <v>10</v>
      </c>
      <c r="L32" s="8">
        <v>1679</v>
      </c>
      <c r="M32" s="8">
        <f>L32*2</f>
        <v>3358</v>
      </c>
      <c r="N32" s="60" t="s">
        <v>256</v>
      </c>
      <c r="O32" s="60" t="s">
        <v>285</v>
      </c>
      <c r="P32" s="2">
        <v>4.25</v>
      </c>
      <c r="Q32" s="2">
        <v>1.7</v>
      </c>
      <c r="R32" s="2">
        <v>2.5</v>
      </c>
      <c r="S32" s="2">
        <v>4</v>
      </c>
      <c r="T32" s="2">
        <v>6.5</v>
      </c>
      <c r="U32" s="2">
        <v>5</v>
      </c>
      <c r="V32" s="2">
        <v>1.3</v>
      </c>
      <c r="W32" s="2">
        <v>3</v>
      </c>
      <c r="X32" s="66"/>
      <c r="Y32" s="66"/>
      <c r="Z32" s="66"/>
      <c r="AA32" s="66"/>
      <c r="AB32" s="66"/>
      <c r="AC32" s="66"/>
      <c r="AD32" s="66"/>
      <c r="AF32" s="8">
        <f t="shared" si="6"/>
        <v>491.83199999999999</v>
      </c>
      <c r="AG32" s="63">
        <f t="shared" si="7"/>
        <v>1.9836640000000001</v>
      </c>
      <c r="AI32" s="8">
        <f t="shared" si="9"/>
        <v>17</v>
      </c>
      <c r="AJ32" s="8">
        <f t="shared" si="8"/>
        <v>1679</v>
      </c>
    </row>
    <row r="33" spans="1:36" ht="13.5" x14ac:dyDescent="0.15">
      <c r="A33" s="8">
        <v>9</v>
      </c>
      <c r="B33" s="52" t="s">
        <v>257</v>
      </c>
      <c r="C33" s="54" t="s">
        <v>286</v>
      </c>
      <c r="D33" s="2">
        <v>31</v>
      </c>
      <c r="E33" s="2">
        <v>4</v>
      </c>
      <c r="F33" s="2">
        <v>21</v>
      </c>
      <c r="G33" s="2">
        <v>21</v>
      </c>
      <c r="H33" s="2">
        <v>0</v>
      </c>
      <c r="I33" s="2">
        <v>1</v>
      </c>
      <c r="J33" s="2">
        <v>27</v>
      </c>
      <c r="K33" s="2">
        <v>13</v>
      </c>
      <c r="L33" s="8">
        <v>1846</v>
      </c>
      <c r="M33" s="8">
        <f>L33</f>
        <v>1846</v>
      </c>
      <c r="N33" s="61" t="s">
        <v>257</v>
      </c>
      <c r="O33" s="61" t="s">
        <v>286</v>
      </c>
      <c r="P33" s="2">
        <v>5.25</v>
      </c>
      <c r="Q33" s="2">
        <v>1.2</v>
      </c>
      <c r="R33" s="2">
        <v>4.5</v>
      </c>
      <c r="S33" s="2">
        <v>4</v>
      </c>
      <c r="T33" s="2">
        <v>4</v>
      </c>
      <c r="U33" s="2">
        <v>4</v>
      </c>
      <c r="V33" s="2">
        <v>3</v>
      </c>
      <c r="W33" s="2">
        <v>3</v>
      </c>
      <c r="X33" s="66"/>
      <c r="Y33" s="66"/>
      <c r="Z33" s="66"/>
      <c r="AA33" s="66"/>
      <c r="AB33" s="66"/>
      <c r="AC33" s="66"/>
      <c r="AD33" s="66"/>
      <c r="AF33" s="8">
        <f t="shared" si="6"/>
        <v>491.83199999999999</v>
      </c>
      <c r="AG33" s="63">
        <f t="shared" si="7"/>
        <v>1.9836640000000001</v>
      </c>
      <c r="AI33" s="8">
        <f t="shared" si="9"/>
        <v>18.7</v>
      </c>
      <c r="AJ33" s="8">
        <f t="shared" si="8"/>
        <v>1846</v>
      </c>
    </row>
    <row r="34" spans="1:36" ht="13.5" x14ac:dyDescent="0.15">
      <c r="A34" s="8">
        <v>10</v>
      </c>
      <c r="B34" s="51" t="s">
        <v>258</v>
      </c>
      <c r="C34" s="53" t="s">
        <v>280</v>
      </c>
      <c r="D34" s="2">
        <v>20</v>
      </c>
      <c r="E34" s="2">
        <v>5</v>
      </c>
      <c r="F34" s="2">
        <v>18</v>
      </c>
      <c r="G34" s="2">
        <v>10</v>
      </c>
      <c r="H34" s="2">
        <v>10</v>
      </c>
      <c r="I34" s="2">
        <v>5</v>
      </c>
      <c r="J34" s="2">
        <v>13</v>
      </c>
      <c r="K34" s="2">
        <v>12</v>
      </c>
      <c r="L34" s="8">
        <v>1827</v>
      </c>
      <c r="M34" s="8">
        <f>L34</f>
        <v>1827</v>
      </c>
      <c r="N34" s="60" t="s">
        <v>258</v>
      </c>
      <c r="O34" s="60" t="s">
        <v>280</v>
      </c>
      <c r="P34" s="2">
        <v>4</v>
      </c>
      <c r="Q34" s="2">
        <v>1</v>
      </c>
      <c r="R34" s="2">
        <v>6.5</v>
      </c>
      <c r="S34" s="2">
        <v>5</v>
      </c>
      <c r="T34" s="2">
        <v>2.5</v>
      </c>
      <c r="U34" s="2">
        <v>5</v>
      </c>
      <c r="V34" s="2">
        <v>4</v>
      </c>
      <c r="W34" s="2">
        <v>2.5</v>
      </c>
      <c r="X34" s="66"/>
      <c r="Y34" s="66"/>
      <c r="Z34" s="66"/>
      <c r="AA34" s="66"/>
      <c r="AB34" s="66"/>
      <c r="AC34" s="66"/>
      <c r="AD34" s="66"/>
      <c r="AF34" s="8">
        <f t="shared" si="6"/>
        <v>409.85999999999996</v>
      </c>
      <c r="AG34" s="63">
        <f t="shared" si="7"/>
        <v>1.8197199999999998</v>
      </c>
      <c r="AI34" s="8">
        <f t="shared" si="9"/>
        <v>18.5</v>
      </c>
      <c r="AJ34" s="8">
        <f t="shared" si="8"/>
        <v>1827</v>
      </c>
    </row>
    <row r="35" spans="1:36" ht="13.5" x14ac:dyDescent="0.15">
      <c r="A35" s="8">
        <v>11</v>
      </c>
      <c r="B35" s="52" t="s">
        <v>259</v>
      </c>
      <c r="C35" s="54" t="s">
        <v>287</v>
      </c>
      <c r="D35" s="2">
        <v>28</v>
      </c>
      <c r="E35" s="2">
        <v>16</v>
      </c>
      <c r="F35" s="2">
        <v>21</v>
      </c>
      <c r="G35" s="2">
        <v>13</v>
      </c>
      <c r="H35" s="2">
        <v>21</v>
      </c>
      <c r="I35" s="2">
        <v>4</v>
      </c>
      <c r="J35" s="2">
        <v>27</v>
      </c>
      <c r="K35" s="2">
        <v>13</v>
      </c>
      <c r="L35" s="8">
        <v>1669</v>
      </c>
      <c r="M35" s="8">
        <f>L35*2</f>
        <v>3338</v>
      </c>
      <c r="N35" s="61" t="s">
        <v>259</v>
      </c>
      <c r="O35" s="61" t="s">
        <v>287</v>
      </c>
      <c r="P35" s="2">
        <v>5</v>
      </c>
      <c r="Q35" s="2">
        <v>1.4</v>
      </c>
      <c r="R35" s="2">
        <v>4</v>
      </c>
      <c r="S35" s="2">
        <v>3</v>
      </c>
      <c r="T35" s="2">
        <v>5</v>
      </c>
      <c r="U35" s="2">
        <v>5</v>
      </c>
      <c r="V35" s="2">
        <v>2</v>
      </c>
      <c r="W35" s="2">
        <v>2</v>
      </c>
      <c r="X35" s="66"/>
      <c r="Y35" s="66"/>
      <c r="Z35" s="66"/>
      <c r="AA35" s="66"/>
      <c r="AB35" s="66"/>
      <c r="AC35" s="66"/>
      <c r="AD35" s="66"/>
      <c r="AF35" s="8">
        <f t="shared" si="6"/>
        <v>327.88799999999998</v>
      </c>
      <c r="AG35" s="63">
        <f t="shared" si="7"/>
        <v>1.6557759999999999</v>
      </c>
      <c r="AI35" s="8">
        <f t="shared" si="9"/>
        <v>16.899999999999999</v>
      </c>
      <c r="AJ35" s="8">
        <f t="shared" si="8"/>
        <v>1669</v>
      </c>
    </row>
    <row r="36" spans="1:36" ht="13.5" x14ac:dyDescent="0.15">
      <c r="A36" s="8">
        <v>12</v>
      </c>
      <c r="B36" s="51" t="s">
        <v>260</v>
      </c>
      <c r="C36" s="53" t="s">
        <v>288</v>
      </c>
      <c r="D36" s="2">
        <v>20</v>
      </c>
      <c r="E36" s="2">
        <v>5</v>
      </c>
      <c r="F36" s="2">
        <v>9</v>
      </c>
      <c r="G36" s="2">
        <v>9</v>
      </c>
      <c r="H36" s="2">
        <v>0</v>
      </c>
      <c r="I36" s="2">
        <v>1</v>
      </c>
      <c r="J36" s="2">
        <v>20</v>
      </c>
      <c r="K36" s="2">
        <v>20</v>
      </c>
      <c r="L36" s="8">
        <v>1851</v>
      </c>
      <c r="M36" s="8">
        <f>L36*2</f>
        <v>3702</v>
      </c>
      <c r="N36" s="60" t="s">
        <v>260</v>
      </c>
      <c r="O36" s="60" t="s">
        <v>288</v>
      </c>
      <c r="P36" s="2">
        <v>5</v>
      </c>
      <c r="Q36" s="2">
        <v>1</v>
      </c>
      <c r="R36" s="2">
        <v>5</v>
      </c>
      <c r="S36" s="2">
        <v>2</v>
      </c>
      <c r="T36" s="2">
        <v>3</v>
      </c>
      <c r="U36" s="2">
        <v>5</v>
      </c>
      <c r="V36" s="2">
        <v>2</v>
      </c>
      <c r="W36" s="2">
        <v>5</v>
      </c>
      <c r="X36" s="66"/>
      <c r="Y36" s="66"/>
      <c r="Z36" s="66"/>
      <c r="AA36" s="66"/>
      <c r="AB36" s="66"/>
      <c r="AC36" s="66"/>
      <c r="AD36" s="66"/>
      <c r="AF36" s="8">
        <f t="shared" si="6"/>
        <v>819.71999999999991</v>
      </c>
      <c r="AG36" s="63">
        <f t="shared" si="7"/>
        <v>2.6394399999999996</v>
      </c>
      <c r="AI36" s="8">
        <f t="shared" si="9"/>
        <v>18.75</v>
      </c>
      <c r="AJ36" s="8">
        <f t="shared" si="8"/>
        <v>1851</v>
      </c>
    </row>
    <row r="37" spans="1:36" ht="13.5" x14ac:dyDescent="0.15">
      <c r="A37" s="8">
        <v>13</v>
      </c>
      <c r="B37" s="52" t="s">
        <v>261</v>
      </c>
      <c r="C37" s="54" t="s">
        <v>289</v>
      </c>
      <c r="D37" s="2">
        <v>18</v>
      </c>
      <c r="E37" s="2">
        <v>0</v>
      </c>
      <c r="F37" s="2">
        <v>19</v>
      </c>
      <c r="G37" s="2">
        <v>10</v>
      </c>
      <c r="H37" s="2">
        <v>12</v>
      </c>
      <c r="I37" s="2">
        <v>4</v>
      </c>
      <c r="J37" s="2">
        <v>22</v>
      </c>
      <c r="K37" s="2">
        <v>13</v>
      </c>
      <c r="L37" s="8">
        <v>1669</v>
      </c>
      <c r="M37" s="8">
        <f>L37</f>
        <v>1669</v>
      </c>
      <c r="N37" s="61" t="s">
        <v>261</v>
      </c>
      <c r="O37" s="61" t="s">
        <v>289</v>
      </c>
      <c r="P37" s="2">
        <v>4.25</v>
      </c>
      <c r="Q37" s="2">
        <v>1</v>
      </c>
      <c r="R37" s="2">
        <v>6</v>
      </c>
      <c r="S37" s="2">
        <v>5</v>
      </c>
      <c r="T37" s="2">
        <v>2.5</v>
      </c>
      <c r="U37" s="2">
        <v>5</v>
      </c>
      <c r="V37" s="2">
        <v>3.2</v>
      </c>
      <c r="W37" s="2">
        <v>1.7</v>
      </c>
      <c r="X37" s="66"/>
      <c r="Y37" s="66"/>
      <c r="Z37" s="66"/>
      <c r="AA37" s="66"/>
      <c r="AB37" s="66"/>
      <c r="AC37" s="66"/>
      <c r="AD37" s="66"/>
      <c r="AF37" s="8">
        <f t="shared" si="6"/>
        <v>278.70479999999998</v>
      </c>
      <c r="AG37" s="63">
        <f t="shared" si="7"/>
        <v>1.5574095999999999</v>
      </c>
      <c r="AI37" s="8">
        <f t="shared" si="9"/>
        <v>16.899999999999999</v>
      </c>
      <c r="AJ37" s="8">
        <f t="shared" si="8"/>
        <v>1669</v>
      </c>
    </row>
    <row r="38" spans="1:36" ht="13.5" x14ac:dyDescent="0.15">
      <c r="A38" s="8">
        <v>14</v>
      </c>
      <c r="B38" s="51" t="s">
        <v>262</v>
      </c>
      <c r="C38" s="53" t="s">
        <v>290</v>
      </c>
      <c r="D38" s="2">
        <v>24</v>
      </c>
      <c r="E38" s="2">
        <v>2</v>
      </c>
      <c r="F38" s="2">
        <v>18</v>
      </c>
      <c r="G38" s="2">
        <v>11</v>
      </c>
      <c r="H38" s="2">
        <v>0</v>
      </c>
      <c r="I38" s="2">
        <v>1</v>
      </c>
      <c r="J38" s="2">
        <v>23</v>
      </c>
      <c r="K38" s="2">
        <v>11</v>
      </c>
      <c r="L38" s="8">
        <v>1797</v>
      </c>
      <c r="M38" s="8">
        <f>L38</f>
        <v>1797</v>
      </c>
      <c r="N38" s="60" t="s">
        <v>262</v>
      </c>
      <c r="O38" s="60" t="s">
        <v>290</v>
      </c>
      <c r="P38" s="2">
        <v>5</v>
      </c>
      <c r="Q38" s="2">
        <v>1.2</v>
      </c>
      <c r="R38" s="2">
        <v>5</v>
      </c>
      <c r="S38" s="2">
        <v>4</v>
      </c>
      <c r="T38" s="2">
        <v>3</v>
      </c>
      <c r="U38" s="2">
        <v>4</v>
      </c>
      <c r="V38" s="2">
        <v>3</v>
      </c>
      <c r="W38" s="2">
        <v>3</v>
      </c>
      <c r="X38" s="66"/>
      <c r="Y38" s="66"/>
      <c r="Z38" s="66"/>
      <c r="AA38" s="66"/>
      <c r="AB38" s="66"/>
      <c r="AC38" s="66"/>
      <c r="AD38" s="66"/>
      <c r="AF38" s="8">
        <f t="shared" si="6"/>
        <v>491.83199999999999</v>
      </c>
      <c r="AG38" s="63">
        <f t="shared" si="7"/>
        <v>1.9836640000000001</v>
      </c>
      <c r="AI38" s="8">
        <f t="shared" si="9"/>
        <v>18.2</v>
      </c>
      <c r="AJ38" s="8">
        <f t="shared" si="8"/>
        <v>1797</v>
      </c>
    </row>
    <row r="39" spans="1:36" ht="13.5" x14ac:dyDescent="0.15">
      <c r="A39" s="8">
        <v>15</v>
      </c>
      <c r="B39" s="52" t="s">
        <v>263</v>
      </c>
      <c r="C39" s="54" t="s">
        <v>291</v>
      </c>
      <c r="D39" s="2">
        <v>15</v>
      </c>
      <c r="E39" s="2">
        <v>10</v>
      </c>
      <c r="F39" s="2">
        <v>10</v>
      </c>
      <c r="G39" s="2">
        <v>9</v>
      </c>
      <c r="H39" s="2">
        <v>13</v>
      </c>
      <c r="I39" s="2">
        <v>2</v>
      </c>
      <c r="J39" s="2">
        <v>25</v>
      </c>
      <c r="K39" s="2">
        <v>15</v>
      </c>
      <c r="L39" s="8">
        <v>2241</v>
      </c>
      <c r="M39" s="8">
        <f>L39</f>
        <v>2241</v>
      </c>
      <c r="N39" s="61" t="s">
        <v>263</v>
      </c>
      <c r="O39" s="61" t="s">
        <v>291</v>
      </c>
      <c r="P39" s="2">
        <v>5</v>
      </c>
      <c r="Q39" s="2">
        <v>1.2</v>
      </c>
      <c r="R39" s="2">
        <v>3</v>
      </c>
      <c r="S39" s="2">
        <v>3</v>
      </c>
      <c r="T39" s="2">
        <v>3</v>
      </c>
      <c r="U39" s="2">
        <v>3</v>
      </c>
      <c r="V39" s="2">
        <v>6</v>
      </c>
      <c r="W39" s="2">
        <v>6</v>
      </c>
      <c r="X39" s="66"/>
      <c r="Y39" s="66"/>
      <c r="Z39" s="66"/>
      <c r="AA39" s="66"/>
      <c r="AB39" s="66"/>
      <c r="AC39" s="66"/>
      <c r="AD39" s="66"/>
      <c r="AF39" s="8">
        <f t="shared" si="6"/>
        <v>983.66399999999999</v>
      </c>
      <c r="AG39" s="63">
        <f t="shared" si="7"/>
        <v>2.9673280000000002</v>
      </c>
      <c r="AI39" s="8">
        <f t="shared" si="9"/>
        <v>22.7</v>
      </c>
      <c r="AJ39" s="8">
        <f t="shared" si="8"/>
        <v>2241</v>
      </c>
    </row>
    <row r="40" spans="1:36" ht="13.5" x14ac:dyDescent="0.15">
      <c r="A40" s="8">
        <v>16</v>
      </c>
      <c r="B40" s="51" t="s">
        <v>264</v>
      </c>
      <c r="C40" s="53" t="s">
        <v>292</v>
      </c>
      <c r="D40" s="2">
        <v>31</v>
      </c>
      <c r="E40" s="2">
        <v>21</v>
      </c>
      <c r="F40" s="2">
        <v>21</v>
      </c>
      <c r="G40" s="2">
        <v>21</v>
      </c>
      <c r="H40" s="2">
        <v>21</v>
      </c>
      <c r="I40" s="2">
        <v>3</v>
      </c>
      <c r="J40" s="2">
        <v>21</v>
      </c>
      <c r="K40" s="2">
        <v>16</v>
      </c>
      <c r="L40" s="8">
        <v>1767</v>
      </c>
      <c r="M40" s="8">
        <f>L40</f>
        <v>1767</v>
      </c>
      <c r="N40" s="60" t="s">
        <v>264</v>
      </c>
      <c r="O40" s="60" t="s">
        <v>292</v>
      </c>
      <c r="P40" s="2">
        <v>5</v>
      </c>
      <c r="Q40" s="2">
        <v>1.4</v>
      </c>
      <c r="R40" s="2">
        <v>4</v>
      </c>
      <c r="S40" s="2">
        <v>4</v>
      </c>
      <c r="T40" s="2">
        <v>5</v>
      </c>
      <c r="U40" s="2">
        <v>4</v>
      </c>
      <c r="V40" s="2">
        <v>2</v>
      </c>
      <c r="W40" s="2">
        <v>3</v>
      </c>
      <c r="X40" s="66"/>
      <c r="Y40" s="66"/>
      <c r="Z40" s="66"/>
      <c r="AA40" s="66"/>
      <c r="AB40" s="66"/>
      <c r="AC40" s="66"/>
      <c r="AD40" s="66"/>
      <c r="AF40" s="8">
        <f t="shared" si="6"/>
        <v>491.83199999999999</v>
      </c>
      <c r="AG40" s="63">
        <f t="shared" si="7"/>
        <v>1.9836640000000001</v>
      </c>
      <c r="AI40" s="8">
        <f t="shared" si="9"/>
        <v>17.899999999999999</v>
      </c>
      <c r="AJ40" s="8">
        <f t="shared" si="8"/>
        <v>1767</v>
      </c>
    </row>
    <row r="41" spans="1:36" ht="13.5" x14ac:dyDescent="0.15">
      <c r="A41" s="8">
        <v>17</v>
      </c>
      <c r="B41" s="52" t="s">
        <v>265</v>
      </c>
      <c r="C41" s="54" t="s">
        <v>293</v>
      </c>
      <c r="D41" s="2">
        <v>21</v>
      </c>
      <c r="E41" s="2">
        <v>10</v>
      </c>
      <c r="F41" s="2">
        <v>8</v>
      </c>
      <c r="G41" s="2">
        <v>8</v>
      </c>
      <c r="H41" s="2">
        <v>15</v>
      </c>
      <c r="I41" s="2">
        <v>3</v>
      </c>
      <c r="J41" s="2">
        <v>10</v>
      </c>
      <c r="K41" s="2">
        <v>8</v>
      </c>
      <c r="L41" s="8">
        <v>1767</v>
      </c>
      <c r="M41" s="8">
        <f>L41*2</f>
        <v>3534</v>
      </c>
      <c r="N41" s="61" t="s">
        <v>265</v>
      </c>
      <c r="O41" s="61" t="s">
        <v>293</v>
      </c>
      <c r="P41" s="2">
        <v>4.75</v>
      </c>
      <c r="Q41" s="2">
        <v>1.4</v>
      </c>
      <c r="R41" s="2">
        <v>2.5</v>
      </c>
      <c r="S41" s="2">
        <v>3</v>
      </c>
      <c r="T41" s="2">
        <v>5</v>
      </c>
      <c r="U41" s="2">
        <v>5</v>
      </c>
      <c r="V41" s="2">
        <v>2</v>
      </c>
      <c r="W41" s="2">
        <v>4</v>
      </c>
      <c r="X41" s="66"/>
      <c r="Y41" s="66"/>
      <c r="Z41" s="66"/>
      <c r="AA41" s="66"/>
      <c r="AB41" s="66"/>
      <c r="AC41" s="66"/>
      <c r="AD41" s="66"/>
      <c r="AF41" s="8">
        <f t="shared" si="6"/>
        <v>655.77599999999995</v>
      </c>
      <c r="AG41" s="63">
        <f t="shared" si="7"/>
        <v>2.3115519999999998</v>
      </c>
      <c r="AI41" s="8">
        <f t="shared" si="9"/>
        <v>17.899999999999999</v>
      </c>
      <c r="AJ41" s="8">
        <f t="shared" si="8"/>
        <v>1767</v>
      </c>
    </row>
    <row r="42" spans="1:36" ht="13.5" x14ac:dyDescent="0.15">
      <c r="A42" s="8">
        <v>18</v>
      </c>
      <c r="B42" s="51" t="s">
        <v>266</v>
      </c>
      <c r="C42" s="53" t="s">
        <v>294</v>
      </c>
      <c r="D42" s="2">
        <v>24</v>
      </c>
      <c r="E42" s="2">
        <v>14</v>
      </c>
      <c r="F42" s="2">
        <v>10</v>
      </c>
      <c r="G42" s="2">
        <v>14</v>
      </c>
      <c r="H42" s="2">
        <v>14</v>
      </c>
      <c r="I42" s="2">
        <v>5</v>
      </c>
      <c r="J42" s="2">
        <v>24</v>
      </c>
      <c r="K42" s="2">
        <v>24</v>
      </c>
      <c r="L42" s="8">
        <v>1945</v>
      </c>
      <c r="M42" s="8">
        <v>4325</v>
      </c>
      <c r="N42" s="60" t="s">
        <v>266</v>
      </c>
      <c r="O42" s="60" t="s">
        <v>294</v>
      </c>
      <c r="P42" s="2">
        <v>5</v>
      </c>
      <c r="Q42" s="2">
        <v>1.2</v>
      </c>
      <c r="R42" s="2">
        <v>6</v>
      </c>
      <c r="S42" s="2">
        <v>3</v>
      </c>
      <c r="T42" s="2">
        <v>4.5</v>
      </c>
      <c r="U42" s="2">
        <v>3</v>
      </c>
      <c r="V42" s="2">
        <v>3</v>
      </c>
      <c r="W42" s="2">
        <v>4</v>
      </c>
      <c r="X42" s="66"/>
      <c r="Y42" s="66"/>
      <c r="Z42" s="66"/>
      <c r="AA42" s="66"/>
      <c r="AB42" s="66"/>
      <c r="AC42" s="66"/>
      <c r="AD42" s="66"/>
      <c r="AF42" s="8">
        <f t="shared" si="6"/>
        <v>655.77599999999995</v>
      </c>
      <c r="AG42" s="63">
        <f t="shared" si="7"/>
        <v>2.3115519999999998</v>
      </c>
      <c r="AI42" s="8">
        <f t="shared" si="9"/>
        <v>19.95</v>
      </c>
      <c r="AJ42" s="8">
        <f t="shared" si="8"/>
        <v>1970</v>
      </c>
    </row>
    <row r="43" spans="1:36" ht="13.5" x14ac:dyDescent="0.15">
      <c r="A43" s="8">
        <v>19</v>
      </c>
      <c r="B43" s="52" t="s">
        <v>267</v>
      </c>
      <c r="C43" s="54" t="s">
        <v>295</v>
      </c>
      <c r="D43" s="2">
        <v>31</v>
      </c>
      <c r="E43" s="2">
        <v>4</v>
      </c>
      <c r="F43" s="2">
        <v>21</v>
      </c>
      <c r="G43" s="2">
        <v>21</v>
      </c>
      <c r="H43" s="2">
        <v>0</v>
      </c>
      <c r="I43" s="2">
        <v>1</v>
      </c>
      <c r="J43" s="2">
        <v>27</v>
      </c>
      <c r="K43" s="2">
        <v>13</v>
      </c>
      <c r="L43" s="8">
        <v>1920</v>
      </c>
      <c r="M43" s="8">
        <f>L43*2</f>
        <v>3840</v>
      </c>
      <c r="N43" s="61" t="s">
        <v>267</v>
      </c>
      <c r="O43" s="61" t="s">
        <v>295</v>
      </c>
      <c r="P43" s="2">
        <v>5</v>
      </c>
      <c r="Q43" s="2">
        <v>1.2</v>
      </c>
      <c r="R43" s="2">
        <v>5.5</v>
      </c>
      <c r="S43" s="2">
        <v>5</v>
      </c>
      <c r="T43" s="2">
        <v>3</v>
      </c>
      <c r="U43" s="2">
        <v>3</v>
      </c>
      <c r="V43" s="2">
        <v>4</v>
      </c>
      <c r="W43" s="2">
        <v>3</v>
      </c>
      <c r="X43" s="66"/>
      <c r="Y43" s="66"/>
      <c r="Z43" s="66"/>
      <c r="AA43" s="66"/>
      <c r="AB43" s="66"/>
      <c r="AC43" s="66"/>
      <c r="AD43" s="66"/>
      <c r="AF43" s="8">
        <f t="shared" si="6"/>
        <v>491.83199999999999</v>
      </c>
      <c r="AG43" s="63">
        <f t="shared" si="7"/>
        <v>1.9836640000000001</v>
      </c>
      <c r="AI43" s="8">
        <f t="shared" si="9"/>
        <v>19.45</v>
      </c>
      <c r="AJ43" s="8">
        <f t="shared" si="8"/>
        <v>1920</v>
      </c>
    </row>
    <row r="44" spans="1:36" ht="13.5" x14ac:dyDescent="0.15">
      <c r="A44" s="8">
        <v>20</v>
      </c>
      <c r="B44" s="51" t="s">
        <v>268</v>
      </c>
      <c r="C44" s="53" t="s">
        <v>292</v>
      </c>
      <c r="D44" s="2">
        <v>27</v>
      </c>
      <c r="E44" s="2">
        <v>33</v>
      </c>
      <c r="F44" s="2">
        <v>14</v>
      </c>
      <c r="G44" s="2">
        <v>12</v>
      </c>
      <c r="H44" s="2">
        <v>28</v>
      </c>
      <c r="I44" s="2">
        <v>3</v>
      </c>
      <c r="J44" s="2">
        <v>21</v>
      </c>
      <c r="K44" s="2">
        <v>16</v>
      </c>
      <c r="L44" s="8">
        <v>1743</v>
      </c>
      <c r="M44" s="8">
        <f>L44*2</f>
        <v>3486</v>
      </c>
      <c r="N44" s="60" t="s">
        <v>268</v>
      </c>
      <c r="O44" s="60" t="s">
        <v>292</v>
      </c>
      <c r="P44" s="2">
        <v>4.25</v>
      </c>
      <c r="Q44" s="2">
        <v>1.4</v>
      </c>
      <c r="R44" s="2">
        <v>5</v>
      </c>
      <c r="S44" s="2">
        <v>4</v>
      </c>
      <c r="T44" s="2">
        <v>5</v>
      </c>
      <c r="U44" s="2">
        <v>4</v>
      </c>
      <c r="V44" s="2">
        <v>3</v>
      </c>
      <c r="W44" s="2">
        <v>2</v>
      </c>
      <c r="X44" s="66"/>
      <c r="Y44" s="66"/>
      <c r="Z44" s="66"/>
      <c r="AA44" s="66"/>
      <c r="AB44" s="66"/>
      <c r="AC44" s="66"/>
      <c r="AD44" s="66"/>
      <c r="AF44" s="8">
        <f t="shared" si="6"/>
        <v>327.88799999999998</v>
      </c>
      <c r="AG44" s="63">
        <f t="shared" si="7"/>
        <v>1.6557759999999999</v>
      </c>
      <c r="AI44" s="8">
        <f t="shared" si="9"/>
        <v>17.649999999999999</v>
      </c>
      <c r="AJ44" s="8">
        <f t="shared" si="8"/>
        <v>1743</v>
      </c>
    </row>
    <row r="45" spans="1:36" ht="13.5" x14ac:dyDescent="0.15">
      <c r="A45" s="8">
        <v>21</v>
      </c>
      <c r="B45" s="52" t="s">
        <v>269</v>
      </c>
      <c r="C45" s="54" t="s">
        <v>296</v>
      </c>
      <c r="D45" s="2">
        <v>24</v>
      </c>
      <c r="E45" s="2">
        <v>6</v>
      </c>
      <c r="F45" s="2">
        <v>14</v>
      </c>
      <c r="G45" s="2">
        <v>20</v>
      </c>
      <c r="H45" s="2">
        <v>0</v>
      </c>
      <c r="I45" s="2">
        <v>1</v>
      </c>
      <c r="J45" s="2">
        <v>24</v>
      </c>
      <c r="K45" s="2">
        <v>24</v>
      </c>
      <c r="L45" s="8">
        <v>1920</v>
      </c>
      <c r="M45" s="8">
        <f>L45*2</f>
        <v>3840</v>
      </c>
      <c r="N45" s="61" t="s">
        <v>269</v>
      </c>
      <c r="O45" s="61" t="s">
        <v>296</v>
      </c>
      <c r="P45" s="2">
        <v>5</v>
      </c>
      <c r="Q45" s="2">
        <v>1.2</v>
      </c>
      <c r="R45" s="2">
        <v>5</v>
      </c>
      <c r="S45" s="2">
        <v>4</v>
      </c>
      <c r="T45" s="2">
        <v>3</v>
      </c>
      <c r="U45" s="2">
        <v>5</v>
      </c>
      <c r="V45" s="2">
        <v>2</v>
      </c>
      <c r="W45" s="2">
        <v>5</v>
      </c>
      <c r="X45" s="66"/>
      <c r="Y45" s="66"/>
      <c r="Z45" s="66"/>
      <c r="AA45" s="66"/>
      <c r="AB45" s="66"/>
      <c r="AC45" s="66"/>
      <c r="AD45" s="66"/>
      <c r="AF45" s="8">
        <f t="shared" si="6"/>
        <v>819.71999999999991</v>
      </c>
      <c r="AG45" s="63">
        <f t="shared" si="7"/>
        <v>2.6394399999999996</v>
      </c>
      <c r="AI45" s="8">
        <f t="shared" si="9"/>
        <v>19.45</v>
      </c>
      <c r="AJ45" s="8">
        <f t="shared" si="8"/>
        <v>1920</v>
      </c>
    </row>
    <row r="46" spans="1:36" ht="13.5" x14ac:dyDescent="0.15">
      <c r="A46" s="8">
        <v>22</v>
      </c>
      <c r="B46" s="51" t="s">
        <v>270</v>
      </c>
      <c r="C46" s="53" t="s">
        <v>297</v>
      </c>
      <c r="D46" s="2">
        <v>25</v>
      </c>
      <c r="E46" s="2">
        <v>12</v>
      </c>
      <c r="F46" s="2">
        <v>18</v>
      </c>
      <c r="G46" s="2">
        <v>6</v>
      </c>
      <c r="H46" s="2">
        <v>12</v>
      </c>
      <c r="I46" s="2">
        <v>12</v>
      </c>
      <c r="J46" s="2">
        <v>30</v>
      </c>
      <c r="K46" s="2">
        <v>21</v>
      </c>
      <c r="L46" s="8">
        <v>2192</v>
      </c>
      <c r="M46" s="8">
        <f>L46*2</f>
        <v>4384</v>
      </c>
      <c r="N46" s="60" t="s">
        <v>270</v>
      </c>
      <c r="O46" s="60" t="s">
        <v>297</v>
      </c>
      <c r="P46" s="2">
        <v>5</v>
      </c>
      <c r="Q46" s="2">
        <v>1.2</v>
      </c>
      <c r="R46" s="2">
        <v>2.5</v>
      </c>
      <c r="S46" s="2">
        <v>3</v>
      </c>
      <c r="T46" s="2">
        <v>3</v>
      </c>
      <c r="U46" s="2">
        <v>6</v>
      </c>
      <c r="V46" s="2">
        <v>5</v>
      </c>
      <c r="W46" s="2">
        <v>6</v>
      </c>
      <c r="X46" s="66"/>
      <c r="Y46" s="66"/>
      <c r="Z46" s="66"/>
      <c r="AA46" s="66"/>
      <c r="AB46" s="66"/>
      <c r="AC46" s="66"/>
      <c r="AD46" s="66"/>
      <c r="AF46" s="8">
        <f t="shared" si="6"/>
        <v>983.66399999999999</v>
      </c>
      <c r="AG46" s="63">
        <f t="shared" si="7"/>
        <v>2.9673280000000002</v>
      </c>
      <c r="AI46" s="8">
        <f t="shared" si="9"/>
        <v>22.2</v>
      </c>
      <c r="AJ46" s="8">
        <f t="shared" si="8"/>
        <v>2192</v>
      </c>
    </row>
    <row r="47" spans="1:36" ht="13.5" x14ac:dyDescent="0.15">
      <c r="A47" s="8">
        <v>23</v>
      </c>
      <c r="B47" s="52" t="s">
        <v>270</v>
      </c>
      <c r="C47" s="53" t="s">
        <v>297</v>
      </c>
      <c r="D47" s="2">
        <v>25</v>
      </c>
      <c r="E47" s="2">
        <v>12</v>
      </c>
      <c r="F47" s="2">
        <v>12</v>
      </c>
      <c r="G47" s="2">
        <v>12</v>
      </c>
      <c r="H47" s="2">
        <v>18</v>
      </c>
      <c r="I47" s="2">
        <v>6</v>
      </c>
      <c r="J47" s="2">
        <v>21</v>
      </c>
      <c r="K47" s="2">
        <v>30</v>
      </c>
      <c r="L47" s="8">
        <v>2192</v>
      </c>
      <c r="M47" s="8">
        <f>L47*2</f>
        <v>4384</v>
      </c>
      <c r="N47" s="61" t="s">
        <v>270</v>
      </c>
      <c r="O47" s="60" t="s">
        <v>297</v>
      </c>
      <c r="P47" s="2">
        <v>5</v>
      </c>
      <c r="Q47" s="2">
        <v>1.2</v>
      </c>
      <c r="R47" s="2">
        <v>3</v>
      </c>
      <c r="S47" s="2">
        <v>3</v>
      </c>
      <c r="T47" s="2">
        <v>2.5</v>
      </c>
      <c r="U47" s="2">
        <v>6</v>
      </c>
      <c r="V47" s="2">
        <v>6</v>
      </c>
      <c r="W47" s="2">
        <v>5</v>
      </c>
      <c r="X47" s="66"/>
      <c r="Y47" s="66"/>
      <c r="Z47" s="66"/>
      <c r="AA47" s="66"/>
      <c r="AB47" s="66"/>
      <c r="AC47" s="66"/>
      <c r="AD47" s="66"/>
      <c r="AF47" s="8">
        <f t="shared" si="6"/>
        <v>819.71999999999991</v>
      </c>
      <c r="AG47" s="63">
        <f t="shared" si="7"/>
        <v>2.6394399999999996</v>
      </c>
      <c r="AI47" s="8">
        <f t="shared" si="9"/>
        <v>22.2</v>
      </c>
      <c r="AJ47" s="8">
        <f t="shared" si="8"/>
        <v>2192</v>
      </c>
    </row>
    <row r="48" spans="1:36" ht="13.5" x14ac:dyDescent="0.15">
      <c r="A48" s="8">
        <v>24</v>
      </c>
      <c r="B48" s="51" t="s">
        <v>271</v>
      </c>
      <c r="C48" s="53" t="s">
        <v>298</v>
      </c>
      <c r="D48" s="2">
        <v>16</v>
      </c>
      <c r="E48" s="2">
        <v>9</v>
      </c>
      <c r="F48" s="2">
        <v>10</v>
      </c>
      <c r="G48" s="2">
        <v>10</v>
      </c>
      <c r="H48" s="2">
        <v>8</v>
      </c>
      <c r="I48" s="2">
        <v>5</v>
      </c>
      <c r="J48" s="2">
        <v>18</v>
      </c>
      <c r="K48" s="2">
        <v>18</v>
      </c>
      <c r="L48" s="8">
        <v>2834</v>
      </c>
      <c r="M48" s="8">
        <f>L48</f>
        <v>2834</v>
      </c>
      <c r="N48" s="60" t="s">
        <v>271</v>
      </c>
      <c r="O48" s="60" t="s">
        <v>298</v>
      </c>
      <c r="P48" s="2">
        <v>4</v>
      </c>
      <c r="Q48" s="2">
        <v>1.2</v>
      </c>
      <c r="R48" s="2">
        <v>4</v>
      </c>
      <c r="S48" s="2">
        <v>3</v>
      </c>
      <c r="T48" s="2">
        <v>4</v>
      </c>
      <c r="U48" s="2">
        <v>3</v>
      </c>
      <c r="V48" s="2">
        <v>8</v>
      </c>
      <c r="W48" s="2">
        <v>10</v>
      </c>
      <c r="X48" s="66"/>
      <c r="Y48" s="66"/>
      <c r="Z48" s="66"/>
      <c r="AA48" s="66"/>
      <c r="AB48" s="66"/>
      <c r="AC48" s="66"/>
      <c r="AD48" s="66"/>
      <c r="AF48" s="8">
        <f t="shared" si="6"/>
        <v>1639.4399999999998</v>
      </c>
      <c r="AG48" s="63">
        <f t="shared" si="7"/>
        <v>4.2788799999999991</v>
      </c>
      <c r="AI48" s="8">
        <f t="shared" si="9"/>
        <v>28.7</v>
      </c>
      <c r="AJ48" s="8">
        <f t="shared" si="8"/>
        <v>2834</v>
      </c>
    </row>
    <row r="49" spans="1:36" ht="13.5" x14ac:dyDescent="0.15">
      <c r="A49" s="8">
        <v>25</v>
      </c>
      <c r="B49" s="52" t="s">
        <v>272</v>
      </c>
      <c r="C49" s="54" t="s">
        <v>299</v>
      </c>
      <c r="D49" s="2">
        <v>22</v>
      </c>
      <c r="E49" s="2">
        <v>21</v>
      </c>
      <c r="F49" s="2">
        <v>10</v>
      </c>
      <c r="G49" s="2">
        <v>10</v>
      </c>
      <c r="H49" s="2">
        <v>21</v>
      </c>
      <c r="I49" s="2">
        <v>4</v>
      </c>
      <c r="J49" s="2">
        <v>21</v>
      </c>
      <c r="K49" s="2">
        <v>16</v>
      </c>
      <c r="L49" s="8">
        <v>1753</v>
      </c>
      <c r="M49" s="8">
        <f>L49*2</f>
        <v>3506</v>
      </c>
      <c r="N49" s="61" t="s">
        <v>272</v>
      </c>
      <c r="O49" s="61" t="s">
        <v>299</v>
      </c>
      <c r="P49" s="2">
        <v>4.5</v>
      </c>
      <c r="Q49" s="2">
        <v>1.5</v>
      </c>
      <c r="R49" s="2">
        <v>3</v>
      </c>
      <c r="S49" s="2">
        <v>4</v>
      </c>
      <c r="T49" s="2">
        <v>6</v>
      </c>
      <c r="U49" s="2">
        <v>5</v>
      </c>
      <c r="V49" s="2">
        <v>2</v>
      </c>
      <c r="W49" s="2">
        <v>3</v>
      </c>
      <c r="X49" s="66"/>
      <c r="Y49" s="66"/>
      <c r="Z49" s="66"/>
      <c r="AA49" s="66"/>
      <c r="AB49" s="66"/>
      <c r="AC49" s="66"/>
      <c r="AD49" s="66"/>
      <c r="AF49" s="8">
        <f t="shared" si="6"/>
        <v>491.83199999999999</v>
      </c>
      <c r="AG49" s="63">
        <f t="shared" si="7"/>
        <v>1.9836640000000001</v>
      </c>
      <c r="AI49" s="8">
        <f t="shared" si="9"/>
        <v>17.75</v>
      </c>
      <c r="AJ49" s="8">
        <f t="shared" si="8"/>
        <v>1753</v>
      </c>
    </row>
    <row r="50" spans="1:36" ht="13.5" x14ac:dyDescent="0.15">
      <c r="A50" s="8">
        <v>26</v>
      </c>
      <c r="B50" s="51" t="s">
        <v>273</v>
      </c>
      <c r="C50" s="53" t="s">
        <v>300</v>
      </c>
      <c r="D50" s="2">
        <v>25</v>
      </c>
      <c r="E50" s="2">
        <v>12</v>
      </c>
      <c r="F50" s="2">
        <v>12</v>
      </c>
      <c r="G50" s="2">
        <v>12</v>
      </c>
      <c r="H50" s="2">
        <v>18</v>
      </c>
      <c r="I50" s="2">
        <v>6</v>
      </c>
      <c r="J50" s="2">
        <v>30</v>
      </c>
      <c r="K50" s="2">
        <v>21</v>
      </c>
      <c r="L50" s="8">
        <v>2192</v>
      </c>
      <c r="M50" s="8">
        <f>L50*2</f>
        <v>4384</v>
      </c>
      <c r="N50" s="60" t="s">
        <v>273</v>
      </c>
      <c r="O50" s="60" t="s">
        <v>300</v>
      </c>
      <c r="P50" s="2">
        <v>4.5</v>
      </c>
      <c r="Q50" s="2">
        <v>1.2</v>
      </c>
      <c r="R50" s="2">
        <v>2.5</v>
      </c>
      <c r="S50" s="2">
        <v>3</v>
      </c>
      <c r="T50" s="2">
        <v>4</v>
      </c>
      <c r="U50" s="2">
        <v>6</v>
      </c>
      <c r="V50" s="2">
        <v>6</v>
      </c>
      <c r="W50" s="2">
        <v>5</v>
      </c>
      <c r="X50" s="66"/>
      <c r="Y50" s="66"/>
      <c r="Z50" s="66"/>
      <c r="AA50" s="66"/>
      <c r="AB50" s="66"/>
      <c r="AC50" s="66"/>
      <c r="AD50" s="66"/>
      <c r="AF50" s="8">
        <f t="shared" si="6"/>
        <v>819.71999999999991</v>
      </c>
      <c r="AG50" s="63">
        <f t="shared" si="7"/>
        <v>2.6394399999999996</v>
      </c>
      <c r="AI50" s="8">
        <f t="shared" si="9"/>
        <v>22.2</v>
      </c>
      <c r="AJ50" s="8">
        <f t="shared" si="8"/>
        <v>2192</v>
      </c>
    </row>
    <row r="51" spans="1:36" ht="13.5" x14ac:dyDescent="0.15">
      <c r="A51" s="8">
        <v>27</v>
      </c>
      <c r="B51" s="52" t="s">
        <v>274</v>
      </c>
      <c r="C51" s="53" t="s">
        <v>300</v>
      </c>
      <c r="D51" s="2">
        <v>25</v>
      </c>
      <c r="E51" s="2">
        <v>12</v>
      </c>
      <c r="F51" s="2">
        <v>10</v>
      </c>
      <c r="G51" s="2">
        <v>12</v>
      </c>
      <c r="H51" s="2">
        <v>25</v>
      </c>
      <c r="I51" s="2">
        <v>22</v>
      </c>
      <c r="J51" s="2">
        <v>16</v>
      </c>
      <c r="K51" s="2">
        <v>21</v>
      </c>
      <c r="L51" s="8">
        <v>2192</v>
      </c>
      <c r="M51" s="8">
        <f>L51*2</f>
        <v>4384</v>
      </c>
      <c r="N51" s="61" t="s">
        <v>274</v>
      </c>
      <c r="O51" s="60" t="s">
        <v>300</v>
      </c>
      <c r="P51" s="2">
        <v>4.5</v>
      </c>
      <c r="Q51" s="2">
        <v>1.2</v>
      </c>
      <c r="R51" s="2">
        <v>3</v>
      </c>
      <c r="S51" s="2">
        <v>2</v>
      </c>
      <c r="T51" s="2">
        <v>3</v>
      </c>
      <c r="U51" s="2">
        <v>8</v>
      </c>
      <c r="V51" s="2">
        <v>5</v>
      </c>
      <c r="W51" s="2">
        <v>6</v>
      </c>
      <c r="X51" s="66"/>
      <c r="Y51" s="66"/>
      <c r="Z51" s="66"/>
      <c r="AA51" s="66"/>
      <c r="AB51" s="66"/>
      <c r="AC51" s="66"/>
      <c r="AD51" s="66"/>
      <c r="AF51" s="8">
        <f t="shared" si="6"/>
        <v>983.66399999999999</v>
      </c>
      <c r="AG51" s="63">
        <f t="shared" si="7"/>
        <v>2.9673280000000002</v>
      </c>
      <c r="AI51" s="8">
        <f t="shared" si="9"/>
        <v>22.2</v>
      </c>
      <c r="AJ51" s="8">
        <f t="shared" si="8"/>
        <v>2192</v>
      </c>
    </row>
    <row r="52" spans="1:36" ht="13.5" x14ac:dyDescent="0.15">
      <c r="A52" s="8">
        <v>28</v>
      </c>
      <c r="B52" s="51" t="s">
        <v>275</v>
      </c>
      <c r="C52" s="53" t="s">
        <v>301</v>
      </c>
      <c r="D52" s="2">
        <v>22</v>
      </c>
      <c r="E52" s="2">
        <v>15</v>
      </c>
      <c r="F52" s="2">
        <v>21</v>
      </c>
      <c r="G52" s="2">
        <v>21</v>
      </c>
      <c r="H52" s="2">
        <v>24</v>
      </c>
      <c r="I52" s="2">
        <v>18</v>
      </c>
      <c r="J52" s="2">
        <v>21</v>
      </c>
      <c r="K52" s="2">
        <v>16</v>
      </c>
      <c r="L52" s="8">
        <v>1718</v>
      </c>
      <c r="M52" s="8">
        <f>L52*2</f>
        <v>3436</v>
      </c>
      <c r="N52" s="60" t="s">
        <v>275</v>
      </c>
      <c r="O52" s="60" t="s">
        <v>301</v>
      </c>
      <c r="P52" s="2">
        <v>4.5</v>
      </c>
      <c r="Q52" s="2">
        <v>1.4</v>
      </c>
      <c r="R52" s="2">
        <v>4</v>
      </c>
      <c r="S52" s="2">
        <v>4</v>
      </c>
      <c r="T52" s="2">
        <v>5</v>
      </c>
      <c r="U52" s="2">
        <v>4</v>
      </c>
      <c r="V52" s="2">
        <v>3</v>
      </c>
      <c r="W52" s="2">
        <v>2</v>
      </c>
      <c r="X52" s="66"/>
      <c r="Y52" s="66"/>
      <c r="Z52" s="66"/>
      <c r="AA52" s="66"/>
      <c r="AB52" s="66"/>
      <c r="AC52" s="66"/>
      <c r="AD52" s="66"/>
      <c r="AF52" s="8">
        <f t="shared" si="6"/>
        <v>327.88799999999998</v>
      </c>
      <c r="AG52" s="63">
        <f t="shared" si="7"/>
        <v>1.6557759999999999</v>
      </c>
      <c r="AI52" s="8">
        <f t="shared" si="9"/>
        <v>17.399999999999999</v>
      </c>
      <c r="AJ52" s="8">
        <f t="shared" si="8"/>
        <v>1718</v>
      </c>
    </row>
    <row r="53" spans="1:36" ht="13.5" x14ac:dyDescent="0.15">
      <c r="A53" s="8">
        <v>29</v>
      </c>
      <c r="B53" s="52" t="s">
        <v>276</v>
      </c>
      <c r="C53" s="54" t="s">
        <v>302</v>
      </c>
      <c r="D53" s="2">
        <v>27</v>
      </c>
      <c r="E53" s="2">
        <v>4</v>
      </c>
      <c r="F53" s="2">
        <v>21</v>
      </c>
      <c r="G53" s="2">
        <v>19</v>
      </c>
      <c r="H53" s="2">
        <v>5</v>
      </c>
      <c r="I53" s="2">
        <v>3</v>
      </c>
      <c r="J53" s="2">
        <v>27</v>
      </c>
      <c r="K53" s="2">
        <v>13</v>
      </c>
      <c r="L53" s="8">
        <v>1920</v>
      </c>
      <c r="M53" s="8">
        <f>L53*2</f>
        <v>3840</v>
      </c>
      <c r="N53" s="61" t="s">
        <v>276</v>
      </c>
      <c r="O53" s="61" t="s">
        <v>302</v>
      </c>
      <c r="P53" s="2">
        <v>5</v>
      </c>
      <c r="Q53" s="2">
        <v>1.2</v>
      </c>
      <c r="R53" s="2">
        <v>5.5</v>
      </c>
      <c r="S53" s="2">
        <v>5</v>
      </c>
      <c r="T53" s="2">
        <v>3</v>
      </c>
      <c r="U53" s="2">
        <v>3</v>
      </c>
      <c r="V53" s="2">
        <v>4</v>
      </c>
      <c r="W53" s="2">
        <v>3</v>
      </c>
      <c r="X53" s="66"/>
      <c r="Y53" s="66"/>
      <c r="Z53" s="66"/>
      <c r="AA53" s="66"/>
      <c r="AB53" s="66"/>
      <c r="AC53" s="66"/>
      <c r="AD53" s="66"/>
      <c r="AF53" s="8">
        <f t="shared" si="6"/>
        <v>491.83199999999999</v>
      </c>
      <c r="AG53" s="63">
        <f t="shared" si="7"/>
        <v>1.9836640000000001</v>
      </c>
      <c r="AI53" s="8">
        <f t="shared" si="9"/>
        <v>19.45</v>
      </c>
      <c r="AJ53" s="8">
        <f t="shared" si="8"/>
        <v>1920</v>
      </c>
    </row>
    <row r="54" spans="1:36" ht="13.5" x14ac:dyDescent="0.15">
      <c r="A54" s="8">
        <v>30</v>
      </c>
      <c r="B54" s="51" t="s">
        <v>277</v>
      </c>
      <c r="C54" s="53" t="s">
        <v>303</v>
      </c>
      <c r="D54" s="2">
        <v>30</v>
      </c>
      <c r="E54" s="2">
        <v>3</v>
      </c>
      <c r="F54" s="2">
        <v>18</v>
      </c>
      <c r="G54" s="2">
        <v>16</v>
      </c>
      <c r="H54" s="2">
        <v>0</v>
      </c>
      <c r="I54" s="2">
        <v>1</v>
      </c>
      <c r="J54" s="2">
        <v>17</v>
      </c>
      <c r="K54" s="2">
        <v>15</v>
      </c>
      <c r="L54" s="8">
        <v>1120</v>
      </c>
      <c r="M54" s="8">
        <v>400</v>
      </c>
      <c r="N54" s="60" t="s">
        <v>277</v>
      </c>
      <c r="O54" s="60" t="s">
        <v>303</v>
      </c>
      <c r="P54" s="2">
        <v>4.1999999999999993</v>
      </c>
      <c r="Q54" s="2">
        <v>0.84</v>
      </c>
      <c r="R54" s="2">
        <v>3.15</v>
      </c>
      <c r="S54" s="2">
        <v>0.7</v>
      </c>
      <c r="T54" s="2">
        <v>3.15</v>
      </c>
      <c r="U54" s="2">
        <v>0.7</v>
      </c>
      <c r="V54" s="2">
        <v>1.4</v>
      </c>
      <c r="W54" s="2">
        <v>1.4</v>
      </c>
      <c r="X54" s="66"/>
      <c r="Y54" s="66"/>
      <c r="Z54" s="66"/>
      <c r="AA54" s="66"/>
      <c r="AB54" s="66"/>
      <c r="AC54" s="66"/>
      <c r="AD54" s="66"/>
      <c r="AF54" s="8">
        <f t="shared" si="6"/>
        <v>229.52159999999998</v>
      </c>
      <c r="AG54" s="63">
        <f t="shared" si="7"/>
        <v>1.4590432</v>
      </c>
      <c r="AI54" s="8">
        <f t="shared" si="9"/>
        <v>11.34</v>
      </c>
      <c r="AJ54" s="8">
        <f t="shared" si="8"/>
        <v>1120</v>
      </c>
    </row>
    <row r="55" spans="1:36" ht="13.5" x14ac:dyDescent="0.15">
      <c r="A55" s="8">
        <v>31</v>
      </c>
      <c r="B55" s="52" t="s">
        <v>278</v>
      </c>
      <c r="C55" s="54" t="s">
        <v>303</v>
      </c>
      <c r="D55" s="2">
        <v>27</v>
      </c>
      <c r="E55" s="2">
        <v>3</v>
      </c>
      <c r="F55" s="2">
        <v>18</v>
      </c>
      <c r="G55" s="2">
        <v>16</v>
      </c>
      <c r="H55" s="2">
        <v>0</v>
      </c>
      <c r="I55" s="2">
        <v>1</v>
      </c>
      <c r="J55" s="2">
        <v>17</v>
      </c>
      <c r="K55" s="2">
        <v>15</v>
      </c>
      <c r="L55" s="8">
        <v>1120</v>
      </c>
      <c r="M55" s="8">
        <f>800</f>
        <v>800</v>
      </c>
      <c r="N55" s="61" t="s">
        <v>278</v>
      </c>
      <c r="O55" s="61" t="s">
        <v>303</v>
      </c>
      <c r="P55" s="2">
        <f>P26*0.7</f>
        <v>3.5</v>
      </c>
      <c r="Q55" s="2">
        <f t="shared" ref="Q55:W55" si="10">Q26*0.7</f>
        <v>0.84</v>
      </c>
      <c r="R55" s="2">
        <f t="shared" si="10"/>
        <v>2.8</v>
      </c>
      <c r="S55" s="2">
        <f t="shared" si="10"/>
        <v>2.8</v>
      </c>
      <c r="T55" s="2">
        <f t="shared" si="10"/>
        <v>2.8</v>
      </c>
      <c r="U55" s="2">
        <f t="shared" si="10"/>
        <v>2.8</v>
      </c>
      <c r="V55" s="2">
        <f t="shared" si="10"/>
        <v>1.4</v>
      </c>
      <c r="W55" s="2">
        <f t="shared" si="10"/>
        <v>1.4</v>
      </c>
      <c r="X55" s="66"/>
      <c r="Y55" s="66"/>
      <c r="Z55" s="66"/>
      <c r="AA55" s="66"/>
      <c r="AB55" s="66"/>
      <c r="AC55" s="66"/>
      <c r="AD55" s="66"/>
      <c r="AF55" s="8">
        <f t="shared" si="6"/>
        <v>229.52159999999998</v>
      </c>
      <c r="AG55" s="63">
        <f t="shared" si="7"/>
        <v>1.4590432</v>
      </c>
      <c r="AI55" s="8">
        <f t="shared" si="9"/>
        <v>11.340000000000002</v>
      </c>
      <c r="AJ55" s="8">
        <f t="shared" si="8"/>
        <v>1120</v>
      </c>
    </row>
    <row r="56" spans="1:36" x14ac:dyDescent="0.15">
      <c r="B56" s="8" t="s">
        <v>250</v>
      </c>
      <c r="C56" s="8" t="s">
        <v>283</v>
      </c>
      <c r="D56" s="2">
        <f>INT(D26*3)</f>
        <v>78</v>
      </c>
      <c r="E56" s="2">
        <f t="shared" ref="E56:H56" si="11">INT(E26*3)</f>
        <v>12</v>
      </c>
      <c r="F56" s="2">
        <f t="shared" si="11"/>
        <v>54</v>
      </c>
      <c r="G56" s="2">
        <f t="shared" si="11"/>
        <v>54</v>
      </c>
      <c r="H56" s="2">
        <f t="shared" si="11"/>
        <v>0</v>
      </c>
      <c r="I56" s="2">
        <f>INT(I26*3)</f>
        <v>3</v>
      </c>
      <c r="J56" s="2">
        <f t="shared" ref="J56:K56" si="12">INT(J26*1.5)</f>
        <v>6</v>
      </c>
      <c r="K56" s="2">
        <f t="shared" si="12"/>
        <v>7</v>
      </c>
      <c r="N56" s="8" t="s">
        <v>250</v>
      </c>
      <c r="O56" s="8" t="s">
        <v>317</v>
      </c>
      <c r="P56" s="2">
        <f>P26*1.5</f>
        <v>7.5</v>
      </c>
      <c r="Q56" s="2">
        <f t="shared" ref="Q56:W56" si="13">Q26*1.5</f>
        <v>1.7999999999999998</v>
      </c>
      <c r="R56" s="2">
        <f t="shared" si="13"/>
        <v>6</v>
      </c>
      <c r="S56" s="2">
        <f t="shared" si="13"/>
        <v>6</v>
      </c>
      <c r="T56" s="2">
        <f t="shared" si="13"/>
        <v>6</v>
      </c>
      <c r="U56" s="2">
        <f t="shared" si="13"/>
        <v>6</v>
      </c>
      <c r="V56" s="2">
        <f t="shared" si="13"/>
        <v>3</v>
      </c>
      <c r="W56" s="2">
        <f t="shared" si="13"/>
        <v>3</v>
      </c>
      <c r="AI56" s="8">
        <f t="shared" si="9"/>
        <v>24.3</v>
      </c>
    </row>
    <row r="57" spans="1:36" x14ac:dyDescent="0.15">
      <c r="B57" s="8" t="s">
        <v>251</v>
      </c>
      <c r="C57" s="8" t="s">
        <v>32</v>
      </c>
      <c r="D57" s="2">
        <f>INT(D27*3)</f>
        <v>54</v>
      </c>
      <c r="E57" s="2">
        <f t="shared" ref="E57:I57" si="14">INT(E27*3)</f>
        <v>54</v>
      </c>
      <c r="F57" s="2">
        <f t="shared" si="14"/>
        <v>12</v>
      </c>
      <c r="G57" s="2">
        <f t="shared" si="14"/>
        <v>12</v>
      </c>
      <c r="H57" s="2">
        <f t="shared" si="14"/>
        <v>54</v>
      </c>
      <c r="I57" s="2">
        <f t="shared" si="14"/>
        <v>6</v>
      </c>
      <c r="J57" s="2">
        <f t="shared" ref="J57:K57" si="15">INT(J27*1.5)</f>
        <v>27</v>
      </c>
      <c r="K57" s="2">
        <f t="shared" si="15"/>
        <v>21</v>
      </c>
      <c r="N57" s="8" t="s">
        <v>251</v>
      </c>
      <c r="O57" s="8" t="s">
        <v>292</v>
      </c>
      <c r="P57" s="2">
        <f t="shared" ref="P57:W57" si="16">P27*1.5</f>
        <v>6.375</v>
      </c>
      <c r="Q57" s="2">
        <f t="shared" si="16"/>
        <v>2.5499999999999998</v>
      </c>
      <c r="R57" s="2">
        <f t="shared" si="16"/>
        <v>3.75</v>
      </c>
      <c r="S57" s="2">
        <f t="shared" si="16"/>
        <v>6</v>
      </c>
      <c r="T57" s="2">
        <f t="shared" si="16"/>
        <v>9.75</v>
      </c>
      <c r="U57" s="2">
        <f t="shared" si="16"/>
        <v>7.5</v>
      </c>
      <c r="V57" s="2">
        <f t="shared" si="16"/>
        <v>1.9500000000000002</v>
      </c>
      <c r="W57" s="2">
        <f t="shared" si="16"/>
        <v>4.5</v>
      </c>
      <c r="AI57" s="8">
        <f t="shared" si="9"/>
        <v>25.5</v>
      </c>
    </row>
    <row r="58" spans="1:36" x14ac:dyDescent="0.15">
      <c r="B58" s="8" t="s">
        <v>252</v>
      </c>
      <c r="C58" s="8" t="s">
        <v>280</v>
      </c>
      <c r="D58" s="2">
        <f>INT(D28*3)</f>
        <v>51</v>
      </c>
      <c r="E58" s="2">
        <f t="shared" ref="E58:I58" si="17">INT(E28*3)</f>
        <v>0</v>
      </c>
      <c r="F58" s="2">
        <f t="shared" si="17"/>
        <v>66</v>
      </c>
      <c r="G58" s="2">
        <f t="shared" si="17"/>
        <v>6</v>
      </c>
      <c r="H58" s="2">
        <f t="shared" si="17"/>
        <v>0</v>
      </c>
      <c r="I58" s="2">
        <f t="shared" si="17"/>
        <v>15</v>
      </c>
      <c r="J58" s="2">
        <f t="shared" ref="J58:K58" si="18">INT(J28*1.5)</f>
        <v>22</v>
      </c>
      <c r="K58" s="2">
        <f t="shared" si="18"/>
        <v>22</v>
      </c>
      <c r="N58" s="8" t="s">
        <v>252</v>
      </c>
      <c r="O58" s="8" t="s">
        <v>319</v>
      </c>
      <c r="P58" s="2">
        <f t="shared" ref="P58:W58" si="19">P28*1.5</f>
        <v>6.375</v>
      </c>
      <c r="Q58" s="2">
        <f t="shared" si="19"/>
        <v>1.5</v>
      </c>
      <c r="R58" s="2">
        <f t="shared" si="19"/>
        <v>9</v>
      </c>
      <c r="S58" s="2">
        <f t="shared" si="19"/>
        <v>7.5</v>
      </c>
      <c r="T58" s="2">
        <f t="shared" si="19"/>
        <v>3.75</v>
      </c>
      <c r="U58" s="2">
        <f t="shared" si="19"/>
        <v>7.5</v>
      </c>
      <c r="V58" s="2">
        <f t="shared" si="19"/>
        <v>4.8000000000000007</v>
      </c>
      <c r="W58" s="2">
        <f t="shared" si="19"/>
        <v>2.5499999999999998</v>
      </c>
      <c r="AI58" s="8">
        <f t="shared" si="9"/>
        <v>25.35</v>
      </c>
    </row>
    <row r="59" spans="1:36" x14ac:dyDescent="0.15">
      <c r="B59" s="8" t="s">
        <v>314</v>
      </c>
      <c r="C59" s="8" t="s">
        <v>317</v>
      </c>
      <c r="D59" s="2">
        <f>INT(D43*3)</f>
        <v>93</v>
      </c>
      <c r="E59" s="2">
        <f t="shared" ref="E59:I59" si="20">INT(E43*3)</f>
        <v>12</v>
      </c>
      <c r="F59" s="2">
        <f t="shared" si="20"/>
        <v>63</v>
      </c>
      <c r="G59" s="2">
        <f t="shared" si="20"/>
        <v>63</v>
      </c>
      <c r="H59" s="2">
        <f t="shared" si="20"/>
        <v>0</v>
      </c>
      <c r="I59" s="2">
        <f t="shared" si="20"/>
        <v>3</v>
      </c>
      <c r="J59" s="2">
        <f t="shared" ref="J59:K59" si="21">INT(J43*1.5)</f>
        <v>40</v>
      </c>
      <c r="K59" s="2">
        <f t="shared" si="21"/>
        <v>19</v>
      </c>
      <c r="N59" s="8" t="s">
        <v>314</v>
      </c>
      <c r="O59" s="8" t="s">
        <v>317</v>
      </c>
      <c r="P59" s="2">
        <f>P43*1.5</f>
        <v>7.5</v>
      </c>
      <c r="Q59" s="2">
        <f t="shared" ref="Q59:V59" si="22">Q43*1.5</f>
        <v>1.7999999999999998</v>
      </c>
      <c r="R59" s="2">
        <f t="shared" si="22"/>
        <v>8.25</v>
      </c>
      <c r="S59" s="2">
        <f t="shared" si="22"/>
        <v>7.5</v>
      </c>
      <c r="T59" s="2">
        <f t="shared" si="22"/>
        <v>4.5</v>
      </c>
      <c r="U59" s="2">
        <f t="shared" si="22"/>
        <v>4.5</v>
      </c>
      <c r="V59" s="2">
        <f t="shared" si="22"/>
        <v>6</v>
      </c>
      <c r="W59" s="2">
        <f>W43*1.5</f>
        <v>4.5</v>
      </c>
      <c r="AI59" s="8">
        <f t="shared" si="9"/>
        <v>29.175000000000001</v>
      </c>
    </row>
    <row r="60" spans="1:36" x14ac:dyDescent="0.15">
      <c r="B60" s="8" t="s">
        <v>315</v>
      </c>
      <c r="C60" s="8" t="s">
        <v>319</v>
      </c>
      <c r="D60" s="2">
        <f>INT(D42*1.5)</f>
        <v>36</v>
      </c>
      <c r="E60" s="2">
        <f t="shared" ref="E60:K60" si="23">INT(E42*1.5)</f>
        <v>21</v>
      </c>
      <c r="F60" s="2">
        <f t="shared" si="23"/>
        <v>15</v>
      </c>
      <c r="G60" s="2">
        <f t="shared" si="23"/>
        <v>21</v>
      </c>
      <c r="H60" s="2">
        <f t="shared" si="23"/>
        <v>21</v>
      </c>
      <c r="I60" s="2">
        <f t="shared" si="23"/>
        <v>7</v>
      </c>
      <c r="J60" s="2">
        <f t="shared" si="23"/>
        <v>36</v>
      </c>
      <c r="K60" s="2">
        <f t="shared" si="23"/>
        <v>36</v>
      </c>
      <c r="N60" s="8" t="s">
        <v>315</v>
      </c>
      <c r="O60" s="8" t="s">
        <v>319</v>
      </c>
      <c r="P60" s="2">
        <f>P42*1.5</f>
        <v>7.5</v>
      </c>
      <c r="Q60" s="2">
        <f t="shared" ref="Q60:W60" si="24">Q42*1.5</f>
        <v>1.7999999999999998</v>
      </c>
      <c r="R60" s="2">
        <f t="shared" si="24"/>
        <v>9</v>
      </c>
      <c r="S60" s="2">
        <f t="shared" si="24"/>
        <v>4.5</v>
      </c>
      <c r="T60" s="2">
        <f t="shared" si="24"/>
        <v>6.75</v>
      </c>
      <c r="U60" s="2">
        <f t="shared" si="24"/>
        <v>4.5</v>
      </c>
      <c r="V60" s="2">
        <f t="shared" si="24"/>
        <v>4.5</v>
      </c>
      <c r="W60" s="2">
        <f t="shared" si="24"/>
        <v>6</v>
      </c>
      <c r="AI60" s="8">
        <f t="shared" si="9"/>
        <v>29.925000000000001</v>
      </c>
    </row>
    <row r="61" spans="1:36" x14ac:dyDescent="0.15">
      <c r="B61" s="8" t="s">
        <v>316</v>
      </c>
      <c r="C61" s="8" t="s">
        <v>318</v>
      </c>
      <c r="D61" s="2">
        <f>INT(D44*3)</f>
        <v>81</v>
      </c>
      <c r="E61" s="2">
        <f t="shared" ref="E61:I61" si="25">INT(E44*3)</f>
        <v>99</v>
      </c>
      <c r="F61" s="2">
        <f t="shared" si="25"/>
        <v>42</v>
      </c>
      <c r="G61" s="2">
        <f t="shared" si="25"/>
        <v>36</v>
      </c>
      <c r="H61" s="2">
        <f t="shared" si="25"/>
        <v>84</v>
      </c>
      <c r="I61" s="2">
        <f t="shared" si="25"/>
        <v>9</v>
      </c>
      <c r="J61" s="2">
        <f t="shared" ref="J61:K61" si="26">INT(J52*1.5)</f>
        <v>31</v>
      </c>
      <c r="K61" s="2">
        <f t="shared" si="26"/>
        <v>24</v>
      </c>
      <c r="N61" s="8" t="s">
        <v>316</v>
      </c>
      <c r="O61" s="8" t="s">
        <v>318</v>
      </c>
      <c r="P61" s="2">
        <f>P52*1.5</f>
        <v>6.75</v>
      </c>
      <c r="Q61" s="2">
        <f t="shared" ref="Q61:W61" si="27">Q52*1.5</f>
        <v>2.0999999999999996</v>
      </c>
      <c r="R61" s="2">
        <f t="shared" si="27"/>
        <v>6</v>
      </c>
      <c r="S61" s="2">
        <f t="shared" si="27"/>
        <v>6</v>
      </c>
      <c r="T61" s="2">
        <f t="shared" si="27"/>
        <v>7.5</v>
      </c>
      <c r="U61" s="2">
        <f t="shared" si="27"/>
        <v>6</v>
      </c>
      <c r="V61" s="2">
        <f t="shared" si="27"/>
        <v>4.5</v>
      </c>
      <c r="W61" s="2">
        <f t="shared" si="27"/>
        <v>3</v>
      </c>
      <c r="AI61" s="8">
        <f t="shared" si="9"/>
        <v>26.1</v>
      </c>
    </row>
  </sheetData>
  <phoneticPr fontId="3" type="noConversion"/>
  <conditionalFormatting sqref="C3:J22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{8D42EF18-4C8E-49D3-8813-62913C5882E2}</x14:id>
        </ext>
      </extLst>
    </cfRule>
  </conditionalFormatting>
  <conditionalFormatting sqref="D26:K2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{3E6B134A-33FD-41EB-8B28-CCEBD7C357B8}</x14:id>
        </ext>
      </extLst>
    </cfRule>
  </conditionalFormatting>
  <conditionalFormatting sqref="D27:K27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{1A7FC7EB-897E-413A-AC84-62676DCC1BD6}</x14:id>
        </ext>
      </extLst>
    </cfRule>
  </conditionalFormatting>
  <conditionalFormatting sqref="D28:K28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{32C2F883-E88C-4529-BE56-F791B97C646B}</x14:id>
        </ext>
      </extLst>
    </cfRule>
  </conditionalFormatting>
  <conditionalFormatting sqref="D25:K25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{12035143-5E94-43F7-8E1B-F99CFB27096B}</x14:id>
        </ext>
      </extLst>
    </cfRule>
  </conditionalFormatting>
  <conditionalFormatting sqref="D29:K29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{750DDD82-69E6-4E31-97A6-258902E0CA14}</x14:id>
        </ext>
      </extLst>
    </cfRule>
  </conditionalFormatting>
  <conditionalFormatting sqref="D30:K30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{7F7125B9-9610-46B8-BFD5-709B7FCE07A5}</x14:id>
        </ext>
      </extLst>
    </cfRule>
  </conditionalFormatting>
  <conditionalFormatting sqref="D31:K31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{8D42ED31-EDDB-4032-AEB9-29AFB97E81FF}</x14:id>
        </ext>
      </extLst>
    </cfRule>
  </conditionalFormatting>
  <conditionalFormatting sqref="D32:K32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{98F4F5FA-B594-4F47-AB9E-AC12E907C24D}</x14:id>
        </ext>
      </extLst>
    </cfRule>
  </conditionalFormatting>
  <conditionalFormatting sqref="D33:K33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{8F9176CA-6C2B-4E77-925C-D283CE766C0E}</x14:id>
        </ext>
      </extLst>
    </cfRule>
  </conditionalFormatting>
  <conditionalFormatting sqref="D34:K34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{4C85C5FB-2500-444C-9D35-A78C94AB267B}</x14:id>
        </ext>
      </extLst>
    </cfRule>
  </conditionalFormatting>
  <conditionalFormatting sqref="D35:K3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{B368C6B9-C95F-4F3D-BC1B-E817DC8FEF43}</x14:id>
        </ext>
      </extLst>
    </cfRule>
  </conditionalFormatting>
  <conditionalFormatting sqref="D36:K3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{2B100B26-670F-4438-AF21-63D3A50CC8FA}</x14:id>
        </ext>
      </extLst>
    </cfRule>
  </conditionalFormatting>
  <conditionalFormatting sqref="D37:K37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{12DF56AB-F793-40D8-865C-8B52D0BA62BC}</x14:id>
        </ext>
      </extLst>
    </cfRule>
  </conditionalFormatting>
  <conditionalFormatting sqref="D38:K38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{228EF719-5B97-4A48-931D-13D0B4E2B166}</x14:id>
        </ext>
      </extLst>
    </cfRule>
  </conditionalFormatting>
  <conditionalFormatting sqref="D39:K3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{131C8F79-367E-4A98-A99C-6B18E7ECF302}</x14:id>
        </ext>
      </extLst>
    </cfRule>
  </conditionalFormatting>
  <conditionalFormatting sqref="D40:K40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{C6DB5E01-BF53-4D96-93D7-DBA3FD104074}</x14:id>
        </ext>
      </extLst>
    </cfRule>
  </conditionalFormatting>
  <conditionalFormatting sqref="D41:K41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{6421BFBA-8516-4AE9-95EF-814FF3544667}</x14:id>
        </ext>
      </extLst>
    </cfRule>
  </conditionalFormatting>
  <conditionalFormatting sqref="D42:K42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{A45BF675-1ED3-4A17-B640-91EA755C3BFE}</x14:id>
        </ext>
      </extLst>
    </cfRule>
  </conditionalFormatting>
  <conditionalFormatting sqref="D43:K43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{4FD0549F-7802-4C83-B831-745BBC93D7A9}</x14:id>
        </ext>
      </extLst>
    </cfRule>
  </conditionalFormatting>
  <conditionalFormatting sqref="D44:K44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{218B080A-216B-4E75-A7C0-12E68C501B89}</x14:id>
        </ext>
      </extLst>
    </cfRule>
  </conditionalFormatting>
  <conditionalFormatting sqref="D45:K4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{24961CA7-C7E8-4AA5-8584-C66A0E26DB4C}</x14:id>
        </ext>
      </extLst>
    </cfRule>
  </conditionalFormatting>
  <conditionalFormatting sqref="D46:K4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{958B570A-E7A8-4692-B99C-05D1CF622929}</x14:id>
        </ext>
      </extLst>
    </cfRule>
  </conditionalFormatting>
  <conditionalFormatting sqref="D47:K47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{A2A5F932-8D76-4858-AB82-ECC14E9F6319}</x14:id>
        </ext>
      </extLst>
    </cfRule>
  </conditionalFormatting>
  <conditionalFormatting sqref="D48:K4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{7A683931-F50C-4DCF-B948-3433D2F402D7}</x14:id>
        </ext>
      </extLst>
    </cfRule>
  </conditionalFormatting>
  <conditionalFormatting sqref="D49:K49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{166BE737-FFC6-440C-9F03-E28F7F5A8A3C}</x14:id>
        </ext>
      </extLst>
    </cfRule>
  </conditionalFormatting>
  <conditionalFormatting sqref="D50:K50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{21E22A5A-C0EE-4E1E-9BED-0B81EAA0ABA1}</x14:id>
        </ext>
      </extLst>
    </cfRule>
  </conditionalFormatting>
  <conditionalFormatting sqref="D51:K51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{5D31D4A9-D091-4DA7-84B4-155C2650B7E9}</x14:id>
        </ext>
      </extLst>
    </cfRule>
  </conditionalFormatting>
  <conditionalFormatting sqref="D52:K5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{BFB1DBCA-7BFD-406C-B2BB-EB6096A36334}</x14:id>
        </ext>
      </extLst>
    </cfRule>
  </conditionalFormatting>
  <conditionalFormatting sqref="D53:K53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{ECC95420-A19C-420A-8615-580EA922BAC6}</x14:id>
        </ext>
      </extLst>
    </cfRule>
  </conditionalFormatting>
  <conditionalFormatting sqref="D54:K5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{6F2296C1-BA1D-49E3-A5D6-5E7BFB8266D5}</x14:id>
        </ext>
      </extLst>
    </cfRule>
  </conditionalFormatting>
  <conditionalFormatting sqref="D55:K6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{5B8D1A2A-9499-4FB4-88A4-EFDE01CCE498}</x14:id>
        </ext>
      </extLst>
    </cfRule>
  </conditionalFormatting>
  <conditionalFormatting sqref="AE1:AE1048576 P3:AE2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{4A8DB102-04E4-40C7-B057-E619C3182A02}</x14:id>
        </ext>
      </extLst>
    </cfRule>
  </conditionalFormatting>
  <conditionalFormatting sqref="P25:AE55 P56:W58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{B6B83C26-1170-492A-9F6C-A60738181ECD}</x14:id>
        </ext>
      </extLst>
    </cfRule>
  </conditionalFormatting>
  <conditionalFormatting sqref="P59:W6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{A337128D-F89D-497C-ACD4-ECBD9B273912}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42EF18-4C8E-49D3-8813-62913C5882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C3:J22</xm:sqref>
        </x14:conditionalFormatting>
        <x14:conditionalFormatting xmlns:xm="http://schemas.microsoft.com/office/excel/2006/main">
          <x14:cfRule type="dataBar" id="{3E6B134A-33FD-41EB-8B28-CCEBD7C357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D26:K26</xm:sqref>
        </x14:conditionalFormatting>
        <x14:conditionalFormatting xmlns:xm="http://schemas.microsoft.com/office/excel/2006/main">
          <x14:cfRule type="dataBar" id="{1A7FC7EB-897E-413A-AC84-62676DCC1B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D27:K27</xm:sqref>
        </x14:conditionalFormatting>
        <x14:conditionalFormatting xmlns:xm="http://schemas.microsoft.com/office/excel/2006/main">
          <x14:cfRule type="dataBar" id="{32C2F883-E88C-4529-BE56-F791B97C6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D28:K28</xm:sqref>
        </x14:conditionalFormatting>
        <x14:conditionalFormatting xmlns:xm="http://schemas.microsoft.com/office/excel/2006/main">
          <x14:cfRule type="dataBar" id="{12035143-5E94-43F7-8E1B-F99CFB270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D25:K25</xm:sqref>
        </x14:conditionalFormatting>
        <x14:conditionalFormatting xmlns:xm="http://schemas.microsoft.com/office/excel/2006/main">
          <x14:cfRule type="dataBar" id="{750DDD82-69E6-4E31-97A6-258902E0CA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D29:K29</xm:sqref>
        </x14:conditionalFormatting>
        <x14:conditionalFormatting xmlns:xm="http://schemas.microsoft.com/office/excel/2006/main">
          <x14:cfRule type="dataBar" id="{7F7125B9-9610-46B8-BFD5-709B7FCE07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D30:K30</xm:sqref>
        </x14:conditionalFormatting>
        <x14:conditionalFormatting xmlns:xm="http://schemas.microsoft.com/office/excel/2006/main">
          <x14:cfRule type="dataBar" id="{8D42ED31-EDDB-4032-AEB9-29AFB97E81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D31:K31</xm:sqref>
        </x14:conditionalFormatting>
        <x14:conditionalFormatting xmlns:xm="http://schemas.microsoft.com/office/excel/2006/main">
          <x14:cfRule type="dataBar" id="{98F4F5FA-B594-4F47-AB9E-AC12E907C2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D32:K32</xm:sqref>
        </x14:conditionalFormatting>
        <x14:conditionalFormatting xmlns:xm="http://schemas.microsoft.com/office/excel/2006/main">
          <x14:cfRule type="dataBar" id="{8F9176CA-6C2B-4E77-925C-D283CE766C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D33:K33</xm:sqref>
        </x14:conditionalFormatting>
        <x14:conditionalFormatting xmlns:xm="http://schemas.microsoft.com/office/excel/2006/main">
          <x14:cfRule type="dataBar" id="{4C85C5FB-2500-444C-9D35-A78C94AB26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D34:K34</xm:sqref>
        </x14:conditionalFormatting>
        <x14:conditionalFormatting xmlns:xm="http://schemas.microsoft.com/office/excel/2006/main">
          <x14:cfRule type="dataBar" id="{B368C6B9-C95F-4F3D-BC1B-E817DC8FEF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D35:K35</xm:sqref>
        </x14:conditionalFormatting>
        <x14:conditionalFormatting xmlns:xm="http://schemas.microsoft.com/office/excel/2006/main">
          <x14:cfRule type="dataBar" id="{2B100B26-670F-4438-AF21-63D3A50CC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D36:K36</xm:sqref>
        </x14:conditionalFormatting>
        <x14:conditionalFormatting xmlns:xm="http://schemas.microsoft.com/office/excel/2006/main">
          <x14:cfRule type="dataBar" id="{12DF56AB-F793-40D8-865C-8B52D0BA62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D37:K37</xm:sqref>
        </x14:conditionalFormatting>
        <x14:conditionalFormatting xmlns:xm="http://schemas.microsoft.com/office/excel/2006/main">
          <x14:cfRule type="dataBar" id="{228EF719-5B97-4A48-931D-13D0B4E2B1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D38:K38</xm:sqref>
        </x14:conditionalFormatting>
        <x14:conditionalFormatting xmlns:xm="http://schemas.microsoft.com/office/excel/2006/main">
          <x14:cfRule type="dataBar" id="{131C8F79-367E-4A98-A99C-6B18E7ECF3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D39:K39</xm:sqref>
        </x14:conditionalFormatting>
        <x14:conditionalFormatting xmlns:xm="http://schemas.microsoft.com/office/excel/2006/main">
          <x14:cfRule type="dataBar" id="{C6DB5E01-BF53-4D96-93D7-DBA3FD1040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D40:K40</xm:sqref>
        </x14:conditionalFormatting>
        <x14:conditionalFormatting xmlns:xm="http://schemas.microsoft.com/office/excel/2006/main">
          <x14:cfRule type="dataBar" id="{6421BFBA-8516-4AE9-95EF-814FF35446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D41:K41</xm:sqref>
        </x14:conditionalFormatting>
        <x14:conditionalFormatting xmlns:xm="http://schemas.microsoft.com/office/excel/2006/main">
          <x14:cfRule type="dataBar" id="{A45BF675-1ED3-4A17-B640-91EA755C3B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D42:K42</xm:sqref>
        </x14:conditionalFormatting>
        <x14:conditionalFormatting xmlns:xm="http://schemas.microsoft.com/office/excel/2006/main">
          <x14:cfRule type="dataBar" id="{4FD0549F-7802-4C83-B831-745BBC93D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D43:K43</xm:sqref>
        </x14:conditionalFormatting>
        <x14:conditionalFormatting xmlns:xm="http://schemas.microsoft.com/office/excel/2006/main">
          <x14:cfRule type="dataBar" id="{218B080A-216B-4E75-A7C0-12E68C501B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D44:K44</xm:sqref>
        </x14:conditionalFormatting>
        <x14:conditionalFormatting xmlns:xm="http://schemas.microsoft.com/office/excel/2006/main">
          <x14:cfRule type="dataBar" id="{24961CA7-C7E8-4AA5-8584-C66A0E26DB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D45:K45</xm:sqref>
        </x14:conditionalFormatting>
        <x14:conditionalFormatting xmlns:xm="http://schemas.microsoft.com/office/excel/2006/main">
          <x14:cfRule type="dataBar" id="{958B570A-E7A8-4692-B99C-05D1CF6229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D46:K46</xm:sqref>
        </x14:conditionalFormatting>
        <x14:conditionalFormatting xmlns:xm="http://schemas.microsoft.com/office/excel/2006/main">
          <x14:cfRule type="dataBar" id="{A2A5F932-8D76-4858-AB82-ECC14E9F63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D47:K47</xm:sqref>
        </x14:conditionalFormatting>
        <x14:conditionalFormatting xmlns:xm="http://schemas.microsoft.com/office/excel/2006/main">
          <x14:cfRule type="dataBar" id="{7A683931-F50C-4DCF-B948-3433D2F402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D48:K48</xm:sqref>
        </x14:conditionalFormatting>
        <x14:conditionalFormatting xmlns:xm="http://schemas.microsoft.com/office/excel/2006/main">
          <x14:cfRule type="dataBar" id="{166BE737-FFC6-440C-9F03-E28F7F5A8A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D49:K49</xm:sqref>
        </x14:conditionalFormatting>
        <x14:conditionalFormatting xmlns:xm="http://schemas.microsoft.com/office/excel/2006/main">
          <x14:cfRule type="dataBar" id="{21E22A5A-C0EE-4E1E-9BED-0B81EAA0A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D50:K50</xm:sqref>
        </x14:conditionalFormatting>
        <x14:conditionalFormatting xmlns:xm="http://schemas.microsoft.com/office/excel/2006/main">
          <x14:cfRule type="dataBar" id="{5D31D4A9-D091-4DA7-84B4-155C2650B7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D51:K51</xm:sqref>
        </x14:conditionalFormatting>
        <x14:conditionalFormatting xmlns:xm="http://schemas.microsoft.com/office/excel/2006/main">
          <x14:cfRule type="dataBar" id="{BFB1DBCA-7BFD-406C-B2BB-EB6096A36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D52:K52</xm:sqref>
        </x14:conditionalFormatting>
        <x14:conditionalFormatting xmlns:xm="http://schemas.microsoft.com/office/excel/2006/main">
          <x14:cfRule type="dataBar" id="{ECC95420-A19C-420A-8615-580EA922BA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D53:K53</xm:sqref>
        </x14:conditionalFormatting>
        <x14:conditionalFormatting xmlns:xm="http://schemas.microsoft.com/office/excel/2006/main">
          <x14:cfRule type="dataBar" id="{6F2296C1-BA1D-49E3-A5D6-5E7BFB8266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D54:K54</xm:sqref>
        </x14:conditionalFormatting>
        <x14:conditionalFormatting xmlns:xm="http://schemas.microsoft.com/office/excel/2006/main">
          <x14:cfRule type="dataBar" id="{5B8D1A2A-9499-4FB4-88A4-EFDE01CCE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D55:K61</xm:sqref>
        </x14:conditionalFormatting>
        <x14:conditionalFormatting xmlns:xm="http://schemas.microsoft.com/office/excel/2006/main">
          <x14:cfRule type="dataBar" id="{4A8DB102-04E4-40C7-B057-E619C3182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AE1:AE1048576 P3:AE22</xm:sqref>
        </x14:conditionalFormatting>
        <x14:conditionalFormatting xmlns:xm="http://schemas.microsoft.com/office/excel/2006/main">
          <x14:cfRule type="dataBar" id="{B6B83C26-1170-492A-9F6C-A60738181E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P25:AE55 P56:W58</xm:sqref>
        </x14:conditionalFormatting>
        <x14:conditionalFormatting xmlns:xm="http://schemas.microsoft.com/office/excel/2006/main">
          <x14:cfRule type="dataBar" id="{A337128D-F89D-497C-ACD4-ECBD9B2739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P59:W61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6"/>
  <sheetViews>
    <sheetView workbookViewId="0">
      <selection activeCell="E3" sqref="E3"/>
    </sheetView>
  </sheetViews>
  <sheetFormatPr defaultRowHeight="13.5" x14ac:dyDescent="0.15"/>
  <cols>
    <col min="2" max="2" width="10.625" customWidth="1"/>
  </cols>
  <sheetData>
    <row r="2" spans="2:12" x14ac:dyDescent="0.15">
      <c r="B2" s="19" t="s">
        <v>126</v>
      </c>
      <c r="C2" s="18" t="s">
        <v>109</v>
      </c>
      <c r="D2" s="18" t="s">
        <v>110</v>
      </c>
      <c r="E2" s="18" t="s">
        <v>111</v>
      </c>
      <c r="F2" s="18" t="s">
        <v>112</v>
      </c>
      <c r="H2" s="19" t="s">
        <v>117</v>
      </c>
      <c r="I2" s="18" t="s">
        <v>118</v>
      </c>
      <c r="J2" s="18" t="s">
        <v>119</v>
      </c>
      <c r="K2" s="18" t="s">
        <v>120</v>
      </c>
      <c r="L2" s="18" t="s">
        <v>121</v>
      </c>
    </row>
    <row r="3" spans="2:12" x14ac:dyDescent="0.15">
      <c r="B3" s="2" t="s">
        <v>113</v>
      </c>
      <c r="C3" s="2">
        <v>5</v>
      </c>
      <c r="D3" s="2">
        <v>1</v>
      </c>
      <c r="E3" s="2">
        <f>D3-C3*0.09-0.04</f>
        <v>0.51</v>
      </c>
      <c r="F3" s="2">
        <f>IF(ISERR((D3-E3)/C3),0,--2*(D3-E3)/C3)</f>
        <v>0.19600000000000001</v>
      </c>
      <c r="H3" s="2" t="s">
        <v>122</v>
      </c>
      <c r="I3" s="2">
        <v>5</v>
      </c>
      <c r="J3" s="2">
        <v>1</v>
      </c>
      <c r="K3" s="2">
        <f>J3-I3*0.1-0.1</f>
        <v>0.4</v>
      </c>
      <c r="L3" s="2">
        <f>IF(ISERR((J3-K3)/I3),0,--2*(J3-K3)/I3)</f>
        <v>0.24</v>
      </c>
    </row>
    <row r="4" spans="2:12" x14ac:dyDescent="0.15">
      <c r="B4" s="2" t="s">
        <v>114</v>
      </c>
      <c r="C4" s="2">
        <v>3</v>
      </c>
      <c r="D4" s="2">
        <v>0.7</v>
      </c>
      <c r="E4" s="2">
        <f>D4-C4*0.09-0.04</f>
        <v>0.38999999999999996</v>
      </c>
      <c r="F4" s="2">
        <f>IF(ISERR((D4-E4)/C4),0,--2*(D4-E4)/C4)</f>
        <v>0.20666666666666667</v>
      </c>
      <c r="H4" s="2" t="s">
        <v>123</v>
      </c>
      <c r="I4" s="2">
        <v>3</v>
      </c>
      <c r="J4" s="2">
        <v>0.7</v>
      </c>
      <c r="K4" s="2">
        <f>J4-I4*0.1-0.1</f>
        <v>0.29999999999999993</v>
      </c>
      <c r="L4" s="2">
        <f>IF(ISERR((J4-K4)/I4),0,--2*(J4-K4)/I4)</f>
        <v>0.26666666666666666</v>
      </c>
    </row>
    <row r="5" spans="2:12" x14ac:dyDescent="0.15">
      <c r="B5" s="2" t="s">
        <v>115</v>
      </c>
      <c r="C5" s="2">
        <v>1</v>
      </c>
      <c r="D5" s="2">
        <v>0.55000000000000004</v>
      </c>
      <c r="E5" s="2">
        <f>D5-C5*0.09-0.04</f>
        <v>0.4200000000000001</v>
      </c>
      <c r="F5" s="2">
        <f>IF(ISERR((D5-E5)/C5),0,--2*(D5-E5)/C5)</f>
        <v>0.2599999999999999</v>
      </c>
      <c r="H5" s="2" t="s">
        <v>124</v>
      </c>
      <c r="I5" s="2">
        <v>1</v>
      </c>
      <c r="J5" s="2">
        <v>0.55000000000000004</v>
      </c>
      <c r="K5" s="2">
        <f>J5-I5*0.1-0.1</f>
        <v>0.35000000000000009</v>
      </c>
      <c r="L5" s="2">
        <f>IF(ISERR((J5-K5)/I5),0,--2*(J5-K5)/I5)</f>
        <v>0.39999999999999991</v>
      </c>
    </row>
    <row r="6" spans="2:12" x14ac:dyDescent="0.15">
      <c r="B6" s="2" t="s">
        <v>116</v>
      </c>
      <c r="C6" s="2">
        <v>0</v>
      </c>
      <c r="D6" s="2">
        <v>0.56999999999999995</v>
      </c>
      <c r="E6" s="2">
        <f>D6-C6*0.09-0.04</f>
        <v>0.52999999999999992</v>
      </c>
      <c r="F6" s="2">
        <f>IF(ISERR((D6-E6)/C6),0,--2*(D6-E6)/C6)</f>
        <v>0</v>
      </c>
      <c r="H6" s="2" t="s">
        <v>125</v>
      </c>
      <c r="I6" s="2">
        <v>0</v>
      </c>
      <c r="J6" s="2">
        <v>0.56999999999999995</v>
      </c>
      <c r="K6" s="2">
        <f>J6-I6*0.1-0.1</f>
        <v>0.47</v>
      </c>
      <c r="L6" s="2">
        <f>IF(ISERR((J6-K6)/I6),0,--2*(J6-K6)/I6)</f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A642"/>
  <sheetViews>
    <sheetView topLeftCell="K1" workbookViewId="0">
      <pane ySplit="2" topLeftCell="A3" activePane="bottomLeft" state="frozen"/>
      <selection activeCell="I1" sqref="I1"/>
      <selection pane="bottomLeft" activeCell="G25" sqref="G25"/>
    </sheetView>
  </sheetViews>
  <sheetFormatPr defaultRowHeight="12.75" x14ac:dyDescent="0.2"/>
  <cols>
    <col min="1" max="3" width="9" style="32"/>
    <col min="4" max="4" width="4.875" style="32" customWidth="1"/>
    <col min="5" max="8" width="9" style="32"/>
    <col min="9" max="9" width="9" style="36"/>
    <col min="10" max="17" width="9" style="32"/>
    <col min="18" max="27" width="9" style="36"/>
    <col min="28" max="16384" width="9" style="32"/>
  </cols>
  <sheetData>
    <row r="1" spans="2:27" x14ac:dyDescent="0.2">
      <c r="I1" s="36">
        <f t="shared" ref="I1:R1" si="0">MAX(I3:I642)</f>
        <v>0.94727272727272738</v>
      </c>
      <c r="J1" s="32">
        <f t="shared" si="0"/>
        <v>320</v>
      </c>
      <c r="K1" s="32">
        <f t="shared" si="0"/>
        <v>214</v>
      </c>
      <c r="L1" s="32">
        <f t="shared" si="0"/>
        <v>41</v>
      </c>
      <c r="M1" s="32">
        <f t="shared" si="0"/>
        <v>138</v>
      </c>
      <c r="N1" s="32">
        <f t="shared" si="0"/>
        <v>325</v>
      </c>
      <c r="O1" s="32">
        <f t="shared" si="0"/>
        <v>129</v>
      </c>
      <c r="P1" s="36">
        <f t="shared" si="0"/>
        <v>71</v>
      </c>
      <c r="Q1" s="36">
        <f t="shared" si="0"/>
        <v>69</v>
      </c>
      <c r="R1" s="36">
        <f t="shared" si="0"/>
        <v>0.23</v>
      </c>
      <c r="S1" s="36">
        <f>MAX(S3:S642)</f>
        <v>0.23666666666666669</v>
      </c>
      <c r="T1" s="36">
        <f>MAX(T3:T642)</f>
        <v>0.23</v>
      </c>
      <c r="U1" s="36">
        <f>MAX(U3:U642)</f>
        <v>0.19999999999999996</v>
      </c>
      <c r="V1" s="36">
        <f t="shared" ref="V1:AA1" si="1">MAX(V3:V642)</f>
        <v>0.47368421052631582</v>
      </c>
      <c r="W1" s="36">
        <f t="shared" si="1"/>
        <v>0.4285714285714286</v>
      </c>
      <c r="X1" s="36">
        <f t="shared" si="1"/>
        <v>0.4285714285714286</v>
      </c>
      <c r="Y1" s="36">
        <f t="shared" si="1"/>
        <v>0.47368421052631582</v>
      </c>
      <c r="Z1" s="36">
        <f t="shared" si="1"/>
        <v>0.4285714285714286</v>
      </c>
      <c r="AA1" s="36">
        <f t="shared" si="1"/>
        <v>0.4285714285714286</v>
      </c>
    </row>
    <row r="2" spans="2:27" x14ac:dyDescent="0.2">
      <c r="B2" s="30" t="s">
        <v>185</v>
      </c>
      <c r="C2" s="30" t="s">
        <v>186</v>
      </c>
      <c r="D2" s="30" t="s">
        <v>187</v>
      </c>
      <c r="E2" s="30" t="s">
        <v>188</v>
      </c>
      <c r="F2" s="30" t="s">
        <v>189</v>
      </c>
      <c r="G2" s="30" t="s">
        <v>190</v>
      </c>
      <c r="H2" s="30" t="s">
        <v>191</v>
      </c>
      <c r="I2" s="34" t="s">
        <v>192</v>
      </c>
      <c r="J2" s="30" t="s">
        <v>193</v>
      </c>
      <c r="K2" s="30" t="s">
        <v>173</v>
      </c>
      <c r="L2" s="30" t="s">
        <v>174</v>
      </c>
      <c r="M2" s="30" t="s">
        <v>194</v>
      </c>
      <c r="N2" s="30" t="s">
        <v>195</v>
      </c>
      <c r="O2" s="30" t="s">
        <v>196</v>
      </c>
      <c r="P2" s="30" t="s">
        <v>197</v>
      </c>
      <c r="Q2" s="30" t="s">
        <v>198</v>
      </c>
      <c r="R2" s="34" t="s">
        <v>199</v>
      </c>
      <c r="S2" s="34" t="s">
        <v>200</v>
      </c>
      <c r="T2" s="34" t="s">
        <v>201</v>
      </c>
      <c r="U2" s="37" t="s">
        <v>202</v>
      </c>
      <c r="V2" s="37" t="s">
        <v>203</v>
      </c>
      <c r="W2" s="37" t="s">
        <v>204</v>
      </c>
      <c r="X2" s="37" t="s">
        <v>205</v>
      </c>
      <c r="Y2" s="37" t="s">
        <v>206</v>
      </c>
      <c r="Z2" s="37" t="s">
        <v>207</v>
      </c>
      <c r="AA2" s="37" t="s">
        <v>208</v>
      </c>
    </row>
    <row r="3" spans="2:27" x14ac:dyDescent="0.2">
      <c r="B3" s="2">
        <v>1</v>
      </c>
      <c r="C3" s="2" t="s">
        <v>127</v>
      </c>
      <c r="D3" s="29" t="s">
        <v>128</v>
      </c>
      <c r="E3" s="29" t="s">
        <v>209</v>
      </c>
      <c r="F3" s="2" t="s">
        <v>210</v>
      </c>
      <c r="G3" s="2">
        <v>1</v>
      </c>
      <c r="H3" s="2" t="str">
        <f t="shared" ref="H3:H66" si="2">IF(C3="c","--",VLOOKUP(F3,role_property_weight,17,FALSE))</f>
        <v>地脉</v>
      </c>
      <c r="I3" s="38">
        <f>IF(H3="--",0,IF((SUM(J3:Q3)/11)%&lt;10%,10%,(SUM(J3:Q3)/11)%))</f>
        <v>0.1</v>
      </c>
      <c r="J3" s="33">
        <f>INT((1+VLOOKUP($F3,role_property_weight,getpos(J$2),FALSE))*(1+VLOOKUP($F3,weapon_property_weight,getpos(J$2),FALSE))*VLOOKUP($E3,role_grow,getpos(J$2),FALSE)*$G3*10*VLOOKUP($C3,weapon_grow1,4,FALSE))</f>
        <v>20</v>
      </c>
      <c r="K3" s="33">
        <f t="shared" ref="K3:Q12" si="3">INT((1+VLOOKUP($F3,role_property_weight,getpos(K$2),FALSE))*(1+VLOOKUP($F3,weapon_property_weight,getpos(K$2),FALSE))*VLOOKUP($E3,role_grow,getpos(K$2),FALSE)*$G3*10*VLOOKUP($C3,weapon_grow1,5,FALSE))</f>
        <v>14</v>
      </c>
      <c r="L3" s="33">
        <f t="shared" si="3"/>
        <v>0</v>
      </c>
      <c r="M3" s="33">
        <f t="shared" si="3"/>
        <v>8</v>
      </c>
      <c r="N3" s="33">
        <f t="shared" ref="N3:N66" si="4">ROUNDUP((1+VLOOKUP($F3,role_property_weight,getpos(N$2),FALSE))*(1+VLOOKUP($F3,weapon_property_weight,getpos(N$2),FALSE))*VLOOKUP($E3,role_grow,getpos(N$2),FALSE)*$G3*10*VLOOKUP($C3,weapon_grow1,5,FALSE),0)</f>
        <v>1</v>
      </c>
      <c r="O3" s="33">
        <f t="shared" si="3"/>
        <v>2</v>
      </c>
      <c r="P3" s="33">
        <f t="shared" si="3"/>
        <v>2</v>
      </c>
      <c r="Q3" s="33">
        <f t="shared" si="3"/>
        <v>3</v>
      </c>
      <c r="R3" s="35">
        <f>(Q3/3)%</f>
        <v>0.01</v>
      </c>
      <c r="S3" s="35">
        <f>(P3/3)%</f>
        <v>6.6666666666666662E-3</v>
      </c>
      <c r="T3" s="35">
        <f>(Q3/3)%</f>
        <v>0.01</v>
      </c>
      <c r="U3" s="35">
        <f t="shared" ref="U3:U66" si="5">1-200/(200+ROUND((1+VLOOKUP($F3,role_property_weight,getpos(U$2),FALSE))*VLOOKUP($E3,role_grow,getpos(U$2),FALSE)*$G3*10*VLOOKUP($C3,weapon_grow1,5,FALSE),0))</f>
        <v>9.9009900990099098E-3</v>
      </c>
      <c r="V3" s="35">
        <f t="shared" ref="V3:AA12" si="6">1-200/(200+ROUND((1+VLOOKUP($F3,role_property_weight,getpos(V$2),FALSE))*VLOOKUP($E3,role_grow,getpos(V$2),FALSE)*$G3*10*VLOOKUP($C3,weapon_grow1,5,FALSE),0))</f>
        <v>5.6603773584905648E-2</v>
      </c>
      <c r="W3" s="35">
        <f t="shared" si="6"/>
        <v>9.9009900990099098E-3</v>
      </c>
      <c r="X3" s="35">
        <f t="shared" si="6"/>
        <v>9.9009900990099098E-3</v>
      </c>
      <c r="Y3" s="35">
        <f t="shared" si="6"/>
        <v>9.9009900990099098E-3</v>
      </c>
      <c r="Z3" s="35">
        <f>1-200/(200+ROUND((1+VLOOKUP($F3,role_property_weight,getpos(Z$2),FALSE))*VLOOKUP($E3,role_grow,getpos(Z$2),FALSE)*$G3*10*VLOOKUP($C3,weapon_grow1,5,FALSE),0))</f>
        <v>9.9009900990099098E-3</v>
      </c>
      <c r="AA3" s="35">
        <f t="shared" si="6"/>
        <v>9.9009900990099098E-3</v>
      </c>
    </row>
    <row r="4" spans="2:27" x14ac:dyDescent="0.2">
      <c r="B4" s="2">
        <v>2</v>
      </c>
      <c r="C4" s="2" t="s">
        <v>127</v>
      </c>
      <c r="D4" s="29" t="s">
        <v>128</v>
      </c>
      <c r="E4" s="29" t="s">
        <v>209</v>
      </c>
      <c r="F4" s="2" t="s">
        <v>210</v>
      </c>
      <c r="G4" s="2">
        <v>2</v>
      </c>
      <c r="H4" s="2" t="str">
        <f t="shared" si="2"/>
        <v>地脉</v>
      </c>
      <c r="I4" s="38">
        <f t="shared" ref="I4:I67" si="7">IF(H4="--",0,IF((SUM(J4:Q4)/11)%&lt;10%,10%,(SUM(J4:Q4)/11)%))</f>
        <v>0.1</v>
      </c>
      <c r="J4" s="33">
        <f t="shared" ref="J4:J67" si="8">INT((1+VLOOKUP($F4,role_property_weight,getpos(J$2),FALSE))*(1+VLOOKUP(F4,weapon_property_weight,getpos(J$2),FALSE))*VLOOKUP($E4,role_grow,getpos(J$2),FALSE)*$G4*10*VLOOKUP($C4,weapon_grow1,4,FALSE))</f>
        <v>40</v>
      </c>
      <c r="K4" s="33">
        <f t="shared" si="3"/>
        <v>28</v>
      </c>
      <c r="L4" s="33">
        <f t="shared" si="3"/>
        <v>1</v>
      </c>
      <c r="M4" s="33">
        <f t="shared" si="3"/>
        <v>17</v>
      </c>
      <c r="N4" s="33">
        <f t="shared" si="4"/>
        <v>1</v>
      </c>
      <c r="O4" s="33">
        <f t="shared" si="3"/>
        <v>5</v>
      </c>
      <c r="P4" s="33">
        <f t="shared" si="3"/>
        <v>4</v>
      </c>
      <c r="Q4" s="33">
        <f t="shared" si="3"/>
        <v>7</v>
      </c>
      <c r="R4" s="35">
        <f t="shared" ref="R4:R67" si="9">(Q4/3)%</f>
        <v>2.3333333333333334E-2</v>
      </c>
      <c r="S4" s="35">
        <f t="shared" ref="S4:S67" si="10">(P4/3)%</f>
        <v>1.3333333333333332E-2</v>
      </c>
      <c r="T4" s="35">
        <f t="shared" ref="T4:T67" si="11">(Q4/3)%</f>
        <v>2.3333333333333334E-2</v>
      </c>
      <c r="U4" s="35">
        <f t="shared" si="5"/>
        <v>1.9607843137254943E-2</v>
      </c>
      <c r="V4" s="35">
        <f t="shared" si="6"/>
        <v>0.1071428571428571</v>
      </c>
      <c r="W4" s="35">
        <f t="shared" si="6"/>
        <v>1.9607843137254943E-2</v>
      </c>
      <c r="X4" s="35">
        <f t="shared" si="6"/>
        <v>1.9607843137254943E-2</v>
      </c>
      <c r="Y4" s="35">
        <f t="shared" si="6"/>
        <v>1.9607843137254943E-2</v>
      </c>
      <c r="Z4" s="35">
        <f t="shared" si="6"/>
        <v>1.9607843137254943E-2</v>
      </c>
      <c r="AA4" s="35">
        <f t="shared" si="6"/>
        <v>1.9607843137254943E-2</v>
      </c>
    </row>
    <row r="5" spans="2:27" x14ac:dyDescent="0.2">
      <c r="B5" s="2">
        <v>3</v>
      </c>
      <c r="C5" s="2" t="s">
        <v>127</v>
      </c>
      <c r="D5" s="29" t="s">
        <v>128</v>
      </c>
      <c r="E5" s="29" t="s">
        <v>209</v>
      </c>
      <c r="F5" s="2" t="s">
        <v>210</v>
      </c>
      <c r="G5" s="2">
        <v>3</v>
      </c>
      <c r="H5" s="2" t="str">
        <f t="shared" si="2"/>
        <v>地脉</v>
      </c>
      <c r="I5" s="38">
        <f t="shared" si="7"/>
        <v>0.14090909090909093</v>
      </c>
      <c r="J5" s="33">
        <f t="shared" si="8"/>
        <v>60</v>
      </c>
      <c r="K5" s="33">
        <f t="shared" si="3"/>
        <v>42</v>
      </c>
      <c r="L5" s="33">
        <f t="shared" si="3"/>
        <v>2</v>
      </c>
      <c r="M5" s="33">
        <f t="shared" si="3"/>
        <v>25</v>
      </c>
      <c r="N5" s="33">
        <f t="shared" si="4"/>
        <v>1</v>
      </c>
      <c r="O5" s="33">
        <f t="shared" si="3"/>
        <v>8</v>
      </c>
      <c r="P5" s="33">
        <f t="shared" si="3"/>
        <v>7</v>
      </c>
      <c r="Q5" s="33">
        <f t="shared" si="3"/>
        <v>10</v>
      </c>
      <c r="R5" s="35">
        <f t="shared" si="9"/>
        <v>3.3333333333333333E-2</v>
      </c>
      <c r="S5" s="35">
        <f t="shared" si="10"/>
        <v>2.3333333333333334E-2</v>
      </c>
      <c r="T5" s="35">
        <f t="shared" si="11"/>
        <v>3.3333333333333333E-2</v>
      </c>
      <c r="U5" s="35">
        <f t="shared" si="5"/>
        <v>2.9126213592232997E-2</v>
      </c>
      <c r="V5" s="35">
        <f t="shared" si="6"/>
        <v>0.14893617021276595</v>
      </c>
      <c r="W5" s="35">
        <f t="shared" si="6"/>
        <v>2.9126213592232997E-2</v>
      </c>
      <c r="X5" s="35">
        <f t="shared" si="6"/>
        <v>2.9126213592232997E-2</v>
      </c>
      <c r="Y5" s="35">
        <f t="shared" si="6"/>
        <v>2.9126213592232997E-2</v>
      </c>
      <c r="Z5" s="35">
        <f t="shared" si="6"/>
        <v>2.9126213592232997E-2</v>
      </c>
      <c r="AA5" s="35">
        <f t="shared" si="6"/>
        <v>2.9126213592232997E-2</v>
      </c>
    </row>
    <row r="6" spans="2:27" x14ac:dyDescent="0.2">
      <c r="B6" s="2">
        <v>4</v>
      </c>
      <c r="C6" s="2" t="s">
        <v>127</v>
      </c>
      <c r="D6" s="29" t="s">
        <v>128</v>
      </c>
      <c r="E6" s="29" t="s">
        <v>209</v>
      </c>
      <c r="F6" s="2" t="s">
        <v>210</v>
      </c>
      <c r="G6" s="2">
        <v>4</v>
      </c>
      <c r="H6" s="2" t="str">
        <f t="shared" si="2"/>
        <v>地脉</v>
      </c>
      <c r="I6" s="38">
        <f t="shared" si="7"/>
        <v>0.18909090909090909</v>
      </c>
      <c r="J6" s="33">
        <f t="shared" si="8"/>
        <v>80</v>
      </c>
      <c r="K6" s="33">
        <f t="shared" si="3"/>
        <v>56</v>
      </c>
      <c r="L6" s="33">
        <f t="shared" si="3"/>
        <v>3</v>
      </c>
      <c r="M6" s="33">
        <f t="shared" si="3"/>
        <v>34</v>
      </c>
      <c r="N6" s="33">
        <f t="shared" si="4"/>
        <v>2</v>
      </c>
      <c r="O6" s="33">
        <f t="shared" si="3"/>
        <v>10</v>
      </c>
      <c r="P6" s="33">
        <f t="shared" si="3"/>
        <v>9</v>
      </c>
      <c r="Q6" s="33">
        <f t="shared" si="3"/>
        <v>14</v>
      </c>
      <c r="R6" s="35">
        <f t="shared" si="9"/>
        <v>4.6666666666666669E-2</v>
      </c>
      <c r="S6" s="35">
        <f t="shared" si="10"/>
        <v>0.03</v>
      </c>
      <c r="T6" s="35">
        <f t="shared" si="11"/>
        <v>4.6666666666666669E-2</v>
      </c>
      <c r="U6" s="35">
        <f t="shared" si="5"/>
        <v>3.8461538461538436E-2</v>
      </c>
      <c r="V6" s="35">
        <f t="shared" si="6"/>
        <v>0.19028340080971662</v>
      </c>
      <c r="W6" s="35">
        <f t="shared" si="6"/>
        <v>3.8461538461538436E-2</v>
      </c>
      <c r="X6" s="35">
        <f t="shared" si="6"/>
        <v>3.8461538461538436E-2</v>
      </c>
      <c r="Y6" s="35">
        <f t="shared" si="6"/>
        <v>3.8461538461538436E-2</v>
      </c>
      <c r="Z6" s="35">
        <f t="shared" si="6"/>
        <v>3.8461538461538436E-2</v>
      </c>
      <c r="AA6" s="35">
        <f t="shared" si="6"/>
        <v>3.8461538461538436E-2</v>
      </c>
    </row>
    <row r="7" spans="2:27" x14ac:dyDescent="0.2">
      <c r="B7" s="2">
        <v>5</v>
      </c>
      <c r="C7" s="2" t="s">
        <v>127</v>
      </c>
      <c r="D7" s="29" t="s">
        <v>128</v>
      </c>
      <c r="E7" s="29" t="s">
        <v>209</v>
      </c>
      <c r="F7" s="2" t="s">
        <v>210</v>
      </c>
      <c r="G7" s="2">
        <v>5</v>
      </c>
      <c r="H7" s="2" t="str">
        <f t="shared" si="2"/>
        <v>地脉</v>
      </c>
      <c r="I7" s="38">
        <f t="shared" si="7"/>
        <v>0.23636363636363636</v>
      </c>
      <c r="J7" s="33">
        <f t="shared" si="8"/>
        <v>100</v>
      </c>
      <c r="K7" s="33">
        <f t="shared" si="3"/>
        <v>70</v>
      </c>
      <c r="L7" s="33">
        <f t="shared" si="3"/>
        <v>4</v>
      </c>
      <c r="M7" s="33">
        <f t="shared" si="3"/>
        <v>43</v>
      </c>
      <c r="N7" s="33">
        <f t="shared" si="4"/>
        <v>2</v>
      </c>
      <c r="O7" s="33">
        <f t="shared" si="3"/>
        <v>13</v>
      </c>
      <c r="P7" s="33">
        <f t="shared" si="3"/>
        <v>11</v>
      </c>
      <c r="Q7" s="33">
        <f t="shared" si="3"/>
        <v>17</v>
      </c>
      <c r="R7" s="35">
        <f t="shared" si="9"/>
        <v>5.6666666666666671E-2</v>
      </c>
      <c r="S7" s="35">
        <f t="shared" si="10"/>
        <v>3.6666666666666667E-2</v>
      </c>
      <c r="T7" s="35">
        <f t="shared" si="11"/>
        <v>5.6666666666666671E-2</v>
      </c>
      <c r="U7" s="35">
        <f t="shared" si="5"/>
        <v>4.7619047619047672E-2</v>
      </c>
      <c r="V7" s="35">
        <f t="shared" si="6"/>
        <v>0.22779922779922779</v>
      </c>
      <c r="W7" s="35">
        <f t="shared" si="6"/>
        <v>4.7619047619047672E-2</v>
      </c>
      <c r="X7" s="35">
        <f t="shared" si="6"/>
        <v>4.7619047619047672E-2</v>
      </c>
      <c r="Y7" s="35">
        <f t="shared" si="6"/>
        <v>4.7619047619047672E-2</v>
      </c>
      <c r="Z7" s="35">
        <f t="shared" si="6"/>
        <v>4.7619047619047672E-2</v>
      </c>
      <c r="AA7" s="35">
        <f t="shared" si="6"/>
        <v>4.7619047619047672E-2</v>
      </c>
    </row>
    <row r="8" spans="2:27" x14ac:dyDescent="0.2">
      <c r="B8" s="2">
        <v>6</v>
      </c>
      <c r="C8" s="2" t="s">
        <v>127</v>
      </c>
      <c r="D8" s="29" t="s">
        <v>128</v>
      </c>
      <c r="E8" s="29" t="s">
        <v>209</v>
      </c>
      <c r="F8" s="2" t="s">
        <v>210</v>
      </c>
      <c r="G8" s="2">
        <v>6</v>
      </c>
      <c r="H8" s="2" t="str">
        <f t="shared" si="2"/>
        <v>地脉</v>
      </c>
      <c r="I8" s="38">
        <f t="shared" si="7"/>
        <v>0.28545454545454546</v>
      </c>
      <c r="J8" s="33">
        <f t="shared" si="8"/>
        <v>121</v>
      </c>
      <c r="K8" s="33">
        <f t="shared" si="3"/>
        <v>84</v>
      </c>
      <c r="L8" s="33">
        <f t="shared" si="3"/>
        <v>5</v>
      </c>
      <c r="M8" s="33">
        <f t="shared" si="3"/>
        <v>51</v>
      </c>
      <c r="N8" s="33">
        <f t="shared" si="4"/>
        <v>2</v>
      </c>
      <c r="O8" s="33">
        <f t="shared" si="3"/>
        <v>16</v>
      </c>
      <c r="P8" s="33">
        <f t="shared" si="3"/>
        <v>14</v>
      </c>
      <c r="Q8" s="33">
        <f t="shared" si="3"/>
        <v>21</v>
      </c>
      <c r="R8" s="35">
        <f t="shared" si="9"/>
        <v>7.0000000000000007E-2</v>
      </c>
      <c r="S8" s="35">
        <f t="shared" si="10"/>
        <v>4.6666666666666669E-2</v>
      </c>
      <c r="T8" s="35">
        <f t="shared" si="11"/>
        <v>7.0000000000000007E-2</v>
      </c>
      <c r="U8" s="35">
        <f t="shared" si="5"/>
        <v>5.6603773584905648E-2</v>
      </c>
      <c r="V8" s="35">
        <f t="shared" si="6"/>
        <v>0.26199261992619927</v>
      </c>
      <c r="W8" s="35">
        <f t="shared" si="6"/>
        <v>5.6603773584905648E-2</v>
      </c>
      <c r="X8" s="35">
        <f t="shared" si="6"/>
        <v>5.6603773584905648E-2</v>
      </c>
      <c r="Y8" s="35">
        <f t="shared" si="6"/>
        <v>5.6603773584905648E-2</v>
      </c>
      <c r="Z8" s="35">
        <f t="shared" si="6"/>
        <v>5.6603773584905648E-2</v>
      </c>
      <c r="AA8" s="35">
        <f t="shared" si="6"/>
        <v>5.6603773584905648E-2</v>
      </c>
    </row>
    <row r="9" spans="2:27" x14ac:dyDescent="0.2">
      <c r="B9" s="2">
        <v>7</v>
      </c>
      <c r="C9" s="2" t="s">
        <v>127</v>
      </c>
      <c r="D9" s="29" t="s">
        <v>128</v>
      </c>
      <c r="E9" s="29" t="s">
        <v>209</v>
      </c>
      <c r="F9" s="2" t="s">
        <v>210</v>
      </c>
      <c r="G9" s="2">
        <v>7</v>
      </c>
      <c r="H9" s="2" t="str">
        <f t="shared" si="2"/>
        <v>地脉</v>
      </c>
      <c r="I9" s="38">
        <f t="shared" si="7"/>
        <v>0.33363636363636368</v>
      </c>
      <c r="J9" s="33">
        <f t="shared" si="8"/>
        <v>141</v>
      </c>
      <c r="K9" s="33">
        <f t="shared" si="3"/>
        <v>98</v>
      </c>
      <c r="L9" s="33">
        <f t="shared" si="3"/>
        <v>6</v>
      </c>
      <c r="M9" s="33">
        <f t="shared" si="3"/>
        <v>60</v>
      </c>
      <c r="N9" s="33">
        <f t="shared" si="4"/>
        <v>3</v>
      </c>
      <c r="O9" s="33">
        <f t="shared" si="3"/>
        <v>19</v>
      </c>
      <c r="P9" s="33">
        <f t="shared" si="3"/>
        <v>16</v>
      </c>
      <c r="Q9" s="33">
        <f t="shared" si="3"/>
        <v>24</v>
      </c>
      <c r="R9" s="35">
        <f t="shared" si="9"/>
        <v>0.08</v>
      </c>
      <c r="S9" s="35">
        <f t="shared" si="10"/>
        <v>5.333333333333333E-2</v>
      </c>
      <c r="T9" s="35">
        <f t="shared" si="11"/>
        <v>0.08</v>
      </c>
      <c r="U9" s="35">
        <f t="shared" si="5"/>
        <v>6.5420560747663559E-2</v>
      </c>
      <c r="V9" s="35">
        <f t="shared" si="6"/>
        <v>0.29078014184397161</v>
      </c>
      <c r="W9" s="35">
        <f t="shared" si="6"/>
        <v>6.5420560747663559E-2</v>
      </c>
      <c r="X9" s="35">
        <f t="shared" si="6"/>
        <v>6.5420560747663559E-2</v>
      </c>
      <c r="Y9" s="35">
        <f t="shared" si="6"/>
        <v>6.5420560747663559E-2</v>
      </c>
      <c r="Z9" s="35">
        <f t="shared" si="6"/>
        <v>6.5420560747663559E-2</v>
      </c>
      <c r="AA9" s="35">
        <f t="shared" si="6"/>
        <v>6.5420560747663559E-2</v>
      </c>
    </row>
    <row r="10" spans="2:27" x14ac:dyDescent="0.2">
      <c r="B10" s="2">
        <v>8</v>
      </c>
      <c r="C10" s="2" t="s">
        <v>127</v>
      </c>
      <c r="D10" s="29" t="s">
        <v>128</v>
      </c>
      <c r="E10" s="29" t="s">
        <v>209</v>
      </c>
      <c r="F10" s="2" t="s">
        <v>210</v>
      </c>
      <c r="G10" s="2">
        <v>8</v>
      </c>
      <c r="H10" s="2" t="str">
        <f t="shared" si="2"/>
        <v>地脉</v>
      </c>
      <c r="I10" s="38">
        <f t="shared" si="7"/>
        <v>0.38</v>
      </c>
      <c r="J10" s="33">
        <f t="shared" si="8"/>
        <v>161</v>
      </c>
      <c r="K10" s="33">
        <f t="shared" si="3"/>
        <v>112</v>
      </c>
      <c r="L10" s="33">
        <f t="shared" si="3"/>
        <v>7</v>
      </c>
      <c r="M10" s="33">
        <f t="shared" si="3"/>
        <v>68</v>
      </c>
      <c r="N10" s="33">
        <f t="shared" si="4"/>
        <v>3</v>
      </c>
      <c r="O10" s="33">
        <f t="shared" si="3"/>
        <v>21</v>
      </c>
      <c r="P10" s="33">
        <f t="shared" si="3"/>
        <v>18</v>
      </c>
      <c r="Q10" s="33">
        <f t="shared" si="3"/>
        <v>28</v>
      </c>
      <c r="R10" s="35">
        <f t="shared" si="9"/>
        <v>9.3333333333333338E-2</v>
      </c>
      <c r="S10" s="35">
        <f t="shared" si="10"/>
        <v>0.06</v>
      </c>
      <c r="T10" s="35">
        <f t="shared" si="11"/>
        <v>9.3333333333333338E-2</v>
      </c>
      <c r="U10" s="35">
        <f t="shared" si="5"/>
        <v>7.407407407407407E-2</v>
      </c>
      <c r="V10" s="35">
        <f t="shared" si="6"/>
        <v>0.31972789115646261</v>
      </c>
      <c r="W10" s="35">
        <f t="shared" si="6"/>
        <v>7.407407407407407E-2</v>
      </c>
      <c r="X10" s="35">
        <f t="shared" si="6"/>
        <v>7.407407407407407E-2</v>
      </c>
      <c r="Y10" s="35">
        <f t="shared" si="6"/>
        <v>7.407407407407407E-2</v>
      </c>
      <c r="Z10" s="35">
        <f t="shared" si="6"/>
        <v>7.407407407407407E-2</v>
      </c>
      <c r="AA10" s="35">
        <f t="shared" si="6"/>
        <v>7.407407407407407E-2</v>
      </c>
    </row>
    <row r="11" spans="2:27" x14ac:dyDescent="0.2">
      <c r="B11" s="2">
        <v>9</v>
      </c>
      <c r="C11" s="2" t="s">
        <v>129</v>
      </c>
      <c r="D11" s="29" t="s">
        <v>128</v>
      </c>
      <c r="E11" s="29" t="s">
        <v>209</v>
      </c>
      <c r="F11" s="2" t="s">
        <v>210</v>
      </c>
      <c r="G11" s="2">
        <f>G3</f>
        <v>1</v>
      </c>
      <c r="H11" s="2" t="str">
        <f t="shared" si="2"/>
        <v>地脉</v>
      </c>
      <c r="I11" s="38">
        <f t="shared" si="7"/>
        <v>0.1</v>
      </c>
      <c r="J11" s="33">
        <f t="shared" si="8"/>
        <v>15</v>
      </c>
      <c r="K11" s="33">
        <f t="shared" si="3"/>
        <v>14</v>
      </c>
      <c r="L11" s="33">
        <f t="shared" si="3"/>
        <v>0</v>
      </c>
      <c r="M11" s="33">
        <f t="shared" si="3"/>
        <v>9</v>
      </c>
      <c r="N11" s="33">
        <f t="shared" si="4"/>
        <v>1</v>
      </c>
      <c r="O11" s="33">
        <f t="shared" si="3"/>
        <v>2</v>
      </c>
      <c r="P11" s="33">
        <f t="shared" si="3"/>
        <v>2</v>
      </c>
      <c r="Q11" s="33">
        <f t="shared" si="3"/>
        <v>3</v>
      </c>
      <c r="R11" s="35">
        <f t="shared" si="9"/>
        <v>0.01</v>
      </c>
      <c r="S11" s="35">
        <f t="shared" si="10"/>
        <v>6.6666666666666662E-3</v>
      </c>
      <c r="T11" s="35">
        <f t="shared" si="11"/>
        <v>0.01</v>
      </c>
      <c r="U11" s="35">
        <f t="shared" si="5"/>
        <v>9.9009900990099098E-3</v>
      </c>
      <c r="V11" s="35">
        <f t="shared" si="6"/>
        <v>5.6603773584905648E-2</v>
      </c>
      <c r="W11" s="35">
        <f t="shared" si="6"/>
        <v>9.9009900990099098E-3</v>
      </c>
      <c r="X11" s="35">
        <f t="shared" si="6"/>
        <v>9.9009900990099098E-3</v>
      </c>
      <c r="Y11" s="35">
        <f t="shared" si="6"/>
        <v>9.9009900990099098E-3</v>
      </c>
      <c r="Z11" s="35">
        <f t="shared" si="6"/>
        <v>9.9009900990099098E-3</v>
      </c>
      <c r="AA11" s="35">
        <f t="shared" si="6"/>
        <v>9.9009900990099098E-3</v>
      </c>
    </row>
    <row r="12" spans="2:27" x14ac:dyDescent="0.2">
      <c r="B12" s="2">
        <v>10</v>
      </c>
      <c r="C12" s="2" t="s">
        <v>130</v>
      </c>
      <c r="D12" s="29" t="s">
        <v>10</v>
      </c>
      <c r="E12" s="29" t="s">
        <v>209</v>
      </c>
      <c r="F12" s="2" t="s">
        <v>210</v>
      </c>
      <c r="G12" s="2">
        <f t="shared" ref="G12:G75" si="12">G4</f>
        <v>2</v>
      </c>
      <c r="H12" s="2" t="str">
        <f t="shared" si="2"/>
        <v>地脉</v>
      </c>
      <c r="I12" s="38">
        <f t="shared" si="7"/>
        <v>0.1</v>
      </c>
      <c r="J12" s="33">
        <f t="shared" si="8"/>
        <v>30</v>
      </c>
      <c r="K12" s="33">
        <f t="shared" si="3"/>
        <v>29</v>
      </c>
      <c r="L12" s="33">
        <f t="shared" si="3"/>
        <v>1</v>
      </c>
      <c r="M12" s="33">
        <f t="shared" si="3"/>
        <v>18</v>
      </c>
      <c r="N12" s="33">
        <f t="shared" si="4"/>
        <v>1</v>
      </c>
      <c r="O12" s="33">
        <f t="shared" si="3"/>
        <v>5</v>
      </c>
      <c r="P12" s="33">
        <f t="shared" si="3"/>
        <v>4</v>
      </c>
      <c r="Q12" s="33">
        <f t="shared" si="3"/>
        <v>7</v>
      </c>
      <c r="R12" s="35">
        <f t="shared" si="9"/>
        <v>2.3333333333333334E-2</v>
      </c>
      <c r="S12" s="35">
        <f t="shared" si="10"/>
        <v>1.3333333333333332E-2</v>
      </c>
      <c r="T12" s="35">
        <f t="shared" si="11"/>
        <v>2.3333333333333334E-2</v>
      </c>
      <c r="U12" s="35">
        <f t="shared" si="5"/>
        <v>1.9607843137254943E-2</v>
      </c>
      <c r="V12" s="35">
        <f t="shared" si="6"/>
        <v>0.11111111111111116</v>
      </c>
      <c r="W12" s="35">
        <f t="shared" si="6"/>
        <v>1.9607843137254943E-2</v>
      </c>
      <c r="X12" s="35">
        <f t="shared" si="6"/>
        <v>1.9607843137254943E-2</v>
      </c>
      <c r="Y12" s="35">
        <f t="shared" si="6"/>
        <v>1.9607843137254943E-2</v>
      </c>
      <c r="Z12" s="35">
        <f t="shared" si="6"/>
        <v>1.9607843137254943E-2</v>
      </c>
      <c r="AA12" s="35">
        <f t="shared" si="6"/>
        <v>1.9607843137254943E-2</v>
      </c>
    </row>
    <row r="13" spans="2:27" x14ac:dyDescent="0.2">
      <c r="B13" s="2">
        <v>11</v>
      </c>
      <c r="C13" s="2" t="s">
        <v>129</v>
      </c>
      <c r="D13" s="29" t="s">
        <v>128</v>
      </c>
      <c r="E13" s="29" t="s">
        <v>209</v>
      </c>
      <c r="F13" s="2" t="s">
        <v>210</v>
      </c>
      <c r="G13" s="2">
        <f t="shared" si="12"/>
        <v>3</v>
      </c>
      <c r="H13" s="2" t="str">
        <f t="shared" si="2"/>
        <v>地脉</v>
      </c>
      <c r="I13" s="38">
        <f t="shared" si="7"/>
        <v>0.13272727272727272</v>
      </c>
      <c r="J13" s="33">
        <f t="shared" si="8"/>
        <v>46</v>
      </c>
      <c r="K13" s="33">
        <f t="shared" ref="K13:Q22" si="13">INT((1+VLOOKUP($F13,role_property_weight,getpos(K$2),FALSE))*(1+VLOOKUP($F13,weapon_property_weight,getpos(K$2),FALSE))*VLOOKUP($E13,role_grow,getpos(K$2),FALSE)*$G13*10*VLOOKUP($C13,weapon_grow1,5,FALSE))</f>
        <v>44</v>
      </c>
      <c r="L13" s="33">
        <f t="shared" si="13"/>
        <v>2</v>
      </c>
      <c r="M13" s="33">
        <f t="shared" si="13"/>
        <v>27</v>
      </c>
      <c r="N13" s="33">
        <f t="shared" si="4"/>
        <v>1</v>
      </c>
      <c r="O13" s="33">
        <f t="shared" si="13"/>
        <v>8</v>
      </c>
      <c r="P13" s="33">
        <f t="shared" si="13"/>
        <v>7</v>
      </c>
      <c r="Q13" s="33">
        <f t="shared" si="13"/>
        <v>11</v>
      </c>
      <c r="R13" s="35">
        <f t="shared" si="9"/>
        <v>3.6666666666666667E-2</v>
      </c>
      <c r="S13" s="35">
        <f t="shared" si="10"/>
        <v>2.3333333333333334E-2</v>
      </c>
      <c r="T13" s="35">
        <f t="shared" si="11"/>
        <v>3.6666666666666667E-2</v>
      </c>
      <c r="U13" s="35">
        <f t="shared" si="5"/>
        <v>2.9126213592232997E-2</v>
      </c>
      <c r="V13" s="35">
        <f t="shared" ref="V13:AA22" si="14">1-200/(200+ROUND((1+VLOOKUP($F13,role_property_weight,getpos(V$2),FALSE))*VLOOKUP($E13,role_grow,getpos(V$2),FALSE)*$G13*10*VLOOKUP($C13,weapon_grow1,5,FALSE),0))</f>
        <v>0.15611814345991559</v>
      </c>
      <c r="W13" s="35">
        <f t="shared" si="14"/>
        <v>2.9126213592232997E-2</v>
      </c>
      <c r="X13" s="35">
        <f t="shared" si="14"/>
        <v>2.9126213592232997E-2</v>
      </c>
      <c r="Y13" s="35">
        <f t="shared" si="14"/>
        <v>2.9126213592232997E-2</v>
      </c>
      <c r="Z13" s="35">
        <f t="shared" si="14"/>
        <v>2.9126213592232997E-2</v>
      </c>
      <c r="AA13" s="35">
        <f t="shared" si="14"/>
        <v>2.9126213592232997E-2</v>
      </c>
    </row>
    <row r="14" spans="2:27" x14ac:dyDescent="0.2">
      <c r="B14" s="2">
        <v>12</v>
      </c>
      <c r="C14" s="2" t="s">
        <v>129</v>
      </c>
      <c r="D14" s="29" t="s">
        <v>128</v>
      </c>
      <c r="E14" s="29" t="s">
        <v>209</v>
      </c>
      <c r="F14" s="2" t="s">
        <v>210</v>
      </c>
      <c r="G14" s="2">
        <f t="shared" si="12"/>
        <v>4</v>
      </c>
      <c r="H14" s="2" t="str">
        <f t="shared" si="2"/>
        <v>地脉</v>
      </c>
      <c r="I14" s="38">
        <f t="shared" si="7"/>
        <v>0.17727272727272728</v>
      </c>
      <c r="J14" s="33">
        <f t="shared" si="8"/>
        <v>61</v>
      </c>
      <c r="K14" s="33">
        <f t="shared" si="13"/>
        <v>59</v>
      </c>
      <c r="L14" s="33">
        <f t="shared" si="13"/>
        <v>3</v>
      </c>
      <c r="M14" s="33">
        <f t="shared" si="13"/>
        <v>36</v>
      </c>
      <c r="N14" s="33">
        <f t="shared" si="4"/>
        <v>2</v>
      </c>
      <c r="O14" s="33">
        <f t="shared" si="13"/>
        <v>11</v>
      </c>
      <c r="P14" s="33">
        <f t="shared" si="13"/>
        <v>9</v>
      </c>
      <c r="Q14" s="33">
        <f t="shared" si="13"/>
        <v>14</v>
      </c>
      <c r="R14" s="35">
        <f t="shared" si="9"/>
        <v>4.6666666666666669E-2</v>
      </c>
      <c r="S14" s="35">
        <f t="shared" si="10"/>
        <v>0.03</v>
      </c>
      <c r="T14" s="35">
        <f t="shared" si="11"/>
        <v>4.6666666666666669E-2</v>
      </c>
      <c r="U14" s="35">
        <f t="shared" si="5"/>
        <v>3.8461538461538436E-2</v>
      </c>
      <c r="V14" s="35">
        <f t="shared" si="14"/>
        <v>0.19999999999999996</v>
      </c>
      <c r="W14" s="35">
        <f t="shared" si="14"/>
        <v>3.8461538461538436E-2</v>
      </c>
      <c r="X14" s="35">
        <f t="shared" si="14"/>
        <v>3.8461538461538436E-2</v>
      </c>
      <c r="Y14" s="35">
        <f t="shared" si="14"/>
        <v>3.8461538461538436E-2</v>
      </c>
      <c r="Z14" s="35">
        <f t="shared" si="14"/>
        <v>3.8461538461538436E-2</v>
      </c>
      <c r="AA14" s="35">
        <f t="shared" si="14"/>
        <v>3.8461538461538436E-2</v>
      </c>
    </row>
    <row r="15" spans="2:27" x14ac:dyDescent="0.2">
      <c r="B15" s="2">
        <v>13</v>
      </c>
      <c r="C15" s="2" t="s">
        <v>130</v>
      </c>
      <c r="D15" s="29" t="s">
        <v>10</v>
      </c>
      <c r="E15" s="29" t="s">
        <v>209</v>
      </c>
      <c r="F15" s="2" t="s">
        <v>210</v>
      </c>
      <c r="G15" s="2">
        <f t="shared" si="12"/>
        <v>5</v>
      </c>
      <c r="H15" s="2" t="str">
        <f t="shared" si="2"/>
        <v>地脉</v>
      </c>
      <c r="I15" s="38">
        <f t="shared" si="7"/>
        <v>0.22272727272727275</v>
      </c>
      <c r="J15" s="33">
        <f t="shared" si="8"/>
        <v>77</v>
      </c>
      <c r="K15" s="33">
        <f t="shared" si="13"/>
        <v>73</v>
      </c>
      <c r="L15" s="33">
        <f t="shared" si="13"/>
        <v>4</v>
      </c>
      <c r="M15" s="33">
        <f t="shared" si="13"/>
        <v>45</v>
      </c>
      <c r="N15" s="33">
        <f t="shared" si="4"/>
        <v>2</v>
      </c>
      <c r="O15" s="33">
        <f t="shared" si="13"/>
        <v>14</v>
      </c>
      <c r="P15" s="33">
        <f t="shared" si="13"/>
        <v>12</v>
      </c>
      <c r="Q15" s="33">
        <f t="shared" si="13"/>
        <v>18</v>
      </c>
      <c r="R15" s="35">
        <f t="shared" si="9"/>
        <v>0.06</v>
      </c>
      <c r="S15" s="35">
        <f t="shared" si="10"/>
        <v>0.04</v>
      </c>
      <c r="T15" s="35">
        <f t="shared" si="11"/>
        <v>0.06</v>
      </c>
      <c r="U15" s="35">
        <f t="shared" si="5"/>
        <v>4.7619047619047672E-2</v>
      </c>
      <c r="V15" s="35">
        <f t="shared" si="14"/>
        <v>0.23664122137404575</v>
      </c>
      <c r="W15" s="35">
        <f t="shared" si="14"/>
        <v>4.7619047619047672E-2</v>
      </c>
      <c r="X15" s="35">
        <f t="shared" si="14"/>
        <v>4.7619047619047672E-2</v>
      </c>
      <c r="Y15" s="35">
        <f t="shared" si="14"/>
        <v>4.7619047619047672E-2</v>
      </c>
      <c r="Z15" s="35">
        <f t="shared" si="14"/>
        <v>4.7619047619047672E-2</v>
      </c>
      <c r="AA15" s="35">
        <f t="shared" si="14"/>
        <v>4.7619047619047672E-2</v>
      </c>
    </row>
    <row r="16" spans="2:27" x14ac:dyDescent="0.2">
      <c r="B16" s="2">
        <v>14</v>
      </c>
      <c r="C16" s="2" t="s">
        <v>129</v>
      </c>
      <c r="D16" s="29" t="s">
        <v>128</v>
      </c>
      <c r="E16" s="29" t="s">
        <v>209</v>
      </c>
      <c r="F16" s="2" t="s">
        <v>210</v>
      </c>
      <c r="G16" s="2">
        <f t="shared" si="12"/>
        <v>6</v>
      </c>
      <c r="H16" s="2" t="str">
        <f t="shared" si="2"/>
        <v>地脉</v>
      </c>
      <c r="I16" s="38">
        <f t="shared" si="7"/>
        <v>0.26727272727272727</v>
      </c>
      <c r="J16" s="33">
        <f t="shared" si="8"/>
        <v>92</v>
      </c>
      <c r="K16" s="33">
        <f t="shared" si="13"/>
        <v>88</v>
      </c>
      <c r="L16" s="33">
        <f t="shared" si="13"/>
        <v>5</v>
      </c>
      <c r="M16" s="33">
        <f t="shared" si="13"/>
        <v>54</v>
      </c>
      <c r="N16" s="33">
        <f t="shared" si="4"/>
        <v>2</v>
      </c>
      <c r="O16" s="33">
        <f t="shared" si="13"/>
        <v>17</v>
      </c>
      <c r="P16" s="33">
        <f t="shared" si="13"/>
        <v>14</v>
      </c>
      <c r="Q16" s="33">
        <f t="shared" si="13"/>
        <v>22</v>
      </c>
      <c r="R16" s="35">
        <f t="shared" si="9"/>
        <v>7.3333333333333334E-2</v>
      </c>
      <c r="S16" s="35">
        <f t="shared" si="10"/>
        <v>4.6666666666666669E-2</v>
      </c>
      <c r="T16" s="35">
        <f t="shared" si="11"/>
        <v>7.3333333333333334E-2</v>
      </c>
      <c r="U16" s="35">
        <f t="shared" si="5"/>
        <v>5.6603773584905648E-2</v>
      </c>
      <c r="V16" s="35">
        <f t="shared" si="14"/>
        <v>0.27007299270072993</v>
      </c>
      <c r="W16" s="35">
        <f t="shared" si="14"/>
        <v>5.6603773584905648E-2</v>
      </c>
      <c r="X16" s="35">
        <f t="shared" si="14"/>
        <v>5.6603773584905648E-2</v>
      </c>
      <c r="Y16" s="35">
        <f t="shared" si="14"/>
        <v>5.6603773584905648E-2</v>
      </c>
      <c r="Z16" s="35">
        <f t="shared" si="14"/>
        <v>5.6603773584905648E-2</v>
      </c>
      <c r="AA16" s="35">
        <f t="shared" si="14"/>
        <v>5.6603773584905648E-2</v>
      </c>
    </row>
    <row r="17" spans="2:27" x14ac:dyDescent="0.2">
      <c r="B17" s="2">
        <v>15</v>
      </c>
      <c r="C17" s="2" t="s">
        <v>129</v>
      </c>
      <c r="D17" s="29" t="s">
        <v>128</v>
      </c>
      <c r="E17" s="29" t="s">
        <v>209</v>
      </c>
      <c r="F17" s="2" t="s">
        <v>210</v>
      </c>
      <c r="G17" s="2">
        <f t="shared" si="12"/>
        <v>7</v>
      </c>
      <c r="H17" s="2" t="str">
        <f t="shared" si="2"/>
        <v>地脉</v>
      </c>
      <c r="I17" s="38">
        <f t="shared" si="7"/>
        <v>0.31454545454545452</v>
      </c>
      <c r="J17" s="33">
        <f t="shared" si="8"/>
        <v>108</v>
      </c>
      <c r="K17" s="33">
        <f t="shared" si="13"/>
        <v>103</v>
      </c>
      <c r="L17" s="33">
        <f t="shared" si="13"/>
        <v>6</v>
      </c>
      <c r="M17" s="33">
        <f t="shared" si="13"/>
        <v>63</v>
      </c>
      <c r="N17" s="33">
        <f t="shared" si="4"/>
        <v>3</v>
      </c>
      <c r="O17" s="33">
        <f t="shared" si="13"/>
        <v>20</v>
      </c>
      <c r="P17" s="33">
        <f t="shared" si="13"/>
        <v>17</v>
      </c>
      <c r="Q17" s="33">
        <f t="shared" si="13"/>
        <v>26</v>
      </c>
      <c r="R17" s="35">
        <f t="shared" si="9"/>
        <v>8.6666666666666656E-2</v>
      </c>
      <c r="S17" s="35">
        <f t="shared" si="10"/>
        <v>5.6666666666666671E-2</v>
      </c>
      <c r="T17" s="35">
        <f t="shared" si="11"/>
        <v>8.6666666666666656E-2</v>
      </c>
      <c r="U17" s="35">
        <f t="shared" si="5"/>
        <v>6.5420560747663559E-2</v>
      </c>
      <c r="V17" s="35">
        <f t="shared" si="14"/>
        <v>0.30313588850174211</v>
      </c>
      <c r="W17" s="35">
        <f t="shared" si="14"/>
        <v>6.5420560747663559E-2</v>
      </c>
      <c r="X17" s="35">
        <f t="shared" si="14"/>
        <v>6.5420560747663559E-2</v>
      </c>
      <c r="Y17" s="35">
        <f t="shared" si="14"/>
        <v>6.5420560747663559E-2</v>
      </c>
      <c r="Z17" s="35">
        <f t="shared" si="14"/>
        <v>6.5420560747663559E-2</v>
      </c>
      <c r="AA17" s="35">
        <f t="shared" si="14"/>
        <v>6.5420560747663559E-2</v>
      </c>
    </row>
    <row r="18" spans="2:27" x14ac:dyDescent="0.2">
      <c r="B18" s="2">
        <v>16</v>
      </c>
      <c r="C18" s="2" t="s">
        <v>129</v>
      </c>
      <c r="D18" s="29" t="s">
        <v>128</v>
      </c>
      <c r="E18" s="29" t="s">
        <v>209</v>
      </c>
      <c r="F18" s="2" t="s">
        <v>210</v>
      </c>
      <c r="G18" s="2">
        <f t="shared" si="12"/>
        <v>8</v>
      </c>
      <c r="H18" s="2" t="str">
        <f t="shared" si="2"/>
        <v>地脉</v>
      </c>
      <c r="I18" s="38">
        <f t="shared" si="7"/>
        <v>0.35818181818181821</v>
      </c>
      <c r="J18" s="33">
        <f t="shared" si="8"/>
        <v>123</v>
      </c>
      <c r="K18" s="33">
        <f t="shared" si="13"/>
        <v>118</v>
      </c>
      <c r="L18" s="33">
        <f t="shared" si="13"/>
        <v>7</v>
      </c>
      <c r="M18" s="33">
        <f t="shared" si="13"/>
        <v>72</v>
      </c>
      <c r="N18" s="33">
        <f t="shared" si="4"/>
        <v>3</v>
      </c>
      <c r="O18" s="33">
        <f t="shared" si="13"/>
        <v>23</v>
      </c>
      <c r="P18" s="33">
        <f t="shared" si="13"/>
        <v>19</v>
      </c>
      <c r="Q18" s="33">
        <f t="shared" si="13"/>
        <v>29</v>
      </c>
      <c r="R18" s="35">
        <f t="shared" si="9"/>
        <v>9.6666666666666665E-2</v>
      </c>
      <c r="S18" s="35">
        <f t="shared" si="10"/>
        <v>6.3333333333333325E-2</v>
      </c>
      <c r="T18" s="35">
        <f t="shared" si="11"/>
        <v>9.6666666666666665E-2</v>
      </c>
      <c r="U18" s="35">
        <f t="shared" si="5"/>
        <v>7.8341013824884786E-2</v>
      </c>
      <c r="V18" s="35">
        <f t="shared" si="14"/>
        <v>0.33110367892976589</v>
      </c>
      <c r="W18" s="35">
        <f t="shared" si="14"/>
        <v>7.8341013824884786E-2</v>
      </c>
      <c r="X18" s="35">
        <f t="shared" si="14"/>
        <v>7.8341013824884786E-2</v>
      </c>
      <c r="Y18" s="35">
        <f t="shared" si="14"/>
        <v>7.8341013824884786E-2</v>
      </c>
      <c r="Z18" s="35">
        <f t="shared" si="14"/>
        <v>7.8341013824884786E-2</v>
      </c>
      <c r="AA18" s="35">
        <f t="shared" si="14"/>
        <v>7.8341013824884786E-2</v>
      </c>
    </row>
    <row r="19" spans="2:27" x14ac:dyDescent="0.2">
      <c r="B19" s="2">
        <v>17</v>
      </c>
      <c r="C19" s="2" t="s">
        <v>131</v>
      </c>
      <c r="D19" s="29" t="s">
        <v>10</v>
      </c>
      <c r="E19" s="29" t="s">
        <v>209</v>
      </c>
      <c r="F19" s="2" t="s">
        <v>210</v>
      </c>
      <c r="G19" s="2">
        <f t="shared" si="12"/>
        <v>1</v>
      </c>
      <c r="H19" s="2" t="str">
        <f t="shared" si="2"/>
        <v>地脉</v>
      </c>
      <c r="I19" s="38">
        <f t="shared" si="7"/>
        <v>0.1</v>
      </c>
      <c r="J19" s="33">
        <f t="shared" si="8"/>
        <v>16</v>
      </c>
      <c r="K19" s="33">
        <f t="shared" si="13"/>
        <v>18</v>
      </c>
      <c r="L19" s="33">
        <f t="shared" si="13"/>
        <v>1</v>
      </c>
      <c r="M19" s="33">
        <f t="shared" si="13"/>
        <v>11</v>
      </c>
      <c r="N19" s="33">
        <f t="shared" si="4"/>
        <v>1</v>
      </c>
      <c r="O19" s="33">
        <f t="shared" si="13"/>
        <v>3</v>
      </c>
      <c r="P19" s="33">
        <f t="shared" si="13"/>
        <v>3</v>
      </c>
      <c r="Q19" s="33">
        <f t="shared" si="13"/>
        <v>4</v>
      </c>
      <c r="R19" s="35">
        <f t="shared" si="9"/>
        <v>1.3333333333333332E-2</v>
      </c>
      <c r="S19" s="35">
        <f t="shared" si="10"/>
        <v>0.01</v>
      </c>
      <c r="T19" s="35">
        <f t="shared" si="11"/>
        <v>1.3333333333333332E-2</v>
      </c>
      <c r="U19" s="35">
        <f t="shared" si="5"/>
        <v>1.4778325123152691E-2</v>
      </c>
      <c r="V19" s="35">
        <f t="shared" si="14"/>
        <v>7.407407407407407E-2</v>
      </c>
      <c r="W19" s="35">
        <f t="shared" si="14"/>
        <v>1.4778325123152691E-2</v>
      </c>
      <c r="X19" s="35">
        <f t="shared" si="14"/>
        <v>1.4778325123152691E-2</v>
      </c>
      <c r="Y19" s="35">
        <f t="shared" si="14"/>
        <v>1.4778325123152691E-2</v>
      </c>
      <c r="Z19" s="35">
        <f t="shared" si="14"/>
        <v>1.4778325123152691E-2</v>
      </c>
      <c r="AA19" s="35">
        <f t="shared" si="14"/>
        <v>1.4778325123152691E-2</v>
      </c>
    </row>
    <row r="20" spans="2:27" x14ac:dyDescent="0.2">
      <c r="B20" s="2">
        <v>18</v>
      </c>
      <c r="C20" s="2" t="s">
        <v>132</v>
      </c>
      <c r="D20" s="29" t="s">
        <v>128</v>
      </c>
      <c r="E20" s="29" t="s">
        <v>209</v>
      </c>
      <c r="F20" s="2" t="s">
        <v>210</v>
      </c>
      <c r="G20" s="2">
        <f t="shared" si="12"/>
        <v>2</v>
      </c>
      <c r="H20" s="2" t="str">
        <f t="shared" si="2"/>
        <v>地脉</v>
      </c>
      <c r="I20" s="38">
        <f t="shared" si="7"/>
        <v>0.10636363636363637</v>
      </c>
      <c r="J20" s="33">
        <f t="shared" si="8"/>
        <v>33</v>
      </c>
      <c r="K20" s="33">
        <f t="shared" si="13"/>
        <v>37</v>
      </c>
      <c r="L20" s="33">
        <f t="shared" si="13"/>
        <v>2</v>
      </c>
      <c r="M20" s="33">
        <f t="shared" si="13"/>
        <v>22</v>
      </c>
      <c r="N20" s="33">
        <f t="shared" si="4"/>
        <v>1</v>
      </c>
      <c r="O20" s="33">
        <f t="shared" si="13"/>
        <v>7</v>
      </c>
      <c r="P20" s="33">
        <f t="shared" si="13"/>
        <v>6</v>
      </c>
      <c r="Q20" s="33">
        <f t="shared" si="13"/>
        <v>9</v>
      </c>
      <c r="R20" s="35">
        <f t="shared" si="9"/>
        <v>0.03</v>
      </c>
      <c r="S20" s="35">
        <f t="shared" si="10"/>
        <v>0.02</v>
      </c>
      <c r="T20" s="35">
        <f t="shared" si="11"/>
        <v>0.03</v>
      </c>
      <c r="U20" s="35">
        <f t="shared" si="5"/>
        <v>2.4390243902439046E-2</v>
      </c>
      <c r="V20" s="35">
        <f t="shared" si="14"/>
        <v>0.13419913419913421</v>
      </c>
      <c r="W20" s="35">
        <f t="shared" si="14"/>
        <v>2.4390243902439046E-2</v>
      </c>
      <c r="X20" s="35">
        <f t="shared" si="14"/>
        <v>2.4390243902439046E-2</v>
      </c>
      <c r="Y20" s="35">
        <f t="shared" si="14"/>
        <v>2.4390243902439046E-2</v>
      </c>
      <c r="Z20" s="35">
        <f t="shared" si="14"/>
        <v>2.4390243902439046E-2</v>
      </c>
      <c r="AA20" s="35">
        <f t="shared" si="14"/>
        <v>2.4390243902439046E-2</v>
      </c>
    </row>
    <row r="21" spans="2:27" x14ac:dyDescent="0.2">
      <c r="B21" s="2">
        <v>19</v>
      </c>
      <c r="C21" s="2" t="s">
        <v>132</v>
      </c>
      <c r="D21" s="29" t="s">
        <v>128</v>
      </c>
      <c r="E21" s="29" t="s">
        <v>209</v>
      </c>
      <c r="F21" s="2" t="s">
        <v>210</v>
      </c>
      <c r="G21" s="2">
        <f t="shared" si="12"/>
        <v>3</v>
      </c>
      <c r="H21" s="2" t="str">
        <f t="shared" si="2"/>
        <v>地脉</v>
      </c>
      <c r="I21" s="38">
        <f t="shared" si="7"/>
        <v>0.16</v>
      </c>
      <c r="J21" s="33">
        <f t="shared" si="8"/>
        <v>49</v>
      </c>
      <c r="K21" s="33">
        <f t="shared" si="13"/>
        <v>55</v>
      </c>
      <c r="L21" s="33">
        <f t="shared" si="13"/>
        <v>3</v>
      </c>
      <c r="M21" s="33">
        <f t="shared" si="13"/>
        <v>34</v>
      </c>
      <c r="N21" s="33">
        <f t="shared" si="4"/>
        <v>2</v>
      </c>
      <c r="O21" s="33">
        <f t="shared" si="13"/>
        <v>10</v>
      </c>
      <c r="P21" s="33">
        <f t="shared" si="13"/>
        <v>9</v>
      </c>
      <c r="Q21" s="33">
        <f t="shared" si="13"/>
        <v>14</v>
      </c>
      <c r="R21" s="35">
        <f t="shared" si="9"/>
        <v>4.6666666666666669E-2</v>
      </c>
      <c r="S21" s="35">
        <f t="shared" si="10"/>
        <v>0.03</v>
      </c>
      <c r="T21" s="35">
        <f t="shared" si="11"/>
        <v>4.6666666666666669E-2</v>
      </c>
      <c r="U21" s="35">
        <f t="shared" si="5"/>
        <v>3.8461538461538436E-2</v>
      </c>
      <c r="V21" s="35">
        <f t="shared" si="14"/>
        <v>0.19028340080971662</v>
      </c>
      <c r="W21" s="35">
        <f t="shared" si="14"/>
        <v>3.8461538461538436E-2</v>
      </c>
      <c r="X21" s="35">
        <f t="shared" si="14"/>
        <v>3.8461538461538436E-2</v>
      </c>
      <c r="Y21" s="35">
        <f t="shared" si="14"/>
        <v>3.8461538461538436E-2</v>
      </c>
      <c r="Z21" s="35">
        <f t="shared" si="14"/>
        <v>3.8461538461538436E-2</v>
      </c>
      <c r="AA21" s="35">
        <f t="shared" si="14"/>
        <v>3.8461538461538436E-2</v>
      </c>
    </row>
    <row r="22" spans="2:27" x14ac:dyDescent="0.2">
      <c r="B22" s="2">
        <v>20</v>
      </c>
      <c r="C22" s="2" t="s">
        <v>132</v>
      </c>
      <c r="D22" s="29" t="s">
        <v>128</v>
      </c>
      <c r="E22" s="29" t="s">
        <v>209</v>
      </c>
      <c r="F22" s="2" t="s">
        <v>210</v>
      </c>
      <c r="G22" s="2">
        <f t="shared" si="12"/>
        <v>4</v>
      </c>
      <c r="H22" s="2" t="str">
        <f t="shared" si="2"/>
        <v>地脉</v>
      </c>
      <c r="I22" s="38">
        <f t="shared" si="7"/>
        <v>0.21363636363636362</v>
      </c>
      <c r="J22" s="33">
        <f t="shared" si="8"/>
        <v>66</v>
      </c>
      <c r="K22" s="33">
        <f t="shared" si="13"/>
        <v>74</v>
      </c>
      <c r="L22" s="33">
        <f t="shared" si="13"/>
        <v>4</v>
      </c>
      <c r="M22" s="33">
        <f t="shared" si="13"/>
        <v>45</v>
      </c>
      <c r="N22" s="33">
        <f t="shared" si="4"/>
        <v>2</v>
      </c>
      <c r="O22" s="33">
        <f t="shared" si="13"/>
        <v>14</v>
      </c>
      <c r="P22" s="33">
        <f t="shared" si="13"/>
        <v>12</v>
      </c>
      <c r="Q22" s="33">
        <f t="shared" si="13"/>
        <v>18</v>
      </c>
      <c r="R22" s="35">
        <f t="shared" si="9"/>
        <v>0.06</v>
      </c>
      <c r="S22" s="35">
        <f t="shared" si="10"/>
        <v>0.04</v>
      </c>
      <c r="T22" s="35">
        <f t="shared" si="11"/>
        <v>0.06</v>
      </c>
      <c r="U22" s="35">
        <f t="shared" si="5"/>
        <v>4.7619047619047672E-2</v>
      </c>
      <c r="V22" s="35">
        <f t="shared" si="14"/>
        <v>0.23664122137404575</v>
      </c>
      <c r="W22" s="35">
        <f t="shared" si="14"/>
        <v>4.7619047619047672E-2</v>
      </c>
      <c r="X22" s="35">
        <f t="shared" si="14"/>
        <v>4.7619047619047672E-2</v>
      </c>
      <c r="Y22" s="35">
        <f t="shared" si="14"/>
        <v>4.7619047619047672E-2</v>
      </c>
      <c r="Z22" s="35">
        <f t="shared" si="14"/>
        <v>4.7619047619047672E-2</v>
      </c>
      <c r="AA22" s="35">
        <f t="shared" si="14"/>
        <v>4.7619047619047672E-2</v>
      </c>
    </row>
    <row r="23" spans="2:27" x14ac:dyDescent="0.2">
      <c r="B23" s="2">
        <v>21</v>
      </c>
      <c r="C23" s="2" t="s">
        <v>131</v>
      </c>
      <c r="D23" s="29" t="s">
        <v>10</v>
      </c>
      <c r="E23" s="29" t="s">
        <v>209</v>
      </c>
      <c r="F23" s="2" t="s">
        <v>210</v>
      </c>
      <c r="G23" s="2">
        <f t="shared" si="12"/>
        <v>5</v>
      </c>
      <c r="H23" s="2" t="str">
        <f t="shared" si="2"/>
        <v>地脉</v>
      </c>
      <c r="I23" s="38">
        <f t="shared" si="7"/>
        <v>0.27</v>
      </c>
      <c r="J23" s="33">
        <f t="shared" si="8"/>
        <v>83</v>
      </c>
      <c r="K23" s="33">
        <f t="shared" ref="K23:Q32" si="15">INT((1+VLOOKUP($F23,role_property_weight,getpos(K$2),FALSE))*(1+VLOOKUP($F23,weapon_property_weight,getpos(K$2),FALSE))*VLOOKUP($E23,role_grow,getpos(K$2),FALSE)*$G23*10*VLOOKUP($C23,weapon_grow1,5,FALSE))</f>
        <v>92</v>
      </c>
      <c r="L23" s="33">
        <f t="shared" si="15"/>
        <v>6</v>
      </c>
      <c r="M23" s="33">
        <f t="shared" si="15"/>
        <v>57</v>
      </c>
      <c r="N23" s="33">
        <f t="shared" si="4"/>
        <v>3</v>
      </c>
      <c r="O23" s="33">
        <f t="shared" si="15"/>
        <v>18</v>
      </c>
      <c r="P23" s="33">
        <f t="shared" si="15"/>
        <v>15</v>
      </c>
      <c r="Q23" s="33">
        <f t="shared" si="15"/>
        <v>23</v>
      </c>
      <c r="R23" s="35">
        <f t="shared" si="9"/>
        <v>7.6666666666666675E-2</v>
      </c>
      <c r="S23" s="35">
        <f t="shared" si="10"/>
        <v>0.05</v>
      </c>
      <c r="T23" s="35">
        <f t="shared" si="11"/>
        <v>7.6666666666666675E-2</v>
      </c>
      <c r="U23" s="35">
        <f t="shared" si="5"/>
        <v>6.1032863849765251E-2</v>
      </c>
      <c r="V23" s="35">
        <f t="shared" ref="V23:AA32" si="16">1-200/(200+ROUND((1+VLOOKUP($F23,role_property_weight,getpos(V$2),FALSE))*VLOOKUP($E23,role_grow,getpos(V$2),FALSE)*$G23*10*VLOOKUP($C23,weapon_grow1,5,FALSE),0))</f>
        <v>0.28057553956834536</v>
      </c>
      <c r="W23" s="35">
        <f t="shared" si="16"/>
        <v>6.1032863849765251E-2</v>
      </c>
      <c r="X23" s="35">
        <f t="shared" si="16"/>
        <v>6.1032863849765251E-2</v>
      </c>
      <c r="Y23" s="35">
        <f t="shared" si="16"/>
        <v>6.1032863849765251E-2</v>
      </c>
      <c r="Z23" s="35">
        <f t="shared" si="16"/>
        <v>6.1032863849765251E-2</v>
      </c>
      <c r="AA23" s="35">
        <f t="shared" si="16"/>
        <v>6.1032863849765251E-2</v>
      </c>
    </row>
    <row r="24" spans="2:27" x14ac:dyDescent="0.2">
      <c r="B24" s="2">
        <v>22</v>
      </c>
      <c r="C24" s="2" t="s">
        <v>133</v>
      </c>
      <c r="D24" s="29" t="s">
        <v>134</v>
      </c>
      <c r="E24" s="29" t="s">
        <v>209</v>
      </c>
      <c r="F24" s="2" t="s">
        <v>210</v>
      </c>
      <c r="G24" s="2">
        <f t="shared" si="12"/>
        <v>6</v>
      </c>
      <c r="H24" s="2" t="str">
        <f t="shared" si="2"/>
        <v>地脉</v>
      </c>
      <c r="I24" s="38">
        <f t="shared" si="7"/>
        <v>0.32272727272727275</v>
      </c>
      <c r="J24" s="33">
        <f t="shared" si="8"/>
        <v>99</v>
      </c>
      <c r="K24" s="33">
        <f t="shared" si="15"/>
        <v>111</v>
      </c>
      <c r="L24" s="33">
        <f t="shared" si="15"/>
        <v>7</v>
      </c>
      <c r="M24" s="33">
        <f t="shared" si="15"/>
        <v>68</v>
      </c>
      <c r="N24" s="33">
        <f t="shared" si="4"/>
        <v>3</v>
      </c>
      <c r="O24" s="33">
        <f t="shared" si="15"/>
        <v>21</v>
      </c>
      <c r="P24" s="33">
        <f t="shared" si="15"/>
        <v>18</v>
      </c>
      <c r="Q24" s="33">
        <f t="shared" si="15"/>
        <v>28</v>
      </c>
      <c r="R24" s="35">
        <f t="shared" si="9"/>
        <v>9.3333333333333338E-2</v>
      </c>
      <c r="S24" s="35">
        <f t="shared" si="10"/>
        <v>0.06</v>
      </c>
      <c r="T24" s="35">
        <f t="shared" si="11"/>
        <v>9.3333333333333338E-2</v>
      </c>
      <c r="U24" s="35">
        <f t="shared" si="5"/>
        <v>7.407407407407407E-2</v>
      </c>
      <c r="V24" s="35">
        <f t="shared" si="16"/>
        <v>0.31972789115646261</v>
      </c>
      <c r="W24" s="35">
        <f t="shared" si="16"/>
        <v>7.407407407407407E-2</v>
      </c>
      <c r="X24" s="35">
        <f t="shared" si="16"/>
        <v>7.407407407407407E-2</v>
      </c>
      <c r="Y24" s="35">
        <f t="shared" si="16"/>
        <v>7.407407407407407E-2</v>
      </c>
      <c r="Z24" s="35">
        <f t="shared" si="16"/>
        <v>7.407407407407407E-2</v>
      </c>
      <c r="AA24" s="35">
        <f t="shared" si="16"/>
        <v>7.407407407407407E-2</v>
      </c>
    </row>
    <row r="25" spans="2:27" x14ac:dyDescent="0.2">
      <c r="B25" s="2">
        <v>23</v>
      </c>
      <c r="C25" s="2" t="s">
        <v>135</v>
      </c>
      <c r="D25" s="29" t="s">
        <v>136</v>
      </c>
      <c r="E25" s="29" t="s">
        <v>209</v>
      </c>
      <c r="F25" s="2" t="s">
        <v>210</v>
      </c>
      <c r="G25" s="2">
        <f t="shared" si="12"/>
        <v>7</v>
      </c>
      <c r="H25" s="2" t="str">
        <f t="shared" si="2"/>
        <v>地脉</v>
      </c>
      <c r="I25" s="38">
        <f t="shared" si="7"/>
        <v>0.37727272727272726</v>
      </c>
      <c r="J25" s="33">
        <f t="shared" si="8"/>
        <v>116</v>
      </c>
      <c r="K25" s="33">
        <f t="shared" si="15"/>
        <v>130</v>
      </c>
      <c r="L25" s="33">
        <f t="shared" si="15"/>
        <v>8</v>
      </c>
      <c r="M25" s="33">
        <f t="shared" si="15"/>
        <v>80</v>
      </c>
      <c r="N25" s="33">
        <f t="shared" si="4"/>
        <v>3</v>
      </c>
      <c r="O25" s="33">
        <f t="shared" si="15"/>
        <v>25</v>
      </c>
      <c r="P25" s="33">
        <f t="shared" si="15"/>
        <v>21</v>
      </c>
      <c r="Q25" s="33">
        <f t="shared" si="15"/>
        <v>32</v>
      </c>
      <c r="R25" s="35">
        <f t="shared" si="9"/>
        <v>0.10666666666666666</v>
      </c>
      <c r="S25" s="35">
        <f t="shared" si="10"/>
        <v>7.0000000000000007E-2</v>
      </c>
      <c r="T25" s="35">
        <f t="shared" si="11"/>
        <v>0.10666666666666666</v>
      </c>
      <c r="U25" s="35">
        <f t="shared" si="5"/>
        <v>8.256880733944949E-2</v>
      </c>
      <c r="V25" s="35">
        <f t="shared" si="16"/>
        <v>0.3527508090614887</v>
      </c>
      <c r="W25" s="35">
        <f t="shared" si="16"/>
        <v>8.256880733944949E-2</v>
      </c>
      <c r="X25" s="35">
        <f t="shared" si="16"/>
        <v>8.256880733944949E-2</v>
      </c>
      <c r="Y25" s="35">
        <f t="shared" si="16"/>
        <v>8.256880733944949E-2</v>
      </c>
      <c r="Z25" s="35">
        <f t="shared" si="16"/>
        <v>8.256880733944949E-2</v>
      </c>
      <c r="AA25" s="35">
        <f t="shared" si="16"/>
        <v>8.256880733944949E-2</v>
      </c>
    </row>
    <row r="26" spans="2:27" x14ac:dyDescent="0.2">
      <c r="B26" s="2">
        <v>24</v>
      </c>
      <c r="C26" s="2" t="s">
        <v>131</v>
      </c>
      <c r="D26" s="29" t="s">
        <v>10</v>
      </c>
      <c r="E26" s="29" t="s">
        <v>209</v>
      </c>
      <c r="F26" s="2" t="s">
        <v>210</v>
      </c>
      <c r="G26" s="2">
        <f t="shared" si="12"/>
        <v>8</v>
      </c>
      <c r="H26" s="2" t="str">
        <f t="shared" si="2"/>
        <v>地脉</v>
      </c>
      <c r="I26" s="38">
        <f t="shared" si="7"/>
        <v>0.43181818181818182</v>
      </c>
      <c r="J26" s="33">
        <f t="shared" si="8"/>
        <v>133</v>
      </c>
      <c r="K26" s="33">
        <f t="shared" si="15"/>
        <v>148</v>
      </c>
      <c r="L26" s="33">
        <f t="shared" si="15"/>
        <v>9</v>
      </c>
      <c r="M26" s="33">
        <f t="shared" si="15"/>
        <v>91</v>
      </c>
      <c r="N26" s="33">
        <f t="shared" si="4"/>
        <v>4</v>
      </c>
      <c r="O26" s="33">
        <f t="shared" si="15"/>
        <v>29</v>
      </c>
      <c r="P26" s="33">
        <f t="shared" si="15"/>
        <v>24</v>
      </c>
      <c r="Q26" s="33">
        <f t="shared" si="15"/>
        <v>37</v>
      </c>
      <c r="R26" s="35">
        <f t="shared" si="9"/>
        <v>0.12333333333333334</v>
      </c>
      <c r="S26" s="35">
        <f t="shared" si="10"/>
        <v>0.08</v>
      </c>
      <c r="T26" s="35">
        <f t="shared" si="11"/>
        <v>0.12333333333333334</v>
      </c>
      <c r="U26" s="35">
        <f t="shared" si="5"/>
        <v>9.5022624434389136E-2</v>
      </c>
      <c r="V26" s="35">
        <f t="shared" si="16"/>
        <v>0.38461538461538458</v>
      </c>
      <c r="W26" s="35">
        <f t="shared" si="16"/>
        <v>9.5022624434389136E-2</v>
      </c>
      <c r="X26" s="35">
        <f t="shared" si="16"/>
        <v>9.5022624434389136E-2</v>
      </c>
      <c r="Y26" s="35">
        <f t="shared" si="16"/>
        <v>9.5022624434389136E-2</v>
      </c>
      <c r="Z26" s="35">
        <f t="shared" si="16"/>
        <v>9.5022624434389136E-2</v>
      </c>
      <c r="AA26" s="35">
        <f t="shared" si="16"/>
        <v>9.5022624434389136E-2</v>
      </c>
    </row>
    <row r="27" spans="2:27" x14ac:dyDescent="0.2">
      <c r="B27" s="2">
        <v>25</v>
      </c>
      <c r="C27" s="2" t="s">
        <v>137</v>
      </c>
      <c r="D27" s="29" t="s">
        <v>138</v>
      </c>
      <c r="E27" s="29" t="s">
        <v>209</v>
      </c>
      <c r="F27" s="2" t="s">
        <v>210</v>
      </c>
      <c r="G27" s="2">
        <f t="shared" si="12"/>
        <v>1</v>
      </c>
      <c r="H27" s="2" t="str">
        <f t="shared" si="2"/>
        <v>--</v>
      </c>
      <c r="I27" s="38">
        <f t="shared" si="7"/>
        <v>0</v>
      </c>
      <c r="J27" s="33">
        <f t="shared" si="8"/>
        <v>20</v>
      </c>
      <c r="K27" s="33">
        <f t="shared" si="15"/>
        <v>0</v>
      </c>
      <c r="L27" s="33">
        <f t="shared" si="15"/>
        <v>0</v>
      </c>
      <c r="M27" s="33">
        <f t="shared" si="15"/>
        <v>0</v>
      </c>
      <c r="N27" s="33">
        <f t="shared" si="4"/>
        <v>0</v>
      </c>
      <c r="O27" s="33">
        <f t="shared" si="15"/>
        <v>0</v>
      </c>
      <c r="P27" s="33">
        <f t="shared" si="15"/>
        <v>0</v>
      </c>
      <c r="Q27" s="33">
        <f t="shared" si="15"/>
        <v>0</v>
      </c>
      <c r="R27" s="35">
        <f t="shared" si="9"/>
        <v>0</v>
      </c>
      <c r="S27" s="35">
        <f t="shared" si="10"/>
        <v>0</v>
      </c>
      <c r="T27" s="35">
        <f t="shared" si="11"/>
        <v>0</v>
      </c>
      <c r="U27" s="35">
        <f t="shared" si="5"/>
        <v>0</v>
      </c>
      <c r="V27" s="35">
        <f t="shared" si="16"/>
        <v>0</v>
      </c>
      <c r="W27" s="35">
        <f t="shared" si="16"/>
        <v>0</v>
      </c>
      <c r="X27" s="35">
        <f t="shared" si="16"/>
        <v>0</v>
      </c>
      <c r="Y27" s="35">
        <f t="shared" si="16"/>
        <v>0</v>
      </c>
      <c r="Z27" s="35">
        <f t="shared" si="16"/>
        <v>0</v>
      </c>
      <c r="AA27" s="35">
        <f t="shared" si="16"/>
        <v>0</v>
      </c>
    </row>
    <row r="28" spans="2:27" x14ac:dyDescent="0.2">
      <c r="B28" s="2">
        <v>26</v>
      </c>
      <c r="C28" s="2" t="s">
        <v>139</v>
      </c>
      <c r="D28" s="29" t="s">
        <v>140</v>
      </c>
      <c r="E28" s="29" t="s">
        <v>209</v>
      </c>
      <c r="F28" s="2" t="s">
        <v>210</v>
      </c>
      <c r="G28" s="2">
        <f t="shared" si="12"/>
        <v>2</v>
      </c>
      <c r="H28" s="2" t="str">
        <f t="shared" si="2"/>
        <v>--</v>
      </c>
      <c r="I28" s="38">
        <f t="shared" si="7"/>
        <v>0</v>
      </c>
      <c r="J28" s="33">
        <f t="shared" si="8"/>
        <v>41</v>
      </c>
      <c r="K28" s="33">
        <f t="shared" si="15"/>
        <v>0</v>
      </c>
      <c r="L28" s="33">
        <f t="shared" si="15"/>
        <v>0</v>
      </c>
      <c r="M28" s="33">
        <f t="shared" si="15"/>
        <v>0</v>
      </c>
      <c r="N28" s="33">
        <f t="shared" si="4"/>
        <v>0</v>
      </c>
      <c r="O28" s="33">
        <f t="shared" si="15"/>
        <v>0</v>
      </c>
      <c r="P28" s="33">
        <f t="shared" si="15"/>
        <v>0</v>
      </c>
      <c r="Q28" s="33">
        <f t="shared" si="15"/>
        <v>0</v>
      </c>
      <c r="R28" s="35">
        <f t="shared" si="9"/>
        <v>0</v>
      </c>
      <c r="S28" s="35">
        <f t="shared" si="10"/>
        <v>0</v>
      </c>
      <c r="T28" s="35">
        <f t="shared" si="11"/>
        <v>0</v>
      </c>
      <c r="U28" s="35">
        <f t="shared" si="5"/>
        <v>0</v>
      </c>
      <c r="V28" s="35">
        <f t="shared" si="16"/>
        <v>0</v>
      </c>
      <c r="W28" s="35">
        <f t="shared" si="16"/>
        <v>0</v>
      </c>
      <c r="X28" s="35">
        <f t="shared" si="16"/>
        <v>0</v>
      </c>
      <c r="Y28" s="35">
        <f t="shared" si="16"/>
        <v>0</v>
      </c>
      <c r="Z28" s="35">
        <f t="shared" si="16"/>
        <v>0</v>
      </c>
      <c r="AA28" s="35">
        <f t="shared" si="16"/>
        <v>0</v>
      </c>
    </row>
    <row r="29" spans="2:27" x14ac:dyDescent="0.2">
      <c r="B29" s="2">
        <v>27</v>
      </c>
      <c r="C29" s="2" t="s">
        <v>141</v>
      </c>
      <c r="D29" s="29" t="s">
        <v>142</v>
      </c>
      <c r="E29" s="29" t="s">
        <v>209</v>
      </c>
      <c r="F29" s="2" t="s">
        <v>210</v>
      </c>
      <c r="G29" s="2">
        <f t="shared" si="12"/>
        <v>3</v>
      </c>
      <c r="H29" s="2" t="str">
        <f t="shared" si="2"/>
        <v>--</v>
      </c>
      <c r="I29" s="38">
        <f t="shared" si="7"/>
        <v>0</v>
      </c>
      <c r="J29" s="33">
        <f t="shared" si="8"/>
        <v>62</v>
      </c>
      <c r="K29" s="33">
        <f t="shared" si="15"/>
        <v>0</v>
      </c>
      <c r="L29" s="33">
        <f t="shared" si="15"/>
        <v>0</v>
      </c>
      <c r="M29" s="33">
        <f t="shared" si="15"/>
        <v>0</v>
      </c>
      <c r="N29" s="33">
        <f t="shared" si="4"/>
        <v>0</v>
      </c>
      <c r="O29" s="33">
        <f t="shared" si="15"/>
        <v>0</v>
      </c>
      <c r="P29" s="33">
        <f t="shared" si="15"/>
        <v>0</v>
      </c>
      <c r="Q29" s="33">
        <f t="shared" si="15"/>
        <v>0</v>
      </c>
      <c r="R29" s="35">
        <f t="shared" si="9"/>
        <v>0</v>
      </c>
      <c r="S29" s="35">
        <f t="shared" si="10"/>
        <v>0</v>
      </c>
      <c r="T29" s="35">
        <f t="shared" si="11"/>
        <v>0</v>
      </c>
      <c r="U29" s="35">
        <f t="shared" si="5"/>
        <v>0</v>
      </c>
      <c r="V29" s="35">
        <f t="shared" si="16"/>
        <v>0</v>
      </c>
      <c r="W29" s="35">
        <f t="shared" si="16"/>
        <v>0</v>
      </c>
      <c r="X29" s="35">
        <f t="shared" si="16"/>
        <v>0</v>
      </c>
      <c r="Y29" s="35">
        <f t="shared" si="16"/>
        <v>0</v>
      </c>
      <c r="Z29" s="35">
        <f t="shared" si="16"/>
        <v>0</v>
      </c>
      <c r="AA29" s="35">
        <f t="shared" si="16"/>
        <v>0</v>
      </c>
    </row>
    <row r="30" spans="2:27" x14ac:dyDescent="0.2">
      <c r="B30" s="2">
        <v>28</v>
      </c>
      <c r="C30" s="2" t="s">
        <v>143</v>
      </c>
      <c r="D30" s="29" t="s">
        <v>144</v>
      </c>
      <c r="E30" s="29" t="s">
        <v>209</v>
      </c>
      <c r="F30" s="2" t="s">
        <v>210</v>
      </c>
      <c r="G30" s="2">
        <f t="shared" si="12"/>
        <v>4</v>
      </c>
      <c r="H30" s="2" t="str">
        <f t="shared" si="2"/>
        <v>--</v>
      </c>
      <c r="I30" s="38">
        <f t="shared" si="7"/>
        <v>0</v>
      </c>
      <c r="J30" s="33">
        <f t="shared" si="8"/>
        <v>83</v>
      </c>
      <c r="K30" s="33">
        <f t="shared" si="15"/>
        <v>0</v>
      </c>
      <c r="L30" s="33">
        <f t="shared" si="15"/>
        <v>0</v>
      </c>
      <c r="M30" s="33">
        <f t="shared" si="15"/>
        <v>0</v>
      </c>
      <c r="N30" s="33">
        <f t="shared" si="4"/>
        <v>0</v>
      </c>
      <c r="O30" s="33">
        <f t="shared" si="15"/>
        <v>0</v>
      </c>
      <c r="P30" s="33">
        <f t="shared" si="15"/>
        <v>0</v>
      </c>
      <c r="Q30" s="33">
        <f t="shared" si="15"/>
        <v>0</v>
      </c>
      <c r="R30" s="35">
        <f t="shared" si="9"/>
        <v>0</v>
      </c>
      <c r="S30" s="35">
        <f t="shared" si="10"/>
        <v>0</v>
      </c>
      <c r="T30" s="35">
        <f t="shared" si="11"/>
        <v>0</v>
      </c>
      <c r="U30" s="35">
        <f t="shared" si="5"/>
        <v>0</v>
      </c>
      <c r="V30" s="35">
        <f t="shared" si="16"/>
        <v>0</v>
      </c>
      <c r="W30" s="35">
        <f t="shared" si="16"/>
        <v>0</v>
      </c>
      <c r="X30" s="35">
        <f t="shared" si="16"/>
        <v>0</v>
      </c>
      <c r="Y30" s="35">
        <f t="shared" si="16"/>
        <v>0</v>
      </c>
      <c r="Z30" s="35">
        <f t="shared" si="16"/>
        <v>0</v>
      </c>
      <c r="AA30" s="35">
        <f t="shared" si="16"/>
        <v>0</v>
      </c>
    </row>
    <row r="31" spans="2:27" x14ac:dyDescent="0.2">
      <c r="B31" s="2">
        <v>29</v>
      </c>
      <c r="C31" s="2" t="s">
        <v>143</v>
      </c>
      <c r="D31" s="29" t="s">
        <v>144</v>
      </c>
      <c r="E31" s="29" t="s">
        <v>209</v>
      </c>
      <c r="F31" s="2" t="s">
        <v>210</v>
      </c>
      <c r="G31" s="2">
        <f t="shared" si="12"/>
        <v>5</v>
      </c>
      <c r="H31" s="2" t="str">
        <f t="shared" si="2"/>
        <v>--</v>
      </c>
      <c r="I31" s="38">
        <f t="shared" si="7"/>
        <v>0</v>
      </c>
      <c r="J31" s="33">
        <f t="shared" si="8"/>
        <v>104</v>
      </c>
      <c r="K31" s="33">
        <f t="shared" si="15"/>
        <v>0</v>
      </c>
      <c r="L31" s="33">
        <f t="shared" si="15"/>
        <v>0</v>
      </c>
      <c r="M31" s="33">
        <f t="shared" si="15"/>
        <v>0</v>
      </c>
      <c r="N31" s="33">
        <f t="shared" si="4"/>
        <v>0</v>
      </c>
      <c r="O31" s="33">
        <f t="shared" si="15"/>
        <v>0</v>
      </c>
      <c r="P31" s="33">
        <f t="shared" si="15"/>
        <v>0</v>
      </c>
      <c r="Q31" s="33">
        <f t="shared" si="15"/>
        <v>0</v>
      </c>
      <c r="R31" s="35">
        <f t="shared" si="9"/>
        <v>0</v>
      </c>
      <c r="S31" s="35">
        <f t="shared" si="10"/>
        <v>0</v>
      </c>
      <c r="T31" s="35">
        <f t="shared" si="11"/>
        <v>0</v>
      </c>
      <c r="U31" s="35">
        <f t="shared" si="5"/>
        <v>0</v>
      </c>
      <c r="V31" s="35">
        <f t="shared" si="16"/>
        <v>0</v>
      </c>
      <c r="W31" s="35">
        <f t="shared" si="16"/>
        <v>0</v>
      </c>
      <c r="X31" s="35">
        <f t="shared" si="16"/>
        <v>0</v>
      </c>
      <c r="Y31" s="35">
        <f t="shared" si="16"/>
        <v>0</v>
      </c>
      <c r="Z31" s="35">
        <f t="shared" si="16"/>
        <v>0</v>
      </c>
      <c r="AA31" s="35">
        <f t="shared" si="16"/>
        <v>0</v>
      </c>
    </row>
    <row r="32" spans="2:27" x14ac:dyDescent="0.2">
      <c r="B32" s="2">
        <v>30</v>
      </c>
      <c r="C32" s="2" t="s">
        <v>145</v>
      </c>
      <c r="D32" s="29" t="s">
        <v>146</v>
      </c>
      <c r="E32" s="29" t="s">
        <v>209</v>
      </c>
      <c r="F32" s="2" t="s">
        <v>210</v>
      </c>
      <c r="G32" s="2">
        <f t="shared" si="12"/>
        <v>6</v>
      </c>
      <c r="H32" s="2" t="str">
        <f t="shared" si="2"/>
        <v>--</v>
      </c>
      <c r="I32" s="38">
        <f t="shared" si="7"/>
        <v>0</v>
      </c>
      <c r="J32" s="33">
        <f t="shared" si="8"/>
        <v>125</v>
      </c>
      <c r="K32" s="33">
        <f t="shared" si="15"/>
        <v>0</v>
      </c>
      <c r="L32" s="33">
        <f t="shared" si="15"/>
        <v>0</v>
      </c>
      <c r="M32" s="33">
        <f t="shared" si="15"/>
        <v>0</v>
      </c>
      <c r="N32" s="33">
        <f t="shared" si="4"/>
        <v>0</v>
      </c>
      <c r="O32" s="33">
        <f t="shared" si="15"/>
        <v>0</v>
      </c>
      <c r="P32" s="33">
        <f t="shared" si="15"/>
        <v>0</v>
      </c>
      <c r="Q32" s="33">
        <f t="shared" si="15"/>
        <v>0</v>
      </c>
      <c r="R32" s="35">
        <f t="shared" si="9"/>
        <v>0</v>
      </c>
      <c r="S32" s="35">
        <f t="shared" si="10"/>
        <v>0</v>
      </c>
      <c r="T32" s="35">
        <f t="shared" si="11"/>
        <v>0</v>
      </c>
      <c r="U32" s="35">
        <f t="shared" si="5"/>
        <v>0</v>
      </c>
      <c r="V32" s="35">
        <f t="shared" si="16"/>
        <v>0</v>
      </c>
      <c r="W32" s="35">
        <f t="shared" si="16"/>
        <v>0</v>
      </c>
      <c r="X32" s="35">
        <f t="shared" si="16"/>
        <v>0</v>
      </c>
      <c r="Y32" s="35">
        <f t="shared" si="16"/>
        <v>0</v>
      </c>
      <c r="Z32" s="35">
        <f t="shared" si="16"/>
        <v>0</v>
      </c>
      <c r="AA32" s="35">
        <f t="shared" si="16"/>
        <v>0</v>
      </c>
    </row>
    <row r="33" spans="2:27" x14ac:dyDescent="0.2">
      <c r="B33" s="2">
        <v>31</v>
      </c>
      <c r="C33" s="2" t="s">
        <v>147</v>
      </c>
      <c r="D33" s="29" t="s">
        <v>148</v>
      </c>
      <c r="E33" s="29" t="s">
        <v>209</v>
      </c>
      <c r="F33" s="2" t="s">
        <v>210</v>
      </c>
      <c r="G33" s="2">
        <f t="shared" si="12"/>
        <v>7</v>
      </c>
      <c r="H33" s="2" t="str">
        <f t="shared" si="2"/>
        <v>--</v>
      </c>
      <c r="I33" s="38">
        <f t="shared" si="7"/>
        <v>0</v>
      </c>
      <c r="J33" s="33">
        <f t="shared" si="8"/>
        <v>146</v>
      </c>
      <c r="K33" s="33">
        <f t="shared" ref="K33:Q42" si="17">INT((1+VLOOKUP($F33,role_property_weight,getpos(K$2),FALSE))*(1+VLOOKUP($F33,weapon_property_weight,getpos(K$2),FALSE))*VLOOKUP($E33,role_grow,getpos(K$2),FALSE)*$G33*10*VLOOKUP($C33,weapon_grow1,5,FALSE))</f>
        <v>0</v>
      </c>
      <c r="L33" s="33">
        <f t="shared" si="17"/>
        <v>0</v>
      </c>
      <c r="M33" s="33">
        <f t="shared" si="17"/>
        <v>0</v>
      </c>
      <c r="N33" s="33">
        <f t="shared" si="4"/>
        <v>0</v>
      </c>
      <c r="O33" s="33">
        <f t="shared" si="17"/>
        <v>0</v>
      </c>
      <c r="P33" s="33">
        <f t="shared" si="17"/>
        <v>0</v>
      </c>
      <c r="Q33" s="33">
        <f t="shared" si="17"/>
        <v>0</v>
      </c>
      <c r="R33" s="35">
        <f t="shared" si="9"/>
        <v>0</v>
      </c>
      <c r="S33" s="35">
        <f t="shared" si="10"/>
        <v>0</v>
      </c>
      <c r="T33" s="35">
        <f t="shared" si="11"/>
        <v>0</v>
      </c>
      <c r="U33" s="35">
        <f t="shared" si="5"/>
        <v>0</v>
      </c>
      <c r="V33" s="35">
        <f t="shared" ref="V33:AA42" si="18">1-200/(200+ROUND((1+VLOOKUP($F33,role_property_weight,getpos(V$2),FALSE))*VLOOKUP($E33,role_grow,getpos(V$2),FALSE)*$G33*10*VLOOKUP($C33,weapon_grow1,5,FALSE),0))</f>
        <v>0</v>
      </c>
      <c r="W33" s="35">
        <f t="shared" si="18"/>
        <v>0</v>
      </c>
      <c r="X33" s="35">
        <f t="shared" si="18"/>
        <v>0</v>
      </c>
      <c r="Y33" s="35">
        <f t="shared" si="18"/>
        <v>0</v>
      </c>
      <c r="Z33" s="35">
        <f t="shared" si="18"/>
        <v>0</v>
      </c>
      <c r="AA33" s="35">
        <f t="shared" si="18"/>
        <v>0</v>
      </c>
    </row>
    <row r="34" spans="2:27" x14ac:dyDescent="0.2">
      <c r="B34" s="2">
        <v>32</v>
      </c>
      <c r="C34" s="2" t="s">
        <v>145</v>
      </c>
      <c r="D34" s="29" t="s">
        <v>146</v>
      </c>
      <c r="E34" s="29" t="s">
        <v>209</v>
      </c>
      <c r="F34" s="2" t="s">
        <v>210</v>
      </c>
      <c r="G34" s="2">
        <f t="shared" si="12"/>
        <v>8</v>
      </c>
      <c r="H34" s="2" t="str">
        <f t="shared" si="2"/>
        <v>--</v>
      </c>
      <c r="I34" s="38">
        <f t="shared" si="7"/>
        <v>0</v>
      </c>
      <c r="J34" s="33">
        <f t="shared" si="8"/>
        <v>167</v>
      </c>
      <c r="K34" s="33">
        <f t="shared" si="17"/>
        <v>0</v>
      </c>
      <c r="L34" s="33">
        <f t="shared" si="17"/>
        <v>0</v>
      </c>
      <c r="M34" s="33">
        <f t="shared" si="17"/>
        <v>0</v>
      </c>
      <c r="N34" s="33">
        <f t="shared" si="4"/>
        <v>0</v>
      </c>
      <c r="O34" s="33">
        <f t="shared" si="17"/>
        <v>0</v>
      </c>
      <c r="P34" s="33">
        <f t="shared" si="17"/>
        <v>0</v>
      </c>
      <c r="Q34" s="33">
        <f t="shared" si="17"/>
        <v>0</v>
      </c>
      <c r="R34" s="35">
        <f t="shared" si="9"/>
        <v>0</v>
      </c>
      <c r="S34" s="35">
        <f t="shared" si="10"/>
        <v>0</v>
      </c>
      <c r="T34" s="35">
        <f t="shared" si="11"/>
        <v>0</v>
      </c>
      <c r="U34" s="35">
        <f t="shared" si="5"/>
        <v>0</v>
      </c>
      <c r="V34" s="35">
        <f t="shared" si="18"/>
        <v>0</v>
      </c>
      <c r="W34" s="35">
        <f t="shared" si="18"/>
        <v>0</v>
      </c>
      <c r="X34" s="35">
        <f t="shared" si="18"/>
        <v>0</v>
      </c>
      <c r="Y34" s="35">
        <f t="shared" si="18"/>
        <v>0</v>
      </c>
      <c r="Z34" s="35">
        <f t="shared" si="18"/>
        <v>0</v>
      </c>
      <c r="AA34" s="35">
        <f t="shared" si="18"/>
        <v>0</v>
      </c>
    </row>
    <row r="35" spans="2:27" x14ac:dyDescent="0.2">
      <c r="B35" s="2">
        <v>33</v>
      </c>
      <c r="C35" s="2" t="str">
        <f>C3</f>
        <v>s</v>
      </c>
      <c r="D35" s="29" t="s">
        <v>144</v>
      </c>
      <c r="E35" s="29" t="s">
        <v>209</v>
      </c>
      <c r="F35" s="2" t="s">
        <v>211</v>
      </c>
      <c r="G35" s="2">
        <f t="shared" si="12"/>
        <v>1</v>
      </c>
      <c r="H35" s="2" t="str">
        <f t="shared" si="2"/>
        <v>物理</v>
      </c>
      <c r="I35" s="38">
        <f t="shared" si="7"/>
        <v>0.1</v>
      </c>
      <c r="J35" s="33">
        <f t="shared" si="8"/>
        <v>22</v>
      </c>
      <c r="K35" s="33">
        <f t="shared" si="17"/>
        <v>11</v>
      </c>
      <c r="L35" s="33">
        <f t="shared" si="17"/>
        <v>1</v>
      </c>
      <c r="M35" s="33">
        <f t="shared" si="17"/>
        <v>7</v>
      </c>
      <c r="N35" s="33">
        <f t="shared" si="4"/>
        <v>1</v>
      </c>
      <c r="O35" s="33">
        <f t="shared" si="17"/>
        <v>2</v>
      </c>
      <c r="P35" s="33">
        <f t="shared" si="17"/>
        <v>4</v>
      </c>
      <c r="Q35" s="33">
        <f t="shared" si="17"/>
        <v>3</v>
      </c>
      <c r="R35" s="35">
        <f t="shared" si="9"/>
        <v>0.01</v>
      </c>
      <c r="S35" s="35">
        <f t="shared" si="10"/>
        <v>1.3333333333333332E-2</v>
      </c>
      <c r="T35" s="35">
        <f t="shared" si="11"/>
        <v>0.01</v>
      </c>
      <c r="U35" s="35">
        <f t="shared" si="5"/>
        <v>1.9607843137254943E-2</v>
      </c>
      <c r="V35" s="35">
        <f t="shared" si="18"/>
        <v>9.9009900990099098E-3</v>
      </c>
      <c r="W35" s="35">
        <f t="shared" si="18"/>
        <v>9.9009900990099098E-3</v>
      </c>
      <c r="X35" s="35">
        <f t="shared" si="18"/>
        <v>9.9009900990099098E-3</v>
      </c>
      <c r="Y35" s="35">
        <f t="shared" si="18"/>
        <v>9.9009900990099098E-3</v>
      </c>
      <c r="Z35" s="35">
        <f t="shared" si="18"/>
        <v>9.9009900990099098E-3</v>
      </c>
      <c r="AA35" s="35">
        <f t="shared" si="18"/>
        <v>9.9009900990099098E-3</v>
      </c>
    </row>
    <row r="36" spans="2:27" x14ac:dyDescent="0.2">
      <c r="B36" s="2">
        <v>34</v>
      </c>
      <c r="C36" s="2" t="str">
        <f t="shared" ref="C36:C99" si="19">C4</f>
        <v>s</v>
      </c>
      <c r="D36" s="29" t="s">
        <v>149</v>
      </c>
      <c r="E36" s="29" t="s">
        <v>209</v>
      </c>
      <c r="F36" s="2" t="s">
        <v>211</v>
      </c>
      <c r="G36" s="2">
        <f t="shared" si="12"/>
        <v>2</v>
      </c>
      <c r="H36" s="2" t="str">
        <f t="shared" si="2"/>
        <v>物理</v>
      </c>
      <c r="I36" s="38">
        <f t="shared" si="7"/>
        <v>0.1</v>
      </c>
      <c r="J36" s="33">
        <f t="shared" si="8"/>
        <v>44</v>
      </c>
      <c r="K36" s="33">
        <f t="shared" si="17"/>
        <v>23</v>
      </c>
      <c r="L36" s="33">
        <f t="shared" si="17"/>
        <v>2</v>
      </c>
      <c r="M36" s="33">
        <f t="shared" si="17"/>
        <v>14</v>
      </c>
      <c r="N36" s="33">
        <f t="shared" si="4"/>
        <v>2</v>
      </c>
      <c r="O36" s="33">
        <f t="shared" si="17"/>
        <v>5</v>
      </c>
      <c r="P36" s="33">
        <f t="shared" si="17"/>
        <v>9</v>
      </c>
      <c r="Q36" s="33">
        <f t="shared" si="17"/>
        <v>7</v>
      </c>
      <c r="R36" s="35">
        <f t="shared" si="9"/>
        <v>2.3333333333333334E-2</v>
      </c>
      <c r="S36" s="35">
        <f t="shared" si="10"/>
        <v>0.03</v>
      </c>
      <c r="T36" s="35">
        <f t="shared" si="11"/>
        <v>2.3333333333333334E-2</v>
      </c>
      <c r="U36" s="35">
        <f t="shared" si="5"/>
        <v>3.8461538461538436E-2</v>
      </c>
      <c r="V36" s="35">
        <f t="shared" si="18"/>
        <v>1.9607843137254943E-2</v>
      </c>
      <c r="W36" s="35">
        <f t="shared" si="18"/>
        <v>1.9607843137254943E-2</v>
      </c>
      <c r="X36" s="35">
        <f t="shared" si="18"/>
        <v>1.9607843137254943E-2</v>
      </c>
      <c r="Y36" s="35">
        <f t="shared" si="18"/>
        <v>1.9607843137254943E-2</v>
      </c>
      <c r="Z36" s="35">
        <f t="shared" si="18"/>
        <v>1.9607843137254943E-2</v>
      </c>
      <c r="AA36" s="35">
        <f t="shared" si="18"/>
        <v>1.9607843137254943E-2</v>
      </c>
    </row>
    <row r="37" spans="2:27" x14ac:dyDescent="0.2">
      <c r="B37" s="2">
        <v>35</v>
      </c>
      <c r="C37" s="2" t="str">
        <f t="shared" si="19"/>
        <v>s</v>
      </c>
      <c r="D37" s="29" t="s">
        <v>149</v>
      </c>
      <c r="E37" s="29" t="s">
        <v>209</v>
      </c>
      <c r="F37" s="2" t="s">
        <v>211</v>
      </c>
      <c r="G37" s="2">
        <f t="shared" si="12"/>
        <v>3</v>
      </c>
      <c r="H37" s="2" t="str">
        <f t="shared" si="2"/>
        <v>物理</v>
      </c>
      <c r="I37" s="38">
        <f t="shared" si="7"/>
        <v>0.14636363636363636</v>
      </c>
      <c r="J37" s="33">
        <f t="shared" si="8"/>
        <v>67</v>
      </c>
      <c r="K37" s="33">
        <f t="shared" si="17"/>
        <v>35</v>
      </c>
      <c r="L37" s="33">
        <f t="shared" si="17"/>
        <v>3</v>
      </c>
      <c r="M37" s="33">
        <f t="shared" si="17"/>
        <v>21</v>
      </c>
      <c r="N37" s="33">
        <f t="shared" si="4"/>
        <v>3</v>
      </c>
      <c r="O37" s="33">
        <f t="shared" si="17"/>
        <v>8</v>
      </c>
      <c r="P37" s="33">
        <f t="shared" si="17"/>
        <v>13</v>
      </c>
      <c r="Q37" s="33">
        <f t="shared" si="17"/>
        <v>11</v>
      </c>
      <c r="R37" s="35">
        <f t="shared" si="9"/>
        <v>3.6666666666666667E-2</v>
      </c>
      <c r="S37" s="35">
        <f t="shared" si="10"/>
        <v>4.3333333333333328E-2</v>
      </c>
      <c r="T37" s="35">
        <f t="shared" si="11"/>
        <v>3.6666666666666667E-2</v>
      </c>
      <c r="U37" s="35">
        <f t="shared" si="5"/>
        <v>5.6603773584905648E-2</v>
      </c>
      <c r="V37" s="35">
        <f t="shared" si="18"/>
        <v>2.9126213592232997E-2</v>
      </c>
      <c r="W37" s="35">
        <f t="shared" si="18"/>
        <v>2.9126213592232997E-2</v>
      </c>
      <c r="X37" s="35">
        <f t="shared" si="18"/>
        <v>2.9126213592232997E-2</v>
      </c>
      <c r="Y37" s="35">
        <f t="shared" si="18"/>
        <v>2.9126213592232997E-2</v>
      </c>
      <c r="Z37" s="35">
        <f t="shared" si="18"/>
        <v>2.9126213592232997E-2</v>
      </c>
      <c r="AA37" s="35">
        <f t="shared" si="18"/>
        <v>2.9126213592232997E-2</v>
      </c>
    </row>
    <row r="38" spans="2:27" x14ac:dyDescent="0.2">
      <c r="B38" s="2">
        <v>36</v>
      </c>
      <c r="C38" s="2" t="str">
        <f t="shared" si="19"/>
        <v>s</v>
      </c>
      <c r="D38" s="29" t="s">
        <v>146</v>
      </c>
      <c r="E38" s="29" t="s">
        <v>209</v>
      </c>
      <c r="F38" s="2" t="s">
        <v>211</v>
      </c>
      <c r="G38" s="2">
        <f t="shared" si="12"/>
        <v>4</v>
      </c>
      <c r="H38" s="2" t="str">
        <f t="shared" si="2"/>
        <v>物理</v>
      </c>
      <c r="I38" s="38">
        <f t="shared" si="7"/>
        <v>0.19545454545454546</v>
      </c>
      <c r="J38" s="33">
        <f t="shared" si="8"/>
        <v>89</v>
      </c>
      <c r="K38" s="33">
        <f t="shared" si="17"/>
        <v>47</v>
      </c>
      <c r="L38" s="33">
        <f t="shared" si="17"/>
        <v>4</v>
      </c>
      <c r="M38" s="33">
        <f t="shared" si="17"/>
        <v>28</v>
      </c>
      <c r="N38" s="33">
        <f t="shared" si="4"/>
        <v>4</v>
      </c>
      <c r="O38" s="33">
        <f t="shared" si="17"/>
        <v>10</v>
      </c>
      <c r="P38" s="33">
        <f t="shared" si="17"/>
        <v>18</v>
      </c>
      <c r="Q38" s="33">
        <f t="shared" si="17"/>
        <v>15</v>
      </c>
      <c r="R38" s="35">
        <f t="shared" si="9"/>
        <v>0.05</v>
      </c>
      <c r="S38" s="35">
        <f t="shared" si="10"/>
        <v>0.06</v>
      </c>
      <c r="T38" s="35">
        <f t="shared" si="11"/>
        <v>0.05</v>
      </c>
      <c r="U38" s="35">
        <f t="shared" si="5"/>
        <v>7.407407407407407E-2</v>
      </c>
      <c r="V38" s="35">
        <f t="shared" si="18"/>
        <v>3.8461538461538436E-2</v>
      </c>
      <c r="W38" s="35">
        <f t="shared" si="18"/>
        <v>3.8461538461538436E-2</v>
      </c>
      <c r="X38" s="35">
        <f t="shared" si="18"/>
        <v>3.8461538461538436E-2</v>
      </c>
      <c r="Y38" s="35">
        <f t="shared" si="18"/>
        <v>3.8461538461538436E-2</v>
      </c>
      <c r="Z38" s="35">
        <f t="shared" si="18"/>
        <v>3.8461538461538436E-2</v>
      </c>
      <c r="AA38" s="35">
        <f t="shared" si="18"/>
        <v>3.8461538461538436E-2</v>
      </c>
    </row>
    <row r="39" spans="2:27" x14ac:dyDescent="0.2">
      <c r="B39" s="2">
        <v>37</v>
      </c>
      <c r="C39" s="2" t="str">
        <f t="shared" si="19"/>
        <v>s</v>
      </c>
      <c r="D39" s="29" t="s">
        <v>144</v>
      </c>
      <c r="E39" s="29" t="s">
        <v>209</v>
      </c>
      <c r="F39" s="2" t="s">
        <v>211</v>
      </c>
      <c r="G39" s="2">
        <f t="shared" si="12"/>
        <v>5</v>
      </c>
      <c r="H39" s="2" t="str">
        <f t="shared" si="2"/>
        <v>物理</v>
      </c>
      <c r="I39" s="38">
        <f t="shared" si="7"/>
        <v>0.24363636363636362</v>
      </c>
      <c r="J39" s="33">
        <f t="shared" si="8"/>
        <v>112</v>
      </c>
      <c r="K39" s="33">
        <f t="shared" si="17"/>
        <v>58</v>
      </c>
      <c r="L39" s="33">
        <f t="shared" si="17"/>
        <v>5</v>
      </c>
      <c r="M39" s="33">
        <f t="shared" si="17"/>
        <v>35</v>
      </c>
      <c r="N39" s="33">
        <f t="shared" si="4"/>
        <v>4</v>
      </c>
      <c r="O39" s="33">
        <f t="shared" si="17"/>
        <v>13</v>
      </c>
      <c r="P39" s="33">
        <f t="shared" si="17"/>
        <v>22</v>
      </c>
      <c r="Q39" s="33">
        <f t="shared" si="17"/>
        <v>19</v>
      </c>
      <c r="R39" s="35">
        <f t="shared" si="9"/>
        <v>6.3333333333333325E-2</v>
      </c>
      <c r="S39" s="35">
        <f t="shared" si="10"/>
        <v>7.3333333333333334E-2</v>
      </c>
      <c r="T39" s="35">
        <f t="shared" si="11"/>
        <v>6.3333333333333325E-2</v>
      </c>
      <c r="U39" s="35">
        <f t="shared" si="5"/>
        <v>9.0909090909090939E-2</v>
      </c>
      <c r="V39" s="35">
        <f t="shared" si="18"/>
        <v>4.7619047619047672E-2</v>
      </c>
      <c r="W39" s="35">
        <f t="shared" si="18"/>
        <v>4.7619047619047672E-2</v>
      </c>
      <c r="X39" s="35">
        <f t="shared" si="18"/>
        <v>4.7619047619047672E-2</v>
      </c>
      <c r="Y39" s="35">
        <f t="shared" si="18"/>
        <v>4.7619047619047672E-2</v>
      </c>
      <c r="Z39" s="35">
        <f t="shared" si="18"/>
        <v>4.7619047619047672E-2</v>
      </c>
      <c r="AA39" s="35">
        <f t="shared" si="18"/>
        <v>4.7619047619047672E-2</v>
      </c>
    </row>
    <row r="40" spans="2:27" x14ac:dyDescent="0.2">
      <c r="B40" s="2">
        <v>38</v>
      </c>
      <c r="C40" s="2" t="str">
        <f t="shared" si="19"/>
        <v>s</v>
      </c>
      <c r="D40" s="29" t="s">
        <v>148</v>
      </c>
      <c r="E40" s="29" t="s">
        <v>209</v>
      </c>
      <c r="F40" s="2" t="s">
        <v>211</v>
      </c>
      <c r="G40" s="2">
        <f t="shared" si="12"/>
        <v>6</v>
      </c>
      <c r="H40" s="2" t="str">
        <f t="shared" si="2"/>
        <v>物理</v>
      </c>
      <c r="I40" s="38">
        <f t="shared" si="7"/>
        <v>0.29454545454545455</v>
      </c>
      <c r="J40" s="33">
        <f t="shared" si="8"/>
        <v>134</v>
      </c>
      <c r="K40" s="33">
        <f t="shared" si="17"/>
        <v>70</v>
      </c>
      <c r="L40" s="33">
        <f t="shared" si="17"/>
        <v>7</v>
      </c>
      <c r="M40" s="33">
        <f t="shared" si="17"/>
        <v>42</v>
      </c>
      <c r="N40" s="33">
        <f t="shared" si="4"/>
        <v>5</v>
      </c>
      <c r="O40" s="33">
        <f t="shared" si="17"/>
        <v>16</v>
      </c>
      <c r="P40" s="33">
        <f t="shared" si="17"/>
        <v>27</v>
      </c>
      <c r="Q40" s="33">
        <f t="shared" si="17"/>
        <v>23</v>
      </c>
      <c r="R40" s="35">
        <f t="shared" si="9"/>
        <v>7.6666666666666675E-2</v>
      </c>
      <c r="S40" s="35">
        <f t="shared" si="10"/>
        <v>0.09</v>
      </c>
      <c r="T40" s="35">
        <f t="shared" si="11"/>
        <v>7.6666666666666675E-2</v>
      </c>
      <c r="U40" s="35">
        <f t="shared" si="5"/>
        <v>0.1071428571428571</v>
      </c>
      <c r="V40" s="35">
        <f t="shared" si="18"/>
        <v>5.6603773584905648E-2</v>
      </c>
      <c r="W40" s="35">
        <f t="shared" si="18"/>
        <v>5.6603773584905648E-2</v>
      </c>
      <c r="X40" s="35">
        <f t="shared" si="18"/>
        <v>5.6603773584905648E-2</v>
      </c>
      <c r="Y40" s="35">
        <f t="shared" si="18"/>
        <v>5.6603773584905648E-2</v>
      </c>
      <c r="Z40" s="35">
        <f t="shared" si="18"/>
        <v>5.6603773584905648E-2</v>
      </c>
      <c r="AA40" s="35">
        <f t="shared" si="18"/>
        <v>5.6603773584905648E-2</v>
      </c>
    </row>
    <row r="41" spans="2:27" x14ac:dyDescent="0.2">
      <c r="B41" s="2">
        <v>39</v>
      </c>
      <c r="C41" s="2" t="str">
        <f t="shared" si="19"/>
        <v>s</v>
      </c>
      <c r="D41" s="29" t="s">
        <v>140</v>
      </c>
      <c r="E41" s="29" t="s">
        <v>209</v>
      </c>
      <c r="F41" s="2" t="s">
        <v>211</v>
      </c>
      <c r="G41" s="2">
        <f t="shared" si="12"/>
        <v>7</v>
      </c>
      <c r="H41" s="2" t="str">
        <f t="shared" si="2"/>
        <v>物理</v>
      </c>
      <c r="I41" s="38">
        <f t="shared" si="7"/>
        <v>0.34454545454545454</v>
      </c>
      <c r="J41" s="33">
        <f t="shared" si="8"/>
        <v>157</v>
      </c>
      <c r="K41" s="33">
        <f t="shared" si="17"/>
        <v>82</v>
      </c>
      <c r="L41" s="33">
        <f t="shared" si="17"/>
        <v>8</v>
      </c>
      <c r="M41" s="33">
        <f t="shared" si="17"/>
        <v>49</v>
      </c>
      <c r="N41" s="33">
        <f t="shared" si="4"/>
        <v>6</v>
      </c>
      <c r="O41" s="33">
        <f t="shared" si="17"/>
        <v>19</v>
      </c>
      <c r="P41" s="33">
        <f t="shared" si="17"/>
        <v>31</v>
      </c>
      <c r="Q41" s="33">
        <f t="shared" si="17"/>
        <v>27</v>
      </c>
      <c r="R41" s="35">
        <f t="shared" si="9"/>
        <v>0.09</v>
      </c>
      <c r="S41" s="35">
        <f t="shared" si="10"/>
        <v>0.10333333333333333</v>
      </c>
      <c r="T41" s="35">
        <f t="shared" si="11"/>
        <v>0.09</v>
      </c>
      <c r="U41" s="35">
        <f t="shared" si="5"/>
        <v>0.11894273127753308</v>
      </c>
      <c r="V41" s="35">
        <f t="shared" si="18"/>
        <v>6.5420560747663559E-2</v>
      </c>
      <c r="W41" s="35">
        <f t="shared" si="18"/>
        <v>6.5420560747663559E-2</v>
      </c>
      <c r="X41" s="35">
        <f t="shared" si="18"/>
        <v>6.5420560747663559E-2</v>
      </c>
      <c r="Y41" s="35">
        <f t="shared" si="18"/>
        <v>6.5420560747663559E-2</v>
      </c>
      <c r="Z41" s="35">
        <f t="shared" si="18"/>
        <v>6.5420560747663559E-2</v>
      </c>
      <c r="AA41" s="35">
        <f t="shared" si="18"/>
        <v>6.5420560747663559E-2</v>
      </c>
    </row>
    <row r="42" spans="2:27" x14ac:dyDescent="0.2">
      <c r="B42" s="2">
        <v>40</v>
      </c>
      <c r="C42" s="2" t="str">
        <f t="shared" si="19"/>
        <v>s</v>
      </c>
      <c r="D42" s="29" t="s">
        <v>10</v>
      </c>
      <c r="E42" s="29" t="s">
        <v>209</v>
      </c>
      <c r="F42" s="2" t="s">
        <v>211</v>
      </c>
      <c r="G42" s="2">
        <f t="shared" si="12"/>
        <v>8</v>
      </c>
      <c r="H42" s="2" t="str">
        <f t="shared" si="2"/>
        <v>物理</v>
      </c>
      <c r="I42" s="38">
        <f t="shared" si="7"/>
        <v>0.39363636363636367</v>
      </c>
      <c r="J42" s="33">
        <f t="shared" si="8"/>
        <v>179</v>
      </c>
      <c r="K42" s="33">
        <f t="shared" si="17"/>
        <v>94</v>
      </c>
      <c r="L42" s="33">
        <f t="shared" si="17"/>
        <v>9</v>
      </c>
      <c r="M42" s="33">
        <f t="shared" si="17"/>
        <v>56</v>
      </c>
      <c r="N42" s="33">
        <f t="shared" si="4"/>
        <v>7</v>
      </c>
      <c r="O42" s="33">
        <f t="shared" si="17"/>
        <v>21</v>
      </c>
      <c r="P42" s="33">
        <f t="shared" si="17"/>
        <v>36</v>
      </c>
      <c r="Q42" s="33">
        <f t="shared" si="17"/>
        <v>31</v>
      </c>
      <c r="R42" s="35">
        <f t="shared" si="9"/>
        <v>0.10333333333333333</v>
      </c>
      <c r="S42" s="35">
        <f t="shared" si="10"/>
        <v>0.12</v>
      </c>
      <c r="T42" s="35">
        <f t="shared" si="11"/>
        <v>0.10333333333333333</v>
      </c>
      <c r="U42" s="35">
        <f t="shared" si="5"/>
        <v>0.13419913419913421</v>
      </c>
      <c r="V42" s="35">
        <f t="shared" si="18"/>
        <v>7.407407407407407E-2</v>
      </c>
      <c r="W42" s="35">
        <f t="shared" si="18"/>
        <v>7.407407407407407E-2</v>
      </c>
      <c r="X42" s="35">
        <f t="shared" si="18"/>
        <v>7.407407407407407E-2</v>
      </c>
      <c r="Y42" s="35">
        <f t="shared" si="18"/>
        <v>7.407407407407407E-2</v>
      </c>
      <c r="Z42" s="35">
        <f t="shared" si="18"/>
        <v>7.407407407407407E-2</v>
      </c>
      <c r="AA42" s="35">
        <f t="shared" si="18"/>
        <v>7.407407407407407E-2</v>
      </c>
    </row>
    <row r="43" spans="2:27" x14ac:dyDescent="0.2">
      <c r="B43" s="2">
        <v>41</v>
      </c>
      <c r="C43" s="2" t="str">
        <f t="shared" si="19"/>
        <v>a</v>
      </c>
      <c r="D43" s="29" t="s">
        <v>150</v>
      </c>
      <c r="E43" s="29" t="s">
        <v>209</v>
      </c>
      <c r="F43" s="2" t="s">
        <v>211</v>
      </c>
      <c r="G43" s="2">
        <f t="shared" si="12"/>
        <v>1</v>
      </c>
      <c r="H43" s="2" t="str">
        <f t="shared" si="2"/>
        <v>物理</v>
      </c>
      <c r="I43" s="38">
        <f t="shared" si="7"/>
        <v>0.1</v>
      </c>
      <c r="J43" s="33">
        <f t="shared" si="8"/>
        <v>17</v>
      </c>
      <c r="K43" s="33">
        <f t="shared" ref="K43:Q52" si="20">INT((1+VLOOKUP($F43,role_property_weight,getpos(K$2),FALSE))*(1+VLOOKUP($F43,weapon_property_weight,getpos(K$2),FALSE))*VLOOKUP($E43,role_grow,getpos(K$2),FALSE)*$G43*10*VLOOKUP($C43,weapon_grow1,5,FALSE))</f>
        <v>12</v>
      </c>
      <c r="L43" s="33">
        <f t="shared" si="20"/>
        <v>1</v>
      </c>
      <c r="M43" s="33">
        <f t="shared" si="20"/>
        <v>7</v>
      </c>
      <c r="N43" s="33">
        <f t="shared" si="4"/>
        <v>1</v>
      </c>
      <c r="O43" s="33">
        <f t="shared" si="20"/>
        <v>2</v>
      </c>
      <c r="P43" s="33">
        <f t="shared" si="20"/>
        <v>4</v>
      </c>
      <c r="Q43" s="33">
        <f t="shared" si="20"/>
        <v>4</v>
      </c>
      <c r="R43" s="35">
        <f t="shared" si="9"/>
        <v>1.3333333333333332E-2</v>
      </c>
      <c r="S43" s="35">
        <f t="shared" si="10"/>
        <v>1.3333333333333332E-2</v>
      </c>
      <c r="T43" s="35">
        <f t="shared" si="11"/>
        <v>1.3333333333333332E-2</v>
      </c>
      <c r="U43" s="35">
        <f t="shared" si="5"/>
        <v>1.9607843137254943E-2</v>
      </c>
      <c r="V43" s="35">
        <f t="shared" ref="V43:AA52" si="21">1-200/(200+ROUND((1+VLOOKUP($F43,role_property_weight,getpos(V$2),FALSE))*VLOOKUP($E43,role_grow,getpos(V$2),FALSE)*$G43*10*VLOOKUP($C43,weapon_grow1,5,FALSE),0))</f>
        <v>9.9009900990099098E-3</v>
      </c>
      <c r="W43" s="35">
        <f t="shared" si="21"/>
        <v>9.9009900990099098E-3</v>
      </c>
      <c r="X43" s="35">
        <f t="shared" si="21"/>
        <v>9.9009900990099098E-3</v>
      </c>
      <c r="Y43" s="35">
        <f t="shared" si="21"/>
        <v>9.9009900990099098E-3</v>
      </c>
      <c r="Z43" s="35">
        <f t="shared" si="21"/>
        <v>9.9009900990099098E-3</v>
      </c>
      <c r="AA43" s="35">
        <f t="shared" si="21"/>
        <v>9.9009900990099098E-3</v>
      </c>
    </row>
    <row r="44" spans="2:27" x14ac:dyDescent="0.2">
      <c r="B44" s="2">
        <v>42</v>
      </c>
      <c r="C44" s="2" t="str">
        <f t="shared" si="19"/>
        <v>a</v>
      </c>
      <c r="D44" s="29" t="s">
        <v>151</v>
      </c>
      <c r="E44" s="29" t="s">
        <v>209</v>
      </c>
      <c r="F44" s="2" t="s">
        <v>211</v>
      </c>
      <c r="G44" s="2">
        <f t="shared" si="12"/>
        <v>2</v>
      </c>
      <c r="H44" s="2" t="str">
        <f t="shared" si="2"/>
        <v>物理</v>
      </c>
      <c r="I44" s="38">
        <f t="shared" si="7"/>
        <v>0.1</v>
      </c>
      <c r="J44" s="33">
        <f t="shared" si="8"/>
        <v>34</v>
      </c>
      <c r="K44" s="33">
        <f t="shared" si="20"/>
        <v>24</v>
      </c>
      <c r="L44" s="33">
        <f t="shared" si="20"/>
        <v>2</v>
      </c>
      <c r="M44" s="33">
        <f t="shared" si="20"/>
        <v>14</v>
      </c>
      <c r="N44" s="33">
        <f t="shared" si="4"/>
        <v>2</v>
      </c>
      <c r="O44" s="33">
        <f t="shared" si="20"/>
        <v>5</v>
      </c>
      <c r="P44" s="33">
        <f t="shared" si="20"/>
        <v>9</v>
      </c>
      <c r="Q44" s="33">
        <f t="shared" si="20"/>
        <v>8</v>
      </c>
      <c r="R44" s="35">
        <f t="shared" si="9"/>
        <v>2.6666666666666665E-2</v>
      </c>
      <c r="S44" s="35">
        <f t="shared" si="10"/>
        <v>0.03</v>
      </c>
      <c r="T44" s="35">
        <f t="shared" si="11"/>
        <v>2.6666666666666665E-2</v>
      </c>
      <c r="U44" s="35">
        <f t="shared" si="5"/>
        <v>3.8461538461538436E-2</v>
      </c>
      <c r="V44" s="35">
        <f t="shared" si="21"/>
        <v>1.9607843137254943E-2</v>
      </c>
      <c r="W44" s="35">
        <f t="shared" si="21"/>
        <v>1.9607843137254943E-2</v>
      </c>
      <c r="X44" s="35">
        <f t="shared" si="21"/>
        <v>1.9607843137254943E-2</v>
      </c>
      <c r="Y44" s="35">
        <f t="shared" si="21"/>
        <v>1.9607843137254943E-2</v>
      </c>
      <c r="Z44" s="35">
        <f t="shared" si="21"/>
        <v>1.9607843137254943E-2</v>
      </c>
      <c r="AA44" s="35">
        <f t="shared" si="21"/>
        <v>1.9607843137254943E-2</v>
      </c>
    </row>
    <row r="45" spans="2:27" x14ac:dyDescent="0.2">
      <c r="B45" s="2">
        <v>43</v>
      </c>
      <c r="C45" s="2" t="str">
        <f t="shared" si="19"/>
        <v>a</v>
      </c>
      <c r="D45" s="29" t="s">
        <v>149</v>
      </c>
      <c r="E45" s="29" t="s">
        <v>209</v>
      </c>
      <c r="F45" s="2" t="s">
        <v>211</v>
      </c>
      <c r="G45" s="2">
        <f t="shared" si="12"/>
        <v>3</v>
      </c>
      <c r="H45" s="2" t="str">
        <f t="shared" si="2"/>
        <v>物理</v>
      </c>
      <c r="I45" s="38">
        <f t="shared" si="7"/>
        <v>0.13636363636363635</v>
      </c>
      <c r="J45" s="33">
        <f t="shared" si="8"/>
        <v>51</v>
      </c>
      <c r="K45" s="33">
        <f t="shared" si="20"/>
        <v>37</v>
      </c>
      <c r="L45" s="33">
        <f t="shared" si="20"/>
        <v>3</v>
      </c>
      <c r="M45" s="33">
        <f t="shared" si="20"/>
        <v>22</v>
      </c>
      <c r="N45" s="33">
        <f t="shared" si="4"/>
        <v>3</v>
      </c>
      <c r="O45" s="33">
        <f t="shared" si="20"/>
        <v>8</v>
      </c>
      <c r="P45" s="33">
        <f t="shared" si="20"/>
        <v>14</v>
      </c>
      <c r="Q45" s="33">
        <f t="shared" si="20"/>
        <v>12</v>
      </c>
      <c r="R45" s="35">
        <f t="shared" si="9"/>
        <v>0.04</v>
      </c>
      <c r="S45" s="35">
        <f t="shared" si="10"/>
        <v>4.6666666666666669E-2</v>
      </c>
      <c r="T45" s="35">
        <f t="shared" si="11"/>
        <v>0.04</v>
      </c>
      <c r="U45" s="35">
        <f t="shared" si="5"/>
        <v>5.6603773584905648E-2</v>
      </c>
      <c r="V45" s="35">
        <f t="shared" si="21"/>
        <v>2.9126213592232997E-2</v>
      </c>
      <c r="W45" s="35">
        <f t="shared" si="21"/>
        <v>2.9126213592232997E-2</v>
      </c>
      <c r="X45" s="35">
        <f t="shared" si="21"/>
        <v>2.9126213592232997E-2</v>
      </c>
      <c r="Y45" s="35">
        <f t="shared" si="21"/>
        <v>2.9126213592232997E-2</v>
      </c>
      <c r="Z45" s="35">
        <f t="shared" si="21"/>
        <v>2.9126213592232997E-2</v>
      </c>
      <c r="AA45" s="35">
        <f t="shared" si="21"/>
        <v>2.9126213592232997E-2</v>
      </c>
    </row>
    <row r="46" spans="2:27" x14ac:dyDescent="0.2">
      <c r="B46" s="2">
        <v>44</v>
      </c>
      <c r="C46" s="2" t="str">
        <f t="shared" si="19"/>
        <v>a</v>
      </c>
      <c r="D46" s="29" t="s">
        <v>150</v>
      </c>
      <c r="E46" s="29" t="s">
        <v>209</v>
      </c>
      <c r="F46" s="2" t="s">
        <v>211</v>
      </c>
      <c r="G46" s="2">
        <f t="shared" si="12"/>
        <v>4</v>
      </c>
      <c r="H46" s="2" t="str">
        <f t="shared" si="2"/>
        <v>物理</v>
      </c>
      <c r="I46" s="38">
        <f t="shared" si="7"/>
        <v>0.18181818181818182</v>
      </c>
      <c r="J46" s="33">
        <f t="shared" si="8"/>
        <v>68</v>
      </c>
      <c r="K46" s="33">
        <f t="shared" si="20"/>
        <v>49</v>
      </c>
      <c r="L46" s="33">
        <f t="shared" si="20"/>
        <v>4</v>
      </c>
      <c r="M46" s="33">
        <f t="shared" si="20"/>
        <v>29</v>
      </c>
      <c r="N46" s="33">
        <f t="shared" si="4"/>
        <v>4</v>
      </c>
      <c r="O46" s="33">
        <f t="shared" si="20"/>
        <v>11</v>
      </c>
      <c r="P46" s="33">
        <f t="shared" si="20"/>
        <v>19</v>
      </c>
      <c r="Q46" s="33">
        <f t="shared" si="20"/>
        <v>16</v>
      </c>
      <c r="R46" s="35">
        <f t="shared" si="9"/>
        <v>5.333333333333333E-2</v>
      </c>
      <c r="S46" s="35">
        <f t="shared" si="10"/>
        <v>6.3333333333333325E-2</v>
      </c>
      <c r="T46" s="35">
        <f t="shared" si="11"/>
        <v>5.333333333333333E-2</v>
      </c>
      <c r="U46" s="35">
        <f t="shared" si="5"/>
        <v>7.8341013824884786E-2</v>
      </c>
      <c r="V46" s="35">
        <f t="shared" si="21"/>
        <v>3.8461538461538436E-2</v>
      </c>
      <c r="W46" s="35">
        <f t="shared" si="21"/>
        <v>3.8461538461538436E-2</v>
      </c>
      <c r="X46" s="35">
        <f t="shared" si="21"/>
        <v>3.8461538461538436E-2</v>
      </c>
      <c r="Y46" s="35">
        <f t="shared" si="21"/>
        <v>3.8461538461538436E-2</v>
      </c>
      <c r="Z46" s="35">
        <f t="shared" si="21"/>
        <v>3.8461538461538436E-2</v>
      </c>
      <c r="AA46" s="35">
        <f t="shared" si="21"/>
        <v>3.8461538461538436E-2</v>
      </c>
    </row>
    <row r="47" spans="2:27" x14ac:dyDescent="0.2">
      <c r="B47" s="2">
        <v>45</v>
      </c>
      <c r="C47" s="2" t="str">
        <f t="shared" si="19"/>
        <v>a</v>
      </c>
      <c r="D47" s="29" t="s">
        <v>152</v>
      </c>
      <c r="E47" s="29" t="s">
        <v>209</v>
      </c>
      <c r="F47" s="2" t="s">
        <v>211</v>
      </c>
      <c r="G47" s="2">
        <f t="shared" si="12"/>
        <v>5</v>
      </c>
      <c r="H47" s="2" t="str">
        <f t="shared" si="2"/>
        <v>物理</v>
      </c>
      <c r="I47" s="38">
        <f t="shared" si="7"/>
        <v>0.2290909090909091</v>
      </c>
      <c r="J47" s="33">
        <f t="shared" si="8"/>
        <v>85</v>
      </c>
      <c r="K47" s="33">
        <f t="shared" si="20"/>
        <v>62</v>
      </c>
      <c r="L47" s="33">
        <f t="shared" si="20"/>
        <v>6</v>
      </c>
      <c r="M47" s="33">
        <f t="shared" si="20"/>
        <v>37</v>
      </c>
      <c r="N47" s="33">
        <f t="shared" si="4"/>
        <v>5</v>
      </c>
      <c r="O47" s="33">
        <f t="shared" si="20"/>
        <v>14</v>
      </c>
      <c r="P47" s="33">
        <f t="shared" si="20"/>
        <v>23</v>
      </c>
      <c r="Q47" s="33">
        <f t="shared" si="20"/>
        <v>20</v>
      </c>
      <c r="R47" s="35">
        <f t="shared" si="9"/>
        <v>6.6666666666666666E-2</v>
      </c>
      <c r="S47" s="35">
        <f t="shared" si="10"/>
        <v>7.6666666666666675E-2</v>
      </c>
      <c r="T47" s="35">
        <f t="shared" si="11"/>
        <v>6.6666666666666666E-2</v>
      </c>
      <c r="U47" s="35">
        <f t="shared" si="5"/>
        <v>9.5022624434389136E-2</v>
      </c>
      <c r="V47" s="35">
        <f t="shared" si="21"/>
        <v>4.7619047619047672E-2</v>
      </c>
      <c r="W47" s="35">
        <f t="shared" si="21"/>
        <v>4.7619047619047672E-2</v>
      </c>
      <c r="X47" s="35">
        <f t="shared" si="21"/>
        <v>4.7619047619047672E-2</v>
      </c>
      <c r="Y47" s="35">
        <f t="shared" si="21"/>
        <v>4.7619047619047672E-2</v>
      </c>
      <c r="Z47" s="35">
        <f t="shared" si="21"/>
        <v>4.7619047619047672E-2</v>
      </c>
      <c r="AA47" s="35">
        <f t="shared" si="21"/>
        <v>4.7619047619047672E-2</v>
      </c>
    </row>
    <row r="48" spans="2:27" x14ac:dyDescent="0.2">
      <c r="B48" s="2">
        <v>46</v>
      </c>
      <c r="C48" s="2" t="str">
        <f t="shared" si="19"/>
        <v>a</v>
      </c>
      <c r="D48" s="29" t="s">
        <v>1</v>
      </c>
      <c r="E48" s="29" t="s">
        <v>209</v>
      </c>
      <c r="F48" s="2" t="s">
        <v>211</v>
      </c>
      <c r="G48" s="2">
        <f t="shared" si="12"/>
        <v>6</v>
      </c>
      <c r="H48" s="2" t="str">
        <f t="shared" si="2"/>
        <v>物理</v>
      </c>
      <c r="I48" s="38">
        <f t="shared" si="7"/>
        <v>0.27363636363636362</v>
      </c>
      <c r="J48" s="33">
        <f t="shared" si="8"/>
        <v>102</v>
      </c>
      <c r="K48" s="33">
        <f t="shared" si="20"/>
        <v>74</v>
      </c>
      <c r="L48" s="33">
        <f t="shared" si="20"/>
        <v>7</v>
      </c>
      <c r="M48" s="33">
        <f t="shared" si="20"/>
        <v>44</v>
      </c>
      <c r="N48" s="33">
        <f t="shared" si="4"/>
        <v>5</v>
      </c>
      <c r="O48" s="33">
        <f t="shared" si="20"/>
        <v>17</v>
      </c>
      <c r="P48" s="33">
        <f t="shared" si="20"/>
        <v>28</v>
      </c>
      <c r="Q48" s="33">
        <f t="shared" si="20"/>
        <v>24</v>
      </c>
      <c r="R48" s="35">
        <f t="shared" si="9"/>
        <v>0.08</v>
      </c>
      <c r="S48" s="35">
        <f t="shared" si="10"/>
        <v>9.3333333333333338E-2</v>
      </c>
      <c r="T48" s="35">
        <f t="shared" si="11"/>
        <v>0.08</v>
      </c>
      <c r="U48" s="35">
        <f t="shared" si="5"/>
        <v>0.11111111111111116</v>
      </c>
      <c r="V48" s="35">
        <f t="shared" si="21"/>
        <v>5.6603773584905648E-2</v>
      </c>
      <c r="W48" s="35">
        <f t="shared" si="21"/>
        <v>5.6603773584905648E-2</v>
      </c>
      <c r="X48" s="35">
        <f t="shared" si="21"/>
        <v>5.6603773584905648E-2</v>
      </c>
      <c r="Y48" s="35">
        <f t="shared" si="21"/>
        <v>5.6603773584905648E-2</v>
      </c>
      <c r="Z48" s="35">
        <f t="shared" si="21"/>
        <v>5.6603773584905648E-2</v>
      </c>
      <c r="AA48" s="35">
        <f t="shared" si="21"/>
        <v>5.6603773584905648E-2</v>
      </c>
    </row>
    <row r="49" spans="2:27" x14ac:dyDescent="0.2">
      <c r="B49" s="2">
        <v>47</v>
      </c>
      <c r="C49" s="2" t="str">
        <f t="shared" si="19"/>
        <v>a</v>
      </c>
      <c r="D49" s="29" t="s">
        <v>151</v>
      </c>
      <c r="E49" s="29" t="s">
        <v>209</v>
      </c>
      <c r="F49" s="2" t="s">
        <v>211</v>
      </c>
      <c r="G49" s="2">
        <f t="shared" si="12"/>
        <v>7</v>
      </c>
      <c r="H49" s="2" t="str">
        <f t="shared" si="2"/>
        <v>物理</v>
      </c>
      <c r="I49" s="38">
        <f t="shared" si="7"/>
        <v>0.32090909090909092</v>
      </c>
      <c r="J49" s="33">
        <f t="shared" si="8"/>
        <v>120</v>
      </c>
      <c r="K49" s="33">
        <f t="shared" si="20"/>
        <v>86</v>
      </c>
      <c r="L49" s="33">
        <f t="shared" si="20"/>
        <v>8</v>
      </c>
      <c r="M49" s="33">
        <f t="shared" si="20"/>
        <v>52</v>
      </c>
      <c r="N49" s="33">
        <f t="shared" si="4"/>
        <v>6</v>
      </c>
      <c r="O49" s="33">
        <f t="shared" si="20"/>
        <v>20</v>
      </c>
      <c r="P49" s="33">
        <f t="shared" si="20"/>
        <v>33</v>
      </c>
      <c r="Q49" s="33">
        <f t="shared" si="20"/>
        <v>28</v>
      </c>
      <c r="R49" s="35">
        <f t="shared" si="9"/>
        <v>9.3333333333333338E-2</v>
      </c>
      <c r="S49" s="35">
        <f t="shared" si="10"/>
        <v>0.11</v>
      </c>
      <c r="T49" s="35">
        <f t="shared" si="11"/>
        <v>9.3333333333333338E-2</v>
      </c>
      <c r="U49" s="35">
        <f t="shared" si="5"/>
        <v>0.1266375545851528</v>
      </c>
      <c r="V49" s="35">
        <f t="shared" si="21"/>
        <v>6.5420560747663559E-2</v>
      </c>
      <c r="W49" s="35">
        <f t="shared" si="21"/>
        <v>6.5420560747663559E-2</v>
      </c>
      <c r="X49" s="35">
        <f t="shared" si="21"/>
        <v>6.5420560747663559E-2</v>
      </c>
      <c r="Y49" s="35">
        <f t="shared" si="21"/>
        <v>6.5420560747663559E-2</v>
      </c>
      <c r="Z49" s="35">
        <f t="shared" si="21"/>
        <v>6.5420560747663559E-2</v>
      </c>
      <c r="AA49" s="35">
        <f t="shared" si="21"/>
        <v>6.5420560747663559E-2</v>
      </c>
    </row>
    <row r="50" spans="2:27" x14ac:dyDescent="0.2">
      <c r="B50" s="2">
        <v>48</v>
      </c>
      <c r="C50" s="2" t="str">
        <f t="shared" si="19"/>
        <v>a</v>
      </c>
      <c r="D50" s="29" t="s">
        <v>153</v>
      </c>
      <c r="E50" s="29" t="s">
        <v>209</v>
      </c>
      <c r="F50" s="2" t="s">
        <v>211</v>
      </c>
      <c r="G50" s="2">
        <f t="shared" si="12"/>
        <v>8</v>
      </c>
      <c r="H50" s="2" t="str">
        <f t="shared" si="2"/>
        <v>物理</v>
      </c>
      <c r="I50" s="38">
        <f t="shared" si="7"/>
        <v>0.36818181818181822</v>
      </c>
      <c r="J50" s="33">
        <f t="shared" si="8"/>
        <v>137</v>
      </c>
      <c r="K50" s="33">
        <f t="shared" si="20"/>
        <v>99</v>
      </c>
      <c r="L50" s="33">
        <f t="shared" si="20"/>
        <v>9</v>
      </c>
      <c r="M50" s="33">
        <f t="shared" si="20"/>
        <v>59</v>
      </c>
      <c r="N50" s="33">
        <f t="shared" si="4"/>
        <v>7</v>
      </c>
      <c r="O50" s="33">
        <f t="shared" si="20"/>
        <v>23</v>
      </c>
      <c r="P50" s="33">
        <f t="shared" si="20"/>
        <v>38</v>
      </c>
      <c r="Q50" s="33">
        <f t="shared" si="20"/>
        <v>33</v>
      </c>
      <c r="R50" s="35">
        <f t="shared" si="9"/>
        <v>0.11</v>
      </c>
      <c r="S50" s="35">
        <f t="shared" si="10"/>
        <v>0.12666666666666665</v>
      </c>
      <c r="T50" s="35">
        <f t="shared" si="11"/>
        <v>0.11</v>
      </c>
      <c r="U50" s="35">
        <f t="shared" si="5"/>
        <v>0.14163090128755362</v>
      </c>
      <c r="V50" s="35">
        <f t="shared" si="21"/>
        <v>7.8341013824884786E-2</v>
      </c>
      <c r="W50" s="35">
        <f t="shared" si="21"/>
        <v>7.8341013824884786E-2</v>
      </c>
      <c r="X50" s="35">
        <f t="shared" si="21"/>
        <v>7.8341013824884786E-2</v>
      </c>
      <c r="Y50" s="35">
        <f t="shared" si="21"/>
        <v>7.8341013824884786E-2</v>
      </c>
      <c r="Z50" s="35">
        <f t="shared" si="21"/>
        <v>7.8341013824884786E-2</v>
      </c>
      <c r="AA50" s="35">
        <f t="shared" si="21"/>
        <v>7.8341013824884786E-2</v>
      </c>
    </row>
    <row r="51" spans="2:27" x14ac:dyDescent="0.2">
      <c r="B51" s="2">
        <v>49</v>
      </c>
      <c r="C51" s="2" t="str">
        <f t="shared" si="19"/>
        <v>b</v>
      </c>
      <c r="D51" s="29" t="s">
        <v>1</v>
      </c>
      <c r="E51" s="29" t="s">
        <v>209</v>
      </c>
      <c r="F51" s="2" t="s">
        <v>211</v>
      </c>
      <c r="G51" s="2">
        <f t="shared" si="12"/>
        <v>1</v>
      </c>
      <c r="H51" s="2" t="str">
        <f t="shared" si="2"/>
        <v>物理</v>
      </c>
      <c r="I51" s="38">
        <f t="shared" si="7"/>
        <v>0.1</v>
      </c>
      <c r="J51" s="33">
        <f t="shared" si="8"/>
        <v>18</v>
      </c>
      <c r="K51" s="33">
        <f t="shared" si="20"/>
        <v>15</v>
      </c>
      <c r="L51" s="33">
        <f t="shared" si="20"/>
        <v>1</v>
      </c>
      <c r="M51" s="33">
        <f t="shared" si="20"/>
        <v>9</v>
      </c>
      <c r="N51" s="33">
        <f t="shared" si="4"/>
        <v>2</v>
      </c>
      <c r="O51" s="33">
        <f t="shared" si="20"/>
        <v>3</v>
      </c>
      <c r="P51" s="33">
        <f t="shared" si="20"/>
        <v>5</v>
      </c>
      <c r="Q51" s="33">
        <f t="shared" si="20"/>
        <v>5</v>
      </c>
      <c r="R51" s="35">
        <f t="shared" si="9"/>
        <v>1.6666666666666666E-2</v>
      </c>
      <c r="S51" s="35">
        <f t="shared" si="10"/>
        <v>1.6666666666666666E-2</v>
      </c>
      <c r="T51" s="35">
        <f t="shared" si="11"/>
        <v>1.6666666666666666E-2</v>
      </c>
      <c r="U51" s="35">
        <f t="shared" si="5"/>
        <v>2.4390243902439046E-2</v>
      </c>
      <c r="V51" s="35">
        <f t="shared" si="21"/>
        <v>1.4778325123152691E-2</v>
      </c>
      <c r="W51" s="35">
        <f t="shared" si="21"/>
        <v>1.4778325123152691E-2</v>
      </c>
      <c r="X51" s="35">
        <f t="shared" si="21"/>
        <v>1.4778325123152691E-2</v>
      </c>
      <c r="Y51" s="35">
        <f t="shared" si="21"/>
        <v>1.4778325123152691E-2</v>
      </c>
      <c r="Z51" s="35">
        <f t="shared" si="21"/>
        <v>1.4778325123152691E-2</v>
      </c>
      <c r="AA51" s="35">
        <f t="shared" si="21"/>
        <v>1.4778325123152691E-2</v>
      </c>
    </row>
    <row r="52" spans="2:27" x14ac:dyDescent="0.2">
      <c r="B52" s="2">
        <v>50</v>
      </c>
      <c r="C52" s="2" t="str">
        <f t="shared" si="19"/>
        <v>b</v>
      </c>
      <c r="D52" s="29" t="s">
        <v>1</v>
      </c>
      <c r="E52" s="29" t="s">
        <v>209</v>
      </c>
      <c r="F52" s="2" t="s">
        <v>211</v>
      </c>
      <c r="G52" s="2">
        <f t="shared" si="12"/>
        <v>2</v>
      </c>
      <c r="H52" s="2" t="str">
        <f t="shared" si="2"/>
        <v>物理</v>
      </c>
      <c r="I52" s="38">
        <f t="shared" si="7"/>
        <v>0.10818181818181818</v>
      </c>
      <c r="J52" s="33">
        <f t="shared" si="8"/>
        <v>36</v>
      </c>
      <c r="K52" s="33">
        <f t="shared" si="20"/>
        <v>31</v>
      </c>
      <c r="L52" s="33">
        <f t="shared" si="20"/>
        <v>3</v>
      </c>
      <c r="M52" s="33">
        <f t="shared" si="20"/>
        <v>18</v>
      </c>
      <c r="N52" s="33">
        <f t="shared" si="4"/>
        <v>3</v>
      </c>
      <c r="O52" s="33">
        <f t="shared" si="20"/>
        <v>7</v>
      </c>
      <c r="P52" s="33">
        <f t="shared" si="20"/>
        <v>11</v>
      </c>
      <c r="Q52" s="33">
        <f t="shared" si="20"/>
        <v>10</v>
      </c>
      <c r="R52" s="35">
        <f t="shared" si="9"/>
        <v>3.3333333333333333E-2</v>
      </c>
      <c r="S52" s="35">
        <f t="shared" si="10"/>
        <v>3.6666666666666667E-2</v>
      </c>
      <c r="T52" s="35">
        <f t="shared" si="11"/>
        <v>3.3333333333333333E-2</v>
      </c>
      <c r="U52" s="35">
        <f t="shared" si="5"/>
        <v>4.7619047619047672E-2</v>
      </c>
      <c r="V52" s="35">
        <f t="shared" si="21"/>
        <v>2.4390243902439046E-2</v>
      </c>
      <c r="W52" s="35">
        <f t="shared" si="21"/>
        <v>2.4390243902439046E-2</v>
      </c>
      <c r="X52" s="35">
        <f t="shared" si="21"/>
        <v>2.4390243902439046E-2</v>
      </c>
      <c r="Y52" s="35">
        <f t="shared" si="21"/>
        <v>2.4390243902439046E-2</v>
      </c>
      <c r="Z52" s="35">
        <f t="shared" si="21"/>
        <v>2.4390243902439046E-2</v>
      </c>
      <c r="AA52" s="35">
        <f t="shared" si="21"/>
        <v>2.4390243902439046E-2</v>
      </c>
    </row>
    <row r="53" spans="2:27" x14ac:dyDescent="0.2">
      <c r="B53" s="2">
        <v>51</v>
      </c>
      <c r="C53" s="2" t="str">
        <f t="shared" si="19"/>
        <v>b</v>
      </c>
      <c r="D53" s="29" t="s">
        <v>140</v>
      </c>
      <c r="E53" s="29" t="s">
        <v>209</v>
      </c>
      <c r="F53" s="2" t="s">
        <v>211</v>
      </c>
      <c r="G53" s="2">
        <f t="shared" si="12"/>
        <v>3</v>
      </c>
      <c r="H53" s="2" t="str">
        <f t="shared" si="2"/>
        <v>物理</v>
      </c>
      <c r="I53" s="38">
        <f t="shared" si="7"/>
        <v>0.16272727272727272</v>
      </c>
      <c r="J53" s="33">
        <f t="shared" si="8"/>
        <v>55</v>
      </c>
      <c r="K53" s="33">
        <f t="shared" ref="K53:Q62" si="22">INT((1+VLOOKUP($F53,role_property_weight,getpos(K$2),FALSE))*(1+VLOOKUP($F53,weapon_property_weight,getpos(K$2),FALSE))*VLOOKUP($E53,role_grow,getpos(K$2),FALSE)*$G53*10*VLOOKUP($C53,weapon_grow1,5,FALSE))</f>
        <v>46</v>
      </c>
      <c r="L53" s="33">
        <f t="shared" si="22"/>
        <v>4</v>
      </c>
      <c r="M53" s="33">
        <f t="shared" si="22"/>
        <v>28</v>
      </c>
      <c r="N53" s="33">
        <f t="shared" si="4"/>
        <v>4</v>
      </c>
      <c r="O53" s="33">
        <f t="shared" si="22"/>
        <v>10</v>
      </c>
      <c r="P53" s="33">
        <f t="shared" si="22"/>
        <v>17</v>
      </c>
      <c r="Q53" s="33">
        <f t="shared" si="22"/>
        <v>15</v>
      </c>
      <c r="R53" s="35">
        <f t="shared" si="9"/>
        <v>0.05</v>
      </c>
      <c r="S53" s="35">
        <f t="shared" si="10"/>
        <v>5.6666666666666671E-2</v>
      </c>
      <c r="T53" s="35">
        <f t="shared" si="11"/>
        <v>0.05</v>
      </c>
      <c r="U53" s="35">
        <f t="shared" si="5"/>
        <v>7.407407407407407E-2</v>
      </c>
      <c r="V53" s="35">
        <f t="shared" ref="V53:AA62" si="23">1-200/(200+ROUND((1+VLOOKUP($F53,role_property_weight,getpos(V$2),FALSE))*VLOOKUP($E53,role_grow,getpos(V$2),FALSE)*$G53*10*VLOOKUP($C53,weapon_grow1,5,FALSE),0))</f>
        <v>3.8461538461538436E-2</v>
      </c>
      <c r="W53" s="35">
        <f t="shared" si="23"/>
        <v>3.8461538461538436E-2</v>
      </c>
      <c r="X53" s="35">
        <f t="shared" si="23"/>
        <v>3.8461538461538436E-2</v>
      </c>
      <c r="Y53" s="35">
        <f t="shared" si="23"/>
        <v>3.8461538461538436E-2</v>
      </c>
      <c r="Z53" s="35">
        <f t="shared" si="23"/>
        <v>3.8461538461538436E-2</v>
      </c>
      <c r="AA53" s="35">
        <f t="shared" si="23"/>
        <v>3.8461538461538436E-2</v>
      </c>
    </row>
    <row r="54" spans="2:27" x14ac:dyDescent="0.2">
      <c r="B54" s="2">
        <v>52</v>
      </c>
      <c r="C54" s="2" t="str">
        <f t="shared" si="19"/>
        <v>b</v>
      </c>
      <c r="D54" s="29" t="s">
        <v>1</v>
      </c>
      <c r="E54" s="29" t="s">
        <v>209</v>
      </c>
      <c r="F54" s="2" t="s">
        <v>211</v>
      </c>
      <c r="G54" s="2">
        <f t="shared" si="12"/>
        <v>4</v>
      </c>
      <c r="H54" s="2" t="str">
        <f t="shared" si="2"/>
        <v>物理</v>
      </c>
      <c r="I54" s="38">
        <f t="shared" si="7"/>
        <v>0.21818181818181817</v>
      </c>
      <c r="J54" s="33">
        <f t="shared" si="8"/>
        <v>73</v>
      </c>
      <c r="K54" s="33">
        <f t="shared" si="22"/>
        <v>62</v>
      </c>
      <c r="L54" s="33">
        <f t="shared" si="22"/>
        <v>6</v>
      </c>
      <c r="M54" s="33">
        <f t="shared" si="22"/>
        <v>37</v>
      </c>
      <c r="N54" s="33">
        <f t="shared" si="4"/>
        <v>5</v>
      </c>
      <c r="O54" s="33">
        <f t="shared" si="22"/>
        <v>14</v>
      </c>
      <c r="P54" s="33">
        <f t="shared" si="22"/>
        <v>23</v>
      </c>
      <c r="Q54" s="33">
        <f t="shared" si="22"/>
        <v>20</v>
      </c>
      <c r="R54" s="35">
        <f t="shared" si="9"/>
        <v>6.6666666666666666E-2</v>
      </c>
      <c r="S54" s="35">
        <f t="shared" si="10"/>
        <v>7.6666666666666675E-2</v>
      </c>
      <c r="T54" s="35">
        <f t="shared" si="11"/>
        <v>6.6666666666666666E-2</v>
      </c>
      <c r="U54" s="35">
        <f t="shared" si="5"/>
        <v>9.5022624434389136E-2</v>
      </c>
      <c r="V54" s="35">
        <f t="shared" si="23"/>
        <v>4.7619047619047672E-2</v>
      </c>
      <c r="W54" s="35">
        <f t="shared" si="23"/>
        <v>4.7619047619047672E-2</v>
      </c>
      <c r="X54" s="35">
        <f t="shared" si="23"/>
        <v>4.7619047619047672E-2</v>
      </c>
      <c r="Y54" s="35">
        <f t="shared" si="23"/>
        <v>4.7619047619047672E-2</v>
      </c>
      <c r="Z54" s="35">
        <f t="shared" si="23"/>
        <v>4.7619047619047672E-2</v>
      </c>
      <c r="AA54" s="35">
        <f t="shared" si="23"/>
        <v>4.7619047619047672E-2</v>
      </c>
    </row>
    <row r="55" spans="2:27" x14ac:dyDescent="0.2">
      <c r="B55" s="2">
        <v>53</v>
      </c>
      <c r="C55" s="2" t="str">
        <f t="shared" si="19"/>
        <v>b</v>
      </c>
      <c r="D55" s="29" t="s">
        <v>136</v>
      </c>
      <c r="E55" s="29" t="s">
        <v>209</v>
      </c>
      <c r="F55" s="2" t="s">
        <v>211</v>
      </c>
      <c r="G55" s="2">
        <f t="shared" si="12"/>
        <v>5</v>
      </c>
      <c r="H55" s="2" t="str">
        <f t="shared" si="2"/>
        <v>物理</v>
      </c>
      <c r="I55" s="38">
        <f t="shared" si="7"/>
        <v>0.27454545454545454</v>
      </c>
      <c r="J55" s="33">
        <f t="shared" si="8"/>
        <v>92</v>
      </c>
      <c r="K55" s="33">
        <f t="shared" si="22"/>
        <v>78</v>
      </c>
      <c r="L55" s="33">
        <f t="shared" si="22"/>
        <v>7</v>
      </c>
      <c r="M55" s="33">
        <f t="shared" si="22"/>
        <v>46</v>
      </c>
      <c r="N55" s="33">
        <f t="shared" si="4"/>
        <v>6</v>
      </c>
      <c r="O55" s="33">
        <f t="shared" si="22"/>
        <v>18</v>
      </c>
      <c r="P55" s="33">
        <f t="shared" si="22"/>
        <v>29</v>
      </c>
      <c r="Q55" s="33">
        <f t="shared" si="22"/>
        <v>26</v>
      </c>
      <c r="R55" s="35">
        <f t="shared" si="9"/>
        <v>8.6666666666666656E-2</v>
      </c>
      <c r="S55" s="35">
        <f t="shared" si="10"/>
        <v>9.6666666666666665E-2</v>
      </c>
      <c r="T55" s="35">
        <f t="shared" si="11"/>
        <v>8.6666666666666656E-2</v>
      </c>
      <c r="U55" s="35">
        <f t="shared" si="5"/>
        <v>0.11504424778761058</v>
      </c>
      <c r="V55" s="35">
        <f t="shared" si="23"/>
        <v>6.1032863849765251E-2</v>
      </c>
      <c r="W55" s="35">
        <f t="shared" si="23"/>
        <v>6.1032863849765251E-2</v>
      </c>
      <c r="X55" s="35">
        <f t="shared" si="23"/>
        <v>6.1032863849765251E-2</v>
      </c>
      <c r="Y55" s="35">
        <f t="shared" si="23"/>
        <v>6.1032863849765251E-2</v>
      </c>
      <c r="Z55" s="35">
        <f t="shared" si="23"/>
        <v>6.1032863849765251E-2</v>
      </c>
      <c r="AA55" s="35">
        <f t="shared" si="23"/>
        <v>6.1032863849765251E-2</v>
      </c>
    </row>
    <row r="56" spans="2:27" x14ac:dyDescent="0.2">
      <c r="B56" s="2">
        <v>54</v>
      </c>
      <c r="C56" s="2" t="str">
        <f t="shared" si="19"/>
        <v>b</v>
      </c>
      <c r="D56" s="29" t="s">
        <v>142</v>
      </c>
      <c r="E56" s="29" t="s">
        <v>209</v>
      </c>
      <c r="F56" s="2" t="s">
        <v>211</v>
      </c>
      <c r="G56" s="2">
        <f t="shared" si="12"/>
        <v>6</v>
      </c>
      <c r="H56" s="2" t="str">
        <f t="shared" si="2"/>
        <v>物理</v>
      </c>
      <c r="I56" s="38">
        <f t="shared" si="7"/>
        <v>0.32909090909090905</v>
      </c>
      <c r="J56" s="33">
        <f t="shared" si="8"/>
        <v>110</v>
      </c>
      <c r="K56" s="33">
        <f t="shared" si="22"/>
        <v>93</v>
      </c>
      <c r="L56" s="33">
        <f t="shared" si="22"/>
        <v>9</v>
      </c>
      <c r="M56" s="33">
        <f t="shared" si="22"/>
        <v>56</v>
      </c>
      <c r="N56" s="33">
        <f t="shared" si="4"/>
        <v>7</v>
      </c>
      <c r="O56" s="33">
        <f t="shared" si="22"/>
        <v>21</v>
      </c>
      <c r="P56" s="33">
        <f t="shared" si="22"/>
        <v>35</v>
      </c>
      <c r="Q56" s="33">
        <f t="shared" si="22"/>
        <v>31</v>
      </c>
      <c r="R56" s="35">
        <f t="shared" si="9"/>
        <v>0.10333333333333333</v>
      </c>
      <c r="S56" s="35">
        <f t="shared" si="10"/>
        <v>0.11666666666666665</v>
      </c>
      <c r="T56" s="35">
        <f t="shared" si="11"/>
        <v>0.10333333333333333</v>
      </c>
      <c r="U56" s="35">
        <f t="shared" si="5"/>
        <v>0.13419913419913421</v>
      </c>
      <c r="V56" s="35">
        <f t="shared" si="23"/>
        <v>7.407407407407407E-2</v>
      </c>
      <c r="W56" s="35">
        <f t="shared" si="23"/>
        <v>7.407407407407407E-2</v>
      </c>
      <c r="X56" s="35">
        <f t="shared" si="23"/>
        <v>7.407407407407407E-2</v>
      </c>
      <c r="Y56" s="35">
        <f t="shared" si="23"/>
        <v>7.407407407407407E-2</v>
      </c>
      <c r="Z56" s="35">
        <f t="shared" si="23"/>
        <v>7.407407407407407E-2</v>
      </c>
      <c r="AA56" s="35">
        <f t="shared" si="23"/>
        <v>7.407407407407407E-2</v>
      </c>
    </row>
    <row r="57" spans="2:27" x14ac:dyDescent="0.2">
      <c r="B57" s="2">
        <v>55</v>
      </c>
      <c r="C57" s="2" t="str">
        <f t="shared" si="19"/>
        <v>b</v>
      </c>
      <c r="D57" s="29" t="s">
        <v>144</v>
      </c>
      <c r="E57" s="29" t="s">
        <v>209</v>
      </c>
      <c r="F57" s="2" t="s">
        <v>211</v>
      </c>
      <c r="G57" s="2">
        <f t="shared" si="12"/>
        <v>7</v>
      </c>
      <c r="H57" s="2" t="str">
        <f t="shared" si="2"/>
        <v>物理</v>
      </c>
      <c r="I57" s="38">
        <f t="shared" si="7"/>
        <v>0.38454545454545452</v>
      </c>
      <c r="J57" s="33">
        <f t="shared" si="8"/>
        <v>129</v>
      </c>
      <c r="K57" s="33">
        <f t="shared" si="22"/>
        <v>109</v>
      </c>
      <c r="L57" s="33">
        <f t="shared" si="22"/>
        <v>10</v>
      </c>
      <c r="M57" s="33">
        <f t="shared" si="22"/>
        <v>65</v>
      </c>
      <c r="N57" s="33">
        <f t="shared" si="4"/>
        <v>8</v>
      </c>
      <c r="O57" s="33">
        <f t="shared" si="22"/>
        <v>25</v>
      </c>
      <c r="P57" s="33">
        <f t="shared" si="22"/>
        <v>41</v>
      </c>
      <c r="Q57" s="33">
        <f t="shared" si="22"/>
        <v>36</v>
      </c>
      <c r="R57" s="35">
        <f t="shared" si="9"/>
        <v>0.12</v>
      </c>
      <c r="S57" s="35">
        <f t="shared" si="10"/>
        <v>0.13666666666666666</v>
      </c>
      <c r="T57" s="35">
        <f t="shared" si="11"/>
        <v>0.12</v>
      </c>
      <c r="U57" s="35">
        <f t="shared" si="5"/>
        <v>0.15254237288135597</v>
      </c>
      <c r="V57" s="35">
        <f t="shared" si="23"/>
        <v>8.256880733944949E-2</v>
      </c>
      <c r="W57" s="35">
        <f t="shared" si="23"/>
        <v>8.256880733944949E-2</v>
      </c>
      <c r="X57" s="35">
        <f t="shared" si="23"/>
        <v>8.256880733944949E-2</v>
      </c>
      <c r="Y57" s="35">
        <f t="shared" si="23"/>
        <v>8.256880733944949E-2</v>
      </c>
      <c r="Z57" s="35">
        <f t="shared" si="23"/>
        <v>8.256880733944949E-2</v>
      </c>
      <c r="AA57" s="35">
        <f t="shared" si="23"/>
        <v>8.256880733944949E-2</v>
      </c>
    </row>
    <row r="58" spans="2:27" x14ac:dyDescent="0.2">
      <c r="B58" s="2">
        <v>56</v>
      </c>
      <c r="C58" s="2" t="str">
        <f t="shared" si="19"/>
        <v>b</v>
      </c>
      <c r="D58" s="29" t="s">
        <v>154</v>
      </c>
      <c r="E58" s="29" t="s">
        <v>209</v>
      </c>
      <c r="F58" s="2" t="s">
        <v>211</v>
      </c>
      <c r="G58" s="2">
        <f t="shared" si="12"/>
        <v>8</v>
      </c>
      <c r="H58" s="2" t="str">
        <f t="shared" si="2"/>
        <v>物理</v>
      </c>
      <c r="I58" s="38">
        <f t="shared" si="7"/>
        <v>0.43909090909090909</v>
      </c>
      <c r="J58" s="33">
        <f t="shared" si="8"/>
        <v>147</v>
      </c>
      <c r="K58" s="33">
        <f t="shared" si="22"/>
        <v>124</v>
      </c>
      <c r="L58" s="33">
        <f t="shared" si="22"/>
        <v>12</v>
      </c>
      <c r="M58" s="33">
        <f t="shared" si="22"/>
        <v>74</v>
      </c>
      <c r="N58" s="33">
        <f t="shared" si="4"/>
        <v>9</v>
      </c>
      <c r="O58" s="33">
        <f t="shared" si="22"/>
        <v>29</v>
      </c>
      <c r="P58" s="33">
        <f t="shared" si="22"/>
        <v>47</v>
      </c>
      <c r="Q58" s="33">
        <f t="shared" si="22"/>
        <v>41</v>
      </c>
      <c r="R58" s="35">
        <f t="shared" si="9"/>
        <v>0.13666666666666666</v>
      </c>
      <c r="S58" s="35">
        <f t="shared" si="10"/>
        <v>0.15666666666666665</v>
      </c>
      <c r="T58" s="35">
        <f t="shared" si="11"/>
        <v>0.13666666666666666</v>
      </c>
      <c r="U58" s="35">
        <f t="shared" si="5"/>
        <v>0.17355371900826444</v>
      </c>
      <c r="V58" s="35">
        <f t="shared" si="23"/>
        <v>9.5022624434389136E-2</v>
      </c>
      <c r="W58" s="35">
        <f t="shared" si="23"/>
        <v>9.5022624434389136E-2</v>
      </c>
      <c r="X58" s="35">
        <f t="shared" si="23"/>
        <v>9.5022624434389136E-2</v>
      </c>
      <c r="Y58" s="35">
        <f t="shared" si="23"/>
        <v>9.5022624434389136E-2</v>
      </c>
      <c r="Z58" s="35">
        <f t="shared" si="23"/>
        <v>9.5022624434389136E-2</v>
      </c>
      <c r="AA58" s="35">
        <f t="shared" si="23"/>
        <v>9.5022624434389136E-2</v>
      </c>
    </row>
    <row r="59" spans="2:27" x14ac:dyDescent="0.2">
      <c r="B59" s="2">
        <v>57</v>
      </c>
      <c r="C59" s="2" t="str">
        <f t="shared" si="19"/>
        <v>c</v>
      </c>
      <c r="D59" s="29" t="s">
        <v>1</v>
      </c>
      <c r="E59" s="29" t="s">
        <v>209</v>
      </c>
      <c r="F59" s="2" t="s">
        <v>211</v>
      </c>
      <c r="G59" s="2">
        <f t="shared" si="12"/>
        <v>1</v>
      </c>
      <c r="H59" s="2" t="str">
        <f t="shared" si="2"/>
        <v>--</v>
      </c>
      <c r="I59" s="38">
        <f t="shared" si="7"/>
        <v>0</v>
      </c>
      <c r="J59" s="33">
        <f t="shared" si="8"/>
        <v>23</v>
      </c>
      <c r="K59" s="33">
        <f t="shared" si="22"/>
        <v>0</v>
      </c>
      <c r="L59" s="33">
        <f t="shared" si="22"/>
        <v>0</v>
      </c>
      <c r="M59" s="33">
        <f t="shared" si="22"/>
        <v>0</v>
      </c>
      <c r="N59" s="33">
        <f t="shared" si="4"/>
        <v>0</v>
      </c>
      <c r="O59" s="33">
        <f t="shared" si="22"/>
        <v>0</v>
      </c>
      <c r="P59" s="33">
        <f t="shared" si="22"/>
        <v>0</v>
      </c>
      <c r="Q59" s="33">
        <f t="shared" si="22"/>
        <v>0</v>
      </c>
      <c r="R59" s="35">
        <f t="shared" si="9"/>
        <v>0</v>
      </c>
      <c r="S59" s="35">
        <f t="shared" si="10"/>
        <v>0</v>
      </c>
      <c r="T59" s="35">
        <f t="shared" si="11"/>
        <v>0</v>
      </c>
      <c r="U59" s="35">
        <f t="shared" si="5"/>
        <v>0</v>
      </c>
      <c r="V59" s="35">
        <f t="shared" si="23"/>
        <v>0</v>
      </c>
      <c r="W59" s="35">
        <f t="shared" si="23"/>
        <v>0</v>
      </c>
      <c r="X59" s="35">
        <f t="shared" si="23"/>
        <v>0</v>
      </c>
      <c r="Y59" s="35">
        <f t="shared" si="23"/>
        <v>0</v>
      </c>
      <c r="Z59" s="35">
        <f t="shared" si="23"/>
        <v>0</v>
      </c>
      <c r="AA59" s="35">
        <f t="shared" si="23"/>
        <v>0</v>
      </c>
    </row>
    <row r="60" spans="2:27" x14ac:dyDescent="0.2">
      <c r="B60" s="2">
        <v>58</v>
      </c>
      <c r="C60" s="2" t="str">
        <f t="shared" si="19"/>
        <v>c</v>
      </c>
      <c r="D60" s="29" t="s">
        <v>155</v>
      </c>
      <c r="E60" s="29" t="s">
        <v>209</v>
      </c>
      <c r="F60" s="2" t="s">
        <v>211</v>
      </c>
      <c r="G60" s="2">
        <f t="shared" si="12"/>
        <v>2</v>
      </c>
      <c r="H60" s="2" t="str">
        <f t="shared" si="2"/>
        <v>--</v>
      </c>
      <c r="I60" s="38">
        <f t="shared" si="7"/>
        <v>0</v>
      </c>
      <c r="J60" s="33">
        <f t="shared" si="8"/>
        <v>46</v>
      </c>
      <c r="K60" s="33">
        <f t="shared" si="22"/>
        <v>0</v>
      </c>
      <c r="L60" s="33">
        <f t="shared" si="22"/>
        <v>0</v>
      </c>
      <c r="M60" s="33">
        <f t="shared" si="22"/>
        <v>0</v>
      </c>
      <c r="N60" s="33">
        <f t="shared" si="4"/>
        <v>0</v>
      </c>
      <c r="O60" s="33">
        <f t="shared" si="22"/>
        <v>0</v>
      </c>
      <c r="P60" s="33">
        <f t="shared" si="22"/>
        <v>0</v>
      </c>
      <c r="Q60" s="33">
        <f t="shared" si="22"/>
        <v>0</v>
      </c>
      <c r="R60" s="35">
        <f t="shared" si="9"/>
        <v>0</v>
      </c>
      <c r="S60" s="35">
        <f t="shared" si="10"/>
        <v>0</v>
      </c>
      <c r="T60" s="35">
        <f t="shared" si="11"/>
        <v>0</v>
      </c>
      <c r="U60" s="35">
        <f t="shared" si="5"/>
        <v>0</v>
      </c>
      <c r="V60" s="35">
        <f t="shared" si="23"/>
        <v>0</v>
      </c>
      <c r="W60" s="35">
        <f t="shared" si="23"/>
        <v>0</v>
      </c>
      <c r="X60" s="35">
        <f t="shared" si="23"/>
        <v>0</v>
      </c>
      <c r="Y60" s="35">
        <f t="shared" si="23"/>
        <v>0</v>
      </c>
      <c r="Z60" s="35">
        <f t="shared" si="23"/>
        <v>0</v>
      </c>
      <c r="AA60" s="35">
        <f t="shared" si="23"/>
        <v>0</v>
      </c>
    </row>
    <row r="61" spans="2:27" x14ac:dyDescent="0.2">
      <c r="B61" s="2">
        <v>59</v>
      </c>
      <c r="C61" s="2" t="str">
        <f t="shared" si="19"/>
        <v>c</v>
      </c>
      <c r="D61" s="29" t="s">
        <v>10</v>
      </c>
      <c r="E61" s="29" t="s">
        <v>209</v>
      </c>
      <c r="F61" s="2" t="s">
        <v>211</v>
      </c>
      <c r="G61" s="2">
        <f t="shared" si="12"/>
        <v>3</v>
      </c>
      <c r="H61" s="2" t="str">
        <f t="shared" si="2"/>
        <v>--</v>
      </c>
      <c r="I61" s="38">
        <f t="shared" si="7"/>
        <v>0</v>
      </c>
      <c r="J61" s="33">
        <f t="shared" si="8"/>
        <v>69</v>
      </c>
      <c r="K61" s="33">
        <f t="shared" si="22"/>
        <v>0</v>
      </c>
      <c r="L61" s="33">
        <f t="shared" si="22"/>
        <v>0</v>
      </c>
      <c r="M61" s="33">
        <f t="shared" si="22"/>
        <v>0</v>
      </c>
      <c r="N61" s="33">
        <f t="shared" si="4"/>
        <v>0</v>
      </c>
      <c r="O61" s="33">
        <f t="shared" si="22"/>
        <v>0</v>
      </c>
      <c r="P61" s="33">
        <f t="shared" si="22"/>
        <v>0</v>
      </c>
      <c r="Q61" s="33">
        <f t="shared" si="22"/>
        <v>0</v>
      </c>
      <c r="R61" s="35">
        <f t="shared" si="9"/>
        <v>0</v>
      </c>
      <c r="S61" s="35">
        <f t="shared" si="10"/>
        <v>0</v>
      </c>
      <c r="T61" s="35">
        <f t="shared" si="11"/>
        <v>0</v>
      </c>
      <c r="U61" s="35">
        <f t="shared" si="5"/>
        <v>0</v>
      </c>
      <c r="V61" s="35">
        <f t="shared" si="23"/>
        <v>0</v>
      </c>
      <c r="W61" s="35">
        <f t="shared" si="23"/>
        <v>0</v>
      </c>
      <c r="X61" s="35">
        <f t="shared" si="23"/>
        <v>0</v>
      </c>
      <c r="Y61" s="35">
        <f t="shared" si="23"/>
        <v>0</v>
      </c>
      <c r="Z61" s="35">
        <f t="shared" si="23"/>
        <v>0</v>
      </c>
      <c r="AA61" s="35">
        <f t="shared" si="23"/>
        <v>0</v>
      </c>
    </row>
    <row r="62" spans="2:27" x14ac:dyDescent="0.2">
      <c r="B62" s="2">
        <v>60</v>
      </c>
      <c r="C62" s="2" t="str">
        <f t="shared" si="19"/>
        <v>c</v>
      </c>
      <c r="D62" s="29" t="s">
        <v>31</v>
      </c>
      <c r="E62" s="29" t="s">
        <v>209</v>
      </c>
      <c r="F62" s="2" t="s">
        <v>211</v>
      </c>
      <c r="G62" s="2">
        <f t="shared" si="12"/>
        <v>4</v>
      </c>
      <c r="H62" s="2" t="str">
        <f t="shared" si="2"/>
        <v>--</v>
      </c>
      <c r="I62" s="38">
        <f t="shared" si="7"/>
        <v>0</v>
      </c>
      <c r="J62" s="33">
        <f t="shared" si="8"/>
        <v>93</v>
      </c>
      <c r="K62" s="33">
        <f t="shared" si="22"/>
        <v>0</v>
      </c>
      <c r="L62" s="33">
        <f t="shared" si="22"/>
        <v>0</v>
      </c>
      <c r="M62" s="33">
        <f t="shared" si="22"/>
        <v>0</v>
      </c>
      <c r="N62" s="33">
        <f t="shared" si="4"/>
        <v>0</v>
      </c>
      <c r="O62" s="33">
        <f t="shared" si="22"/>
        <v>0</v>
      </c>
      <c r="P62" s="33">
        <f t="shared" si="22"/>
        <v>0</v>
      </c>
      <c r="Q62" s="33">
        <f t="shared" si="22"/>
        <v>0</v>
      </c>
      <c r="R62" s="35">
        <f t="shared" si="9"/>
        <v>0</v>
      </c>
      <c r="S62" s="35">
        <f t="shared" si="10"/>
        <v>0</v>
      </c>
      <c r="T62" s="35">
        <f t="shared" si="11"/>
        <v>0</v>
      </c>
      <c r="U62" s="35">
        <f t="shared" si="5"/>
        <v>0</v>
      </c>
      <c r="V62" s="35">
        <f t="shared" si="23"/>
        <v>0</v>
      </c>
      <c r="W62" s="35">
        <f t="shared" si="23"/>
        <v>0</v>
      </c>
      <c r="X62" s="35">
        <f t="shared" si="23"/>
        <v>0</v>
      </c>
      <c r="Y62" s="35">
        <f t="shared" si="23"/>
        <v>0</v>
      </c>
      <c r="Z62" s="35">
        <f t="shared" si="23"/>
        <v>0</v>
      </c>
      <c r="AA62" s="35">
        <f t="shared" si="23"/>
        <v>0</v>
      </c>
    </row>
    <row r="63" spans="2:27" x14ac:dyDescent="0.2">
      <c r="B63" s="2">
        <v>61</v>
      </c>
      <c r="C63" s="2" t="str">
        <f t="shared" si="19"/>
        <v>c</v>
      </c>
      <c r="D63" s="29" t="s">
        <v>140</v>
      </c>
      <c r="E63" s="29" t="s">
        <v>209</v>
      </c>
      <c r="F63" s="2" t="s">
        <v>211</v>
      </c>
      <c r="G63" s="2">
        <f t="shared" si="12"/>
        <v>5</v>
      </c>
      <c r="H63" s="2" t="str">
        <f t="shared" si="2"/>
        <v>--</v>
      </c>
      <c r="I63" s="38">
        <f t="shared" si="7"/>
        <v>0</v>
      </c>
      <c r="J63" s="33">
        <f t="shared" si="8"/>
        <v>116</v>
      </c>
      <c r="K63" s="33">
        <f t="shared" ref="K63:Q72" si="24">INT((1+VLOOKUP($F63,role_property_weight,getpos(K$2),FALSE))*(1+VLOOKUP($F63,weapon_property_weight,getpos(K$2),FALSE))*VLOOKUP($E63,role_grow,getpos(K$2),FALSE)*$G63*10*VLOOKUP($C63,weapon_grow1,5,FALSE))</f>
        <v>0</v>
      </c>
      <c r="L63" s="33">
        <f t="shared" si="24"/>
        <v>0</v>
      </c>
      <c r="M63" s="33">
        <f t="shared" si="24"/>
        <v>0</v>
      </c>
      <c r="N63" s="33">
        <f t="shared" si="4"/>
        <v>0</v>
      </c>
      <c r="O63" s="33">
        <f t="shared" si="24"/>
        <v>0</v>
      </c>
      <c r="P63" s="33">
        <f t="shared" si="24"/>
        <v>0</v>
      </c>
      <c r="Q63" s="33">
        <f t="shared" si="24"/>
        <v>0</v>
      </c>
      <c r="R63" s="35">
        <f t="shared" si="9"/>
        <v>0</v>
      </c>
      <c r="S63" s="35">
        <f t="shared" si="10"/>
        <v>0</v>
      </c>
      <c r="T63" s="35">
        <f t="shared" si="11"/>
        <v>0</v>
      </c>
      <c r="U63" s="35">
        <f t="shared" si="5"/>
        <v>0</v>
      </c>
      <c r="V63" s="35">
        <f t="shared" ref="V63:AA72" si="25">1-200/(200+ROUND((1+VLOOKUP($F63,role_property_weight,getpos(V$2),FALSE))*VLOOKUP($E63,role_grow,getpos(V$2),FALSE)*$G63*10*VLOOKUP($C63,weapon_grow1,5,FALSE),0))</f>
        <v>0</v>
      </c>
      <c r="W63" s="35">
        <f t="shared" si="25"/>
        <v>0</v>
      </c>
      <c r="X63" s="35">
        <f t="shared" si="25"/>
        <v>0</v>
      </c>
      <c r="Y63" s="35">
        <f t="shared" si="25"/>
        <v>0</v>
      </c>
      <c r="Z63" s="35">
        <f t="shared" si="25"/>
        <v>0</v>
      </c>
      <c r="AA63" s="35">
        <f t="shared" si="25"/>
        <v>0</v>
      </c>
    </row>
    <row r="64" spans="2:27" x14ac:dyDescent="0.2">
      <c r="B64" s="2">
        <v>62</v>
      </c>
      <c r="C64" s="2" t="str">
        <f t="shared" si="19"/>
        <v>c</v>
      </c>
      <c r="D64" s="29" t="s">
        <v>136</v>
      </c>
      <c r="E64" s="29" t="s">
        <v>209</v>
      </c>
      <c r="F64" s="2" t="s">
        <v>211</v>
      </c>
      <c r="G64" s="2">
        <f t="shared" si="12"/>
        <v>6</v>
      </c>
      <c r="H64" s="2" t="str">
        <f t="shared" si="2"/>
        <v>--</v>
      </c>
      <c r="I64" s="38">
        <f t="shared" si="7"/>
        <v>0</v>
      </c>
      <c r="J64" s="33">
        <f t="shared" si="8"/>
        <v>139</v>
      </c>
      <c r="K64" s="33">
        <f t="shared" si="24"/>
        <v>0</v>
      </c>
      <c r="L64" s="33">
        <f t="shared" si="24"/>
        <v>0</v>
      </c>
      <c r="M64" s="33">
        <f t="shared" si="24"/>
        <v>0</v>
      </c>
      <c r="N64" s="33">
        <f t="shared" si="4"/>
        <v>0</v>
      </c>
      <c r="O64" s="33">
        <f t="shared" si="24"/>
        <v>0</v>
      </c>
      <c r="P64" s="33">
        <f t="shared" si="24"/>
        <v>0</v>
      </c>
      <c r="Q64" s="33">
        <f t="shared" si="24"/>
        <v>0</v>
      </c>
      <c r="R64" s="35">
        <f t="shared" si="9"/>
        <v>0</v>
      </c>
      <c r="S64" s="35">
        <f t="shared" si="10"/>
        <v>0</v>
      </c>
      <c r="T64" s="35">
        <f t="shared" si="11"/>
        <v>0</v>
      </c>
      <c r="U64" s="35">
        <f t="shared" si="5"/>
        <v>0</v>
      </c>
      <c r="V64" s="35">
        <f t="shared" si="25"/>
        <v>0</v>
      </c>
      <c r="W64" s="35">
        <f t="shared" si="25"/>
        <v>0</v>
      </c>
      <c r="X64" s="35">
        <f t="shared" si="25"/>
        <v>0</v>
      </c>
      <c r="Y64" s="35">
        <f t="shared" si="25"/>
        <v>0</v>
      </c>
      <c r="Z64" s="35">
        <f t="shared" si="25"/>
        <v>0</v>
      </c>
      <c r="AA64" s="35">
        <f t="shared" si="25"/>
        <v>0</v>
      </c>
    </row>
    <row r="65" spans="2:27" x14ac:dyDescent="0.2">
      <c r="B65" s="2">
        <v>63</v>
      </c>
      <c r="C65" s="2" t="str">
        <f t="shared" si="19"/>
        <v>c</v>
      </c>
      <c r="D65" s="29" t="s">
        <v>150</v>
      </c>
      <c r="E65" s="29" t="s">
        <v>209</v>
      </c>
      <c r="F65" s="2" t="s">
        <v>211</v>
      </c>
      <c r="G65" s="2">
        <f t="shared" si="12"/>
        <v>7</v>
      </c>
      <c r="H65" s="2" t="str">
        <f t="shared" si="2"/>
        <v>--</v>
      </c>
      <c r="I65" s="38">
        <f t="shared" si="7"/>
        <v>0</v>
      </c>
      <c r="J65" s="33">
        <f t="shared" si="8"/>
        <v>163</v>
      </c>
      <c r="K65" s="33">
        <f t="shared" si="24"/>
        <v>0</v>
      </c>
      <c r="L65" s="33">
        <f t="shared" si="24"/>
        <v>0</v>
      </c>
      <c r="M65" s="33">
        <f t="shared" si="24"/>
        <v>0</v>
      </c>
      <c r="N65" s="33">
        <f t="shared" si="4"/>
        <v>0</v>
      </c>
      <c r="O65" s="33">
        <f t="shared" si="24"/>
        <v>0</v>
      </c>
      <c r="P65" s="33">
        <f t="shared" si="24"/>
        <v>0</v>
      </c>
      <c r="Q65" s="33">
        <f t="shared" si="24"/>
        <v>0</v>
      </c>
      <c r="R65" s="35">
        <f t="shared" si="9"/>
        <v>0</v>
      </c>
      <c r="S65" s="35">
        <f t="shared" si="10"/>
        <v>0</v>
      </c>
      <c r="T65" s="35">
        <f t="shared" si="11"/>
        <v>0</v>
      </c>
      <c r="U65" s="35">
        <f t="shared" si="5"/>
        <v>0</v>
      </c>
      <c r="V65" s="35">
        <f t="shared" si="25"/>
        <v>0</v>
      </c>
      <c r="W65" s="35">
        <f t="shared" si="25"/>
        <v>0</v>
      </c>
      <c r="X65" s="35">
        <f t="shared" si="25"/>
        <v>0</v>
      </c>
      <c r="Y65" s="35">
        <f t="shared" si="25"/>
        <v>0</v>
      </c>
      <c r="Z65" s="35">
        <f t="shared" si="25"/>
        <v>0</v>
      </c>
      <c r="AA65" s="35">
        <f t="shared" si="25"/>
        <v>0</v>
      </c>
    </row>
    <row r="66" spans="2:27" x14ac:dyDescent="0.2">
      <c r="B66" s="2">
        <v>64</v>
      </c>
      <c r="C66" s="2" t="str">
        <f t="shared" si="19"/>
        <v>c</v>
      </c>
      <c r="D66" s="29" t="s">
        <v>151</v>
      </c>
      <c r="E66" s="29" t="s">
        <v>209</v>
      </c>
      <c r="F66" s="2" t="s">
        <v>211</v>
      </c>
      <c r="G66" s="2">
        <f t="shared" si="12"/>
        <v>8</v>
      </c>
      <c r="H66" s="2" t="str">
        <f t="shared" si="2"/>
        <v>--</v>
      </c>
      <c r="I66" s="38">
        <f t="shared" si="7"/>
        <v>0</v>
      </c>
      <c r="J66" s="33">
        <f t="shared" si="8"/>
        <v>186</v>
      </c>
      <c r="K66" s="33">
        <f t="shared" si="24"/>
        <v>0</v>
      </c>
      <c r="L66" s="33">
        <f t="shared" si="24"/>
        <v>0</v>
      </c>
      <c r="M66" s="33">
        <f t="shared" si="24"/>
        <v>0</v>
      </c>
      <c r="N66" s="33">
        <f t="shared" si="4"/>
        <v>0</v>
      </c>
      <c r="O66" s="33">
        <f t="shared" si="24"/>
        <v>0</v>
      </c>
      <c r="P66" s="33">
        <f t="shared" si="24"/>
        <v>0</v>
      </c>
      <c r="Q66" s="33">
        <f t="shared" si="24"/>
        <v>0</v>
      </c>
      <c r="R66" s="35">
        <f t="shared" si="9"/>
        <v>0</v>
      </c>
      <c r="S66" s="35">
        <f t="shared" si="10"/>
        <v>0</v>
      </c>
      <c r="T66" s="35">
        <f t="shared" si="11"/>
        <v>0</v>
      </c>
      <c r="U66" s="35">
        <f t="shared" si="5"/>
        <v>0</v>
      </c>
      <c r="V66" s="35">
        <f t="shared" si="25"/>
        <v>0</v>
      </c>
      <c r="W66" s="35">
        <f t="shared" si="25"/>
        <v>0</v>
      </c>
      <c r="X66" s="35">
        <f t="shared" si="25"/>
        <v>0</v>
      </c>
      <c r="Y66" s="35">
        <f t="shared" si="25"/>
        <v>0</v>
      </c>
      <c r="Z66" s="35">
        <f t="shared" si="25"/>
        <v>0</v>
      </c>
      <c r="AA66" s="35">
        <f t="shared" si="25"/>
        <v>0</v>
      </c>
    </row>
    <row r="67" spans="2:27" x14ac:dyDescent="0.2">
      <c r="B67" s="2">
        <v>65</v>
      </c>
      <c r="C67" s="2" t="str">
        <f t="shared" si="19"/>
        <v>s</v>
      </c>
      <c r="D67" s="29" t="s">
        <v>144</v>
      </c>
      <c r="E67" s="29" t="s">
        <v>209</v>
      </c>
      <c r="F67" s="2" t="s">
        <v>212</v>
      </c>
      <c r="G67" s="2">
        <f t="shared" si="12"/>
        <v>1</v>
      </c>
      <c r="H67" s="2" t="str">
        <f t="shared" ref="H67:H130" si="26">IF(C67="c","--",VLOOKUP(F67,role_property_weight,17,FALSE))</f>
        <v>电击</v>
      </c>
      <c r="I67" s="38">
        <f t="shared" si="7"/>
        <v>0.1</v>
      </c>
      <c r="J67" s="33">
        <f t="shared" si="8"/>
        <v>6</v>
      </c>
      <c r="K67" s="33">
        <f t="shared" si="24"/>
        <v>7</v>
      </c>
      <c r="L67" s="33">
        <f t="shared" si="24"/>
        <v>2</v>
      </c>
      <c r="M67" s="33">
        <f t="shared" si="24"/>
        <v>6</v>
      </c>
      <c r="N67" s="33">
        <f t="shared" ref="N67:N130" si="27">ROUNDUP((1+VLOOKUP($F67,role_property_weight,getpos(N$2),FALSE))*(1+VLOOKUP($F67,weapon_property_weight,getpos(N$2),FALSE))*VLOOKUP($E67,role_grow,getpos(N$2),FALSE)*$G67*10*VLOOKUP($C67,weapon_grow1,5,FALSE),0)</f>
        <v>26</v>
      </c>
      <c r="O67" s="33">
        <f t="shared" si="24"/>
        <v>9</v>
      </c>
      <c r="P67" s="33">
        <f t="shared" si="24"/>
        <v>4</v>
      </c>
      <c r="Q67" s="33">
        <f t="shared" si="24"/>
        <v>4</v>
      </c>
      <c r="R67" s="35">
        <f t="shared" si="9"/>
        <v>1.3333333333333332E-2</v>
      </c>
      <c r="S67" s="35">
        <f t="shared" si="10"/>
        <v>1.3333333333333332E-2</v>
      </c>
      <c r="T67" s="35">
        <f t="shared" si="11"/>
        <v>1.3333333333333332E-2</v>
      </c>
      <c r="U67" s="35">
        <f t="shared" ref="U67:U130" si="28">1-200/(200+ROUND((1+VLOOKUP($F67,role_property_weight,getpos(U$2),FALSE))*VLOOKUP($E67,role_grow,getpos(U$2),FALSE)*$G67*10*VLOOKUP($C67,weapon_grow1,5,FALSE),0))</f>
        <v>9.9009900990099098E-3</v>
      </c>
      <c r="V67" s="35">
        <f t="shared" si="25"/>
        <v>9.9009900990099098E-3</v>
      </c>
      <c r="W67" s="35">
        <f t="shared" si="25"/>
        <v>9.9009900990099098E-3</v>
      </c>
      <c r="X67" s="35">
        <f t="shared" si="25"/>
        <v>9.9009900990099098E-3</v>
      </c>
      <c r="Y67" s="35">
        <f t="shared" si="25"/>
        <v>9.9009900990099098E-3</v>
      </c>
      <c r="Z67" s="35">
        <f t="shared" si="25"/>
        <v>9.9009900990099098E-3</v>
      </c>
      <c r="AA67" s="35">
        <f t="shared" si="25"/>
        <v>5.6603773584905648E-2</v>
      </c>
    </row>
    <row r="68" spans="2:27" x14ac:dyDescent="0.2">
      <c r="B68" s="2">
        <v>66</v>
      </c>
      <c r="C68" s="2" t="str">
        <f t="shared" si="19"/>
        <v>s</v>
      </c>
      <c r="D68" s="29" t="s">
        <v>150</v>
      </c>
      <c r="E68" s="29" t="s">
        <v>209</v>
      </c>
      <c r="F68" s="2" t="s">
        <v>212</v>
      </c>
      <c r="G68" s="2">
        <f t="shared" si="12"/>
        <v>2</v>
      </c>
      <c r="H68" s="2" t="str">
        <f t="shared" si="26"/>
        <v>电击</v>
      </c>
      <c r="I68" s="38">
        <f t="shared" ref="I68:I131" si="29">IF(H68="--",0,IF((SUM(J68:Q68)/11)%&lt;10%,10%,(SUM(J68:Q68)/11)%))</f>
        <v>0.11818181818181818</v>
      </c>
      <c r="J68" s="33">
        <f t="shared" ref="J68:J131" si="30">INT((1+VLOOKUP($F68,role_property_weight,getpos(J$2),FALSE))*(1+VLOOKUP(F68,weapon_property_weight,getpos(J$2),FALSE))*VLOOKUP($E68,role_grow,getpos(J$2),FALSE)*$G68*10*VLOOKUP($C68,weapon_grow1,4,FALSE))</f>
        <v>12</v>
      </c>
      <c r="K68" s="33">
        <f t="shared" si="24"/>
        <v>14</v>
      </c>
      <c r="L68" s="33">
        <f t="shared" si="24"/>
        <v>5</v>
      </c>
      <c r="M68" s="33">
        <f t="shared" si="24"/>
        <v>12</v>
      </c>
      <c r="N68" s="33">
        <f t="shared" si="27"/>
        <v>51</v>
      </c>
      <c r="O68" s="33">
        <f t="shared" si="24"/>
        <v>18</v>
      </c>
      <c r="P68" s="33">
        <f t="shared" si="24"/>
        <v>9</v>
      </c>
      <c r="Q68" s="33">
        <f t="shared" si="24"/>
        <v>9</v>
      </c>
      <c r="R68" s="35">
        <f t="shared" ref="R68:R131" si="31">(Q68/3)%</f>
        <v>0.03</v>
      </c>
      <c r="S68" s="35">
        <f t="shared" ref="S68:S131" si="32">(P68/3)%</f>
        <v>0.03</v>
      </c>
      <c r="T68" s="35">
        <f t="shared" ref="T68:T131" si="33">(Q68/3)%</f>
        <v>0.03</v>
      </c>
      <c r="U68" s="35">
        <f t="shared" si="28"/>
        <v>1.9607843137254943E-2</v>
      </c>
      <c r="V68" s="35">
        <f t="shared" si="25"/>
        <v>1.9607843137254943E-2</v>
      </c>
      <c r="W68" s="35">
        <f t="shared" si="25"/>
        <v>1.9607843137254943E-2</v>
      </c>
      <c r="X68" s="35">
        <f t="shared" si="25"/>
        <v>1.9607843137254943E-2</v>
      </c>
      <c r="Y68" s="35">
        <f t="shared" si="25"/>
        <v>1.9607843137254943E-2</v>
      </c>
      <c r="Z68" s="35">
        <f t="shared" si="25"/>
        <v>1.9607843137254943E-2</v>
      </c>
      <c r="AA68" s="35">
        <f t="shared" si="25"/>
        <v>0.1071428571428571</v>
      </c>
    </row>
    <row r="69" spans="2:27" x14ac:dyDescent="0.2">
      <c r="B69" s="2">
        <v>67</v>
      </c>
      <c r="C69" s="2" t="str">
        <f t="shared" si="19"/>
        <v>s</v>
      </c>
      <c r="D69" s="29" t="s">
        <v>31</v>
      </c>
      <c r="E69" s="29" t="s">
        <v>209</v>
      </c>
      <c r="F69" s="2" t="s">
        <v>212</v>
      </c>
      <c r="G69" s="2">
        <f t="shared" si="12"/>
        <v>3</v>
      </c>
      <c r="H69" s="2" t="str">
        <f t="shared" si="26"/>
        <v>电击</v>
      </c>
      <c r="I69" s="38">
        <f t="shared" si="29"/>
        <v>0.17909090909090911</v>
      </c>
      <c r="J69" s="33">
        <f t="shared" si="30"/>
        <v>18</v>
      </c>
      <c r="K69" s="33">
        <f t="shared" si="24"/>
        <v>21</v>
      </c>
      <c r="L69" s="33">
        <f t="shared" si="24"/>
        <v>7</v>
      </c>
      <c r="M69" s="33">
        <f t="shared" si="24"/>
        <v>18</v>
      </c>
      <c r="N69" s="33">
        <f t="shared" si="27"/>
        <v>77</v>
      </c>
      <c r="O69" s="33">
        <f t="shared" si="24"/>
        <v>28</v>
      </c>
      <c r="P69" s="33">
        <f t="shared" si="24"/>
        <v>14</v>
      </c>
      <c r="Q69" s="33">
        <f t="shared" si="24"/>
        <v>14</v>
      </c>
      <c r="R69" s="35">
        <f t="shared" si="31"/>
        <v>4.6666666666666669E-2</v>
      </c>
      <c r="S69" s="35">
        <f t="shared" si="32"/>
        <v>4.6666666666666669E-2</v>
      </c>
      <c r="T69" s="35">
        <f t="shared" si="33"/>
        <v>4.6666666666666669E-2</v>
      </c>
      <c r="U69" s="35">
        <f t="shared" si="28"/>
        <v>2.9126213592232997E-2</v>
      </c>
      <c r="V69" s="35">
        <f t="shared" si="25"/>
        <v>2.9126213592232997E-2</v>
      </c>
      <c r="W69" s="35">
        <f t="shared" si="25"/>
        <v>2.9126213592232997E-2</v>
      </c>
      <c r="X69" s="35">
        <f t="shared" si="25"/>
        <v>2.9126213592232997E-2</v>
      </c>
      <c r="Y69" s="35">
        <f t="shared" si="25"/>
        <v>2.9126213592232997E-2</v>
      </c>
      <c r="Z69" s="35">
        <f t="shared" si="25"/>
        <v>2.9126213592232997E-2</v>
      </c>
      <c r="AA69" s="35">
        <f t="shared" si="25"/>
        <v>0.14893617021276595</v>
      </c>
    </row>
    <row r="70" spans="2:27" x14ac:dyDescent="0.2">
      <c r="B70" s="2">
        <v>68</v>
      </c>
      <c r="C70" s="2" t="str">
        <f t="shared" si="19"/>
        <v>s</v>
      </c>
      <c r="D70" s="29" t="s">
        <v>1</v>
      </c>
      <c r="E70" s="29" t="s">
        <v>209</v>
      </c>
      <c r="F70" s="2" t="s">
        <v>212</v>
      </c>
      <c r="G70" s="2">
        <f t="shared" si="12"/>
        <v>4</v>
      </c>
      <c r="H70" s="2" t="str">
        <f t="shared" si="26"/>
        <v>电击</v>
      </c>
      <c r="I70" s="38">
        <f t="shared" si="29"/>
        <v>0.23818181818181816</v>
      </c>
      <c r="J70" s="33">
        <f t="shared" si="30"/>
        <v>24</v>
      </c>
      <c r="K70" s="33">
        <f t="shared" si="24"/>
        <v>28</v>
      </c>
      <c r="L70" s="33">
        <f t="shared" si="24"/>
        <v>10</v>
      </c>
      <c r="M70" s="33">
        <f t="shared" si="24"/>
        <v>25</v>
      </c>
      <c r="N70" s="33">
        <f t="shared" si="27"/>
        <v>102</v>
      </c>
      <c r="O70" s="33">
        <f t="shared" si="24"/>
        <v>37</v>
      </c>
      <c r="P70" s="33">
        <f t="shared" si="24"/>
        <v>18</v>
      </c>
      <c r="Q70" s="33">
        <f t="shared" si="24"/>
        <v>18</v>
      </c>
      <c r="R70" s="35">
        <f t="shared" si="31"/>
        <v>0.06</v>
      </c>
      <c r="S70" s="35">
        <f t="shared" si="32"/>
        <v>0.06</v>
      </c>
      <c r="T70" s="35">
        <f t="shared" si="33"/>
        <v>0.06</v>
      </c>
      <c r="U70" s="35">
        <f t="shared" si="28"/>
        <v>3.8461538461538436E-2</v>
      </c>
      <c r="V70" s="35">
        <f t="shared" si="25"/>
        <v>3.8461538461538436E-2</v>
      </c>
      <c r="W70" s="35">
        <f t="shared" si="25"/>
        <v>3.8461538461538436E-2</v>
      </c>
      <c r="X70" s="35">
        <f t="shared" si="25"/>
        <v>3.8461538461538436E-2</v>
      </c>
      <c r="Y70" s="35">
        <f t="shared" si="25"/>
        <v>3.8461538461538436E-2</v>
      </c>
      <c r="Z70" s="35">
        <f t="shared" si="25"/>
        <v>3.8461538461538436E-2</v>
      </c>
      <c r="AA70" s="35">
        <f t="shared" si="25"/>
        <v>0.19028340080971662</v>
      </c>
    </row>
    <row r="71" spans="2:27" x14ac:dyDescent="0.2">
      <c r="B71" s="2">
        <v>69</v>
      </c>
      <c r="C71" s="2" t="str">
        <f t="shared" si="19"/>
        <v>s</v>
      </c>
      <c r="D71" s="29" t="s">
        <v>156</v>
      </c>
      <c r="E71" s="29" t="s">
        <v>209</v>
      </c>
      <c r="F71" s="2" t="s">
        <v>212</v>
      </c>
      <c r="G71" s="2">
        <f t="shared" si="12"/>
        <v>5</v>
      </c>
      <c r="H71" s="2" t="str">
        <f t="shared" si="26"/>
        <v>电击</v>
      </c>
      <c r="I71" s="38">
        <f t="shared" si="29"/>
        <v>0.29909090909090907</v>
      </c>
      <c r="J71" s="33">
        <f t="shared" si="30"/>
        <v>30</v>
      </c>
      <c r="K71" s="33">
        <f t="shared" si="24"/>
        <v>35</v>
      </c>
      <c r="L71" s="33">
        <f t="shared" si="24"/>
        <v>12</v>
      </c>
      <c r="M71" s="33">
        <f t="shared" si="24"/>
        <v>31</v>
      </c>
      <c r="N71" s="33">
        <f t="shared" si="27"/>
        <v>128</v>
      </c>
      <c r="O71" s="33">
        <f t="shared" si="24"/>
        <v>47</v>
      </c>
      <c r="P71" s="33">
        <f t="shared" si="24"/>
        <v>23</v>
      </c>
      <c r="Q71" s="33">
        <f t="shared" si="24"/>
        <v>23</v>
      </c>
      <c r="R71" s="35">
        <f t="shared" si="31"/>
        <v>7.6666666666666675E-2</v>
      </c>
      <c r="S71" s="35">
        <f t="shared" si="32"/>
        <v>7.6666666666666675E-2</v>
      </c>
      <c r="T71" s="35">
        <f t="shared" si="33"/>
        <v>7.6666666666666675E-2</v>
      </c>
      <c r="U71" s="35">
        <f t="shared" si="28"/>
        <v>4.7619047619047672E-2</v>
      </c>
      <c r="V71" s="35">
        <f t="shared" si="25"/>
        <v>4.7619047619047672E-2</v>
      </c>
      <c r="W71" s="35">
        <f t="shared" si="25"/>
        <v>4.7619047619047672E-2</v>
      </c>
      <c r="X71" s="35">
        <f t="shared" si="25"/>
        <v>4.7619047619047672E-2</v>
      </c>
      <c r="Y71" s="35">
        <f t="shared" si="25"/>
        <v>4.7619047619047672E-2</v>
      </c>
      <c r="Z71" s="35">
        <f t="shared" si="25"/>
        <v>4.7619047619047672E-2</v>
      </c>
      <c r="AA71" s="35">
        <f t="shared" si="25"/>
        <v>0.22779922779922779</v>
      </c>
    </row>
    <row r="72" spans="2:27" x14ac:dyDescent="0.2">
      <c r="B72" s="2">
        <v>70</v>
      </c>
      <c r="C72" s="2" t="str">
        <f t="shared" si="19"/>
        <v>s</v>
      </c>
      <c r="D72" s="29" t="s">
        <v>148</v>
      </c>
      <c r="E72" s="29" t="s">
        <v>209</v>
      </c>
      <c r="F72" s="2" t="s">
        <v>212</v>
      </c>
      <c r="G72" s="2">
        <f t="shared" si="12"/>
        <v>6</v>
      </c>
      <c r="H72" s="2" t="str">
        <f t="shared" si="26"/>
        <v>电击</v>
      </c>
      <c r="I72" s="38">
        <f t="shared" si="29"/>
        <v>0.35909090909090907</v>
      </c>
      <c r="J72" s="33">
        <f t="shared" si="30"/>
        <v>36</v>
      </c>
      <c r="K72" s="33">
        <f t="shared" si="24"/>
        <v>42</v>
      </c>
      <c r="L72" s="33">
        <f t="shared" si="24"/>
        <v>15</v>
      </c>
      <c r="M72" s="33">
        <f t="shared" si="24"/>
        <v>37</v>
      </c>
      <c r="N72" s="33">
        <f t="shared" si="27"/>
        <v>153</v>
      </c>
      <c r="O72" s="33">
        <f t="shared" si="24"/>
        <v>56</v>
      </c>
      <c r="P72" s="33">
        <f t="shared" si="24"/>
        <v>28</v>
      </c>
      <c r="Q72" s="33">
        <f t="shared" si="24"/>
        <v>28</v>
      </c>
      <c r="R72" s="35">
        <f t="shared" si="31"/>
        <v>9.3333333333333338E-2</v>
      </c>
      <c r="S72" s="35">
        <f t="shared" si="32"/>
        <v>9.3333333333333338E-2</v>
      </c>
      <c r="T72" s="35">
        <f t="shared" si="33"/>
        <v>9.3333333333333338E-2</v>
      </c>
      <c r="U72" s="35">
        <f t="shared" si="28"/>
        <v>5.6603773584905648E-2</v>
      </c>
      <c r="V72" s="35">
        <f t="shared" si="25"/>
        <v>5.6603773584905648E-2</v>
      </c>
      <c r="W72" s="35">
        <f t="shared" si="25"/>
        <v>5.6603773584905648E-2</v>
      </c>
      <c r="X72" s="35">
        <f t="shared" si="25"/>
        <v>5.6603773584905648E-2</v>
      </c>
      <c r="Y72" s="35">
        <f t="shared" si="25"/>
        <v>5.6603773584905648E-2</v>
      </c>
      <c r="Z72" s="35">
        <f t="shared" si="25"/>
        <v>5.6603773584905648E-2</v>
      </c>
      <c r="AA72" s="35">
        <f t="shared" si="25"/>
        <v>0.26199261992619927</v>
      </c>
    </row>
    <row r="73" spans="2:27" x14ac:dyDescent="0.2">
      <c r="B73" s="2">
        <v>71</v>
      </c>
      <c r="C73" s="2" t="str">
        <f t="shared" si="19"/>
        <v>s</v>
      </c>
      <c r="D73" s="29" t="s">
        <v>31</v>
      </c>
      <c r="E73" s="29" t="s">
        <v>209</v>
      </c>
      <c r="F73" s="2" t="s">
        <v>212</v>
      </c>
      <c r="G73" s="2">
        <f t="shared" si="12"/>
        <v>7</v>
      </c>
      <c r="H73" s="2" t="str">
        <f t="shared" si="26"/>
        <v>电击</v>
      </c>
      <c r="I73" s="38">
        <f t="shared" si="29"/>
        <v>0.41818181818181821</v>
      </c>
      <c r="J73" s="33">
        <f t="shared" si="30"/>
        <v>42</v>
      </c>
      <c r="K73" s="33">
        <f t="shared" ref="K73:Q82" si="34">INT((1+VLOOKUP($F73,role_property_weight,getpos(K$2),FALSE))*(1+VLOOKUP($F73,weapon_property_weight,getpos(K$2),FALSE))*VLOOKUP($E73,role_grow,getpos(K$2),FALSE)*$G73*10*VLOOKUP($C73,weapon_grow1,5,FALSE))</f>
        <v>49</v>
      </c>
      <c r="L73" s="33">
        <f t="shared" si="34"/>
        <v>18</v>
      </c>
      <c r="M73" s="33">
        <f t="shared" si="34"/>
        <v>43</v>
      </c>
      <c r="N73" s="33">
        <f t="shared" si="27"/>
        <v>179</v>
      </c>
      <c r="O73" s="33">
        <f t="shared" si="34"/>
        <v>65</v>
      </c>
      <c r="P73" s="33">
        <f t="shared" si="34"/>
        <v>32</v>
      </c>
      <c r="Q73" s="33">
        <f t="shared" si="34"/>
        <v>32</v>
      </c>
      <c r="R73" s="35">
        <f t="shared" si="31"/>
        <v>0.10666666666666666</v>
      </c>
      <c r="S73" s="35">
        <f t="shared" si="32"/>
        <v>0.10666666666666666</v>
      </c>
      <c r="T73" s="35">
        <f t="shared" si="33"/>
        <v>0.10666666666666666</v>
      </c>
      <c r="U73" s="35">
        <f t="shared" si="28"/>
        <v>6.5420560747663559E-2</v>
      </c>
      <c r="V73" s="35">
        <f t="shared" ref="V73:AA82" si="35">1-200/(200+ROUND((1+VLOOKUP($F73,role_property_weight,getpos(V$2),FALSE))*VLOOKUP($E73,role_grow,getpos(V$2),FALSE)*$G73*10*VLOOKUP($C73,weapon_grow1,5,FALSE),0))</f>
        <v>6.5420560747663559E-2</v>
      </c>
      <c r="W73" s="35">
        <f t="shared" si="35"/>
        <v>6.5420560747663559E-2</v>
      </c>
      <c r="X73" s="35">
        <f t="shared" si="35"/>
        <v>6.5420560747663559E-2</v>
      </c>
      <c r="Y73" s="35">
        <f t="shared" si="35"/>
        <v>6.5420560747663559E-2</v>
      </c>
      <c r="Z73" s="35">
        <f t="shared" si="35"/>
        <v>6.5420560747663559E-2</v>
      </c>
      <c r="AA73" s="35">
        <f t="shared" si="35"/>
        <v>0.29078014184397161</v>
      </c>
    </row>
    <row r="74" spans="2:27" x14ac:dyDescent="0.2">
      <c r="B74" s="2">
        <v>72</v>
      </c>
      <c r="C74" s="2" t="str">
        <f t="shared" si="19"/>
        <v>s</v>
      </c>
      <c r="D74" s="29" t="s">
        <v>151</v>
      </c>
      <c r="E74" s="29" t="s">
        <v>209</v>
      </c>
      <c r="F74" s="2" t="s">
        <v>212</v>
      </c>
      <c r="G74" s="2">
        <f t="shared" si="12"/>
        <v>8</v>
      </c>
      <c r="H74" s="2" t="str">
        <f t="shared" si="26"/>
        <v>电击</v>
      </c>
      <c r="I74" s="38">
        <f t="shared" si="29"/>
        <v>0.47909090909090907</v>
      </c>
      <c r="J74" s="33">
        <f t="shared" si="30"/>
        <v>48</v>
      </c>
      <c r="K74" s="33">
        <f t="shared" si="34"/>
        <v>56</v>
      </c>
      <c r="L74" s="33">
        <f t="shared" si="34"/>
        <v>20</v>
      </c>
      <c r="M74" s="33">
        <f t="shared" si="34"/>
        <v>50</v>
      </c>
      <c r="N74" s="33">
        <f t="shared" si="27"/>
        <v>204</v>
      </c>
      <c r="O74" s="33">
        <f t="shared" si="34"/>
        <v>75</v>
      </c>
      <c r="P74" s="33">
        <f t="shared" si="34"/>
        <v>37</v>
      </c>
      <c r="Q74" s="33">
        <f t="shared" si="34"/>
        <v>37</v>
      </c>
      <c r="R74" s="35">
        <f t="shared" si="31"/>
        <v>0.12333333333333334</v>
      </c>
      <c r="S74" s="35">
        <f t="shared" si="32"/>
        <v>0.12333333333333334</v>
      </c>
      <c r="T74" s="35">
        <f t="shared" si="33"/>
        <v>0.12333333333333334</v>
      </c>
      <c r="U74" s="35">
        <f t="shared" si="28"/>
        <v>7.407407407407407E-2</v>
      </c>
      <c r="V74" s="35">
        <f t="shared" si="35"/>
        <v>7.407407407407407E-2</v>
      </c>
      <c r="W74" s="35">
        <f t="shared" si="35"/>
        <v>7.407407407407407E-2</v>
      </c>
      <c r="X74" s="35">
        <f t="shared" si="35"/>
        <v>7.407407407407407E-2</v>
      </c>
      <c r="Y74" s="35">
        <f t="shared" si="35"/>
        <v>7.407407407407407E-2</v>
      </c>
      <c r="Z74" s="35">
        <f t="shared" si="35"/>
        <v>7.407407407407407E-2</v>
      </c>
      <c r="AA74" s="35">
        <f t="shared" si="35"/>
        <v>0.31972789115646261</v>
      </c>
    </row>
    <row r="75" spans="2:27" x14ac:dyDescent="0.2">
      <c r="B75" s="2">
        <v>73</v>
      </c>
      <c r="C75" s="2" t="str">
        <f t="shared" si="19"/>
        <v>a</v>
      </c>
      <c r="D75" s="29" t="s">
        <v>136</v>
      </c>
      <c r="E75" s="29" t="s">
        <v>209</v>
      </c>
      <c r="F75" s="2" t="s">
        <v>212</v>
      </c>
      <c r="G75" s="2">
        <f t="shared" si="12"/>
        <v>1</v>
      </c>
      <c r="H75" s="2" t="str">
        <f t="shared" si="26"/>
        <v>电击</v>
      </c>
      <c r="I75" s="38">
        <f t="shared" si="29"/>
        <v>0.1</v>
      </c>
      <c r="J75" s="33">
        <f t="shared" si="30"/>
        <v>4</v>
      </c>
      <c r="K75" s="33">
        <f t="shared" si="34"/>
        <v>7</v>
      </c>
      <c r="L75" s="33">
        <f t="shared" si="34"/>
        <v>2</v>
      </c>
      <c r="M75" s="33">
        <f t="shared" si="34"/>
        <v>6</v>
      </c>
      <c r="N75" s="33">
        <f t="shared" si="27"/>
        <v>27</v>
      </c>
      <c r="O75" s="33">
        <f t="shared" si="34"/>
        <v>9</v>
      </c>
      <c r="P75" s="33">
        <f t="shared" si="34"/>
        <v>4</v>
      </c>
      <c r="Q75" s="33">
        <f t="shared" si="34"/>
        <v>4</v>
      </c>
      <c r="R75" s="35">
        <f t="shared" si="31"/>
        <v>1.3333333333333332E-2</v>
      </c>
      <c r="S75" s="35">
        <f t="shared" si="32"/>
        <v>1.3333333333333332E-2</v>
      </c>
      <c r="T75" s="35">
        <f t="shared" si="33"/>
        <v>1.3333333333333332E-2</v>
      </c>
      <c r="U75" s="35">
        <f t="shared" si="28"/>
        <v>9.9009900990099098E-3</v>
      </c>
      <c r="V75" s="35">
        <f t="shared" si="35"/>
        <v>9.9009900990099098E-3</v>
      </c>
      <c r="W75" s="35">
        <f t="shared" si="35"/>
        <v>9.9009900990099098E-3</v>
      </c>
      <c r="X75" s="35">
        <f t="shared" si="35"/>
        <v>9.9009900990099098E-3</v>
      </c>
      <c r="Y75" s="35">
        <f t="shared" si="35"/>
        <v>9.9009900990099098E-3</v>
      </c>
      <c r="Z75" s="35">
        <f t="shared" si="35"/>
        <v>9.9009900990099098E-3</v>
      </c>
      <c r="AA75" s="35">
        <f t="shared" si="35"/>
        <v>5.6603773584905648E-2</v>
      </c>
    </row>
    <row r="76" spans="2:27" x14ac:dyDescent="0.2">
      <c r="B76" s="2">
        <v>74</v>
      </c>
      <c r="C76" s="2" t="str">
        <f t="shared" si="19"/>
        <v>a</v>
      </c>
      <c r="D76" s="29" t="s">
        <v>157</v>
      </c>
      <c r="E76" s="29" t="s">
        <v>209</v>
      </c>
      <c r="F76" s="2" t="s">
        <v>212</v>
      </c>
      <c r="G76" s="2">
        <f t="shared" ref="G76:G139" si="36">G68</f>
        <v>2</v>
      </c>
      <c r="H76" s="2" t="str">
        <f t="shared" si="26"/>
        <v>电击</v>
      </c>
      <c r="I76" s="38">
        <f t="shared" si="29"/>
        <v>0.12</v>
      </c>
      <c r="J76" s="33">
        <f t="shared" si="30"/>
        <v>9</v>
      </c>
      <c r="K76" s="33">
        <f t="shared" si="34"/>
        <v>14</v>
      </c>
      <c r="L76" s="33">
        <f t="shared" si="34"/>
        <v>5</v>
      </c>
      <c r="M76" s="33">
        <f t="shared" si="34"/>
        <v>13</v>
      </c>
      <c r="N76" s="33">
        <f t="shared" si="27"/>
        <v>54</v>
      </c>
      <c r="O76" s="33">
        <f t="shared" si="34"/>
        <v>19</v>
      </c>
      <c r="P76" s="33">
        <f t="shared" si="34"/>
        <v>9</v>
      </c>
      <c r="Q76" s="33">
        <f t="shared" si="34"/>
        <v>9</v>
      </c>
      <c r="R76" s="35">
        <f t="shared" si="31"/>
        <v>0.03</v>
      </c>
      <c r="S76" s="35">
        <f t="shared" si="32"/>
        <v>0.03</v>
      </c>
      <c r="T76" s="35">
        <f t="shared" si="33"/>
        <v>0.03</v>
      </c>
      <c r="U76" s="35">
        <f t="shared" si="28"/>
        <v>1.9607843137254943E-2</v>
      </c>
      <c r="V76" s="35">
        <f t="shared" si="35"/>
        <v>1.9607843137254943E-2</v>
      </c>
      <c r="W76" s="35">
        <f t="shared" si="35"/>
        <v>1.9607843137254943E-2</v>
      </c>
      <c r="X76" s="35">
        <f t="shared" si="35"/>
        <v>1.9607843137254943E-2</v>
      </c>
      <c r="Y76" s="35">
        <f t="shared" si="35"/>
        <v>1.9607843137254943E-2</v>
      </c>
      <c r="Z76" s="35">
        <f t="shared" si="35"/>
        <v>1.9607843137254943E-2</v>
      </c>
      <c r="AA76" s="35">
        <f t="shared" si="35"/>
        <v>0.11111111111111116</v>
      </c>
    </row>
    <row r="77" spans="2:27" x14ac:dyDescent="0.2">
      <c r="B77" s="2">
        <v>75</v>
      </c>
      <c r="C77" s="2" t="str">
        <f t="shared" si="19"/>
        <v>a</v>
      </c>
      <c r="D77" s="29" t="s">
        <v>10</v>
      </c>
      <c r="E77" s="29" t="s">
        <v>209</v>
      </c>
      <c r="F77" s="2" t="s">
        <v>212</v>
      </c>
      <c r="G77" s="2">
        <f t="shared" si="36"/>
        <v>3</v>
      </c>
      <c r="H77" s="2" t="str">
        <f t="shared" si="26"/>
        <v>电击</v>
      </c>
      <c r="I77" s="38">
        <f t="shared" si="29"/>
        <v>0.18272727272727274</v>
      </c>
      <c r="J77" s="33">
        <f t="shared" si="30"/>
        <v>14</v>
      </c>
      <c r="K77" s="33">
        <f t="shared" si="34"/>
        <v>22</v>
      </c>
      <c r="L77" s="33">
        <f t="shared" si="34"/>
        <v>8</v>
      </c>
      <c r="M77" s="33">
        <f t="shared" si="34"/>
        <v>19</v>
      </c>
      <c r="N77" s="33">
        <f t="shared" si="27"/>
        <v>81</v>
      </c>
      <c r="O77" s="33">
        <f t="shared" si="34"/>
        <v>29</v>
      </c>
      <c r="P77" s="33">
        <f t="shared" si="34"/>
        <v>14</v>
      </c>
      <c r="Q77" s="33">
        <f t="shared" si="34"/>
        <v>14</v>
      </c>
      <c r="R77" s="35">
        <f t="shared" si="31"/>
        <v>4.6666666666666669E-2</v>
      </c>
      <c r="S77" s="35">
        <f t="shared" si="32"/>
        <v>4.6666666666666669E-2</v>
      </c>
      <c r="T77" s="35">
        <f t="shared" si="33"/>
        <v>4.6666666666666669E-2</v>
      </c>
      <c r="U77" s="35">
        <f t="shared" si="28"/>
        <v>2.9126213592232997E-2</v>
      </c>
      <c r="V77" s="35">
        <f t="shared" si="35"/>
        <v>2.9126213592232997E-2</v>
      </c>
      <c r="W77" s="35">
        <f t="shared" si="35"/>
        <v>2.9126213592232997E-2</v>
      </c>
      <c r="X77" s="35">
        <f t="shared" si="35"/>
        <v>2.9126213592232997E-2</v>
      </c>
      <c r="Y77" s="35">
        <f t="shared" si="35"/>
        <v>2.9126213592232997E-2</v>
      </c>
      <c r="Z77" s="35">
        <f t="shared" si="35"/>
        <v>2.9126213592232997E-2</v>
      </c>
      <c r="AA77" s="35">
        <f t="shared" si="35"/>
        <v>0.15611814345991559</v>
      </c>
    </row>
    <row r="78" spans="2:27" x14ac:dyDescent="0.2">
      <c r="B78" s="2">
        <v>76</v>
      </c>
      <c r="C78" s="2" t="str">
        <f t="shared" si="19"/>
        <v>a</v>
      </c>
      <c r="D78" s="29" t="s">
        <v>158</v>
      </c>
      <c r="E78" s="29" t="s">
        <v>209</v>
      </c>
      <c r="F78" s="2" t="s">
        <v>212</v>
      </c>
      <c r="G78" s="2">
        <f t="shared" si="36"/>
        <v>4</v>
      </c>
      <c r="H78" s="2" t="str">
        <f t="shared" si="26"/>
        <v>电击</v>
      </c>
      <c r="I78" s="38">
        <f t="shared" si="29"/>
        <v>0.24363636363636362</v>
      </c>
      <c r="J78" s="33">
        <f t="shared" si="30"/>
        <v>18</v>
      </c>
      <c r="K78" s="33">
        <f t="shared" si="34"/>
        <v>29</v>
      </c>
      <c r="L78" s="33">
        <f t="shared" si="34"/>
        <v>10</v>
      </c>
      <c r="M78" s="33">
        <f t="shared" si="34"/>
        <v>26</v>
      </c>
      <c r="N78" s="33">
        <f t="shared" si="27"/>
        <v>108</v>
      </c>
      <c r="O78" s="33">
        <f t="shared" si="34"/>
        <v>39</v>
      </c>
      <c r="P78" s="33">
        <f t="shared" si="34"/>
        <v>19</v>
      </c>
      <c r="Q78" s="33">
        <f t="shared" si="34"/>
        <v>19</v>
      </c>
      <c r="R78" s="35">
        <f t="shared" si="31"/>
        <v>6.3333333333333325E-2</v>
      </c>
      <c r="S78" s="35">
        <f t="shared" si="32"/>
        <v>6.3333333333333325E-2</v>
      </c>
      <c r="T78" s="35">
        <f t="shared" si="33"/>
        <v>6.3333333333333325E-2</v>
      </c>
      <c r="U78" s="35">
        <f t="shared" si="28"/>
        <v>3.8461538461538436E-2</v>
      </c>
      <c r="V78" s="35">
        <f t="shared" si="35"/>
        <v>3.8461538461538436E-2</v>
      </c>
      <c r="W78" s="35">
        <f t="shared" si="35"/>
        <v>3.8461538461538436E-2</v>
      </c>
      <c r="X78" s="35">
        <f t="shared" si="35"/>
        <v>3.8461538461538436E-2</v>
      </c>
      <c r="Y78" s="35">
        <f t="shared" si="35"/>
        <v>3.8461538461538436E-2</v>
      </c>
      <c r="Z78" s="35">
        <f t="shared" si="35"/>
        <v>3.8461538461538436E-2</v>
      </c>
      <c r="AA78" s="35">
        <f t="shared" si="35"/>
        <v>0.19999999999999996</v>
      </c>
    </row>
    <row r="79" spans="2:27" x14ac:dyDescent="0.2">
      <c r="B79" s="2">
        <v>77</v>
      </c>
      <c r="C79" s="2" t="str">
        <f t="shared" si="19"/>
        <v>a</v>
      </c>
      <c r="D79" s="29" t="s">
        <v>158</v>
      </c>
      <c r="E79" s="29" t="s">
        <v>209</v>
      </c>
      <c r="F79" s="2" t="s">
        <v>212</v>
      </c>
      <c r="G79" s="2">
        <f t="shared" si="36"/>
        <v>5</v>
      </c>
      <c r="H79" s="2" t="str">
        <f t="shared" si="26"/>
        <v>电击</v>
      </c>
      <c r="I79" s="38">
        <f t="shared" si="29"/>
        <v>0.30727272727272725</v>
      </c>
      <c r="J79" s="33">
        <f t="shared" si="30"/>
        <v>23</v>
      </c>
      <c r="K79" s="33">
        <f t="shared" si="34"/>
        <v>37</v>
      </c>
      <c r="L79" s="33">
        <f t="shared" si="34"/>
        <v>13</v>
      </c>
      <c r="M79" s="33">
        <f t="shared" si="34"/>
        <v>33</v>
      </c>
      <c r="N79" s="33">
        <f t="shared" si="27"/>
        <v>135</v>
      </c>
      <c r="O79" s="33">
        <f t="shared" si="34"/>
        <v>49</v>
      </c>
      <c r="P79" s="33">
        <f t="shared" si="34"/>
        <v>24</v>
      </c>
      <c r="Q79" s="33">
        <f t="shared" si="34"/>
        <v>24</v>
      </c>
      <c r="R79" s="35">
        <f t="shared" si="31"/>
        <v>0.08</v>
      </c>
      <c r="S79" s="35">
        <f t="shared" si="32"/>
        <v>0.08</v>
      </c>
      <c r="T79" s="35">
        <f t="shared" si="33"/>
        <v>0.08</v>
      </c>
      <c r="U79" s="35">
        <f t="shared" si="28"/>
        <v>4.7619047619047672E-2</v>
      </c>
      <c r="V79" s="35">
        <f t="shared" si="35"/>
        <v>4.7619047619047672E-2</v>
      </c>
      <c r="W79" s="35">
        <f t="shared" si="35"/>
        <v>4.7619047619047672E-2</v>
      </c>
      <c r="X79" s="35">
        <f t="shared" si="35"/>
        <v>4.7619047619047672E-2</v>
      </c>
      <c r="Y79" s="35">
        <f t="shared" si="35"/>
        <v>4.7619047619047672E-2</v>
      </c>
      <c r="Z79" s="35">
        <f t="shared" si="35"/>
        <v>4.7619047619047672E-2</v>
      </c>
      <c r="AA79" s="35">
        <f t="shared" si="35"/>
        <v>0.23664122137404575</v>
      </c>
    </row>
    <row r="80" spans="2:27" x14ac:dyDescent="0.2">
      <c r="B80" s="2">
        <v>78</v>
      </c>
      <c r="C80" s="2" t="str">
        <f t="shared" si="19"/>
        <v>a</v>
      </c>
      <c r="D80" s="29" t="s">
        <v>158</v>
      </c>
      <c r="E80" s="29" t="s">
        <v>209</v>
      </c>
      <c r="F80" s="2" t="s">
        <v>212</v>
      </c>
      <c r="G80" s="2">
        <f t="shared" si="36"/>
        <v>6</v>
      </c>
      <c r="H80" s="2" t="str">
        <f t="shared" si="26"/>
        <v>电击</v>
      </c>
      <c r="I80" s="38">
        <f t="shared" si="29"/>
        <v>0.36909090909090908</v>
      </c>
      <c r="J80" s="33">
        <f t="shared" si="30"/>
        <v>28</v>
      </c>
      <c r="K80" s="33">
        <f t="shared" si="34"/>
        <v>44</v>
      </c>
      <c r="L80" s="33">
        <f t="shared" si="34"/>
        <v>16</v>
      </c>
      <c r="M80" s="33">
        <f t="shared" si="34"/>
        <v>39</v>
      </c>
      <c r="N80" s="33">
        <f t="shared" si="27"/>
        <v>162</v>
      </c>
      <c r="O80" s="33">
        <f t="shared" si="34"/>
        <v>59</v>
      </c>
      <c r="P80" s="33">
        <f t="shared" si="34"/>
        <v>29</v>
      </c>
      <c r="Q80" s="33">
        <f t="shared" si="34"/>
        <v>29</v>
      </c>
      <c r="R80" s="35">
        <f t="shared" si="31"/>
        <v>9.6666666666666665E-2</v>
      </c>
      <c r="S80" s="35">
        <f t="shared" si="32"/>
        <v>9.6666666666666665E-2</v>
      </c>
      <c r="T80" s="35">
        <f t="shared" si="33"/>
        <v>9.6666666666666665E-2</v>
      </c>
      <c r="U80" s="35">
        <f t="shared" si="28"/>
        <v>5.6603773584905648E-2</v>
      </c>
      <c r="V80" s="35">
        <f t="shared" si="35"/>
        <v>5.6603773584905648E-2</v>
      </c>
      <c r="W80" s="35">
        <f t="shared" si="35"/>
        <v>5.6603773584905648E-2</v>
      </c>
      <c r="X80" s="35">
        <f t="shared" si="35"/>
        <v>5.6603773584905648E-2</v>
      </c>
      <c r="Y80" s="35">
        <f t="shared" si="35"/>
        <v>5.6603773584905648E-2</v>
      </c>
      <c r="Z80" s="35">
        <f t="shared" si="35"/>
        <v>5.6603773584905648E-2</v>
      </c>
      <c r="AA80" s="35">
        <f t="shared" si="35"/>
        <v>0.27007299270072993</v>
      </c>
    </row>
    <row r="81" spans="2:27" x14ac:dyDescent="0.2">
      <c r="B81" s="2">
        <v>79</v>
      </c>
      <c r="C81" s="2" t="str">
        <f t="shared" si="19"/>
        <v>a</v>
      </c>
      <c r="D81" s="29" t="s">
        <v>155</v>
      </c>
      <c r="E81" s="29" t="s">
        <v>209</v>
      </c>
      <c r="F81" s="2" t="s">
        <v>212</v>
      </c>
      <c r="G81" s="2">
        <f t="shared" si="36"/>
        <v>7</v>
      </c>
      <c r="H81" s="2" t="str">
        <f t="shared" si="26"/>
        <v>电击</v>
      </c>
      <c r="I81" s="38">
        <f t="shared" si="29"/>
        <v>0.43181818181818182</v>
      </c>
      <c r="J81" s="33">
        <f t="shared" si="30"/>
        <v>32</v>
      </c>
      <c r="K81" s="33">
        <f t="shared" si="34"/>
        <v>52</v>
      </c>
      <c r="L81" s="33">
        <f t="shared" si="34"/>
        <v>19</v>
      </c>
      <c r="M81" s="33">
        <f t="shared" si="34"/>
        <v>46</v>
      </c>
      <c r="N81" s="33">
        <f t="shared" si="27"/>
        <v>189</v>
      </c>
      <c r="O81" s="33">
        <f t="shared" si="34"/>
        <v>69</v>
      </c>
      <c r="P81" s="33">
        <f t="shared" si="34"/>
        <v>34</v>
      </c>
      <c r="Q81" s="33">
        <f t="shared" si="34"/>
        <v>34</v>
      </c>
      <c r="R81" s="35">
        <f t="shared" si="31"/>
        <v>0.11333333333333334</v>
      </c>
      <c r="S81" s="35">
        <f t="shared" si="32"/>
        <v>0.11333333333333334</v>
      </c>
      <c r="T81" s="35">
        <f t="shared" si="33"/>
        <v>0.11333333333333334</v>
      </c>
      <c r="U81" s="35">
        <f t="shared" si="28"/>
        <v>6.5420560747663559E-2</v>
      </c>
      <c r="V81" s="35">
        <f t="shared" si="35"/>
        <v>6.5420560747663559E-2</v>
      </c>
      <c r="W81" s="35">
        <f t="shared" si="35"/>
        <v>6.5420560747663559E-2</v>
      </c>
      <c r="X81" s="35">
        <f t="shared" si="35"/>
        <v>6.5420560747663559E-2</v>
      </c>
      <c r="Y81" s="35">
        <f t="shared" si="35"/>
        <v>6.5420560747663559E-2</v>
      </c>
      <c r="Z81" s="35">
        <f t="shared" si="35"/>
        <v>6.5420560747663559E-2</v>
      </c>
      <c r="AA81" s="35">
        <f t="shared" si="35"/>
        <v>0.30313588850174211</v>
      </c>
    </row>
    <row r="82" spans="2:27" x14ac:dyDescent="0.2">
      <c r="B82" s="2">
        <v>80</v>
      </c>
      <c r="C82" s="2" t="str">
        <f t="shared" si="19"/>
        <v>a</v>
      </c>
      <c r="D82" s="29" t="s">
        <v>31</v>
      </c>
      <c r="E82" s="29" t="s">
        <v>209</v>
      </c>
      <c r="F82" s="2" t="s">
        <v>212</v>
      </c>
      <c r="G82" s="2">
        <f t="shared" si="36"/>
        <v>8</v>
      </c>
      <c r="H82" s="2" t="str">
        <f t="shared" si="26"/>
        <v>电击</v>
      </c>
      <c r="I82" s="38">
        <f t="shared" si="29"/>
        <v>0.49181818181818182</v>
      </c>
      <c r="J82" s="33">
        <f t="shared" si="30"/>
        <v>37</v>
      </c>
      <c r="K82" s="33">
        <f t="shared" si="34"/>
        <v>59</v>
      </c>
      <c r="L82" s="33">
        <f t="shared" si="34"/>
        <v>21</v>
      </c>
      <c r="M82" s="33">
        <f t="shared" si="34"/>
        <v>52</v>
      </c>
      <c r="N82" s="33">
        <f t="shared" si="27"/>
        <v>215</v>
      </c>
      <c r="O82" s="33">
        <f t="shared" si="34"/>
        <v>79</v>
      </c>
      <c r="P82" s="33">
        <f t="shared" si="34"/>
        <v>39</v>
      </c>
      <c r="Q82" s="33">
        <f t="shared" si="34"/>
        <v>39</v>
      </c>
      <c r="R82" s="35">
        <f t="shared" si="31"/>
        <v>0.13</v>
      </c>
      <c r="S82" s="35">
        <f t="shared" si="32"/>
        <v>0.13</v>
      </c>
      <c r="T82" s="35">
        <f t="shared" si="33"/>
        <v>0.13</v>
      </c>
      <c r="U82" s="35">
        <f t="shared" si="28"/>
        <v>7.8341013824884786E-2</v>
      </c>
      <c r="V82" s="35">
        <f t="shared" si="35"/>
        <v>7.8341013824884786E-2</v>
      </c>
      <c r="W82" s="35">
        <f t="shared" si="35"/>
        <v>7.8341013824884786E-2</v>
      </c>
      <c r="X82" s="35">
        <f t="shared" si="35"/>
        <v>7.8341013824884786E-2</v>
      </c>
      <c r="Y82" s="35">
        <f t="shared" si="35"/>
        <v>7.8341013824884786E-2</v>
      </c>
      <c r="Z82" s="35">
        <f t="shared" si="35"/>
        <v>7.8341013824884786E-2</v>
      </c>
      <c r="AA82" s="35">
        <f t="shared" si="35"/>
        <v>0.33110367892976589</v>
      </c>
    </row>
    <row r="83" spans="2:27" x14ac:dyDescent="0.2">
      <c r="B83" s="2">
        <v>81</v>
      </c>
      <c r="C83" s="2" t="str">
        <f t="shared" si="19"/>
        <v>b</v>
      </c>
      <c r="D83" s="29" t="s">
        <v>138</v>
      </c>
      <c r="E83" s="29" t="s">
        <v>209</v>
      </c>
      <c r="F83" s="2" t="s">
        <v>212</v>
      </c>
      <c r="G83" s="2">
        <f t="shared" si="36"/>
        <v>1</v>
      </c>
      <c r="H83" s="2" t="str">
        <f t="shared" si="26"/>
        <v>电击</v>
      </c>
      <c r="I83" s="38">
        <f t="shared" si="29"/>
        <v>0.1</v>
      </c>
      <c r="J83" s="33">
        <f t="shared" si="30"/>
        <v>5</v>
      </c>
      <c r="K83" s="33">
        <f t="shared" ref="K83:Q92" si="37">INT((1+VLOOKUP($F83,role_property_weight,getpos(K$2),FALSE))*(1+VLOOKUP($F83,weapon_property_weight,getpos(K$2),FALSE))*VLOOKUP($E83,role_grow,getpos(K$2),FALSE)*$G83*10*VLOOKUP($C83,weapon_grow1,5,FALSE))</f>
        <v>9</v>
      </c>
      <c r="L83" s="33">
        <f t="shared" si="37"/>
        <v>3</v>
      </c>
      <c r="M83" s="33">
        <f t="shared" si="37"/>
        <v>8</v>
      </c>
      <c r="N83" s="33">
        <f t="shared" si="27"/>
        <v>34</v>
      </c>
      <c r="O83" s="33">
        <f t="shared" si="37"/>
        <v>12</v>
      </c>
      <c r="P83" s="33">
        <f t="shared" si="37"/>
        <v>6</v>
      </c>
      <c r="Q83" s="33">
        <f t="shared" si="37"/>
        <v>6</v>
      </c>
      <c r="R83" s="35">
        <f t="shared" si="31"/>
        <v>0.02</v>
      </c>
      <c r="S83" s="35">
        <f t="shared" si="32"/>
        <v>0.02</v>
      </c>
      <c r="T83" s="35">
        <f t="shared" si="33"/>
        <v>0.02</v>
      </c>
      <c r="U83" s="35">
        <f t="shared" si="28"/>
        <v>1.4778325123152691E-2</v>
      </c>
      <c r="V83" s="35">
        <f t="shared" ref="V83:AA92" si="38">1-200/(200+ROUND((1+VLOOKUP($F83,role_property_weight,getpos(V$2),FALSE))*VLOOKUP($E83,role_grow,getpos(V$2),FALSE)*$G83*10*VLOOKUP($C83,weapon_grow1,5,FALSE),0))</f>
        <v>1.4778325123152691E-2</v>
      </c>
      <c r="W83" s="35">
        <f t="shared" si="38"/>
        <v>1.4778325123152691E-2</v>
      </c>
      <c r="X83" s="35">
        <f t="shared" si="38"/>
        <v>1.4778325123152691E-2</v>
      </c>
      <c r="Y83" s="35">
        <f t="shared" si="38"/>
        <v>1.4778325123152691E-2</v>
      </c>
      <c r="Z83" s="35">
        <f t="shared" si="38"/>
        <v>1.4778325123152691E-2</v>
      </c>
      <c r="AA83" s="35">
        <f t="shared" si="38"/>
        <v>7.407407407407407E-2</v>
      </c>
    </row>
    <row r="84" spans="2:27" x14ac:dyDescent="0.2">
      <c r="B84" s="2">
        <v>82</v>
      </c>
      <c r="C84" s="2" t="str">
        <f t="shared" si="19"/>
        <v>b</v>
      </c>
      <c r="D84" s="29" t="s">
        <v>156</v>
      </c>
      <c r="E84" s="29" t="s">
        <v>209</v>
      </c>
      <c r="F84" s="2" t="s">
        <v>212</v>
      </c>
      <c r="G84" s="2">
        <f t="shared" si="36"/>
        <v>2</v>
      </c>
      <c r="H84" s="2" t="str">
        <f t="shared" si="26"/>
        <v>电击</v>
      </c>
      <c r="I84" s="38">
        <f t="shared" si="29"/>
        <v>0.15090909090909091</v>
      </c>
      <c r="J84" s="33">
        <f t="shared" si="30"/>
        <v>10</v>
      </c>
      <c r="K84" s="33">
        <f t="shared" si="37"/>
        <v>18</v>
      </c>
      <c r="L84" s="33">
        <f t="shared" si="37"/>
        <v>6</v>
      </c>
      <c r="M84" s="33">
        <f t="shared" si="37"/>
        <v>16</v>
      </c>
      <c r="N84" s="33">
        <f t="shared" si="27"/>
        <v>68</v>
      </c>
      <c r="O84" s="33">
        <f t="shared" si="37"/>
        <v>24</v>
      </c>
      <c r="P84" s="33">
        <f t="shared" si="37"/>
        <v>12</v>
      </c>
      <c r="Q84" s="33">
        <f t="shared" si="37"/>
        <v>12</v>
      </c>
      <c r="R84" s="35">
        <f t="shared" si="31"/>
        <v>0.04</v>
      </c>
      <c r="S84" s="35">
        <f t="shared" si="32"/>
        <v>0.04</v>
      </c>
      <c r="T84" s="35">
        <f t="shared" si="33"/>
        <v>0.04</v>
      </c>
      <c r="U84" s="35">
        <f t="shared" si="28"/>
        <v>2.4390243902439046E-2</v>
      </c>
      <c r="V84" s="35">
        <f t="shared" si="38"/>
        <v>2.4390243902439046E-2</v>
      </c>
      <c r="W84" s="35">
        <f t="shared" si="38"/>
        <v>2.4390243902439046E-2</v>
      </c>
      <c r="X84" s="35">
        <f t="shared" si="38"/>
        <v>2.4390243902439046E-2</v>
      </c>
      <c r="Y84" s="35">
        <f t="shared" si="38"/>
        <v>2.4390243902439046E-2</v>
      </c>
      <c r="Z84" s="35">
        <f t="shared" si="38"/>
        <v>2.4390243902439046E-2</v>
      </c>
      <c r="AA84" s="35">
        <f t="shared" si="38"/>
        <v>0.13419913419913421</v>
      </c>
    </row>
    <row r="85" spans="2:27" x14ac:dyDescent="0.2">
      <c r="B85" s="2">
        <v>83</v>
      </c>
      <c r="C85" s="2" t="str">
        <f t="shared" si="19"/>
        <v>b</v>
      </c>
      <c r="D85" s="29" t="s">
        <v>31</v>
      </c>
      <c r="E85" s="29" t="s">
        <v>209</v>
      </c>
      <c r="F85" s="2" t="s">
        <v>212</v>
      </c>
      <c r="G85" s="2">
        <f t="shared" si="36"/>
        <v>3</v>
      </c>
      <c r="H85" s="2" t="str">
        <f t="shared" si="26"/>
        <v>电击</v>
      </c>
      <c r="I85" s="38">
        <f t="shared" si="29"/>
        <v>0.2290909090909091</v>
      </c>
      <c r="J85" s="33">
        <f t="shared" si="30"/>
        <v>15</v>
      </c>
      <c r="K85" s="33">
        <f t="shared" si="37"/>
        <v>28</v>
      </c>
      <c r="L85" s="33">
        <f t="shared" si="37"/>
        <v>10</v>
      </c>
      <c r="M85" s="33">
        <f t="shared" si="37"/>
        <v>24</v>
      </c>
      <c r="N85" s="33">
        <f t="shared" si="27"/>
        <v>102</v>
      </c>
      <c r="O85" s="33">
        <f t="shared" si="37"/>
        <v>37</v>
      </c>
      <c r="P85" s="33">
        <f t="shared" si="37"/>
        <v>18</v>
      </c>
      <c r="Q85" s="33">
        <f t="shared" si="37"/>
        <v>18</v>
      </c>
      <c r="R85" s="35">
        <f t="shared" si="31"/>
        <v>0.06</v>
      </c>
      <c r="S85" s="35">
        <f t="shared" si="32"/>
        <v>0.06</v>
      </c>
      <c r="T85" s="35">
        <f t="shared" si="33"/>
        <v>0.06</v>
      </c>
      <c r="U85" s="35">
        <f t="shared" si="28"/>
        <v>3.8461538461538436E-2</v>
      </c>
      <c r="V85" s="35">
        <f t="shared" si="38"/>
        <v>3.8461538461538436E-2</v>
      </c>
      <c r="W85" s="35">
        <f t="shared" si="38"/>
        <v>3.8461538461538436E-2</v>
      </c>
      <c r="X85" s="35">
        <f t="shared" si="38"/>
        <v>3.8461538461538436E-2</v>
      </c>
      <c r="Y85" s="35">
        <f t="shared" si="38"/>
        <v>3.8461538461538436E-2</v>
      </c>
      <c r="Z85" s="35">
        <f t="shared" si="38"/>
        <v>3.8461538461538436E-2</v>
      </c>
      <c r="AA85" s="35">
        <f t="shared" si="38"/>
        <v>0.19028340080971662</v>
      </c>
    </row>
    <row r="86" spans="2:27" x14ac:dyDescent="0.2">
      <c r="B86" s="2">
        <v>84</v>
      </c>
      <c r="C86" s="2" t="str">
        <f t="shared" si="19"/>
        <v>b</v>
      </c>
      <c r="D86" s="29" t="s">
        <v>159</v>
      </c>
      <c r="E86" s="29" t="s">
        <v>209</v>
      </c>
      <c r="F86" s="2" t="s">
        <v>212</v>
      </c>
      <c r="G86" s="2">
        <f t="shared" si="36"/>
        <v>4</v>
      </c>
      <c r="H86" s="2" t="str">
        <f t="shared" si="26"/>
        <v>电击</v>
      </c>
      <c r="I86" s="38">
        <f t="shared" si="29"/>
        <v>0.30545454545454548</v>
      </c>
      <c r="J86" s="33">
        <f t="shared" si="30"/>
        <v>20</v>
      </c>
      <c r="K86" s="33">
        <f t="shared" si="37"/>
        <v>37</v>
      </c>
      <c r="L86" s="33">
        <f t="shared" si="37"/>
        <v>13</v>
      </c>
      <c r="M86" s="33">
        <f t="shared" si="37"/>
        <v>33</v>
      </c>
      <c r="N86" s="33">
        <f t="shared" si="27"/>
        <v>136</v>
      </c>
      <c r="O86" s="33">
        <f t="shared" si="37"/>
        <v>49</v>
      </c>
      <c r="P86" s="33">
        <f t="shared" si="37"/>
        <v>24</v>
      </c>
      <c r="Q86" s="33">
        <f t="shared" si="37"/>
        <v>24</v>
      </c>
      <c r="R86" s="35">
        <f t="shared" si="31"/>
        <v>0.08</v>
      </c>
      <c r="S86" s="35">
        <f t="shared" si="32"/>
        <v>0.08</v>
      </c>
      <c r="T86" s="35">
        <f t="shared" si="33"/>
        <v>0.08</v>
      </c>
      <c r="U86" s="35">
        <f t="shared" si="28"/>
        <v>4.7619047619047672E-2</v>
      </c>
      <c r="V86" s="35">
        <f t="shared" si="38"/>
        <v>4.7619047619047672E-2</v>
      </c>
      <c r="W86" s="35">
        <f t="shared" si="38"/>
        <v>4.7619047619047672E-2</v>
      </c>
      <c r="X86" s="35">
        <f t="shared" si="38"/>
        <v>4.7619047619047672E-2</v>
      </c>
      <c r="Y86" s="35">
        <f t="shared" si="38"/>
        <v>4.7619047619047672E-2</v>
      </c>
      <c r="Z86" s="35">
        <f t="shared" si="38"/>
        <v>4.7619047619047672E-2</v>
      </c>
      <c r="AA86" s="35">
        <f t="shared" si="38"/>
        <v>0.23664122137404575</v>
      </c>
    </row>
    <row r="87" spans="2:27" x14ac:dyDescent="0.2">
      <c r="B87" s="2">
        <v>85</v>
      </c>
      <c r="C87" s="2" t="str">
        <f t="shared" si="19"/>
        <v>b</v>
      </c>
      <c r="D87" s="29" t="s">
        <v>31</v>
      </c>
      <c r="E87" s="29" t="s">
        <v>209</v>
      </c>
      <c r="F87" s="2" t="s">
        <v>212</v>
      </c>
      <c r="G87" s="2">
        <f t="shared" si="36"/>
        <v>5</v>
      </c>
      <c r="H87" s="2" t="str">
        <f t="shared" si="26"/>
        <v>电击</v>
      </c>
      <c r="I87" s="38">
        <f t="shared" si="29"/>
        <v>0.38363636363636366</v>
      </c>
      <c r="J87" s="33">
        <f t="shared" si="30"/>
        <v>25</v>
      </c>
      <c r="K87" s="33">
        <f t="shared" si="37"/>
        <v>46</v>
      </c>
      <c r="L87" s="33">
        <f t="shared" si="37"/>
        <v>17</v>
      </c>
      <c r="M87" s="33">
        <f t="shared" si="37"/>
        <v>41</v>
      </c>
      <c r="N87" s="33">
        <f t="shared" si="27"/>
        <v>169</v>
      </c>
      <c r="O87" s="33">
        <f t="shared" si="37"/>
        <v>62</v>
      </c>
      <c r="P87" s="33">
        <f t="shared" si="37"/>
        <v>31</v>
      </c>
      <c r="Q87" s="33">
        <f t="shared" si="37"/>
        <v>31</v>
      </c>
      <c r="R87" s="35">
        <f t="shared" si="31"/>
        <v>0.10333333333333333</v>
      </c>
      <c r="S87" s="35">
        <f t="shared" si="32"/>
        <v>0.10333333333333333</v>
      </c>
      <c r="T87" s="35">
        <f t="shared" si="33"/>
        <v>0.10333333333333333</v>
      </c>
      <c r="U87" s="35">
        <f t="shared" si="28"/>
        <v>6.1032863849765251E-2</v>
      </c>
      <c r="V87" s="35">
        <f t="shared" si="38"/>
        <v>6.1032863849765251E-2</v>
      </c>
      <c r="W87" s="35">
        <f t="shared" si="38"/>
        <v>6.1032863849765251E-2</v>
      </c>
      <c r="X87" s="35">
        <f t="shared" si="38"/>
        <v>6.1032863849765251E-2</v>
      </c>
      <c r="Y87" s="35">
        <f t="shared" si="38"/>
        <v>6.1032863849765251E-2</v>
      </c>
      <c r="Z87" s="35">
        <f t="shared" si="38"/>
        <v>6.1032863849765251E-2</v>
      </c>
      <c r="AA87" s="35">
        <f t="shared" si="38"/>
        <v>0.28057553956834536</v>
      </c>
    </row>
    <row r="88" spans="2:27" x14ac:dyDescent="0.2">
      <c r="B88" s="2">
        <v>86</v>
      </c>
      <c r="C88" s="2" t="str">
        <f t="shared" si="19"/>
        <v>b</v>
      </c>
      <c r="D88" s="29" t="s">
        <v>150</v>
      </c>
      <c r="E88" s="29" t="s">
        <v>209</v>
      </c>
      <c r="F88" s="2" t="s">
        <v>212</v>
      </c>
      <c r="G88" s="2">
        <f t="shared" si="36"/>
        <v>6</v>
      </c>
      <c r="H88" s="2" t="str">
        <f t="shared" si="26"/>
        <v>电击</v>
      </c>
      <c r="I88" s="38">
        <f t="shared" si="29"/>
        <v>0.46</v>
      </c>
      <c r="J88" s="33">
        <f t="shared" si="30"/>
        <v>30</v>
      </c>
      <c r="K88" s="33">
        <f t="shared" si="37"/>
        <v>56</v>
      </c>
      <c r="L88" s="33">
        <f t="shared" si="37"/>
        <v>20</v>
      </c>
      <c r="M88" s="33">
        <f t="shared" si="37"/>
        <v>49</v>
      </c>
      <c r="N88" s="33">
        <f t="shared" si="27"/>
        <v>203</v>
      </c>
      <c r="O88" s="33">
        <f t="shared" si="37"/>
        <v>74</v>
      </c>
      <c r="P88" s="33">
        <f t="shared" si="37"/>
        <v>37</v>
      </c>
      <c r="Q88" s="33">
        <f t="shared" si="37"/>
        <v>37</v>
      </c>
      <c r="R88" s="35">
        <f t="shared" si="31"/>
        <v>0.12333333333333334</v>
      </c>
      <c r="S88" s="35">
        <f t="shared" si="32"/>
        <v>0.12333333333333334</v>
      </c>
      <c r="T88" s="35">
        <f t="shared" si="33"/>
        <v>0.12333333333333334</v>
      </c>
      <c r="U88" s="35">
        <f t="shared" si="28"/>
        <v>7.407407407407407E-2</v>
      </c>
      <c r="V88" s="35">
        <f t="shared" si="38"/>
        <v>7.407407407407407E-2</v>
      </c>
      <c r="W88" s="35">
        <f t="shared" si="38"/>
        <v>7.407407407407407E-2</v>
      </c>
      <c r="X88" s="35">
        <f t="shared" si="38"/>
        <v>7.407407407407407E-2</v>
      </c>
      <c r="Y88" s="35">
        <f t="shared" si="38"/>
        <v>7.407407407407407E-2</v>
      </c>
      <c r="Z88" s="35">
        <f t="shared" si="38"/>
        <v>7.407407407407407E-2</v>
      </c>
      <c r="AA88" s="35">
        <f t="shared" si="38"/>
        <v>0.31972789115646261</v>
      </c>
    </row>
    <row r="89" spans="2:27" x14ac:dyDescent="0.2">
      <c r="B89" s="2">
        <v>87</v>
      </c>
      <c r="C89" s="2" t="str">
        <f t="shared" si="19"/>
        <v>b</v>
      </c>
      <c r="D89" s="29" t="s">
        <v>31</v>
      </c>
      <c r="E89" s="29" t="s">
        <v>209</v>
      </c>
      <c r="F89" s="2" t="s">
        <v>212</v>
      </c>
      <c r="G89" s="2">
        <f t="shared" si="36"/>
        <v>7</v>
      </c>
      <c r="H89" s="2" t="str">
        <f t="shared" si="26"/>
        <v>电击</v>
      </c>
      <c r="I89" s="38">
        <f t="shared" si="29"/>
        <v>0.53818181818181821</v>
      </c>
      <c r="J89" s="33">
        <f t="shared" si="30"/>
        <v>35</v>
      </c>
      <c r="K89" s="33">
        <f t="shared" si="37"/>
        <v>65</v>
      </c>
      <c r="L89" s="33">
        <f t="shared" si="37"/>
        <v>24</v>
      </c>
      <c r="M89" s="33">
        <f t="shared" si="37"/>
        <v>58</v>
      </c>
      <c r="N89" s="33">
        <f t="shared" si="27"/>
        <v>237</v>
      </c>
      <c r="O89" s="33">
        <f t="shared" si="37"/>
        <v>87</v>
      </c>
      <c r="P89" s="33">
        <f t="shared" si="37"/>
        <v>43</v>
      </c>
      <c r="Q89" s="33">
        <f t="shared" si="37"/>
        <v>43</v>
      </c>
      <c r="R89" s="35">
        <f t="shared" si="31"/>
        <v>0.14333333333333334</v>
      </c>
      <c r="S89" s="35">
        <f t="shared" si="32"/>
        <v>0.14333333333333334</v>
      </c>
      <c r="T89" s="35">
        <f t="shared" si="33"/>
        <v>0.14333333333333334</v>
      </c>
      <c r="U89" s="35">
        <f t="shared" si="28"/>
        <v>8.256880733944949E-2</v>
      </c>
      <c r="V89" s="35">
        <f t="shared" si="38"/>
        <v>8.256880733944949E-2</v>
      </c>
      <c r="W89" s="35">
        <f t="shared" si="38"/>
        <v>8.256880733944949E-2</v>
      </c>
      <c r="X89" s="35">
        <f t="shared" si="38"/>
        <v>8.256880733944949E-2</v>
      </c>
      <c r="Y89" s="35">
        <f t="shared" si="38"/>
        <v>8.256880733944949E-2</v>
      </c>
      <c r="Z89" s="35">
        <f t="shared" si="38"/>
        <v>8.256880733944949E-2</v>
      </c>
      <c r="AA89" s="35">
        <f t="shared" si="38"/>
        <v>0.3527508090614887</v>
      </c>
    </row>
    <row r="90" spans="2:27" x14ac:dyDescent="0.2">
      <c r="B90" s="2">
        <v>88</v>
      </c>
      <c r="C90" s="2" t="str">
        <f t="shared" si="19"/>
        <v>b</v>
      </c>
      <c r="D90" s="29" t="s">
        <v>160</v>
      </c>
      <c r="E90" s="29" t="s">
        <v>209</v>
      </c>
      <c r="F90" s="2" t="s">
        <v>212</v>
      </c>
      <c r="G90" s="2">
        <f t="shared" si="36"/>
        <v>8</v>
      </c>
      <c r="H90" s="2" t="str">
        <f t="shared" si="26"/>
        <v>电击</v>
      </c>
      <c r="I90" s="38">
        <f t="shared" si="29"/>
        <v>0.61363636363636365</v>
      </c>
      <c r="J90" s="33">
        <f t="shared" si="30"/>
        <v>40</v>
      </c>
      <c r="K90" s="33">
        <f t="shared" si="37"/>
        <v>74</v>
      </c>
      <c r="L90" s="33">
        <f t="shared" si="37"/>
        <v>27</v>
      </c>
      <c r="M90" s="33">
        <f t="shared" si="37"/>
        <v>66</v>
      </c>
      <c r="N90" s="33">
        <f t="shared" si="27"/>
        <v>271</v>
      </c>
      <c r="O90" s="33">
        <f t="shared" si="37"/>
        <v>99</v>
      </c>
      <c r="P90" s="33">
        <f t="shared" si="37"/>
        <v>49</v>
      </c>
      <c r="Q90" s="33">
        <f t="shared" si="37"/>
        <v>49</v>
      </c>
      <c r="R90" s="35">
        <f t="shared" si="31"/>
        <v>0.16333333333333333</v>
      </c>
      <c r="S90" s="35">
        <f t="shared" si="32"/>
        <v>0.16333333333333333</v>
      </c>
      <c r="T90" s="35">
        <f t="shared" si="33"/>
        <v>0.16333333333333333</v>
      </c>
      <c r="U90" s="35">
        <f t="shared" si="28"/>
        <v>9.5022624434389136E-2</v>
      </c>
      <c r="V90" s="35">
        <f t="shared" si="38"/>
        <v>9.5022624434389136E-2</v>
      </c>
      <c r="W90" s="35">
        <f t="shared" si="38"/>
        <v>9.5022624434389136E-2</v>
      </c>
      <c r="X90" s="35">
        <f t="shared" si="38"/>
        <v>9.5022624434389136E-2</v>
      </c>
      <c r="Y90" s="35">
        <f t="shared" si="38"/>
        <v>9.5022624434389136E-2</v>
      </c>
      <c r="Z90" s="35">
        <f t="shared" si="38"/>
        <v>9.5022624434389136E-2</v>
      </c>
      <c r="AA90" s="35">
        <f t="shared" si="38"/>
        <v>0.38461538461538458</v>
      </c>
    </row>
    <row r="91" spans="2:27" x14ac:dyDescent="0.2">
      <c r="B91" s="2">
        <v>89</v>
      </c>
      <c r="C91" s="2" t="str">
        <f t="shared" si="19"/>
        <v>c</v>
      </c>
      <c r="D91" s="29" t="s">
        <v>31</v>
      </c>
      <c r="E91" s="29" t="s">
        <v>209</v>
      </c>
      <c r="F91" s="2" t="s">
        <v>212</v>
      </c>
      <c r="G91" s="2">
        <f t="shared" si="36"/>
        <v>1</v>
      </c>
      <c r="H91" s="2" t="str">
        <f t="shared" si="26"/>
        <v>--</v>
      </c>
      <c r="I91" s="38">
        <f t="shared" si="29"/>
        <v>0</v>
      </c>
      <c r="J91" s="33">
        <f t="shared" si="30"/>
        <v>6</v>
      </c>
      <c r="K91" s="33">
        <f t="shared" si="37"/>
        <v>0</v>
      </c>
      <c r="L91" s="33">
        <f t="shared" si="37"/>
        <v>0</v>
      </c>
      <c r="M91" s="33">
        <f t="shared" si="37"/>
        <v>0</v>
      </c>
      <c r="N91" s="33">
        <f t="shared" si="27"/>
        <v>0</v>
      </c>
      <c r="O91" s="33">
        <f t="shared" si="37"/>
        <v>0</v>
      </c>
      <c r="P91" s="33">
        <f t="shared" si="37"/>
        <v>0</v>
      </c>
      <c r="Q91" s="33">
        <f t="shared" si="37"/>
        <v>0</v>
      </c>
      <c r="R91" s="35">
        <f t="shared" si="31"/>
        <v>0</v>
      </c>
      <c r="S91" s="35">
        <f t="shared" si="32"/>
        <v>0</v>
      </c>
      <c r="T91" s="35">
        <f t="shared" si="33"/>
        <v>0</v>
      </c>
      <c r="U91" s="35">
        <f t="shared" si="28"/>
        <v>0</v>
      </c>
      <c r="V91" s="35">
        <f t="shared" si="38"/>
        <v>0</v>
      </c>
      <c r="W91" s="35">
        <f t="shared" si="38"/>
        <v>0</v>
      </c>
      <c r="X91" s="35">
        <f t="shared" si="38"/>
        <v>0</v>
      </c>
      <c r="Y91" s="35">
        <f t="shared" si="38"/>
        <v>0</v>
      </c>
      <c r="Z91" s="35">
        <f t="shared" si="38"/>
        <v>0</v>
      </c>
      <c r="AA91" s="35">
        <f t="shared" si="38"/>
        <v>0</v>
      </c>
    </row>
    <row r="92" spans="2:27" x14ac:dyDescent="0.2">
      <c r="B92" s="2">
        <v>90</v>
      </c>
      <c r="C92" s="2" t="str">
        <f t="shared" si="19"/>
        <v>c</v>
      </c>
      <c r="D92" s="29" t="s">
        <v>138</v>
      </c>
      <c r="E92" s="29" t="s">
        <v>209</v>
      </c>
      <c r="F92" s="2" t="s">
        <v>212</v>
      </c>
      <c r="G92" s="2">
        <f t="shared" si="36"/>
        <v>2</v>
      </c>
      <c r="H92" s="2" t="str">
        <f t="shared" si="26"/>
        <v>--</v>
      </c>
      <c r="I92" s="38">
        <f t="shared" si="29"/>
        <v>0</v>
      </c>
      <c r="J92" s="33">
        <f t="shared" si="30"/>
        <v>12</v>
      </c>
      <c r="K92" s="33">
        <f t="shared" si="37"/>
        <v>0</v>
      </c>
      <c r="L92" s="33">
        <f t="shared" si="37"/>
        <v>0</v>
      </c>
      <c r="M92" s="33">
        <f t="shared" si="37"/>
        <v>0</v>
      </c>
      <c r="N92" s="33">
        <f t="shared" si="27"/>
        <v>0</v>
      </c>
      <c r="O92" s="33">
        <f t="shared" si="37"/>
        <v>0</v>
      </c>
      <c r="P92" s="33">
        <f t="shared" si="37"/>
        <v>0</v>
      </c>
      <c r="Q92" s="33">
        <f t="shared" si="37"/>
        <v>0</v>
      </c>
      <c r="R92" s="35">
        <f t="shared" si="31"/>
        <v>0</v>
      </c>
      <c r="S92" s="35">
        <f t="shared" si="32"/>
        <v>0</v>
      </c>
      <c r="T92" s="35">
        <f t="shared" si="33"/>
        <v>0</v>
      </c>
      <c r="U92" s="35">
        <f t="shared" si="28"/>
        <v>0</v>
      </c>
      <c r="V92" s="35">
        <f t="shared" si="38"/>
        <v>0</v>
      </c>
      <c r="W92" s="35">
        <f t="shared" si="38"/>
        <v>0</v>
      </c>
      <c r="X92" s="35">
        <f t="shared" si="38"/>
        <v>0</v>
      </c>
      <c r="Y92" s="35">
        <f t="shared" si="38"/>
        <v>0</v>
      </c>
      <c r="Z92" s="35">
        <f t="shared" si="38"/>
        <v>0</v>
      </c>
      <c r="AA92" s="35">
        <f t="shared" si="38"/>
        <v>0</v>
      </c>
    </row>
    <row r="93" spans="2:27" x14ac:dyDescent="0.2">
      <c r="B93" s="2">
        <v>91</v>
      </c>
      <c r="C93" s="2" t="str">
        <f t="shared" si="19"/>
        <v>c</v>
      </c>
      <c r="D93" s="29" t="s">
        <v>31</v>
      </c>
      <c r="E93" s="29" t="s">
        <v>209</v>
      </c>
      <c r="F93" s="2" t="s">
        <v>212</v>
      </c>
      <c r="G93" s="2">
        <f t="shared" si="36"/>
        <v>3</v>
      </c>
      <c r="H93" s="2" t="str">
        <f t="shared" si="26"/>
        <v>--</v>
      </c>
      <c r="I93" s="38">
        <f t="shared" si="29"/>
        <v>0</v>
      </c>
      <c r="J93" s="33">
        <f t="shared" si="30"/>
        <v>19</v>
      </c>
      <c r="K93" s="33">
        <f t="shared" ref="K93:Q102" si="39">INT((1+VLOOKUP($F93,role_property_weight,getpos(K$2),FALSE))*(1+VLOOKUP($F93,weapon_property_weight,getpos(K$2),FALSE))*VLOOKUP($E93,role_grow,getpos(K$2),FALSE)*$G93*10*VLOOKUP($C93,weapon_grow1,5,FALSE))</f>
        <v>0</v>
      </c>
      <c r="L93" s="33">
        <f t="shared" si="39"/>
        <v>0</v>
      </c>
      <c r="M93" s="33">
        <f t="shared" si="39"/>
        <v>0</v>
      </c>
      <c r="N93" s="33">
        <f t="shared" si="27"/>
        <v>0</v>
      </c>
      <c r="O93" s="33">
        <f t="shared" si="39"/>
        <v>0</v>
      </c>
      <c r="P93" s="33">
        <f t="shared" si="39"/>
        <v>0</v>
      </c>
      <c r="Q93" s="33">
        <f t="shared" si="39"/>
        <v>0</v>
      </c>
      <c r="R93" s="35">
        <f t="shared" si="31"/>
        <v>0</v>
      </c>
      <c r="S93" s="35">
        <f t="shared" si="32"/>
        <v>0</v>
      </c>
      <c r="T93" s="35">
        <f t="shared" si="33"/>
        <v>0</v>
      </c>
      <c r="U93" s="35">
        <f t="shared" si="28"/>
        <v>0</v>
      </c>
      <c r="V93" s="35">
        <f t="shared" ref="V93:AA102" si="40">1-200/(200+ROUND((1+VLOOKUP($F93,role_property_weight,getpos(V$2),FALSE))*VLOOKUP($E93,role_grow,getpos(V$2),FALSE)*$G93*10*VLOOKUP($C93,weapon_grow1,5,FALSE),0))</f>
        <v>0</v>
      </c>
      <c r="W93" s="35">
        <f t="shared" si="40"/>
        <v>0</v>
      </c>
      <c r="X93" s="35">
        <f t="shared" si="40"/>
        <v>0</v>
      </c>
      <c r="Y93" s="35">
        <f t="shared" si="40"/>
        <v>0</v>
      </c>
      <c r="Z93" s="35">
        <f t="shared" si="40"/>
        <v>0</v>
      </c>
      <c r="AA93" s="35">
        <f t="shared" si="40"/>
        <v>0</v>
      </c>
    </row>
    <row r="94" spans="2:27" x14ac:dyDescent="0.2">
      <c r="B94" s="2">
        <v>92</v>
      </c>
      <c r="C94" s="2" t="str">
        <f t="shared" si="19"/>
        <v>c</v>
      </c>
      <c r="D94" s="29" t="s">
        <v>150</v>
      </c>
      <c r="E94" s="29" t="s">
        <v>209</v>
      </c>
      <c r="F94" s="2" t="s">
        <v>212</v>
      </c>
      <c r="G94" s="2">
        <f t="shared" si="36"/>
        <v>4</v>
      </c>
      <c r="H94" s="2" t="str">
        <f t="shared" si="26"/>
        <v>--</v>
      </c>
      <c r="I94" s="38">
        <f t="shared" si="29"/>
        <v>0</v>
      </c>
      <c r="J94" s="33">
        <f t="shared" si="30"/>
        <v>25</v>
      </c>
      <c r="K94" s="33">
        <f t="shared" si="39"/>
        <v>0</v>
      </c>
      <c r="L94" s="33">
        <f t="shared" si="39"/>
        <v>0</v>
      </c>
      <c r="M94" s="33">
        <f t="shared" si="39"/>
        <v>0</v>
      </c>
      <c r="N94" s="33">
        <f t="shared" si="27"/>
        <v>0</v>
      </c>
      <c r="O94" s="33">
        <f t="shared" si="39"/>
        <v>0</v>
      </c>
      <c r="P94" s="33">
        <f t="shared" si="39"/>
        <v>0</v>
      </c>
      <c r="Q94" s="33">
        <f t="shared" si="39"/>
        <v>0</v>
      </c>
      <c r="R94" s="35">
        <f t="shared" si="31"/>
        <v>0</v>
      </c>
      <c r="S94" s="35">
        <f t="shared" si="32"/>
        <v>0</v>
      </c>
      <c r="T94" s="35">
        <f t="shared" si="33"/>
        <v>0</v>
      </c>
      <c r="U94" s="35">
        <f t="shared" si="28"/>
        <v>0</v>
      </c>
      <c r="V94" s="35">
        <f t="shared" si="40"/>
        <v>0</v>
      </c>
      <c r="W94" s="35">
        <f t="shared" si="40"/>
        <v>0</v>
      </c>
      <c r="X94" s="35">
        <f t="shared" si="40"/>
        <v>0</v>
      </c>
      <c r="Y94" s="35">
        <f t="shared" si="40"/>
        <v>0</v>
      </c>
      <c r="Z94" s="35">
        <f t="shared" si="40"/>
        <v>0</v>
      </c>
      <c r="AA94" s="35">
        <f t="shared" si="40"/>
        <v>0</v>
      </c>
    </row>
    <row r="95" spans="2:27" x14ac:dyDescent="0.2">
      <c r="B95" s="2">
        <v>93</v>
      </c>
      <c r="C95" s="2" t="str">
        <f t="shared" si="19"/>
        <v>c</v>
      </c>
      <c r="D95" s="29" t="s">
        <v>31</v>
      </c>
      <c r="E95" s="29" t="s">
        <v>209</v>
      </c>
      <c r="F95" s="2" t="s">
        <v>212</v>
      </c>
      <c r="G95" s="2">
        <f t="shared" si="36"/>
        <v>5</v>
      </c>
      <c r="H95" s="2" t="str">
        <f t="shared" si="26"/>
        <v>--</v>
      </c>
      <c r="I95" s="38">
        <f t="shared" si="29"/>
        <v>0</v>
      </c>
      <c r="J95" s="33">
        <f t="shared" si="30"/>
        <v>31</v>
      </c>
      <c r="K95" s="33">
        <f t="shared" si="39"/>
        <v>0</v>
      </c>
      <c r="L95" s="33">
        <f t="shared" si="39"/>
        <v>0</v>
      </c>
      <c r="M95" s="33">
        <f t="shared" si="39"/>
        <v>0</v>
      </c>
      <c r="N95" s="33">
        <f t="shared" si="27"/>
        <v>0</v>
      </c>
      <c r="O95" s="33">
        <f t="shared" si="39"/>
        <v>0</v>
      </c>
      <c r="P95" s="33">
        <f t="shared" si="39"/>
        <v>0</v>
      </c>
      <c r="Q95" s="33">
        <f t="shared" si="39"/>
        <v>0</v>
      </c>
      <c r="R95" s="35">
        <f t="shared" si="31"/>
        <v>0</v>
      </c>
      <c r="S95" s="35">
        <f t="shared" si="32"/>
        <v>0</v>
      </c>
      <c r="T95" s="35">
        <f t="shared" si="33"/>
        <v>0</v>
      </c>
      <c r="U95" s="35">
        <f t="shared" si="28"/>
        <v>0</v>
      </c>
      <c r="V95" s="35">
        <f t="shared" si="40"/>
        <v>0</v>
      </c>
      <c r="W95" s="35">
        <f t="shared" si="40"/>
        <v>0</v>
      </c>
      <c r="X95" s="35">
        <f t="shared" si="40"/>
        <v>0</v>
      </c>
      <c r="Y95" s="35">
        <f t="shared" si="40"/>
        <v>0</v>
      </c>
      <c r="Z95" s="35">
        <f t="shared" si="40"/>
        <v>0</v>
      </c>
      <c r="AA95" s="35">
        <f t="shared" si="40"/>
        <v>0</v>
      </c>
    </row>
    <row r="96" spans="2:27" x14ac:dyDescent="0.2">
      <c r="B96" s="2">
        <v>94</v>
      </c>
      <c r="C96" s="2" t="str">
        <f t="shared" si="19"/>
        <v>c</v>
      </c>
      <c r="D96" s="29" t="s">
        <v>161</v>
      </c>
      <c r="E96" s="29" t="s">
        <v>209</v>
      </c>
      <c r="F96" s="2" t="s">
        <v>212</v>
      </c>
      <c r="G96" s="2">
        <f t="shared" si="36"/>
        <v>6</v>
      </c>
      <c r="H96" s="2" t="str">
        <f t="shared" si="26"/>
        <v>--</v>
      </c>
      <c r="I96" s="38">
        <f t="shared" si="29"/>
        <v>0</v>
      </c>
      <c r="J96" s="33">
        <f t="shared" si="30"/>
        <v>38</v>
      </c>
      <c r="K96" s="33">
        <f t="shared" si="39"/>
        <v>0</v>
      </c>
      <c r="L96" s="33">
        <f t="shared" si="39"/>
        <v>0</v>
      </c>
      <c r="M96" s="33">
        <f t="shared" si="39"/>
        <v>0</v>
      </c>
      <c r="N96" s="33">
        <f t="shared" si="27"/>
        <v>0</v>
      </c>
      <c r="O96" s="33">
        <f t="shared" si="39"/>
        <v>0</v>
      </c>
      <c r="P96" s="33">
        <f t="shared" si="39"/>
        <v>0</v>
      </c>
      <c r="Q96" s="33">
        <f t="shared" si="39"/>
        <v>0</v>
      </c>
      <c r="R96" s="35">
        <f t="shared" si="31"/>
        <v>0</v>
      </c>
      <c r="S96" s="35">
        <f t="shared" si="32"/>
        <v>0</v>
      </c>
      <c r="T96" s="35">
        <f t="shared" si="33"/>
        <v>0</v>
      </c>
      <c r="U96" s="35">
        <f t="shared" si="28"/>
        <v>0</v>
      </c>
      <c r="V96" s="35">
        <f t="shared" si="40"/>
        <v>0</v>
      </c>
      <c r="W96" s="35">
        <f t="shared" si="40"/>
        <v>0</v>
      </c>
      <c r="X96" s="35">
        <f t="shared" si="40"/>
        <v>0</v>
      </c>
      <c r="Y96" s="35">
        <f t="shared" si="40"/>
        <v>0</v>
      </c>
      <c r="Z96" s="35">
        <f t="shared" si="40"/>
        <v>0</v>
      </c>
      <c r="AA96" s="35">
        <f t="shared" si="40"/>
        <v>0</v>
      </c>
    </row>
    <row r="97" spans="2:27" x14ac:dyDescent="0.2">
      <c r="B97" s="2">
        <v>95</v>
      </c>
      <c r="C97" s="2" t="str">
        <f t="shared" si="19"/>
        <v>c</v>
      </c>
      <c r="D97" s="29" t="s">
        <v>31</v>
      </c>
      <c r="E97" s="29" t="s">
        <v>209</v>
      </c>
      <c r="F97" s="2" t="s">
        <v>212</v>
      </c>
      <c r="G97" s="2">
        <f t="shared" si="36"/>
        <v>7</v>
      </c>
      <c r="H97" s="2" t="str">
        <f t="shared" si="26"/>
        <v>--</v>
      </c>
      <c r="I97" s="38">
        <f t="shared" si="29"/>
        <v>0</v>
      </c>
      <c r="J97" s="33">
        <f t="shared" si="30"/>
        <v>44</v>
      </c>
      <c r="K97" s="33">
        <f t="shared" si="39"/>
        <v>0</v>
      </c>
      <c r="L97" s="33">
        <f t="shared" si="39"/>
        <v>0</v>
      </c>
      <c r="M97" s="33">
        <f t="shared" si="39"/>
        <v>0</v>
      </c>
      <c r="N97" s="33">
        <f t="shared" si="27"/>
        <v>0</v>
      </c>
      <c r="O97" s="33">
        <f t="shared" si="39"/>
        <v>0</v>
      </c>
      <c r="P97" s="33">
        <f t="shared" si="39"/>
        <v>0</v>
      </c>
      <c r="Q97" s="33">
        <f t="shared" si="39"/>
        <v>0</v>
      </c>
      <c r="R97" s="35">
        <f t="shared" si="31"/>
        <v>0</v>
      </c>
      <c r="S97" s="35">
        <f t="shared" si="32"/>
        <v>0</v>
      </c>
      <c r="T97" s="35">
        <f t="shared" si="33"/>
        <v>0</v>
      </c>
      <c r="U97" s="35">
        <f t="shared" si="28"/>
        <v>0</v>
      </c>
      <c r="V97" s="35">
        <f t="shared" si="40"/>
        <v>0</v>
      </c>
      <c r="W97" s="35">
        <f t="shared" si="40"/>
        <v>0</v>
      </c>
      <c r="X97" s="35">
        <f t="shared" si="40"/>
        <v>0</v>
      </c>
      <c r="Y97" s="35">
        <f t="shared" si="40"/>
        <v>0</v>
      </c>
      <c r="Z97" s="35">
        <f t="shared" si="40"/>
        <v>0</v>
      </c>
      <c r="AA97" s="35">
        <f t="shared" si="40"/>
        <v>0</v>
      </c>
    </row>
    <row r="98" spans="2:27" x14ac:dyDescent="0.2">
      <c r="B98" s="2">
        <v>96</v>
      </c>
      <c r="C98" s="2" t="str">
        <f t="shared" si="19"/>
        <v>c</v>
      </c>
      <c r="D98" s="29" t="s">
        <v>138</v>
      </c>
      <c r="E98" s="29" t="s">
        <v>209</v>
      </c>
      <c r="F98" s="2" t="s">
        <v>212</v>
      </c>
      <c r="G98" s="2">
        <f t="shared" si="36"/>
        <v>8</v>
      </c>
      <c r="H98" s="2" t="str">
        <f t="shared" si="26"/>
        <v>--</v>
      </c>
      <c r="I98" s="38">
        <f t="shared" si="29"/>
        <v>0</v>
      </c>
      <c r="J98" s="33">
        <f t="shared" si="30"/>
        <v>50</v>
      </c>
      <c r="K98" s="33">
        <f t="shared" si="39"/>
        <v>0</v>
      </c>
      <c r="L98" s="33">
        <f t="shared" si="39"/>
        <v>0</v>
      </c>
      <c r="M98" s="33">
        <f t="shared" si="39"/>
        <v>0</v>
      </c>
      <c r="N98" s="33">
        <f t="shared" si="27"/>
        <v>0</v>
      </c>
      <c r="O98" s="33">
        <f t="shared" si="39"/>
        <v>0</v>
      </c>
      <c r="P98" s="33">
        <f t="shared" si="39"/>
        <v>0</v>
      </c>
      <c r="Q98" s="33">
        <f t="shared" si="39"/>
        <v>0</v>
      </c>
      <c r="R98" s="35">
        <f t="shared" si="31"/>
        <v>0</v>
      </c>
      <c r="S98" s="35">
        <f t="shared" si="32"/>
        <v>0</v>
      </c>
      <c r="T98" s="35">
        <f t="shared" si="33"/>
        <v>0</v>
      </c>
      <c r="U98" s="35">
        <f t="shared" si="28"/>
        <v>0</v>
      </c>
      <c r="V98" s="35">
        <f t="shared" si="40"/>
        <v>0</v>
      </c>
      <c r="W98" s="35">
        <f t="shared" si="40"/>
        <v>0</v>
      </c>
      <c r="X98" s="35">
        <f t="shared" si="40"/>
        <v>0</v>
      </c>
      <c r="Y98" s="35">
        <f t="shared" si="40"/>
        <v>0</v>
      </c>
      <c r="Z98" s="35">
        <f t="shared" si="40"/>
        <v>0</v>
      </c>
      <c r="AA98" s="35">
        <f t="shared" si="40"/>
        <v>0</v>
      </c>
    </row>
    <row r="99" spans="2:27" x14ac:dyDescent="0.2">
      <c r="B99" s="2">
        <v>97</v>
      </c>
      <c r="C99" s="2" t="str">
        <f t="shared" si="19"/>
        <v>s</v>
      </c>
      <c r="D99" s="29" t="s">
        <v>31</v>
      </c>
      <c r="E99" s="29" t="s">
        <v>209</v>
      </c>
      <c r="F99" s="2" t="s">
        <v>213</v>
      </c>
      <c r="G99" s="2">
        <f t="shared" si="36"/>
        <v>1</v>
      </c>
      <c r="H99" s="2" t="str">
        <f t="shared" si="26"/>
        <v>神圣</v>
      </c>
      <c r="I99" s="38">
        <f t="shared" si="29"/>
        <v>0.1</v>
      </c>
      <c r="J99" s="33">
        <f t="shared" si="30"/>
        <v>11</v>
      </c>
      <c r="K99" s="33">
        <f t="shared" si="39"/>
        <v>9</v>
      </c>
      <c r="L99" s="33">
        <f t="shared" si="39"/>
        <v>2</v>
      </c>
      <c r="M99" s="33">
        <f t="shared" si="39"/>
        <v>5</v>
      </c>
      <c r="N99" s="33">
        <f t="shared" si="27"/>
        <v>19</v>
      </c>
      <c r="O99" s="33">
        <f t="shared" si="39"/>
        <v>10</v>
      </c>
      <c r="P99" s="33">
        <f t="shared" si="39"/>
        <v>4</v>
      </c>
      <c r="Q99" s="33">
        <f t="shared" si="39"/>
        <v>3</v>
      </c>
      <c r="R99" s="35">
        <f t="shared" si="31"/>
        <v>0.01</v>
      </c>
      <c r="S99" s="35">
        <f t="shared" si="32"/>
        <v>1.3333333333333332E-2</v>
      </c>
      <c r="T99" s="35">
        <f t="shared" si="33"/>
        <v>0.01</v>
      </c>
      <c r="U99" s="35">
        <f t="shared" si="28"/>
        <v>9.9009900990099098E-3</v>
      </c>
      <c r="V99" s="35">
        <f t="shared" si="40"/>
        <v>9.9009900990099098E-3</v>
      </c>
      <c r="W99" s="35">
        <f t="shared" si="40"/>
        <v>9.9009900990099098E-3</v>
      </c>
      <c r="X99" s="35">
        <f t="shared" si="40"/>
        <v>9.9009900990099098E-3</v>
      </c>
      <c r="Y99" s="35">
        <f t="shared" si="40"/>
        <v>5.6603773584905648E-2</v>
      </c>
      <c r="Z99" s="35">
        <f t="shared" si="40"/>
        <v>9.9009900990099098E-3</v>
      </c>
      <c r="AA99" s="35">
        <f t="shared" si="40"/>
        <v>9.9009900990099098E-3</v>
      </c>
    </row>
    <row r="100" spans="2:27" x14ac:dyDescent="0.2">
      <c r="B100" s="2">
        <v>98</v>
      </c>
      <c r="C100" s="2" t="str">
        <f t="shared" ref="C100:C163" si="41">C68</f>
        <v>s</v>
      </c>
      <c r="D100" s="29" t="s">
        <v>31</v>
      </c>
      <c r="E100" s="29" t="s">
        <v>209</v>
      </c>
      <c r="F100" s="2" t="s">
        <v>213</v>
      </c>
      <c r="G100" s="2">
        <f t="shared" si="36"/>
        <v>2</v>
      </c>
      <c r="H100" s="2" t="str">
        <f t="shared" si="26"/>
        <v>神圣</v>
      </c>
      <c r="I100" s="38">
        <f t="shared" si="29"/>
        <v>0.11636363636363636</v>
      </c>
      <c r="J100" s="33">
        <f t="shared" si="30"/>
        <v>22</v>
      </c>
      <c r="K100" s="33">
        <f t="shared" si="39"/>
        <v>18</v>
      </c>
      <c r="L100" s="33">
        <f t="shared" si="39"/>
        <v>4</v>
      </c>
      <c r="M100" s="33">
        <f t="shared" si="39"/>
        <v>10</v>
      </c>
      <c r="N100" s="33">
        <f t="shared" si="27"/>
        <v>38</v>
      </c>
      <c r="O100" s="33">
        <f t="shared" si="39"/>
        <v>21</v>
      </c>
      <c r="P100" s="33">
        <f t="shared" si="39"/>
        <v>8</v>
      </c>
      <c r="Q100" s="33">
        <f t="shared" si="39"/>
        <v>7</v>
      </c>
      <c r="R100" s="35">
        <f t="shared" si="31"/>
        <v>2.3333333333333334E-2</v>
      </c>
      <c r="S100" s="35">
        <f t="shared" si="32"/>
        <v>2.6666666666666665E-2</v>
      </c>
      <c r="T100" s="35">
        <f t="shared" si="33"/>
        <v>2.3333333333333334E-2</v>
      </c>
      <c r="U100" s="35">
        <f t="shared" si="28"/>
        <v>1.9607843137254943E-2</v>
      </c>
      <c r="V100" s="35">
        <f t="shared" si="40"/>
        <v>1.9607843137254943E-2</v>
      </c>
      <c r="W100" s="35">
        <f t="shared" si="40"/>
        <v>1.9607843137254943E-2</v>
      </c>
      <c r="X100" s="35">
        <f t="shared" si="40"/>
        <v>1.9607843137254943E-2</v>
      </c>
      <c r="Y100" s="35">
        <f t="shared" si="40"/>
        <v>0.1071428571428571</v>
      </c>
      <c r="Z100" s="35">
        <f t="shared" si="40"/>
        <v>1.9607843137254943E-2</v>
      </c>
      <c r="AA100" s="35">
        <f t="shared" si="40"/>
        <v>1.9607843137254943E-2</v>
      </c>
    </row>
    <row r="101" spans="2:27" x14ac:dyDescent="0.2">
      <c r="B101" s="2">
        <v>99</v>
      </c>
      <c r="C101" s="2" t="str">
        <f t="shared" si="41"/>
        <v>s</v>
      </c>
      <c r="D101" s="29" t="s">
        <v>150</v>
      </c>
      <c r="E101" s="29" t="s">
        <v>209</v>
      </c>
      <c r="F101" s="2" t="s">
        <v>213</v>
      </c>
      <c r="G101" s="2">
        <f t="shared" si="36"/>
        <v>3</v>
      </c>
      <c r="H101" s="2" t="str">
        <f t="shared" si="26"/>
        <v>神圣</v>
      </c>
      <c r="I101" s="38">
        <f t="shared" si="29"/>
        <v>0.17909090909090911</v>
      </c>
      <c r="J101" s="33">
        <f t="shared" si="30"/>
        <v>34</v>
      </c>
      <c r="K101" s="33">
        <f t="shared" si="39"/>
        <v>28</v>
      </c>
      <c r="L101" s="33">
        <f t="shared" si="39"/>
        <v>7</v>
      </c>
      <c r="M101" s="33">
        <f t="shared" si="39"/>
        <v>16</v>
      </c>
      <c r="N101" s="33">
        <f t="shared" si="27"/>
        <v>57</v>
      </c>
      <c r="O101" s="33">
        <f t="shared" si="39"/>
        <v>32</v>
      </c>
      <c r="P101" s="33">
        <f t="shared" si="39"/>
        <v>12</v>
      </c>
      <c r="Q101" s="33">
        <f t="shared" si="39"/>
        <v>11</v>
      </c>
      <c r="R101" s="35">
        <f t="shared" si="31"/>
        <v>3.6666666666666667E-2</v>
      </c>
      <c r="S101" s="35">
        <f t="shared" si="32"/>
        <v>0.04</v>
      </c>
      <c r="T101" s="35">
        <f t="shared" si="33"/>
        <v>3.6666666666666667E-2</v>
      </c>
      <c r="U101" s="35">
        <f t="shared" si="28"/>
        <v>2.9126213592232997E-2</v>
      </c>
      <c r="V101" s="35">
        <f t="shared" si="40"/>
        <v>2.9126213592232997E-2</v>
      </c>
      <c r="W101" s="35">
        <f t="shared" si="40"/>
        <v>2.9126213592232997E-2</v>
      </c>
      <c r="X101" s="35">
        <f t="shared" si="40"/>
        <v>2.9126213592232997E-2</v>
      </c>
      <c r="Y101" s="35">
        <f t="shared" si="40"/>
        <v>0.14893617021276595</v>
      </c>
      <c r="Z101" s="35">
        <f t="shared" si="40"/>
        <v>2.9126213592232997E-2</v>
      </c>
      <c r="AA101" s="35">
        <f t="shared" si="40"/>
        <v>2.9126213592232997E-2</v>
      </c>
    </row>
    <row r="102" spans="2:27" x14ac:dyDescent="0.2">
      <c r="B102" s="2">
        <v>100</v>
      </c>
      <c r="C102" s="2" t="str">
        <f t="shared" si="41"/>
        <v>s</v>
      </c>
      <c r="D102" s="29" t="s">
        <v>31</v>
      </c>
      <c r="E102" s="29" t="s">
        <v>209</v>
      </c>
      <c r="F102" s="2" t="s">
        <v>213</v>
      </c>
      <c r="G102" s="2">
        <f t="shared" si="36"/>
        <v>4</v>
      </c>
      <c r="H102" s="2" t="str">
        <f t="shared" si="26"/>
        <v>神圣</v>
      </c>
      <c r="I102" s="38">
        <f t="shared" si="29"/>
        <v>0.2390909090909091</v>
      </c>
      <c r="J102" s="33">
        <f t="shared" si="30"/>
        <v>45</v>
      </c>
      <c r="K102" s="33">
        <f t="shared" si="39"/>
        <v>37</v>
      </c>
      <c r="L102" s="33">
        <f t="shared" si="39"/>
        <v>9</v>
      </c>
      <c r="M102" s="33">
        <f t="shared" si="39"/>
        <v>21</v>
      </c>
      <c r="N102" s="33">
        <f t="shared" si="27"/>
        <v>76</v>
      </c>
      <c r="O102" s="33">
        <f t="shared" si="39"/>
        <v>43</v>
      </c>
      <c r="P102" s="33">
        <f t="shared" si="39"/>
        <v>17</v>
      </c>
      <c r="Q102" s="33">
        <f t="shared" si="39"/>
        <v>15</v>
      </c>
      <c r="R102" s="35">
        <f t="shared" si="31"/>
        <v>0.05</v>
      </c>
      <c r="S102" s="35">
        <f t="shared" si="32"/>
        <v>5.6666666666666671E-2</v>
      </c>
      <c r="T102" s="35">
        <f t="shared" si="33"/>
        <v>0.05</v>
      </c>
      <c r="U102" s="35">
        <f t="shared" si="28"/>
        <v>3.8461538461538436E-2</v>
      </c>
      <c r="V102" s="35">
        <f t="shared" si="40"/>
        <v>3.8461538461538436E-2</v>
      </c>
      <c r="W102" s="35">
        <f t="shared" si="40"/>
        <v>3.8461538461538436E-2</v>
      </c>
      <c r="X102" s="35">
        <f t="shared" si="40"/>
        <v>3.8461538461538436E-2</v>
      </c>
      <c r="Y102" s="35">
        <f t="shared" si="40"/>
        <v>0.19028340080971662</v>
      </c>
      <c r="Z102" s="35">
        <f t="shared" si="40"/>
        <v>3.8461538461538436E-2</v>
      </c>
      <c r="AA102" s="35">
        <f t="shared" si="40"/>
        <v>3.8461538461538436E-2</v>
      </c>
    </row>
    <row r="103" spans="2:27" x14ac:dyDescent="0.2">
      <c r="B103" s="2">
        <v>101</v>
      </c>
      <c r="C103" s="2" t="str">
        <f t="shared" si="41"/>
        <v>s</v>
      </c>
      <c r="D103" s="29" t="s">
        <v>150</v>
      </c>
      <c r="E103" s="29" t="s">
        <v>209</v>
      </c>
      <c r="F103" s="2" t="s">
        <v>213</v>
      </c>
      <c r="G103" s="2">
        <f t="shared" si="36"/>
        <v>5</v>
      </c>
      <c r="H103" s="2" t="str">
        <f t="shared" si="26"/>
        <v>神圣</v>
      </c>
      <c r="I103" s="38">
        <f t="shared" si="29"/>
        <v>0.3009090909090909</v>
      </c>
      <c r="J103" s="33">
        <f t="shared" si="30"/>
        <v>57</v>
      </c>
      <c r="K103" s="33">
        <f t="shared" ref="K103:Q112" si="42">INT((1+VLOOKUP($F103,role_property_weight,getpos(K$2),FALSE))*(1+VLOOKUP($F103,weapon_property_weight,getpos(K$2),FALSE))*VLOOKUP($E103,role_grow,getpos(K$2),FALSE)*$G103*10*VLOOKUP($C103,weapon_grow1,5,FALSE))</f>
        <v>47</v>
      </c>
      <c r="L103" s="33">
        <f t="shared" si="42"/>
        <v>11</v>
      </c>
      <c r="M103" s="33">
        <f t="shared" si="42"/>
        <v>27</v>
      </c>
      <c r="N103" s="33">
        <f t="shared" si="27"/>
        <v>95</v>
      </c>
      <c r="O103" s="33">
        <f t="shared" si="42"/>
        <v>54</v>
      </c>
      <c r="P103" s="33">
        <f t="shared" si="42"/>
        <v>21</v>
      </c>
      <c r="Q103" s="33">
        <f t="shared" si="42"/>
        <v>19</v>
      </c>
      <c r="R103" s="35">
        <f t="shared" si="31"/>
        <v>6.3333333333333325E-2</v>
      </c>
      <c r="S103" s="35">
        <f t="shared" si="32"/>
        <v>7.0000000000000007E-2</v>
      </c>
      <c r="T103" s="35">
        <f t="shared" si="33"/>
        <v>6.3333333333333325E-2</v>
      </c>
      <c r="U103" s="35">
        <f t="shared" si="28"/>
        <v>4.7619047619047672E-2</v>
      </c>
      <c r="V103" s="35">
        <f t="shared" ref="V103:AA112" si="43">1-200/(200+ROUND((1+VLOOKUP($F103,role_property_weight,getpos(V$2),FALSE))*VLOOKUP($E103,role_grow,getpos(V$2),FALSE)*$G103*10*VLOOKUP($C103,weapon_grow1,5,FALSE),0))</f>
        <v>4.7619047619047672E-2</v>
      </c>
      <c r="W103" s="35">
        <f t="shared" si="43"/>
        <v>4.7619047619047672E-2</v>
      </c>
      <c r="X103" s="35">
        <f t="shared" si="43"/>
        <v>4.7619047619047672E-2</v>
      </c>
      <c r="Y103" s="35">
        <f t="shared" si="43"/>
        <v>0.22779922779922779</v>
      </c>
      <c r="Z103" s="35">
        <f t="shared" si="43"/>
        <v>4.7619047619047672E-2</v>
      </c>
      <c r="AA103" s="35">
        <f t="shared" si="43"/>
        <v>4.7619047619047672E-2</v>
      </c>
    </row>
    <row r="104" spans="2:27" x14ac:dyDescent="0.2">
      <c r="B104" s="2">
        <v>102</v>
      </c>
      <c r="C104" s="2" t="str">
        <f t="shared" si="41"/>
        <v>s</v>
      </c>
      <c r="D104" s="29" t="s">
        <v>31</v>
      </c>
      <c r="E104" s="29" t="s">
        <v>209</v>
      </c>
      <c r="F104" s="2" t="s">
        <v>213</v>
      </c>
      <c r="G104" s="2">
        <f t="shared" si="36"/>
        <v>6</v>
      </c>
      <c r="H104" s="2" t="str">
        <f t="shared" si="26"/>
        <v>神圣</v>
      </c>
      <c r="I104" s="38">
        <f t="shared" si="29"/>
        <v>0.36090909090909096</v>
      </c>
      <c r="J104" s="33">
        <f t="shared" si="30"/>
        <v>68</v>
      </c>
      <c r="K104" s="33">
        <f t="shared" si="42"/>
        <v>56</v>
      </c>
      <c r="L104" s="33">
        <f t="shared" si="42"/>
        <v>14</v>
      </c>
      <c r="M104" s="33">
        <f t="shared" si="42"/>
        <v>32</v>
      </c>
      <c r="N104" s="33">
        <f t="shared" si="27"/>
        <v>114</v>
      </c>
      <c r="O104" s="33">
        <f t="shared" si="42"/>
        <v>65</v>
      </c>
      <c r="P104" s="33">
        <f t="shared" si="42"/>
        <v>25</v>
      </c>
      <c r="Q104" s="33">
        <f t="shared" si="42"/>
        <v>23</v>
      </c>
      <c r="R104" s="35">
        <f t="shared" si="31"/>
        <v>7.6666666666666675E-2</v>
      </c>
      <c r="S104" s="35">
        <f t="shared" si="32"/>
        <v>8.3333333333333343E-2</v>
      </c>
      <c r="T104" s="35">
        <f t="shared" si="33"/>
        <v>7.6666666666666675E-2</v>
      </c>
      <c r="U104" s="35">
        <f t="shared" si="28"/>
        <v>5.6603773584905648E-2</v>
      </c>
      <c r="V104" s="35">
        <f t="shared" si="43"/>
        <v>5.6603773584905648E-2</v>
      </c>
      <c r="W104" s="35">
        <f t="shared" si="43"/>
        <v>5.6603773584905648E-2</v>
      </c>
      <c r="X104" s="35">
        <f t="shared" si="43"/>
        <v>5.6603773584905648E-2</v>
      </c>
      <c r="Y104" s="35">
        <f t="shared" si="43"/>
        <v>0.26199261992619927</v>
      </c>
      <c r="Z104" s="35">
        <f t="shared" si="43"/>
        <v>5.6603773584905648E-2</v>
      </c>
      <c r="AA104" s="35">
        <f t="shared" si="43"/>
        <v>5.6603773584905648E-2</v>
      </c>
    </row>
    <row r="105" spans="2:27" x14ac:dyDescent="0.2">
      <c r="B105" s="2">
        <v>103</v>
      </c>
      <c r="C105" s="2" t="str">
        <f t="shared" si="41"/>
        <v>s</v>
      </c>
      <c r="D105" s="29" t="s">
        <v>154</v>
      </c>
      <c r="E105" s="29" t="s">
        <v>209</v>
      </c>
      <c r="F105" s="2" t="s">
        <v>213</v>
      </c>
      <c r="G105" s="2">
        <f t="shared" si="36"/>
        <v>7</v>
      </c>
      <c r="H105" s="2" t="str">
        <f t="shared" si="26"/>
        <v>神圣</v>
      </c>
      <c r="I105" s="38">
        <f t="shared" si="29"/>
        <v>0.42181818181818181</v>
      </c>
      <c r="J105" s="33">
        <f t="shared" si="30"/>
        <v>79</v>
      </c>
      <c r="K105" s="33">
        <f t="shared" si="42"/>
        <v>65</v>
      </c>
      <c r="L105" s="33">
        <f t="shared" si="42"/>
        <v>16</v>
      </c>
      <c r="M105" s="33">
        <f t="shared" si="42"/>
        <v>38</v>
      </c>
      <c r="N105" s="33">
        <f t="shared" si="27"/>
        <v>133</v>
      </c>
      <c r="O105" s="33">
        <f t="shared" si="42"/>
        <v>76</v>
      </c>
      <c r="P105" s="33">
        <f t="shared" si="42"/>
        <v>30</v>
      </c>
      <c r="Q105" s="33">
        <f t="shared" si="42"/>
        <v>27</v>
      </c>
      <c r="R105" s="35">
        <f t="shared" si="31"/>
        <v>0.09</v>
      </c>
      <c r="S105" s="35">
        <f t="shared" si="32"/>
        <v>0.1</v>
      </c>
      <c r="T105" s="35">
        <f t="shared" si="33"/>
        <v>0.09</v>
      </c>
      <c r="U105" s="35">
        <f t="shared" si="28"/>
        <v>6.5420560747663559E-2</v>
      </c>
      <c r="V105" s="35">
        <f t="shared" si="43"/>
        <v>6.5420560747663559E-2</v>
      </c>
      <c r="W105" s="35">
        <f t="shared" si="43"/>
        <v>6.5420560747663559E-2</v>
      </c>
      <c r="X105" s="35">
        <f t="shared" si="43"/>
        <v>6.5420560747663559E-2</v>
      </c>
      <c r="Y105" s="35">
        <f t="shared" si="43"/>
        <v>0.29078014184397161</v>
      </c>
      <c r="Z105" s="35">
        <f t="shared" si="43"/>
        <v>6.5420560747663559E-2</v>
      </c>
      <c r="AA105" s="35">
        <f t="shared" si="43"/>
        <v>6.5420560747663559E-2</v>
      </c>
    </row>
    <row r="106" spans="2:27" x14ac:dyDescent="0.2">
      <c r="B106" s="2">
        <v>104</v>
      </c>
      <c r="C106" s="2" t="str">
        <f t="shared" si="41"/>
        <v>s</v>
      </c>
      <c r="D106" s="29" t="s">
        <v>31</v>
      </c>
      <c r="E106" s="29" t="s">
        <v>209</v>
      </c>
      <c r="F106" s="2" t="s">
        <v>213</v>
      </c>
      <c r="G106" s="2">
        <f t="shared" si="36"/>
        <v>8</v>
      </c>
      <c r="H106" s="2" t="str">
        <f t="shared" si="26"/>
        <v>神圣</v>
      </c>
      <c r="I106" s="38">
        <f t="shared" si="29"/>
        <v>0.48272727272727273</v>
      </c>
      <c r="J106" s="33">
        <f t="shared" si="30"/>
        <v>91</v>
      </c>
      <c r="K106" s="33">
        <f t="shared" si="42"/>
        <v>75</v>
      </c>
      <c r="L106" s="33">
        <f t="shared" si="42"/>
        <v>18</v>
      </c>
      <c r="M106" s="33">
        <f t="shared" si="42"/>
        <v>43</v>
      </c>
      <c r="N106" s="33">
        <f t="shared" si="27"/>
        <v>152</v>
      </c>
      <c r="O106" s="33">
        <f t="shared" si="42"/>
        <v>87</v>
      </c>
      <c r="P106" s="33">
        <f t="shared" si="42"/>
        <v>34</v>
      </c>
      <c r="Q106" s="33">
        <f t="shared" si="42"/>
        <v>31</v>
      </c>
      <c r="R106" s="35">
        <f t="shared" si="31"/>
        <v>0.10333333333333333</v>
      </c>
      <c r="S106" s="35">
        <f t="shared" si="32"/>
        <v>0.11333333333333334</v>
      </c>
      <c r="T106" s="35">
        <f t="shared" si="33"/>
        <v>0.10333333333333333</v>
      </c>
      <c r="U106" s="35">
        <f t="shared" si="28"/>
        <v>7.407407407407407E-2</v>
      </c>
      <c r="V106" s="35">
        <f t="shared" si="43"/>
        <v>7.407407407407407E-2</v>
      </c>
      <c r="W106" s="35">
        <f t="shared" si="43"/>
        <v>7.407407407407407E-2</v>
      </c>
      <c r="X106" s="35">
        <f t="shared" si="43"/>
        <v>7.407407407407407E-2</v>
      </c>
      <c r="Y106" s="35">
        <f t="shared" si="43"/>
        <v>0.31972789115646261</v>
      </c>
      <c r="Z106" s="35">
        <f t="shared" si="43"/>
        <v>7.407407407407407E-2</v>
      </c>
      <c r="AA106" s="35">
        <f t="shared" si="43"/>
        <v>7.407407407407407E-2</v>
      </c>
    </row>
    <row r="107" spans="2:27" x14ac:dyDescent="0.2">
      <c r="B107" s="2">
        <v>105</v>
      </c>
      <c r="C107" s="2" t="str">
        <f t="shared" si="41"/>
        <v>a</v>
      </c>
      <c r="D107" s="29" t="s">
        <v>150</v>
      </c>
      <c r="E107" s="29" t="s">
        <v>209</v>
      </c>
      <c r="F107" s="2" t="s">
        <v>213</v>
      </c>
      <c r="G107" s="2">
        <f t="shared" si="36"/>
        <v>1</v>
      </c>
      <c r="H107" s="2" t="str">
        <f t="shared" si="26"/>
        <v>神圣</v>
      </c>
      <c r="I107" s="38">
        <f t="shared" si="29"/>
        <v>0.1</v>
      </c>
      <c r="J107" s="33">
        <f t="shared" si="30"/>
        <v>8</v>
      </c>
      <c r="K107" s="33">
        <f t="shared" si="42"/>
        <v>9</v>
      </c>
      <c r="L107" s="33">
        <f t="shared" si="42"/>
        <v>2</v>
      </c>
      <c r="M107" s="33">
        <f t="shared" si="42"/>
        <v>5</v>
      </c>
      <c r="N107" s="33">
        <f t="shared" si="27"/>
        <v>21</v>
      </c>
      <c r="O107" s="33">
        <f t="shared" si="42"/>
        <v>11</v>
      </c>
      <c r="P107" s="33">
        <f t="shared" si="42"/>
        <v>4</v>
      </c>
      <c r="Q107" s="33">
        <f t="shared" si="42"/>
        <v>4</v>
      </c>
      <c r="R107" s="35">
        <f t="shared" si="31"/>
        <v>1.3333333333333332E-2</v>
      </c>
      <c r="S107" s="35">
        <f t="shared" si="32"/>
        <v>1.3333333333333332E-2</v>
      </c>
      <c r="T107" s="35">
        <f t="shared" si="33"/>
        <v>1.3333333333333332E-2</v>
      </c>
      <c r="U107" s="35">
        <f t="shared" si="28"/>
        <v>9.9009900990099098E-3</v>
      </c>
      <c r="V107" s="35">
        <f t="shared" si="43"/>
        <v>9.9009900990099098E-3</v>
      </c>
      <c r="W107" s="35">
        <f t="shared" si="43"/>
        <v>9.9009900990099098E-3</v>
      </c>
      <c r="X107" s="35">
        <f t="shared" si="43"/>
        <v>9.9009900990099098E-3</v>
      </c>
      <c r="Y107" s="35">
        <f t="shared" si="43"/>
        <v>5.6603773584905648E-2</v>
      </c>
      <c r="Z107" s="35">
        <f t="shared" si="43"/>
        <v>9.9009900990099098E-3</v>
      </c>
      <c r="AA107" s="35">
        <f t="shared" si="43"/>
        <v>9.9009900990099098E-3</v>
      </c>
    </row>
    <row r="108" spans="2:27" x14ac:dyDescent="0.2">
      <c r="B108" s="2">
        <v>106</v>
      </c>
      <c r="C108" s="2" t="str">
        <f t="shared" si="41"/>
        <v>a</v>
      </c>
      <c r="D108" s="29" t="s">
        <v>31</v>
      </c>
      <c r="E108" s="29" t="s">
        <v>209</v>
      </c>
      <c r="F108" s="2" t="s">
        <v>213</v>
      </c>
      <c r="G108" s="2">
        <f t="shared" si="36"/>
        <v>2</v>
      </c>
      <c r="H108" s="2" t="str">
        <f t="shared" si="26"/>
        <v>神圣</v>
      </c>
      <c r="I108" s="38">
        <f t="shared" si="29"/>
        <v>0.12</v>
      </c>
      <c r="J108" s="33">
        <f t="shared" si="30"/>
        <v>17</v>
      </c>
      <c r="K108" s="33">
        <f t="shared" si="42"/>
        <v>19</v>
      </c>
      <c r="L108" s="33">
        <f t="shared" si="42"/>
        <v>4</v>
      </c>
      <c r="M108" s="33">
        <f t="shared" si="42"/>
        <v>11</v>
      </c>
      <c r="N108" s="33">
        <f t="shared" si="27"/>
        <v>41</v>
      </c>
      <c r="O108" s="33">
        <f t="shared" si="42"/>
        <v>23</v>
      </c>
      <c r="P108" s="33">
        <f t="shared" si="42"/>
        <v>9</v>
      </c>
      <c r="Q108" s="33">
        <f t="shared" si="42"/>
        <v>8</v>
      </c>
      <c r="R108" s="35">
        <f t="shared" si="31"/>
        <v>2.6666666666666665E-2</v>
      </c>
      <c r="S108" s="35">
        <f t="shared" si="32"/>
        <v>0.03</v>
      </c>
      <c r="T108" s="35">
        <f t="shared" si="33"/>
        <v>2.6666666666666665E-2</v>
      </c>
      <c r="U108" s="35">
        <f t="shared" si="28"/>
        <v>1.9607843137254943E-2</v>
      </c>
      <c r="V108" s="35">
        <f t="shared" si="43"/>
        <v>1.9607843137254943E-2</v>
      </c>
      <c r="W108" s="35">
        <f t="shared" si="43"/>
        <v>1.9607843137254943E-2</v>
      </c>
      <c r="X108" s="35">
        <f t="shared" si="43"/>
        <v>1.9607843137254943E-2</v>
      </c>
      <c r="Y108" s="35">
        <f t="shared" si="43"/>
        <v>0.11111111111111116</v>
      </c>
      <c r="Z108" s="35">
        <f t="shared" si="43"/>
        <v>1.9607843137254943E-2</v>
      </c>
      <c r="AA108" s="35">
        <f t="shared" si="43"/>
        <v>1.9607843137254943E-2</v>
      </c>
    </row>
    <row r="109" spans="2:27" x14ac:dyDescent="0.2">
      <c r="B109" s="2">
        <v>107</v>
      </c>
      <c r="C109" s="2" t="str">
        <f t="shared" si="41"/>
        <v>a</v>
      </c>
      <c r="D109" s="29" t="s">
        <v>31</v>
      </c>
      <c r="E109" s="29" t="s">
        <v>209</v>
      </c>
      <c r="F109" s="2" t="s">
        <v>213</v>
      </c>
      <c r="G109" s="2">
        <f t="shared" si="36"/>
        <v>3</v>
      </c>
      <c r="H109" s="2" t="str">
        <f t="shared" si="26"/>
        <v>神圣</v>
      </c>
      <c r="I109" s="38">
        <f t="shared" si="29"/>
        <v>0.18090909090909091</v>
      </c>
      <c r="J109" s="33">
        <f t="shared" si="30"/>
        <v>26</v>
      </c>
      <c r="K109" s="33">
        <f t="shared" si="42"/>
        <v>29</v>
      </c>
      <c r="L109" s="33">
        <f t="shared" si="42"/>
        <v>7</v>
      </c>
      <c r="M109" s="33">
        <f t="shared" si="42"/>
        <v>17</v>
      </c>
      <c r="N109" s="33">
        <f t="shared" si="27"/>
        <v>61</v>
      </c>
      <c r="O109" s="33">
        <f t="shared" si="42"/>
        <v>34</v>
      </c>
      <c r="P109" s="33">
        <f t="shared" si="42"/>
        <v>13</v>
      </c>
      <c r="Q109" s="33">
        <f t="shared" si="42"/>
        <v>12</v>
      </c>
      <c r="R109" s="35">
        <f t="shared" si="31"/>
        <v>0.04</v>
      </c>
      <c r="S109" s="35">
        <f t="shared" si="32"/>
        <v>4.3333333333333328E-2</v>
      </c>
      <c r="T109" s="35">
        <f t="shared" si="33"/>
        <v>0.04</v>
      </c>
      <c r="U109" s="35">
        <f t="shared" si="28"/>
        <v>2.9126213592232997E-2</v>
      </c>
      <c r="V109" s="35">
        <f t="shared" si="43"/>
        <v>2.9126213592232997E-2</v>
      </c>
      <c r="W109" s="35">
        <f t="shared" si="43"/>
        <v>2.9126213592232997E-2</v>
      </c>
      <c r="X109" s="35">
        <f t="shared" si="43"/>
        <v>2.9126213592232997E-2</v>
      </c>
      <c r="Y109" s="35">
        <f t="shared" si="43"/>
        <v>0.15611814345991559</v>
      </c>
      <c r="Z109" s="35">
        <f t="shared" si="43"/>
        <v>2.9126213592232997E-2</v>
      </c>
      <c r="AA109" s="35">
        <f t="shared" si="43"/>
        <v>2.9126213592232997E-2</v>
      </c>
    </row>
    <row r="110" spans="2:27" x14ac:dyDescent="0.2">
      <c r="B110" s="2">
        <v>108</v>
      </c>
      <c r="C110" s="2" t="str">
        <f t="shared" si="41"/>
        <v>a</v>
      </c>
      <c r="D110" s="29" t="s">
        <v>161</v>
      </c>
      <c r="E110" s="29" t="s">
        <v>209</v>
      </c>
      <c r="F110" s="2" t="s">
        <v>213</v>
      </c>
      <c r="G110" s="2">
        <f t="shared" si="36"/>
        <v>4</v>
      </c>
      <c r="H110" s="2" t="str">
        <f t="shared" si="26"/>
        <v>神圣</v>
      </c>
      <c r="I110" s="38">
        <f t="shared" si="29"/>
        <v>0.24181818181818182</v>
      </c>
      <c r="J110" s="33">
        <f t="shared" si="30"/>
        <v>34</v>
      </c>
      <c r="K110" s="33">
        <f t="shared" si="42"/>
        <v>39</v>
      </c>
      <c r="L110" s="33">
        <f t="shared" si="42"/>
        <v>9</v>
      </c>
      <c r="M110" s="33">
        <f t="shared" si="42"/>
        <v>23</v>
      </c>
      <c r="N110" s="33">
        <f t="shared" si="27"/>
        <v>81</v>
      </c>
      <c r="O110" s="33">
        <f t="shared" si="42"/>
        <v>46</v>
      </c>
      <c r="P110" s="33">
        <f t="shared" si="42"/>
        <v>18</v>
      </c>
      <c r="Q110" s="33">
        <f t="shared" si="42"/>
        <v>16</v>
      </c>
      <c r="R110" s="35">
        <f t="shared" si="31"/>
        <v>5.333333333333333E-2</v>
      </c>
      <c r="S110" s="35">
        <f t="shared" si="32"/>
        <v>0.06</v>
      </c>
      <c r="T110" s="35">
        <f t="shared" si="33"/>
        <v>5.333333333333333E-2</v>
      </c>
      <c r="U110" s="35">
        <f t="shared" si="28"/>
        <v>3.8461538461538436E-2</v>
      </c>
      <c r="V110" s="35">
        <f t="shared" si="43"/>
        <v>3.8461538461538436E-2</v>
      </c>
      <c r="W110" s="35">
        <f t="shared" si="43"/>
        <v>3.8461538461538436E-2</v>
      </c>
      <c r="X110" s="35">
        <f t="shared" si="43"/>
        <v>3.8461538461538436E-2</v>
      </c>
      <c r="Y110" s="35">
        <f t="shared" si="43"/>
        <v>0.19999999999999996</v>
      </c>
      <c r="Z110" s="35">
        <f t="shared" si="43"/>
        <v>3.8461538461538436E-2</v>
      </c>
      <c r="AA110" s="35">
        <f t="shared" si="43"/>
        <v>3.8461538461538436E-2</v>
      </c>
    </row>
    <row r="111" spans="2:27" x14ac:dyDescent="0.2">
      <c r="B111" s="2">
        <v>109</v>
      </c>
      <c r="C111" s="2" t="str">
        <f t="shared" si="41"/>
        <v>a</v>
      </c>
      <c r="D111" s="29" t="s">
        <v>150</v>
      </c>
      <c r="E111" s="29" t="s">
        <v>209</v>
      </c>
      <c r="F111" s="2" t="s">
        <v>213</v>
      </c>
      <c r="G111" s="2">
        <f t="shared" si="36"/>
        <v>5</v>
      </c>
      <c r="H111" s="2" t="str">
        <f t="shared" si="26"/>
        <v>神圣</v>
      </c>
      <c r="I111" s="38">
        <f t="shared" si="29"/>
        <v>0.30181818181818182</v>
      </c>
      <c r="J111" s="33">
        <f t="shared" si="30"/>
        <v>43</v>
      </c>
      <c r="K111" s="33">
        <f t="shared" si="42"/>
        <v>49</v>
      </c>
      <c r="L111" s="33">
        <f t="shared" si="42"/>
        <v>12</v>
      </c>
      <c r="M111" s="33">
        <f t="shared" si="42"/>
        <v>28</v>
      </c>
      <c r="N111" s="33">
        <f t="shared" si="27"/>
        <v>101</v>
      </c>
      <c r="O111" s="33">
        <f t="shared" si="42"/>
        <v>57</v>
      </c>
      <c r="P111" s="33">
        <f t="shared" si="42"/>
        <v>22</v>
      </c>
      <c r="Q111" s="33">
        <f t="shared" si="42"/>
        <v>20</v>
      </c>
      <c r="R111" s="35">
        <f t="shared" si="31"/>
        <v>6.6666666666666666E-2</v>
      </c>
      <c r="S111" s="35">
        <f t="shared" si="32"/>
        <v>7.3333333333333334E-2</v>
      </c>
      <c r="T111" s="35">
        <f t="shared" si="33"/>
        <v>6.6666666666666666E-2</v>
      </c>
      <c r="U111" s="35">
        <f t="shared" si="28"/>
        <v>4.7619047619047672E-2</v>
      </c>
      <c r="V111" s="35">
        <f t="shared" si="43"/>
        <v>4.7619047619047672E-2</v>
      </c>
      <c r="W111" s="35">
        <f t="shared" si="43"/>
        <v>4.7619047619047672E-2</v>
      </c>
      <c r="X111" s="35">
        <f t="shared" si="43"/>
        <v>4.7619047619047672E-2</v>
      </c>
      <c r="Y111" s="35">
        <f t="shared" si="43"/>
        <v>0.23664122137404575</v>
      </c>
      <c r="Z111" s="35">
        <f t="shared" si="43"/>
        <v>4.7619047619047672E-2</v>
      </c>
      <c r="AA111" s="35">
        <f t="shared" si="43"/>
        <v>4.7619047619047672E-2</v>
      </c>
    </row>
    <row r="112" spans="2:27" x14ac:dyDescent="0.2">
      <c r="B112" s="2">
        <v>110</v>
      </c>
      <c r="C112" s="2" t="str">
        <f t="shared" si="41"/>
        <v>a</v>
      </c>
      <c r="D112" s="29" t="s">
        <v>162</v>
      </c>
      <c r="E112" s="29" t="s">
        <v>209</v>
      </c>
      <c r="F112" s="2" t="s">
        <v>213</v>
      </c>
      <c r="G112" s="2">
        <f t="shared" si="36"/>
        <v>6</v>
      </c>
      <c r="H112" s="2" t="str">
        <f t="shared" si="26"/>
        <v>神圣</v>
      </c>
      <c r="I112" s="38">
        <f t="shared" si="29"/>
        <v>0.36363636363636365</v>
      </c>
      <c r="J112" s="33">
        <f t="shared" si="30"/>
        <v>52</v>
      </c>
      <c r="K112" s="33">
        <f t="shared" si="42"/>
        <v>59</v>
      </c>
      <c r="L112" s="33">
        <f t="shared" si="42"/>
        <v>14</v>
      </c>
      <c r="M112" s="33">
        <f t="shared" si="42"/>
        <v>34</v>
      </c>
      <c r="N112" s="33">
        <f t="shared" si="27"/>
        <v>121</v>
      </c>
      <c r="O112" s="33">
        <f t="shared" si="42"/>
        <v>69</v>
      </c>
      <c r="P112" s="33">
        <f t="shared" si="42"/>
        <v>27</v>
      </c>
      <c r="Q112" s="33">
        <f t="shared" si="42"/>
        <v>24</v>
      </c>
      <c r="R112" s="35">
        <f t="shared" si="31"/>
        <v>0.08</v>
      </c>
      <c r="S112" s="35">
        <f t="shared" si="32"/>
        <v>0.09</v>
      </c>
      <c r="T112" s="35">
        <f t="shared" si="33"/>
        <v>0.08</v>
      </c>
      <c r="U112" s="35">
        <f t="shared" si="28"/>
        <v>5.6603773584905648E-2</v>
      </c>
      <c r="V112" s="35">
        <f t="shared" si="43"/>
        <v>5.6603773584905648E-2</v>
      </c>
      <c r="W112" s="35">
        <f t="shared" si="43"/>
        <v>5.6603773584905648E-2</v>
      </c>
      <c r="X112" s="35">
        <f t="shared" si="43"/>
        <v>5.6603773584905648E-2</v>
      </c>
      <c r="Y112" s="35">
        <f t="shared" si="43"/>
        <v>0.27007299270072993</v>
      </c>
      <c r="Z112" s="35">
        <f t="shared" si="43"/>
        <v>5.6603773584905648E-2</v>
      </c>
      <c r="AA112" s="35">
        <f t="shared" si="43"/>
        <v>5.6603773584905648E-2</v>
      </c>
    </row>
    <row r="113" spans="2:27" x14ac:dyDescent="0.2">
      <c r="B113" s="2">
        <v>111</v>
      </c>
      <c r="C113" s="2" t="str">
        <f t="shared" si="41"/>
        <v>a</v>
      </c>
      <c r="D113" s="29" t="s">
        <v>162</v>
      </c>
      <c r="E113" s="29" t="s">
        <v>209</v>
      </c>
      <c r="F113" s="2" t="s">
        <v>213</v>
      </c>
      <c r="G113" s="2">
        <f t="shared" si="36"/>
        <v>7</v>
      </c>
      <c r="H113" s="2" t="str">
        <f t="shared" si="26"/>
        <v>神圣</v>
      </c>
      <c r="I113" s="38">
        <f t="shared" si="29"/>
        <v>0.42545454545454547</v>
      </c>
      <c r="J113" s="33">
        <f t="shared" si="30"/>
        <v>61</v>
      </c>
      <c r="K113" s="33">
        <f t="shared" ref="K113:Q122" si="44">INT((1+VLOOKUP($F113,role_property_weight,getpos(K$2),FALSE))*(1+VLOOKUP($F113,weapon_property_weight,getpos(K$2),FALSE))*VLOOKUP($E113,role_grow,getpos(K$2),FALSE)*$G113*10*VLOOKUP($C113,weapon_grow1,5,FALSE))</f>
        <v>69</v>
      </c>
      <c r="L113" s="33">
        <f t="shared" si="44"/>
        <v>17</v>
      </c>
      <c r="M113" s="33">
        <f t="shared" si="44"/>
        <v>40</v>
      </c>
      <c r="N113" s="33">
        <f t="shared" si="27"/>
        <v>141</v>
      </c>
      <c r="O113" s="33">
        <f t="shared" si="44"/>
        <v>81</v>
      </c>
      <c r="P113" s="33">
        <f t="shared" si="44"/>
        <v>31</v>
      </c>
      <c r="Q113" s="33">
        <f t="shared" si="44"/>
        <v>28</v>
      </c>
      <c r="R113" s="35">
        <f t="shared" si="31"/>
        <v>9.3333333333333338E-2</v>
      </c>
      <c r="S113" s="35">
        <f t="shared" si="32"/>
        <v>0.10333333333333333</v>
      </c>
      <c r="T113" s="35">
        <f t="shared" si="33"/>
        <v>9.3333333333333338E-2</v>
      </c>
      <c r="U113" s="35">
        <f t="shared" si="28"/>
        <v>6.5420560747663559E-2</v>
      </c>
      <c r="V113" s="35">
        <f t="shared" ref="V113:AA122" si="45">1-200/(200+ROUND((1+VLOOKUP($F113,role_property_weight,getpos(V$2),FALSE))*VLOOKUP($E113,role_grow,getpos(V$2),FALSE)*$G113*10*VLOOKUP($C113,weapon_grow1,5,FALSE),0))</f>
        <v>6.5420560747663559E-2</v>
      </c>
      <c r="W113" s="35">
        <f t="shared" si="45"/>
        <v>6.5420560747663559E-2</v>
      </c>
      <c r="X113" s="35">
        <f t="shared" si="45"/>
        <v>6.5420560747663559E-2</v>
      </c>
      <c r="Y113" s="35">
        <f t="shared" si="45"/>
        <v>0.30313588850174211</v>
      </c>
      <c r="Z113" s="35">
        <f t="shared" si="45"/>
        <v>6.5420560747663559E-2</v>
      </c>
      <c r="AA113" s="35">
        <f t="shared" si="45"/>
        <v>6.5420560747663559E-2</v>
      </c>
    </row>
    <row r="114" spans="2:27" x14ac:dyDescent="0.2">
      <c r="B114" s="2">
        <v>112</v>
      </c>
      <c r="C114" s="2" t="str">
        <f t="shared" si="41"/>
        <v>a</v>
      </c>
      <c r="D114" s="29" t="s">
        <v>162</v>
      </c>
      <c r="E114" s="29" t="s">
        <v>209</v>
      </c>
      <c r="F114" s="2" t="s">
        <v>213</v>
      </c>
      <c r="G114" s="2">
        <f t="shared" si="36"/>
        <v>8</v>
      </c>
      <c r="H114" s="2" t="str">
        <f t="shared" si="26"/>
        <v>神圣</v>
      </c>
      <c r="I114" s="38">
        <f t="shared" si="29"/>
        <v>0.48636363636363633</v>
      </c>
      <c r="J114" s="33">
        <f t="shared" si="30"/>
        <v>69</v>
      </c>
      <c r="K114" s="33">
        <f t="shared" si="44"/>
        <v>79</v>
      </c>
      <c r="L114" s="33">
        <f t="shared" si="44"/>
        <v>19</v>
      </c>
      <c r="M114" s="33">
        <f t="shared" si="44"/>
        <v>46</v>
      </c>
      <c r="N114" s="33">
        <f t="shared" si="27"/>
        <v>161</v>
      </c>
      <c r="O114" s="33">
        <f t="shared" si="44"/>
        <v>92</v>
      </c>
      <c r="P114" s="33">
        <f t="shared" si="44"/>
        <v>36</v>
      </c>
      <c r="Q114" s="33">
        <f t="shared" si="44"/>
        <v>33</v>
      </c>
      <c r="R114" s="35">
        <f t="shared" si="31"/>
        <v>0.11</v>
      </c>
      <c r="S114" s="35">
        <f t="shared" si="32"/>
        <v>0.12</v>
      </c>
      <c r="T114" s="35">
        <f t="shared" si="33"/>
        <v>0.11</v>
      </c>
      <c r="U114" s="35">
        <f t="shared" si="28"/>
        <v>7.8341013824884786E-2</v>
      </c>
      <c r="V114" s="35">
        <f t="shared" si="45"/>
        <v>7.8341013824884786E-2</v>
      </c>
      <c r="W114" s="35">
        <f t="shared" si="45"/>
        <v>7.8341013824884786E-2</v>
      </c>
      <c r="X114" s="35">
        <f t="shared" si="45"/>
        <v>7.8341013824884786E-2</v>
      </c>
      <c r="Y114" s="35">
        <f t="shared" si="45"/>
        <v>0.33110367892976589</v>
      </c>
      <c r="Z114" s="35">
        <f t="shared" si="45"/>
        <v>7.8341013824884786E-2</v>
      </c>
      <c r="AA114" s="35">
        <f t="shared" si="45"/>
        <v>7.8341013824884786E-2</v>
      </c>
    </row>
    <row r="115" spans="2:27" x14ac:dyDescent="0.2">
      <c r="B115" s="2">
        <v>113</v>
      </c>
      <c r="C115" s="2" t="str">
        <f t="shared" si="41"/>
        <v>b</v>
      </c>
      <c r="D115" s="29" t="s">
        <v>162</v>
      </c>
      <c r="E115" s="29" t="s">
        <v>209</v>
      </c>
      <c r="F115" s="2" t="s">
        <v>213</v>
      </c>
      <c r="G115" s="2">
        <f t="shared" si="36"/>
        <v>1</v>
      </c>
      <c r="H115" s="2" t="str">
        <f t="shared" si="26"/>
        <v>神圣</v>
      </c>
      <c r="I115" s="38">
        <f t="shared" si="29"/>
        <v>0.1</v>
      </c>
      <c r="J115" s="33">
        <f t="shared" si="30"/>
        <v>9</v>
      </c>
      <c r="K115" s="33">
        <f t="shared" si="44"/>
        <v>12</v>
      </c>
      <c r="L115" s="33">
        <f t="shared" si="44"/>
        <v>3</v>
      </c>
      <c r="M115" s="33">
        <f t="shared" si="44"/>
        <v>7</v>
      </c>
      <c r="N115" s="33">
        <f t="shared" si="27"/>
        <v>26</v>
      </c>
      <c r="O115" s="33">
        <f t="shared" si="44"/>
        <v>14</v>
      </c>
      <c r="P115" s="33">
        <f t="shared" si="44"/>
        <v>5</v>
      </c>
      <c r="Q115" s="33">
        <f t="shared" si="44"/>
        <v>5</v>
      </c>
      <c r="R115" s="35">
        <f t="shared" si="31"/>
        <v>1.6666666666666666E-2</v>
      </c>
      <c r="S115" s="35">
        <f t="shared" si="32"/>
        <v>1.6666666666666666E-2</v>
      </c>
      <c r="T115" s="35">
        <f t="shared" si="33"/>
        <v>1.6666666666666666E-2</v>
      </c>
      <c r="U115" s="35">
        <f t="shared" si="28"/>
        <v>1.4778325123152691E-2</v>
      </c>
      <c r="V115" s="35">
        <f t="shared" si="45"/>
        <v>1.4778325123152691E-2</v>
      </c>
      <c r="W115" s="35">
        <f t="shared" si="45"/>
        <v>1.4778325123152691E-2</v>
      </c>
      <c r="X115" s="35">
        <f t="shared" si="45"/>
        <v>1.4778325123152691E-2</v>
      </c>
      <c r="Y115" s="35">
        <f t="shared" si="45"/>
        <v>7.407407407407407E-2</v>
      </c>
      <c r="Z115" s="35">
        <f t="shared" si="45"/>
        <v>1.4778325123152691E-2</v>
      </c>
      <c r="AA115" s="35">
        <f t="shared" si="45"/>
        <v>1.4778325123152691E-2</v>
      </c>
    </row>
    <row r="116" spans="2:27" x14ac:dyDescent="0.2">
      <c r="B116" s="2">
        <v>114</v>
      </c>
      <c r="C116" s="2" t="str">
        <f t="shared" si="41"/>
        <v>b</v>
      </c>
      <c r="D116" s="29" t="s">
        <v>162</v>
      </c>
      <c r="E116" s="29" t="s">
        <v>209</v>
      </c>
      <c r="F116" s="2" t="s">
        <v>213</v>
      </c>
      <c r="G116" s="2">
        <f t="shared" si="36"/>
        <v>2</v>
      </c>
      <c r="H116" s="2" t="str">
        <f t="shared" si="26"/>
        <v>神圣</v>
      </c>
      <c r="I116" s="38">
        <f t="shared" si="29"/>
        <v>0.14818181818181819</v>
      </c>
      <c r="J116" s="33">
        <f t="shared" si="30"/>
        <v>18</v>
      </c>
      <c r="K116" s="33">
        <f t="shared" si="44"/>
        <v>24</v>
      </c>
      <c r="L116" s="33">
        <f t="shared" si="44"/>
        <v>6</v>
      </c>
      <c r="M116" s="33">
        <f t="shared" si="44"/>
        <v>14</v>
      </c>
      <c r="N116" s="33">
        <f t="shared" si="27"/>
        <v>51</v>
      </c>
      <c r="O116" s="33">
        <f t="shared" si="44"/>
        <v>29</v>
      </c>
      <c r="P116" s="33">
        <f t="shared" si="44"/>
        <v>11</v>
      </c>
      <c r="Q116" s="33">
        <f t="shared" si="44"/>
        <v>10</v>
      </c>
      <c r="R116" s="35">
        <f t="shared" si="31"/>
        <v>3.3333333333333333E-2</v>
      </c>
      <c r="S116" s="35">
        <f t="shared" si="32"/>
        <v>3.6666666666666667E-2</v>
      </c>
      <c r="T116" s="35">
        <f t="shared" si="33"/>
        <v>3.3333333333333333E-2</v>
      </c>
      <c r="U116" s="35">
        <f t="shared" si="28"/>
        <v>2.4390243902439046E-2</v>
      </c>
      <c r="V116" s="35">
        <f t="shared" si="45"/>
        <v>2.4390243902439046E-2</v>
      </c>
      <c r="W116" s="35">
        <f t="shared" si="45"/>
        <v>2.4390243902439046E-2</v>
      </c>
      <c r="X116" s="35">
        <f t="shared" si="45"/>
        <v>2.4390243902439046E-2</v>
      </c>
      <c r="Y116" s="35">
        <f t="shared" si="45"/>
        <v>0.13419913419913421</v>
      </c>
      <c r="Z116" s="35">
        <f t="shared" si="45"/>
        <v>2.4390243902439046E-2</v>
      </c>
      <c r="AA116" s="35">
        <f t="shared" si="45"/>
        <v>2.4390243902439046E-2</v>
      </c>
    </row>
    <row r="117" spans="2:27" x14ac:dyDescent="0.2">
      <c r="B117" s="2">
        <v>115</v>
      </c>
      <c r="C117" s="2" t="str">
        <f t="shared" si="41"/>
        <v>b</v>
      </c>
      <c r="D117" s="29" t="s">
        <v>10</v>
      </c>
      <c r="E117" s="29" t="s">
        <v>209</v>
      </c>
      <c r="F117" s="2" t="s">
        <v>213</v>
      </c>
      <c r="G117" s="2">
        <f t="shared" si="36"/>
        <v>3</v>
      </c>
      <c r="H117" s="2" t="str">
        <f t="shared" si="26"/>
        <v>神圣</v>
      </c>
      <c r="I117" s="38">
        <f t="shared" si="29"/>
        <v>0.22363636363636363</v>
      </c>
      <c r="J117" s="33">
        <f t="shared" si="30"/>
        <v>28</v>
      </c>
      <c r="K117" s="33">
        <f t="shared" si="44"/>
        <v>37</v>
      </c>
      <c r="L117" s="33">
        <f t="shared" si="44"/>
        <v>9</v>
      </c>
      <c r="M117" s="33">
        <f t="shared" si="44"/>
        <v>21</v>
      </c>
      <c r="N117" s="33">
        <f t="shared" si="27"/>
        <v>76</v>
      </c>
      <c r="O117" s="33">
        <f t="shared" si="44"/>
        <v>43</v>
      </c>
      <c r="P117" s="33">
        <f t="shared" si="44"/>
        <v>17</v>
      </c>
      <c r="Q117" s="33">
        <f t="shared" si="44"/>
        <v>15</v>
      </c>
      <c r="R117" s="35">
        <f t="shared" si="31"/>
        <v>0.05</v>
      </c>
      <c r="S117" s="35">
        <f t="shared" si="32"/>
        <v>5.6666666666666671E-2</v>
      </c>
      <c r="T117" s="35">
        <f t="shared" si="33"/>
        <v>0.05</v>
      </c>
      <c r="U117" s="35">
        <f t="shared" si="28"/>
        <v>3.8461538461538436E-2</v>
      </c>
      <c r="V117" s="35">
        <f t="shared" si="45"/>
        <v>3.8461538461538436E-2</v>
      </c>
      <c r="W117" s="35">
        <f t="shared" si="45"/>
        <v>3.8461538461538436E-2</v>
      </c>
      <c r="X117" s="35">
        <f t="shared" si="45"/>
        <v>3.8461538461538436E-2</v>
      </c>
      <c r="Y117" s="35">
        <f t="shared" si="45"/>
        <v>0.19028340080971662</v>
      </c>
      <c r="Z117" s="35">
        <f t="shared" si="45"/>
        <v>3.8461538461538436E-2</v>
      </c>
      <c r="AA117" s="35">
        <f t="shared" si="45"/>
        <v>3.8461538461538436E-2</v>
      </c>
    </row>
    <row r="118" spans="2:27" x14ac:dyDescent="0.2">
      <c r="B118" s="2">
        <v>116</v>
      </c>
      <c r="C118" s="2" t="str">
        <f t="shared" si="41"/>
        <v>b</v>
      </c>
      <c r="D118" s="29" t="s">
        <v>162</v>
      </c>
      <c r="E118" s="29" t="s">
        <v>209</v>
      </c>
      <c r="F118" s="2" t="s">
        <v>213</v>
      </c>
      <c r="G118" s="2">
        <f t="shared" si="36"/>
        <v>4</v>
      </c>
      <c r="H118" s="2" t="str">
        <f t="shared" si="26"/>
        <v>神圣</v>
      </c>
      <c r="I118" s="38">
        <f t="shared" si="29"/>
        <v>0.29818181818181816</v>
      </c>
      <c r="J118" s="33">
        <f t="shared" si="30"/>
        <v>37</v>
      </c>
      <c r="K118" s="33">
        <f t="shared" si="44"/>
        <v>49</v>
      </c>
      <c r="L118" s="33">
        <f t="shared" si="44"/>
        <v>12</v>
      </c>
      <c r="M118" s="33">
        <f t="shared" si="44"/>
        <v>29</v>
      </c>
      <c r="N118" s="33">
        <f t="shared" si="27"/>
        <v>101</v>
      </c>
      <c r="O118" s="33">
        <f t="shared" si="44"/>
        <v>58</v>
      </c>
      <c r="P118" s="33">
        <f t="shared" si="44"/>
        <v>22</v>
      </c>
      <c r="Q118" s="33">
        <f t="shared" si="44"/>
        <v>20</v>
      </c>
      <c r="R118" s="35">
        <f t="shared" si="31"/>
        <v>6.6666666666666666E-2</v>
      </c>
      <c r="S118" s="35">
        <f t="shared" si="32"/>
        <v>7.3333333333333334E-2</v>
      </c>
      <c r="T118" s="35">
        <f t="shared" si="33"/>
        <v>6.6666666666666666E-2</v>
      </c>
      <c r="U118" s="35">
        <f t="shared" si="28"/>
        <v>4.7619047619047672E-2</v>
      </c>
      <c r="V118" s="35">
        <f t="shared" si="45"/>
        <v>4.7619047619047672E-2</v>
      </c>
      <c r="W118" s="35">
        <f t="shared" si="45"/>
        <v>4.7619047619047672E-2</v>
      </c>
      <c r="X118" s="35">
        <f t="shared" si="45"/>
        <v>4.7619047619047672E-2</v>
      </c>
      <c r="Y118" s="35">
        <f t="shared" si="45"/>
        <v>0.23664122137404575</v>
      </c>
      <c r="Z118" s="35">
        <f t="shared" si="45"/>
        <v>4.7619047619047672E-2</v>
      </c>
      <c r="AA118" s="35">
        <f t="shared" si="45"/>
        <v>4.7619047619047672E-2</v>
      </c>
    </row>
    <row r="119" spans="2:27" x14ac:dyDescent="0.2">
      <c r="B119" s="2">
        <v>117</v>
      </c>
      <c r="C119" s="2" t="str">
        <f t="shared" si="41"/>
        <v>b</v>
      </c>
      <c r="D119" s="29" t="s">
        <v>162</v>
      </c>
      <c r="E119" s="29" t="s">
        <v>209</v>
      </c>
      <c r="F119" s="2" t="s">
        <v>213</v>
      </c>
      <c r="G119" s="2">
        <f t="shared" si="36"/>
        <v>5</v>
      </c>
      <c r="H119" s="2" t="str">
        <f t="shared" si="26"/>
        <v>神圣</v>
      </c>
      <c r="I119" s="38">
        <f t="shared" si="29"/>
        <v>0.37454545454545451</v>
      </c>
      <c r="J119" s="33">
        <f t="shared" si="30"/>
        <v>47</v>
      </c>
      <c r="K119" s="33">
        <f t="shared" si="44"/>
        <v>62</v>
      </c>
      <c r="L119" s="33">
        <f t="shared" si="44"/>
        <v>15</v>
      </c>
      <c r="M119" s="33">
        <f t="shared" si="44"/>
        <v>36</v>
      </c>
      <c r="N119" s="33">
        <f t="shared" si="27"/>
        <v>126</v>
      </c>
      <c r="O119" s="33">
        <f t="shared" si="44"/>
        <v>72</v>
      </c>
      <c r="P119" s="33">
        <f t="shared" si="44"/>
        <v>28</v>
      </c>
      <c r="Q119" s="33">
        <f t="shared" si="44"/>
        <v>26</v>
      </c>
      <c r="R119" s="35">
        <f t="shared" si="31"/>
        <v>8.6666666666666656E-2</v>
      </c>
      <c r="S119" s="35">
        <f t="shared" si="32"/>
        <v>9.3333333333333338E-2</v>
      </c>
      <c r="T119" s="35">
        <f t="shared" si="33"/>
        <v>8.6666666666666656E-2</v>
      </c>
      <c r="U119" s="35">
        <f t="shared" si="28"/>
        <v>6.1032863849765251E-2</v>
      </c>
      <c r="V119" s="35">
        <f t="shared" si="45"/>
        <v>6.1032863849765251E-2</v>
      </c>
      <c r="W119" s="35">
        <f t="shared" si="45"/>
        <v>6.1032863849765251E-2</v>
      </c>
      <c r="X119" s="35">
        <f t="shared" si="45"/>
        <v>6.1032863849765251E-2</v>
      </c>
      <c r="Y119" s="35">
        <f t="shared" si="45"/>
        <v>0.28057553956834536</v>
      </c>
      <c r="Z119" s="35">
        <f t="shared" si="45"/>
        <v>6.1032863849765251E-2</v>
      </c>
      <c r="AA119" s="35">
        <f t="shared" si="45"/>
        <v>6.1032863849765251E-2</v>
      </c>
    </row>
    <row r="120" spans="2:27" x14ac:dyDescent="0.2">
      <c r="B120" s="2">
        <v>118</v>
      </c>
      <c r="C120" s="2" t="str">
        <f t="shared" si="41"/>
        <v>b</v>
      </c>
      <c r="D120" s="29" t="s">
        <v>162</v>
      </c>
      <c r="E120" s="29" t="s">
        <v>209</v>
      </c>
      <c r="F120" s="2" t="s">
        <v>213</v>
      </c>
      <c r="G120" s="2">
        <f t="shared" si="36"/>
        <v>6</v>
      </c>
      <c r="H120" s="2" t="str">
        <f t="shared" si="26"/>
        <v>神圣</v>
      </c>
      <c r="I120" s="38">
        <f t="shared" si="29"/>
        <v>0.45</v>
      </c>
      <c r="J120" s="33">
        <f t="shared" si="30"/>
        <v>56</v>
      </c>
      <c r="K120" s="33">
        <f t="shared" si="44"/>
        <v>74</v>
      </c>
      <c r="L120" s="33">
        <f t="shared" si="44"/>
        <v>18</v>
      </c>
      <c r="M120" s="33">
        <f t="shared" si="44"/>
        <v>43</v>
      </c>
      <c r="N120" s="33">
        <f t="shared" si="27"/>
        <v>152</v>
      </c>
      <c r="O120" s="33">
        <f t="shared" si="44"/>
        <v>87</v>
      </c>
      <c r="P120" s="33">
        <f t="shared" si="44"/>
        <v>34</v>
      </c>
      <c r="Q120" s="33">
        <f t="shared" si="44"/>
        <v>31</v>
      </c>
      <c r="R120" s="35">
        <f t="shared" si="31"/>
        <v>0.10333333333333333</v>
      </c>
      <c r="S120" s="35">
        <f t="shared" si="32"/>
        <v>0.11333333333333334</v>
      </c>
      <c r="T120" s="35">
        <f t="shared" si="33"/>
        <v>0.10333333333333333</v>
      </c>
      <c r="U120" s="35">
        <f t="shared" si="28"/>
        <v>7.407407407407407E-2</v>
      </c>
      <c r="V120" s="35">
        <f t="shared" si="45"/>
        <v>7.407407407407407E-2</v>
      </c>
      <c r="W120" s="35">
        <f t="shared" si="45"/>
        <v>7.407407407407407E-2</v>
      </c>
      <c r="X120" s="35">
        <f t="shared" si="45"/>
        <v>7.407407407407407E-2</v>
      </c>
      <c r="Y120" s="35">
        <f t="shared" si="45"/>
        <v>0.31972789115646261</v>
      </c>
      <c r="Z120" s="35">
        <f t="shared" si="45"/>
        <v>7.407407407407407E-2</v>
      </c>
      <c r="AA120" s="35">
        <f t="shared" si="45"/>
        <v>7.407407407407407E-2</v>
      </c>
    </row>
    <row r="121" spans="2:27" x14ac:dyDescent="0.2">
      <c r="B121" s="2">
        <v>119</v>
      </c>
      <c r="C121" s="2" t="str">
        <f t="shared" si="41"/>
        <v>b</v>
      </c>
      <c r="D121" s="29" t="s">
        <v>10</v>
      </c>
      <c r="E121" s="29" t="s">
        <v>209</v>
      </c>
      <c r="F121" s="2" t="s">
        <v>213</v>
      </c>
      <c r="G121" s="2">
        <f t="shared" si="36"/>
        <v>7</v>
      </c>
      <c r="H121" s="2" t="str">
        <f t="shared" si="26"/>
        <v>神圣</v>
      </c>
      <c r="I121" s="38">
        <f t="shared" si="29"/>
        <v>0.52454545454545454</v>
      </c>
      <c r="J121" s="33">
        <f t="shared" si="30"/>
        <v>65</v>
      </c>
      <c r="K121" s="33">
        <f t="shared" si="44"/>
        <v>87</v>
      </c>
      <c r="L121" s="33">
        <f t="shared" si="44"/>
        <v>21</v>
      </c>
      <c r="M121" s="33">
        <f t="shared" si="44"/>
        <v>50</v>
      </c>
      <c r="N121" s="33">
        <f t="shared" si="27"/>
        <v>177</v>
      </c>
      <c r="O121" s="33">
        <f t="shared" si="44"/>
        <v>101</v>
      </c>
      <c r="P121" s="33">
        <f t="shared" si="44"/>
        <v>40</v>
      </c>
      <c r="Q121" s="33">
        <f t="shared" si="44"/>
        <v>36</v>
      </c>
      <c r="R121" s="35">
        <f t="shared" si="31"/>
        <v>0.12</v>
      </c>
      <c r="S121" s="35">
        <f t="shared" si="32"/>
        <v>0.13333333333333333</v>
      </c>
      <c r="T121" s="35">
        <f t="shared" si="33"/>
        <v>0.12</v>
      </c>
      <c r="U121" s="35">
        <f t="shared" si="28"/>
        <v>8.256880733944949E-2</v>
      </c>
      <c r="V121" s="35">
        <f t="shared" si="45"/>
        <v>8.256880733944949E-2</v>
      </c>
      <c r="W121" s="35">
        <f t="shared" si="45"/>
        <v>8.256880733944949E-2</v>
      </c>
      <c r="X121" s="35">
        <f t="shared" si="45"/>
        <v>8.256880733944949E-2</v>
      </c>
      <c r="Y121" s="35">
        <f t="shared" si="45"/>
        <v>0.3527508090614887</v>
      </c>
      <c r="Z121" s="35">
        <f t="shared" si="45"/>
        <v>8.256880733944949E-2</v>
      </c>
      <c r="AA121" s="35">
        <f t="shared" si="45"/>
        <v>8.256880733944949E-2</v>
      </c>
    </row>
    <row r="122" spans="2:27" x14ac:dyDescent="0.2">
      <c r="B122" s="2">
        <v>120</v>
      </c>
      <c r="C122" s="2" t="str">
        <f t="shared" si="41"/>
        <v>b</v>
      </c>
      <c r="D122" s="29" t="s">
        <v>162</v>
      </c>
      <c r="E122" s="29" t="s">
        <v>209</v>
      </c>
      <c r="F122" s="2" t="s">
        <v>213</v>
      </c>
      <c r="G122" s="2">
        <f t="shared" si="36"/>
        <v>8</v>
      </c>
      <c r="H122" s="2" t="str">
        <f t="shared" si="26"/>
        <v>神圣</v>
      </c>
      <c r="I122" s="38">
        <f t="shared" si="29"/>
        <v>0.6</v>
      </c>
      <c r="J122" s="33">
        <f t="shared" si="30"/>
        <v>75</v>
      </c>
      <c r="K122" s="33">
        <f t="shared" si="44"/>
        <v>99</v>
      </c>
      <c r="L122" s="33">
        <f t="shared" si="44"/>
        <v>24</v>
      </c>
      <c r="M122" s="33">
        <f t="shared" si="44"/>
        <v>58</v>
      </c>
      <c r="N122" s="33">
        <f t="shared" si="27"/>
        <v>202</v>
      </c>
      <c r="O122" s="33">
        <f t="shared" si="44"/>
        <v>116</v>
      </c>
      <c r="P122" s="33">
        <f t="shared" si="44"/>
        <v>45</v>
      </c>
      <c r="Q122" s="33">
        <f t="shared" si="44"/>
        <v>41</v>
      </c>
      <c r="R122" s="35">
        <f t="shared" si="31"/>
        <v>0.13666666666666666</v>
      </c>
      <c r="S122" s="35">
        <f t="shared" si="32"/>
        <v>0.15</v>
      </c>
      <c r="T122" s="35">
        <f t="shared" si="33"/>
        <v>0.13666666666666666</v>
      </c>
      <c r="U122" s="35">
        <f t="shared" si="28"/>
        <v>9.5022624434389136E-2</v>
      </c>
      <c r="V122" s="35">
        <f t="shared" si="45"/>
        <v>9.5022624434389136E-2</v>
      </c>
      <c r="W122" s="35">
        <f t="shared" si="45"/>
        <v>9.5022624434389136E-2</v>
      </c>
      <c r="X122" s="35">
        <f t="shared" si="45"/>
        <v>9.5022624434389136E-2</v>
      </c>
      <c r="Y122" s="35">
        <f t="shared" si="45"/>
        <v>0.38461538461538458</v>
      </c>
      <c r="Z122" s="35">
        <f t="shared" si="45"/>
        <v>9.5022624434389136E-2</v>
      </c>
      <c r="AA122" s="35">
        <f t="shared" si="45"/>
        <v>9.5022624434389136E-2</v>
      </c>
    </row>
    <row r="123" spans="2:27" x14ac:dyDescent="0.2">
      <c r="B123" s="2">
        <v>121</v>
      </c>
      <c r="C123" s="2" t="str">
        <f t="shared" si="41"/>
        <v>c</v>
      </c>
      <c r="D123" s="29" t="s">
        <v>162</v>
      </c>
      <c r="E123" s="29" t="s">
        <v>209</v>
      </c>
      <c r="F123" s="2" t="s">
        <v>213</v>
      </c>
      <c r="G123" s="2">
        <f t="shared" si="36"/>
        <v>1</v>
      </c>
      <c r="H123" s="2" t="str">
        <f t="shared" si="26"/>
        <v>--</v>
      </c>
      <c r="I123" s="38">
        <f t="shared" si="29"/>
        <v>0</v>
      </c>
      <c r="J123" s="33">
        <f t="shared" si="30"/>
        <v>11</v>
      </c>
      <c r="K123" s="33">
        <f t="shared" ref="K123:Q132" si="46">INT((1+VLOOKUP($F123,role_property_weight,getpos(K$2),FALSE))*(1+VLOOKUP($F123,weapon_property_weight,getpos(K$2),FALSE))*VLOOKUP($E123,role_grow,getpos(K$2),FALSE)*$G123*10*VLOOKUP($C123,weapon_grow1,5,FALSE))</f>
        <v>0</v>
      </c>
      <c r="L123" s="33">
        <f t="shared" si="46"/>
        <v>0</v>
      </c>
      <c r="M123" s="33">
        <f t="shared" si="46"/>
        <v>0</v>
      </c>
      <c r="N123" s="33">
        <f t="shared" si="27"/>
        <v>0</v>
      </c>
      <c r="O123" s="33">
        <f t="shared" si="46"/>
        <v>0</v>
      </c>
      <c r="P123" s="33">
        <f t="shared" si="46"/>
        <v>0</v>
      </c>
      <c r="Q123" s="33">
        <f t="shared" si="46"/>
        <v>0</v>
      </c>
      <c r="R123" s="35">
        <f t="shared" si="31"/>
        <v>0</v>
      </c>
      <c r="S123" s="35">
        <f t="shared" si="32"/>
        <v>0</v>
      </c>
      <c r="T123" s="35">
        <f t="shared" si="33"/>
        <v>0</v>
      </c>
      <c r="U123" s="35">
        <f t="shared" si="28"/>
        <v>0</v>
      </c>
      <c r="V123" s="35">
        <f t="shared" ref="V123:AA132" si="47">1-200/(200+ROUND((1+VLOOKUP($F123,role_property_weight,getpos(V$2),FALSE))*VLOOKUP($E123,role_grow,getpos(V$2),FALSE)*$G123*10*VLOOKUP($C123,weapon_grow1,5,FALSE),0))</f>
        <v>0</v>
      </c>
      <c r="W123" s="35">
        <f t="shared" si="47"/>
        <v>0</v>
      </c>
      <c r="X123" s="35">
        <f t="shared" si="47"/>
        <v>0</v>
      </c>
      <c r="Y123" s="35">
        <f t="shared" si="47"/>
        <v>0</v>
      </c>
      <c r="Z123" s="35">
        <f t="shared" si="47"/>
        <v>0</v>
      </c>
      <c r="AA123" s="35">
        <f t="shared" si="47"/>
        <v>0</v>
      </c>
    </row>
    <row r="124" spans="2:27" x14ac:dyDescent="0.2">
      <c r="B124" s="2">
        <v>122</v>
      </c>
      <c r="C124" s="2" t="str">
        <f t="shared" si="41"/>
        <v>c</v>
      </c>
      <c r="D124" s="29" t="s">
        <v>162</v>
      </c>
      <c r="E124" s="29" t="s">
        <v>209</v>
      </c>
      <c r="F124" s="2" t="s">
        <v>213</v>
      </c>
      <c r="G124" s="2">
        <f t="shared" si="36"/>
        <v>2</v>
      </c>
      <c r="H124" s="2" t="str">
        <f t="shared" si="26"/>
        <v>--</v>
      </c>
      <c r="I124" s="38">
        <f t="shared" si="29"/>
        <v>0</v>
      </c>
      <c r="J124" s="33">
        <f t="shared" si="30"/>
        <v>23</v>
      </c>
      <c r="K124" s="33">
        <f t="shared" si="46"/>
        <v>0</v>
      </c>
      <c r="L124" s="33">
        <f t="shared" si="46"/>
        <v>0</v>
      </c>
      <c r="M124" s="33">
        <f t="shared" si="46"/>
        <v>0</v>
      </c>
      <c r="N124" s="33">
        <f t="shared" si="27"/>
        <v>0</v>
      </c>
      <c r="O124" s="33">
        <f t="shared" si="46"/>
        <v>0</v>
      </c>
      <c r="P124" s="33">
        <f t="shared" si="46"/>
        <v>0</v>
      </c>
      <c r="Q124" s="33">
        <f t="shared" si="46"/>
        <v>0</v>
      </c>
      <c r="R124" s="35">
        <f t="shared" si="31"/>
        <v>0</v>
      </c>
      <c r="S124" s="35">
        <f t="shared" si="32"/>
        <v>0</v>
      </c>
      <c r="T124" s="35">
        <f t="shared" si="33"/>
        <v>0</v>
      </c>
      <c r="U124" s="35">
        <f t="shared" si="28"/>
        <v>0</v>
      </c>
      <c r="V124" s="35">
        <f t="shared" si="47"/>
        <v>0</v>
      </c>
      <c r="W124" s="35">
        <f t="shared" si="47"/>
        <v>0</v>
      </c>
      <c r="X124" s="35">
        <f t="shared" si="47"/>
        <v>0</v>
      </c>
      <c r="Y124" s="35">
        <f t="shared" si="47"/>
        <v>0</v>
      </c>
      <c r="Z124" s="35">
        <f t="shared" si="47"/>
        <v>0</v>
      </c>
      <c r="AA124" s="35">
        <f t="shared" si="47"/>
        <v>0</v>
      </c>
    </row>
    <row r="125" spans="2:27" x14ac:dyDescent="0.2">
      <c r="B125" s="2">
        <v>123</v>
      </c>
      <c r="C125" s="2" t="str">
        <f t="shared" si="41"/>
        <v>c</v>
      </c>
      <c r="D125" s="29" t="s">
        <v>10</v>
      </c>
      <c r="E125" s="29" t="s">
        <v>209</v>
      </c>
      <c r="F125" s="2" t="s">
        <v>213</v>
      </c>
      <c r="G125" s="2">
        <f t="shared" si="36"/>
        <v>3</v>
      </c>
      <c r="H125" s="2" t="str">
        <f t="shared" si="26"/>
        <v>--</v>
      </c>
      <c r="I125" s="38">
        <f t="shared" si="29"/>
        <v>0</v>
      </c>
      <c r="J125" s="33">
        <f t="shared" si="30"/>
        <v>35</v>
      </c>
      <c r="K125" s="33">
        <f t="shared" si="46"/>
        <v>0</v>
      </c>
      <c r="L125" s="33">
        <f t="shared" si="46"/>
        <v>0</v>
      </c>
      <c r="M125" s="33">
        <f t="shared" si="46"/>
        <v>0</v>
      </c>
      <c r="N125" s="33">
        <f t="shared" si="27"/>
        <v>0</v>
      </c>
      <c r="O125" s="33">
        <f t="shared" si="46"/>
        <v>0</v>
      </c>
      <c r="P125" s="33">
        <f t="shared" si="46"/>
        <v>0</v>
      </c>
      <c r="Q125" s="33">
        <f t="shared" si="46"/>
        <v>0</v>
      </c>
      <c r="R125" s="35">
        <f t="shared" si="31"/>
        <v>0</v>
      </c>
      <c r="S125" s="35">
        <f t="shared" si="32"/>
        <v>0</v>
      </c>
      <c r="T125" s="35">
        <f t="shared" si="33"/>
        <v>0</v>
      </c>
      <c r="U125" s="35">
        <f t="shared" si="28"/>
        <v>0</v>
      </c>
      <c r="V125" s="35">
        <f t="shared" si="47"/>
        <v>0</v>
      </c>
      <c r="W125" s="35">
        <f t="shared" si="47"/>
        <v>0</v>
      </c>
      <c r="X125" s="35">
        <f t="shared" si="47"/>
        <v>0</v>
      </c>
      <c r="Y125" s="35">
        <f t="shared" si="47"/>
        <v>0</v>
      </c>
      <c r="Z125" s="35">
        <f t="shared" si="47"/>
        <v>0</v>
      </c>
      <c r="AA125" s="35">
        <f t="shared" si="47"/>
        <v>0</v>
      </c>
    </row>
    <row r="126" spans="2:27" x14ac:dyDescent="0.2">
      <c r="B126" s="2">
        <v>124</v>
      </c>
      <c r="C126" s="2" t="str">
        <f t="shared" si="41"/>
        <v>c</v>
      </c>
      <c r="D126" s="29" t="s">
        <v>162</v>
      </c>
      <c r="E126" s="29" t="s">
        <v>209</v>
      </c>
      <c r="F126" s="2" t="s">
        <v>213</v>
      </c>
      <c r="G126" s="2">
        <f t="shared" si="36"/>
        <v>4</v>
      </c>
      <c r="H126" s="2" t="str">
        <f t="shared" si="26"/>
        <v>--</v>
      </c>
      <c r="I126" s="38">
        <f t="shared" si="29"/>
        <v>0</v>
      </c>
      <c r="J126" s="33">
        <f t="shared" si="30"/>
        <v>47</v>
      </c>
      <c r="K126" s="33">
        <f t="shared" si="46"/>
        <v>0</v>
      </c>
      <c r="L126" s="33">
        <f t="shared" si="46"/>
        <v>0</v>
      </c>
      <c r="M126" s="33">
        <f t="shared" si="46"/>
        <v>0</v>
      </c>
      <c r="N126" s="33">
        <f t="shared" si="27"/>
        <v>0</v>
      </c>
      <c r="O126" s="33">
        <f t="shared" si="46"/>
        <v>0</v>
      </c>
      <c r="P126" s="33">
        <f t="shared" si="46"/>
        <v>0</v>
      </c>
      <c r="Q126" s="33">
        <f t="shared" si="46"/>
        <v>0</v>
      </c>
      <c r="R126" s="35">
        <f t="shared" si="31"/>
        <v>0</v>
      </c>
      <c r="S126" s="35">
        <f t="shared" si="32"/>
        <v>0</v>
      </c>
      <c r="T126" s="35">
        <f t="shared" si="33"/>
        <v>0</v>
      </c>
      <c r="U126" s="35">
        <f t="shared" si="28"/>
        <v>0</v>
      </c>
      <c r="V126" s="35">
        <f t="shared" si="47"/>
        <v>0</v>
      </c>
      <c r="W126" s="35">
        <f t="shared" si="47"/>
        <v>0</v>
      </c>
      <c r="X126" s="35">
        <f t="shared" si="47"/>
        <v>0</v>
      </c>
      <c r="Y126" s="35">
        <f t="shared" si="47"/>
        <v>0</v>
      </c>
      <c r="Z126" s="35">
        <f t="shared" si="47"/>
        <v>0</v>
      </c>
      <c r="AA126" s="35">
        <f t="shared" si="47"/>
        <v>0</v>
      </c>
    </row>
    <row r="127" spans="2:27" x14ac:dyDescent="0.2">
      <c r="B127" s="2">
        <v>125</v>
      </c>
      <c r="C127" s="2" t="str">
        <f t="shared" si="41"/>
        <v>c</v>
      </c>
      <c r="D127" s="29" t="s">
        <v>162</v>
      </c>
      <c r="E127" s="29" t="s">
        <v>209</v>
      </c>
      <c r="F127" s="2" t="s">
        <v>213</v>
      </c>
      <c r="G127" s="2">
        <f t="shared" si="36"/>
        <v>5</v>
      </c>
      <c r="H127" s="2" t="str">
        <f t="shared" si="26"/>
        <v>--</v>
      </c>
      <c r="I127" s="38">
        <f t="shared" si="29"/>
        <v>0</v>
      </c>
      <c r="J127" s="33">
        <f t="shared" si="30"/>
        <v>59</v>
      </c>
      <c r="K127" s="33">
        <f t="shared" si="46"/>
        <v>0</v>
      </c>
      <c r="L127" s="33">
        <f t="shared" si="46"/>
        <v>0</v>
      </c>
      <c r="M127" s="33">
        <f t="shared" si="46"/>
        <v>0</v>
      </c>
      <c r="N127" s="33">
        <f t="shared" si="27"/>
        <v>0</v>
      </c>
      <c r="O127" s="33">
        <f t="shared" si="46"/>
        <v>0</v>
      </c>
      <c r="P127" s="33">
        <f t="shared" si="46"/>
        <v>0</v>
      </c>
      <c r="Q127" s="33">
        <f t="shared" si="46"/>
        <v>0</v>
      </c>
      <c r="R127" s="35">
        <f t="shared" si="31"/>
        <v>0</v>
      </c>
      <c r="S127" s="35">
        <f t="shared" si="32"/>
        <v>0</v>
      </c>
      <c r="T127" s="35">
        <f t="shared" si="33"/>
        <v>0</v>
      </c>
      <c r="U127" s="35">
        <f t="shared" si="28"/>
        <v>0</v>
      </c>
      <c r="V127" s="35">
        <f t="shared" si="47"/>
        <v>0</v>
      </c>
      <c r="W127" s="35">
        <f t="shared" si="47"/>
        <v>0</v>
      </c>
      <c r="X127" s="35">
        <f t="shared" si="47"/>
        <v>0</v>
      </c>
      <c r="Y127" s="35">
        <f t="shared" si="47"/>
        <v>0</v>
      </c>
      <c r="Z127" s="35">
        <f t="shared" si="47"/>
        <v>0</v>
      </c>
      <c r="AA127" s="35">
        <f t="shared" si="47"/>
        <v>0</v>
      </c>
    </row>
    <row r="128" spans="2:27" x14ac:dyDescent="0.2">
      <c r="B128" s="2">
        <v>126</v>
      </c>
      <c r="C128" s="2" t="str">
        <f t="shared" si="41"/>
        <v>c</v>
      </c>
      <c r="D128" s="29" t="s">
        <v>162</v>
      </c>
      <c r="E128" s="29" t="s">
        <v>209</v>
      </c>
      <c r="F128" s="2" t="s">
        <v>213</v>
      </c>
      <c r="G128" s="2">
        <f t="shared" si="36"/>
        <v>6</v>
      </c>
      <c r="H128" s="2" t="str">
        <f t="shared" si="26"/>
        <v>--</v>
      </c>
      <c r="I128" s="38">
        <f t="shared" si="29"/>
        <v>0</v>
      </c>
      <c r="J128" s="33">
        <f t="shared" si="30"/>
        <v>71</v>
      </c>
      <c r="K128" s="33">
        <f t="shared" si="46"/>
        <v>0</v>
      </c>
      <c r="L128" s="33">
        <f t="shared" si="46"/>
        <v>0</v>
      </c>
      <c r="M128" s="33">
        <f t="shared" si="46"/>
        <v>0</v>
      </c>
      <c r="N128" s="33">
        <f t="shared" si="27"/>
        <v>0</v>
      </c>
      <c r="O128" s="33">
        <f t="shared" si="46"/>
        <v>0</v>
      </c>
      <c r="P128" s="33">
        <f t="shared" si="46"/>
        <v>0</v>
      </c>
      <c r="Q128" s="33">
        <f t="shared" si="46"/>
        <v>0</v>
      </c>
      <c r="R128" s="35">
        <f t="shared" si="31"/>
        <v>0</v>
      </c>
      <c r="S128" s="35">
        <f t="shared" si="32"/>
        <v>0</v>
      </c>
      <c r="T128" s="35">
        <f t="shared" si="33"/>
        <v>0</v>
      </c>
      <c r="U128" s="35">
        <f t="shared" si="28"/>
        <v>0</v>
      </c>
      <c r="V128" s="35">
        <f t="shared" si="47"/>
        <v>0</v>
      </c>
      <c r="W128" s="35">
        <f t="shared" si="47"/>
        <v>0</v>
      </c>
      <c r="X128" s="35">
        <f t="shared" si="47"/>
        <v>0</v>
      </c>
      <c r="Y128" s="35">
        <f t="shared" si="47"/>
        <v>0</v>
      </c>
      <c r="Z128" s="35">
        <f t="shared" si="47"/>
        <v>0</v>
      </c>
      <c r="AA128" s="35">
        <f t="shared" si="47"/>
        <v>0</v>
      </c>
    </row>
    <row r="129" spans="2:27" x14ac:dyDescent="0.2">
      <c r="B129" s="2">
        <v>127</v>
      </c>
      <c r="C129" s="2" t="str">
        <f t="shared" si="41"/>
        <v>c</v>
      </c>
      <c r="D129" s="29" t="s">
        <v>162</v>
      </c>
      <c r="E129" s="29" t="s">
        <v>209</v>
      </c>
      <c r="F129" s="2" t="s">
        <v>213</v>
      </c>
      <c r="G129" s="2">
        <f t="shared" si="36"/>
        <v>7</v>
      </c>
      <c r="H129" s="2" t="str">
        <f t="shared" si="26"/>
        <v>--</v>
      </c>
      <c r="I129" s="38">
        <f t="shared" si="29"/>
        <v>0</v>
      </c>
      <c r="J129" s="33">
        <f t="shared" si="30"/>
        <v>83</v>
      </c>
      <c r="K129" s="33">
        <f t="shared" si="46"/>
        <v>0</v>
      </c>
      <c r="L129" s="33">
        <f t="shared" si="46"/>
        <v>0</v>
      </c>
      <c r="M129" s="33">
        <f t="shared" si="46"/>
        <v>0</v>
      </c>
      <c r="N129" s="33">
        <f t="shared" si="27"/>
        <v>0</v>
      </c>
      <c r="O129" s="33">
        <f t="shared" si="46"/>
        <v>0</v>
      </c>
      <c r="P129" s="33">
        <f t="shared" si="46"/>
        <v>0</v>
      </c>
      <c r="Q129" s="33">
        <f t="shared" si="46"/>
        <v>0</v>
      </c>
      <c r="R129" s="35">
        <f t="shared" si="31"/>
        <v>0</v>
      </c>
      <c r="S129" s="35">
        <f t="shared" si="32"/>
        <v>0</v>
      </c>
      <c r="T129" s="35">
        <f t="shared" si="33"/>
        <v>0</v>
      </c>
      <c r="U129" s="35">
        <f t="shared" si="28"/>
        <v>0</v>
      </c>
      <c r="V129" s="35">
        <f t="shared" si="47"/>
        <v>0</v>
      </c>
      <c r="W129" s="35">
        <f t="shared" si="47"/>
        <v>0</v>
      </c>
      <c r="X129" s="35">
        <f t="shared" si="47"/>
        <v>0</v>
      </c>
      <c r="Y129" s="35">
        <f t="shared" si="47"/>
        <v>0</v>
      </c>
      <c r="Z129" s="35">
        <f t="shared" si="47"/>
        <v>0</v>
      </c>
      <c r="AA129" s="35">
        <f t="shared" si="47"/>
        <v>0</v>
      </c>
    </row>
    <row r="130" spans="2:27" x14ac:dyDescent="0.2">
      <c r="B130" s="2">
        <v>128</v>
      </c>
      <c r="C130" s="2" t="str">
        <f t="shared" si="41"/>
        <v>c</v>
      </c>
      <c r="D130" s="29" t="s">
        <v>10</v>
      </c>
      <c r="E130" s="29" t="s">
        <v>209</v>
      </c>
      <c r="F130" s="2" t="s">
        <v>213</v>
      </c>
      <c r="G130" s="2">
        <f t="shared" si="36"/>
        <v>8</v>
      </c>
      <c r="H130" s="2" t="str">
        <f t="shared" si="26"/>
        <v>--</v>
      </c>
      <c r="I130" s="38">
        <f t="shared" si="29"/>
        <v>0</v>
      </c>
      <c r="J130" s="33">
        <f t="shared" si="30"/>
        <v>94</v>
      </c>
      <c r="K130" s="33">
        <f t="shared" si="46"/>
        <v>0</v>
      </c>
      <c r="L130" s="33">
        <f t="shared" si="46"/>
        <v>0</v>
      </c>
      <c r="M130" s="33">
        <f t="shared" si="46"/>
        <v>0</v>
      </c>
      <c r="N130" s="33">
        <f t="shared" si="27"/>
        <v>0</v>
      </c>
      <c r="O130" s="33">
        <f t="shared" si="46"/>
        <v>0</v>
      </c>
      <c r="P130" s="33">
        <f t="shared" si="46"/>
        <v>0</v>
      </c>
      <c r="Q130" s="33">
        <f t="shared" si="46"/>
        <v>0</v>
      </c>
      <c r="R130" s="35">
        <f t="shared" si="31"/>
        <v>0</v>
      </c>
      <c r="S130" s="35">
        <f t="shared" si="32"/>
        <v>0</v>
      </c>
      <c r="T130" s="35">
        <f t="shared" si="33"/>
        <v>0</v>
      </c>
      <c r="U130" s="35">
        <f t="shared" si="28"/>
        <v>0</v>
      </c>
      <c r="V130" s="35">
        <f t="shared" si="47"/>
        <v>0</v>
      </c>
      <c r="W130" s="35">
        <f t="shared" si="47"/>
        <v>0</v>
      </c>
      <c r="X130" s="35">
        <f t="shared" si="47"/>
        <v>0</v>
      </c>
      <c r="Y130" s="35">
        <f t="shared" si="47"/>
        <v>0</v>
      </c>
      <c r="Z130" s="35">
        <f t="shared" si="47"/>
        <v>0</v>
      </c>
      <c r="AA130" s="35">
        <f t="shared" si="47"/>
        <v>0</v>
      </c>
    </row>
    <row r="131" spans="2:27" x14ac:dyDescent="0.2">
      <c r="B131" s="2">
        <v>129</v>
      </c>
      <c r="C131" s="2" t="str">
        <f t="shared" si="41"/>
        <v>s</v>
      </c>
      <c r="D131" s="29" t="s">
        <v>162</v>
      </c>
      <c r="E131" s="29" t="s">
        <v>209</v>
      </c>
      <c r="F131" s="2" t="s">
        <v>214</v>
      </c>
      <c r="G131" s="2">
        <f t="shared" si="36"/>
        <v>1</v>
      </c>
      <c r="H131" s="2" t="str">
        <f t="shared" ref="H131:H194" si="48">IF(C131="c","--",VLOOKUP(F131,role_property_weight,17,FALSE))</f>
        <v>火炎</v>
      </c>
      <c r="I131" s="38">
        <f t="shared" si="29"/>
        <v>0.1</v>
      </c>
      <c r="J131" s="33">
        <f t="shared" si="30"/>
        <v>11</v>
      </c>
      <c r="K131" s="33">
        <f t="shared" si="46"/>
        <v>8</v>
      </c>
      <c r="L131" s="33">
        <f t="shared" si="46"/>
        <v>1</v>
      </c>
      <c r="M131" s="33">
        <f t="shared" si="46"/>
        <v>5</v>
      </c>
      <c r="N131" s="33">
        <f t="shared" ref="N131:N194" si="49">ROUNDUP((1+VLOOKUP($F131,role_property_weight,getpos(N$2),FALSE))*(1+VLOOKUP($F131,weapon_property_weight,getpos(N$2),FALSE))*VLOOKUP($E131,role_grow,getpos(N$2),FALSE)*$G131*10*VLOOKUP($C131,weapon_grow1,5,FALSE),0)</f>
        <v>12</v>
      </c>
      <c r="O131" s="33">
        <f t="shared" si="46"/>
        <v>9</v>
      </c>
      <c r="P131" s="33">
        <f t="shared" si="46"/>
        <v>6</v>
      </c>
      <c r="Q131" s="33">
        <f t="shared" si="46"/>
        <v>5</v>
      </c>
      <c r="R131" s="35">
        <f t="shared" si="31"/>
        <v>1.6666666666666666E-2</v>
      </c>
      <c r="S131" s="35">
        <f t="shared" si="32"/>
        <v>0.02</v>
      </c>
      <c r="T131" s="35">
        <f t="shared" si="33"/>
        <v>1.6666666666666666E-2</v>
      </c>
      <c r="U131" s="35">
        <f t="shared" ref="U131:U194" si="50">1-200/(200+ROUND((1+VLOOKUP($F131,role_property_weight,getpos(U$2),FALSE))*VLOOKUP($E131,role_grow,getpos(U$2),FALSE)*$G131*10*VLOOKUP($C131,weapon_grow1,5,FALSE),0))</f>
        <v>9.9009900990099098E-3</v>
      </c>
      <c r="V131" s="35">
        <f t="shared" si="47"/>
        <v>9.9009900990099098E-3</v>
      </c>
      <c r="W131" s="35">
        <f t="shared" si="47"/>
        <v>9.9009900990099098E-3</v>
      </c>
      <c r="X131" s="35">
        <f t="shared" si="47"/>
        <v>5.6603773584905648E-2</v>
      </c>
      <c r="Y131" s="35">
        <f t="shared" si="47"/>
        <v>9.9009900990099098E-3</v>
      </c>
      <c r="Z131" s="35">
        <f t="shared" si="47"/>
        <v>9.9009900990099098E-3</v>
      </c>
      <c r="AA131" s="35">
        <f t="shared" si="47"/>
        <v>9.9009900990099098E-3</v>
      </c>
    </row>
    <row r="132" spans="2:27" x14ac:dyDescent="0.2">
      <c r="B132" s="2">
        <v>130</v>
      </c>
      <c r="C132" s="2" t="str">
        <f t="shared" si="41"/>
        <v>s</v>
      </c>
      <c r="D132" s="29" t="s">
        <v>163</v>
      </c>
      <c r="E132" s="29" t="s">
        <v>209</v>
      </c>
      <c r="F132" s="2" t="s">
        <v>214</v>
      </c>
      <c r="G132" s="2">
        <f t="shared" si="36"/>
        <v>2</v>
      </c>
      <c r="H132" s="2" t="str">
        <f t="shared" si="48"/>
        <v>火炎</v>
      </c>
      <c r="I132" s="38">
        <f t="shared" ref="I132:I195" si="51">IF(H132="--",0,IF((SUM(J132:Q132)/11)%&lt;10%,10%,(SUM(J132:Q132)/11)%))</f>
        <v>0.10545454545454545</v>
      </c>
      <c r="J132" s="33">
        <f t="shared" ref="J132:J195" si="52">INT((1+VLOOKUP($F132,role_property_weight,getpos(J$2),FALSE))*(1+VLOOKUP(F132,weapon_property_weight,getpos(J$2),FALSE))*VLOOKUP($E132,role_grow,getpos(J$2),FALSE)*$G132*10*VLOOKUP($C132,weapon_grow1,4,FALSE))</f>
        <v>22</v>
      </c>
      <c r="K132" s="33">
        <f t="shared" si="46"/>
        <v>16</v>
      </c>
      <c r="L132" s="33">
        <f t="shared" si="46"/>
        <v>3</v>
      </c>
      <c r="M132" s="33">
        <f t="shared" si="46"/>
        <v>10</v>
      </c>
      <c r="N132" s="33">
        <f t="shared" si="49"/>
        <v>24</v>
      </c>
      <c r="O132" s="33">
        <f t="shared" si="46"/>
        <v>18</v>
      </c>
      <c r="P132" s="33">
        <f t="shared" si="46"/>
        <v>13</v>
      </c>
      <c r="Q132" s="33">
        <f t="shared" si="46"/>
        <v>10</v>
      </c>
      <c r="R132" s="35">
        <f t="shared" ref="R132:R195" si="53">(Q132/3)%</f>
        <v>3.3333333333333333E-2</v>
      </c>
      <c r="S132" s="35">
        <f t="shared" ref="S132:S195" si="54">(P132/3)%</f>
        <v>4.3333333333333328E-2</v>
      </c>
      <c r="T132" s="35">
        <f t="shared" ref="T132:T195" si="55">(Q132/3)%</f>
        <v>3.3333333333333333E-2</v>
      </c>
      <c r="U132" s="35">
        <f t="shared" si="50"/>
        <v>1.9607843137254943E-2</v>
      </c>
      <c r="V132" s="35">
        <f t="shared" si="47"/>
        <v>1.9607843137254943E-2</v>
      </c>
      <c r="W132" s="35">
        <f t="shared" si="47"/>
        <v>1.9607843137254943E-2</v>
      </c>
      <c r="X132" s="35">
        <f t="shared" si="47"/>
        <v>0.1071428571428571</v>
      </c>
      <c r="Y132" s="35">
        <f t="shared" si="47"/>
        <v>1.9607843137254943E-2</v>
      </c>
      <c r="Z132" s="35">
        <f t="shared" si="47"/>
        <v>1.9607843137254943E-2</v>
      </c>
      <c r="AA132" s="35">
        <f t="shared" si="47"/>
        <v>1.9607843137254943E-2</v>
      </c>
    </row>
    <row r="133" spans="2:27" x14ac:dyDescent="0.2">
      <c r="B133" s="2">
        <v>131</v>
      </c>
      <c r="C133" s="2" t="str">
        <f t="shared" si="41"/>
        <v>s</v>
      </c>
      <c r="D133" s="29" t="s">
        <v>163</v>
      </c>
      <c r="E133" s="29" t="s">
        <v>209</v>
      </c>
      <c r="F133" s="2" t="s">
        <v>214</v>
      </c>
      <c r="G133" s="2">
        <f t="shared" si="36"/>
        <v>3</v>
      </c>
      <c r="H133" s="2" t="str">
        <f t="shared" si="48"/>
        <v>火炎</v>
      </c>
      <c r="I133" s="38">
        <f t="shared" si="51"/>
        <v>0.16181818181818183</v>
      </c>
      <c r="J133" s="33">
        <f t="shared" si="52"/>
        <v>34</v>
      </c>
      <c r="K133" s="33">
        <f t="shared" ref="K133:Q142" si="56">INT((1+VLOOKUP($F133,role_property_weight,getpos(K$2),FALSE))*(1+VLOOKUP($F133,weapon_property_weight,getpos(K$2),FALSE))*VLOOKUP($E133,role_grow,getpos(K$2),FALSE)*$G133*10*VLOOKUP($C133,weapon_grow1,5,FALSE))</f>
        <v>24</v>
      </c>
      <c r="L133" s="33">
        <f t="shared" si="56"/>
        <v>5</v>
      </c>
      <c r="M133" s="33">
        <f t="shared" si="56"/>
        <v>16</v>
      </c>
      <c r="N133" s="33">
        <f t="shared" si="49"/>
        <v>36</v>
      </c>
      <c r="O133" s="33">
        <f t="shared" si="56"/>
        <v>28</v>
      </c>
      <c r="P133" s="33">
        <f t="shared" si="56"/>
        <v>19</v>
      </c>
      <c r="Q133" s="33">
        <f t="shared" si="56"/>
        <v>16</v>
      </c>
      <c r="R133" s="35">
        <f t="shared" si="53"/>
        <v>5.333333333333333E-2</v>
      </c>
      <c r="S133" s="35">
        <f t="shared" si="54"/>
        <v>6.3333333333333325E-2</v>
      </c>
      <c r="T133" s="35">
        <f t="shared" si="55"/>
        <v>5.333333333333333E-2</v>
      </c>
      <c r="U133" s="35">
        <f t="shared" si="50"/>
        <v>2.9126213592232997E-2</v>
      </c>
      <c r="V133" s="35">
        <f t="shared" ref="V133:AA142" si="57">1-200/(200+ROUND((1+VLOOKUP($F133,role_property_weight,getpos(V$2),FALSE))*VLOOKUP($E133,role_grow,getpos(V$2),FALSE)*$G133*10*VLOOKUP($C133,weapon_grow1,5,FALSE),0))</f>
        <v>2.9126213592232997E-2</v>
      </c>
      <c r="W133" s="35">
        <f t="shared" si="57"/>
        <v>2.9126213592232997E-2</v>
      </c>
      <c r="X133" s="35">
        <f t="shared" si="57"/>
        <v>0.14893617021276595</v>
      </c>
      <c r="Y133" s="35">
        <f t="shared" si="57"/>
        <v>2.9126213592232997E-2</v>
      </c>
      <c r="Z133" s="35">
        <f t="shared" si="57"/>
        <v>2.9126213592232997E-2</v>
      </c>
      <c r="AA133" s="35">
        <f t="shared" si="57"/>
        <v>2.9126213592232997E-2</v>
      </c>
    </row>
    <row r="134" spans="2:27" x14ac:dyDescent="0.2">
      <c r="B134" s="2">
        <v>132</v>
      </c>
      <c r="C134" s="2" t="str">
        <f t="shared" si="41"/>
        <v>s</v>
      </c>
      <c r="D134" s="29" t="s">
        <v>10</v>
      </c>
      <c r="E134" s="29" t="s">
        <v>209</v>
      </c>
      <c r="F134" s="2" t="s">
        <v>214</v>
      </c>
      <c r="G134" s="2">
        <f t="shared" si="36"/>
        <v>4</v>
      </c>
      <c r="H134" s="2" t="str">
        <f t="shared" si="48"/>
        <v>火炎</v>
      </c>
      <c r="I134" s="38">
        <f t="shared" si="51"/>
        <v>0.21545454545454545</v>
      </c>
      <c r="J134" s="33">
        <f t="shared" si="52"/>
        <v>45</v>
      </c>
      <c r="K134" s="33">
        <f t="shared" si="56"/>
        <v>32</v>
      </c>
      <c r="L134" s="33">
        <f t="shared" si="56"/>
        <v>7</v>
      </c>
      <c r="M134" s="33">
        <f t="shared" si="56"/>
        <v>21</v>
      </c>
      <c r="N134" s="33">
        <f t="shared" si="49"/>
        <v>48</v>
      </c>
      <c r="O134" s="33">
        <f t="shared" si="56"/>
        <v>37</v>
      </c>
      <c r="P134" s="33">
        <f t="shared" si="56"/>
        <v>26</v>
      </c>
      <c r="Q134" s="33">
        <f t="shared" si="56"/>
        <v>21</v>
      </c>
      <c r="R134" s="35">
        <f t="shared" si="53"/>
        <v>7.0000000000000007E-2</v>
      </c>
      <c r="S134" s="35">
        <f t="shared" si="54"/>
        <v>8.6666666666666656E-2</v>
      </c>
      <c r="T134" s="35">
        <f t="shared" si="55"/>
        <v>7.0000000000000007E-2</v>
      </c>
      <c r="U134" s="35">
        <f t="shared" si="50"/>
        <v>3.8461538461538436E-2</v>
      </c>
      <c r="V134" s="35">
        <f t="shared" si="57"/>
        <v>3.8461538461538436E-2</v>
      </c>
      <c r="W134" s="35">
        <f t="shared" si="57"/>
        <v>3.8461538461538436E-2</v>
      </c>
      <c r="X134" s="35">
        <f t="shared" si="57"/>
        <v>0.19028340080971662</v>
      </c>
      <c r="Y134" s="35">
        <f t="shared" si="57"/>
        <v>3.8461538461538436E-2</v>
      </c>
      <c r="Z134" s="35">
        <f t="shared" si="57"/>
        <v>3.8461538461538436E-2</v>
      </c>
      <c r="AA134" s="35">
        <f t="shared" si="57"/>
        <v>3.8461538461538436E-2</v>
      </c>
    </row>
    <row r="135" spans="2:27" x14ac:dyDescent="0.2">
      <c r="B135" s="2">
        <v>133</v>
      </c>
      <c r="C135" s="2" t="str">
        <f t="shared" si="41"/>
        <v>s</v>
      </c>
      <c r="D135" s="29" t="s">
        <v>163</v>
      </c>
      <c r="E135" s="29" t="s">
        <v>209</v>
      </c>
      <c r="F135" s="2" t="s">
        <v>214</v>
      </c>
      <c r="G135" s="2">
        <f t="shared" si="36"/>
        <v>5</v>
      </c>
      <c r="H135" s="2" t="str">
        <f t="shared" si="48"/>
        <v>火炎</v>
      </c>
      <c r="I135" s="38">
        <f t="shared" si="51"/>
        <v>0.27181818181818185</v>
      </c>
      <c r="J135" s="33">
        <f t="shared" si="52"/>
        <v>57</v>
      </c>
      <c r="K135" s="33">
        <f t="shared" si="56"/>
        <v>41</v>
      </c>
      <c r="L135" s="33">
        <f t="shared" si="56"/>
        <v>9</v>
      </c>
      <c r="M135" s="33">
        <f t="shared" si="56"/>
        <v>27</v>
      </c>
      <c r="N135" s="33">
        <f t="shared" si="49"/>
        <v>59</v>
      </c>
      <c r="O135" s="33">
        <f t="shared" si="56"/>
        <v>47</v>
      </c>
      <c r="P135" s="33">
        <f t="shared" si="56"/>
        <v>32</v>
      </c>
      <c r="Q135" s="33">
        <f t="shared" si="56"/>
        <v>27</v>
      </c>
      <c r="R135" s="35">
        <f t="shared" si="53"/>
        <v>0.09</v>
      </c>
      <c r="S135" s="35">
        <f t="shared" si="54"/>
        <v>0.10666666666666666</v>
      </c>
      <c r="T135" s="35">
        <f t="shared" si="55"/>
        <v>0.09</v>
      </c>
      <c r="U135" s="35">
        <f t="shared" si="50"/>
        <v>4.7619047619047672E-2</v>
      </c>
      <c r="V135" s="35">
        <f t="shared" si="57"/>
        <v>4.7619047619047672E-2</v>
      </c>
      <c r="W135" s="35">
        <f t="shared" si="57"/>
        <v>4.7619047619047672E-2</v>
      </c>
      <c r="X135" s="35">
        <f t="shared" si="57"/>
        <v>0.22779922779922779</v>
      </c>
      <c r="Y135" s="35">
        <f t="shared" si="57"/>
        <v>4.7619047619047672E-2</v>
      </c>
      <c r="Z135" s="35">
        <f t="shared" si="57"/>
        <v>4.7619047619047672E-2</v>
      </c>
      <c r="AA135" s="35">
        <f t="shared" si="57"/>
        <v>4.7619047619047672E-2</v>
      </c>
    </row>
    <row r="136" spans="2:27" x14ac:dyDescent="0.2">
      <c r="B136" s="2">
        <v>134</v>
      </c>
      <c r="C136" s="2" t="str">
        <f t="shared" si="41"/>
        <v>s</v>
      </c>
      <c r="D136" s="29" t="s">
        <v>163</v>
      </c>
      <c r="E136" s="29" t="s">
        <v>209</v>
      </c>
      <c r="F136" s="2" t="s">
        <v>214</v>
      </c>
      <c r="G136" s="2">
        <f t="shared" si="36"/>
        <v>6</v>
      </c>
      <c r="H136" s="2" t="str">
        <f t="shared" si="48"/>
        <v>火炎</v>
      </c>
      <c r="I136" s="38">
        <f t="shared" si="51"/>
        <v>0.32545454545454544</v>
      </c>
      <c r="J136" s="33">
        <f t="shared" si="52"/>
        <v>68</v>
      </c>
      <c r="K136" s="33">
        <f t="shared" si="56"/>
        <v>49</v>
      </c>
      <c r="L136" s="33">
        <f t="shared" si="56"/>
        <v>11</v>
      </c>
      <c r="M136" s="33">
        <f t="shared" si="56"/>
        <v>32</v>
      </c>
      <c r="N136" s="33">
        <f t="shared" si="49"/>
        <v>71</v>
      </c>
      <c r="O136" s="33">
        <f t="shared" si="56"/>
        <v>56</v>
      </c>
      <c r="P136" s="33">
        <f t="shared" si="56"/>
        <v>39</v>
      </c>
      <c r="Q136" s="33">
        <f t="shared" si="56"/>
        <v>32</v>
      </c>
      <c r="R136" s="35">
        <f t="shared" si="53"/>
        <v>0.10666666666666666</v>
      </c>
      <c r="S136" s="35">
        <f t="shared" si="54"/>
        <v>0.13</v>
      </c>
      <c r="T136" s="35">
        <f t="shared" si="55"/>
        <v>0.10666666666666666</v>
      </c>
      <c r="U136" s="35">
        <f t="shared" si="50"/>
        <v>5.6603773584905648E-2</v>
      </c>
      <c r="V136" s="35">
        <f t="shared" si="57"/>
        <v>5.6603773584905648E-2</v>
      </c>
      <c r="W136" s="35">
        <f t="shared" si="57"/>
        <v>5.6603773584905648E-2</v>
      </c>
      <c r="X136" s="35">
        <f t="shared" si="57"/>
        <v>0.26199261992619927</v>
      </c>
      <c r="Y136" s="35">
        <f t="shared" si="57"/>
        <v>5.6603773584905648E-2</v>
      </c>
      <c r="Z136" s="35">
        <f t="shared" si="57"/>
        <v>5.6603773584905648E-2</v>
      </c>
      <c r="AA136" s="35">
        <f t="shared" si="57"/>
        <v>5.6603773584905648E-2</v>
      </c>
    </row>
    <row r="137" spans="2:27" x14ac:dyDescent="0.2">
      <c r="B137" s="2">
        <v>135</v>
      </c>
      <c r="C137" s="2" t="str">
        <f t="shared" si="41"/>
        <v>s</v>
      </c>
      <c r="D137" s="29" t="s">
        <v>163</v>
      </c>
      <c r="E137" s="29" t="s">
        <v>209</v>
      </c>
      <c r="F137" s="2" t="s">
        <v>214</v>
      </c>
      <c r="G137" s="2">
        <f t="shared" si="36"/>
        <v>7</v>
      </c>
      <c r="H137" s="2" t="str">
        <f t="shared" si="48"/>
        <v>火炎</v>
      </c>
      <c r="I137" s="38">
        <f t="shared" si="51"/>
        <v>0.38090909090909092</v>
      </c>
      <c r="J137" s="33">
        <f t="shared" si="52"/>
        <v>79</v>
      </c>
      <c r="K137" s="33">
        <f t="shared" si="56"/>
        <v>57</v>
      </c>
      <c r="L137" s="33">
        <f t="shared" si="56"/>
        <v>13</v>
      </c>
      <c r="M137" s="33">
        <f t="shared" si="56"/>
        <v>38</v>
      </c>
      <c r="N137" s="33">
        <f t="shared" si="49"/>
        <v>83</v>
      </c>
      <c r="O137" s="33">
        <f t="shared" si="56"/>
        <v>65</v>
      </c>
      <c r="P137" s="33">
        <f t="shared" si="56"/>
        <v>46</v>
      </c>
      <c r="Q137" s="33">
        <f t="shared" si="56"/>
        <v>38</v>
      </c>
      <c r="R137" s="35">
        <f t="shared" si="53"/>
        <v>0.12666666666666665</v>
      </c>
      <c r="S137" s="35">
        <f t="shared" si="54"/>
        <v>0.15333333333333335</v>
      </c>
      <c r="T137" s="35">
        <f t="shared" si="55"/>
        <v>0.12666666666666665</v>
      </c>
      <c r="U137" s="35">
        <f t="shared" si="50"/>
        <v>6.5420560747663559E-2</v>
      </c>
      <c r="V137" s="35">
        <f t="shared" si="57"/>
        <v>6.5420560747663559E-2</v>
      </c>
      <c r="W137" s="35">
        <f t="shared" si="57"/>
        <v>6.5420560747663559E-2</v>
      </c>
      <c r="X137" s="35">
        <f t="shared" si="57"/>
        <v>0.29078014184397161</v>
      </c>
      <c r="Y137" s="35">
        <f t="shared" si="57"/>
        <v>6.5420560747663559E-2</v>
      </c>
      <c r="Z137" s="35">
        <f t="shared" si="57"/>
        <v>6.5420560747663559E-2</v>
      </c>
      <c r="AA137" s="35">
        <f t="shared" si="57"/>
        <v>6.5420560747663559E-2</v>
      </c>
    </row>
    <row r="138" spans="2:27" x14ac:dyDescent="0.2">
      <c r="B138" s="2">
        <v>136</v>
      </c>
      <c r="C138" s="2" t="str">
        <f t="shared" si="41"/>
        <v>s</v>
      </c>
      <c r="D138" s="29" t="s">
        <v>10</v>
      </c>
      <c r="E138" s="29" t="s">
        <v>209</v>
      </c>
      <c r="F138" s="2" t="s">
        <v>214</v>
      </c>
      <c r="G138" s="2">
        <f t="shared" si="36"/>
        <v>8</v>
      </c>
      <c r="H138" s="2" t="str">
        <f t="shared" si="48"/>
        <v>火炎</v>
      </c>
      <c r="I138" s="38">
        <f t="shared" si="51"/>
        <v>0.43545454545454548</v>
      </c>
      <c r="J138" s="33">
        <f t="shared" si="52"/>
        <v>91</v>
      </c>
      <c r="K138" s="33">
        <f t="shared" si="56"/>
        <v>65</v>
      </c>
      <c r="L138" s="33">
        <f t="shared" si="56"/>
        <v>15</v>
      </c>
      <c r="M138" s="33">
        <f t="shared" si="56"/>
        <v>43</v>
      </c>
      <c r="N138" s="33">
        <f t="shared" si="49"/>
        <v>95</v>
      </c>
      <c r="O138" s="33">
        <f t="shared" si="56"/>
        <v>75</v>
      </c>
      <c r="P138" s="33">
        <f t="shared" si="56"/>
        <v>52</v>
      </c>
      <c r="Q138" s="33">
        <f t="shared" si="56"/>
        <v>43</v>
      </c>
      <c r="R138" s="35">
        <f t="shared" si="53"/>
        <v>0.14333333333333334</v>
      </c>
      <c r="S138" s="35">
        <f t="shared" si="54"/>
        <v>0.17333333333333331</v>
      </c>
      <c r="T138" s="35">
        <f t="shared" si="55"/>
        <v>0.14333333333333334</v>
      </c>
      <c r="U138" s="35">
        <f t="shared" si="50"/>
        <v>7.407407407407407E-2</v>
      </c>
      <c r="V138" s="35">
        <f t="shared" si="57"/>
        <v>7.407407407407407E-2</v>
      </c>
      <c r="W138" s="35">
        <f t="shared" si="57"/>
        <v>7.407407407407407E-2</v>
      </c>
      <c r="X138" s="35">
        <f t="shared" si="57"/>
        <v>0.31972789115646261</v>
      </c>
      <c r="Y138" s="35">
        <f t="shared" si="57"/>
        <v>7.407407407407407E-2</v>
      </c>
      <c r="Z138" s="35">
        <f t="shared" si="57"/>
        <v>7.407407407407407E-2</v>
      </c>
      <c r="AA138" s="35">
        <f t="shared" si="57"/>
        <v>7.407407407407407E-2</v>
      </c>
    </row>
    <row r="139" spans="2:27" x14ac:dyDescent="0.2">
      <c r="B139" s="2">
        <v>137</v>
      </c>
      <c r="C139" s="2" t="str">
        <f t="shared" si="41"/>
        <v>a</v>
      </c>
      <c r="D139" s="29" t="s">
        <v>163</v>
      </c>
      <c r="E139" s="29" t="s">
        <v>209</v>
      </c>
      <c r="F139" s="2" t="s">
        <v>214</v>
      </c>
      <c r="G139" s="2">
        <f t="shared" si="36"/>
        <v>1</v>
      </c>
      <c r="H139" s="2" t="str">
        <f t="shared" si="48"/>
        <v>火炎</v>
      </c>
      <c r="I139" s="38">
        <f t="shared" si="51"/>
        <v>0.1</v>
      </c>
      <c r="J139" s="33">
        <f t="shared" si="52"/>
        <v>8</v>
      </c>
      <c r="K139" s="33">
        <f t="shared" si="56"/>
        <v>8</v>
      </c>
      <c r="L139" s="33">
        <f t="shared" si="56"/>
        <v>1</v>
      </c>
      <c r="M139" s="33">
        <f t="shared" si="56"/>
        <v>5</v>
      </c>
      <c r="N139" s="33">
        <f t="shared" si="49"/>
        <v>13</v>
      </c>
      <c r="O139" s="33">
        <f t="shared" si="56"/>
        <v>9</v>
      </c>
      <c r="P139" s="33">
        <f t="shared" si="56"/>
        <v>6</v>
      </c>
      <c r="Q139" s="33">
        <f t="shared" si="56"/>
        <v>5</v>
      </c>
      <c r="R139" s="35">
        <f t="shared" si="53"/>
        <v>1.6666666666666666E-2</v>
      </c>
      <c r="S139" s="35">
        <f t="shared" si="54"/>
        <v>0.02</v>
      </c>
      <c r="T139" s="35">
        <f t="shared" si="55"/>
        <v>1.6666666666666666E-2</v>
      </c>
      <c r="U139" s="35">
        <f t="shared" si="50"/>
        <v>9.9009900990099098E-3</v>
      </c>
      <c r="V139" s="35">
        <f t="shared" si="57"/>
        <v>9.9009900990099098E-3</v>
      </c>
      <c r="W139" s="35">
        <f t="shared" si="57"/>
        <v>9.9009900990099098E-3</v>
      </c>
      <c r="X139" s="35">
        <f t="shared" si="57"/>
        <v>5.6603773584905648E-2</v>
      </c>
      <c r="Y139" s="35">
        <f t="shared" si="57"/>
        <v>9.9009900990099098E-3</v>
      </c>
      <c r="Z139" s="35">
        <f t="shared" si="57"/>
        <v>9.9009900990099098E-3</v>
      </c>
      <c r="AA139" s="35">
        <f t="shared" si="57"/>
        <v>9.9009900990099098E-3</v>
      </c>
    </row>
    <row r="140" spans="2:27" x14ac:dyDescent="0.2">
      <c r="B140" s="2">
        <v>138</v>
      </c>
      <c r="C140" s="2" t="str">
        <f t="shared" si="41"/>
        <v>a</v>
      </c>
      <c r="D140" s="29" t="s">
        <v>163</v>
      </c>
      <c r="E140" s="29" t="s">
        <v>209</v>
      </c>
      <c r="F140" s="2" t="s">
        <v>214</v>
      </c>
      <c r="G140" s="2">
        <f t="shared" ref="G140:G203" si="58">G132</f>
        <v>2</v>
      </c>
      <c r="H140" s="2" t="str">
        <f t="shared" si="48"/>
        <v>火炎</v>
      </c>
      <c r="I140" s="38">
        <f t="shared" si="51"/>
        <v>0.10545454545454545</v>
      </c>
      <c r="J140" s="33">
        <f t="shared" si="52"/>
        <v>17</v>
      </c>
      <c r="K140" s="33">
        <f t="shared" si="56"/>
        <v>17</v>
      </c>
      <c r="L140" s="33">
        <f t="shared" si="56"/>
        <v>3</v>
      </c>
      <c r="M140" s="33">
        <f t="shared" si="56"/>
        <v>11</v>
      </c>
      <c r="N140" s="33">
        <f t="shared" si="49"/>
        <v>25</v>
      </c>
      <c r="O140" s="33">
        <f t="shared" si="56"/>
        <v>19</v>
      </c>
      <c r="P140" s="33">
        <f t="shared" si="56"/>
        <v>13</v>
      </c>
      <c r="Q140" s="33">
        <f t="shared" si="56"/>
        <v>11</v>
      </c>
      <c r="R140" s="35">
        <f t="shared" si="53"/>
        <v>3.6666666666666667E-2</v>
      </c>
      <c r="S140" s="35">
        <f t="shared" si="54"/>
        <v>4.3333333333333328E-2</v>
      </c>
      <c r="T140" s="35">
        <f t="shared" si="55"/>
        <v>3.6666666666666667E-2</v>
      </c>
      <c r="U140" s="35">
        <f t="shared" si="50"/>
        <v>1.9607843137254943E-2</v>
      </c>
      <c r="V140" s="35">
        <f t="shared" si="57"/>
        <v>1.9607843137254943E-2</v>
      </c>
      <c r="W140" s="35">
        <f t="shared" si="57"/>
        <v>1.9607843137254943E-2</v>
      </c>
      <c r="X140" s="35">
        <f t="shared" si="57"/>
        <v>0.11111111111111116</v>
      </c>
      <c r="Y140" s="35">
        <f t="shared" si="57"/>
        <v>1.9607843137254943E-2</v>
      </c>
      <c r="Z140" s="35">
        <f t="shared" si="57"/>
        <v>1.9607843137254943E-2</v>
      </c>
      <c r="AA140" s="35">
        <f t="shared" si="57"/>
        <v>1.9607843137254943E-2</v>
      </c>
    </row>
    <row r="141" spans="2:27" x14ac:dyDescent="0.2">
      <c r="B141" s="2">
        <v>139</v>
      </c>
      <c r="C141" s="2" t="str">
        <f t="shared" si="41"/>
        <v>a</v>
      </c>
      <c r="D141" s="29" t="s">
        <v>10</v>
      </c>
      <c r="E141" s="29" t="s">
        <v>209</v>
      </c>
      <c r="F141" s="2" t="s">
        <v>214</v>
      </c>
      <c r="G141" s="2">
        <f t="shared" si="58"/>
        <v>3</v>
      </c>
      <c r="H141" s="2" t="str">
        <f t="shared" si="48"/>
        <v>火炎</v>
      </c>
      <c r="I141" s="38">
        <f t="shared" si="51"/>
        <v>0.16181818181818183</v>
      </c>
      <c r="J141" s="33">
        <f t="shared" si="52"/>
        <v>26</v>
      </c>
      <c r="K141" s="33">
        <f t="shared" si="56"/>
        <v>26</v>
      </c>
      <c r="L141" s="33">
        <f t="shared" si="56"/>
        <v>5</v>
      </c>
      <c r="M141" s="33">
        <f t="shared" si="56"/>
        <v>17</v>
      </c>
      <c r="N141" s="33">
        <f t="shared" si="49"/>
        <v>38</v>
      </c>
      <c r="O141" s="33">
        <f t="shared" si="56"/>
        <v>29</v>
      </c>
      <c r="P141" s="33">
        <f t="shared" si="56"/>
        <v>20</v>
      </c>
      <c r="Q141" s="33">
        <f t="shared" si="56"/>
        <v>17</v>
      </c>
      <c r="R141" s="35">
        <f t="shared" si="53"/>
        <v>5.6666666666666671E-2</v>
      </c>
      <c r="S141" s="35">
        <f t="shared" si="54"/>
        <v>6.6666666666666666E-2</v>
      </c>
      <c r="T141" s="35">
        <f t="shared" si="55"/>
        <v>5.6666666666666671E-2</v>
      </c>
      <c r="U141" s="35">
        <f t="shared" si="50"/>
        <v>2.9126213592232997E-2</v>
      </c>
      <c r="V141" s="35">
        <f t="shared" si="57"/>
        <v>2.9126213592232997E-2</v>
      </c>
      <c r="W141" s="35">
        <f t="shared" si="57"/>
        <v>2.9126213592232997E-2</v>
      </c>
      <c r="X141" s="35">
        <f t="shared" si="57"/>
        <v>0.15611814345991559</v>
      </c>
      <c r="Y141" s="35">
        <f t="shared" si="57"/>
        <v>2.9126213592232997E-2</v>
      </c>
      <c r="Z141" s="35">
        <f t="shared" si="57"/>
        <v>2.9126213592232997E-2</v>
      </c>
      <c r="AA141" s="35">
        <f t="shared" si="57"/>
        <v>2.9126213592232997E-2</v>
      </c>
    </row>
    <row r="142" spans="2:27" x14ac:dyDescent="0.2">
      <c r="B142" s="2">
        <v>140</v>
      </c>
      <c r="C142" s="2" t="str">
        <f t="shared" si="41"/>
        <v>a</v>
      </c>
      <c r="D142" s="29" t="s">
        <v>163</v>
      </c>
      <c r="E142" s="29" t="s">
        <v>209</v>
      </c>
      <c r="F142" s="2" t="s">
        <v>214</v>
      </c>
      <c r="G142" s="2">
        <f t="shared" si="58"/>
        <v>4</v>
      </c>
      <c r="H142" s="2" t="str">
        <f t="shared" si="48"/>
        <v>火炎</v>
      </c>
      <c r="I142" s="38">
        <f t="shared" si="51"/>
        <v>0.21545454545454545</v>
      </c>
      <c r="J142" s="33">
        <f t="shared" si="52"/>
        <v>34</v>
      </c>
      <c r="K142" s="33">
        <f t="shared" si="56"/>
        <v>34</v>
      </c>
      <c r="L142" s="33">
        <f t="shared" si="56"/>
        <v>7</v>
      </c>
      <c r="M142" s="33">
        <f t="shared" si="56"/>
        <v>23</v>
      </c>
      <c r="N142" s="33">
        <f t="shared" si="49"/>
        <v>50</v>
      </c>
      <c r="O142" s="33">
        <f t="shared" si="56"/>
        <v>39</v>
      </c>
      <c r="P142" s="33">
        <f t="shared" si="56"/>
        <v>27</v>
      </c>
      <c r="Q142" s="33">
        <f t="shared" si="56"/>
        <v>23</v>
      </c>
      <c r="R142" s="35">
        <f t="shared" si="53"/>
        <v>7.6666666666666675E-2</v>
      </c>
      <c r="S142" s="35">
        <f t="shared" si="54"/>
        <v>0.09</v>
      </c>
      <c r="T142" s="35">
        <f t="shared" si="55"/>
        <v>7.6666666666666675E-2</v>
      </c>
      <c r="U142" s="35">
        <f t="shared" si="50"/>
        <v>3.8461538461538436E-2</v>
      </c>
      <c r="V142" s="35">
        <f t="shared" si="57"/>
        <v>3.8461538461538436E-2</v>
      </c>
      <c r="W142" s="35">
        <f t="shared" si="57"/>
        <v>3.8461538461538436E-2</v>
      </c>
      <c r="X142" s="35">
        <f t="shared" si="57"/>
        <v>0.19999999999999996</v>
      </c>
      <c r="Y142" s="35">
        <f t="shared" si="57"/>
        <v>3.8461538461538436E-2</v>
      </c>
      <c r="Z142" s="35">
        <f t="shared" si="57"/>
        <v>3.8461538461538436E-2</v>
      </c>
      <c r="AA142" s="35">
        <f t="shared" si="57"/>
        <v>3.8461538461538436E-2</v>
      </c>
    </row>
    <row r="143" spans="2:27" x14ac:dyDescent="0.2">
      <c r="B143" s="2">
        <v>141</v>
      </c>
      <c r="C143" s="2" t="str">
        <f t="shared" si="41"/>
        <v>a</v>
      </c>
      <c r="D143" s="29" t="s">
        <v>163</v>
      </c>
      <c r="E143" s="29" t="s">
        <v>209</v>
      </c>
      <c r="F143" s="2" t="s">
        <v>214</v>
      </c>
      <c r="G143" s="2">
        <f t="shared" si="58"/>
        <v>5</v>
      </c>
      <c r="H143" s="2" t="str">
        <f t="shared" si="48"/>
        <v>火炎</v>
      </c>
      <c r="I143" s="38">
        <f t="shared" si="51"/>
        <v>0.2690909090909091</v>
      </c>
      <c r="J143" s="33">
        <f t="shared" si="52"/>
        <v>43</v>
      </c>
      <c r="K143" s="33">
        <f t="shared" ref="K143:Q152" si="59">INT((1+VLOOKUP($F143,role_property_weight,getpos(K$2),FALSE))*(1+VLOOKUP($F143,weapon_property_weight,getpos(K$2),FALSE))*VLOOKUP($E143,role_grow,getpos(K$2),FALSE)*$G143*10*VLOOKUP($C143,weapon_grow1,5,FALSE))</f>
        <v>43</v>
      </c>
      <c r="L143" s="33">
        <f t="shared" si="59"/>
        <v>9</v>
      </c>
      <c r="M143" s="33">
        <f t="shared" si="59"/>
        <v>28</v>
      </c>
      <c r="N143" s="33">
        <f t="shared" si="49"/>
        <v>62</v>
      </c>
      <c r="O143" s="33">
        <f t="shared" si="59"/>
        <v>49</v>
      </c>
      <c r="P143" s="33">
        <f t="shared" si="59"/>
        <v>34</v>
      </c>
      <c r="Q143" s="33">
        <f t="shared" si="59"/>
        <v>28</v>
      </c>
      <c r="R143" s="35">
        <f t="shared" si="53"/>
        <v>9.3333333333333338E-2</v>
      </c>
      <c r="S143" s="35">
        <f t="shared" si="54"/>
        <v>0.11333333333333334</v>
      </c>
      <c r="T143" s="35">
        <f t="shared" si="55"/>
        <v>9.3333333333333338E-2</v>
      </c>
      <c r="U143" s="35">
        <f t="shared" si="50"/>
        <v>4.7619047619047672E-2</v>
      </c>
      <c r="V143" s="35">
        <f t="shared" ref="V143:AA152" si="60">1-200/(200+ROUND((1+VLOOKUP($F143,role_property_weight,getpos(V$2),FALSE))*VLOOKUP($E143,role_grow,getpos(V$2),FALSE)*$G143*10*VLOOKUP($C143,weapon_grow1,5,FALSE),0))</f>
        <v>4.7619047619047672E-2</v>
      </c>
      <c r="W143" s="35">
        <f t="shared" si="60"/>
        <v>4.7619047619047672E-2</v>
      </c>
      <c r="X143" s="35">
        <f t="shared" si="60"/>
        <v>0.23664122137404575</v>
      </c>
      <c r="Y143" s="35">
        <f t="shared" si="60"/>
        <v>4.7619047619047672E-2</v>
      </c>
      <c r="Z143" s="35">
        <f t="shared" si="60"/>
        <v>4.7619047619047672E-2</v>
      </c>
      <c r="AA143" s="35">
        <f t="shared" si="60"/>
        <v>4.7619047619047672E-2</v>
      </c>
    </row>
    <row r="144" spans="2:27" x14ac:dyDescent="0.2">
      <c r="B144" s="2">
        <v>142</v>
      </c>
      <c r="C144" s="2" t="str">
        <f t="shared" si="41"/>
        <v>a</v>
      </c>
      <c r="D144" s="29" t="s">
        <v>163</v>
      </c>
      <c r="E144" s="29" t="s">
        <v>209</v>
      </c>
      <c r="F144" s="2" t="s">
        <v>214</v>
      </c>
      <c r="G144" s="2">
        <f t="shared" si="58"/>
        <v>6</v>
      </c>
      <c r="H144" s="2" t="str">
        <f t="shared" si="48"/>
        <v>火炎</v>
      </c>
      <c r="I144" s="38">
        <f t="shared" si="51"/>
        <v>0.32545454545454544</v>
      </c>
      <c r="J144" s="33">
        <f t="shared" si="52"/>
        <v>52</v>
      </c>
      <c r="K144" s="33">
        <f t="shared" si="59"/>
        <v>52</v>
      </c>
      <c r="L144" s="33">
        <f t="shared" si="59"/>
        <v>11</v>
      </c>
      <c r="M144" s="33">
        <f t="shared" si="59"/>
        <v>34</v>
      </c>
      <c r="N144" s="33">
        <f t="shared" si="49"/>
        <v>75</v>
      </c>
      <c r="O144" s="33">
        <f t="shared" si="59"/>
        <v>59</v>
      </c>
      <c r="P144" s="33">
        <f t="shared" si="59"/>
        <v>41</v>
      </c>
      <c r="Q144" s="33">
        <f t="shared" si="59"/>
        <v>34</v>
      </c>
      <c r="R144" s="35">
        <f t="shared" si="53"/>
        <v>0.11333333333333334</v>
      </c>
      <c r="S144" s="35">
        <f t="shared" si="54"/>
        <v>0.13666666666666666</v>
      </c>
      <c r="T144" s="35">
        <f t="shared" si="55"/>
        <v>0.11333333333333334</v>
      </c>
      <c r="U144" s="35">
        <f t="shared" si="50"/>
        <v>5.6603773584905648E-2</v>
      </c>
      <c r="V144" s="35">
        <f t="shared" si="60"/>
        <v>5.6603773584905648E-2</v>
      </c>
      <c r="W144" s="35">
        <f t="shared" si="60"/>
        <v>5.6603773584905648E-2</v>
      </c>
      <c r="X144" s="35">
        <f t="shared" si="60"/>
        <v>0.27007299270072993</v>
      </c>
      <c r="Y144" s="35">
        <f t="shared" si="60"/>
        <v>5.6603773584905648E-2</v>
      </c>
      <c r="Z144" s="35">
        <f t="shared" si="60"/>
        <v>5.6603773584905648E-2</v>
      </c>
      <c r="AA144" s="35">
        <f t="shared" si="60"/>
        <v>5.6603773584905648E-2</v>
      </c>
    </row>
    <row r="145" spans="2:27" x14ac:dyDescent="0.2">
      <c r="B145" s="2">
        <v>143</v>
      </c>
      <c r="C145" s="2" t="str">
        <f t="shared" si="41"/>
        <v>a</v>
      </c>
      <c r="D145" s="29" t="s">
        <v>10</v>
      </c>
      <c r="E145" s="29" t="s">
        <v>209</v>
      </c>
      <c r="F145" s="2" t="s">
        <v>214</v>
      </c>
      <c r="G145" s="2">
        <f t="shared" si="58"/>
        <v>7</v>
      </c>
      <c r="H145" s="2" t="str">
        <f t="shared" si="48"/>
        <v>火炎</v>
      </c>
      <c r="I145" s="38">
        <f t="shared" si="51"/>
        <v>0.38</v>
      </c>
      <c r="J145" s="33">
        <f t="shared" si="52"/>
        <v>61</v>
      </c>
      <c r="K145" s="33">
        <f t="shared" si="59"/>
        <v>60</v>
      </c>
      <c r="L145" s="33">
        <f t="shared" si="59"/>
        <v>13</v>
      </c>
      <c r="M145" s="33">
        <f t="shared" si="59"/>
        <v>40</v>
      </c>
      <c r="N145" s="33">
        <f t="shared" si="49"/>
        <v>87</v>
      </c>
      <c r="O145" s="33">
        <f t="shared" si="59"/>
        <v>69</v>
      </c>
      <c r="P145" s="33">
        <f t="shared" si="59"/>
        <v>48</v>
      </c>
      <c r="Q145" s="33">
        <f t="shared" si="59"/>
        <v>40</v>
      </c>
      <c r="R145" s="35">
        <f t="shared" si="53"/>
        <v>0.13333333333333333</v>
      </c>
      <c r="S145" s="35">
        <f t="shared" si="54"/>
        <v>0.16</v>
      </c>
      <c r="T145" s="35">
        <f t="shared" si="55"/>
        <v>0.13333333333333333</v>
      </c>
      <c r="U145" s="35">
        <f t="shared" si="50"/>
        <v>6.5420560747663559E-2</v>
      </c>
      <c r="V145" s="35">
        <f t="shared" si="60"/>
        <v>6.5420560747663559E-2</v>
      </c>
      <c r="W145" s="35">
        <f t="shared" si="60"/>
        <v>6.5420560747663559E-2</v>
      </c>
      <c r="X145" s="35">
        <f t="shared" si="60"/>
        <v>0.30313588850174211</v>
      </c>
      <c r="Y145" s="35">
        <f t="shared" si="60"/>
        <v>6.5420560747663559E-2</v>
      </c>
      <c r="Z145" s="35">
        <f t="shared" si="60"/>
        <v>6.5420560747663559E-2</v>
      </c>
      <c r="AA145" s="35">
        <f t="shared" si="60"/>
        <v>6.5420560747663559E-2</v>
      </c>
    </row>
    <row r="146" spans="2:27" x14ac:dyDescent="0.2">
      <c r="B146" s="2">
        <v>144</v>
      </c>
      <c r="C146" s="2" t="str">
        <f t="shared" si="41"/>
        <v>a</v>
      </c>
      <c r="D146" s="29" t="s">
        <v>163</v>
      </c>
      <c r="E146" s="29" t="s">
        <v>209</v>
      </c>
      <c r="F146" s="2" t="s">
        <v>214</v>
      </c>
      <c r="G146" s="2">
        <f t="shared" si="58"/>
        <v>8</v>
      </c>
      <c r="H146" s="2" t="str">
        <f t="shared" si="48"/>
        <v>火炎</v>
      </c>
      <c r="I146" s="38">
        <f t="shared" si="51"/>
        <v>0.43545454545454548</v>
      </c>
      <c r="J146" s="33">
        <f t="shared" si="52"/>
        <v>69</v>
      </c>
      <c r="K146" s="33">
        <f t="shared" si="59"/>
        <v>69</v>
      </c>
      <c r="L146" s="33">
        <f t="shared" si="59"/>
        <v>15</v>
      </c>
      <c r="M146" s="33">
        <f t="shared" si="59"/>
        <v>46</v>
      </c>
      <c r="N146" s="33">
        <f t="shared" si="49"/>
        <v>100</v>
      </c>
      <c r="O146" s="33">
        <f t="shared" si="59"/>
        <v>79</v>
      </c>
      <c r="P146" s="33">
        <f t="shared" si="59"/>
        <v>55</v>
      </c>
      <c r="Q146" s="33">
        <f t="shared" si="59"/>
        <v>46</v>
      </c>
      <c r="R146" s="35">
        <f t="shared" si="53"/>
        <v>0.15333333333333335</v>
      </c>
      <c r="S146" s="35">
        <f t="shared" si="54"/>
        <v>0.18333333333333332</v>
      </c>
      <c r="T146" s="35">
        <f t="shared" si="55"/>
        <v>0.15333333333333335</v>
      </c>
      <c r="U146" s="35">
        <f t="shared" si="50"/>
        <v>7.8341013824884786E-2</v>
      </c>
      <c r="V146" s="35">
        <f t="shared" si="60"/>
        <v>7.8341013824884786E-2</v>
      </c>
      <c r="W146" s="35">
        <f t="shared" si="60"/>
        <v>7.8341013824884786E-2</v>
      </c>
      <c r="X146" s="35">
        <f t="shared" si="60"/>
        <v>0.33110367892976589</v>
      </c>
      <c r="Y146" s="35">
        <f t="shared" si="60"/>
        <v>7.8341013824884786E-2</v>
      </c>
      <c r="Z146" s="35">
        <f t="shared" si="60"/>
        <v>7.8341013824884786E-2</v>
      </c>
      <c r="AA146" s="35">
        <f t="shared" si="60"/>
        <v>7.8341013824884786E-2</v>
      </c>
    </row>
    <row r="147" spans="2:27" x14ac:dyDescent="0.2">
      <c r="B147" s="2">
        <v>145</v>
      </c>
      <c r="C147" s="2" t="str">
        <f t="shared" si="41"/>
        <v>b</v>
      </c>
      <c r="D147" s="29" t="s">
        <v>164</v>
      </c>
      <c r="E147" s="29" t="s">
        <v>209</v>
      </c>
      <c r="F147" s="2" t="s">
        <v>214</v>
      </c>
      <c r="G147" s="2">
        <f t="shared" si="58"/>
        <v>1</v>
      </c>
      <c r="H147" s="2" t="str">
        <f t="shared" si="48"/>
        <v>火炎</v>
      </c>
      <c r="I147" s="38">
        <f t="shared" si="51"/>
        <v>0.1</v>
      </c>
      <c r="J147" s="33">
        <f t="shared" si="52"/>
        <v>9</v>
      </c>
      <c r="K147" s="33">
        <f t="shared" si="59"/>
        <v>10</v>
      </c>
      <c r="L147" s="33">
        <f t="shared" si="59"/>
        <v>2</v>
      </c>
      <c r="M147" s="33">
        <f t="shared" si="59"/>
        <v>7</v>
      </c>
      <c r="N147" s="33">
        <f t="shared" si="49"/>
        <v>16</v>
      </c>
      <c r="O147" s="33">
        <f t="shared" si="59"/>
        <v>12</v>
      </c>
      <c r="P147" s="33">
        <f t="shared" si="59"/>
        <v>8</v>
      </c>
      <c r="Q147" s="33">
        <f t="shared" si="59"/>
        <v>7</v>
      </c>
      <c r="R147" s="35">
        <f t="shared" si="53"/>
        <v>2.3333333333333334E-2</v>
      </c>
      <c r="S147" s="35">
        <f t="shared" si="54"/>
        <v>2.6666666666666665E-2</v>
      </c>
      <c r="T147" s="35">
        <f t="shared" si="55"/>
        <v>2.3333333333333334E-2</v>
      </c>
      <c r="U147" s="35">
        <f t="shared" si="50"/>
        <v>1.4778325123152691E-2</v>
      </c>
      <c r="V147" s="35">
        <f t="shared" si="60"/>
        <v>1.4778325123152691E-2</v>
      </c>
      <c r="W147" s="35">
        <f t="shared" si="60"/>
        <v>1.4778325123152691E-2</v>
      </c>
      <c r="X147" s="35">
        <f t="shared" si="60"/>
        <v>7.407407407407407E-2</v>
      </c>
      <c r="Y147" s="35">
        <f t="shared" si="60"/>
        <v>1.4778325123152691E-2</v>
      </c>
      <c r="Z147" s="35">
        <f t="shared" si="60"/>
        <v>1.4778325123152691E-2</v>
      </c>
      <c r="AA147" s="35">
        <f t="shared" si="60"/>
        <v>1.4778325123152691E-2</v>
      </c>
    </row>
    <row r="148" spans="2:27" x14ac:dyDescent="0.2">
      <c r="B148" s="2">
        <v>146</v>
      </c>
      <c r="C148" s="2" t="str">
        <f t="shared" si="41"/>
        <v>b</v>
      </c>
      <c r="D148" s="29" t="s">
        <v>134</v>
      </c>
      <c r="E148" s="29" t="s">
        <v>209</v>
      </c>
      <c r="F148" s="2" t="s">
        <v>214</v>
      </c>
      <c r="G148" s="2">
        <f t="shared" si="58"/>
        <v>2</v>
      </c>
      <c r="H148" s="2" t="str">
        <f t="shared" si="48"/>
        <v>火炎</v>
      </c>
      <c r="I148" s="38">
        <f t="shared" si="51"/>
        <v>0.13090909090909092</v>
      </c>
      <c r="J148" s="33">
        <f t="shared" si="52"/>
        <v>18</v>
      </c>
      <c r="K148" s="33">
        <f t="shared" si="59"/>
        <v>21</v>
      </c>
      <c r="L148" s="33">
        <f t="shared" si="59"/>
        <v>4</v>
      </c>
      <c r="M148" s="33">
        <f t="shared" si="59"/>
        <v>14</v>
      </c>
      <c r="N148" s="33">
        <f t="shared" si="49"/>
        <v>32</v>
      </c>
      <c r="O148" s="33">
        <f t="shared" si="59"/>
        <v>24</v>
      </c>
      <c r="P148" s="33">
        <f t="shared" si="59"/>
        <v>17</v>
      </c>
      <c r="Q148" s="33">
        <f t="shared" si="59"/>
        <v>14</v>
      </c>
      <c r="R148" s="35">
        <f t="shared" si="53"/>
        <v>4.6666666666666669E-2</v>
      </c>
      <c r="S148" s="35">
        <f t="shared" si="54"/>
        <v>5.6666666666666671E-2</v>
      </c>
      <c r="T148" s="35">
        <f t="shared" si="55"/>
        <v>4.6666666666666669E-2</v>
      </c>
      <c r="U148" s="35">
        <f t="shared" si="50"/>
        <v>2.4390243902439046E-2</v>
      </c>
      <c r="V148" s="35">
        <f t="shared" si="60"/>
        <v>2.4390243902439046E-2</v>
      </c>
      <c r="W148" s="35">
        <f t="shared" si="60"/>
        <v>2.4390243902439046E-2</v>
      </c>
      <c r="X148" s="35">
        <f t="shared" si="60"/>
        <v>0.13419913419913421</v>
      </c>
      <c r="Y148" s="35">
        <f t="shared" si="60"/>
        <v>2.4390243902439046E-2</v>
      </c>
      <c r="Z148" s="35">
        <f t="shared" si="60"/>
        <v>2.4390243902439046E-2</v>
      </c>
      <c r="AA148" s="35">
        <f t="shared" si="60"/>
        <v>2.4390243902439046E-2</v>
      </c>
    </row>
    <row r="149" spans="2:27" x14ac:dyDescent="0.2">
      <c r="B149" s="2">
        <v>147</v>
      </c>
      <c r="C149" s="2" t="str">
        <f t="shared" si="41"/>
        <v>b</v>
      </c>
      <c r="D149" s="29" t="s">
        <v>163</v>
      </c>
      <c r="E149" s="29" t="s">
        <v>209</v>
      </c>
      <c r="F149" s="2" t="s">
        <v>214</v>
      </c>
      <c r="G149" s="2">
        <f t="shared" si="58"/>
        <v>3</v>
      </c>
      <c r="H149" s="2" t="str">
        <f t="shared" si="48"/>
        <v>火炎</v>
      </c>
      <c r="I149" s="38">
        <f t="shared" si="51"/>
        <v>0.1990909090909091</v>
      </c>
      <c r="J149" s="33">
        <f t="shared" si="52"/>
        <v>28</v>
      </c>
      <c r="K149" s="33">
        <f t="shared" si="59"/>
        <v>32</v>
      </c>
      <c r="L149" s="33">
        <f t="shared" si="59"/>
        <v>7</v>
      </c>
      <c r="M149" s="33">
        <f t="shared" si="59"/>
        <v>21</v>
      </c>
      <c r="N149" s="33">
        <f t="shared" si="49"/>
        <v>47</v>
      </c>
      <c r="O149" s="33">
        <f t="shared" si="59"/>
        <v>37</v>
      </c>
      <c r="P149" s="33">
        <f t="shared" si="59"/>
        <v>26</v>
      </c>
      <c r="Q149" s="33">
        <f t="shared" si="59"/>
        <v>21</v>
      </c>
      <c r="R149" s="35">
        <f t="shared" si="53"/>
        <v>7.0000000000000007E-2</v>
      </c>
      <c r="S149" s="35">
        <f t="shared" si="54"/>
        <v>8.6666666666666656E-2</v>
      </c>
      <c r="T149" s="35">
        <f t="shared" si="55"/>
        <v>7.0000000000000007E-2</v>
      </c>
      <c r="U149" s="35">
        <f t="shared" si="50"/>
        <v>3.8461538461538436E-2</v>
      </c>
      <c r="V149" s="35">
        <f t="shared" si="60"/>
        <v>3.8461538461538436E-2</v>
      </c>
      <c r="W149" s="35">
        <f t="shared" si="60"/>
        <v>3.8461538461538436E-2</v>
      </c>
      <c r="X149" s="35">
        <f t="shared" si="60"/>
        <v>0.19028340080971662</v>
      </c>
      <c r="Y149" s="35">
        <f t="shared" si="60"/>
        <v>3.8461538461538436E-2</v>
      </c>
      <c r="Z149" s="35">
        <f t="shared" si="60"/>
        <v>3.8461538461538436E-2</v>
      </c>
      <c r="AA149" s="35">
        <f t="shared" si="60"/>
        <v>3.8461538461538436E-2</v>
      </c>
    </row>
    <row r="150" spans="2:27" x14ac:dyDescent="0.2">
      <c r="B150" s="2">
        <v>148</v>
      </c>
      <c r="C150" s="2" t="str">
        <f t="shared" si="41"/>
        <v>b</v>
      </c>
      <c r="D150" s="29" t="s">
        <v>163</v>
      </c>
      <c r="E150" s="29" t="s">
        <v>209</v>
      </c>
      <c r="F150" s="2" t="s">
        <v>214</v>
      </c>
      <c r="G150" s="2">
        <f t="shared" si="58"/>
        <v>4</v>
      </c>
      <c r="H150" s="2" t="str">
        <f t="shared" si="48"/>
        <v>火炎</v>
      </c>
      <c r="I150" s="38">
        <f t="shared" si="51"/>
        <v>0.26636363636363636</v>
      </c>
      <c r="J150" s="33">
        <f t="shared" si="52"/>
        <v>37</v>
      </c>
      <c r="K150" s="33">
        <f t="shared" si="59"/>
        <v>43</v>
      </c>
      <c r="L150" s="33">
        <f t="shared" si="59"/>
        <v>9</v>
      </c>
      <c r="M150" s="33">
        <f t="shared" si="59"/>
        <v>29</v>
      </c>
      <c r="N150" s="33">
        <f t="shared" si="49"/>
        <v>63</v>
      </c>
      <c r="O150" s="33">
        <f t="shared" si="59"/>
        <v>49</v>
      </c>
      <c r="P150" s="33">
        <f t="shared" si="59"/>
        <v>34</v>
      </c>
      <c r="Q150" s="33">
        <f t="shared" si="59"/>
        <v>29</v>
      </c>
      <c r="R150" s="35">
        <f t="shared" si="53"/>
        <v>9.6666666666666665E-2</v>
      </c>
      <c r="S150" s="35">
        <f t="shared" si="54"/>
        <v>0.11333333333333334</v>
      </c>
      <c r="T150" s="35">
        <f t="shared" si="55"/>
        <v>9.6666666666666665E-2</v>
      </c>
      <c r="U150" s="35">
        <f t="shared" si="50"/>
        <v>4.7619047619047672E-2</v>
      </c>
      <c r="V150" s="35">
        <f t="shared" si="60"/>
        <v>4.7619047619047672E-2</v>
      </c>
      <c r="W150" s="35">
        <f t="shared" si="60"/>
        <v>4.7619047619047672E-2</v>
      </c>
      <c r="X150" s="35">
        <f t="shared" si="60"/>
        <v>0.23664122137404575</v>
      </c>
      <c r="Y150" s="35">
        <f t="shared" si="60"/>
        <v>4.7619047619047672E-2</v>
      </c>
      <c r="Z150" s="35">
        <f t="shared" si="60"/>
        <v>4.7619047619047672E-2</v>
      </c>
      <c r="AA150" s="35">
        <f t="shared" si="60"/>
        <v>4.7619047619047672E-2</v>
      </c>
    </row>
    <row r="151" spans="2:27" x14ac:dyDescent="0.2">
      <c r="B151" s="2">
        <v>149</v>
      </c>
      <c r="C151" s="2" t="str">
        <f t="shared" si="41"/>
        <v>b</v>
      </c>
      <c r="D151" s="29" t="s">
        <v>10</v>
      </c>
      <c r="E151" s="29" t="s">
        <v>209</v>
      </c>
      <c r="F151" s="2" t="s">
        <v>214</v>
      </c>
      <c r="G151" s="2">
        <f t="shared" si="58"/>
        <v>5</v>
      </c>
      <c r="H151" s="2" t="str">
        <f t="shared" si="48"/>
        <v>火炎</v>
      </c>
      <c r="I151" s="38">
        <f t="shared" si="51"/>
        <v>0.33454545454545453</v>
      </c>
      <c r="J151" s="33">
        <f t="shared" si="52"/>
        <v>47</v>
      </c>
      <c r="K151" s="33">
        <f t="shared" si="59"/>
        <v>54</v>
      </c>
      <c r="L151" s="33">
        <f t="shared" si="59"/>
        <v>12</v>
      </c>
      <c r="M151" s="33">
        <f t="shared" si="59"/>
        <v>36</v>
      </c>
      <c r="N151" s="33">
        <f t="shared" si="49"/>
        <v>78</v>
      </c>
      <c r="O151" s="33">
        <f t="shared" si="59"/>
        <v>62</v>
      </c>
      <c r="P151" s="33">
        <f t="shared" si="59"/>
        <v>43</v>
      </c>
      <c r="Q151" s="33">
        <f t="shared" si="59"/>
        <v>36</v>
      </c>
      <c r="R151" s="35">
        <f t="shared" si="53"/>
        <v>0.12</v>
      </c>
      <c r="S151" s="35">
        <f t="shared" si="54"/>
        <v>0.14333333333333334</v>
      </c>
      <c r="T151" s="35">
        <f t="shared" si="55"/>
        <v>0.12</v>
      </c>
      <c r="U151" s="35">
        <f t="shared" si="50"/>
        <v>6.1032863849765251E-2</v>
      </c>
      <c r="V151" s="35">
        <f t="shared" si="60"/>
        <v>6.1032863849765251E-2</v>
      </c>
      <c r="W151" s="35">
        <f t="shared" si="60"/>
        <v>6.1032863849765251E-2</v>
      </c>
      <c r="X151" s="35">
        <f t="shared" si="60"/>
        <v>0.28057553956834536</v>
      </c>
      <c r="Y151" s="35">
        <f t="shared" si="60"/>
        <v>6.1032863849765251E-2</v>
      </c>
      <c r="Z151" s="35">
        <f t="shared" si="60"/>
        <v>6.1032863849765251E-2</v>
      </c>
      <c r="AA151" s="35">
        <f t="shared" si="60"/>
        <v>6.1032863849765251E-2</v>
      </c>
    </row>
    <row r="152" spans="2:27" x14ac:dyDescent="0.2">
      <c r="B152" s="2">
        <v>150</v>
      </c>
      <c r="C152" s="2" t="str">
        <f t="shared" si="41"/>
        <v>b</v>
      </c>
      <c r="D152" s="29" t="s">
        <v>163</v>
      </c>
      <c r="E152" s="29" t="s">
        <v>209</v>
      </c>
      <c r="F152" s="2" t="s">
        <v>214</v>
      </c>
      <c r="G152" s="2">
        <f t="shared" si="58"/>
        <v>6</v>
      </c>
      <c r="H152" s="2" t="str">
        <f t="shared" si="48"/>
        <v>火炎</v>
      </c>
      <c r="I152" s="38">
        <f t="shared" si="51"/>
        <v>0.40090909090909094</v>
      </c>
      <c r="J152" s="33">
        <f t="shared" si="52"/>
        <v>56</v>
      </c>
      <c r="K152" s="33">
        <f t="shared" si="59"/>
        <v>65</v>
      </c>
      <c r="L152" s="33">
        <f t="shared" si="59"/>
        <v>14</v>
      </c>
      <c r="M152" s="33">
        <f t="shared" si="59"/>
        <v>43</v>
      </c>
      <c r="N152" s="33">
        <f t="shared" si="49"/>
        <v>94</v>
      </c>
      <c r="O152" s="33">
        <f t="shared" si="59"/>
        <v>74</v>
      </c>
      <c r="P152" s="33">
        <f t="shared" si="59"/>
        <v>52</v>
      </c>
      <c r="Q152" s="33">
        <f t="shared" si="59"/>
        <v>43</v>
      </c>
      <c r="R152" s="35">
        <f t="shared" si="53"/>
        <v>0.14333333333333334</v>
      </c>
      <c r="S152" s="35">
        <f t="shared" si="54"/>
        <v>0.17333333333333331</v>
      </c>
      <c r="T152" s="35">
        <f t="shared" si="55"/>
        <v>0.14333333333333334</v>
      </c>
      <c r="U152" s="35">
        <f t="shared" si="50"/>
        <v>7.407407407407407E-2</v>
      </c>
      <c r="V152" s="35">
        <f t="shared" si="60"/>
        <v>7.407407407407407E-2</v>
      </c>
      <c r="W152" s="35">
        <f t="shared" si="60"/>
        <v>7.407407407407407E-2</v>
      </c>
      <c r="X152" s="35">
        <f t="shared" si="60"/>
        <v>0.31972789115646261</v>
      </c>
      <c r="Y152" s="35">
        <f t="shared" si="60"/>
        <v>7.407407407407407E-2</v>
      </c>
      <c r="Z152" s="35">
        <f t="shared" si="60"/>
        <v>7.407407407407407E-2</v>
      </c>
      <c r="AA152" s="35">
        <f t="shared" si="60"/>
        <v>7.407407407407407E-2</v>
      </c>
    </row>
    <row r="153" spans="2:27" x14ac:dyDescent="0.2">
      <c r="B153" s="2">
        <v>151</v>
      </c>
      <c r="C153" s="2" t="str">
        <f t="shared" si="41"/>
        <v>b</v>
      </c>
      <c r="D153" s="29" t="s">
        <v>163</v>
      </c>
      <c r="E153" s="29" t="s">
        <v>209</v>
      </c>
      <c r="F153" s="2" t="s">
        <v>214</v>
      </c>
      <c r="G153" s="2">
        <f t="shared" si="58"/>
        <v>7</v>
      </c>
      <c r="H153" s="2" t="str">
        <f t="shared" si="48"/>
        <v>火炎</v>
      </c>
      <c r="I153" s="38">
        <f t="shared" si="51"/>
        <v>0.46909090909090906</v>
      </c>
      <c r="J153" s="33">
        <f t="shared" si="52"/>
        <v>65</v>
      </c>
      <c r="K153" s="33">
        <f t="shared" ref="K153:Q162" si="61">INT((1+VLOOKUP($F153,role_property_weight,getpos(K$2),FALSE))*(1+VLOOKUP($F153,weapon_property_weight,getpos(K$2),FALSE))*VLOOKUP($E153,role_grow,getpos(K$2),FALSE)*$G153*10*VLOOKUP($C153,weapon_grow1,5,FALSE))</f>
        <v>76</v>
      </c>
      <c r="L153" s="33">
        <f t="shared" si="61"/>
        <v>17</v>
      </c>
      <c r="M153" s="33">
        <f t="shared" si="61"/>
        <v>50</v>
      </c>
      <c r="N153" s="33">
        <f t="shared" si="49"/>
        <v>110</v>
      </c>
      <c r="O153" s="33">
        <f t="shared" si="61"/>
        <v>87</v>
      </c>
      <c r="P153" s="33">
        <f t="shared" si="61"/>
        <v>61</v>
      </c>
      <c r="Q153" s="33">
        <f t="shared" si="61"/>
        <v>50</v>
      </c>
      <c r="R153" s="35">
        <f t="shared" si="53"/>
        <v>0.16666666666666669</v>
      </c>
      <c r="S153" s="35">
        <f t="shared" si="54"/>
        <v>0.20333333333333331</v>
      </c>
      <c r="T153" s="35">
        <f t="shared" si="55"/>
        <v>0.16666666666666669</v>
      </c>
      <c r="U153" s="35">
        <f t="shared" si="50"/>
        <v>8.256880733944949E-2</v>
      </c>
      <c r="V153" s="35">
        <f t="shared" ref="V153:AA162" si="62">1-200/(200+ROUND((1+VLOOKUP($F153,role_property_weight,getpos(V$2),FALSE))*VLOOKUP($E153,role_grow,getpos(V$2),FALSE)*$G153*10*VLOOKUP($C153,weapon_grow1,5,FALSE),0))</f>
        <v>8.256880733944949E-2</v>
      </c>
      <c r="W153" s="35">
        <f t="shared" si="62"/>
        <v>8.256880733944949E-2</v>
      </c>
      <c r="X153" s="35">
        <f t="shared" si="62"/>
        <v>0.3527508090614887</v>
      </c>
      <c r="Y153" s="35">
        <f t="shared" si="62"/>
        <v>8.256880733944949E-2</v>
      </c>
      <c r="Z153" s="35">
        <f t="shared" si="62"/>
        <v>8.256880733944949E-2</v>
      </c>
      <c r="AA153" s="35">
        <f t="shared" si="62"/>
        <v>8.256880733944949E-2</v>
      </c>
    </row>
    <row r="154" spans="2:27" x14ac:dyDescent="0.2">
      <c r="B154" s="2">
        <v>152</v>
      </c>
      <c r="C154" s="2" t="str">
        <f t="shared" si="41"/>
        <v>b</v>
      </c>
      <c r="D154" s="29" t="s">
        <v>163</v>
      </c>
      <c r="E154" s="29" t="s">
        <v>209</v>
      </c>
      <c r="F154" s="2" t="s">
        <v>214</v>
      </c>
      <c r="G154" s="2">
        <f t="shared" si="58"/>
        <v>8</v>
      </c>
      <c r="H154" s="2" t="str">
        <f t="shared" si="48"/>
        <v>火炎</v>
      </c>
      <c r="I154" s="38">
        <f t="shared" si="51"/>
        <v>0.53636363636363638</v>
      </c>
      <c r="J154" s="33">
        <f t="shared" si="52"/>
        <v>75</v>
      </c>
      <c r="K154" s="33">
        <f t="shared" si="61"/>
        <v>87</v>
      </c>
      <c r="L154" s="33">
        <f t="shared" si="61"/>
        <v>19</v>
      </c>
      <c r="M154" s="33">
        <f t="shared" si="61"/>
        <v>58</v>
      </c>
      <c r="N154" s="33">
        <f t="shared" si="49"/>
        <v>125</v>
      </c>
      <c r="O154" s="33">
        <f t="shared" si="61"/>
        <v>99</v>
      </c>
      <c r="P154" s="33">
        <f t="shared" si="61"/>
        <v>69</v>
      </c>
      <c r="Q154" s="33">
        <f t="shared" si="61"/>
        <v>58</v>
      </c>
      <c r="R154" s="35">
        <f t="shared" si="53"/>
        <v>0.19333333333333333</v>
      </c>
      <c r="S154" s="35">
        <f t="shared" si="54"/>
        <v>0.23</v>
      </c>
      <c r="T154" s="35">
        <f t="shared" si="55"/>
        <v>0.19333333333333333</v>
      </c>
      <c r="U154" s="35">
        <f t="shared" si="50"/>
        <v>9.5022624434389136E-2</v>
      </c>
      <c r="V154" s="35">
        <f t="shared" si="62"/>
        <v>9.5022624434389136E-2</v>
      </c>
      <c r="W154" s="35">
        <f t="shared" si="62"/>
        <v>9.5022624434389136E-2</v>
      </c>
      <c r="X154" s="35">
        <f t="shared" si="62"/>
        <v>0.38461538461538458</v>
      </c>
      <c r="Y154" s="35">
        <f t="shared" si="62"/>
        <v>9.5022624434389136E-2</v>
      </c>
      <c r="Z154" s="35">
        <f t="shared" si="62"/>
        <v>9.5022624434389136E-2</v>
      </c>
      <c r="AA154" s="35">
        <f t="shared" si="62"/>
        <v>9.5022624434389136E-2</v>
      </c>
    </row>
    <row r="155" spans="2:27" x14ac:dyDescent="0.2">
      <c r="B155" s="2">
        <v>153</v>
      </c>
      <c r="C155" s="2" t="str">
        <f t="shared" si="41"/>
        <v>c</v>
      </c>
      <c r="D155" s="29" t="s">
        <v>10</v>
      </c>
      <c r="E155" s="29" t="s">
        <v>209</v>
      </c>
      <c r="F155" s="2" t="s">
        <v>214</v>
      </c>
      <c r="G155" s="2">
        <f t="shared" si="58"/>
        <v>1</v>
      </c>
      <c r="H155" s="2" t="str">
        <f t="shared" si="48"/>
        <v>--</v>
      </c>
      <c r="I155" s="38">
        <f t="shared" si="51"/>
        <v>0</v>
      </c>
      <c r="J155" s="33">
        <f t="shared" si="52"/>
        <v>11</v>
      </c>
      <c r="K155" s="33">
        <f t="shared" si="61"/>
        <v>0</v>
      </c>
      <c r="L155" s="33">
        <f t="shared" si="61"/>
        <v>0</v>
      </c>
      <c r="M155" s="33">
        <f t="shared" si="61"/>
        <v>0</v>
      </c>
      <c r="N155" s="33">
        <f t="shared" si="49"/>
        <v>0</v>
      </c>
      <c r="O155" s="33">
        <f t="shared" si="61"/>
        <v>0</v>
      </c>
      <c r="P155" s="33">
        <f t="shared" si="61"/>
        <v>0</v>
      </c>
      <c r="Q155" s="33">
        <f t="shared" si="61"/>
        <v>0</v>
      </c>
      <c r="R155" s="35">
        <f t="shared" si="53"/>
        <v>0</v>
      </c>
      <c r="S155" s="35">
        <f t="shared" si="54"/>
        <v>0</v>
      </c>
      <c r="T155" s="35">
        <f t="shared" si="55"/>
        <v>0</v>
      </c>
      <c r="U155" s="35">
        <f t="shared" si="50"/>
        <v>0</v>
      </c>
      <c r="V155" s="35">
        <f t="shared" si="62"/>
        <v>0</v>
      </c>
      <c r="W155" s="35">
        <f t="shared" si="62"/>
        <v>0</v>
      </c>
      <c r="X155" s="35">
        <f t="shared" si="62"/>
        <v>0</v>
      </c>
      <c r="Y155" s="35">
        <f t="shared" si="62"/>
        <v>0</v>
      </c>
      <c r="Z155" s="35">
        <f t="shared" si="62"/>
        <v>0</v>
      </c>
      <c r="AA155" s="35">
        <f t="shared" si="62"/>
        <v>0</v>
      </c>
    </row>
    <row r="156" spans="2:27" x14ac:dyDescent="0.2">
      <c r="B156" s="2">
        <v>154</v>
      </c>
      <c r="C156" s="2" t="str">
        <f t="shared" si="41"/>
        <v>c</v>
      </c>
      <c r="D156" s="29" t="s">
        <v>163</v>
      </c>
      <c r="E156" s="29" t="s">
        <v>209</v>
      </c>
      <c r="F156" s="2" t="s">
        <v>214</v>
      </c>
      <c r="G156" s="2">
        <f t="shared" si="58"/>
        <v>2</v>
      </c>
      <c r="H156" s="2" t="str">
        <f t="shared" si="48"/>
        <v>--</v>
      </c>
      <c r="I156" s="38">
        <f t="shared" si="51"/>
        <v>0</v>
      </c>
      <c r="J156" s="33">
        <f t="shared" si="52"/>
        <v>23</v>
      </c>
      <c r="K156" s="33">
        <f t="shared" si="61"/>
        <v>0</v>
      </c>
      <c r="L156" s="33">
        <f t="shared" si="61"/>
        <v>0</v>
      </c>
      <c r="M156" s="33">
        <f t="shared" si="61"/>
        <v>0</v>
      </c>
      <c r="N156" s="33">
        <f t="shared" si="49"/>
        <v>0</v>
      </c>
      <c r="O156" s="33">
        <f t="shared" si="61"/>
        <v>0</v>
      </c>
      <c r="P156" s="33">
        <f t="shared" si="61"/>
        <v>0</v>
      </c>
      <c r="Q156" s="33">
        <f t="shared" si="61"/>
        <v>0</v>
      </c>
      <c r="R156" s="35">
        <f t="shared" si="53"/>
        <v>0</v>
      </c>
      <c r="S156" s="35">
        <f t="shared" si="54"/>
        <v>0</v>
      </c>
      <c r="T156" s="35">
        <f t="shared" si="55"/>
        <v>0</v>
      </c>
      <c r="U156" s="35">
        <f t="shared" si="50"/>
        <v>0</v>
      </c>
      <c r="V156" s="35">
        <f t="shared" si="62"/>
        <v>0</v>
      </c>
      <c r="W156" s="35">
        <f t="shared" si="62"/>
        <v>0</v>
      </c>
      <c r="X156" s="35">
        <f t="shared" si="62"/>
        <v>0</v>
      </c>
      <c r="Y156" s="35">
        <f t="shared" si="62"/>
        <v>0</v>
      </c>
      <c r="Z156" s="35">
        <f t="shared" si="62"/>
        <v>0</v>
      </c>
      <c r="AA156" s="35">
        <f t="shared" si="62"/>
        <v>0</v>
      </c>
    </row>
    <row r="157" spans="2:27" x14ac:dyDescent="0.2">
      <c r="B157" s="2">
        <v>155</v>
      </c>
      <c r="C157" s="2" t="str">
        <f t="shared" si="41"/>
        <v>c</v>
      </c>
      <c r="D157" s="29" t="s">
        <v>163</v>
      </c>
      <c r="E157" s="29" t="s">
        <v>209</v>
      </c>
      <c r="F157" s="2" t="s">
        <v>214</v>
      </c>
      <c r="G157" s="2">
        <f t="shared" si="58"/>
        <v>3</v>
      </c>
      <c r="H157" s="2" t="str">
        <f t="shared" si="48"/>
        <v>--</v>
      </c>
      <c r="I157" s="38">
        <f t="shared" si="51"/>
        <v>0</v>
      </c>
      <c r="J157" s="33">
        <f t="shared" si="52"/>
        <v>35</v>
      </c>
      <c r="K157" s="33">
        <f t="shared" si="61"/>
        <v>0</v>
      </c>
      <c r="L157" s="33">
        <f t="shared" si="61"/>
        <v>0</v>
      </c>
      <c r="M157" s="33">
        <f t="shared" si="61"/>
        <v>0</v>
      </c>
      <c r="N157" s="33">
        <f t="shared" si="49"/>
        <v>0</v>
      </c>
      <c r="O157" s="33">
        <f t="shared" si="61"/>
        <v>0</v>
      </c>
      <c r="P157" s="33">
        <f t="shared" si="61"/>
        <v>0</v>
      </c>
      <c r="Q157" s="33">
        <f t="shared" si="61"/>
        <v>0</v>
      </c>
      <c r="R157" s="35">
        <f t="shared" si="53"/>
        <v>0</v>
      </c>
      <c r="S157" s="35">
        <f t="shared" si="54"/>
        <v>0</v>
      </c>
      <c r="T157" s="35">
        <f t="shared" si="55"/>
        <v>0</v>
      </c>
      <c r="U157" s="35">
        <f t="shared" si="50"/>
        <v>0</v>
      </c>
      <c r="V157" s="35">
        <f t="shared" si="62"/>
        <v>0</v>
      </c>
      <c r="W157" s="35">
        <f t="shared" si="62"/>
        <v>0</v>
      </c>
      <c r="X157" s="35">
        <f t="shared" si="62"/>
        <v>0</v>
      </c>
      <c r="Y157" s="35">
        <f t="shared" si="62"/>
        <v>0</v>
      </c>
      <c r="Z157" s="35">
        <f t="shared" si="62"/>
        <v>0</v>
      </c>
      <c r="AA157" s="35">
        <f t="shared" si="62"/>
        <v>0</v>
      </c>
    </row>
    <row r="158" spans="2:27" x14ac:dyDescent="0.2">
      <c r="B158" s="2">
        <v>156</v>
      </c>
      <c r="C158" s="2" t="str">
        <f t="shared" si="41"/>
        <v>c</v>
      </c>
      <c r="D158" s="29" t="s">
        <v>163</v>
      </c>
      <c r="E158" s="29" t="s">
        <v>209</v>
      </c>
      <c r="F158" s="2" t="s">
        <v>214</v>
      </c>
      <c r="G158" s="2">
        <f t="shared" si="58"/>
        <v>4</v>
      </c>
      <c r="H158" s="2" t="str">
        <f t="shared" si="48"/>
        <v>--</v>
      </c>
      <c r="I158" s="38">
        <f t="shared" si="51"/>
        <v>0</v>
      </c>
      <c r="J158" s="33">
        <f t="shared" si="52"/>
        <v>47</v>
      </c>
      <c r="K158" s="33">
        <f t="shared" si="61"/>
        <v>0</v>
      </c>
      <c r="L158" s="33">
        <f t="shared" si="61"/>
        <v>0</v>
      </c>
      <c r="M158" s="33">
        <f t="shared" si="61"/>
        <v>0</v>
      </c>
      <c r="N158" s="33">
        <f t="shared" si="49"/>
        <v>0</v>
      </c>
      <c r="O158" s="33">
        <f t="shared" si="61"/>
        <v>0</v>
      </c>
      <c r="P158" s="33">
        <f t="shared" si="61"/>
        <v>0</v>
      </c>
      <c r="Q158" s="33">
        <f t="shared" si="61"/>
        <v>0</v>
      </c>
      <c r="R158" s="35">
        <f t="shared" si="53"/>
        <v>0</v>
      </c>
      <c r="S158" s="35">
        <f t="shared" si="54"/>
        <v>0</v>
      </c>
      <c r="T158" s="35">
        <f t="shared" si="55"/>
        <v>0</v>
      </c>
      <c r="U158" s="35">
        <f t="shared" si="50"/>
        <v>0</v>
      </c>
      <c r="V158" s="35">
        <f t="shared" si="62"/>
        <v>0</v>
      </c>
      <c r="W158" s="35">
        <f t="shared" si="62"/>
        <v>0</v>
      </c>
      <c r="X158" s="35">
        <f t="shared" si="62"/>
        <v>0</v>
      </c>
      <c r="Y158" s="35">
        <f t="shared" si="62"/>
        <v>0</v>
      </c>
      <c r="Z158" s="35">
        <f t="shared" si="62"/>
        <v>0</v>
      </c>
      <c r="AA158" s="35">
        <f t="shared" si="62"/>
        <v>0</v>
      </c>
    </row>
    <row r="159" spans="2:27" x14ac:dyDescent="0.2">
      <c r="B159" s="2">
        <v>157</v>
      </c>
      <c r="C159" s="2" t="str">
        <f t="shared" si="41"/>
        <v>c</v>
      </c>
      <c r="D159" s="29" t="s">
        <v>10</v>
      </c>
      <c r="E159" s="29" t="s">
        <v>209</v>
      </c>
      <c r="F159" s="2" t="s">
        <v>214</v>
      </c>
      <c r="G159" s="2">
        <f t="shared" si="58"/>
        <v>5</v>
      </c>
      <c r="H159" s="2" t="str">
        <f t="shared" si="48"/>
        <v>--</v>
      </c>
      <c r="I159" s="38">
        <f t="shared" si="51"/>
        <v>0</v>
      </c>
      <c r="J159" s="33">
        <f t="shared" si="52"/>
        <v>59</v>
      </c>
      <c r="K159" s="33">
        <f t="shared" si="61"/>
        <v>0</v>
      </c>
      <c r="L159" s="33">
        <f t="shared" si="61"/>
        <v>0</v>
      </c>
      <c r="M159" s="33">
        <f t="shared" si="61"/>
        <v>0</v>
      </c>
      <c r="N159" s="33">
        <f t="shared" si="49"/>
        <v>0</v>
      </c>
      <c r="O159" s="33">
        <f t="shared" si="61"/>
        <v>0</v>
      </c>
      <c r="P159" s="33">
        <f t="shared" si="61"/>
        <v>0</v>
      </c>
      <c r="Q159" s="33">
        <f t="shared" si="61"/>
        <v>0</v>
      </c>
      <c r="R159" s="35">
        <f t="shared" si="53"/>
        <v>0</v>
      </c>
      <c r="S159" s="35">
        <f t="shared" si="54"/>
        <v>0</v>
      </c>
      <c r="T159" s="35">
        <f t="shared" si="55"/>
        <v>0</v>
      </c>
      <c r="U159" s="35">
        <f t="shared" si="50"/>
        <v>0</v>
      </c>
      <c r="V159" s="35">
        <f t="shared" si="62"/>
        <v>0</v>
      </c>
      <c r="W159" s="35">
        <f t="shared" si="62"/>
        <v>0</v>
      </c>
      <c r="X159" s="35">
        <f t="shared" si="62"/>
        <v>0</v>
      </c>
      <c r="Y159" s="35">
        <f t="shared" si="62"/>
        <v>0</v>
      </c>
      <c r="Z159" s="35">
        <f t="shared" si="62"/>
        <v>0</v>
      </c>
      <c r="AA159" s="35">
        <f t="shared" si="62"/>
        <v>0</v>
      </c>
    </row>
    <row r="160" spans="2:27" x14ac:dyDescent="0.2">
      <c r="B160" s="2">
        <v>158</v>
      </c>
      <c r="C160" s="2" t="str">
        <f t="shared" si="41"/>
        <v>c</v>
      </c>
      <c r="D160" s="29" t="s">
        <v>163</v>
      </c>
      <c r="E160" s="29" t="s">
        <v>209</v>
      </c>
      <c r="F160" s="2" t="s">
        <v>214</v>
      </c>
      <c r="G160" s="2">
        <f t="shared" si="58"/>
        <v>6</v>
      </c>
      <c r="H160" s="2" t="str">
        <f t="shared" si="48"/>
        <v>--</v>
      </c>
      <c r="I160" s="38">
        <f t="shared" si="51"/>
        <v>0</v>
      </c>
      <c r="J160" s="33">
        <f t="shared" si="52"/>
        <v>71</v>
      </c>
      <c r="K160" s="33">
        <f t="shared" si="61"/>
        <v>0</v>
      </c>
      <c r="L160" s="33">
        <f t="shared" si="61"/>
        <v>0</v>
      </c>
      <c r="M160" s="33">
        <f t="shared" si="61"/>
        <v>0</v>
      </c>
      <c r="N160" s="33">
        <f t="shared" si="49"/>
        <v>0</v>
      </c>
      <c r="O160" s="33">
        <f t="shared" si="61"/>
        <v>0</v>
      </c>
      <c r="P160" s="33">
        <f t="shared" si="61"/>
        <v>0</v>
      </c>
      <c r="Q160" s="33">
        <f t="shared" si="61"/>
        <v>0</v>
      </c>
      <c r="R160" s="35">
        <f t="shared" si="53"/>
        <v>0</v>
      </c>
      <c r="S160" s="35">
        <f t="shared" si="54"/>
        <v>0</v>
      </c>
      <c r="T160" s="35">
        <f t="shared" si="55"/>
        <v>0</v>
      </c>
      <c r="U160" s="35">
        <f t="shared" si="50"/>
        <v>0</v>
      </c>
      <c r="V160" s="35">
        <f t="shared" si="62"/>
        <v>0</v>
      </c>
      <c r="W160" s="35">
        <f t="shared" si="62"/>
        <v>0</v>
      </c>
      <c r="X160" s="35">
        <f t="shared" si="62"/>
        <v>0</v>
      </c>
      <c r="Y160" s="35">
        <f t="shared" si="62"/>
        <v>0</v>
      </c>
      <c r="Z160" s="35">
        <f t="shared" si="62"/>
        <v>0</v>
      </c>
      <c r="AA160" s="35">
        <f t="shared" si="62"/>
        <v>0</v>
      </c>
    </row>
    <row r="161" spans="2:27" x14ac:dyDescent="0.2">
      <c r="B161" s="2">
        <v>159</v>
      </c>
      <c r="C161" s="2" t="str">
        <f t="shared" si="41"/>
        <v>c</v>
      </c>
      <c r="D161" s="29" t="s">
        <v>163</v>
      </c>
      <c r="E161" s="29" t="s">
        <v>209</v>
      </c>
      <c r="F161" s="2" t="s">
        <v>214</v>
      </c>
      <c r="G161" s="2">
        <f t="shared" si="58"/>
        <v>7</v>
      </c>
      <c r="H161" s="2" t="str">
        <f t="shared" si="48"/>
        <v>--</v>
      </c>
      <c r="I161" s="38">
        <f t="shared" si="51"/>
        <v>0</v>
      </c>
      <c r="J161" s="33">
        <f t="shared" si="52"/>
        <v>83</v>
      </c>
      <c r="K161" s="33">
        <f t="shared" si="61"/>
        <v>0</v>
      </c>
      <c r="L161" s="33">
        <f t="shared" si="61"/>
        <v>0</v>
      </c>
      <c r="M161" s="33">
        <f t="shared" si="61"/>
        <v>0</v>
      </c>
      <c r="N161" s="33">
        <f t="shared" si="49"/>
        <v>0</v>
      </c>
      <c r="O161" s="33">
        <f t="shared" si="61"/>
        <v>0</v>
      </c>
      <c r="P161" s="33">
        <f t="shared" si="61"/>
        <v>0</v>
      </c>
      <c r="Q161" s="33">
        <f t="shared" si="61"/>
        <v>0</v>
      </c>
      <c r="R161" s="35">
        <f t="shared" si="53"/>
        <v>0</v>
      </c>
      <c r="S161" s="35">
        <f t="shared" si="54"/>
        <v>0</v>
      </c>
      <c r="T161" s="35">
        <f t="shared" si="55"/>
        <v>0</v>
      </c>
      <c r="U161" s="35">
        <f t="shared" si="50"/>
        <v>0</v>
      </c>
      <c r="V161" s="35">
        <f t="shared" si="62"/>
        <v>0</v>
      </c>
      <c r="W161" s="35">
        <f t="shared" si="62"/>
        <v>0</v>
      </c>
      <c r="X161" s="35">
        <f t="shared" si="62"/>
        <v>0</v>
      </c>
      <c r="Y161" s="35">
        <f t="shared" si="62"/>
        <v>0</v>
      </c>
      <c r="Z161" s="35">
        <f t="shared" si="62"/>
        <v>0</v>
      </c>
      <c r="AA161" s="35">
        <f t="shared" si="62"/>
        <v>0</v>
      </c>
    </row>
    <row r="162" spans="2:27" x14ac:dyDescent="0.2">
      <c r="B162" s="2">
        <v>160</v>
      </c>
      <c r="C162" s="2" t="str">
        <f t="shared" si="41"/>
        <v>c</v>
      </c>
      <c r="D162" s="29" t="s">
        <v>163</v>
      </c>
      <c r="E162" s="29" t="s">
        <v>209</v>
      </c>
      <c r="F162" s="2" t="s">
        <v>214</v>
      </c>
      <c r="G162" s="2">
        <f t="shared" si="58"/>
        <v>8</v>
      </c>
      <c r="H162" s="2" t="str">
        <f t="shared" si="48"/>
        <v>--</v>
      </c>
      <c r="I162" s="38">
        <f t="shared" si="51"/>
        <v>0</v>
      </c>
      <c r="J162" s="33">
        <f t="shared" si="52"/>
        <v>94</v>
      </c>
      <c r="K162" s="33">
        <f t="shared" si="61"/>
        <v>0</v>
      </c>
      <c r="L162" s="33">
        <f t="shared" si="61"/>
        <v>0</v>
      </c>
      <c r="M162" s="33">
        <f t="shared" si="61"/>
        <v>0</v>
      </c>
      <c r="N162" s="33">
        <f t="shared" si="49"/>
        <v>0</v>
      </c>
      <c r="O162" s="33">
        <f t="shared" si="61"/>
        <v>0</v>
      </c>
      <c r="P162" s="33">
        <f t="shared" si="61"/>
        <v>0</v>
      </c>
      <c r="Q162" s="33">
        <f t="shared" si="61"/>
        <v>0</v>
      </c>
      <c r="R162" s="35">
        <f t="shared" si="53"/>
        <v>0</v>
      </c>
      <c r="S162" s="35">
        <f t="shared" si="54"/>
        <v>0</v>
      </c>
      <c r="T162" s="35">
        <f t="shared" si="55"/>
        <v>0</v>
      </c>
      <c r="U162" s="35">
        <f t="shared" si="50"/>
        <v>0</v>
      </c>
      <c r="V162" s="35">
        <f t="shared" si="62"/>
        <v>0</v>
      </c>
      <c r="W162" s="35">
        <f t="shared" si="62"/>
        <v>0</v>
      </c>
      <c r="X162" s="35">
        <f t="shared" si="62"/>
        <v>0</v>
      </c>
      <c r="Y162" s="35">
        <f t="shared" si="62"/>
        <v>0</v>
      </c>
      <c r="Z162" s="35">
        <f t="shared" si="62"/>
        <v>0</v>
      </c>
      <c r="AA162" s="35">
        <f t="shared" si="62"/>
        <v>0</v>
      </c>
    </row>
    <row r="163" spans="2:27" x14ac:dyDescent="0.2">
      <c r="B163" s="2">
        <v>161</v>
      </c>
      <c r="C163" s="2" t="str">
        <f t="shared" si="41"/>
        <v>s</v>
      </c>
      <c r="D163" s="29" t="s">
        <v>10</v>
      </c>
      <c r="E163" s="29" t="s">
        <v>209</v>
      </c>
      <c r="F163" s="2" t="s">
        <v>215</v>
      </c>
      <c r="G163" s="2">
        <f t="shared" si="58"/>
        <v>1</v>
      </c>
      <c r="H163" s="2" t="str">
        <f t="shared" si="48"/>
        <v>黑暗</v>
      </c>
      <c r="I163" s="38">
        <f t="shared" si="51"/>
        <v>0.1</v>
      </c>
      <c r="J163" s="33">
        <f t="shared" si="52"/>
        <v>14</v>
      </c>
      <c r="K163" s="33">
        <f t="shared" ref="K163:Q172" si="63">INT((1+VLOOKUP($F163,role_property_weight,getpos(K$2),FALSE))*(1+VLOOKUP($F163,weapon_property_weight,getpos(K$2),FALSE))*VLOOKUP($E163,role_grow,getpos(K$2),FALSE)*$G163*10*VLOOKUP($C163,weapon_grow1,5,FALSE))</f>
        <v>10</v>
      </c>
      <c r="L163" s="33">
        <f t="shared" si="63"/>
        <v>1</v>
      </c>
      <c r="M163" s="33">
        <f t="shared" si="63"/>
        <v>5</v>
      </c>
      <c r="N163" s="33">
        <f t="shared" si="49"/>
        <v>8</v>
      </c>
      <c r="O163" s="33">
        <f t="shared" si="63"/>
        <v>4</v>
      </c>
      <c r="P163" s="33">
        <f t="shared" si="63"/>
        <v>5</v>
      </c>
      <c r="Q163" s="33">
        <f t="shared" si="63"/>
        <v>3</v>
      </c>
      <c r="R163" s="35">
        <f t="shared" si="53"/>
        <v>0.01</v>
      </c>
      <c r="S163" s="35">
        <f t="shared" si="54"/>
        <v>1.6666666666666666E-2</v>
      </c>
      <c r="T163" s="35">
        <f t="shared" si="55"/>
        <v>0.01</v>
      </c>
      <c r="U163" s="35">
        <f t="shared" si="50"/>
        <v>9.9009900990099098E-3</v>
      </c>
      <c r="V163" s="35">
        <f t="shared" ref="V163:AA172" si="64">1-200/(200+ROUND((1+VLOOKUP($F163,role_property_weight,getpos(V$2),FALSE))*VLOOKUP($E163,role_grow,getpos(V$2),FALSE)*$G163*10*VLOOKUP($C163,weapon_grow1,5,FALSE),0))</f>
        <v>9.9009900990099098E-3</v>
      </c>
      <c r="W163" s="35">
        <f t="shared" si="64"/>
        <v>9.9009900990099098E-3</v>
      </c>
      <c r="X163" s="35">
        <f t="shared" si="64"/>
        <v>9.9009900990099098E-3</v>
      </c>
      <c r="Y163" s="35">
        <f t="shared" si="64"/>
        <v>9.9009900990099098E-3</v>
      </c>
      <c r="Z163" s="35">
        <f t="shared" si="64"/>
        <v>5.6603773584905648E-2</v>
      </c>
      <c r="AA163" s="35">
        <f t="shared" si="64"/>
        <v>9.9009900990099098E-3</v>
      </c>
    </row>
    <row r="164" spans="2:27" x14ac:dyDescent="0.2">
      <c r="B164" s="2">
        <v>162</v>
      </c>
      <c r="C164" s="2" t="str">
        <f t="shared" ref="C164:C227" si="65">C132</f>
        <v>s</v>
      </c>
      <c r="D164" s="29" t="s">
        <v>163</v>
      </c>
      <c r="E164" s="29" t="s">
        <v>209</v>
      </c>
      <c r="F164" s="2" t="s">
        <v>215</v>
      </c>
      <c r="G164" s="2">
        <f t="shared" si="58"/>
        <v>2</v>
      </c>
      <c r="H164" s="2" t="str">
        <f t="shared" si="48"/>
        <v>黑暗</v>
      </c>
      <c r="I164" s="38">
        <f t="shared" si="51"/>
        <v>0.1</v>
      </c>
      <c r="J164" s="33">
        <f t="shared" si="52"/>
        <v>29</v>
      </c>
      <c r="K164" s="33">
        <f t="shared" si="63"/>
        <v>21</v>
      </c>
      <c r="L164" s="33">
        <f t="shared" si="63"/>
        <v>2</v>
      </c>
      <c r="M164" s="33">
        <f t="shared" si="63"/>
        <v>10</v>
      </c>
      <c r="N164" s="33">
        <f t="shared" si="49"/>
        <v>15</v>
      </c>
      <c r="O164" s="33">
        <f t="shared" si="63"/>
        <v>9</v>
      </c>
      <c r="P164" s="33">
        <f t="shared" si="63"/>
        <v>10</v>
      </c>
      <c r="Q164" s="33">
        <f t="shared" si="63"/>
        <v>7</v>
      </c>
      <c r="R164" s="35">
        <f t="shared" si="53"/>
        <v>2.3333333333333334E-2</v>
      </c>
      <c r="S164" s="35">
        <f t="shared" si="54"/>
        <v>3.3333333333333333E-2</v>
      </c>
      <c r="T164" s="35">
        <f t="shared" si="55"/>
        <v>2.3333333333333334E-2</v>
      </c>
      <c r="U164" s="35">
        <f t="shared" si="50"/>
        <v>1.9607843137254943E-2</v>
      </c>
      <c r="V164" s="35">
        <f t="shared" si="64"/>
        <v>1.9607843137254943E-2</v>
      </c>
      <c r="W164" s="35">
        <f t="shared" si="64"/>
        <v>1.9607843137254943E-2</v>
      </c>
      <c r="X164" s="35">
        <f t="shared" si="64"/>
        <v>1.9607843137254943E-2</v>
      </c>
      <c r="Y164" s="35">
        <f t="shared" si="64"/>
        <v>1.9607843137254943E-2</v>
      </c>
      <c r="Z164" s="35">
        <f t="shared" si="64"/>
        <v>0.1071428571428571</v>
      </c>
      <c r="AA164" s="35">
        <f t="shared" si="64"/>
        <v>1.9607843137254943E-2</v>
      </c>
    </row>
    <row r="165" spans="2:27" x14ac:dyDescent="0.2">
      <c r="B165" s="2">
        <v>163</v>
      </c>
      <c r="C165" s="2" t="str">
        <f t="shared" si="65"/>
        <v>s</v>
      </c>
      <c r="D165" s="29" t="s">
        <v>163</v>
      </c>
      <c r="E165" s="29" t="s">
        <v>209</v>
      </c>
      <c r="F165" s="2" t="s">
        <v>215</v>
      </c>
      <c r="G165" s="2">
        <f t="shared" si="58"/>
        <v>3</v>
      </c>
      <c r="H165" s="2" t="str">
        <f t="shared" si="48"/>
        <v>黑暗</v>
      </c>
      <c r="I165" s="38">
        <f t="shared" si="51"/>
        <v>0.14363636363636365</v>
      </c>
      <c r="J165" s="33">
        <f t="shared" si="52"/>
        <v>44</v>
      </c>
      <c r="K165" s="33">
        <f t="shared" si="63"/>
        <v>31</v>
      </c>
      <c r="L165" s="33">
        <f t="shared" si="63"/>
        <v>4</v>
      </c>
      <c r="M165" s="33">
        <f t="shared" si="63"/>
        <v>16</v>
      </c>
      <c r="N165" s="33">
        <f t="shared" si="49"/>
        <v>22</v>
      </c>
      <c r="O165" s="33">
        <f t="shared" si="63"/>
        <v>14</v>
      </c>
      <c r="P165" s="33">
        <f t="shared" si="63"/>
        <v>16</v>
      </c>
      <c r="Q165" s="33">
        <f t="shared" si="63"/>
        <v>11</v>
      </c>
      <c r="R165" s="35">
        <f t="shared" si="53"/>
        <v>3.6666666666666667E-2</v>
      </c>
      <c r="S165" s="35">
        <f t="shared" si="54"/>
        <v>5.333333333333333E-2</v>
      </c>
      <c r="T165" s="35">
        <f t="shared" si="55"/>
        <v>3.6666666666666667E-2</v>
      </c>
      <c r="U165" s="35">
        <f t="shared" si="50"/>
        <v>2.9126213592232997E-2</v>
      </c>
      <c r="V165" s="35">
        <f t="shared" si="64"/>
        <v>2.9126213592232997E-2</v>
      </c>
      <c r="W165" s="35">
        <f t="shared" si="64"/>
        <v>2.9126213592232997E-2</v>
      </c>
      <c r="X165" s="35">
        <f t="shared" si="64"/>
        <v>2.9126213592232997E-2</v>
      </c>
      <c r="Y165" s="35">
        <f t="shared" si="64"/>
        <v>2.9126213592232997E-2</v>
      </c>
      <c r="Z165" s="35">
        <f t="shared" si="64"/>
        <v>0.14893617021276595</v>
      </c>
      <c r="AA165" s="35">
        <f t="shared" si="64"/>
        <v>2.9126213592232997E-2</v>
      </c>
    </row>
    <row r="166" spans="2:27" x14ac:dyDescent="0.2">
      <c r="B166" s="2">
        <v>164</v>
      </c>
      <c r="C166" s="2" t="str">
        <f t="shared" si="65"/>
        <v>s</v>
      </c>
      <c r="D166" s="29" t="s">
        <v>10</v>
      </c>
      <c r="E166" s="29" t="s">
        <v>209</v>
      </c>
      <c r="F166" s="2" t="s">
        <v>215</v>
      </c>
      <c r="G166" s="2">
        <f t="shared" si="58"/>
        <v>4</v>
      </c>
      <c r="H166" s="2" t="str">
        <f t="shared" si="48"/>
        <v>黑暗</v>
      </c>
      <c r="I166" s="38">
        <f t="shared" si="51"/>
        <v>0.19090909090909089</v>
      </c>
      <c r="J166" s="33">
        <f t="shared" si="52"/>
        <v>58</v>
      </c>
      <c r="K166" s="33">
        <f t="shared" si="63"/>
        <v>42</v>
      </c>
      <c r="L166" s="33">
        <f t="shared" si="63"/>
        <v>5</v>
      </c>
      <c r="M166" s="33">
        <f t="shared" si="63"/>
        <v>21</v>
      </c>
      <c r="N166" s="33">
        <f t="shared" si="49"/>
        <v>29</v>
      </c>
      <c r="O166" s="33">
        <f t="shared" si="63"/>
        <v>19</v>
      </c>
      <c r="P166" s="33">
        <f t="shared" si="63"/>
        <v>21</v>
      </c>
      <c r="Q166" s="33">
        <f t="shared" si="63"/>
        <v>15</v>
      </c>
      <c r="R166" s="35">
        <f t="shared" si="53"/>
        <v>0.05</v>
      </c>
      <c r="S166" s="35">
        <f t="shared" si="54"/>
        <v>7.0000000000000007E-2</v>
      </c>
      <c r="T166" s="35">
        <f t="shared" si="55"/>
        <v>0.05</v>
      </c>
      <c r="U166" s="35">
        <f t="shared" si="50"/>
        <v>3.8461538461538436E-2</v>
      </c>
      <c r="V166" s="35">
        <f t="shared" si="64"/>
        <v>3.8461538461538436E-2</v>
      </c>
      <c r="W166" s="35">
        <f t="shared" si="64"/>
        <v>3.8461538461538436E-2</v>
      </c>
      <c r="X166" s="35">
        <f t="shared" si="64"/>
        <v>3.8461538461538436E-2</v>
      </c>
      <c r="Y166" s="35">
        <f t="shared" si="64"/>
        <v>3.8461538461538436E-2</v>
      </c>
      <c r="Z166" s="35">
        <f t="shared" si="64"/>
        <v>0.19028340080971662</v>
      </c>
      <c r="AA166" s="35">
        <f t="shared" si="64"/>
        <v>3.8461538461538436E-2</v>
      </c>
    </row>
    <row r="167" spans="2:27" x14ac:dyDescent="0.2">
      <c r="B167" s="2">
        <v>165</v>
      </c>
      <c r="C167" s="2" t="str">
        <f t="shared" si="65"/>
        <v>s</v>
      </c>
      <c r="D167" s="29" t="s">
        <v>163</v>
      </c>
      <c r="E167" s="29" t="s">
        <v>209</v>
      </c>
      <c r="F167" s="2" t="s">
        <v>215</v>
      </c>
      <c r="G167" s="2">
        <f t="shared" si="58"/>
        <v>5</v>
      </c>
      <c r="H167" s="2" t="str">
        <f t="shared" si="48"/>
        <v>黑暗</v>
      </c>
      <c r="I167" s="38">
        <f t="shared" si="51"/>
        <v>0.24</v>
      </c>
      <c r="J167" s="33">
        <f t="shared" si="52"/>
        <v>73</v>
      </c>
      <c r="K167" s="33">
        <f t="shared" si="63"/>
        <v>52</v>
      </c>
      <c r="L167" s="33">
        <f t="shared" si="63"/>
        <v>7</v>
      </c>
      <c r="M167" s="33">
        <f t="shared" si="63"/>
        <v>27</v>
      </c>
      <c r="N167" s="33">
        <f t="shared" si="49"/>
        <v>36</v>
      </c>
      <c r="O167" s="33">
        <f t="shared" si="63"/>
        <v>24</v>
      </c>
      <c r="P167" s="33">
        <f t="shared" si="63"/>
        <v>27</v>
      </c>
      <c r="Q167" s="33">
        <f t="shared" si="63"/>
        <v>18</v>
      </c>
      <c r="R167" s="35">
        <f t="shared" si="53"/>
        <v>0.06</v>
      </c>
      <c r="S167" s="35">
        <f t="shared" si="54"/>
        <v>0.09</v>
      </c>
      <c r="T167" s="35">
        <f t="shared" si="55"/>
        <v>0.06</v>
      </c>
      <c r="U167" s="35">
        <f t="shared" si="50"/>
        <v>4.7619047619047672E-2</v>
      </c>
      <c r="V167" s="35">
        <f t="shared" si="64"/>
        <v>4.7619047619047672E-2</v>
      </c>
      <c r="W167" s="35">
        <f t="shared" si="64"/>
        <v>4.7619047619047672E-2</v>
      </c>
      <c r="X167" s="35">
        <f t="shared" si="64"/>
        <v>4.7619047619047672E-2</v>
      </c>
      <c r="Y167" s="35">
        <f t="shared" si="64"/>
        <v>4.7619047619047672E-2</v>
      </c>
      <c r="Z167" s="35">
        <f t="shared" si="64"/>
        <v>0.22779922779922779</v>
      </c>
      <c r="AA167" s="35">
        <f t="shared" si="64"/>
        <v>4.7619047619047672E-2</v>
      </c>
    </row>
    <row r="168" spans="2:27" x14ac:dyDescent="0.2">
      <c r="B168" s="2">
        <v>166</v>
      </c>
      <c r="C168" s="2" t="str">
        <f t="shared" si="65"/>
        <v>s</v>
      </c>
      <c r="D168" s="29" t="s">
        <v>163</v>
      </c>
      <c r="E168" s="29" t="s">
        <v>209</v>
      </c>
      <c r="F168" s="2" t="s">
        <v>215</v>
      </c>
      <c r="G168" s="2">
        <f t="shared" si="58"/>
        <v>6</v>
      </c>
      <c r="H168" s="2" t="str">
        <f t="shared" si="48"/>
        <v>黑暗</v>
      </c>
      <c r="I168" s="38">
        <f t="shared" si="51"/>
        <v>0.28818181818181815</v>
      </c>
      <c r="J168" s="33">
        <f t="shared" si="52"/>
        <v>88</v>
      </c>
      <c r="K168" s="33">
        <f t="shared" si="63"/>
        <v>63</v>
      </c>
      <c r="L168" s="33">
        <f t="shared" si="63"/>
        <v>8</v>
      </c>
      <c r="M168" s="33">
        <f t="shared" si="63"/>
        <v>32</v>
      </c>
      <c r="N168" s="33">
        <f t="shared" si="49"/>
        <v>43</v>
      </c>
      <c r="O168" s="33">
        <f t="shared" si="63"/>
        <v>29</v>
      </c>
      <c r="P168" s="33">
        <f t="shared" si="63"/>
        <v>32</v>
      </c>
      <c r="Q168" s="33">
        <f t="shared" si="63"/>
        <v>22</v>
      </c>
      <c r="R168" s="35">
        <f t="shared" si="53"/>
        <v>7.3333333333333334E-2</v>
      </c>
      <c r="S168" s="35">
        <f t="shared" si="54"/>
        <v>0.10666666666666666</v>
      </c>
      <c r="T168" s="35">
        <f t="shared" si="55"/>
        <v>7.3333333333333334E-2</v>
      </c>
      <c r="U168" s="35">
        <f t="shared" si="50"/>
        <v>5.6603773584905648E-2</v>
      </c>
      <c r="V168" s="35">
        <f t="shared" si="64"/>
        <v>5.6603773584905648E-2</v>
      </c>
      <c r="W168" s="35">
        <f t="shared" si="64"/>
        <v>5.6603773584905648E-2</v>
      </c>
      <c r="X168" s="35">
        <f t="shared" si="64"/>
        <v>5.6603773584905648E-2</v>
      </c>
      <c r="Y168" s="35">
        <f t="shared" si="64"/>
        <v>5.6603773584905648E-2</v>
      </c>
      <c r="Z168" s="35">
        <f t="shared" si="64"/>
        <v>0.26199261992619927</v>
      </c>
      <c r="AA168" s="35">
        <f t="shared" si="64"/>
        <v>5.6603773584905648E-2</v>
      </c>
    </row>
    <row r="169" spans="2:27" x14ac:dyDescent="0.2">
      <c r="B169" s="2">
        <v>167</v>
      </c>
      <c r="C169" s="2" t="str">
        <f t="shared" si="65"/>
        <v>s</v>
      </c>
      <c r="D169" s="29" t="s">
        <v>163</v>
      </c>
      <c r="E169" s="29" t="s">
        <v>209</v>
      </c>
      <c r="F169" s="2" t="s">
        <v>215</v>
      </c>
      <c r="G169" s="2">
        <f t="shared" si="58"/>
        <v>7</v>
      </c>
      <c r="H169" s="2" t="str">
        <f t="shared" si="48"/>
        <v>黑暗</v>
      </c>
      <c r="I169" s="38">
        <f t="shared" si="51"/>
        <v>0.33636363636363631</v>
      </c>
      <c r="J169" s="33">
        <f t="shared" si="52"/>
        <v>102</v>
      </c>
      <c r="K169" s="33">
        <f t="shared" si="63"/>
        <v>74</v>
      </c>
      <c r="L169" s="33">
        <f t="shared" si="63"/>
        <v>9</v>
      </c>
      <c r="M169" s="33">
        <f t="shared" si="63"/>
        <v>38</v>
      </c>
      <c r="N169" s="33">
        <f t="shared" si="49"/>
        <v>50</v>
      </c>
      <c r="O169" s="33">
        <f t="shared" si="63"/>
        <v>34</v>
      </c>
      <c r="P169" s="33">
        <f t="shared" si="63"/>
        <v>37</v>
      </c>
      <c r="Q169" s="33">
        <f t="shared" si="63"/>
        <v>26</v>
      </c>
      <c r="R169" s="35">
        <f t="shared" si="53"/>
        <v>8.6666666666666656E-2</v>
      </c>
      <c r="S169" s="35">
        <f t="shared" si="54"/>
        <v>0.12333333333333334</v>
      </c>
      <c r="T169" s="35">
        <f t="shared" si="55"/>
        <v>8.6666666666666656E-2</v>
      </c>
      <c r="U169" s="35">
        <f t="shared" si="50"/>
        <v>6.5420560747663559E-2</v>
      </c>
      <c r="V169" s="35">
        <f t="shared" si="64"/>
        <v>6.5420560747663559E-2</v>
      </c>
      <c r="W169" s="35">
        <f t="shared" si="64"/>
        <v>6.5420560747663559E-2</v>
      </c>
      <c r="X169" s="35">
        <f t="shared" si="64"/>
        <v>6.5420560747663559E-2</v>
      </c>
      <c r="Y169" s="35">
        <f t="shared" si="64"/>
        <v>6.5420560747663559E-2</v>
      </c>
      <c r="Z169" s="35">
        <f t="shared" si="64"/>
        <v>0.29078014184397161</v>
      </c>
      <c r="AA169" s="35">
        <f t="shared" si="64"/>
        <v>6.5420560747663559E-2</v>
      </c>
    </row>
    <row r="170" spans="2:27" x14ac:dyDescent="0.2">
      <c r="B170" s="2">
        <v>168</v>
      </c>
      <c r="C170" s="2" t="str">
        <f t="shared" si="65"/>
        <v>s</v>
      </c>
      <c r="D170" s="29" t="s">
        <v>163</v>
      </c>
      <c r="E170" s="29" t="s">
        <v>209</v>
      </c>
      <c r="F170" s="2" t="s">
        <v>215</v>
      </c>
      <c r="G170" s="2">
        <f t="shared" si="58"/>
        <v>8</v>
      </c>
      <c r="H170" s="2" t="str">
        <f t="shared" si="48"/>
        <v>黑暗</v>
      </c>
      <c r="I170" s="38">
        <f t="shared" si="51"/>
        <v>0.38545454545454549</v>
      </c>
      <c r="J170" s="33">
        <f t="shared" si="52"/>
        <v>117</v>
      </c>
      <c r="K170" s="33">
        <f t="shared" si="63"/>
        <v>84</v>
      </c>
      <c r="L170" s="33">
        <f t="shared" si="63"/>
        <v>11</v>
      </c>
      <c r="M170" s="33">
        <f t="shared" si="63"/>
        <v>43</v>
      </c>
      <c r="N170" s="33">
        <f t="shared" si="49"/>
        <v>57</v>
      </c>
      <c r="O170" s="33">
        <f t="shared" si="63"/>
        <v>39</v>
      </c>
      <c r="P170" s="33">
        <f t="shared" si="63"/>
        <v>43</v>
      </c>
      <c r="Q170" s="33">
        <f t="shared" si="63"/>
        <v>30</v>
      </c>
      <c r="R170" s="35">
        <f t="shared" si="53"/>
        <v>0.1</v>
      </c>
      <c r="S170" s="35">
        <f t="shared" si="54"/>
        <v>0.14333333333333334</v>
      </c>
      <c r="T170" s="35">
        <f t="shared" si="55"/>
        <v>0.1</v>
      </c>
      <c r="U170" s="35">
        <f t="shared" si="50"/>
        <v>7.407407407407407E-2</v>
      </c>
      <c r="V170" s="35">
        <f t="shared" si="64"/>
        <v>7.407407407407407E-2</v>
      </c>
      <c r="W170" s="35">
        <f t="shared" si="64"/>
        <v>7.407407407407407E-2</v>
      </c>
      <c r="X170" s="35">
        <f t="shared" si="64"/>
        <v>7.407407407407407E-2</v>
      </c>
      <c r="Y170" s="35">
        <f t="shared" si="64"/>
        <v>7.407407407407407E-2</v>
      </c>
      <c r="Z170" s="35">
        <f t="shared" si="64"/>
        <v>0.31972789115646261</v>
      </c>
      <c r="AA170" s="35">
        <f t="shared" si="64"/>
        <v>7.407407407407407E-2</v>
      </c>
    </row>
    <row r="171" spans="2:27" x14ac:dyDescent="0.2">
      <c r="B171" s="2">
        <v>169</v>
      </c>
      <c r="C171" s="2" t="str">
        <f t="shared" si="65"/>
        <v>a</v>
      </c>
      <c r="D171" s="29" t="s">
        <v>10</v>
      </c>
      <c r="E171" s="29" t="s">
        <v>209</v>
      </c>
      <c r="F171" s="2" t="s">
        <v>215</v>
      </c>
      <c r="G171" s="2">
        <f t="shared" si="58"/>
        <v>1</v>
      </c>
      <c r="H171" s="2" t="str">
        <f t="shared" si="48"/>
        <v>黑暗</v>
      </c>
      <c r="I171" s="38">
        <f t="shared" si="51"/>
        <v>0.1</v>
      </c>
      <c r="J171" s="33">
        <f t="shared" si="52"/>
        <v>11</v>
      </c>
      <c r="K171" s="33">
        <f t="shared" si="63"/>
        <v>11</v>
      </c>
      <c r="L171" s="33">
        <f t="shared" si="63"/>
        <v>1</v>
      </c>
      <c r="M171" s="33">
        <f t="shared" si="63"/>
        <v>5</v>
      </c>
      <c r="N171" s="33">
        <f t="shared" si="49"/>
        <v>8</v>
      </c>
      <c r="O171" s="33">
        <f t="shared" si="63"/>
        <v>5</v>
      </c>
      <c r="P171" s="33">
        <f t="shared" si="63"/>
        <v>5</v>
      </c>
      <c r="Q171" s="33">
        <f t="shared" si="63"/>
        <v>3</v>
      </c>
      <c r="R171" s="35">
        <f t="shared" si="53"/>
        <v>0.01</v>
      </c>
      <c r="S171" s="35">
        <f t="shared" si="54"/>
        <v>1.6666666666666666E-2</v>
      </c>
      <c r="T171" s="35">
        <f t="shared" si="55"/>
        <v>0.01</v>
      </c>
      <c r="U171" s="35">
        <f t="shared" si="50"/>
        <v>9.9009900990099098E-3</v>
      </c>
      <c r="V171" s="35">
        <f t="shared" si="64"/>
        <v>9.9009900990099098E-3</v>
      </c>
      <c r="W171" s="35">
        <f t="shared" si="64"/>
        <v>9.9009900990099098E-3</v>
      </c>
      <c r="X171" s="35">
        <f t="shared" si="64"/>
        <v>9.9009900990099098E-3</v>
      </c>
      <c r="Y171" s="35">
        <f t="shared" si="64"/>
        <v>9.9009900990099098E-3</v>
      </c>
      <c r="Z171" s="35">
        <f t="shared" si="64"/>
        <v>5.6603773584905648E-2</v>
      </c>
      <c r="AA171" s="35">
        <f t="shared" si="64"/>
        <v>9.9009900990099098E-3</v>
      </c>
    </row>
    <row r="172" spans="2:27" x14ac:dyDescent="0.2">
      <c r="B172" s="2">
        <v>170</v>
      </c>
      <c r="C172" s="2" t="str">
        <f t="shared" si="65"/>
        <v>a</v>
      </c>
      <c r="D172" s="29" t="s">
        <v>163</v>
      </c>
      <c r="E172" s="29" t="s">
        <v>209</v>
      </c>
      <c r="F172" s="2" t="s">
        <v>215</v>
      </c>
      <c r="G172" s="2">
        <f t="shared" si="58"/>
        <v>2</v>
      </c>
      <c r="H172" s="2" t="str">
        <f t="shared" si="48"/>
        <v>黑暗</v>
      </c>
      <c r="I172" s="38">
        <f t="shared" si="51"/>
        <v>0.1</v>
      </c>
      <c r="J172" s="33">
        <f t="shared" si="52"/>
        <v>22</v>
      </c>
      <c r="K172" s="33">
        <f t="shared" si="63"/>
        <v>22</v>
      </c>
      <c r="L172" s="33">
        <f t="shared" si="63"/>
        <v>2</v>
      </c>
      <c r="M172" s="33">
        <f t="shared" si="63"/>
        <v>11</v>
      </c>
      <c r="N172" s="33">
        <f t="shared" si="49"/>
        <v>15</v>
      </c>
      <c r="O172" s="33">
        <f t="shared" si="63"/>
        <v>10</v>
      </c>
      <c r="P172" s="33">
        <f t="shared" si="63"/>
        <v>11</v>
      </c>
      <c r="Q172" s="33">
        <f t="shared" si="63"/>
        <v>7</v>
      </c>
      <c r="R172" s="35">
        <f t="shared" si="53"/>
        <v>2.3333333333333334E-2</v>
      </c>
      <c r="S172" s="35">
        <f t="shared" si="54"/>
        <v>3.6666666666666667E-2</v>
      </c>
      <c r="T172" s="35">
        <f t="shared" si="55"/>
        <v>2.3333333333333334E-2</v>
      </c>
      <c r="U172" s="35">
        <f t="shared" si="50"/>
        <v>1.9607843137254943E-2</v>
      </c>
      <c r="V172" s="35">
        <f t="shared" si="64"/>
        <v>1.9607843137254943E-2</v>
      </c>
      <c r="W172" s="35">
        <f t="shared" si="64"/>
        <v>1.9607843137254943E-2</v>
      </c>
      <c r="X172" s="35">
        <f t="shared" si="64"/>
        <v>1.9607843137254943E-2</v>
      </c>
      <c r="Y172" s="35">
        <f t="shared" si="64"/>
        <v>1.9607843137254943E-2</v>
      </c>
      <c r="Z172" s="35">
        <f t="shared" si="64"/>
        <v>0.11111111111111116</v>
      </c>
      <c r="AA172" s="35">
        <f t="shared" si="64"/>
        <v>1.9607843137254943E-2</v>
      </c>
    </row>
    <row r="173" spans="2:27" x14ac:dyDescent="0.2">
      <c r="B173" s="2">
        <v>171</v>
      </c>
      <c r="C173" s="2" t="str">
        <f t="shared" si="65"/>
        <v>a</v>
      </c>
      <c r="D173" s="29" t="s">
        <v>163</v>
      </c>
      <c r="E173" s="29" t="s">
        <v>209</v>
      </c>
      <c r="F173" s="2" t="s">
        <v>215</v>
      </c>
      <c r="G173" s="2">
        <f t="shared" si="58"/>
        <v>3</v>
      </c>
      <c r="H173" s="2" t="str">
        <f t="shared" si="48"/>
        <v>黑暗</v>
      </c>
      <c r="I173" s="38">
        <f t="shared" si="51"/>
        <v>0.13909090909090907</v>
      </c>
      <c r="J173" s="33">
        <f t="shared" si="52"/>
        <v>33</v>
      </c>
      <c r="K173" s="33">
        <f t="shared" ref="K173:Q182" si="66">INT((1+VLOOKUP($F173,role_property_weight,getpos(K$2),FALSE))*(1+VLOOKUP($F173,weapon_property_weight,getpos(K$2),FALSE))*VLOOKUP($E173,role_grow,getpos(K$2),FALSE)*$G173*10*VLOOKUP($C173,weapon_grow1,5,FALSE))</f>
        <v>33</v>
      </c>
      <c r="L173" s="33">
        <f t="shared" si="66"/>
        <v>4</v>
      </c>
      <c r="M173" s="33">
        <f t="shared" si="66"/>
        <v>17</v>
      </c>
      <c r="N173" s="33">
        <f t="shared" si="49"/>
        <v>23</v>
      </c>
      <c r="O173" s="33">
        <f t="shared" si="66"/>
        <v>15</v>
      </c>
      <c r="P173" s="33">
        <f t="shared" si="66"/>
        <v>17</v>
      </c>
      <c r="Q173" s="33">
        <f t="shared" si="66"/>
        <v>11</v>
      </c>
      <c r="R173" s="35">
        <f t="shared" si="53"/>
        <v>3.6666666666666667E-2</v>
      </c>
      <c r="S173" s="35">
        <f t="shared" si="54"/>
        <v>5.6666666666666671E-2</v>
      </c>
      <c r="T173" s="35">
        <f t="shared" si="55"/>
        <v>3.6666666666666667E-2</v>
      </c>
      <c r="U173" s="35">
        <f t="shared" si="50"/>
        <v>2.9126213592232997E-2</v>
      </c>
      <c r="V173" s="35">
        <f t="shared" ref="V173:AA182" si="67">1-200/(200+ROUND((1+VLOOKUP($F173,role_property_weight,getpos(V$2),FALSE))*VLOOKUP($E173,role_grow,getpos(V$2),FALSE)*$G173*10*VLOOKUP($C173,weapon_grow1,5,FALSE),0))</f>
        <v>2.9126213592232997E-2</v>
      </c>
      <c r="W173" s="35">
        <f t="shared" si="67"/>
        <v>2.9126213592232997E-2</v>
      </c>
      <c r="X173" s="35">
        <f t="shared" si="67"/>
        <v>2.9126213592232997E-2</v>
      </c>
      <c r="Y173" s="35">
        <f t="shared" si="67"/>
        <v>2.9126213592232997E-2</v>
      </c>
      <c r="Z173" s="35">
        <f t="shared" si="67"/>
        <v>0.15611814345991559</v>
      </c>
      <c r="AA173" s="35">
        <f t="shared" si="67"/>
        <v>2.9126213592232997E-2</v>
      </c>
    </row>
    <row r="174" spans="2:27" x14ac:dyDescent="0.2">
      <c r="B174" s="2">
        <v>172</v>
      </c>
      <c r="C174" s="2" t="str">
        <f t="shared" si="65"/>
        <v>a</v>
      </c>
      <c r="D174" s="29" t="s">
        <v>163</v>
      </c>
      <c r="E174" s="29" t="s">
        <v>209</v>
      </c>
      <c r="F174" s="2" t="s">
        <v>215</v>
      </c>
      <c r="G174" s="2">
        <f t="shared" si="58"/>
        <v>4</v>
      </c>
      <c r="H174" s="2" t="str">
        <f t="shared" si="48"/>
        <v>黑暗</v>
      </c>
      <c r="I174" s="38">
        <f t="shared" si="51"/>
        <v>0.18454545454545454</v>
      </c>
      <c r="J174" s="33">
        <f t="shared" si="52"/>
        <v>44</v>
      </c>
      <c r="K174" s="33">
        <f t="shared" si="66"/>
        <v>44</v>
      </c>
      <c r="L174" s="33">
        <f t="shared" si="66"/>
        <v>5</v>
      </c>
      <c r="M174" s="33">
        <f t="shared" si="66"/>
        <v>23</v>
      </c>
      <c r="N174" s="33">
        <f t="shared" si="49"/>
        <v>30</v>
      </c>
      <c r="O174" s="33">
        <f t="shared" si="66"/>
        <v>20</v>
      </c>
      <c r="P174" s="33">
        <f t="shared" si="66"/>
        <v>22</v>
      </c>
      <c r="Q174" s="33">
        <f t="shared" si="66"/>
        <v>15</v>
      </c>
      <c r="R174" s="35">
        <f t="shared" si="53"/>
        <v>0.05</v>
      </c>
      <c r="S174" s="35">
        <f t="shared" si="54"/>
        <v>7.3333333333333334E-2</v>
      </c>
      <c r="T174" s="35">
        <f t="shared" si="55"/>
        <v>0.05</v>
      </c>
      <c r="U174" s="35">
        <f t="shared" si="50"/>
        <v>3.8461538461538436E-2</v>
      </c>
      <c r="V174" s="35">
        <f t="shared" si="67"/>
        <v>3.8461538461538436E-2</v>
      </c>
      <c r="W174" s="35">
        <f t="shared" si="67"/>
        <v>3.8461538461538436E-2</v>
      </c>
      <c r="X174" s="35">
        <f t="shared" si="67"/>
        <v>3.8461538461538436E-2</v>
      </c>
      <c r="Y174" s="35">
        <f t="shared" si="67"/>
        <v>3.8461538461538436E-2</v>
      </c>
      <c r="Z174" s="35">
        <f t="shared" si="67"/>
        <v>0.19999999999999996</v>
      </c>
      <c r="AA174" s="35">
        <f t="shared" si="67"/>
        <v>3.8461538461538436E-2</v>
      </c>
    </row>
    <row r="175" spans="2:27" x14ac:dyDescent="0.2">
      <c r="B175" s="2">
        <v>173</v>
      </c>
      <c r="C175" s="2" t="str">
        <f t="shared" si="65"/>
        <v>a</v>
      </c>
      <c r="D175" s="29" t="s">
        <v>10</v>
      </c>
      <c r="E175" s="29" t="s">
        <v>209</v>
      </c>
      <c r="F175" s="2" t="s">
        <v>215</v>
      </c>
      <c r="G175" s="2">
        <f t="shared" si="58"/>
        <v>5</v>
      </c>
      <c r="H175" s="2" t="str">
        <f t="shared" si="48"/>
        <v>黑暗</v>
      </c>
      <c r="I175" s="38">
        <f t="shared" si="51"/>
        <v>0.23363636363636364</v>
      </c>
      <c r="J175" s="33">
        <f t="shared" si="52"/>
        <v>56</v>
      </c>
      <c r="K175" s="33">
        <f t="shared" si="66"/>
        <v>55</v>
      </c>
      <c r="L175" s="33">
        <f t="shared" si="66"/>
        <v>7</v>
      </c>
      <c r="M175" s="33">
        <f t="shared" si="66"/>
        <v>28</v>
      </c>
      <c r="N175" s="33">
        <f t="shared" si="49"/>
        <v>38</v>
      </c>
      <c r="O175" s="33">
        <f t="shared" si="66"/>
        <v>26</v>
      </c>
      <c r="P175" s="33">
        <f t="shared" si="66"/>
        <v>28</v>
      </c>
      <c r="Q175" s="33">
        <f t="shared" si="66"/>
        <v>19</v>
      </c>
      <c r="R175" s="35">
        <f t="shared" si="53"/>
        <v>6.3333333333333325E-2</v>
      </c>
      <c r="S175" s="35">
        <f t="shared" si="54"/>
        <v>9.3333333333333338E-2</v>
      </c>
      <c r="T175" s="35">
        <f t="shared" si="55"/>
        <v>6.3333333333333325E-2</v>
      </c>
      <c r="U175" s="35">
        <f t="shared" si="50"/>
        <v>4.7619047619047672E-2</v>
      </c>
      <c r="V175" s="35">
        <f t="shared" si="67"/>
        <v>4.7619047619047672E-2</v>
      </c>
      <c r="W175" s="35">
        <f t="shared" si="67"/>
        <v>4.7619047619047672E-2</v>
      </c>
      <c r="X175" s="35">
        <f t="shared" si="67"/>
        <v>4.7619047619047672E-2</v>
      </c>
      <c r="Y175" s="35">
        <f t="shared" si="67"/>
        <v>4.7619047619047672E-2</v>
      </c>
      <c r="Z175" s="35">
        <f t="shared" si="67"/>
        <v>0.23664122137404575</v>
      </c>
      <c r="AA175" s="35">
        <f t="shared" si="67"/>
        <v>4.7619047619047672E-2</v>
      </c>
    </row>
    <row r="176" spans="2:27" x14ac:dyDescent="0.2">
      <c r="B176" s="2">
        <v>174</v>
      </c>
      <c r="C176" s="2" t="str">
        <f t="shared" si="65"/>
        <v>a</v>
      </c>
      <c r="D176" s="29" t="s">
        <v>163</v>
      </c>
      <c r="E176" s="29" t="s">
        <v>209</v>
      </c>
      <c r="F176" s="2" t="s">
        <v>215</v>
      </c>
      <c r="G176" s="2">
        <f t="shared" si="58"/>
        <v>6</v>
      </c>
      <c r="H176" s="2" t="str">
        <f t="shared" si="48"/>
        <v>黑暗</v>
      </c>
      <c r="I176" s="38">
        <f t="shared" si="51"/>
        <v>0.28000000000000003</v>
      </c>
      <c r="J176" s="33">
        <f t="shared" si="52"/>
        <v>67</v>
      </c>
      <c r="K176" s="33">
        <f t="shared" si="66"/>
        <v>66</v>
      </c>
      <c r="L176" s="33">
        <f t="shared" si="66"/>
        <v>8</v>
      </c>
      <c r="M176" s="33">
        <f t="shared" si="66"/>
        <v>34</v>
      </c>
      <c r="N176" s="33">
        <f t="shared" si="49"/>
        <v>45</v>
      </c>
      <c r="O176" s="33">
        <f t="shared" si="66"/>
        <v>31</v>
      </c>
      <c r="P176" s="33">
        <f t="shared" si="66"/>
        <v>34</v>
      </c>
      <c r="Q176" s="33">
        <f t="shared" si="66"/>
        <v>23</v>
      </c>
      <c r="R176" s="35">
        <f t="shared" si="53"/>
        <v>7.6666666666666675E-2</v>
      </c>
      <c r="S176" s="35">
        <f t="shared" si="54"/>
        <v>0.11333333333333334</v>
      </c>
      <c r="T176" s="35">
        <f t="shared" si="55"/>
        <v>7.6666666666666675E-2</v>
      </c>
      <c r="U176" s="35">
        <f t="shared" si="50"/>
        <v>5.6603773584905648E-2</v>
      </c>
      <c r="V176" s="35">
        <f t="shared" si="67"/>
        <v>5.6603773584905648E-2</v>
      </c>
      <c r="W176" s="35">
        <f t="shared" si="67"/>
        <v>5.6603773584905648E-2</v>
      </c>
      <c r="X176" s="35">
        <f t="shared" si="67"/>
        <v>5.6603773584905648E-2</v>
      </c>
      <c r="Y176" s="35">
        <f t="shared" si="67"/>
        <v>5.6603773584905648E-2</v>
      </c>
      <c r="Z176" s="35">
        <f t="shared" si="67"/>
        <v>0.27007299270072993</v>
      </c>
      <c r="AA176" s="35">
        <f t="shared" si="67"/>
        <v>5.6603773584905648E-2</v>
      </c>
    </row>
    <row r="177" spans="2:27" x14ac:dyDescent="0.2">
      <c r="B177" s="2">
        <v>175</v>
      </c>
      <c r="C177" s="2" t="str">
        <f t="shared" si="65"/>
        <v>a</v>
      </c>
      <c r="D177" s="29" t="s">
        <v>163</v>
      </c>
      <c r="E177" s="29" t="s">
        <v>209</v>
      </c>
      <c r="F177" s="2" t="s">
        <v>215</v>
      </c>
      <c r="G177" s="2">
        <f t="shared" si="58"/>
        <v>7</v>
      </c>
      <c r="H177" s="2" t="str">
        <f t="shared" si="48"/>
        <v>黑暗</v>
      </c>
      <c r="I177" s="38">
        <f t="shared" si="51"/>
        <v>0.32818181818181819</v>
      </c>
      <c r="J177" s="33">
        <f t="shared" si="52"/>
        <v>78</v>
      </c>
      <c r="K177" s="33">
        <f t="shared" si="66"/>
        <v>78</v>
      </c>
      <c r="L177" s="33">
        <f t="shared" si="66"/>
        <v>10</v>
      </c>
      <c r="M177" s="33">
        <f t="shared" si="66"/>
        <v>40</v>
      </c>
      <c r="N177" s="33">
        <f t="shared" si="49"/>
        <v>53</v>
      </c>
      <c r="O177" s="33">
        <f t="shared" si="66"/>
        <v>36</v>
      </c>
      <c r="P177" s="33">
        <f t="shared" si="66"/>
        <v>39</v>
      </c>
      <c r="Q177" s="33">
        <f t="shared" si="66"/>
        <v>27</v>
      </c>
      <c r="R177" s="35">
        <f t="shared" si="53"/>
        <v>0.09</v>
      </c>
      <c r="S177" s="35">
        <f t="shared" si="54"/>
        <v>0.13</v>
      </c>
      <c r="T177" s="35">
        <f t="shared" si="55"/>
        <v>0.09</v>
      </c>
      <c r="U177" s="35">
        <f t="shared" si="50"/>
        <v>6.5420560747663559E-2</v>
      </c>
      <c r="V177" s="35">
        <f t="shared" si="67"/>
        <v>6.5420560747663559E-2</v>
      </c>
      <c r="W177" s="35">
        <f t="shared" si="67"/>
        <v>6.5420560747663559E-2</v>
      </c>
      <c r="X177" s="35">
        <f t="shared" si="67"/>
        <v>6.5420560747663559E-2</v>
      </c>
      <c r="Y177" s="35">
        <f t="shared" si="67"/>
        <v>6.5420560747663559E-2</v>
      </c>
      <c r="Z177" s="35">
        <f t="shared" si="67"/>
        <v>0.30313588850174211</v>
      </c>
      <c r="AA177" s="35">
        <f t="shared" si="67"/>
        <v>6.5420560747663559E-2</v>
      </c>
    </row>
    <row r="178" spans="2:27" x14ac:dyDescent="0.2">
      <c r="B178" s="2">
        <v>176</v>
      </c>
      <c r="C178" s="2" t="str">
        <f t="shared" si="65"/>
        <v>a</v>
      </c>
      <c r="D178" s="29" t="s">
        <v>163</v>
      </c>
      <c r="E178" s="29" t="s">
        <v>209</v>
      </c>
      <c r="F178" s="2" t="s">
        <v>215</v>
      </c>
      <c r="G178" s="2">
        <f t="shared" si="58"/>
        <v>8</v>
      </c>
      <c r="H178" s="2" t="str">
        <f t="shared" si="48"/>
        <v>黑暗</v>
      </c>
      <c r="I178" s="38">
        <f t="shared" si="51"/>
        <v>0.37454545454545451</v>
      </c>
      <c r="J178" s="33">
        <f t="shared" si="52"/>
        <v>89</v>
      </c>
      <c r="K178" s="33">
        <f t="shared" si="66"/>
        <v>89</v>
      </c>
      <c r="L178" s="33">
        <f t="shared" si="66"/>
        <v>11</v>
      </c>
      <c r="M178" s="33">
        <f t="shared" si="66"/>
        <v>46</v>
      </c>
      <c r="N178" s="33">
        <f t="shared" si="49"/>
        <v>60</v>
      </c>
      <c r="O178" s="33">
        <f t="shared" si="66"/>
        <v>41</v>
      </c>
      <c r="P178" s="33">
        <f t="shared" si="66"/>
        <v>45</v>
      </c>
      <c r="Q178" s="33">
        <f t="shared" si="66"/>
        <v>31</v>
      </c>
      <c r="R178" s="35">
        <f t="shared" si="53"/>
        <v>0.10333333333333333</v>
      </c>
      <c r="S178" s="35">
        <f t="shared" si="54"/>
        <v>0.15</v>
      </c>
      <c r="T178" s="35">
        <f t="shared" si="55"/>
        <v>0.10333333333333333</v>
      </c>
      <c r="U178" s="35">
        <f t="shared" si="50"/>
        <v>7.8341013824884786E-2</v>
      </c>
      <c r="V178" s="35">
        <f t="shared" si="67"/>
        <v>7.8341013824884786E-2</v>
      </c>
      <c r="W178" s="35">
        <f t="shared" si="67"/>
        <v>7.8341013824884786E-2</v>
      </c>
      <c r="X178" s="35">
        <f t="shared" si="67"/>
        <v>7.8341013824884786E-2</v>
      </c>
      <c r="Y178" s="35">
        <f t="shared" si="67"/>
        <v>7.8341013824884786E-2</v>
      </c>
      <c r="Z178" s="35">
        <f t="shared" si="67"/>
        <v>0.33110367892976589</v>
      </c>
      <c r="AA178" s="35">
        <f t="shared" si="67"/>
        <v>7.8341013824884786E-2</v>
      </c>
    </row>
    <row r="179" spans="2:27" x14ac:dyDescent="0.2">
      <c r="B179" s="2">
        <v>177</v>
      </c>
      <c r="C179" s="2" t="str">
        <f t="shared" si="65"/>
        <v>b</v>
      </c>
      <c r="D179" s="29" t="s">
        <v>10</v>
      </c>
      <c r="E179" s="29" t="s">
        <v>209</v>
      </c>
      <c r="F179" s="2" t="s">
        <v>215</v>
      </c>
      <c r="G179" s="2">
        <f t="shared" si="58"/>
        <v>1</v>
      </c>
      <c r="H179" s="2" t="str">
        <f t="shared" si="48"/>
        <v>黑暗</v>
      </c>
      <c r="I179" s="38">
        <f t="shared" si="51"/>
        <v>0.1</v>
      </c>
      <c r="J179" s="33">
        <f t="shared" si="52"/>
        <v>12</v>
      </c>
      <c r="K179" s="33">
        <f t="shared" si="66"/>
        <v>14</v>
      </c>
      <c r="L179" s="33">
        <f t="shared" si="66"/>
        <v>1</v>
      </c>
      <c r="M179" s="33">
        <f t="shared" si="66"/>
        <v>7</v>
      </c>
      <c r="N179" s="33">
        <f t="shared" si="49"/>
        <v>10</v>
      </c>
      <c r="O179" s="33">
        <f t="shared" si="66"/>
        <v>6</v>
      </c>
      <c r="P179" s="33">
        <f t="shared" si="66"/>
        <v>7</v>
      </c>
      <c r="Q179" s="33">
        <f t="shared" si="66"/>
        <v>4</v>
      </c>
      <c r="R179" s="35">
        <f t="shared" si="53"/>
        <v>1.3333333333333332E-2</v>
      </c>
      <c r="S179" s="35">
        <f t="shared" si="54"/>
        <v>2.3333333333333334E-2</v>
      </c>
      <c r="T179" s="35">
        <f t="shared" si="55"/>
        <v>1.3333333333333332E-2</v>
      </c>
      <c r="U179" s="35">
        <f t="shared" si="50"/>
        <v>1.4778325123152691E-2</v>
      </c>
      <c r="V179" s="35">
        <f t="shared" si="67"/>
        <v>1.4778325123152691E-2</v>
      </c>
      <c r="W179" s="35">
        <f t="shared" si="67"/>
        <v>1.4778325123152691E-2</v>
      </c>
      <c r="X179" s="35">
        <f t="shared" si="67"/>
        <v>1.4778325123152691E-2</v>
      </c>
      <c r="Y179" s="35">
        <f t="shared" si="67"/>
        <v>1.4778325123152691E-2</v>
      </c>
      <c r="Z179" s="35">
        <f t="shared" si="67"/>
        <v>7.407407407407407E-2</v>
      </c>
      <c r="AA179" s="35">
        <f t="shared" si="67"/>
        <v>1.4778325123152691E-2</v>
      </c>
    </row>
    <row r="180" spans="2:27" x14ac:dyDescent="0.2">
      <c r="B180" s="2">
        <v>178</v>
      </c>
      <c r="C180" s="2" t="str">
        <f t="shared" si="65"/>
        <v>b</v>
      </c>
      <c r="D180" s="29" t="s">
        <v>163</v>
      </c>
      <c r="E180" s="29" t="s">
        <v>209</v>
      </c>
      <c r="F180" s="2" t="s">
        <v>215</v>
      </c>
      <c r="G180" s="2">
        <f t="shared" si="58"/>
        <v>2</v>
      </c>
      <c r="H180" s="2" t="str">
        <f t="shared" si="48"/>
        <v>黑暗</v>
      </c>
      <c r="I180" s="38">
        <f t="shared" si="51"/>
        <v>0.11272727272727273</v>
      </c>
      <c r="J180" s="33">
        <f t="shared" si="52"/>
        <v>24</v>
      </c>
      <c r="K180" s="33">
        <f t="shared" si="66"/>
        <v>28</v>
      </c>
      <c r="L180" s="33">
        <f t="shared" si="66"/>
        <v>3</v>
      </c>
      <c r="M180" s="33">
        <f t="shared" si="66"/>
        <v>14</v>
      </c>
      <c r="N180" s="33">
        <f t="shared" si="49"/>
        <v>19</v>
      </c>
      <c r="O180" s="33">
        <f t="shared" si="66"/>
        <v>13</v>
      </c>
      <c r="P180" s="33">
        <f t="shared" si="66"/>
        <v>14</v>
      </c>
      <c r="Q180" s="33">
        <f t="shared" si="66"/>
        <v>9</v>
      </c>
      <c r="R180" s="35">
        <f t="shared" si="53"/>
        <v>0.03</v>
      </c>
      <c r="S180" s="35">
        <f t="shared" si="54"/>
        <v>4.6666666666666669E-2</v>
      </c>
      <c r="T180" s="35">
        <f t="shared" si="55"/>
        <v>0.03</v>
      </c>
      <c r="U180" s="35">
        <f t="shared" si="50"/>
        <v>2.4390243902439046E-2</v>
      </c>
      <c r="V180" s="35">
        <f t="shared" si="67"/>
        <v>2.4390243902439046E-2</v>
      </c>
      <c r="W180" s="35">
        <f t="shared" si="67"/>
        <v>2.4390243902439046E-2</v>
      </c>
      <c r="X180" s="35">
        <f t="shared" si="67"/>
        <v>2.4390243902439046E-2</v>
      </c>
      <c r="Y180" s="35">
        <f t="shared" si="67"/>
        <v>2.4390243902439046E-2</v>
      </c>
      <c r="Z180" s="35">
        <f t="shared" si="67"/>
        <v>0.13419913419913421</v>
      </c>
      <c r="AA180" s="35">
        <f t="shared" si="67"/>
        <v>2.4390243902439046E-2</v>
      </c>
    </row>
    <row r="181" spans="2:27" x14ac:dyDescent="0.2">
      <c r="B181" s="2">
        <v>179</v>
      </c>
      <c r="C181" s="2" t="str">
        <f t="shared" si="65"/>
        <v>b</v>
      </c>
      <c r="D181" s="29" t="s">
        <v>163</v>
      </c>
      <c r="E181" s="29" t="s">
        <v>209</v>
      </c>
      <c r="F181" s="2" t="s">
        <v>215</v>
      </c>
      <c r="G181" s="2">
        <f t="shared" si="58"/>
        <v>3</v>
      </c>
      <c r="H181" s="2" t="str">
        <f t="shared" si="48"/>
        <v>黑暗</v>
      </c>
      <c r="I181" s="38">
        <f t="shared" si="51"/>
        <v>0.17</v>
      </c>
      <c r="J181" s="33">
        <f t="shared" si="52"/>
        <v>36</v>
      </c>
      <c r="K181" s="33">
        <f t="shared" si="66"/>
        <v>42</v>
      </c>
      <c r="L181" s="33">
        <f t="shared" si="66"/>
        <v>5</v>
      </c>
      <c r="M181" s="33">
        <f t="shared" si="66"/>
        <v>21</v>
      </c>
      <c r="N181" s="33">
        <f t="shared" si="49"/>
        <v>29</v>
      </c>
      <c r="O181" s="33">
        <f t="shared" si="66"/>
        <v>19</v>
      </c>
      <c r="P181" s="33">
        <f t="shared" si="66"/>
        <v>21</v>
      </c>
      <c r="Q181" s="33">
        <f t="shared" si="66"/>
        <v>14</v>
      </c>
      <c r="R181" s="35">
        <f t="shared" si="53"/>
        <v>4.6666666666666669E-2</v>
      </c>
      <c r="S181" s="35">
        <f t="shared" si="54"/>
        <v>7.0000000000000007E-2</v>
      </c>
      <c r="T181" s="35">
        <f t="shared" si="55"/>
        <v>4.6666666666666669E-2</v>
      </c>
      <c r="U181" s="35">
        <f t="shared" si="50"/>
        <v>3.8461538461538436E-2</v>
      </c>
      <c r="V181" s="35">
        <f t="shared" si="67"/>
        <v>3.8461538461538436E-2</v>
      </c>
      <c r="W181" s="35">
        <f t="shared" si="67"/>
        <v>3.8461538461538436E-2</v>
      </c>
      <c r="X181" s="35">
        <f t="shared" si="67"/>
        <v>3.8461538461538436E-2</v>
      </c>
      <c r="Y181" s="35">
        <f t="shared" si="67"/>
        <v>3.8461538461538436E-2</v>
      </c>
      <c r="Z181" s="35">
        <f t="shared" si="67"/>
        <v>0.19028340080971662</v>
      </c>
      <c r="AA181" s="35">
        <f t="shared" si="67"/>
        <v>3.8461538461538436E-2</v>
      </c>
    </row>
    <row r="182" spans="2:27" x14ac:dyDescent="0.2">
      <c r="B182" s="2">
        <v>180</v>
      </c>
      <c r="C182" s="2" t="str">
        <f t="shared" si="65"/>
        <v>b</v>
      </c>
      <c r="D182" s="29" t="s">
        <v>163</v>
      </c>
      <c r="E182" s="29" t="s">
        <v>209</v>
      </c>
      <c r="F182" s="2" t="s">
        <v>215</v>
      </c>
      <c r="G182" s="2">
        <f t="shared" si="58"/>
        <v>4</v>
      </c>
      <c r="H182" s="2" t="str">
        <f t="shared" si="48"/>
        <v>黑暗</v>
      </c>
      <c r="I182" s="38">
        <f t="shared" si="51"/>
        <v>0.22818181818181815</v>
      </c>
      <c r="J182" s="33">
        <f t="shared" si="52"/>
        <v>48</v>
      </c>
      <c r="K182" s="33">
        <f t="shared" si="66"/>
        <v>56</v>
      </c>
      <c r="L182" s="33">
        <f t="shared" si="66"/>
        <v>7</v>
      </c>
      <c r="M182" s="33">
        <f t="shared" si="66"/>
        <v>29</v>
      </c>
      <c r="N182" s="33">
        <f t="shared" si="49"/>
        <v>38</v>
      </c>
      <c r="O182" s="33">
        <f t="shared" si="66"/>
        <v>26</v>
      </c>
      <c r="P182" s="33">
        <f t="shared" si="66"/>
        <v>28</v>
      </c>
      <c r="Q182" s="33">
        <f t="shared" si="66"/>
        <v>19</v>
      </c>
      <c r="R182" s="35">
        <f t="shared" si="53"/>
        <v>6.3333333333333325E-2</v>
      </c>
      <c r="S182" s="35">
        <f t="shared" si="54"/>
        <v>9.3333333333333338E-2</v>
      </c>
      <c r="T182" s="35">
        <f t="shared" si="55"/>
        <v>6.3333333333333325E-2</v>
      </c>
      <c r="U182" s="35">
        <f t="shared" si="50"/>
        <v>4.7619047619047672E-2</v>
      </c>
      <c r="V182" s="35">
        <f t="shared" si="67"/>
        <v>4.7619047619047672E-2</v>
      </c>
      <c r="W182" s="35">
        <f t="shared" si="67"/>
        <v>4.7619047619047672E-2</v>
      </c>
      <c r="X182" s="35">
        <f t="shared" si="67"/>
        <v>4.7619047619047672E-2</v>
      </c>
      <c r="Y182" s="35">
        <f t="shared" si="67"/>
        <v>4.7619047619047672E-2</v>
      </c>
      <c r="Z182" s="35">
        <f t="shared" si="67"/>
        <v>0.23664122137404575</v>
      </c>
      <c r="AA182" s="35">
        <f t="shared" si="67"/>
        <v>4.7619047619047672E-2</v>
      </c>
    </row>
    <row r="183" spans="2:27" x14ac:dyDescent="0.2">
      <c r="B183" s="2">
        <v>181</v>
      </c>
      <c r="C183" s="2" t="str">
        <f t="shared" si="65"/>
        <v>b</v>
      </c>
      <c r="D183" s="29" t="s">
        <v>10</v>
      </c>
      <c r="E183" s="29" t="s">
        <v>209</v>
      </c>
      <c r="F183" s="2" t="s">
        <v>215</v>
      </c>
      <c r="G183" s="2">
        <f t="shared" si="58"/>
        <v>5</v>
      </c>
      <c r="H183" s="2" t="str">
        <f t="shared" si="48"/>
        <v>黑暗</v>
      </c>
      <c r="I183" s="38">
        <f t="shared" si="51"/>
        <v>0.28454545454545455</v>
      </c>
      <c r="J183" s="33">
        <f t="shared" si="52"/>
        <v>60</v>
      </c>
      <c r="K183" s="33">
        <f t="shared" ref="K183:Q192" si="68">INT((1+VLOOKUP($F183,role_property_weight,getpos(K$2),FALSE))*(1+VLOOKUP($F183,weapon_property_weight,getpos(K$2),FALSE))*VLOOKUP($E183,role_grow,getpos(K$2),FALSE)*$G183*10*VLOOKUP($C183,weapon_grow1,5,FALSE))</f>
        <v>70</v>
      </c>
      <c r="L183" s="33">
        <f t="shared" si="68"/>
        <v>9</v>
      </c>
      <c r="M183" s="33">
        <f t="shared" si="68"/>
        <v>36</v>
      </c>
      <c r="N183" s="33">
        <f t="shared" si="49"/>
        <v>47</v>
      </c>
      <c r="O183" s="33">
        <f t="shared" si="68"/>
        <v>32</v>
      </c>
      <c r="P183" s="33">
        <f t="shared" si="68"/>
        <v>35</v>
      </c>
      <c r="Q183" s="33">
        <f t="shared" si="68"/>
        <v>24</v>
      </c>
      <c r="R183" s="35">
        <f t="shared" si="53"/>
        <v>0.08</v>
      </c>
      <c r="S183" s="35">
        <f t="shared" si="54"/>
        <v>0.11666666666666665</v>
      </c>
      <c r="T183" s="35">
        <f t="shared" si="55"/>
        <v>0.08</v>
      </c>
      <c r="U183" s="35">
        <f t="shared" si="50"/>
        <v>6.1032863849765251E-2</v>
      </c>
      <c r="V183" s="35">
        <f t="shared" ref="V183:AA192" si="69">1-200/(200+ROUND((1+VLOOKUP($F183,role_property_weight,getpos(V$2),FALSE))*VLOOKUP($E183,role_grow,getpos(V$2),FALSE)*$G183*10*VLOOKUP($C183,weapon_grow1,5,FALSE),0))</f>
        <v>6.1032863849765251E-2</v>
      </c>
      <c r="W183" s="35">
        <f t="shared" si="69"/>
        <v>6.1032863849765251E-2</v>
      </c>
      <c r="X183" s="35">
        <f t="shared" si="69"/>
        <v>6.1032863849765251E-2</v>
      </c>
      <c r="Y183" s="35">
        <f t="shared" si="69"/>
        <v>6.1032863849765251E-2</v>
      </c>
      <c r="Z183" s="35">
        <f t="shared" si="69"/>
        <v>0.28057553956834536</v>
      </c>
      <c r="AA183" s="35">
        <f t="shared" si="69"/>
        <v>6.1032863849765251E-2</v>
      </c>
    </row>
    <row r="184" spans="2:27" x14ac:dyDescent="0.2">
      <c r="B184" s="2">
        <v>182</v>
      </c>
      <c r="C184" s="2" t="str">
        <f t="shared" si="65"/>
        <v>b</v>
      </c>
      <c r="D184" s="29" t="s">
        <v>163</v>
      </c>
      <c r="E184" s="29" t="s">
        <v>209</v>
      </c>
      <c r="F184" s="2" t="s">
        <v>215</v>
      </c>
      <c r="G184" s="2">
        <f t="shared" si="58"/>
        <v>6</v>
      </c>
      <c r="H184" s="2" t="str">
        <f t="shared" si="48"/>
        <v>黑暗</v>
      </c>
      <c r="I184" s="38">
        <f t="shared" si="51"/>
        <v>0.34363636363636368</v>
      </c>
      <c r="J184" s="33">
        <f t="shared" si="52"/>
        <v>72</v>
      </c>
      <c r="K184" s="33">
        <f t="shared" si="68"/>
        <v>84</v>
      </c>
      <c r="L184" s="33">
        <f t="shared" si="68"/>
        <v>11</v>
      </c>
      <c r="M184" s="33">
        <f t="shared" si="68"/>
        <v>43</v>
      </c>
      <c r="N184" s="33">
        <f t="shared" si="49"/>
        <v>57</v>
      </c>
      <c r="O184" s="33">
        <f t="shared" si="68"/>
        <v>39</v>
      </c>
      <c r="P184" s="33">
        <f t="shared" si="68"/>
        <v>43</v>
      </c>
      <c r="Q184" s="33">
        <f t="shared" si="68"/>
        <v>29</v>
      </c>
      <c r="R184" s="35">
        <f t="shared" si="53"/>
        <v>9.6666666666666665E-2</v>
      </c>
      <c r="S184" s="35">
        <f t="shared" si="54"/>
        <v>0.14333333333333334</v>
      </c>
      <c r="T184" s="35">
        <f t="shared" si="55"/>
        <v>9.6666666666666665E-2</v>
      </c>
      <c r="U184" s="35">
        <f t="shared" si="50"/>
        <v>7.407407407407407E-2</v>
      </c>
      <c r="V184" s="35">
        <f t="shared" si="69"/>
        <v>7.407407407407407E-2</v>
      </c>
      <c r="W184" s="35">
        <f t="shared" si="69"/>
        <v>7.407407407407407E-2</v>
      </c>
      <c r="X184" s="35">
        <f t="shared" si="69"/>
        <v>7.407407407407407E-2</v>
      </c>
      <c r="Y184" s="35">
        <f t="shared" si="69"/>
        <v>7.407407407407407E-2</v>
      </c>
      <c r="Z184" s="35">
        <f t="shared" si="69"/>
        <v>0.31972789115646261</v>
      </c>
      <c r="AA184" s="35">
        <f t="shared" si="69"/>
        <v>7.407407407407407E-2</v>
      </c>
    </row>
    <row r="185" spans="2:27" x14ac:dyDescent="0.2">
      <c r="B185" s="2">
        <v>183</v>
      </c>
      <c r="C185" s="2" t="str">
        <f t="shared" si="65"/>
        <v>b</v>
      </c>
      <c r="D185" s="29" t="s">
        <v>163</v>
      </c>
      <c r="E185" s="29" t="s">
        <v>209</v>
      </c>
      <c r="F185" s="2" t="s">
        <v>215</v>
      </c>
      <c r="G185" s="2">
        <f t="shared" si="58"/>
        <v>7</v>
      </c>
      <c r="H185" s="2" t="str">
        <f t="shared" si="48"/>
        <v>黑暗</v>
      </c>
      <c r="I185" s="38">
        <f t="shared" si="51"/>
        <v>0.4</v>
      </c>
      <c r="J185" s="33">
        <f t="shared" si="52"/>
        <v>84</v>
      </c>
      <c r="K185" s="33">
        <f t="shared" si="68"/>
        <v>98</v>
      </c>
      <c r="L185" s="33">
        <f t="shared" si="68"/>
        <v>13</v>
      </c>
      <c r="M185" s="33">
        <f t="shared" si="68"/>
        <v>50</v>
      </c>
      <c r="N185" s="33">
        <f t="shared" si="49"/>
        <v>66</v>
      </c>
      <c r="O185" s="33">
        <f t="shared" si="68"/>
        <v>45</v>
      </c>
      <c r="P185" s="33">
        <f t="shared" si="68"/>
        <v>50</v>
      </c>
      <c r="Q185" s="33">
        <f t="shared" si="68"/>
        <v>34</v>
      </c>
      <c r="R185" s="35">
        <f t="shared" si="53"/>
        <v>0.11333333333333334</v>
      </c>
      <c r="S185" s="35">
        <f t="shared" si="54"/>
        <v>0.16666666666666669</v>
      </c>
      <c r="T185" s="35">
        <f t="shared" si="55"/>
        <v>0.11333333333333334</v>
      </c>
      <c r="U185" s="35">
        <f t="shared" si="50"/>
        <v>8.256880733944949E-2</v>
      </c>
      <c r="V185" s="35">
        <f t="shared" si="69"/>
        <v>8.256880733944949E-2</v>
      </c>
      <c r="W185" s="35">
        <f t="shared" si="69"/>
        <v>8.256880733944949E-2</v>
      </c>
      <c r="X185" s="35">
        <f t="shared" si="69"/>
        <v>8.256880733944949E-2</v>
      </c>
      <c r="Y185" s="35">
        <f t="shared" si="69"/>
        <v>8.256880733944949E-2</v>
      </c>
      <c r="Z185" s="35">
        <f t="shared" si="69"/>
        <v>0.3527508090614887</v>
      </c>
      <c r="AA185" s="35">
        <f t="shared" si="69"/>
        <v>8.256880733944949E-2</v>
      </c>
    </row>
    <row r="186" spans="2:27" x14ac:dyDescent="0.2">
      <c r="B186" s="2">
        <v>184</v>
      </c>
      <c r="C186" s="2" t="str">
        <f t="shared" si="65"/>
        <v>b</v>
      </c>
      <c r="D186" s="29" t="s">
        <v>134</v>
      </c>
      <c r="E186" s="29" t="s">
        <v>209</v>
      </c>
      <c r="F186" s="2" t="s">
        <v>215</v>
      </c>
      <c r="G186" s="2">
        <f t="shared" si="58"/>
        <v>8</v>
      </c>
      <c r="H186" s="2" t="str">
        <f t="shared" si="48"/>
        <v>黑暗</v>
      </c>
      <c r="I186" s="38">
        <f t="shared" si="51"/>
        <v>0.45727272727272728</v>
      </c>
      <c r="J186" s="33">
        <f t="shared" si="52"/>
        <v>96</v>
      </c>
      <c r="K186" s="33">
        <f t="shared" si="68"/>
        <v>112</v>
      </c>
      <c r="L186" s="33">
        <f t="shared" si="68"/>
        <v>14</v>
      </c>
      <c r="M186" s="33">
        <f t="shared" si="68"/>
        <v>58</v>
      </c>
      <c r="N186" s="33">
        <f t="shared" si="49"/>
        <v>75</v>
      </c>
      <c r="O186" s="33">
        <f t="shared" si="68"/>
        <v>52</v>
      </c>
      <c r="P186" s="33">
        <f t="shared" si="68"/>
        <v>57</v>
      </c>
      <c r="Q186" s="33">
        <f t="shared" si="68"/>
        <v>39</v>
      </c>
      <c r="R186" s="35">
        <f t="shared" si="53"/>
        <v>0.13</v>
      </c>
      <c r="S186" s="35">
        <f t="shared" si="54"/>
        <v>0.19</v>
      </c>
      <c r="T186" s="35">
        <f t="shared" si="55"/>
        <v>0.13</v>
      </c>
      <c r="U186" s="35">
        <f t="shared" si="50"/>
        <v>9.5022624434389136E-2</v>
      </c>
      <c r="V186" s="35">
        <f t="shared" si="69"/>
        <v>9.5022624434389136E-2</v>
      </c>
      <c r="W186" s="35">
        <f t="shared" si="69"/>
        <v>9.5022624434389136E-2</v>
      </c>
      <c r="X186" s="35">
        <f t="shared" si="69"/>
        <v>9.5022624434389136E-2</v>
      </c>
      <c r="Y186" s="35">
        <f t="shared" si="69"/>
        <v>9.5022624434389136E-2</v>
      </c>
      <c r="Z186" s="35">
        <f t="shared" si="69"/>
        <v>0.38461538461538458</v>
      </c>
      <c r="AA186" s="35">
        <f t="shared" si="69"/>
        <v>9.5022624434389136E-2</v>
      </c>
    </row>
    <row r="187" spans="2:27" x14ac:dyDescent="0.2">
      <c r="B187" s="2">
        <v>185</v>
      </c>
      <c r="C187" s="2" t="str">
        <f t="shared" si="65"/>
        <v>c</v>
      </c>
      <c r="D187" s="29" t="s">
        <v>10</v>
      </c>
      <c r="E187" s="29" t="s">
        <v>209</v>
      </c>
      <c r="F187" s="2" t="s">
        <v>215</v>
      </c>
      <c r="G187" s="2">
        <f t="shared" si="58"/>
        <v>1</v>
      </c>
      <c r="H187" s="2" t="str">
        <f t="shared" si="48"/>
        <v>--</v>
      </c>
      <c r="I187" s="38">
        <f t="shared" si="51"/>
        <v>0</v>
      </c>
      <c r="J187" s="33">
        <f t="shared" si="52"/>
        <v>15</v>
      </c>
      <c r="K187" s="33">
        <f t="shared" si="68"/>
        <v>0</v>
      </c>
      <c r="L187" s="33">
        <f t="shared" si="68"/>
        <v>0</v>
      </c>
      <c r="M187" s="33">
        <f t="shared" si="68"/>
        <v>0</v>
      </c>
      <c r="N187" s="33">
        <f t="shared" si="49"/>
        <v>0</v>
      </c>
      <c r="O187" s="33">
        <f t="shared" si="68"/>
        <v>0</v>
      </c>
      <c r="P187" s="33">
        <f t="shared" si="68"/>
        <v>0</v>
      </c>
      <c r="Q187" s="33">
        <f t="shared" si="68"/>
        <v>0</v>
      </c>
      <c r="R187" s="35">
        <f t="shared" si="53"/>
        <v>0</v>
      </c>
      <c r="S187" s="35">
        <f t="shared" si="54"/>
        <v>0</v>
      </c>
      <c r="T187" s="35">
        <f t="shared" si="55"/>
        <v>0</v>
      </c>
      <c r="U187" s="35">
        <f t="shared" si="50"/>
        <v>0</v>
      </c>
      <c r="V187" s="35">
        <f t="shared" si="69"/>
        <v>0</v>
      </c>
      <c r="W187" s="35">
        <f t="shared" si="69"/>
        <v>0</v>
      </c>
      <c r="X187" s="35">
        <f t="shared" si="69"/>
        <v>0</v>
      </c>
      <c r="Y187" s="35">
        <f t="shared" si="69"/>
        <v>0</v>
      </c>
      <c r="Z187" s="35">
        <f t="shared" si="69"/>
        <v>0</v>
      </c>
      <c r="AA187" s="35">
        <f t="shared" si="69"/>
        <v>0</v>
      </c>
    </row>
    <row r="188" spans="2:27" x14ac:dyDescent="0.2">
      <c r="B188" s="2">
        <v>186</v>
      </c>
      <c r="C188" s="2" t="str">
        <f t="shared" si="65"/>
        <v>c</v>
      </c>
      <c r="D188" s="29" t="s">
        <v>134</v>
      </c>
      <c r="E188" s="29" t="s">
        <v>209</v>
      </c>
      <c r="F188" s="2" t="s">
        <v>215</v>
      </c>
      <c r="G188" s="2">
        <f t="shared" si="58"/>
        <v>2</v>
      </c>
      <c r="H188" s="2" t="str">
        <f t="shared" si="48"/>
        <v>--</v>
      </c>
      <c r="I188" s="38">
        <f t="shared" si="51"/>
        <v>0</v>
      </c>
      <c r="J188" s="33">
        <f t="shared" si="52"/>
        <v>30</v>
      </c>
      <c r="K188" s="33">
        <f t="shared" si="68"/>
        <v>0</v>
      </c>
      <c r="L188" s="33">
        <f t="shared" si="68"/>
        <v>0</v>
      </c>
      <c r="M188" s="33">
        <f t="shared" si="68"/>
        <v>0</v>
      </c>
      <c r="N188" s="33">
        <f t="shared" si="49"/>
        <v>0</v>
      </c>
      <c r="O188" s="33">
        <f t="shared" si="68"/>
        <v>0</v>
      </c>
      <c r="P188" s="33">
        <f t="shared" si="68"/>
        <v>0</v>
      </c>
      <c r="Q188" s="33">
        <f t="shared" si="68"/>
        <v>0</v>
      </c>
      <c r="R188" s="35">
        <f t="shared" si="53"/>
        <v>0</v>
      </c>
      <c r="S188" s="35">
        <f t="shared" si="54"/>
        <v>0</v>
      </c>
      <c r="T188" s="35">
        <f t="shared" si="55"/>
        <v>0</v>
      </c>
      <c r="U188" s="35">
        <f t="shared" si="50"/>
        <v>0</v>
      </c>
      <c r="V188" s="35">
        <f t="shared" si="69"/>
        <v>0</v>
      </c>
      <c r="W188" s="35">
        <f t="shared" si="69"/>
        <v>0</v>
      </c>
      <c r="X188" s="35">
        <f t="shared" si="69"/>
        <v>0</v>
      </c>
      <c r="Y188" s="35">
        <f t="shared" si="69"/>
        <v>0</v>
      </c>
      <c r="Z188" s="35">
        <f t="shared" si="69"/>
        <v>0</v>
      </c>
      <c r="AA188" s="35">
        <f t="shared" si="69"/>
        <v>0</v>
      </c>
    </row>
    <row r="189" spans="2:27" x14ac:dyDescent="0.2">
      <c r="B189" s="2">
        <v>187</v>
      </c>
      <c r="C189" s="2" t="str">
        <f t="shared" si="65"/>
        <v>c</v>
      </c>
      <c r="D189" s="29" t="s">
        <v>165</v>
      </c>
      <c r="E189" s="29" t="s">
        <v>209</v>
      </c>
      <c r="F189" s="2" t="s">
        <v>215</v>
      </c>
      <c r="G189" s="2">
        <f t="shared" si="58"/>
        <v>3</v>
      </c>
      <c r="H189" s="2" t="str">
        <f t="shared" si="48"/>
        <v>--</v>
      </c>
      <c r="I189" s="38">
        <f t="shared" si="51"/>
        <v>0</v>
      </c>
      <c r="J189" s="33">
        <f t="shared" si="52"/>
        <v>45</v>
      </c>
      <c r="K189" s="33">
        <f t="shared" si="68"/>
        <v>0</v>
      </c>
      <c r="L189" s="33">
        <f t="shared" si="68"/>
        <v>0</v>
      </c>
      <c r="M189" s="33">
        <f t="shared" si="68"/>
        <v>0</v>
      </c>
      <c r="N189" s="33">
        <f t="shared" si="49"/>
        <v>0</v>
      </c>
      <c r="O189" s="33">
        <f t="shared" si="68"/>
        <v>0</v>
      </c>
      <c r="P189" s="33">
        <f t="shared" si="68"/>
        <v>0</v>
      </c>
      <c r="Q189" s="33">
        <f t="shared" si="68"/>
        <v>0</v>
      </c>
      <c r="R189" s="35">
        <f t="shared" si="53"/>
        <v>0</v>
      </c>
      <c r="S189" s="35">
        <f t="shared" si="54"/>
        <v>0</v>
      </c>
      <c r="T189" s="35">
        <f t="shared" si="55"/>
        <v>0</v>
      </c>
      <c r="U189" s="35">
        <f t="shared" si="50"/>
        <v>0</v>
      </c>
      <c r="V189" s="35">
        <f t="shared" si="69"/>
        <v>0</v>
      </c>
      <c r="W189" s="35">
        <f t="shared" si="69"/>
        <v>0</v>
      </c>
      <c r="X189" s="35">
        <f t="shared" si="69"/>
        <v>0</v>
      </c>
      <c r="Y189" s="35">
        <f t="shared" si="69"/>
        <v>0</v>
      </c>
      <c r="Z189" s="35">
        <f t="shared" si="69"/>
        <v>0</v>
      </c>
      <c r="AA189" s="35">
        <f t="shared" si="69"/>
        <v>0</v>
      </c>
    </row>
    <row r="190" spans="2:27" x14ac:dyDescent="0.2">
      <c r="B190" s="2">
        <v>188</v>
      </c>
      <c r="C190" s="2" t="str">
        <f t="shared" si="65"/>
        <v>c</v>
      </c>
      <c r="D190" s="29" t="s">
        <v>165</v>
      </c>
      <c r="E190" s="29" t="s">
        <v>209</v>
      </c>
      <c r="F190" s="2" t="s">
        <v>215</v>
      </c>
      <c r="G190" s="2">
        <f t="shared" si="58"/>
        <v>4</v>
      </c>
      <c r="H190" s="2" t="str">
        <f t="shared" si="48"/>
        <v>--</v>
      </c>
      <c r="I190" s="38">
        <f t="shared" si="51"/>
        <v>0</v>
      </c>
      <c r="J190" s="33">
        <f t="shared" si="52"/>
        <v>61</v>
      </c>
      <c r="K190" s="33">
        <f t="shared" si="68"/>
        <v>0</v>
      </c>
      <c r="L190" s="33">
        <f t="shared" si="68"/>
        <v>0</v>
      </c>
      <c r="M190" s="33">
        <f t="shared" si="68"/>
        <v>0</v>
      </c>
      <c r="N190" s="33">
        <f t="shared" si="49"/>
        <v>0</v>
      </c>
      <c r="O190" s="33">
        <f t="shared" si="68"/>
        <v>0</v>
      </c>
      <c r="P190" s="33">
        <f t="shared" si="68"/>
        <v>0</v>
      </c>
      <c r="Q190" s="33">
        <f t="shared" si="68"/>
        <v>0</v>
      </c>
      <c r="R190" s="35">
        <f t="shared" si="53"/>
        <v>0</v>
      </c>
      <c r="S190" s="35">
        <f t="shared" si="54"/>
        <v>0</v>
      </c>
      <c r="T190" s="35">
        <f t="shared" si="55"/>
        <v>0</v>
      </c>
      <c r="U190" s="35">
        <f t="shared" si="50"/>
        <v>0</v>
      </c>
      <c r="V190" s="35">
        <f t="shared" si="69"/>
        <v>0</v>
      </c>
      <c r="W190" s="35">
        <f t="shared" si="69"/>
        <v>0</v>
      </c>
      <c r="X190" s="35">
        <f t="shared" si="69"/>
        <v>0</v>
      </c>
      <c r="Y190" s="35">
        <f t="shared" si="69"/>
        <v>0</v>
      </c>
      <c r="Z190" s="35">
        <f t="shared" si="69"/>
        <v>0</v>
      </c>
      <c r="AA190" s="35">
        <f t="shared" si="69"/>
        <v>0</v>
      </c>
    </row>
    <row r="191" spans="2:27" x14ac:dyDescent="0.2">
      <c r="B191" s="2">
        <v>189</v>
      </c>
      <c r="C191" s="2" t="str">
        <f t="shared" si="65"/>
        <v>c</v>
      </c>
      <c r="D191" s="29" t="s">
        <v>10</v>
      </c>
      <c r="E191" s="29" t="s">
        <v>209</v>
      </c>
      <c r="F191" s="2" t="s">
        <v>215</v>
      </c>
      <c r="G191" s="2">
        <f t="shared" si="58"/>
        <v>5</v>
      </c>
      <c r="H191" s="2" t="str">
        <f t="shared" si="48"/>
        <v>--</v>
      </c>
      <c r="I191" s="38">
        <f t="shared" si="51"/>
        <v>0</v>
      </c>
      <c r="J191" s="33">
        <f t="shared" si="52"/>
        <v>76</v>
      </c>
      <c r="K191" s="33">
        <f t="shared" si="68"/>
        <v>0</v>
      </c>
      <c r="L191" s="33">
        <f t="shared" si="68"/>
        <v>0</v>
      </c>
      <c r="M191" s="33">
        <f t="shared" si="68"/>
        <v>0</v>
      </c>
      <c r="N191" s="33">
        <f t="shared" si="49"/>
        <v>0</v>
      </c>
      <c r="O191" s="33">
        <f t="shared" si="68"/>
        <v>0</v>
      </c>
      <c r="P191" s="33">
        <f t="shared" si="68"/>
        <v>0</v>
      </c>
      <c r="Q191" s="33">
        <f t="shared" si="68"/>
        <v>0</v>
      </c>
      <c r="R191" s="35">
        <f t="shared" si="53"/>
        <v>0</v>
      </c>
      <c r="S191" s="35">
        <f t="shared" si="54"/>
        <v>0</v>
      </c>
      <c r="T191" s="35">
        <f t="shared" si="55"/>
        <v>0</v>
      </c>
      <c r="U191" s="35">
        <f t="shared" si="50"/>
        <v>0</v>
      </c>
      <c r="V191" s="35">
        <f t="shared" si="69"/>
        <v>0</v>
      </c>
      <c r="W191" s="35">
        <f t="shared" si="69"/>
        <v>0</v>
      </c>
      <c r="X191" s="35">
        <f t="shared" si="69"/>
        <v>0</v>
      </c>
      <c r="Y191" s="35">
        <f t="shared" si="69"/>
        <v>0</v>
      </c>
      <c r="Z191" s="35">
        <f t="shared" si="69"/>
        <v>0</v>
      </c>
      <c r="AA191" s="35">
        <f t="shared" si="69"/>
        <v>0</v>
      </c>
    </row>
    <row r="192" spans="2:27" x14ac:dyDescent="0.2">
      <c r="B192" s="2">
        <v>190</v>
      </c>
      <c r="C192" s="2" t="str">
        <f t="shared" si="65"/>
        <v>c</v>
      </c>
      <c r="D192" s="29" t="s">
        <v>165</v>
      </c>
      <c r="E192" s="29" t="s">
        <v>209</v>
      </c>
      <c r="F192" s="2" t="s">
        <v>215</v>
      </c>
      <c r="G192" s="2">
        <f t="shared" si="58"/>
        <v>6</v>
      </c>
      <c r="H192" s="2" t="str">
        <f t="shared" si="48"/>
        <v>--</v>
      </c>
      <c r="I192" s="38">
        <f t="shared" si="51"/>
        <v>0</v>
      </c>
      <c r="J192" s="33">
        <f t="shared" si="52"/>
        <v>91</v>
      </c>
      <c r="K192" s="33">
        <f t="shared" si="68"/>
        <v>0</v>
      </c>
      <c r="L192" s="33">
        <f t="shared" si="68"/>
        <v>0</v>
      </c>
      <c r="M192" s="33">
        <f t="shared" si="68"/>
        <v>0</v>
      </c>
      <c r="N192" s="33">
        <f t="shared" si="49"/>
        <v>0</v>
      </c>
      <c r="O192" s="33">
        <f t="shared" si="68"/>
        <v>0</v>
      </c>
      <c r="P192" s="33">
        <f t="shared" si="68"/>
        <v>0</v>
      </c>
      <c r="Q192" s="33">
        <f t="shared" si="68"/>
        <v>0</v>
      </c>
      <c r="R192" s="35">
        <f t="shared" si="53"/>
        <v>0</v>
      </c>
      <c r="S192" s="35">
        <f t="shared" si="54"/>
        <v>0</v>
      </c>
      <c r="T192" s="35">
        <f t="shared" si="55"/>
        <v>0</v>
      </c>
      <c r="U192" s="35">
        <f t="shared" si="50"/>
        <v>0</v>
      </c>
      <c r="V192" s="35">
        <f t="shared" si="69"/>
        <v>0</v>
      </c>
      <c r="W192" s="35">
        <f t="shared" si="69"/>
        <v>0</v>
      </c>
      <c r="X192" s="35">
        <f t="shared" si="69"/>
        <v>0</v>
      </c>
      <c r="Y192" s="35">
        <f t="shared" si="69"/>
        <v>0</v>
      </c>
      <c r="Z192" s="35">
        <f t="shared" si="69"/>
        <v>0</v>
      </c>
      <c r="AA192" s="35">
        <f t="shared" si="69"/>
        <v>0</v>
      </c>
    </row>
    <row r="193" spans="2:27" x14ac:dyDescent="0.2">
      <c r="B193" s="2">
        <v>191</v>
      </c>
      <c r="C193" s="2" t="str">
        <f t="shared" si="65"/>
        <v>c</v>
      </c>
      <c r="D193" s="29" t="s">
        <v>128</v>
      </c>
      <c r="E193" s="29" t="s">
        <v>209</v>
      </c>
      <c r="F193" s="2" t="s">
        <v>215</v>
      </c>
      <c r="G193" s="2">
        <f t="shared" si="58"/>
        <v>7</v>
      </c>
      <c r="H193" s="2" t="str">
        <f t="shared" si="48"/>
        <v>--</v>
      </c>
      <c r="I193" s="38">
        <f t="shared" si="51"/>
        <v>0</v>
      </c>
      <c r="J193" s="33">
        <f t="shared" si="52"/>
        <v>106</v>
      </c>
      <c r="K193" s="33">
        <f t="shared" ref="K193:Q202" si="70">INT((1+VLOOKUP($F193,role_property_weight,getpos(K$2),FALSE))*(1+VLOOKUP($F193,weapon_property_weight,getpos(K$2),FALSE))*VLOOKUP($E193,role_grow,getpos(K$2),FALSE)*$G193*10*VLOOKUP($C193,weapon_grow1,5,FALSE))</f>
        <v>0</v>
      </c>
      <c r="L193" s="33">
        <f t="shared" si="70"/>
        <v>0</v>
      </c>
      <c r="M193" s="33">
        <f t="shared" si="70"/>
        <v>0</v>
      </c>
      <c r="N193" s="33">
        <f t="shared" si="49"/>
        <v>0</v>
      </c>
      <c r="O193" s="33">
        <f t="shared" si="70"/>
        <v>0</v>
      </c>
      <c r="P193" s="33">
        <f t="shared" si="70"/>
        <v>0</v>
      </c>
      <c r="Q193" s="33">
        <f t="shared" si="70"/>
        <v>0</v>
      </c>
      <c r="R193" s="35">
        <f t="shared" si="53"/>
        <v>0</v>
      </c>
      <c r="S193" s="35">
        <f t="shared" si="54"/>
        <v>0</v>
      </c>
      <c r="T193" s="35">
        <f t="shared" si="55"/>
        <v>0</v>
      </c>
      <c r="U193" s="35">
        <f t="shared" si="50"/>
        <v>0</v>
      </c>
      <c r="V193" s="35">
        <f t="shared" ref="V193:AA202" si="71">1-200/(200+ROUND((1+VLOOKUP($F193,role_property_weight,getpos(V$2),FALSE))*VLOOKUP($E193,role_grow,getpos(V$2),FALSE)*$G193*10*VLOOKUP($C193,weapon_grow1,5,FALSE),0))</f>
        <v>0</v>
      </c>
      <c r="W193" s="35">
        <f t="shared" si="71"/>
        <v>0</v>
      </c>
      <c r="X193" s="35">
        <f t="shared" si="71"/>
        <v>0</v>
      </c>
      <c r="Y193" s="35">
        <f t="shared" si="71"/>
        <v>0</v>
      </c>
      <c r="Z193" s="35">
        <f t="shared" si="71"/>
        <v>0</v>
      </c>
      <c r="AA193" s="35">
        <f t="shared" si="71"/>
        <v>0</v>
      </c>
    </row>
    <row r="194" spans="2:27" x14ac:dyDescent="0.2">
      <c r="B194" s="2">
        <v>192</v>
      </c>
      <c r="C194" s="2" t="str">
        <f t="shared" si="65"/>
        <v>c</v>
      </c>
      <c r="D194" s="29" t="s">
        <v>128</v>
      </c>
      <c r="E194" s="29" t="s">
        <v>209</v>
      </c>
      <c r="F194" s="2" t="s">
        <v>215</v>
      </c>
      <c r="G194" s="2">
        <f t="shared" si="58"/>
        <v>8</v>
      </c>
      <c r="H194" s="2" t="str">
        <f t="shared" si="48"/>
        <v>--</v>
      </c>
      <c r="I194" s="38">
        <f t="shared" si="51"/>
        <v>0</v>
      </c>
      <c r="J194" s="33">
        <f t="shared" si="52"/>
        <v>122</v>
      </c>
      <c r="K194" s="33">
        <f t="shared" si="70"/>
        <v>0</v>
      </c>
      <c r="L194" s="33">
        <f t="shared" si="70"/>
        <v>0</v>
      </c>
      <c r="M194" s="33">
        <f t="shared" si="70"/>
        <v>0</v>
      </c>
      <c r="N194" s="33">
        <f t="shared" si="49"/>
        <v>0</v>
      </c>
      <c r="O194" s="33">
        <f t="shared" si="70"/>
        <v>0</v>
      </c>
      <c r="P194" s="33">
        <f t="shared" si="70"/>
        <v>0</v>
      </c>
      <c r="Q194" s="33">
        <f t="shared" si="70"/>
        <v>0</v>
      </c>
      <c r="R194" s="35">
        <f t="shared" si="53"/>
        <v>0</v>
      </c>
      <c r="S194" s="35">
        <f t="shared" si="54"/>
        <v>0</v>
      </c>
      <c r="T194" s="35">
        <f t="shared" si="55"/>
        <v>0</v>
      </c>
      <c r="U194" s="35">
        <f t="shared" si="50"/>
        <v>0</v>
      </c>
      <c r="V194" s="35">
        <f t="shared" si="71"/>
        <v>0</v>
      </c>
      <c r="W194" s="35">
        <f t="shared" si="71"/>
        <v>0</v>
      </c>
      <c r="X194" s="35">
        <f t="shared" si="71"/>
        <v>0</v>
      </c>
      <c r="Y194" s="35">
        <f t="shared" si="71"/>
        <v>0</v>
      </c>
      <c r="Z194" s="35">
        <f t="shared" si="71"/>
        <v>0</v>
      </c>
      <c r="AA194" s="35">
        <f t="shared" si="71"/>
        <v>0</v>
      </c>
    </row>
    <row r="195" spans="2:27" x14ac:dyDescent="0.2">
      <c r="B195" s="2">
        <v>193</v>
      </c>
      <c r="C195" s="2" t="str">
        <f t="shared" si="65"/>
        <v>s</v>
      </c>
      <c r="D195" s="29" t="s">
        <v>10</v>
      </c>
      <c r="E195" s="29" t="s">
        <v>209</v>
      </c>
      <c r="F195" s="2" t="s">
        <v>216</v>
      </c>
      <c r="G195" s="2">
        <f t="shared" si="58"/>
        <v>1</v>
      </c>
      <c r="H195" s="2" t="str">
        <f t="shared" ref="H195:H258" si="72">IF(C195="c","--",VLOOKUP(F195,role_property_weight,17,FALSE))</f>
        <v>地脉</v>
      </c>
      <c r="I195" s="38">
        <f t="shared" si="51"/>
        <v>0.1</v>
      </c>
      <c r="J195" s="33">
        <f t="shared" si="52"/>
        <v>17</v>
      </c>
      <c r="K195" s="33">
        <f t="shared" si="70"/>
        <v>9</v>
      </c>
      <c r="L195" s="33">
        <f t="shared" si="70"/>
        <v>1</v>
      </c>
      <c r="M195" s="33">
        <f t="shared" si="70"/>
        <v>6</v>
      </c>
      <c r="N195" s="33">
        <f t="shared" ref="N195:N258" si="73">ROUNDUP((1+VLOOKUP($F195,role_property_weight,getpos(N$2),FALSE))*(1+VLOOKUP($F195,weapon_property_weight,getpos(N$2),FALSE))*VLOOKUP($E195,role_grow,getpos(N$2),FALSE)*$G195*10*VLOOKUP($C195,weapon_grow1,5,FALSE),0)</f>
        <v>18</v>
      </c>
      <c r="O195" s="33">
        <f t="shared" si="70"/>
        <v>7</v>
      </c>
      <c r="P195" s="33">
        <f t="shared" si="70"/>
        <v>3</v>
      </c>
      <c r="Q195" s="33">
        <f t="shared" si="70"/>
        <v>4</v>
      </c>
      <c r="R195" s="35">
        <f t="shared" si="53"/>
        <v>1.3333333333333332E-2</v>
      </c>
      <c r="S195" s="35">
        <f t="shared" si="54"/>
        <v>0.01</v>
      </c>
      <c r="T195" s="35">
        <f t="shared" si="55"/>
        <v>1.3333333333333332E-2</v>
      </c>
      <c r="U195" s="35">
        <f t="shared" ref="U195:U258" si="74">1-200/(200+ROUND((1+VLOOKUP($F195,role_property_weight,getpos(U$2),FALSE))*VLOOKUP($E195,role_grow,getpos(U$2),FALSE)*$G195*10*VLOOKUP($C195,weapon_grow1,5,FALSE),0))</f>
        <v>9.9009900990099098E-3</v>
      </c>
      <c r="V195" s="35">
        <f t="shared" si="71"/>
        <v>5.6603773584905648E-2</v>
      </c>
      <c r="W195" s="35">
        <f t="shared" si="71"/>
        <v>9.9009900990099098E-3</v>
      </c>
      <c r="X195" s="35">
        <f t="shared" si="71"/>
        <v>9.9009900990099098E-3</v>
      </c>
      <c r="Y195" s="35">
        <f t="shared" si="71"/>
        <v>9.9009900990099098E-3</v>
      </c>
      <c r="Z195" s="35">
        <f t="shared" si="71"/>
        <v>9.9009900990099098E-3</v>
      </c>
      <c r="AA195" s="35">
        <f t="shared" si="71"/>
        <v>9.9009900990099098E-3</v>
      </c>
    </row>
    <row r="196" spans="2:27" x14ac:dyDescent="0.2">
      <c r="B196" s="2">
        <v>194</v>
      </c>
      <c r="C196" s="2" t="str">
        <f t="shared" si="65"/>
        <v>s</v>
      </c>
      <c r="D196" s="29" t="s">
        <v>31</v>
      </c>
      <c r="E196" s="29" t="s">
        <v>209</v>
      </c>
      <c r="F196" s="2" t="s">
        <v>216</v>
      </c>
      <c r="G196" s="2">
        <f t="shared" si="58"/>
        <v>2</v>
      </c>
      <c r="H196" s="2" t="str">
        <f t="shared" si="72"/>
        <v>地脉</v>
      </c>
      <c r="I196" s="38">
        <f t="shared" ref="I196:I259" si="75">IF(H196="--",0,IF((SUM(J196:Q196)/11)%&lt;10%,10%,(SUM(J196:Q196)/11)%))</f>
        <v>0.12090909090909091</v>
      </c>
      <c r="J196" s="33">
        <f t="shared" ref="J196:J259" si="76">INT((1+VLOOKUP($F196,role_property_weight,getpos(J$2),FALSE))*(1+VLOOKUP(F196,weapon_property_weight,getpos(J$2),FALSE))*VLOOKUP($E196,role_grow,getpos(J$2),FALSE)*$G196*10*VLOOKUP($C196,weapon_grow1,4,FALSE))</f>
        <v>34</v>
      </c>
      <c r="K196" s="33">
        <f t="shared" si="70"/>
        <v>18</v>
      </c>
      <c r="L196" s="33">
        <f t="shared" si="70"/>
        <v>3</v>
      </c>
      <c r="M196" s="33">
        <f t="shared" si="70"/>
        <v>12</v>
      </c>
      <c r="N196" s="33">
        <f t="shared" si="73"/>
        <v>35</v>
      </c>
      <c r="O196" s="33">
        <f t="shared" si="70"/>
        <v>15</v>
      </c>
      <c r="P196" s="33">
        <f t="shared" si="70"/>
        <v>7</v>
      </c>
      <c r="Q196" s="33">
        <f t="shared" si="70"/>
        <v>9</v>
      </c>
      <c r="R196" s="35">
        <f t="shared" ref="R196:R259" si="77">(Q196/3)%</f>
        <v>0.03</v>
      </c>
      <c r="S196" s="35">
        <f t="shared" ref="S196:S259" si="78">(P196/3)%</f>
        <v>2.3333333333333334E-2</v>
      </c>
      <c r="T196" s="35">
        <f t="shared" ref="T196:T259" si="79">(Q196/3)%</f>
        <v>0.03</v>
      </c>
      <c r="U196" s="35">
        <f t="shared" si="74"/>
        <v>1.9607843137254943E-2</v>
      </c>
      <c r="V196" s="35">
        <f t="shared" si="71"/>
        <v>0.1071428571428571</v>
      </c>
      <c r="W196" s="35">
        <f t="shared" si="71"/>
        <v>1.9607843137254943E-2</v>
      </c>
      <c r="X196" s="35">
        <f t="shared" si="71"/>
        <v>1.9607843137254943E-2</v>
      </c>
      <c r="Y196" s="35">
        <f t="shared" si="71"/>
        <v>1.9607843137254943E-2</v>
      </c>
      <c r="Z196" s="35">
        <f t="shared" si="71"/>
        <v>1.9607843137254943E-2</v>
      </c>
      <c r="AA196" s="35">
        <f t="shared" si="71"/>
        <v>1.9607843137254943E-2</v>
      </c>
    </row>
    <row r="197" spans="2:27" x14ac:dyDescent="0.2">
      <c r="B197" s="2">
        <v>195</v>
      </c>
      <c r="C197" s="2" t="str">
        <f t="shared" si="65"/>
        <v>s</v>
      </c>
      <c r="D197" s="29" t="s">
        <v>31</v>
      </c>
      <c r="E197" s="29" t="s">
        <v>209</v>
      </c>
      <c r="F197" s="2" t="s">
        <v>216</v>
      </c>
      <c r="G197" s="2">
        <f t="shared" si="58"/>
        <v>3</v>
      </c>
      <c r="H197" s="2" t="str">
        <f t="shared" si="72"/>
        <v>地脉</v>
      </c>
      <c r="I197" s="38">
        <f t="shared" si="75"/>
        <v>0.18363636363636363</v>
      </c>
      <c r="J197" s="33">
        <f t="shared" si="76"/>
        <v>52</v>
      </c>
      <c r="K197" s="33">
        <f t="shared" si="70"/>
        <v>28</v>
      </c>
      <c r="L197" s="33">
        <f t="shared" si="70"/>
        <v>4</v>
      </c>
      <c r="M197" s="33">
        <f t="shared" si="70"/>
        <v>18</v>
      </c>
      <c r="N197" s="33">
        <f t="shared" si="73"/>
        <v>52</v>
      </c>
      <c r="O197" s="33">
        <f t="shared" si="70"/>
        <v>23</v>
      </c>
      <c r="P197" s="33">
        <f t="shared" si="70"/>
        <v>11</v>
      </c>
      <c r="Q197" s="33">
        <f t="shared" si="70"/>
        <v>14</v>
      </c>
      <c r="R197" s="35">
        <f t="shared" si="77"/>
        <v>4.6666666666666669E-2</v>
      </c>
      <c r="S197" s="35">
        <f t="shared" si="78"/>
        <v>3.6666666666666667E-2</v>
      </c>
      <c r="T197" s="35">
        <f t="shared" si="79"/>
        <v>4.6666666666666669E-2</v>
      </c>
      <c r="U197" s="35">
        <f t="shared" si="74"/>
        <v>2.9126213592232997E-2</v>
      </c>
      <c r="V197" s="35">
        <f t="shared" si="71"/>
        <v>0.14893617021276595</v>
      </c>
      <c r="W197" s="35">
        <f t="shared" si="71"/>
        <v>2.9126213592232997E-2</v>
      </c>
      <c r="X197" s="35">
        <f t="shared" si="71"/>
        <v>2.9126213592232997E-2</v>
      </c>
      <c r="Y197" s="35">
        <f t="shared" si="71"/>
        <v>2.9126213592232997E-2</v>
      </c>
      <c r="Z197" s="35">
        <f t="shared" si="71"/>
        <v>2.9126213592232997E-2</v>
      </c>
      <c r="AA197" s="35">
        <f t="shared" si="71"/>
        <v>2.9126213592232997E-2</v>
      </c>
    </row>
    <row r="198" spans="2:27" x14ac:dyDescent="0.2">
      <c r="B198" s="2">
        <v>196</v>
      </c>
      <c r="C198" s="2" t="str">
        <f t="shared" si="65"/>
        <v>s</v>
      </c>
      <c r="D198" s="29" t="s">
        <v>31</v>
      </c>
      <c r="E198" s="29" t="s">
        <v>209</v>
      </c>
      <c r="F198" s="2" t="s">
        <v>216</v>
      </c>
      <c r="G198" s="2">
        <f t="shared" si="58"/>
        <v>4</v>
      </c>
      <c r="H198" s="2" t="str">
        <f t="shared" si="72"/>
        <v>地脉</v>
      </c>
      <c r="I198" s="38">
        <f t="shared" si="75"/>
        <v>0.24545454545454548</v>
      </c>
      <c r="J198" s="33">
        <f t="shared" si="76"/>
        <v>69</v>
      </c>
      <c r="K198" s="33">
        <f t="shared" si="70"/>
        <v>37</v>
      </c>
      <c r="L198" s="33">
        <f t="shared" si="70"/>
        <v>6</v>
      </c>
      <c r="M198" s="33">
        <f t="shared" si="70"/>
        <v>25</v>
      </c>
      <c r="N198" s="33">
        <f t="shared" si="73"/>
        <v>69</v>
      </c>
      <c r="O198" s="33">
        <f t="shared" si="70"/>
        <v>31</v>
      </c>
      <c r="P198" s="33">
        <f t="shared" si="70"/>
        <v>15</v>
      </c>
      <c r="Q198" s="33">
        <f t="shared" si="70"/>
        <v>18</v>
      </c>
      <c r="R198" s="35">
        <f t="shared" si="77"/>
        <v>0.06</v>
      </c>
      <c r="S198" s="35">
        <f t="shared" si="78"/>
        <v>0.05</v>
      </c>
      <c r="T198" s="35">
        <f t="shared" si="79"/>
        <v>0.06</v>
      </c>
      <c r="U198" s="35">
        <f t="shared" si="74"/>
        <v>3.8461538461538436E-2</v>
      </c>
      <c r="V198" s="35">
        <f t="shared" si="71"/>
        <v>0.19028340080971662</v>
      </c>
      <c r="W198" s="35">
        <f t="shared" si="71"/>
        <v>3.8461538461538436E-2</v>
      </c>
      <c r="X198" s="35">
        <f t="shared" si="71"/>
        <v>3.8461538461538436E-2</v>
      </c>
      <c r="Y198" s="35">
        <f t="shared" si="71"/>
        <v>3.8461538461538436E-2</v>
      </c>
      <c r="Z198" s="35">
        <f t="shared" si="71"/>
        <v>3.8461538461538436E-2</v>
      </c>
      <c r="AA198" s="35">
        <f t="shared" si="71"/>
        <v>3.8461538461538436E-2</v>
      </c>
    </row>
    <row r="199" spans="2:27" x14ac:dyDescent="0.2">
      <c r="B199" s="2">
        <v>197</v>
      </c>
      <c r="C199" s="2" t="str">
        <f t="shared" si="65"/>
        <v>s</v>
      </c>
      <c r="D199" s="29" t="s">
        <v>31</v>
      </c>
      <c r="E199" s="29" t="s">
        <v>209</v>
      </c>
      <c r="F199" s="2" t="s">
        <v>216</v>
      </c>
      <c r="G199" s="2">
        <f t="shared" si="58"/>
        <v>5</v>
      </c>
      <c r="H199" s="2" t="str">
        <f t="shared" si="72"/>
        <v>地脉</v>
      </c>
      <c r="I199" s="38">
        <f t="shared" si="75"/>
        <v>0.30909090909090908</v>
      </c>
      <c r="J199" s="33">
        <f t="shared" si="76"/>
        <v>86</v>
      </c>
      <c r="K199" s="33">
        <f t="shared" si="70"/>
        <v>47</v>
      </c>
      <c r="L199" s="33">
        <f t="shared" si="70"/>
        <v>8</v>
      </c>
      <c r="M199" s="33">
        <f t="shared" si="70"/>
        <v>31</v>
      </c>
      <c r="N199" s="33">
        <f t="shared" si="73"/>
        <v>87</v>
      </c>
      <c r="O199" s="33">
        <f t="shared" si="70"/>
        <v>39</v>
      </c>
      <c r="P199" s="33">
        <f t="shared" si="70"/>
        <v>19</v>
      </c>
      <c r="Q199" s="33">
        <f t="shared" si="70"/>
        <v>23</v>
      </c>
      <c r="R199" s="35">
        <f t="shared" si="77"/>
        <v>7.6666666666666675E-2</v>
      </c>
      <c r="S199" s="35">
        <f t="shared" si="78"/>
        <v>6.3333333333333325E-2</v>
      </c>
      <c r="T199" s="35">
        <f t="shared" si="79"/>
        <v>7.6666666666666675E-2</v>
      </c>
      <c r="U199" s="35">
        <f t="shared" si="74"/>
        <v>4.7619047619047672E-2</v>
      </c>
      <c r="V199" s="35">
        <f t="shared" si="71"/>
        <v>0.22779922779922779</v>
      </c>
      <c r="W199" s="35">
        <f t="shared" si="71"/>
        <v>4.7619047619047672E-2</v>
      </c>
      <c r="X199" s="35">
        <f t="shared" si="71"/>
        <v>4.7619047619047672E-2</v>
      </c>
      <c r="Y199" s="35">
        <f t="shared" si="71"/>
        <v>4.7619047619047672E-2</v>
      </c>
      <c r="Z199" s="35">
        <f t="shared" si="71"/>
        <v>4.7619047619047672E-2</v>
      </c>
      <c r="AA199" s="35">
        <f t="shared" si="71"/>
        <v>4.7619047619047672E-2</v>
      </c>
    </row>
    <row r="200" spans="2:27" x14ac:dyDescent="0.2">
      <c r="B200" s="2">
        <v>198</v>
      </c>
      <c r="C200" s="2" t="str">
        <f t="shared" si="65"/>
        <v>s</v>
      </c>
      <c r="D200" s="29" t="s">
        <v>31</v>
      </c>
      <c r="E200" s="29" t="s">
        <v>209</v>
      </c>
      <c r="F200" s="2" t="s">
        <v>216</v>
      </c>
      <c r="G200" s="2">
        <f t="shared" si="58"/>
        <v>6</v>
      </c>
      <c r="H200" s="2" t="str">
        <f t="shared" si="72"/>
        <v>地脉</v>
      </c>
      <c r="I200" s="38">
        <f t="shared" si="75"/>
        <v>0.37090909090909091</v>
      </c>
      <c r="J200" s="33">
        <f t="shared" si="76"/>
        <v>104</v>
      </c>
      <c r="K200" s="33">
        <f t="shared" si="70"/>
        <v>56</v>
      </c>
      <c r="L200" s="33">
        <f t="shared" si="70"/>
        <v>9</v>
      </c>
      <c r="M200" s="33">
        <f t="shared" si="70"/>
        <v>37</v>
      </c>
      <c r="N200" s="33">
        <f t="shared" si="73"/>
        <v>104</v>
      </c>
      <c r="O200" s="33">
        <f t="shared" si="70"/>
        <v>47</v>
      </c>
      <c r="P200" s="33">
        <f t="shared" si="70"/>
        <v>23</v>
      </c>
      <c r="Q200" s="33">
        <f t="shared" si="70"/>
        <v>28</v>
      </c>
      <c r="R200" s="35">
        <f t="shared" si="77"/>
        <v>9.3333333333333338E-2</v>
      </c>
      <c r="S200" s="35">
        <f t="shared" si="78"/>
        <v>7.6666666666666675E-2</v>
      </c>
      <c r="T200" s="35">
        <f t="shared" si="79"/>
        <v>9.3333333333333338E-2</v>
      </c>
      <c r="U200" s="35">
        <f t="shared" si="74"/>
        <v>5.6603773584905648E-2</v>
      </c>
      <c r="V200" s="35">
        <f t="shared" si="71"/>
        <v>0.26199261992619927</v>
      </c>
      <c r="W200" s="35">
        <f t="shared" si="71"/>
        <v>5.6603773584905648E-2</v>
      </c>
      <c r="X200" s="35">
        <f t="shared" si="71"/>
        <v>5.6603773584905648E-2</v>
      </c>
      <c r="Y200" s="35">
        <f t="shared" si="71"/>
        <v>5.6603773584905648E-2</v>
      </c>
      <c r="Z200" s="35">
        <f t="shared" si="71"/>
        <v>5.6603773584905648E-2</v>
      </c>
      <c r="AA200" s="35">
        <f t="shared" si="71"/>
        <v>5.6603773584905648E-2</v>
      </c>
    </row>
    <row r="201" spans="2:27" x14ac:dyDescent="0.2">
      <c r="B201" s="2">
        <v>199</v>
      </c>
      <c r="C201" s="2" t="str">
        <f t="shared" si="65"/>
        <v>s</v>
      </c>
      <c r="D201" s="29" t="s">
        <v>31</v>
      </c>
      <c r="E201" s="29" t="s">
        <v>209</v>
      </c>
      <c r="F201" s="2" t="s">
        <v>216</v>
      </c>
      <c r="G201" s="2">
        <f t="shared" si="58"/>
        <v>7</v>
      </c>
      <c r="H201" s="2" t="str">
        <f t="shared" si="72"/>
        <v>地脉</v>
      </c>
      <c r="I201" s="38">
        <f t="shared" si="75"/>
        <v>0.43090909090909091</v>
      </c>
      <c r="J201" s="33">
        <f t="shared" si="76"/>
        <v>121</v>
      </c>
      <c r="K201" s="33">
        <f t="shared" si="70"/>
        <v>65</v>
      </c>
      <c r="L201" s="33">
        <f t="shared" si="70"/>
        <v>11</v>
      </c>
      <c r="M201" s="33">
        <f t="shared" si="70"/>
        <v>43</v>
      </c>
      <c r="N201" s="33">
        <f t="shared" si="73"/>
        <v>121</v>
      </c>
      <c r="O201" s="33">
        <f t="shared" si="70"/>
        <v>54</v>
      </c>
      <c r="P201" s="33">
        <f t="shared" si="70"/>
        <v>27</v>
      </c>
      <c r="Q201" s="33">
        <f t="shared" si="70"/>
        <v>32</v>
      </c>
      <c r="R201" s="35">
        <f t="shared" si="77"/>
        <v>0.10666666666666666</v>
      </c>
      <c r="S201" s="35">
        <f t="shared" si="78"/>
        <v>0.09</v>
      </c>
      <c r="T201" s="35">
        <f t="shared" si="79"/>
        <v>0.10666666666666666</v>
      </c>
      <c r="U201" s="35">
        <f t="shared" si="74"/>
        <v>6.5420560747663559E-2</v>
      </c>
      <c r="V201" s="35">
        <f t="shared" si="71"/>
        <v>0.29078014184397161</v>
      </c>
      <c r="W201" s="35">
        <f t="shared" si="71"/>
        <v>6.5420560747663559E-2</v>
      </c>
      <c r="X201" s="35">
        <f t="shared" si="71"/>
        <v>6.5420560747663559E-2</v>
      </c>
      <c r="Y201" s="35">
        <f t="shared" si="71"/>
        <v>6.5420560747663559E-2</v>
      </c>
      <c r="Z201" s="35">
        <f t="shared" si="71"/>
        <v>6.5420560747663559E-2</v>
      </c>
      <c r="AA201" s="35">
        <f t="shared" si="71"/>
        <v>6.5420560747663559E-2</v>
      </c>
    </row>
    <row r="202" spans="2:27" x14ac:dyDescent="0.2">
      <c r="B202" s="2">
        <v>200</v>
      </c>
      <c r="C202" s="2" t="str">
        <f t="shared" si="65"/>
        <v>s</v>
      </c>
      <c r="D202" s="29" t="s">
        <v>31</v>
      </c>
      <c r="E202" s="29" t="s">
        <v>209</v>
      </c>
      <c r="F202" s="2" t="s">
        <v>216</v>
      </c>
      <c r="G202" s="2">
        <f t="shared" si="58"/>
        <v>8</v>
      </c>
      <c r="H202" s="2" t="str">
        <f t="shared" si="72"/>
        <v>地脉</v>
      </c>
      <c r="I202" s="38">
        <f t="shared" si="75"/>
        <v>0.49454545454545451</v>
      </c>
      <c r="J202" s="33">
        <f t="shared" si="76"/>
        <v>138</v>
      </c>
      <c r="K202" s="33">
        <f t="shared" si="70"/>
        <v>75</v>
      </c>
      <c r="L202" s="33">
        <f t="shared" si="70"/>
        <v>13</v>
      </c>
      <c r="M202" s="33">
        <f t="shared" si="70"/>
        <v>50</v>
      </c>
      <c r="N202" s="33">
        <f t="shared" si="73"/>
        <v>138</v>
      </c>
      <c r="O202" s="33">
        <f t="shared" si="70"/>
        <v>62</v>
      </c>
      <c r="P202" s="33">
        <f t="shared" si="70"/>
        <v>31</v>
      </c>
      <c r="Q202" s="33">
        <f t="shared" si="70"/>
        <v>37</v>
      </c>
      <c r="R202" s="35">
        <f t="shared" si="77"/>
        <v>0.12333333333333334</v>
      </c>
      <c r="S202" s="35">
        <f t="shared" si="78"/>
        <v>0.10333333333333333</v>
      </c>
      <c r="T202" s="35">
        <f t="shared" si="79"/>
        <v>0.12333333333333334</v>
      </c>
      <c r="U202" s="35">
        <f t="shared" si="74"/>
        <v>7.407407407407407E-2</v>
      </c>
      <c r="V202" s="35">
        <f t="shared" si="71"/>
        <v>0.31972789115646261</v>
      </c>
      <c r="W202" s="35">
        <f t="shared" si="71"/>
        <v>7.407407407407407E-2</v>
      </c>
      <c r="X202" s="35">
        <f t="shared" si="71"/>
        <v>7.407407407407407E-2</v>
      </c>
      <c r="Y202" s="35">
        <f t="shared" si="71"/>
        <v>7.407407407407407E-2</v>
      </c>
      <c r="Z202" s="35">
        <f t="shared" si="71"/>
        <v>7.407407407407407E-2</v>
      </c>
      <c r="AA202" s="35">
        <f t="shared" si="71"/>
        <v>7.407407407407407E-2</v>
      </c>
    </row>
    <row r="203" spans="2:27" x14ac:dyDescent="0.2">
      <c r="B203" s="2">
        <v>201</v>
      </c>
      <c r="C203" s="2" t="str">
        <f t="shared" si="65"/>
        <v>a</v>
      </c>
      <c r="D203" s="29" t="s">
        <v>31</v>
      </c>
      <c r="E203" s="29" t="s">
        <v>209</v>
      </c>
      <c r="F203" s="2" t="s">
        <v>216</v>
      </c>
      <c r="G203" s="2">
        <f t="shared" si="58"/>
        <v>1</v>
      </c>
      <c r="H203" s="2" t="str">
        <f t="shared" si="72"/>
        <v>地脉</v>
      </c>
      <c r="I203" s="38">
        <f t="shared" si="75"/>
        <v>0.1</v>
      </c>
      <c r="J203" s="33">
        <f t="shared" si="76"/>
        <v>13</v>
      </c>
      <c r="K203" s="33">
        <f t="shared" ref="K203:Q212" si="80">INT((1+VLOOKUP($F203,role_property_weight,getpos(K$2),FALSE))*(1+VLOOKUP($F203,weapon_property_weight,getpos(K$2),FALSE))*VLOOKUP($E203,role_grow,getpos(K$2),FALSE)*$G203*10*VLOOKUP($C203,weapon_grow1,5,FALSE))</f>
        <v>9</v>
      </c>
      <c r="L203" s="33">
        <f t="shared" si="80"/>
        <v>1</v>
      </c>
      <c r="M203" s="33">
        <f t="shared" si="80"/>
        <v>6</v>
      </c>
      <c r="N203" s="33">
        <f t="shared" si="73"/>
        <v>19</v>
      </c>
      <c r="O203" s="33">
        <f t="shared" si="80"/>
        <v>8</v>
      </c>
      <c r="P203" s="33">
        <f t="shared" si="80"/>
        <v>4</v>
      </c>
      <c r="Q203" s="33">
        <f t="shared" si="80"/>
        <v>4</v>
      </c>
      <c r="R203" s="35">
        <f t="shared" si="77"/>
        <v>1.3333333333333332E-2</v>
      </c>
      <c r="S203" s="35">
        <f t="shared" si="78"/>
        <v>1.3333333333333332E-2</v>
      </c>
      <c r="T203" s="35">
        <f t="shared" si="79"/>
        <v>1.3333333333333332E-2</v>
      </c>
      <c r="U203" s="35">
        <f t="shared" si="74"/>
        <v>9.9009900990099098E-3</v>
      </c>
      <c r="V203" s="35">
        <f t="shared" ref="V203:AA212" si="81">1-200/(200+ROUND((1+VLOOKUP($F203,role_property_weight,getpos(V$2),FALSE))*VLOOKUP($E203,role_grow,getpos(V$2),FALSE)*$G203*10*VLOOKUP($C203,weapon_grow1,5,FALSE),0))</f>
        <v>5.6603773584905648E-2</v>
      </c>
      <c r="W203" s="35">
        <f t="shared" si="81"/>
        <v>9.9009900990099098E-3</v>
      </c>
      <c r="X203" s="35">
        <f t="shared" si="81"/>
        <v>9.9009900990099098E-3</v>
      </c>
      <c r="Y203" s="35">
        <f t="shared" si="81"/>
        <v>9.9009900990099098E-3</v>
      </c>
      <c r="Z203" s="35">
        <f t="shared" si="81"/>
        <v>9.9009900990099098E-3</v>
      </c>
      <c r="AA203" s="35">
        <f t="shared" si="81"/>
        <v>9.9009900990099098E-3</v>
      </c>
    </row>
    <row r="204" spans="2:27" x14ac:dyDescent="0.2">
      <c r="B204" s="2">
        <v>202</v>
      </c>
      <c r="C204" s="2" t="str">
        <f t="shared" si="65"/>
        <v>a</v>
      </c>
      <c r="D204" s="29" t="s">
        <v>31</v>
      </c>
      <c r="E204" s="29" t="s">
        <v>209</v>
      </c>
      <c r="F204" s="2" t="s">
        <v>216</v>
      </c>
      <c r="G204" s="2">
        <f t="shared" ref="G204:G267" si="82">G196</f>
        <v>2</v>
      </c>
      <c r="H204" s="2" t="str">
        <f t="shared" si="72"/>
        <v>地脉</v>
      </c>
      <c r="I204" s="38">
        <f t="shared" si="75"/>
        <v>0.11909090909090908</v>
      </c>
      <c r="J204" s="33">
        <f t="shared" si="76"/>
        <v>26</v>
      </c>
      <c r="K204" s="33">
        <f t="shared" si="80"/>
        <v>19</v>
      </c>
      <c r="L204" s="33">
        <f t="shared" si="80"/>
        <v>3</v>
      </c>
      <c r="M204" s="33">
        <f t="shared" si="80"/>
        <v>13</v>
      </c>
      <c r="N204" s="33">
        <f t="shared" si="73"/>
        <v>37</v>
      </c>
      <c r="O204" s="33">
        <f t="shared" si="80"/>
        <v>16</v>
      </c>
      <c r="P204" s="33">
        <f t="shared" si="80"/>
        <v>8</v>
      </c>
      <c r="Q204" s="33">
        <f t="shared" si="80"/>
        <v>9</v>
      </c>
      <c r="R204" s="35">
        <f t="shared" si="77"/>
        <v>0.03</v>
      </c>
      <c r="S204" s="35">
        <f t="shared" si="78"/>
        <v>2.6666666666666665E-2</v>
      </c>
      <c r="T204" s="35">
        <f t="shared" si="79"/>
        <v>0.03</v>
      </c>
      <c r="U204" s="35">
        <f t="shared" si="74"/>
        <v>1.9607843137254943E-2</v>
      </c>
      <c r="V204" s="35">
        <f t="shared" si="81"/>
        <v>0.11111111111111116</v>
      </c>
      <c r="W204" s="35">
        <f t="shared" si="81"/>
        <v>1.9607843137254943E-2</v>
      </c>
      <c r="X204" s="35">
        <f t="shared" si="81"/>
        <v>1.9607843137254943E-2</v>
      </c>
      <c r="Y204" s="35">
        <f t="shared" si="81"/>
        <v>1.9607843137254943E-2</v>
      </c>
      <c r="Z204" s="35">
        <f t="shared" si="81"/>
        <v>1.9607843137254943E-2</v>
      </c>
      <c r="AA204" s="35">
        <f t="shared" si="81"/>
        <v>1.9607843137254943E-2</v>
      </c>
    </row>
    <row r="205" spans="2:27" x14ac:dyDescent="0.2">
      <c r="B205" s="2">
        <v>203</v>
      </c>
      <c r="C205" s="2" t="str">
        <f t="shared" si="65"/>
        <v>a</v>
      </c>
      <c r="D205" s="29" t="s">
        <v>31</v>
      </c>
      <c r="E205" s="29" t="s">
        <v>209</v>
      </c>
      <c r="F205" s="2" t="s">
        <v>216</v>
      </c>
      <c r="G205" s="2">
        <f t="shared" si="82"/>
        <v>3</v>
      </c>
      <c r="H205" s="2" t="str">
        <f t="shared" si="72"/>
        <v>地脉</v>
      </c>
      <c r="I205" s="38">
        <f t="shared" si="75"/>
        <v>0.17909090909090911</v>
      </c>
      <c r="J205" s="33">
        <f t="shared" si="76"/>
        <v>39</v>
      </c>
      <c r="K205" s="33">
        <f t="shared" si="80"/>
        <v>29</v>
      </c>
      <c r="L205" s="33">
        <f t="shared" si="80"/>
        <v>5</v>
      </c>
      <c r="M205" s="33">
        <f t="shared" si="80"/>
        <v>19</v>
      </c>
      <c r="N205" s="33">
        <f t="shared" si="73"/>
        <v>55</v>
      </c>
      <c r="O205" s="33">
        <f t="shared" si="80"/>
        <v>24</v>
      </c>
      <c r="P205" s="33">
        <f t="shared" si="80"/>
        <v>12</v>
      </c>
      <c r="Q205" s="33">
        <f t="shared" si="80"/>
        <v>14</v>
      </c>
      <c r="R205" s="35">
        <f t="shared" si="77"/>
        <v>4.6666666666666669E-2</v>
      </c>
      <c r="S205" s="35">
        <f t="shared" si="78"/>
        <v>0.04</v>
      </c>
      <c r="T205" s="35">
        <f t="shared" si="79"/>
        <v>4.6666666666666669E-2</v>
      </c>
      <c r="U205" s="35">
        <f t="shared" si="74"/>
        <v>2.9126213592232997E-2</v>
      </c>
      <c r="V205" s="35">
        <f t="shared" si="81"/>
        <v>0.15611814345991559</v>
      </c>
      <c r="W205" s="35">
        <f t="shared" si="81"/>
        <v>2.9126213592232997E-2</v>
      </c>
      <c r="X205" s="35">
        <f t="shared" si="81"/>
        <v>2.9126213592232997E-2</v>
      </c>
      <c r="Y205" s="35">
        <f t="shared" si="81"/>
        <v>2.9126213592232997E-2</v>
      </c>
      <c r="Z205" s="35">
        <f t="shared" si="81"/>
        <v>2.9126213592232997E-2</v>
      </c>
      <c r="AA205" s="35">
        <f t="shared" si="81"/>
        <v>2.9126213592232997E-2</v>
      </c>
    </row>
    <row r="206" spans="2:27" x14ac:dyDescent="0.2">
      <c r="B206" s="2">
        <v>204</v>
      </c>
      <c r="C206" s="2" t="str">
        <f t="shared" si="65"/>
        <v>a</v>
      </c>
      <c r="D206" s="29" t="s">
        <v>31</v>
      </c>
      <c r="E206" s="29" t="s">
        <v>209</v>
      </c>
      <c r="F206" s="2" t="s">
        <v>216</v>
      </c>
      <c r="G206" s="2">
        <f t="shared" si="82"/>
        <v>4</v>
      </c>
      <c r="H206" s="2" t="str">
        <f t="shared" si="72"/>
        <v>地脉</v>
      </c>
      <c r="I206" s="38">
        <f t="shared" si="75"/>
        <v>0.24090909090909091</v>
      </c>
      <c r="J206" s="33">
        <f t="shared" si="76"/>
        <v>53</v>
      </c>
      <c r="K206" s="33">
        <f t="shared" si="80"/>
        <v>39</v>
      </c>
      <c r="L206" s="33">
        <f t="shared" si="80"/>
        <v>6</v>
      </c>
      <c r="M206" s="33">
        <f t="shared" si="80"/>
        <v>26</v>
      </c>
      <c r="N206" s="33">
        <f t="shared" si="73"/>
        <v>73</v>
      </c>
      <c r="O206" s="33">
        <f t="shared" si="80"/>
        <v>33</v>
      </c>
      <c r="P206" s="33">
        <f t="shared" si="80"/>
        <v>16</v>
      </c>
      <c r="Q206" s="33">
        <f t="shared" si="80"/>
        <v>19</v>
      </c>
      <c r="R206" s="35">
        <f t="shared" si="77"/>
        <v>6.3333333333333325E-2</v>
      </c>
      <c r="S206" s="35">
        <f t="shared" si="78"/>
        <v>5.333333333333333E-2</v>
      </c>
      <c r="T206" s="35">
        <f t="shared" si="79"/>
        <v>6.3333333333333325E-2</v>
      </c>
      <c r="U206" s="35">
        <f t="shared" si="74"/>
        <v>3.8461538461538436E-2</v>
      </c>
      <c r="V206" s="35">
        <f t="shared" si="81"/>
        <v>0.19999999999999996</v>
      </c>
      <c r="W206" s="35">
        <f t="shared" si="81"/>
        <v>3.8461538461538436E-2</v>
      </c>
      <c r="X206" s="35">
        <f t="shared" si="81"/>
        <v>3.8461538461538436E-2</v>
      </c>
      <c r="Y206" s="35">
        <f t="shared" si="81"/>
        <v>3.8461538461538436E-2</v>
      </c>
      <c r="Z206" s="35">
        <f t="shared" si="81"/>
        <v>3.8461538461538436E-2</v>
      </c>
      <c r="AA206" s="35">
        <f t="shared" si="81"/>
        <v>3.8461538461538436E-2</v>
      </c>
    </row>
    <row r="207" spans="2:27" x14ac:dyDescent="0.2">
      <c r="B207" s="2">
        <v>205</v>
      </c>
      <c r="C207" s="2" t="str">
        <f t="shared" si="65"/>
        <v>a</v>
      </c>
      <c r="D207" s="29" t="s">
        <v>31</v>
      </c>
      <c r="E207" s="29" t="s">
        <v>209</v>
      </c>
      <c r="F207" s="2" t="s">
        <v>216</v>
      </c>
      <c r="G207" s="2">
        <f t="shared" si="82"/>
        <v>5</v>
      </c>
      <c r="H207" s="2" t="str">
        <f t="shared" si="72"/>
        <v>地脉</v>
      </c>
      <c r="I207" s="38">
        <f t="shared" si="75"/>
        <v>0.30181818181818182</v>
      </c>
      <c r="J207" s="33">
        <f t="shared" si="76"/>
        <v>66</v>
      </c>
      <c r="K207" s="33">
        <f t="shared" si="80"/>
        <v>49</v>
      </c>
      <c r="L207" s="33">
        <f t="shared" si="80"/>
        <v>8</v>
      </c>
      <c r="M207" s="33">
        <f t="shared" si="80"/>
        <v>33</v>
      </c>
      <c r="N207" s="33">
        <f t="shared" si="73"/>
        <v>91</v>
      </c>
      <c r="O207" s="33">
        <f t="shared" si="80"/>
        <v>41</v>
      </c>
      <c r="P207" s="33">
        <f t="shared" si="80"/>
        <v>20</v>
      </c>
      <c r="Q207" s="33">
        <f t="shared" si="80"/>
        <v>24</v>
      </c>
      <c r="R207" s="35">
        <f t="shared" si="77"/>
        <v>0.08</v>
      </c>
      <c r="S207" s="35">
        <f t="shared" si="78"/>
        <v>6.6666666666666666E-2</v>
      </c>
      <c r="T207" s="35">
        <f t="shared" si="79"/>
        <v>0.08</v>
      </c>
      <c r="U207" s="35">
        <f t="shared" si="74"/>
        <v>4.7619047619047672E-2</v>
      </c>
      <c r="V207" s="35">
        <f t="shared" si="81"/>
        <v>0.23664122137404575</v>
      </c>
      <c r="W207" s="35">
        <f t="shared" si="81"/>
        <v>4.7619047619047672E-2</v>
      </c>
      <c r="X207" s="35">
        <f t="shared" si="81"/>
        <v>4.7619047619047672E-2</v>
      </c>
      <c r="Y207" s="35">
        <f t="shared" si="81"/>
        <v>4.7619047619047672E-2</v>
      </c>
      <c r="Z207" s="35">
        <f t="shared" si="81"/>
        <v>4.7619047619047672E-2</v>
      </c>
      <c r="AA207" s="35">
        <f t="shared" si="81"/>
        <v>4.7619047619047672E-2</v>
      </c>
    </row>
    <row r="208" spans="2:27" x14ac:dyDescent="0.2">
      <c r="B208" s="2">
        <v>206</v>
      </c>
      <c r="C208" s="2" t="str">
        <f t="shared" si="65"/>
        <v>a</v>
      </c>
      <c r="D208" s="29" t="s">
        <v>31</v>
      </c>
      <c r="E208" s="29" t="s">
        <v>209</v>
      </c>
      <c r="F208" s="2" t="s">
        <v>216</v>
      </c>
      <c r="G208" s="2">
        <f t="shared" si="82"/>
        <v>6</v>
      </c>
      <c r="H208" s="2" t="str">
        <f t="shared" si="72"/>
        <v>地脉</v>
      </c>
      <c r="I208" s="38">
        <f t="shared" si="75"/>
        <v>0.36272727272727273</v>
      </c>
      <c r="J208" s="33">
        <f t="shared" si="76"/>
        <v>79</v>
      </c>
      <c r="K208" s="33">
        <f t="shared" si="80"/>
        <v>59</v>
      </c>
      <c r="L208" s="33">
        <f t="shared" si="80"/>
        <v>10</v>
      </c>
      <c r="M208" s="33">
        <f t="shared" si="80"/>
        <v>39</v>
      </c>
      <c r="N208" s="33">
        <f t="shared" si="73"/>
        <v>110</v>
      </c>
      <c r="O208" s="33">
        <f t="shared" si="80"/>
        <v>49</v>
      </c>
      <c r="P208" s="33">
        <f t="shared" si="80"/>
        <v>24</v>
      </c>
      <c r="Q208" s="33">
        <f t="shared" si="80"/>
        <v>29</v>
      </c>
      <c r="R208" s="35">
        <f t="shared" si="77"/>
        <v>9.6666666666666665E-2</v>
      </c>
      <c r="S208" s="35">
        <f t="shared" si="78"/>
        <v>0.08</v>
      </c>
      <c r="T208" s="35">
        <f t="shared" si="79"/>
        <v>9.6666666666666665E-2</v>
      </c>
      <c r="U208" s="35">
        <f t="shared" si="74"/>
        <v>5.6603773584905648E-2</v>
      </c>
      <c r="V208" s="35">
        <f t="shared" si="81"/>
        <v>0.27007299270072993</v>
      </c>
      <c r="W208" s="35">
        <f t="shared" si="81"/>
        <v>5.6603773584905648E-2</v>
      </c>
      <c r="X208" s="35">
        <f t="shared" si="81"/>
        <v>5.6603773584905648E-2</v>
      </c>
      <c r="Y208" s="35">
        <f t="shared" si="81"/>
        <v>5.6603773584905648E-2</v>
      </c>
      <c r="Z208" s="35">
        <f t="shared" si="81"/>
        <v>5.6603773584905648E-2</v>
      </c>
      <c r="AA208" s="35">
        <f t="shared" si="81"/>
        <v>5.6603773584905648E-2</v>
      </c>
    </row>
    <row r="209" spans="2:27" x14ac:dyDescent="0.2">
      <c r="B209" s="2">
        <v>207</v>
      </c>
      <c r="C209" s="2" t="str">
        <f t="shared" si="65"/>
        <v>a</v>
      </c>
      <c r="D209" s="29" t="s">
        <v>31</v>
      </c>
      <c r="E209" s="29" t="s">
        <v>209</v>
      </c>
      <c r="F209" s="2" t="s">
        <v>216</v>
      </c>
      <c r="G209" s="2">
        <f t="shared" si="82"/>
        <v>7</v>
      </c>
      <c r="H209" s="2" t="str">
        <f t="shared" si="72"/>
        <v>地脉</v>
      </c>
      <c r="I209" s="38">
        <f t="shared" si="75"/>
        <v>0.42363636363636364</v>
      </c>
      <c r="J209" s="33">
        <f t="shared" si="76"/>
        <v>92</v>
      </c>
      <c r="K209" s="33">
        <f t="shared" si="80"/>
        <v>69</v>
      </c>
      <c r="L209" s="33">
        <f t="shared" si="80"/>
        <v>12</v>
      </c>
      <c r="M209" s="33">
        <f t="shared" si="80"/>
        <v>46</v>
      </c>
      <c r="N209" s="33">
        <f t="shared" si="73"/>
        <v>128</v>
      </c>
      <c r="O209" s="33">
        <f t="shared" si="80"/>
        <v>57</v>
      </c>
      <c r="P209" s="33">
        <f t="shared" si="80"/>
        <v>28</v>
      </c>
      <c r="Q209" s="33">
        <f t="shared" si="80"/>
        <v>34</v>
      </c>
      <c r="R209" s="35">
        <f t="shared" si="77"/>
        <v>0.11333333333333334</v>
      </c>
      <c r="S209" s="35">
        <f t="shared" si="78"/>
        <v>9.3333333333333338E-2</v>
      </c>
      <c r="T209" s="35">
        <f t="shared" si="79"/>
        <v>0.11333333333333334</v>
      </c>
      <c r="U209" s="35">
        <f t="shared" si="74"/>
        <v>6.5420560747663559E-2</v>
      </c>
      <c r="V209" s="35">
        <f t="shared" si="81"/>
        <v>0.30313588850174211</v>
      </c>
      <c r="W209" s="35">
        <f t="shared" si="81"/>
        <v>6.5420560747663559E-2</v>
      </c>
      <c r="X209" s="35">
        <f t="shared" si="81"/>
        <v>6.5420560747663559E-2</v>
      </c>
      <c r="Y209" s="35">
        <f t="shared" si="81"/>
        <v>6.5420560747663559E-2</v>
      </c>
      <c r="Z209" s="35">
        <f t="shared" si="81"/>
        <v>6.5420560747663559E-2</v>
      </c>
      <c r="AA209" s="35">
        <f t="shared" si="81"/>
        <v>6.5420560747663559E-2</v>
      </c>
    </row>
    <row r="210" spans="2:27" x14ac:dyDescent="0.2">
      <c r="B210" s="2">
        <v>208</v>
      </c>
      <c r="C210" s="2" t="str">
        <f t="shared" si="65"/>
        <v>a</v>
      </c>
      <c r="D210" s="29" t="s">
        <v>31</v>
      </c>
      <c r="E210" s="29" t="s">
        <v>209</v>
      </c>
      <c r="F210" s="2" t="s">
        <v>216</v>
      </c>
      <c r="G210" s="2">
        <f t="shared" si="82"/>
        <v>8</v>
      </c>
      <c r="H210" s="2" t="str">
        <f t="shared" si="72"/>
        <v>地脉</v>
      </c>
      <c r="I210" s="38">
        <f t="shared" si="75"/>
        <v>0.48545454545454547</v>
      </c>
      <c r="J210" s="33">
        <f t="shared" si="76"/>
        <v>106</v>
      </c>
      <c r="K210" s="33">
        <f t="shared" si="80"/>
        <v>79</v>
      </c>
      <c r="L210" s="33">
        <f t="shared" si="80"/>
        <v>13</v>
      </c>
      <c r="M210" s="33">
        <f t="shared" si="80"/>
        <v>52</v>
      </c>
      <c r="N210" s="33">
        <f t="shared" si="73"/>
        <v>146</v>
      </c>
      <c r="O210" s="33">
        <f t="shared" si="80"/>
        <v>66</v>
      </c>
      <c r="P210" s="33">
        <f t="shared" si="80"/>
        <v>33</v>
      </c>
      <c r="Q210" s="33">
        <f t="shared" si="80"/>
        <v>39</v>
      </c>
      <c r="R210" s="35">
        <f t="shared" si="77"/>
        <v>0.13</v>
      </c>
      <c r="S210" s="35">
        <f t="shared" si="78"/>
        <v>0.11</v>
      </c>
      <c r="T210" s="35">
        <f t="shared" si="79"/>
        <v>0.13</v>
      </c>
      <c r="U210" s="35">
        <f t="shared" si="74"/>
        <v>7.8341013824884786E-2</v>
      </c>
      <c r="V210" s="35">
        <f t="shared" si="81"/>
        <v>0.33110367892976589</v>
      </c>
      <c r="W210" s="35">
        <f t="shared" si="81"/>
        <v>7.8341013824884786E-2</v>
      </c>
      <c r="X210" s="35">
        <f t="shared" si="81"/>
        <v>7.8341013824884786E-2</v>
      </c>
      <c r="Y210" s="35">
        <f t="shared" si="81"/>
        <v>7.8341013824884786E-2</v>
      </c>
      <c r="Z210" s="35">
        <f t="shared" si="81"/>
        <v>7.8341013824884786E-2</v>
      </c>
      <c r="AA210" s="35">
        <f t="shared" si="81"/>
        <v>7.8341013824884786E-2</v>
      </c>
    </row>
    <row r="211" spans="2:27" x14ac:dyDescent="0.2">
      <c r="B211" s="2">
        <v>209</v>
      </c>
      <c r="C211" s="2" t="str">
        <f t="shared" si="65"/>
        <v>b</v>
      </c>
      <c r="D211" s="29" t="s">
        <v>31</v>
      </c>
      <c r="E211" s="29" t="s">
        <v>209</v>
      </c>
      <c r="F211" s="2" t="s">
        <v>216</v>
      </c>
      <c r="G211" s="2">
        <f t="shared" si="82"/>
        <v>1</v>
      </c>
      <c r="H211" s="2" t="str">
        <f t="shared" si="72"/>
        <v>地脉</v>
      </c>
      <c r="I211" s="38">
        <f t="shared" si="75"/>
        <v>0.1</v>
      </c>
      <c r="J211" s="33">
        <f t="shared" si="76"/>
        <v>14</v>
      </c>
      <c r="K211" s="33">
        <f t="shared" si="80"/>
        <v>12</v>
      </c>
      <c r="L211" s="33">
        <f t="shared" si="80"/>
        <v>2</v>
      </c>
      <c r="M211" s="33">
        <f t="shared" si="80"/>
        <v>8</v>
      </c>
      <c r="N211" s="33">
        <f t="shared" si="73"/>
        <v>23</v>
      </c>
      <c r="O211" s="33">
        <f t="shared" si="80"/>
        <v>10</v>
      </c>
      <c r="P211" s="33">
        <f t="shared" si="80"/>
        <v>5</v>
      </c>
      <c r="Q211" s="33">
        <f t="shared" si="80"/>
        <v>6</v>
      </c>
      <c r="R211" s="35">
        <f t="shared" si="77"/>
        <v>0.02</v>
      </c>
      <c r="S211" s="35">
        <f t="shared" si="78"/>
        <v>1.6666666666666666E-2</v>
      </c>
      <c r="T211" s="35">
        <f t="shared" si="79"/>
        <v>0.02</v>
      </c>
      <c r="U211" s="35">
        <f t="shared" si="74"/>
        <v>1.4778325123152691E-2</v>
      </c>
      <c r="V211" s="35">
        <f t="shared" si="81"/>
        <v>7.407407407407407E-2</v>
      </c>
      <c r="W211" s="35">
        <f t="shared" si="81"/>
        <v>1.4778325123152691E-2</v>
      </c>
      <c r="X211" s="35">
        <f t="shared" si="81"/>
        <v>1.4778325123152691E-2</v>
      </c>
      <c r="Y211" s="35">
        <f t="shared" si="81"/>
        <v>1.4778325123152691E-2</v>
      </c>
      <c r="Z211" s="35">
        <f t="shared" si="81"/>
        <v>1.4778325123152691E-2</v>
      </c>
      <c r="AA211" s="35">
        <f t="shared" si="81"/>
        <v>1.4778325123152691E-2</v>
      </c>
    </row>
    <row r="212" spans="2:27" x14ac:dyDescent="0.2">
      <c r="B212" s="2">
        <v>210</v>
      </c>
      <c r="C212" s="2" t="str">
        <f t="shared" si="65"/>
        <v>b</v>
      </c>
      <c r="D212" s="29" t="s">
        <v>31</v>
      </c>
      <c r="E212" s="29" t="s">
        <v>209</v>
      </c>
      <c r="F212" s="2" t="s">
        <v>216</v>
      </c>
      <c r="G212" s="2">
        <f t="shared" si="82"/>
        <v>2</v>
      </c>
      <c r="H212" s="2" t="str">
        <f t="shared" si="72"/>
        <v>地脉</v>
      </c>
      <c r="I212" s="38">
        <f t="shared" si="75"/>
        <v>0.14545454545454545</v>
      </c>
      <c r="J212" s="33">
        <f t="shared" si="76"/>
        <v>28</v>
      </c>
      <c r="K212" s="33">
        <f t="shared" si="80"/>
        <v>24</v>
      </c>
      <c r="L212" s="33">
        <f t="shared" si="80"/>
        <v>4</v>
      </c>
      <c r="M212" s="33">
        <f t="shared" si="80"/>
        <v>16</v>
      </c>
      <c r="N212" s="33">
        <f t="shared" si="73"/>
        <v>46</v>
      </c>
      <c r="O212" s="33">
        <f t="shared" si="80"/>
        <v>20</v>
      </c>
      <c r="P212" s="33">
        <f t="shared" si="80"/>
        <v>10</v>
      </c>
      <c r="Q212" s="33">
        <f t="shared" si="80"/>
        <v>12</v>
      </c>
      <c r="R212" s="35">
        <f t="shared" si="77"/>
        <v>0.04</v>
      </c>
      <c r="S212" s="35">
        <f t="shared" si="78"/>
        <v>3.3333333333333333E-2</v>
      </c>
      <c r="T212" s="35">
        <f t="shared" si="79"/>
        <v>0.04</v>
      </c>
      <c r="U212" s="35">
        <f t="shared" si="74"/>
        <v>2.4390243902439046E-2</v>
      </c>
      <c r="V212" s="35">
        <f t="shared" si="81"/>
        <v>0.13419913419913421</v>
      </c>
      <c r="W212" s="35">
        <f t="shared" si="81"/>
        <v>2.4390243902439046E-2</v>
      </c>
      <c r="X212" s="35">
        <f t="shared" si="81"/>
        <v>2.4390243902439046E-2</v>
      </c>
      <c r="Y212" s="35">
        <f t="shared" si="81"/>
        <v>2.4390243902439046E-2</v>
      </c>
      <c r="Z212" s="35">
        <f t="shared" si="81"/>
        <v>2.4390243902439046E-2</v>
      </c>
      <c r="AA212" s="35">
        <f t="shared" si="81"/>
        <v>2.4390243902439046E-2</v>
      </c>
    </row>
    <row r="213" spans="2:27" x14ac:dyDescent="0.2">
      <c r="B213" s="2">
        <v>211</v>
      </c>
      <c r="C213" s="2" t="str">
        <f t="shared" si="65"/>
        <v>b</v>
      </c>
      <c r="D213" s="29" t="s">
        <v>31</v>
      </c>
      <c r="E213" s="29" t="s">
        <v>209</v>
      </c>
      <c r="F213" s="2" t="s">
        <v>216</v>
      </c>
      <c r="G213" s="2">
        <f t="shared" si="82"/>
        <v>3</v>
      </c>
      <c r="H213" s="2" t="str">
        <f t="shared" si="72"/>
        <v>地脉</v>
      </c>
      <c r="I213" s="38">
        <f t="shared" si="75"/>
        <v>0.22</v>
      </c>
      <c r="J213" s="33">
        <f t="shared" si="76"/>
        <v>42</v>
      </c>
      <c r="K213" s="33">
        <f t="shared" ref="K213:Q222" si="83">INT((1+VLOOKUP($F213,role_property_weight,getpos(K$2),FALSE))*(1+VLOOKUP($F213,weapon_property_weight,getpos(K$2),FALSE))*VLOOKUP($E213,role_grow,getpos(K$2),FALSE)*$G213*10*VLOOKUP($C213,weapon_grow1,5,FALSE))</f>
        <v>37</v>
      </c>
      <c r="L213" s="33">
        <f t="shared" si="83"/>
        <v>6</v>
      </c>
      <c r="M213" s="33">
        <f t="shared" si="83"/>
        <v>24</v>
      </c>
      <c r="N213" s="33">
        <f t="shared" si="73"/>
        <v>69</v>
      </c>
      <c r="O213" s="33">
        <f t="shared" si="83"/>
        <v>31</v>
      </c>
      <c r="P213" s="33">
        <f t="shared" si="83"/>
        <v>15</v>
      </c>
      <c r="Q213" s="33">
        <f t="shared" si="83"/>
        <v>18</v>
      </c>
      <c r="R213" s="35">
        <f t="shared" si="77"/>
        <v>0.06</v>
      </c>
      <c r="S213" s="35">
        <f t="shared" si="78"/>
        <v>0.05</v>
      </c>
      <c r="T213" s="35">
        <f t="shared" si="79"/>
        <v>0.06</v>
      </c>
      <c r="U213" s="35">
        <f t="shared" si="74"/>
        <v>3.8461538461538436E-2</v>
      </c>
      <c r="V213" s="35">
        <f t="shared" ref="V213:AA222" si="84">1-200/(200+ROUND((1+VLOOKUP($F213,role_property_weight,getpos(V$2),FALSE))*VLOOKUP($E213,role_grow,getpos(V$2),FALSE)*$G213*10*VLOOKUP($C213,weapon_grow1,5,FALSE),0))</f>
        <v>0.19028340080971662</v>
      </c>
      <c r="W213" s="35">
        <f t="shared" si="84"/>
        <v>3.8461538461538436E-2</v>
      </c>
      <c r="X213" s="35">
        <f t="shared" si="84"/>
        <v>3.8461538461538436E-2</v>
      </c>
      <c r="Y213" s="35">
        <f t="shared" si="84"/>
        <v>3.8461538461538436E-2</v>
      </c>
      <c r="Z213" s="35">
        <f t="shared" si="84"/>
        <v>3.8461538461538436E-2</v>
      </c>
      <c r="AA213" s="35">
        <f t="shared" si="84"/>
        <v>3.8461538461538436E-2</v>
      </c>
    </row>
    <row r="214" spans="2:27" x14ac:dyDescent="0.2">
      <c r="B214" s="2">
        <v>212</v>
      </c>
      <c r="C214" s="2" t="str">
        <f t="shared" si="65"/>
        <v>b</v>
      </c>
      <c r="D214" s="29" t="s">
        <v>31</v>
      </c>
      <c r="E214" s="29" t="s">
        <v>209</v>
      </c>
      <c r="F214" s="2" t="s">
        <v>216</v>
      </c>
      <c r="G214" s="2">
        <f t="shared" si="82"/>
        <v>4</v>
      </c>
      <c r="H214" s="2" t="str">
        <f t="shared" si="72"/>
        <v>地脉</v>
      </c>
      <c r="I214" s="38">
        <f t="shared" si="75"/>
        <v>0.29454545454545455</v>
      </c>
      <c r="J214" s="33">
        <f t="shared" si="76"/>
        <v>57</v>
      </c>
      <c r="K214" s="33">
        <f t="shared" si="83"/>
        <v>49</v>
      </c>
      <c r="L214" s="33">
        <f t="shared" si="83"/>
        <v>8</v>
      </c>
      <c r="M214" s="33">
        <f t="shared" si="83"/>
        <v>33</v>
      </c>
      <c r="N214" s="33">
        <f t="shared" si="73"/>
        <v>92</v>
      </c>
      <c r="O214" s="33">
        <f t="shared" si="83"/>
        <v>41</v>
      </c>
      <c r="P214" s="33">
        <f t="shared" si="83"/>
        <v>20</v>
      </c>
      <c r="Q214" s="33">
        <f t="shared" si="83"/>
        <v>24</v>
      </c>
      <c r="R214" s="35">
        <f t="shared" si="77"/>
        <v>0.08</v>
      </c>
      <c r="S214" s="35">
        <f t="shared" si="78"/>
        <v>6.6666666666666666E-2</v>
      </c>
      <c r="T214" s="35">
        <f t="shared" si="79"/>
        <v>0.08</v>
      </c>
      <c r="U214" s="35">
        <f t="shared" si="74"/>
        <v>4.7619047619047672E-2</v>
      </c>
      <c r="V214" s="35">
        <f t="shared" si="84"/>
        <v>0.23664122137404575</v>
      </c>
      <c r="W214" s="35">
        <f t="shared" si="84"/>
        <v>4.7619047619047672E-2</v>
      </c>
      <c r="X214" s="35">
        <f t="shared" si="84"/>
        <v>4.7619047619047672E-2</v>
      </c>
      <c r="Y214" s="35">
        <f t="shared" si="84"/>
        <v>4.7619047619047672E-2</v>
      </c>
      <c r="Z214" s="35">
        <f t="shared" si="84"/>
        <v>4.7619047619047672E-2</v>
      </c>
      <c r="AA214" s="35">
        <f t="shared" si="84"/>
        <v>4.7619047619047672E-2</v>
      </c>
    </row>
    <row r="215" spans="2:27" x14ac:dyDescent="0.2">
      <c r="B215" s="2">
        <v>213</v>
      </c>
      <c r="C215" s="2" t="str">
        <f t="shared" si="65"/>
        <v>b</v>
      </c>
      <c r="D215" s="29" t="s">
        <v>31</v>
      </c>
      <c r="E215" s="29" t="s">
        <v>209</v>
      </c>
      <c r="F215" s="2" t="s">
        <v>216</v>
      </c>
      <c r="G215" s="2">
        <f t="shared" si="82"/>
        <v>5</v>
      </c>
      <c r="H215" s="2" t="str">
        <f t="shared" si="72"/>
        <v>地脉</v>
      </c>
      <c r="I215" s="38">
        <f t="shared" si="75"/>
        <v>0.37090909090909091</v>
      </c>
      <c r="J215" s="33">
        <f t="shared" si="76"/>
        <v>71</v>
      </c>
      <c r="K215" s="33">
        <f t="shared" si="83"/>
        <v>62</v>
      </c>
      <c r="L215" s="33">
        <f t="shared" si="83"/>
        <v>10</v>
      </c>
      <c r="M215" s="33">
        <f t="shared" si="83"/>
        <v>41</v>
      </c>
      <c r="N215" s="33">
        <f t="shared" si="73"/>
        <v>115</v>
      </c>
      <c r="O215" s="33">
        <f t="shared" si="83"/>
        <v>52</v>
      </c>
      <c r="P215" s="33">
        <f t="shared" si="83"/>
        <v>26</v>
      </c>
      <c r="Q215" s="33">
        <f t="shared" si="83"/>
        <v>31</v>
      </c>
      <c r="R215" s="35">
        <f t="shared" si="77"/>
        <v>0.10333333333333333</v>
      </c>
      <c r="S215" s="35">
        <f t="shared" si="78"/>
        <v>8.6666666666666656E-2</v>
      </c>
      <c r="T215" s="35">
        <f t="shared" si="79"/>
        <v>0.10333333333333333</v>
      </c>
      <c r="U215" s="35">
        <f t="shared" si="74"/>
        <v>6.1032863849765251E-2</v>
      </c>
      <c r="V215" s="35">
        <f t="shared" si="84"/>
        <v>0.28057553956834536</v>
      </c>
      <c r="W215" s="35">
        <f t="shared" si="84"/>
        <v>6.1032863849765251E-2</v>
      </c>
      <c r="X215" s="35">
        <f t="shared" si="84"/>
        <v>6.1032863849765251E-2</v>
      </c>
      <c r="Y215" s="35">
        <f t="shared" si="84"/>
        <v>6.1032863849765251E-2</v>
      </c>
      <c r="Z215" s="35">
        <f t="shared" si="84"/>
        <v>6.1032863849765251E-2</v>
      </c>
      <c r="AA215" s="35">
        <f t="shared" si="84"/>
        <v>6.1032863849765251E-2</v>
      </c>
    </row>
    <row r="216" spans="2:27" x14ac:dyDescent="0.2">
      <c r="B216" s="2">
        <v>214</v>
      </c>
      <c r="C216" s="2" t="str">
        <f t="shared" si="65"/>
        <v>b</v>
      </c>
      <c r="D216" s="29" t="s">
        <v>31</v>
      </c>
      <c r="E216" s="29" t="s">
        <v>209</v>
      </c>
      <c r="F216" s="2" t="s">
        <v>216</v>
      </c>
      <c r="G216" s="2">
        <f t="shared" si="82"/>
        <v>6</v>
      </c>
      <c r="H216" s="2" t="str">
        <f t="shared" si="72"/>
        <v>地脉</v>
      </c>
      <c r="I216" s="38">
        <f t="shared" si="75"/>
        <v>0.44454545454545452</v>
      </c>
      <c r="J216" s="33">
        <f t="shared" si="76"/>
        <v>85</v>
      </c>
      <c r="K216" s="33">
        <f t="shared" si="83"/>
        <v>74</v>
      </c>
      <c r="L216" s="33">
        <f t="shared" si="83"/>
        <v>13</v>
      </c>
      <c r="M216" s="33">
        <f t="shared" si="83"/>
        <v>49</v>
      </c>
      <c r="N216" s="33">
        <f t="shared" si="73"/>
        <v>138</v>
      </c>
      <c r="O216" s="33">
        <f t="shared" si="83"/>
        <v>62</v>
      </c>
      <c r="P216" s="33">
        <f t="shared" si="83"/>
        <v>31</v>
      </c>
      <c r="Q216" s="33">
        <f t="shared" si="83"/>
        <v>37</v>
      </c>
      <c r="R216" s="35">
        <f t="shared" si="77"/>
        <v>0.12333333333333334</v>
      </c>
      <c r="S216" s="35">
        <f t="shared" si="78"/>
        <v>0.10333333333333333</v>
      </c>
      <c r="T216" s="35">
        <f t="shared" si="79"/>
        <v>0.12333333333333334</v>
      </c>
      <c r="U216" s="35">
        <f t="shared" si="74"/>
        <v>7.407407407407407E-2</v>
      </c>
      <c r="V216" s="35">
        <f t="shared" si="84"/>
        <v>0.31972789115646261</v>
      </c>
      <c r="W216" s="35">
        <f t="shared" si="84"/>
        <v>7.407407407407407E-2</v>
      </c>
      <c r="X216" s="35">
        <f t="shared" si="84"/>
        <v>7.407407407407407E-2</v>
      </c>
      <c r="Y216" s="35">
        <f t="shared" si="84"/>
        <v>7.407407407407407E-2</v>
      </c>
      <c r="Z216" s="35">
        <f t="shared" si="84"/>
        <v>7.407407407407407E-2</v>
      </c>
      <c r="AA216" s="35">
        <f t="shared" si="84"/>
        <v>7.407407407407407E-2</v>
      </c>
    </row>
    <row r="217" spans="2:27" x14ac:dyDescent="0.2">
      <c r="B217" s="2">
        <v>215</v>
      </c>
      <c r="C217" s="2" t="str">
        <f t="shared" si="65"/>
        <v>b</v>
      </c>
      <c r="D217" s="29" t="s">
        <v>31</v>
      </c>
      <c r="E217" s="29" t="s">
        <v>209</v>
      </c>
      <c r="F217" s="2" t="s">
        <v>216</v>
      </c>
      <c r="G217" s="2">
        <f t="shared" si="82"/>
        <v>7</v>
      </c>
      <c r="H217" s="2" t="str">
        <f t="shared" si="72"/>
        <v>地脉</v>
      </c>
      <c r="I217" s="38">
        <f t="shared" si="75"/>
        <v>0.51909090909090905</v>
      </c>
      <c r="J217" s="33">
        <f t="shared" si="76"/>
        <v>99</v>
      </c>
      <c r="K217" s="33">
        <f t="shared" si="83"/>
        <v>87</v>
      </c>
      <c r="L217" s="33">
        <f t="shared" si="83"/>
        <v>15</v>
      </c>
      <c r="M217" s="33">
        <f t="shared" si="83"/>
        <v>58</v>
      </c>
      <c r="N217" s="33">
        <f t="shared" si="73"/>
        <v>161</v>
      </c>
      <c r="O217" s="33">
        <f t="shared" si="83"/>
        <v>72</v>
      </c>
      <c r="P217" s="33">
        <f t="shared" si="83"/>
        <v>36</v>
      </c>
      <c r="Q217" s="33">
        <f t="shared" si="83"/>
        <v>43</v>
      </c>
      <c r="R217" s="35">
        <f t="shared" si="77"/>
        <v>0.14333333333333334</v>
      </c>
      <c r="S217" s="35">
        <f t="shared" si="78"/>
        <v>0.12</v>
      </c>
      <c r="T217" s="35">
        <f t="shared" si="79"/>
        <v>0.14333333333333334</v>
      </c>
      <c r="U217" s="35">
        <f t="shared" si="74"/>
        <v>8.256880733944949E-2</v>
      </c>
      <c r="V217" s="35">
        <f t="shared" si="84"/>
        <v>0.3527508090614887</v>
      </c>
      <c r="W217" s="35">
        <f t="shared" si="84"/>
        <v>8.256880733944949E-2</v>
      </c>
      <c r="X217" s="35">
        <f t="shared" si="84"/>
        <v>8.256880733944949E-2</v>
      </c>
      <c r="Y217" s="35">
        <f t="shared" si="84"/>
        <v>8.256880733944949E-2</v>
      </c>
      <c r="Z217" s="35">
        <f t="shared" si="84"/>
        <v>8.256880733944949E-2</v>
      </c>
      <c r="AA217" s="35">
        <f t="shared" si="84"/>
        <v>8.256880733944949E-2</v>
      </c>
    </row>
    <row r="218" spans="2:27" x14ac:dyDescent="0.2">
      <c r="B218" s="2">
        <v>216</v>
      </c>
      <c r="C218" s="2" t="str">
        <f t="shared" si="65"/>
        <v>b</v>
      </c>
      <c r="D218" s="29" t="s">
        <v>31</v>
      </c>
      <c r="E218" s="29" t="s">
        <v>209</v>
      </c>
      <c r="F218" s="2" t="s">
        <v>216</v>
      </c>
      <c r="G218" s="2">
        <f t="shared" si="82"/>
        <v>8</v>
      </c>
      <c r="H218" s="2" t="str">
        <f t="shared" si="72"/>
        <v>地脉</v>
      </c>
      <c r="I218" s="38">
        <f t="shared" si="75"/>
        <v>0.59363636363636363</v>
      </c>
      <c r="J218" s="33">
        <f t="shared" si="76"/>
        <v>114</v>
      </c>
      <c r="K218" s="33">
        <f t="shared" si="83"/>
        <v>99</v>
      </c>
      <c r="L218" s="33">
        <f t="shared" si="83"/>
        <v>17</v>
      </c>
      <c r="M218" s="33">
        <f t="shared" si="83"/>
        <v>66</v>
      </c>
      <c r="N218" s="33">
        <f t="shared" si="73"/>
        <v>184</v>
      </c>
      <c r="O218" s="33">
        <f t="shared" si="83"/>
        <v>83</v>
      </c>
      <c r="P218" s="33">
        <f t="shared" si="83"/>
        <v>41</v>
      </c>
      <c r="Q218" s="33">
        <f t="shared" si="83"/>
        <v>49</v>
      </c>
      <c r="R218" s="35">
        <f t="shared" si="77"/>
        <v>0.16333333333333333</v>
      </c>
      <c r="S218" s="35">
        <f t="shared" si="78"/>
        <v>0.13666666666666666</v>
      </c>
      <c r="T218" s="35">
        <f t="shared" si="79"/>
        <v>0.16333333333333333</v>
      </c>
      <c r="U218" s="35">
        <f t="shared" si="74"/>
        <v>9.5022624434389136E-2</v>
      </c>
      <c r="V218" s="35">
        <f t="shared" si="84"/>
        <v>0.38461538461538458</v>
      </c>
      <c r="W218" s="35">
        <f t="shared" si="84"/>
        <v>9.5022624434389136E-2</v>
      </c>
      <c r="X218" s="35">
        <f t="shared" si="84"/>
        <v>9.5022624434389136E-2</v>
      </c>
      <c r="Y218" s="35">
        <f t="shared" si="84"/>
        <v>9.5022624434389136E-2</v>
      </c>
      <c r="Z218" s="35">
        <f t="shared" si="84"/>
        <v>9.5022624434389136E-2</v>
      </c>
      <c r="AA218" s="35">
        <f t="shared" si="84"/>
        <v>9.5022624434389136E-2</v>
      </c>
    </row>
    <row r="219" spans="2:27" x14ac:dyDescent="0.2">
      <c r="B219" s="2">
        <v>217</v>
      </c>
      <c r="C219" s="2" t="str">
        <f t="shared" si="65"/>
        <v>c</v>
      </c>
      <c r="D219" s="29" t="s">
        <v>31</v>
      </c>
      <c r="E219" s="29" t="s">
        <v>209</v>
      </c>
      <c r="F219" s="2" t="s">
        <v>216</v>
      </c>
      <c r="G219" s="2">
        <f t="shared" si="82"/>
        <v>1</v>
      </c>
      <c r="H219" s="2" t="str">
        <f t="shared" si="72"/>
        <v>--</v>
      </c>
      <c r="I219" s="38">
        <f t="shared" si="75"/>
        <v>0</v>
      </c>
      <c r="J219" s="33">
        <f t="shared" si="76"/>
        <v>18</v>
      </c>
      <c r="K219" s="33">
        <f t="shared" si="83"/>
        <v>0</v>
      </c>
      <c r="L219" s="33">
        <f t="shared" si="83"/>
        <v>0</v>
      </c>
      <c r="M219" s="33">
        <f t="shared" si="83"/>
        <v>0</v>
      </c>
      <c r="N219" s="33">
        <f t="shared" si="73"/>
        <v>0</v>
      </c>
      <c r="O219" s="33">
        <f t="shared" si="83"/>
        <v>0</v>
      </c>
      <c r="P219" s="33">
        <f t="shared" si="83"/>
        <v>0</v>
      </c>
      <c r="Q219" s="33">
        <f t="shared" si="83"/>
        <v>0</v>
      </c>
      <c r="R219" s="35">
        <f t="shared" si="77"/>
        <v>0</v>
      </c>
      <c r="S219" s="35">
        <f t="shared" si="78"/>
        <v>0</v>
      </c>
      <c r="T219" s="35">
        <f t="shared" si="79"/>
        <v>0</v>
      </c>
      <c r="U219" s="35">
        <f t="shared" si="74"/>
        <v>0</v>
      </c>
      <c r="V219" s="35">
        <f t="shared" si="84"/>
        <v>0</v>
      </c>
      <c r="W219" s="35">
        <f t="shared" si="84"/>
        <v>0</v>
      </c>
      <c r="X219" s="35">
        <f t="shared" si="84"/>
        <v>0</v>
      </c>
      <c r="Y219" s="35">
        <f t="shared" si="84"/>
        <v>0</v>
      </c>
      <c r="Z219" s="35">
        <f t="shared" si="84"/>
        <v>0</v>
      </c>
      <c r="AA219" s="35">
        <f t="shared" si="84"/>
        <v>0</v>
      </c>
    </row>
    <row r="220" spans="2:27" x14ac:dyDescent="0.2">
      <c r="B220" s="2">
        <v>218</v>
      </c>
      <c r="C220" s="2" t="str">
        <f t="shared" si="65"/>
        <v>c</v>
      </c>
      <c r="D220" s="29" t="s">
        <v>31</v>
      </c>
      <c r="E220" s="29" t="s">
        <v>209</v>
      </c>
      <c r="F220" s="2" t="s">
        <v>216</v>
      </c>
      <c r="G220" s="2">
        <f t="shared" si="82"/>
        <v>2</v>
      </c>
      <c r="H220" s="2" t="str">
        <f t="shared" si="72"/>
        <v>--</v>
      </c>
      <c r="I220" s="38">
        <f t="shared" si="75"/>
        <v>0</v>
      </c>
      <c r="J220" s="33">
        <f t="shared" si="76"/>
        <v>36</v>
      </c>
      <c r="K220" s="33">
        <f t="shared" si="83"/>
        <v>0</v>
      </c>
      <c r="L220" s="33">
        <f t="shared" si="83"/>
        <v>0</v>
      </c>
      <c r="M220" s="33">
        <f t="shared" si="83"/>
        <v>0</v>
      </c>
      <c r="N220" s="33">
        <f t="shared" si="73"/>
        <v>0</v>
      </c>
      <c r="O220" s="33">
        <f t="shared" si="83"/>
        <v>0</v>
      </c>
      <c r="P220" s="33">
        <f t="shared" si="83"/>
        <v>0</v>
      </c>
      <c r="Q220" s="33">
        <f t="shared" si="83"/>
        <v>0</v>
      </c>
      <c r="R220" s="35">
        <f t="shared" si="77"/>
        <v>0</v>
      </c>
      <c r="S220" s="35">
        <f t="shared" si="78"/>
        <v>0</v>
      </c>
      <c r="T220" s="35">
        <f t="shared" si="79"/>
        <v>0</v>
      </c>
      <c r="U220" s="35">
        <f t="shared" si="74"/>
        <v>0</v>
      </c>
      <c r="V220" s="35">
        <f t="shared" si="84"/>
        <v>0</v>
      </c>
      <c r="W220" s="35">
        <f t="shared" si="84"/>
        <v>0</v>
      </c>
      <c r="X220" s="35">
        <f t="shared" si="84"/>
        <v>0</v>
      </c>
      <c r="Y220" s="35">
        <f t="shared" si="84"/>
        <v>0</v>
      </c>
      <c r="Z220" s="35">
        <f t="shared" si="84"/>
        <v>0</v>
      </c>
      <c r="AA220" s="35">
        <f t="shared" si="84"/>
        <v>0</v>
      </c>
    </row>
    <row r="221" spans="2:27" x14ac:dyDescent="0.2">
      <c r="B221" s="2">
        <v>219</v>
      </c>
      <c r="C221" s="2" t="str">
        <f t="shared" si="65"/>
        <v>c</v>
      </c>
      <c r="D221" s="29" t="s">
        <v>31</v>
      </c>
      <c r="E221" s="29" t="s">
        <v>209</v>
      </c>
      <c r="F221" s="2" t="s">
        <v>216</v>
      </c>
      <c r="G221" s="2">
        <f t="shared" si="82"/>
        <v>3</v>
      </c>
      <c r="H221" s="2" t="str">
        <f t="shared" si="72"/>
        <v>--</v>
      </c>
      <c r="I221" s="38">
        <f t="shared" si="75"/>
        <v>0</v>
      </c>
      <c r="J221" s="33">
        <f t="shared" si="76"/>
        <v>54</v>
      </c>
      <c r="K221" s="33">
        <f t="shared" si="83"/>
        <v>0</v>
      </c>
      <c r="L221" s="33">
        <f t="shared" si="83"/>
        <v>0</v>
      </c>
      <c r="M221" s="33">
        <f t="shared" si="83"/>
        <v>0</v>
      </c>
      <c r="N221" s="33">
        <f t="shared" si="73"/>
        <v>0</v>
      </c>
      <c r="O221" s="33">
        <f t="shared" si="83"/>
        <v>0</v>
      </c>
      <c r="P221" s="33">
        <f t="shared" si="83"/>
        <v>0</v>
      </c>
      <c r="Q221" s="33">
        <f t="shared" si="83"/>
        <v>0</v>
      </c>
      <c r="R221" s="35">
        <f t="shared" si="77"/>
        <v>0</v>
      </c>
      <c r="S221" s="35">
        <f t="shared" si="78"/>
        <v>0</v>
      </c>
      <c r="T221" s="35">
        <f t="shared" si="79"/>
        <v>0</v>
      </c>
      <c r="U221" s="35">
        <f t="shared" si="74"/>
        <v>0</v>
      </c>
      <c r="V221" s="35">
        <f t="shared" si="84"/>
        <v>0</v>
      </c>
      <c r="W221" s="35">
        <f t="shared" si="84"/>
        <v>0</v>
      </c>
      <c r="X221" s="35">
        <f t="shared" si="84"/>
        <v>0</v>
      </c>
      <c r="Y221" s="35">
        <f t="shared" si="84"/>
        <v>0</v>
      </c>
      <c r="Z221" s="35">
        <f t="shared" si="84"/>
        <v>0</v>
      </c>
      <c r="AA221" s="35">
        <f t="shared" si="84"/>
        <v>0</v>
      </c>
    </row>
    <row r="222" spans="2:27" x14ac:dyDescent="0.2">
      <c r="B222" s="2">
        <v>220</v>
      </c>
      <c r="C222" s="2" t="str">
        <f t="shared" si="65"/>
        <v>c</v>
      </c>
      <c r="D222" s="29" t="s">
        <v>31</v>
      </c>
      <c r="E222" s="29" t="s">
        <v>209</v>
      </c>
      <c r="F222" s="2" t="s">
        <v>216</v>
      </c>
      <c r="G222" s="2">
        <f t="shared" si="82"/>
        <v>4</v>
      </c>
      <c r="H222" s="2" t="str">
        <f t="shared" si="72"/>
        <v>--</v>
      </c>
      <c r="I222" s="38">
        <f t="shared" si="75"/>
        <v>0</v>
      </c>
      <c r="J222" s="33">
        <f t="shared" si="76"/>
        <v>72</v>
      </c>
      <c r="K222" s="33">
        <f t="shared" si="83"/>
        <v>0</v>
      </c>
      <c r="L222" s="33">
        <f t="shared" si="83"/>
        <v>0</v>
      </c>
      <c r="M222" s="33">
        <f t="shared" si="83"/>
        <v>0</v>
      </c>
      <c r="N222" s="33">
        <f t="shared" si="73"/>
        <v>0</v>
      </c>
      <c r="O222" s="33">
        <f t="shared" si="83"/>
        <v>0</v>
      </c>
      <c r="P222" s="33">
        <f t="shared" si="83"/>
        <v>0</v>
      </c>
      <c r="Q222" s="33">
        <f t="shared" si="83"/>
        <v>0</v>
      </c>
      <c r="R222" s="35">
        <f t="shared" si="77"/>
        <v>0</v>
      </c>
      <c r="S222" s="35">
        <f t="shared" si="78"/>
        <v>0</v>
      </c>
      <c r="T222" s="35">
        <f t="shared" si="79"/>
        <v>0</v>
      </c>
      <c r="U222" s="35">
        <f t="shared" si="74"/>
        <v>0</v>
      </c>
      <c r="V222" s="35">
        <f t="shared" si="84"/>
        <v>0</v>
      </c>
      <c r="W222" s="35">
        <f t="shared" si="84"/>
        <v>0</v>
      </c>
      <c r="X222" s="35">
        <f t="shared" si="84"/>
        <v>0</v>
      </c>
      <c r="Y222" s="35">
        <f t="shared" si="84"/>
        <v>0</v>
      </c>
      <c r="Z222" s="35">
        <f t="shared" si="84"/>
        <v>0</v>
      </c>
      <c r="AA222" s="35">
        <f t="shared" si="84"/>
        <v>0</v>
      </c>
    </row>
    <row r="223" spans="2:27" x14ac:dyDescent="0.2">
      <c r="B223" s="2">
        <v>221</v>
      </c>
      <c r="C223" s="2" t="str">
        <f t="shared" si="65"/>
        <v>c</v>
      </c>
      <c r="D223" s="29" t="s">
        <v>31</v>
      </c>
      <c r="E223" s="29" t="s">
        <v>209</v>
      </c>
      <c r="F223" s="2" t="s">
        <v>216</v>
      </c>
      <c r="G223" s="2">
        <f t="shared" si="82"/>
        <v>5</v>
      </c>
      <c r="H223" s="2" t="str">
        <f t="shared" si="72"/>
        <v>--</v>
      </c>
      <c r="I223" s="38">
        <f t="shared" si="75"/>
        <v>0</v>
      </c>
      <c r="J223" s="33">
        <f t="shared" si="76"/>
        <v>90</v>
      </c>
      <c r="K223" s="33">
        <f t="shared" ref="K223:Q232" si="85">INT((1+VLOOKUP($F223,role_property_weight,getpos(K$2),FALSE))*(1+VLOOKUP($F223,weapon_property_weight,getpos(K$2),FALSE))*VLOOKUP($E223,role_grow,getpos(K$2),FALSE)*$G223*10*VLOOKUP($C223,weapon_grow1,5,FALSE))</f>
        <v>0</v>
      </c>
      <c r="L223" s="33">
        <f t="shared" si="85"/>
        <v>0</v>
      </c>
      <c r="M223" s="33">
        <f t="shared" si="85"/>
        <v>0</v>
      </c>
      <c r="N223" s="33">
        <f t="shared" si="73"/>
        <v>0</v>
      </c>
      <c r="O223" s="33">
        <f t="shared" si="85"/>
        <v>0</v>
      </c>
      <c r="P223" s="33">
        <f t="shared" si="85"/>
        <v>0</v>
      </c>
      <c r="Q223" s="33">
        <f t="shared" si="85"/>
        <v>0</v>
      </c>
      <c r="R223" s="35">
        <f t="shared" si="77"/>
        <v>0</v>
      </c>
      <c r="S223" s="35">
        <f t="shared" si="78"/>
        <v>0</v>
      </c>
      <c r="T223" s="35">
        <f t="shared" si="79"/>
        <v>0</v>
      </c>
      <c r="U223" s="35">
        <f t="shared" si="74"/>
        <v>0</v>
      </c>
      <c r="V223" s="35">
        <f t="shared" ref="V223:AA232" si="86">1-200/(200+ROUND((1+VLOOKUP($F223,role_property_weight,getpos(V$2),FALSE))*VLOOKUP($E223,role_grow,getpos(V$2),FALSE)*$G223*10*VLOOKUP($C223,weapon_grow1,5,FALSE),0))</f>
        <v>0</v>
      </c>
      <c r="W223" s="35">
        <f t="shared" si="86"/>
        <v>0</v>
      </c>
      <c r="X223" s="35">
        <f t="shared" si="86"/>
        <v>0</v>
      </c>
      <c r="Y223" s="35">
        <f t="shared" si="86"/>
        <v>0</v>
      </c>
      <c r="Z223" s="35">
        <f t="shared" si="86"/>
        <v>0</v>
      </c>
      <c r="AA223" s="35">
        <f t="shared" si="86"/>
        <v>0</v>
      </c>
    </row>
    <row r="224" spans="2:27" x14ac:dyDescent="0.2">
      <c r="B224" s="2">
        <v>222</v>
      </c>
      <c r="C224" s="2" t="str">
        <f t="shared" si="65"/>
        <v>c</v>
      </c>
      <c r="D224" s="29" t="s">
        <v>31</v>
      </c>
      <c r="E224" s="29" t="s">
        <v>209</v>
      </c>
      <c r="F224" s="2" t="s">
        <v>216</v>
      </c>
      <c r="G224" s="2">
        <f t="shared" si="82"/>
        <v>6</v>
      </c>
      <c r="H224" s="2" t="str">
        <f t="shared" si="72"/>
        <v>--</v>
      </c>
      <c r="I224" s="38">
        <f t="shared" si="75"/>
        <v>0</v>
      </c>
      <c r="J224" s="33">
        <f t="shared" si="76"/>
        <v>108</v>
      </c>
      <c r="K224" s="33">
        <f t="shared" si="85"/>
        <v>0</v>
      </c>
      <c r="L224" s="33">
        <f t="shared" si="85"/>
        <v>0</v>
      </c>
      <c r="M224" s="33">
        <f t="shared" si="85"/>
        <v>0</v>
      </c>
      <c r="N224" s="33">
        <f t="shared" si="73"/>
        <v>0</v>
      </c>
      <c r="O224" s="33">
        <f t="shared" si="85"/>
        <v>0</v>
      </c>
      <c r="P224" s="33">
        <f t="shared" si="85"/>
        <v>0</v>
      </c>
      <c r="Q224" s="33">
        <f t="shared" si="85"/>
        <v>0</v>
      </c>
      <c r="R224" s="35">
        <f t="shared" si="77"/>
        <v>0</v>
      </c>
      <c r="S224" s="35">
        <f t="shared" si="78"/>
        <v>0</v>
      </c>
      <c r="T224" s="35">
        <f t="shared" si="79"/>
        <v>0</v>
      </c>
      <c r="U224" s="35">
        <f t="shared" si="74"/>
        <v>0</v>
      </c>
      <c r="V224" s="35">
        <f t="shared" si="86"/>
        <v>0</v>
      </c>
      <c r="W224" s="35">
        <f t="shared" si="86"/>
        <v>0</v>
      </c>
      <c r="X224" s="35">
        <f t="shared" si="86"/>
        <v>0</v>
      </c>
      <c r="Y224" s="35">
        <f t="shared" si="86"/>
        <v>0</v>
      </c>
      <c r="Z224" s="35">
        <f t="shared" si="86"/>
        <v>0</v>
      </c>
      <c r="AA224" s="35">
        <f t="shared" si="86"/>
        <v>0</v>
      </c>
    </row>
    <row r="225" spans="2:27" x14ac:dyDescent="0.2">
      <c r="B225" s="2">
        <v>223</v>
      </c>
      <c r="C225" s="2" t="str">
        <f t="shared" si="65"/>
        <v>c</v>
      </c>
      <c r="D225" s="29" t="s">
        <v>31</v>
      </c>
      <c r="E225" s="29" t="s">
        <v>209</v>
      </c>
      <c r="F225" s="2" t="s">
        <v>216</v>
      </c>
      <c r="G225" s="2">
        <f t="shared" si="82"/>
        <v>7</v>
      </c>
      <c r="H225" s="2" t="str">
        <f t="shared" si="72"/>
        <v>--</v>
      </c>
      <c r="I225" s="38">
        <f t="shared" si="75"/>
        <v>0</v>
      </c>
      <c r="J225" s="33">
        <f t="shared" si="76"/>
        <v>126</v>
      </c>
      <c r="K225" s="33">
        <f t="shared" si="85"/>
        <v>0</v>
      </c>
      <c r="L225" s="33">
        <f t="shared" si="85"/>
        <v>0</v>
      </c>
      <c r="M225" s="33">
        <f t="shared" si="85"/>
        <v>0</v>
      </c>
      <c r="N225" s="33">
        <f t="shared" si="73"/>
        <v>0</v>
      </c>
      <c r="O225" s="33">
        <f t="shared" si="85"/>
        <v>0</v>
      </c>
      <c r="P225" s="33">
        <f t="shared" si="85"/>
        <v>0</v>
      </c>
      <c r="Q225" s="33">
        <f t="shared" si="85"/>
        <v>0</v>
      </c>
      <c r="R225" s="35">
        <f t="shared" si="77"/>
        <v>0</v>
      </c>
      <c r="S225" s="35">
        <f t="shared" si="78"/>
        <v>0</v>
      </c>
      <c r="T225" s="35">
        <f t="shared" si="79"/>
        <v>0</v>
      </c>
      <c r="U225" s="35">
        <f t="shared" si="74"/>
        <v>0</v>
      </c>
      <c r="V225" s="35">
        <f t="shared" si="86"/>
        <v>0</v>
      </c>
      <c r="W225" s="35">
        <f t="shared" si="86"/>
        <v>0</v>
      </c>
      <c r="X225" s="35">
        <f t="shared" si="86"/>
        <v>0</v>
      </c>
      <c r="Y225" s="35">
        <f t="shared" si="86"/>
        <v>0</v>
      </c>
      <c r="Z225" s="35">
        <f t="shared" si="86"/>
        <v>0</v>
      </c>
      <c r="AA225" s="35">
        <f t="shared" si="86"/>
        <v>0</v>
      </c>
    </row>
    <row r="226" spans="2:27" x14ac:dyDescent="0.2">
      <c r="B226" s="2">
        <v>224</v>
      </c>
      <c r="C226" s="2" t="str">
        <f t="shared" si="65"/>
        <v>c</v>
      </c>
      <c r="D226" s="29" t="s">
        <v>31</v>
      </c>
      <c r="E226" s="29" t="s">
        <v>209</v>
      </c>
      <c r="F226" s="2" t="s">
        <v>216</v>
      </c>
      <c r="G226" s="2">
        <f t="shared" si="82"/>
        <v>8</v>
      </c>
      <c r="H226" s="2" t="str">
        <f t="shared" si="72"/>
        <v>--</v>
      </c>
      <c r="I226" s="38">
        <f t="shared" si="75"/>
        <v>0</v>
      </c>
      <c r="J226" s="33">
        <f t="shared" si="76"/>
        <v>144</v>
      </c>
      <c r="K226" s="33">
        <f t="shared" si="85"/>
        <v>0</v>
      </c>
      <c r="L226" s="33">
        <f t="shared" si="85"/>
        <v>0</v>
      </c>
      <c r="M226" s="33">
        <f t="shared" si="85"/>
        <v>0</v>
      </c>
      <c r="N226" s="33">
        <f t="shared" si="73"/>
        <v>0</v>
      </c>
      <c r="O226" s="33">
        <f t="shared" si="85"/>
        <v>0</v>
      </c>
      <c r="P226" s="33">
        <f t="shared" si="85"/>
        <v>0</v>
      </c>
      <c r="Q226" s="33">
        <f t="shared" si="85"/>
        <v>0</v>
      </c>
      <c r="R226" s="35">
        <f t="shared" si="77"/>
        <v>0</v>
      </c>
      <c r="S226" s="35">
        <f t="shared" si="78"/>
        <v>0</v>
      </c>
      <c r="T226" s="35">
        <f t="shared" si="79"/>
        <v>0</v>
      </c>
      <c r="U226" s="35">
        <f t="shared" si="74"/>
        <v>0</v>
      </c>
      <c r="V226" s="35">
        <f t="shared" si="86"/>
        <v>0</v>
      </c>
      <c r="W226" s="35">
        <f t="shared" si="86"/>
        <v>0</v>
      </c>
      <c r="X226" s="35">
        <f t="shared" si="86"/>
        <v>0</v>
      </c>
      <c r="Y226" s="35">
        <f t="shared" si="86"/>
        <v>0</v>
      </c>
      <c r="Z226" s="35">
        <f t="shared" si="86"/>
        <v>0</v>
      </c>
      <c r="AA226" s="35">
        <f t="shared" si="86"/>
        <v>0</v>
      </c>
    </row>
    <row r="227" spans="2:27" x14ac:dyDescent="0.2">
      <c r="B227" s="2">
        <v>225</v>
      </c>
      <c r="C227" s="2" t="str">
        <f t="shared" si="65"/>
        <v>s</v>
      </c>
      <c r="D227" s="29" t="s">
        <v>31</v>
      </c>
      <c r="E227" s="29" t="s">
        <v>209</v>
      </c>
      <c r="F227" s="2" t="s">
        <v>217</v>
      </c>
      <c r="G227" s="2">
        <f t="shared" si="82"/>
        <v>1</v>
      </c>
      <c r="H227" s="2" t="str">
        <f t="shared" si="72"/>
        <v>神圣</v>
      </c>
      <c r="I227" s="38">
        <f t="shared" si="75"/>
        <v>0.1</v>
      </c>
      <c r="J227" s="33">
        <f t="shared" si="76"/>
        <v>15</v>
      </c>
      <c r="K227" s="33">
        <f t="shared" si="85"/>
        <v>9</v>
      </c>
      <c r="L227" s="33">
        <f t="shared" si="85"/>
        <v>2</v>
      </c>
      <c r="M227" s="33">
        <f t="shared" si="85"/>
        <v>6</v>
      </c>
      <c r="N227" s="33">
        <f t="shared" si="73"/>
        <v>21</v>
      </c>
      <c r="O227" s="33">
        <f t="shared" si="85"/>
        <v>7</v>
      </c>
      <c r="P227" s="33">
        <f t="shared" si="85"/>
        <v>3</v>
      </c>
      <c r="Q227" s="33">
        <f t="shared" si="85"/>
        <v>4</v>
      </c>
      <c r="R227" s="35">
        <f t="shared" si="77"/>
        <v>1.3333333333333332E-2</v>
      </c>
      <c r="S227" s="35">
        <f t="shared" si="78"/>
        <v>0.01</v>
      </c>
      <c r="T227" s="35">
        <f t="shared" si="79"/>
        <v>1.3333333333333332E-2</v>
      </c>
      <c r="U227" s="35">
        <f t="shared" si="74"/>
        <v>9.9009900990099098E-3</v>
      </c>
      <c r="V227" s="35">
        <f t="shared" si="86"/>
        <v>9.9009900990099098E-3</v>
      </c>
      <c r="W227" s="35">
        <f t="shared" si="86"/>
        <v>9.9009900990099098E-3</v>
      </c>
      <c r="X227" s="35">
        <f t="shared" si="86"/>
        <v>9.9009900990099098E-3</v>
      </c>
      <c r="Y227" s="35">
        <f t="shared" si="86"/>
        <v>5.6603773584905648E-2</v>
      </c>
      <c r="Z227" s="35">
        <f t="shared" si="86"/>
        <v>9.9009900990099098E-3</v>
      </c>
      <c r="AA227" s="35">
        <f t="shared" si="86"/>
        <v>9.9009900990099098E-3</v>
      </c>
    </row>
    <row r="228" spans="2:27" x14ac:dyDescent="0.2">
      <c r="B228" s="2">
        <v>226</v>
      </c>
      <c r="C228" s="2" t="str">
        <f t="shared" ref="C228:C291" si="87">C196</f>
        <v>s</v>
      </c>
      <c r="D228" s="29" t="s">
        <v>31</v>
      </c>
      <c r="E228" s="29" t="s">
        <v>209</v>
      </c>
      <c r="F228" s="2" t="s">
        <v>217</v>
      </c>
      <c r="G228" s="2">
        <f t="shared" si="82"/>
        <v>2</v>
      </c>
      <c r="H228" s="2" t="str">
        <f t="shared" si="72"/>
        <v>神圣</v>
      </c>
      <c r="I228" s="38">
        <f t="shared" si="75"/>
        <v>0.12545454545454546</v>
      </c>
      <c r="J228" s="33">
        <f t="shared" si="76"/>
        <v>30</v>
      </c>
      <c r="K228" s="33">
        <f t="shared" si="85"/>
        <v>18</v>
      </c>
      <c r="L228" s="33">
        <f t="shared" si="85"/>
        <v>4</v>
      </c>
      <c r="M228" s="33">
        <f t="shared" si="85"/>
        <v>13</v>
      </c>
      <c r="N228" s="33">
        <f t="shared" si="73"/>
        <v>42</v>
      </c>
      <c r="O228" s="33">
        <f t="shared" si="85"/>
        <v>15</v>
      </c>
      <c r="P228" s="33">
        <f t="shared" si="85"/>
        <v>7</v>
      </c>
      <c r="Q228" s="33">
        <f t="shared" si="85"/>
        <v>9</v>
      </c>
      <c r="R228" s="35">
        <f t="shared" si="77"/>
        <v>0.03</v>
      </c>
      <c r="S228" s="35">
        <f t="shared" si="78"/>
        <v>2.3333333333333334E-2</v>
      </c>
      <c r="T228" s="35">
        <f t="shared" si="79"/>
        <v>0.03</v>
      </c>
      <c r="U228" s="35">
        <f t="shared" si="74"/>
        <v>1.9607843137254943E-2</v>
      </c>
      <c r="V228" s="35">
        <f t="shared" si="86"/>
        <v>1.9607843137254943E-2</v>
      </c>
      <c r="W228" s="35">
        <f t="shared" si="86"/>
        <v>1.9607843137254943E-2</v>
      </c>
      <c r="X228" s="35">
        <f t="shared" si="86"/>
        <v>1.9607843137254943E-2</v>
      </c>
      <c r="Y228" s="35">
        <f t="shared" si="86"/>
        <v>0.1071428571428571</v>
      </c>
      <c r="Z228" s="35">
        <f t="shared" si="86"/>
        <v>1.9607843137254943E-2</v>
      </c>
      <c r="AA228" s="35">
        <f t="shared" si="86"/>
        <v>1.9607843137254943E-2</v>
      </c>
    </row>
    <row r="229" spans="2:27" x14ac:dyDescent="0.2">
      <c r="B229" s="2">
        <v>227</v>
      </c>
      <c r="C229" s="2" t="str">
        <f t="shared" si="87"/>
        <v>s</v>
      </c>
      <c r="D229" s="29" t="s">
        <v>31</v>
      </c>
      <c r="E229" s="29" t="s">
        <v>209</v>
      </c>
      <c r="F229" s="2" t="s">
        <v>217</v>
      </c>
      <c r="G229" s="2">
        <f t="shared" si="82"/>
        <v>3</v>
      </c>
      <c r="H229" s="2" t="str">
        <f t="shared" si="72"/>
        <v>神圣</v>
      </c>
      <c r="I229" s="38">
        <f t="shared" si="75"/>
        <v>0.19</v>
      </c>
      <c r="J229" s="33">
        <f t="shared" si="76"/>
        <v>45</v>
      </c>
      <c r="K229" s="33">
        <f t="shared" si="85"/>
        <v>28</v>
      </c>
      <c r="L229" s="33">
        <f t="shared" si="85"/>
        <v>7</v>
      </c>
      <c r="M229" s="33">
        <f t="shared" si="85"/>
        <v>19</v>
      </c>
      <c r="N229" s="33">
        <f t="shared" si="73"/>
        <v>63</v>
      </c>
      <c r="O229" s="33">
        <f t="shared" si="85"/>
        <v>23</v>
      </c>
      <c r="P229" s="33">
        <f t="shared" si="85"/>
        <v>10</v>
      </c>
      <c r="Q229" s="33">
        <f t="shared" si="85"/>
        <v>14</v>
      </c>
      <c r="R229" s="35">
        <f t="shared" si="77"/>
        <v>4.6666666666666669E-2</v>
      </c>
      <c r="S229" s="35">
        <f t="shared" si="78"/>
        <v>3.3333333333333333E-2</v>
      </c>
      <c r="T229" s="35">
        <f t="shared" si="79"/>
        <v>4.6666666666666669E-2</v>
      </c>
      <c r="U229" s="35">
        <f t="shared" si="74"/>
        <v>2.9126213592232997E-2</v>
      </c>
      <c r="V229" s="35">
        <f t="shared" si="86"/>
        <v>2.9126213592232997E-2</v>
      </c>
      <c r="W229" s="35">
        <f t="shared" si="86"/>
        <v>2.9126213592232997E-2</v>
      </c>
      <c r="X229" s="35">
        <f t="shared" si="86"/>
        <v>2.9126213592232997E-2</v>
      </c>
      <c r="Y229" s="35">
        <f t="shared" si="86"/>
        <v>0.14893617021276595</v>
      </c>
      <c r="Z229" s="35">
        <f t="shared" si="86"/>
        <v>2.9126213592232997E-2</v>
      </c>
      <c r="AA229" s="35">
        <f t="shared" si="86"/>
        <v>2.9126213592232997E-2</v>
      </c>
    </row>
    <row r="230" spans="2:27" x14ac:dyDescent="0.2">
      <c r="B230" s="2">
        <v>228</v>
      </c>
      <c r="C230" s="2" t="str">
        <f t="shared" si="87"/>
        <v>s</v>
      </c>
      <c r="D230" s="29" t="s">
        <v>31</v>
      </c>
      <c r="E230" s="29" t="s">
        <v>209</v>
      </c>
      <c r="F230" s="2" t="s">
        <v>217</v>
      </c>
      <c r="G230" s="2">
        <f t="shared" si="82"/>
        <v>4</v>
      </c>
      <c r="H230" s="2" t="str">
        <f t="shared" si="72"/>
        <v>神圣</v>
      </c>
      <c r="I230" s="38">
        <f t="shared" si="75"/>
        <v>0.25454545454545452</v>
      </c>
      <c r="J230" s="33">
        <f t="shared" si="76"/>
        <v>61</v>
      </c>
      <c r="K230" s="33">
        <f t="shared" si="85"/>
        <v>37</v>
      </c>
      <c r="L230" s="33">
        <f t="shared" si="85"/>
        <v>9</v>
      </c>
      <c r="M230" s="33">
        <f t="shared" si="85"/>
        <v>26</v>
      </c>
      <c r="N230" s="33">
        <f t="shared" si="73"/>
        <v>83</v>
      </c>
      <c r="O230" s="33">
        <f t="shared" si="85"/>
        <v>31</v>
      </c>
      <c r="P230" s="33">
        <f t="shared" si="85"/>
        <v>14</v>
      </c>
      <c r="Q230" s="33">
        <f t="shared" si="85"/>
        <v>19</v>
      </c>
      <c r="R230" s="35">
        <f t="shared" si="77"/>
        <v>6.3333333333333325E-2</v>
      </c>
      <c r="S230" s="35">
        <f t="shared" si="78"/>
        <v>4.6666666666666669E-2</v>
      </c>
      <c r="T230" s="35">
        <f t="shared" si="79"/>
        <v>6.3333333333333325E-2</v>
      </c>
      <c r="U230" s="35">
        <f t="shared" si="74"/>
        <v>3.8461538461538436E-2</v>
      </c>
      <c r="V230" s="35">
        <f t="shared" si="86"/>
        <v>3.8461538461538436E-2</v>
      </c>
      <c r="W230" s="35">
        <f t="shared" si="86"/>
        <v>3.8461538461538436E-2</v>
      </c>
      <c r="X230" s="35">
        <f t="shared" si="86"/>
        <v>3.8461538461538436E-2</v>
      </c>
      <c r="Y230" s="35">
        <f t="shared" si="86"/>
        <v>0.19028340080971662</v>
      </c>
      <c r="Z230" s="35">
        <f t="shared" si="86"/>
        <v>3.8461538461538436E-2</v>
      </c>
      <c r="AA230" s="35">
        <f t="shared" si="86"/>
        <v>3.8461538461538436E-2</v>
      </c>
    </row>
    <row r="231" spans="2:27" x14ac:dyDescent="0.2">
      <c r="B231" s="2">
        <v>229</v>
      </c>
      <c r="C231" s="2" t="str">
        <f t="shared" si="87"/>
        <v>s</v>
      </c>
      <c r="D231" s="29" t="s">
        <v>31</v>
      </c>
      <c r="E231" s="29" t="s">
        <v>209</v>
      </c>
      <c r="F231" s="2" t="s">
        <v>217</v>
      </c>
      <c r="G231" s="2">
        <f t="shared" si="82"/>
        <v>5</v>
      </c>
      <c r="H231" s="2" t="str">
        <f t="shared" si="72"/>
        <v>神圣</v>
      </c>
      <c r="I231" s="38">
        <f t="shared" si="75"/>
        <v>0.31909090909090909</v>
      </c>
      <c r="J231" s="33">
        <f t="shared" si="76"/>
        <v>76</v>
      </c>
      <c r="K231" s="33">
        <f t="shared" si="85"/>
        <v>47</v>
      </c>
      <c r="L231" s="33">
        <f t="shared" si="85"/>
        <v>11</v>
      </c>
      <c r="M231" s="33">
        <f t="shared" si="85"/>
        <v>33</v>
      </c>
      <c r="N231" s="33">
        <f t="shared" si="73"/>
        <v>104</v>
      </c>
      <c r="O231" s="33">
        <f t="shared" si="85"/>
        <v>39</v>
      </c>
      <c r="P231" s="33">
        <f t="shared" si="85"/>
        <v>17</v>
      </c>
      <c r="Q231" s="33">
        <f t="shared" si="85"/>
        <v>24</v>
      </c>
      <c r="R231" s="35">
        <f t="shared" si="77"/>
        <v>0.08</v>
      </c>
      <c r="S231" s="35">
        <f t="shared" si="78"/>
        <v>5.6666666666666671E-2</v>
      </c>
      <c r="T231" s="35">
        <f t="shared" si="79"/>
        <v>0.08</v>
      </c>
      <c r="U231" s="35">
        <f t="shared" si="74"/>
        <v>4.7619047619047672E-2</v>
      </c>
      <c r="V231" s="35">
        <f t="shared" si="86"/>
        <v>4.7619047619047672E-2</v>
      </c>
      <c r="W231" s="35">
        <f t="shared" si="86"/>
        <v>4.7619047619047672E-2</v>
      </c>
      <c r="X231" s="35">
        <f t="shared" si="86"/>
        <v>4.7619047619047672E-2</v>
      </c>
      <c r="Y231" s="35">
        <f t="shared" si="86"/>
        <v>0.22779922779922779</v>
      </c>
      <c r="Z231" s="35">
        <f t="shared" si="86"/>
        <v>4.7619047619047672E-2</v>
      </c>
      <c r="AA231" s="35">
        <f t="shared" si="86"/>
        <v>4.7619047619047672E-2</v>
      </c>
    </row>
    <row r="232" spans="2:27" x14ac:dyDescent="0.2">
      <c r="B232" s="2">
        <v>230</v>
      </c>
      <c r="C232" s="2" t="str">
        <f t="shared" si="87"/>
        <v>s</v>
      </c>
      <c r="D232" s="29" t="s">
        <v>31</v>
      </c>
      <c r="E232" s="29" t="s">
        <v>209</v>
      </c>
      <c r="F232" s="2" t="s">
        <v>217</v>
      </c>
      <c r="G232" s="2">
        <f t="shared" si="82"/>
        <v>6</v>
      </c>
      <c r="H232" s="2" t="str">
        <f t="shared" si="72"/>
        <v>神圣</v>
      </c>
      <c r="I232" s="38">
        <f t="shared" si="75"/>
        <v>0.38363636363636366</v>
      </c>
      <c r="J232" s="33">
        <f t="shared" si="76"/>
        <v>91</v>
      </c>
      <c r="K232" s="33">
        <f t="shared" si="85"/>
        <v>56</v>
      </c>
      <c r="L232" s="33">
        <f t="shared" si="85"/>
        <v>14</v>
      </c>
      <c r="M232" s="33">
        <f t="shared" si="85"/>
        <v>39</v>
      </c>
      <c r="N232" s="33">
        <f t="shared" si="73"/>
        <v>125</v>
      </c>
      <c r="O232" s="33">
        <f t="shared" si="85"/>
        <v>47</v>
      </c>
      <c r="P232" s="33">
        <f t="shared" si="85"/>
        <v>21</v>
      </c>
      <c r="Q232" s="33">
        <f t="shared" si="85"/>
        <v>29</v>
      </c>
      <c r="R232" s="35">
        <f t="shared" si="77"/>
        <v>9.6666666666666665E-2</v>
      </c>
      <c r="S232" s="35">
        <f t="shared" si="78"/>
        <v>7.0000000000000007E-2</v>
      </c>
      <c r="T232" s="35">
        <f t="shared" si="79"/>
        <v>9.6666666666666665E-2</v>
      </c>
      <c r="U232" s="35">
        <f t="shared" si="74"/>
        <v>5.6603773584905648E-2</v>
      </c>
      <c r="V232" s="35">
        <f t="shared" si="86"/>
        <v>5.6603773584905648E-2</v>
      </c>
      <c r="W232" s="35">
        <f t="shared" si="86"/>
        <v>5.6603773584905648E-2</v>
      </c>
      <c r="X232" s="35">
        <f t="shared" si="86"/>
        <v>5.6603773584905648E-2</v>
      </c>
      <c r="Y232" s="35">
        <f t="shared" si="86"/>
        <v>0.26199261992619927</v>
      </c>
      <c r="Z232" s="35">
        <f t="shared" si="86"/>
        <v>5.6603773584905648E-2</v>
      </c>
      <c r="AA232" s="35">
        <f t="shared" si="86"/>
        <v>5.6603773584905648E-2</v>
      </c>
    </row>
    <row r="233" spans="2:27" x14ac:dyDescent="0.2">
      <c r="B233" s="2">
        <v>231</v>
      </c>
      <c r="C233" s="2" t="str">
        <f t="shared" si="87"/>
        <v>s</v>
      </c>
      <c r="D233" s="29" t="s">
        <v>31</v>
      </c>
      <c r="E233" s="29" t="s">
        <v>209</v>
      </c>
      <c r="F233" s="2" t="s">
        <v>217</v>
      </c>
      <c r="G233" s="2">
        <f t="shared" si="82"/>
        <v>7</v>
      </c>
      <c r="H233" s="2" t="str">
        <f t="shared" si="72"/>
        <v>神圣</v>
      </c>
      <c r="I233" s="38">
        <f t="shared" si="75"/>
        <v>0.44636363636363635</v>
      </c>
      <c r="J233" s="33">
        <f t="shared" si="76"/>
        <v>107</v>
      </c>
      <c r="K233" s="33">
        <f t="shared" ref="K233:Q242" si="88">INT((1+VLOOKUP($F233,role_property_weight,getpos(K$2),FALSE))*(1+VLOOKUP($F233,weapon_property_weight,getpos(K$2),FALSE))*VLOOKUP($E233,role_grow,getpos(K$2),FALSE)*$G233*10*VLOOKUP($C233,weapon_grow1,5,FALSE))</f>
        <v>65</v>
      </c>
      <c r="L233" s="33">
        <f t="shared" si="88"/>
        <v>16</v>
      </c>
      <c r="M233" s="33">
        <f t="shared" si="88"/>
        <v>46</v>
      </c>
      <c r="N233" s="33">
        <f t="shared" si="73"/>
        <v>145</v>
      </c>
      <c r="O233" s="33">
        <f t="shared" si="88"/>
        <v>54</v>
      </c>
      <c r="P233" s="33">
        <f t="shared" si="88"/>
        <v>24</v>
      </c>
      <c r="Q233" s="33">
        <f t="shared" si="88"/>
        <v>34</v>
      </c>
      <c r="R233" s="35">
        <f t="shared" si="77"/>
        <v>0.11333333333333334</v>
      </c>
      <c r="S233" s="35">
        <f t="shared" si="78"/>
        <v>0.08</v>
      </c>
      <c r="T233" s="35">
        <f t="shared" si="79"/>
        <v>0.11333333333333334</v>
      </c>
      <c r="U233" s="35">
        <f t="shared" si="74"/>
        <v>6.5420560747663559E-2</v>
      </c>
      <c r="V233" s="35">
        <f t="shared" ref="V233:AA242" si="89">1-200/(200+ROUND((1+VLOOKUP($F233,role_property_weight,getpos(V$2),FALSE))*VLOOKUP($E233,role_grow,getpos(V$2),FALSE)*$G233*10*VLOOKUP($C233,weapon_grow1,5,FALSE),0))</f>
        <v>6.5420560747663559E-2</v>
      </c>
      <c r="W233" s="35">
        <f t="shared" si="89"/>
        <v>6.5420560747663559E-2</v>
      </c>
      <c r="X233" s="35">
        <f t="shared" si="89"/>
        <v>6.5420560747663559E-2</v>
      </c>
      <c r="Y233" s="35">
        <f t="shared" si="89"/>
        <v>0.29078014184397161</v>
      </c>
      <c r="Z233" s="35">
        <f t="shared" si="89"/>
        <v>6.5420560747663559E-2</v>
      </c>
      <c r="AA233" s="35">
        <f t="shared" si="89"/>
        <v>6.5420560747663559E-2</v>
      </c>
    </row>
    <row r="234" spans="2:27" x14ac:dyDescent="0.2">
      <c r="B234" s="2">
        <v>232</v>
      </c>
      <c r="C234" s="2" t="str">
        <f t="shared" si="87"/>
        <v>s</v>
      </c>
      <c r="D234" s="29" t="s">
        <v>31</v>
      </c>
      <c r="E234" s="29" t="s">
        <v>181</v>
      </c>
      <c r="F234" s="2" t="s">
        <v>182</v>
      </c>
      <c r="G234" s="2">
        <f t="shared" si="82"/>
        <v>8</v>
      </c>
      <c r="H234" s="2" t="str">
        <f t="shared" si="72"/>
        <v>神圣</v>
      </c>
      <c r="I234" s="38">
        <f t="shared" si="75"/>
        <v>0.51181818181818184</v>
      </c>
      <c r="J234" s="33">
        <f t="shared" si="76"/>
        <v>122</v>
      </c>
      <c r="K234" s="33">
        <f t="shared" si="88"/>
        <v>75</v>
      </c>
      <c r="L234" s="33">
        <f t="shared" si="88"/>
        <v>18</v>
      </c>
      <c r="M234" s="33">
        <f t="shared" si="88"/>
        <v>53</v>
      </c>
      <c r="N234" s="33">
        <f t="shared" si="73"/>
        <v>166</v>
      </c>
      <c r="O234" s="33">
        <f t="shared" si="88"/>
        <v>62</v>
      </c>
      <c r="P234" s="33">
        <f t="shared" si="88"/>
        <v>28</v>
      </c>
      <c r="Q234" s="33">
        <f t="shared" si="88"/>
        <v>39</v>
      </c>
      <c r="R234" s="35">
        <f t="shared" si="77"/>
        <v>0.13</v>
      </c>
      <c r="S234" s="35">
        <f t="shared" si="78"/>
        <v>9.3333333333333338E-2</v>
      </c>
      <c r="T234" s="35">
        <f t="shared" si="79"/>
        <v>0.13</v>
      </c>
      <c r="U234" s="35">
        <f t="shared" si="74"/>
        <v>7.407407407407407E-2</v>
      </c>
      <c r="V234" s="35">
        <f t="shared" si="89"/>
        <v>7.407407407407407E-2</v>
      </c>
      <c r="W234" s="35">
        <f t="shared" si="89"/>
        <v>7.407407407407407E-2</v>
      </c>
      <c r="X234" s="35">
        <f t="shared" si="89"/>
        <v>7.407407407407407E-2</v>
      </c>
      <c r="Y234" s="35">
        <f t="shared" si="89"/>
        <v>0.31972789115646261</v>
      </c>
      <c r="Z234" s="35">
        <f t="shared" si="89"/>
        <v>7.407407407407407E-2</v>
      </c>
      <c r="AA234" s="35">
        <f t="shared" si="89"/>
        <v>7.407407407407407E-2</v>
      </c>
    </row>
    <row r="235" spans="2:27" x14ac:dyDescent="0.2">
      <c r="B235" s="2">
        <v>233</v>
      </c>
      <c r="C235" s="2" t="str">
        <f t="shared" si="87"/>
        <v>a</v>
      </c>
      <c r="D235" s="29" t="s">
        <v>31</v>
      </c>
      <c r="E235" s="29" t="s">
        <v>181</v>
      </c>
      <c r="F235" s="2" t="s">
        <v>182</v>
      </c>
      <c r="G235" s="2">
        <f t="shared" si="82"/>
        <v>1</v>
      </c>
      <c r="H235" s="2" t="str">
        <f t="shared" si="72"/>
        <v>神圣</v>
      </c>
      <c r="I235" s="38">
        <f t="shared" si="75"/>
        <v>0.1</v>
      </c>
      <c r="J235" s="33">
        <f t="shared" si="76"/>
        <v>11</v>
      </c>
      <c r="K235" s="33">
        <f t="shared" si="88"/>
        <v>9</v>
      </c>
      <c r="L235" s="33">
        <f t="shared" si="88"/>
        <v>2</v>
      </c>
      <c r="M235" s="33">
        <f t="shared" si="88"/>
        <v>7</v>
      </c>
      <c r="N235" s="33">
        <f t="shared" si="73"/>
        <v>22</v>
      </c>
      <c r="O235" s="33">
        <f t="shared" si="88"/>
        <v>8</v>
      </c>
      <c r="P235" s="33">
        <f t="shared" si="88"/>
        <v>3</v>
      </c>
      <c r="Q235" s="33">
        <f t="shared" si="88"/>
        <v>5</v>
      </c>
      <c r="R235" s="35">
        <f t="shared" si="77"/>
        <v>1.6666666666666666E-2</v>
      </c>
      <c r="S235" s="35">
        <f t="shared" si="78"/>
        <v>0.01</v>
      </c>
      <c r="T235" s="35">
        <f t="shared" si="79"/>
        <v>1.6666666666666666E-2</v>
      </c>
      <c r="U235" s="35">
        <f t="shared" si="74"/>
        <v>9.9009900990099098E-3</v>
      </c>
      <c r="V235" s="35">
        <f t="shared" si="89"/>
        <v>9.9009900990099098E-3</v>
      </c>
      <c r="W235" s="35">
        <f t="shared" si="89"/>
        <v>9.9009900990099098E-3</v>
      </c>
      <c r="X235" s="35">
        <f t="shared" si="89"/>
        <v>9.9009900990099098E-3</v>
      </c>
      <c r="Y235" s="35">
        <f t="shared" si="89"/>
        <v>5.6603773584905648E-2</v>
      </c>
      <c r="Z235" s="35">
        <f t="shared" si="89"/>
        <v>9.9009900990099098E-3</v>
      </c>
      <c r="AA235" s="35">
        <f t="shared" si="89"/>
        <v>9.9009900990099098E-3</v>
      </c>
    </row>
    <row r="236" spans="2:27" x14ac:dyDescent="0.2">
      <c r="B236" s="2">
        <v>234</v>
      </c>
      <c r="C236" s="2" t="str">
        <f t="shared" si="87"/>
        <v>a</v>
      </c>
      <c r="D236" s="29" t="s">
        <v>31</v>
      </c>
      <c r="E236" s="29" t="s">
        <v>181</v>
      </c>
      <c r="F236" s="2" t="s">
        <v>182</v>
      </c>
      <c r="G236" s="2">
        <f t="shared" si="82"/>
        <v>2</v>
      </c>
      <c r="H236" s="2" t="str">
        <f t="shared" si="72"/>
        <v>神圣</v>
      </c>
      <c r="I236" s="38">
        <f t="shared" si="75"/>
        <v>0.12454545454545456</v>
      </c>
      <c r="J236" s="33">
        <f t="shared" si="76"/>
        <v>23</v>
      </c>
      <c r="K236" s="33">
        <f t="shared" si="88"/>
        <v>19</v>
      </c>
      <c r="L236" s="33">
        <f t="shared" si="88"/>
        <v>4</v>
      </c>
      <c r="M236" s="33">
        <f t="shared" si="88"/>
        <v>14</v>
      </c>
      <c r="N236" s="33">
        <f t="shared" si="73"/>
        <v>44</v>
      </c>
      <c r="O236" s="33">
        <f t="shared" si="88"/>
        <v>16</v>
      </c>
      <c r="P236" s="33">
        <f t="shared" si="88"/>
        <v>7</v>
      </c>
      <c r="Q236" s="33">
        <f t="shared" si="88"/>
        <v>10</v>
      </c>
      <c r="R236" s="35">
        <f t="shared" si="77"/>
        <v>3.3333333333333333E-2</v>
      </c>
      <c r="S236" s="35">
        <f t="shared" si="78"/>
        <v>2.3333333333333334E-2</v>
      </c>
      <c r="T236" s="35">
        <f t="shared" si="79"/>
        <v>3.3333333333333333E-2</v>
      </c>
      <c r="U236" s="35">
        <f t="shared" si="74"/>
        <v>1.9607843137254943E-2</v>
      </c>
      <c r="V236" s="35">
        <f t="shared" si="89"/>
        <v>1.9607843137254943E-2</v>
      </c>
      <c r="W236" s="35">
        <f t="shared" si="89"/>
        <v>1.9607843137254943E-2</v>
      </c>
      <c r="X236" s="35">
        <f t="shared" si="89"/>
        <v>1.9607843137254943E-2</v>
      </c>
      <c r="Y236" s="35">
        <f t="shared" si="89"/>
        <v>0.11111111111111116</v>
      </c>
      <c r="Z236" s="35">
        <f t="shared" si="89"/>
        <v>1.9607843137254943E-2</v>
      </c>
      <c r="AA236" s="35">
        <f t="shared" si="89"/>
        <v>1.9607843137254943E-2</v>
      </c>
    </row>
    <row r="237" spans="2:27" x14ac:dyDescent="0.2">
      <c r="B237" s="2">
        <v>235</v>
      </c>
      <c r="C237" s="2" t="str">
        <f t="shared" si="87"/>
        <v>a</v>
      </c>
      <c r="D237" s="29" t="s">
        <v>31</v>
      </c>
      <c r="E237" s="29" t="s">
        <v>181</v>
      </c>
      <c r="F237" s="2" t="s">
        <v>182</v>
      </c>
      <c r="G237" s="2">
        <f t="shared" si="82"/>
        <v>3</v>
      </c>
      <c r="H237" s="2" t="str">
        <f t="shared" si="72"/>
        <v>神圣</v>
      </c>
      <c r="I237" s="38">
        <f t="shared" si="75"/>
        <v>0.18909090909090909</v>
      </c>
      <c r="J237" s="33">
        <f t="shared" si="76"/>
        <v>35</v>
      </c>
      <c r="K237" s="33">
        <f t="shared" si="88"/>
        <v>29</v>
      </c>
      <c r="L237" s="33">
        <f t="shared" si="88"/>
        <v>7</v>
      </c>
      <c r="M237" s="33">
        <f t="shared" si="88"/>
        <v>21</v>
      </c>
      <c r="N237" s="33">
        <f t="shared" si="73"/>
        <v>66</v>
      </c>
      <c r="O237" s="33">
        <f t="shared" si="88"/>
        <v>24</v>
      </c>
      <c r="P237" s="33">
        <f t="shared" si="88"/>
        <v>11</v>
      </c>
      <c r="Q237" s="33">
        <f t="shared" si="88"/>
        <v>15</v>
      </c>
      <c r="R237" s="35">
        <f t="shared" si="77"/>
        <v>0.05</v>
      </c>
      <c r="S237" s="35">
        <f t="shared" si="78"/>
        <v>3.6666666666666667E-2</v>
      </c>
      <c r="T237" s="35">
        <f t="shared" si="79"/>
        <v>0.05</v>
      </c>
      <c r="U237" s="35">
        <f t="shared" si="74"/>
        <v>2.9126213592232997E-2</v>
      </c>
      <c r="V237" s="35">
        <f t="shared" si="89"/>
        <v>2.9126213592232997E-2</v>
      </c>
      <c r="W237" s="35">
        <f t="shared" si="89"/>
        <v>2.9126213592232997E-2</v>
      </c>
      <c r="X237" s="35">
        <f t="shared" si="89"/>
        <v>2.9126213592232997E-2</v>
      </c>
      <c r="Y237" s="35">
        <f t="shared" si="89"/>
        <v>0.15611814345991559</v>
      </c>
      <c r="Z237" s="35">
        <f t="shared" si="89"/>
        <v>2.9126213592232997E-2</v>
      </c>
      <c r="AA237" s="35">
        <f t="shared" si="89"/>
        <v>2.9126213592232997E-2</v>
      </c>
    </row>
    <row r="238" spans="2:27" x14ac:dyDescent="0.2">
      <c r="B238" s="2">
        <v>236</v>
      </c>
      <c r="C238" s="2" t="str">
        <f t="shared" si="87"/>
        <v>a</v>
      </c>
      <c r="D238" s="29" t="s">
        <v>31</v>
      </c>
      <c r="E238" s="29" t="s">
        <v>181</v>
      </c>
      <c r="F238" s="2" t="s">
        <v>182</v>
      </c>
      <c r="G238" s="2">
        <f t="shared" si="82"/>
        <v>4</v>
      </c>
      <c r="H238" s="2" t="str">
        <f t="shared" si="72"/>
        <v>神圣</v>
      </c>
      <c r="I238" s="38">
        <f t="shared" si="75"/>
        <v>0.25181818181818183</v>
      </c>
      <c r="J238" s="33">
        <f t="shared" si="76"/>
        <v>46</v>
      </c>
      <c r="K238" s="33">
        <f t="shared" si="88"/>
        <v>39</v>
      </c>
      <c r="L238" s="33">
        <f t="shared" si="88"/>
        <v>9</v>
      </c>
      <c r="M238" s="33">
        <f t="shared" si="88"/>
        <v>28</v>
      </c>
      <c r="N238" s="33">
        <f t="shared" si="73"/>
        <v>88</v>
      </c>
      <c r="O238" s="33">
        <f t="shared" si="88"/>
        <v>33</v>
      </c>
      <c r="P238" s="33">
        <f t="shared" si="88"/>
        <v>14</v>
      </c>
      <c r="Q238" s="33">
        <f t="shared" si="88"/>
        <v>20</v>
      </c>
      <c r="R238" s="35">
        <f t="shared" si="77"/>
        <v>6.6666666666666666E-2</v>
      </c>
      <c r="S238" s="35">
        <f t="shared" si="78"/>
        <v>4.6666666666666669E-2</v>
      </c>
      <c r="T238" s="35">
        <f t="shared" si="79"/>
        <v>6.6666666666666666E-2</v>
      </c>
      <c r="U238" s="35">
        <f t="shared" si="74"/>
        <v>3.8461538461538436E-2</v>
      </c>
      <c r="V238" s="35">
        <f t="shared" si="89"/>
        <v>3.8461538461538436E-2</v>
      </c>
      <c r="W238" s="35">
        <f t="shared" si="89"/>
        <v>3.8461538461538436E-2</v>
      </c>
      <c r="X238" s="35">
        <f t="shared" si="89"/>
        <v>3.8461538461538436E-2</v>
      </c>
      <c r="Y238" s="35">
        <f t="shared" si="89"/>
        <v>0.19999999999999996</v>
      </c>
      <c r="Z238" s="35">
        <f t="shared" si="89"/>
        <v>3.8461538461538436E-2</v>
      </c>
      <c r="AA238" s="35">
        <f t="shared" si="89"/>
        <v>3.8461538461538436E-2</v>
      </c>
    </row>
    <row r="239" spans="2:27" x14ac:dyDescent="0.2">
      <c r="B239" s="2">
        <v>237</v>
      </c>
      <c r="C239" s="2" t="str">
        <f t="shared" si="87"/>
        <v>a</v>
      </c>
      <c r="D239" s="29" t="s">
        <v>31</v>
      </c>
      <c r="E239" s="29" t="s">
        <v>181</v>
      </c>
      <c r="F239" s="2" t="s">
        <v>182</v>
      </c>
      <c r="G239" s="2">
        <f t="shared" si="82"/>
        <v>5</v>
      </c>
      <c r="H239" s="2" t="str">
        <f t="shared" si="72"/>
        <v>神圣</v>
      </c>
      <c r="I239" s="38">
        <f t="shared" si="75"/>
        <v>0.31727272727272726</v>
      </c>
      <c r="J239" s="33">
        <f t="shared" si="76"/>
        <v>58</v>
      </c>
      <c r="K239" s="33">
        <f t="shared" si="88"/>
        <v>49</v>
      </c>
      <c r="L239" s="33">
        <f t="shared" si="88"/>
        <v>12</v>
      </c>
      <c r="M239" s="33">
        <f t="shared" si="88"/>
        <v>35</v>
      </c>
      <c r="N239" s="33">
        <f t="shared" si="73"/>
        <v>110</v>
      </c>
      <c r="O239" s="33">
        <f t="shared" si="88"/>
        <v>41</v>
      </c>
      <c r="P239" s="33">
        <f t="shared" si="88"/>
        <v>18</v>
      </c>
      <c r="Q239" s="33">
        <f t="shared" si="88"/>
        <v>26</v>
      </c>
      <c r="R239" s="35">
        <f t="shared" si="77"/>
        <v>8.6666666666666656E-2</v>
      </c>
      <c r="S239" s="35">
        <f t="shared" si="78"/>
        <v>0.06</v>
      </c>
      <c r="T239" s="35">
        <f t="shared" si="79"/>
        <v>8.6666666666666656E-2</v>
      </c>
      <c r="U239" s="35">
        <f t="shared" si="74"/>
        <v>4.7619047619047672E-2</v>
      </c>
      <c r="V239" s="35">
        <f t="shared" si="89"/>
        <v>4.7619047619047672E-2</v>
      </c>
      <c r="W239" s="35">
        <f t="shared" si="89"/>
        <v>4.7619047619047672E-2</v>
      </c>
      <c r="X239" s="35">
        <f t="shared" si="89"/>
        <v>4.7619047619047672E-2</v>
      </c>
      <c r="Y239" s="35">
        <f t="shared" si="89"/>
        <v>0.23664122137404575</v>
      </c>
      <c r="Z239" s="35">
        <f t="shared" si="89"/>
        <v>4.7619047619047672E-2</v>
      </c>
      <c r="AA239" s="35">
        <f t="shared" si="89"/>
        <v>4.7619047619047672E-2</v>
      </c>
    </row>
    <row r="240" spans="2:27" x14ac:dyDescent="0.2">
      <c r="B240" s="2">
        <v>238</v>
      </c>
      <c r="C240" s="2" t="str">
        <f t="shared" si="87"/>
        <v>a</v>
      </c>
      <c r="D240" s="29" t="s">
        <v>31</v>
      </c>
      <c r="E240" s="29" t="s">
        <v>181</v>
      </c>
      <c r="F240" s="2" t="s">
        <v>182</v>
      </c>
      <c r="G240" s="2">
        <f t="shared" si="82"/>
        <v>6</v>
      </c>
      <c r="H240" s="2" t="str">
        <f t="shared" si="72"/>
        <v>神圣</v>
      </c>
      <c r="I240" s="38">
        <f t="shared" si="75"/>
        <v>0.38</v>
      </c>
      <c r="J240" s="33">
        <f t="shared" si="76"/>
        <v>70</v>
      </c>
      <c r="K240" s="33">
        <f t="shared" si="88"/>
        <v>59</v>
      </c>
      <c r="L240" s="33">
        <f t="shared" si="88"/>
        <v>14</v>
      </c>
      <c r="M240" s="33">
        <f t="shared" si="88"/>
        <v>42</v>
      </c>
      <c r="N240" s="33">
        <f t="shared" si="73"/>
        <v>131</v>
      </c>
      <c r="O240" s="33">
        <f t="shared" si="88"/>
        <v>49</v>
      </c>
      <c r="P240" s="33">
        <f t="shared" si="88"/>
        <v>22</v>
      </c>
      <c r="Q240" s="33">
        <f t="shared" si="88"/>
        <v>31</v>
      </c>
      <c r="R240" s="35">
        <f t="shared" si="77"/>
        <v>0.10333333333333333</v>
      </c>
      <c r="S240" s="35">
        <f t="shared" si="78"/>
        <v>7.3333333333333334E-2</v>
      </c>
      <c r="T240" s="35">
        <f t="shared" si="79"/>
        <v>0.10333333333333333</v>
      </c>
      <c r="U240" s="35">
        <f t="shared" si="74"/>
        <v>5.6603773584905648E-2</v>
      </c>
      <c r="V240" s="35">
        <f t="shared" si="89"/>
        <v>5.6603773584905648E-2</v>
      </c>
      <c r="W240" s="35">
        <f t="shared" si="89"/>
        <v>5.6603773584905648E-2</v>
      </c>
      <c r="X240" s="35">
        <f t="shared" si="89"/>
        <v>5.6603773584905648E-2</v>
      </c>
      <c r="Y240" s="35">
        <f t="shared" si="89"/>
        <v>0.27007299270072993</v>
      </c>
      <c r="Z240" s="35">
        <f t="shared" si="89"/>
        <v>5.6603773584905648E-2</v>
      </c>
      <c r="AA240" s="35">
        <f t="shared" si="89"/>
        <v>5.6603773584905648E-2</v>
      </c>
    </row>
    <row r="241" spans="2:27" x14ac:dyDescent="0.2">
      <c r="B241" s="2">
        <v>239</v>
      </c>
      <c r="C241" s="2" t="str">
        <f t="shared" si="87"/>
        <v>a</v>
      </c>
      <c r="D241" s="29" t="s">
        <v>31</v>
      </c>
      <c r="E241" s="29" t="s">
        <v>181</v>
      </c>
      <c r="F241" s="2" t="s">
        <v>182</v>
      </c>
      <c r="G241" s="2">
        <f t="shared" si="82"/>
        <v>7</v>
      </c>
      <c r="H241" s="2" t="str">
        <f t="shared" si="72"/>
        <v>神圣</v>
      </c>
      <c r="I241" s="38">
        <f t="shared" si="75"/>
        <v>0.44363636363636366</v>
      </c>
      <c r="J241" s="33">
        <f t="shared" si="76"/>
        <v>81</v>
      </c>
      <c r="K241" s="33">
        <f t="shared" si="88"/>
        <v>69</v>
      </c>
      <c r="L241" s="33">
        <f t="shared" si="88"/>
        <v>17</v>
      </c>
      <c r="M241" s="33">
        <f t="shared" si="88"/>
        <v>49</v>
      </c>
      <c r="N241" s="33">
        <f t="shared" si="73"/>
        <v>153</v>
      </c>
      <c r="O241" s="33">
        <f t="shared" si="88"/>
        <v>57</v>
      </c>
      <c r="P241" s="33">
        <f t="shared" si="88"/>
        <v>26</v>
      </c>
      <c r="Q241" s="33">
        <f t="shared" si="88"/>
        <v>36</v>
      </c>
      <c r="R241" s="35">
        <f t="shared" si="77"/>
        <v>0.12</v>
      </c>
      <c r="S241" s="35">
        <f t="shared" si="78"/>
        <v>8.6666666666666656E-2</v>
      </c>
      <c r="T241" s="35">
        <f t="shared" si="79"/>
        <v>0.12</v>
      </c>
      <c r="U241" s="35">
        <f t="shared" si="74"/>
        <v>6.5420560747663559E-2</v>
      </c>
      <c r="V241" s="35">
        <f t="shared" si="89"/>
        <v>6.5420560747663559E-2</v>
      </c>
      <c r="W241" s="35">
        <f t="shared" si="89"/>
        <v>6.5420560747663559E-2</v>
      </c>
      <c r="X241" s="35">
        <f t="shared" si="89"/>
        <v>6.5420560747663559E-2</v>
      </c>
      <c r="Y241" s="35">
        <f t="shared" si="89"/>
        <v>0.30313588850174211</v>
      </c>
      <c r="Z241" s="35">
        <f t="shared" si="89"/>
        <v>6.5420560747663559E-2</v>
      </c>
      <c r="AA241" s="35">
        <f t="shared" si="89"/>
        <v>6.5420560747663559E-2</v>
      </c>
    </row>
    <row r="242" spans="2:27" x14ac:dyDescent="0.2">
      <c r="B242" s="2">
        <v>240</v>
      </c>
      <c r="C242" s="2" t="str">
        <f t="shared" si="87"/>
        <v>a</v>
      </c>
      <c r="D242" s="29" t="s">
        <v>31</v>
      </c>
      <c r="E242" s="29" t="s">
        <v>181</v>
      </c>
      <c r="F242" s="2" t="s">
        <v>182</v>
      </c>
      <c r="G242" s="2">
        <f t="shared" si="82"/>
        <v>8</v>
      </c>
      <c r="H242" s="2" t="str">
        <f t="shared" si="72"/>
        <v>神圣</v>
      </c>
      <c r="I242" s="38">
        <f t="shared" si="75"/>
        <v>0.50727272727272732</v>
      </c>
      <c r="J242" s="33">
        <f t="shared" si="76"/>
        <v>93</v>
      </c>
      <c r="K242" s="33">
        <f t="shared" si="88"/>
        <v>79</v>
      </c>
      <c r="L242" s="33">
        <f t="shared" si="88"/>
        <v>19</v>
      </c>
      <c r="M242" s="33">
        <f t="shared" si="88"/>
        <v>56</v>
      </c>
      <c r="N242" s="33">
        <f t="shared" si="73"/>
        <v>175</v>
      </c>
      <c r="O242" s="33">
        <f t="shared" si="88"/>
        <v>66</v>
      </c>
      <c r="P242" s="33">
        <f t="shared" si="88"/>
        <v>29</v>
      </c>
      <c r="Q242" s="33">
        <f t="shared" si="88"/>
        <v>41</v>
      </c>
      <c r="R242" s="35">
        <f t="shared" si="77"/>
        <v>0.13666666666666666</v>
      </c>
      <c r="S242" s="35">
        <f t="shared" si="78"/>
        <v>9.6666666666666665E-2</v>
      </c>
      <c r="T242" s="35">
        <f t="shared" si="79"/>
        <v>0.13666666666666666</v>
      </c>
      <c r="U242" s="35">
        <f t="shared" si="74"/>
        <v>7.8341013824884786E-2</v>
      </c>
      <c r="V242" s="35">
        <f t="shared" si="89"/>
        <v>7.8341013824884786E-2</v>
      </c>
      <c r="W242" s="35">
        <f t="shared" si="89"/>
        <v>7.8341013824884786E-2</v>
      </c>
      <c r="X242" s="35">
        <f t="shared" si="89"/>
        <v>7.8341013824884786E-2</v>
      </c>
      <c r="Y242" s="35">
        <f t="shared" si="89"/>
        <v>0.33110367892976589</v>
      </c>
      <c r="Z242" s="35">
        <f t="shared" si="89"/>
        <v>7.8341013824884786E-2</v>
      </c>
      <c r="AA242" s="35">
        <f t="shared" si="89"/>
        <v>7.8341013824884786E-2</v>
      </c>
    </row>
    <row r="243" spans="2:27" x14ac:dyDescent="0.2">
      <c r="B243" s="2">
        <v>241</v>
      </c>
      <c r="C243" s="2" t="str">
        <f t="shared" si="87"/>
        <v>b</v>
      </c>
      <c r="D243" s="29" t="s">
        <v>31</v>
      </c>
      <c r="E243" s="29" t="s">
        <v>181</v>
      </c>
      <c r="F243" s="2" t="s">
        <v>182</v>
      </c>
      <c r="G243" s="2">
        <f t="shared" si="82"/>
        <v>1</v>
      </c>
      <c r="H243" s="2" t="str">
        <f t="shared" si="72"/>
        <v>神圣</v>
      </c>
      <c r="I243" s="38">
        <f t="shared" si="75"/>
        <v>0.1</v>
      </c>
      <c r="J243" s="33">
        <f t="shared" si="76"/>
        <v>12</v>
      </c>
      <c r="K243" s="33">
        <f t="shared" ref="K243:Q252" si="90">INT((1+VLOOKUP($F243,role_property_weight,getpos(K$2),FALSE))*(1+VLOOKUP($F243,weapon_property_weight,getpos(K$2),FALSE))*VLOOKUP($E243,role_grow,getpos(K$2),FALSE)*$G243*10*VLOOKUP($C243,weapon_grow1,5,FALSE))</f>
        <v>12</v>
      </c>
      <c r="L243" s="33">
        <f t="shared" si="90"/>
        <v>3</v>
      </c>
      <c r="M243" s="33">
        <f t="shared" si="90"/>
        <v>8</v>
      </c>
      <c r="N243" s="33">
        <f t="shared" si="73"/>
        <v>28</v>
      </c>
      <c r="O243" s="33">
        <f t="shared" si="90"/>
        <v>10</v>
      </c>
      <c r="P243" s="33">
        <f t="shared" si="90"/>
        <v>4</v>
      </c>
      <c r="Q243" s="33">
        <f t="shared" si="90"/>
        <v>6</v>
      </c>
      <c r="R243" s="35">
        <f t="shared" si="77"/>
        <v>0.02</v>
      </c>
      <c r="S243" s="35">
        <f t="shared" si="78"/>
        <v>1.3333333333333332E-2</v>
      </c>
      <c r="T243" s="35">
        <f t="shared" si="79"/>
        <v>0.02</v>
      </c>
      <c r="U243" s="35">
        <f t="shared" si="74"/>
        <v>1.4778325123152691E-2</v>
      </c>
      <c r="V243" s="35">
        <f t="shared" ref="V243:AA252" si="91">1-200/(200+ROUND((1+VLOOKUP($F243,role_property_weight,getpos(V$2),FALSE))*VLOOKUP($E243,role_grow,getpos(V$2),FALSE)*$G243*10*VLOOKUP($C243,weapon_grow1,5,FALSE),0))</f>
        <v>1.4778325123152691E-2</v>
      </c>
      <c r="W243" s="35">
        <f t="shared" si="91"/>
        <v>1.4778325123152691E-2</v>
      </c>
      <c r="X243" s="35">
        <f t="shared" si="91"/>
        <v>1.4778325123152691E-2</v>
      </c>
      <c r="Y243" s="35">
        <f t="shared" si="91"/>
        <v>7.407407407407407E-2</v>
      </c>
      <c r="Z243" s="35">
        <f t="shared" si="91"/>
        <v>1.4778325123152691E-2</v>
      </c>
      <c r="AA243" s="35">
        <f t="shared" si="91"/>
        <v>1.4778325123152691E-2</v>
      </c>
    </row>
    <row r="244" spans="2:27" x14ac:dyDescent="0.2">
      <c r="B244" s="2">
        <v>242</v>
      </c>
      <c r="C244" s="2" t="str">
        <f t="shared" si="87"/>
        <v>b</v>
      </c>
      <c r="D244" s="29" t="s">
        <v>31</v>
      </c>
      <c r="E244" s="29" t="s">
        <v>181</v>
      </c>
      <c r="F244" s="2" t="s">
        <v>182</v>
      </c>
      <c r="G244" s="2">
        <f t="shared" si="82"/>
        <v>2</v>
      </c>
      <c r="H244" s="2" t="str">
        <f t="shared" si="72"/>
        <v>神圣</v>
      </c>
      <c r="I244" s="38">
        <f t="shared" si="75"/>
        <v>0.15363636363636363</v>
      </c>
      <c r="J244" s="33">
        <f t="shared" si="76"/>
        <v>25</v>
      </c>
      <c r="K244" s="33">
        <f t="shared" si="90"/>
        <v>24</v>
      </c>
      <c r="L244" s="33">
        <f t="shared" si="90"/>
        <v>6</v>
      </c>
      <c r="M244" s="33">
        <f t="shared" si="90"/>
        <v>17</v>
      </c>
      <c r="N244" s="33">
        <f t="shared" si="73"/>
        <v>55</v>
      </c>
      <c r="O244" s="33">
        <f t="shared" si="90"/>
        <v>20</v>
      </c>
      <c r="P244" s="33">
        <f t="shared" si="90"/>
        <v>9</v>
      </c>
      <c r="Q244" s="33">
        <f t="shared" si="90"/>
        <v>13</v>
      </c>
      <c r="R244" s="35">
        <f t="shared" si="77"/>
        <v>4.3333333333333328E-2</v>
      </c>
      <c r="S244" s="35">
        <f t="shared" si="78"/>
        <v>0.03</v>
      </c>
      <c r="T244" s="35">
        <f t="shared" si="79"/>
        <v>4.3333333333333328E-2</v>
      </c>
      <c r="U244" s="35">
        <f t="shared" si="74"/>
        <v>2.4390243902439046E-2</v>
      </c>
      <c r="V244" s="35">
        <f t="shared" si="91"/>
        <v>2.4390243902439046E-2</v>
      </c>
      <c r="W244" s="35">
        <f t="shared" si="91"/>
        <v>2.4390243902439046E-2</v>
      </c>
      <c r="X244" s="35">
        <f t="shared" si="91"/>
        <v>2.4390243902439046E-2</v>
      </c>
      <c r="Y244" s="35">
        <f t="shared" si="91"/>
        <v>0.13419913419913421</v>
      </c>
      <c r="Z244" s="35">
        <f t="shared" si="91"/>
        <v>2.4390243902439046E-2</v>
      </c>
      <c r="AA244" s="35">
        <f t="shared" si="91"/>
        <v>2.4390243902439046E-2</v>
      </c>
    </row>
    <row r="245" spans="2:27" x14ac:dyDescent="0.2">
      <c r="B245" s="2">
        <v>243</v>
      </c>
      <c r="C245" s="2" t="str">
        <f t="shared" si="87"/>
        <v>b</v>
      </c>
      <c r="D245" s="29" t="s">
        <v>31</v>
      </c>
      <c r="E245" s="29" t="s">
        <v>181</v>
      </c>
      <c r="F245" s="2" t="s">
        <v>182</v>
      </c>
      <c r="G245" s="2">
        <f t="shared" si="82"/>
        <v>3</v>
      </c>
      <c r="H245" s="2" t="str">
        <f t="shared" si="72"/>
        <v>神圣</v>
      </c>
      <c r="I245" s="38">
        <f t="shared" si="75"/>
        <v>0.23272727272727273</v>
      </c>
      <c r="J245" s="33">
        <f t="shared" si="76"/>
        <v>37</v>
      </c>
      <c r="K245" s="33">
        <f t="shared" si="90"/>
        <v>37</v>
      </c>
      <c r="L245" s="33">
        <f t="shared" si="90"/>
        <v>9</v>
      </c>
      <c r="M245" s="33">
        <f t="shared" si="90"/>
        <v>26</v>
      </c>
      <c r="N245" s="33">
        <f t="shared" si="73"/>
        <v>83</v>
      </c>
      <c r="O245" s="33">
        <f t="shared" si="90"/>
        <v>31</v>
      </c>
      <c r="P245" s="33">
        <f t="shared" si="90"/>
        <v>14</v>
      </c>
      <c r="Q245" s="33">
        <f t="shared" si="90"/>
        <v>19</v>
      </c>
      <c r="R245" s="35">
        <f t="shared" si="77"/>
        <v>6.3333333333333325E-2</v>
      </c>
      <c r="S245" s="35">
        <f t="shared" si="78"/>
        <v>4.6666666666666669E-2</v>
      </c>
      <c r="T245" s="35">
        <f t="shared" si="79"/>
        <v>6.3333333333333325E-2</v>
      </c>
      <c r="U245" s="35">
        <f t="shared" si="74"/>
        <v>3.8461538461538436E-2</v>
      </c>
      <c r="V245" s="35">
        <f t="shared" si="91"/>
        <v>3.8461538461538436E-2</v>
      </c>
      <c r="W245" s="35">
        <f t="shared" si="91"/>
        <v>3.8461538461538436E-2</v>
      </c>
      <c r="X245" s="35">
        <f t="shared" si="91"/>
        <v>3.8461538461538436E-2</v>
      </c>
      <c r="Y245" s="35">
        <f t="shared" si="91"/>
        <v>0.19028340080971662</v>
      </c>
      <c r="Z245" s="35">
        <f t="shared" si="91"/>
        <v>3.8461538461538436E-2</v>
      </c>
      <c r="AA245" s="35">
        <f t="shared" si="91"/>
        <v>3.8461538461538436E-2</v>
      </c>
    </row>
    <row r="246" spans="2:27" x14ac:dyDescent="0.2">
      <c r="B246" s="2">
        <v>244</v>
      </c>
      <c r="C246" s="2" t="str">
        <f t="shared" si="87"/>
        <v>b</v>
      </c>
      <c r="D246" s="29" t="s">
        <v>31</v>
      </c>
      <c r="E246" s="29" t="s">
        <v>181</v>
      </c>
      <c r="F246" s="2" t="s">
        <v>182</v>
      </c>
      <c r="G246" s="2">
        <f t="shared" si="82"/>
        <v>4</v>
      </c>
      <c r="H246" s="2" t="str">
        <f t="shared" si="72"/>
        <v>神圣</v>
      </c>
      <c r="I246" s="38">
        <f t="shared" si="75"/>
        <v>0.31</v>
      </c>
      <c r="J246" s="33">
        <f t="shared" si="76"/>
        <v>50</v>
      </c>
      <c r="K246" s="33">
        <f t="shared" si="90"/>
        <v>49</v>
      </c>
      <c r="L246" s="33">
        <f t="shared" si="90"/>
        <v>12</v>
      </c>
      <c r="M246" s="33">
        <f t="shared" si="90"/>
        <v>35</v>
      </c>
      <c r="N246" s="33">
        <f t="shared" si="73"/>
        <v>110</v>
      </c>
      <c r="O246" s="33">
        <f t="shared" si="90"/>
        <v>41</v>
      </c>
      <c r="P246" s="33">
        <f t="shared" si="90"/>
        <v>18</v>
      </c>
      <c r="Q246" s="33">
        <f t="shared" si="90"/>
        <v>26</v>
      </c>
      <c r="R246" s="35">
        <f t="shared" si="77"/>
        <v>8.6666666666666656E-2</v>
      </c>
      <c r="S246" s="35">
        <f t="shared" si="78"/>
        <v>0.06</v>
      </c>
      <c r="T246" s="35">
        <f t="shared" si="79"/>
        <v>8.6666666666666656E-2</v>
      </c>
      <c r="U246" s="35">
        <f t="shared" si="74"/>
        <v>4.7619047619047672E-2</v>
      </c>
      <c r="V246" s="35">
        <f t="shared" si="91"/>
        <v>4.7619047619047672E-2</v>
      </c>
      <c r="W246" s="35">
        <f t="shared" si="91"/>
        <v>4.7619047619047672E-2</v>
      </c>
      <c r="X246" s="35">
        <f t="shared" si="91"/>
        <v>4.7619047619047672E-2</v>
      </c>
      <c r="Y246" s="35">
        <f t="shared" si="91"/>
        <v>0.23664122137404575</v>
      </c>
      <c r="Z246" s="35">
        <f t="shared" si="91"/>
        <v>4.7619047619047672E-2</v>
      </c>
      <c r="AA246" s="35">
        <f t="shared" si="91"/>
        <v>4.7619047619047672E-2</v>
      </c>
    </row>
    <row r="247" spans="2:27" x14ac:dyDescent="0.2">
      <c r="B247" s="2">
        <v>245</v>
      </c>
      <c r="C247" s="2" t="str">
        <f t="shared" si="87"/>
        <v>b</v>
      </c>
      <c r="D247" s="29" t="s">
        <v>31</v>
      </c>
      <c r="E247" s="29" t="s">
        <v>181</v>
      </c>
      <c r="F247" s="2" t="s">
        <v>182</v>
      </c>
      <c r="G247" s="2">
        <f t="shared" si="82"/>
        <v>5</v>
      </c>
      <c r="H247" s="2" t="str">
        <f t="shared" si="72"/>
        <v>神圣</v>
      </c>
      <c r="I247" s="38">
        <f t="shared" si="75"/>
        <v>0.39</v>
      </c>
      <c r="J247" s="33">
        <f t="shared" si="76"/>
        <v>63</v>
      </c>
      <c r="K247" s="33">
        <f t="shared" si="90"/>
        <v>62</v>
      </c>
      <c r="L247" s="33">
        <f t="shared" si="90"/>
        <v>15</v>
      </c>
      <c r="M247" s="33">
        <f t="shared" si="90"/>
        <v>44</v>
      </c>
      <c r="N247" s="33">
        <f t="shared" si="73"/>
        <v>138</v>
      </c>
      <c r="O247" s="33">
        <f t="shared" si="90"/>
        <v>52</v>
      </c>
      <c r="P247" s="33">
        <f t="shared" si="90"/>
        <v>23</v>
      </c>
      <c r="Q247" s="33">
        <f t="shared" si="90"/>
        <v>32</v>
      </c>
      <c r="R247" s="35">
        <f t="shared" si="77"/>
        <v>0.10666666666666666</v>
      </c>
      <c r="S247" s="35">
        <f t="shared" si="78"/>
        <v>7.6666666666666675E-2</v>
      </c>
      <c r="T247" s="35">
        <f t="shared" si="79"/>
        <v>0.10666666666666666</v>
      </c>
      <c r="U247" s="35">
        <f t="shared" si="74"/>
        <v>6.1032863849765251E-2</v>
      </c>
      <c r="V247" s="35">
        <f t="shared" si="91"/>
        <v>6.1032863849765251E-2</v>
      </c>
      <c r="W247" s="35">
        <f t="shared" si="91"/>
        <v>6.1032863849765251E-2</v>
      </c>
      <c r="X247" s="35">
        <f t="shared" si="91"/>
        <v>6.1032863849765251E-2</v>
      </c>
      <c r="Y247" s="35">
        <f t="shared" si="91"/>
        <v>0.28057553956834536</v>
      </c>
      <c r="Z247" s="35">
        <f t="shared" si="91"/>
        <v>6.1032863849765251E-2</v>
      </c>
      <c r="AA247" s="35">
        <f t="shared" si="91"/>
        <v>6.1032863849765251E-2</v>
      </c>
    </row>
    <row r="248" spans="2:27" x14ac:dyDescent="0.2">
      <c r="B248" s="2">
        <v>246</v>
      </c>
      <c r="C248" s="2" t="str">
        <f t="shared" si="87"/>
        <v>b</v>
      </c>
      <c r="D248" s="29" t="s">
        <v>31</v>
      </c>
      <c r="E248" s="29" t="s">
        <v>181</v>
      </c>
      <c r="F248" s="2" t="s">
        <v>182</v>
      </c>
      <c r="G248" s="2">
        <f t="shared" si="82"/>
        <v>6</v>
      </c>
      <c r="H248" s="2" t="str">
        <f t="shared" si="72"/>
        <v>神圣</v>
      </c>
      <c r="I248" s="38">
        <f t="shared" si="75"/>
        <v>0.46727272727272728</v>
      </c>
      <c r="J248" s="33">
        <f t="shared" si="76"/>
        <v>75</v>
      </c>
      <c r="K248" s="33">
        <f t="shared" si="90"/>
        <v>74</v>
      </c>
      <c r="L248" s="33">
        <f t="shared" si="90"/>
        <v>18</v>
      </c>
      <c r="M248" s="33">
        <f t="shared" si="90"/>
        <v>53</v>
      </c>
      <c r="N248" s="33">
        <f t="shared" si="73"/>
        <v>165</v>
      </c>
      <c r="O248" s="33">
        <f t="shared" si="90"/>
        <v>62</v>
      </c>
      <c r="P248" s="33">
        <f t="shared" si="90"/>
        <v>28</v>
      </c>
      <c r="Q248" s="33">
        <f t="shared" si="90"/>
        <v>39</v>
      </c>
      <c r="R248" s="35">
        <f t="shared" si="77"/>
        <v>0.13</v>
      </c>
      <c r="S248" s="35">
        <f t="shared" si="78"/>
        <v>9.3333333333333338E-2</v>
      </c>
      <c r="T248" s="35">
        <f t="shared" si="79"/>
        <v>0.13</v>
      </c>
      <c r="U248" s="35">
        <f t="shared" si="74"/>
        <v>7.407407407407407E-2</v>
      </c>
      <c r="V248" s="35">
        <f t="shared" si="91"/>
        <v>7.407407407407407E-2</v>
      </c>
      <c r="W248" s="35">
        <f t="shared" si="91"/>
        <v>7.407407407407407E-2</v>
      </c>
      <c r="X248" s="35">
        <f t="shared" si="91"/>
        <v>7.407407407407407E-2</v>
      </c>
      <c r="Y248" s="35">
        <f t="shared" si="91"/>
        <v>0.31972789115646261</v>
      </c>
      <c r="Z248" s="35">
        <f t="shared" si="91"/>
        <v>7.407407407407407E-2</v>
      </c>
      <c r="AA248" s="35">
        <f t="shared" si="91"/>
        <v>7.407407407407407E-2</v>
      </c>
    </row>
    <row r="249" spans="2:27" x14ac:dyDescent="0.2">
      <c r="B249" s="2">
        <v>247</v>
      </c>
      <c r="C249" s="2" t="str">
        <f t="shared" si="87"/>
        <v>b</v>
      </c>
      <c r="D249" s="29" t="s">
        <v>31</v>
      </c>
      <c r="E249" s="29" t="s">
        <v>181</v>
      </c>
      <c r="F249" s="2" t="s">
        <v>182</v>
      </c>
      <c r="G249" s="2">
        <f t="shared" si="82"/>
        <v>7</v>
      </c>
      <c r="H249" s="2" t="str">
        <f t="shared" si="72"/>
        <v>神圣</v>
      </c>
      <c r="I249" s="38">
        <f t="shared" si="75"/>
        <v>0.54545454545454541</v>
      </c>
      <c r="J249" s="33">
        <f t="shared" si="76"/>
        <v>88</v>
      </c>
      <c r="K249" s="33">
        <f t="shared" si="90"/>
        <v>87</v>
      </c>
      <c r="L249" s="33">
        <f t="shared" si="90"/>
        <v>21</v>
      </c>
      <c r="M249" s="33">
        <f t="shared" si="90"/>
        <v>61</v>
      </c>
      <c r="N249" s="33">
        <f t="shared" si="73"/>
        <v>193</v>
      </c>
      <c r="O249" s="33">
        <f t="shared" si="90"/>
        <v>72</v>
      </c>
      <c r="P249" s="33">
        <f t="shared" si="90"/>
        <v>32</v>
      </c>
      <c r="Q249" s="33">
        <f t="shared" si="90"/>
        <v>46</v>
      </c>
      <c r="R249" s="35">
        <f t="shared" si="77"/>
        <v>0.15333333333333335</v>
      </c>
      <c r="S249" s="35">
        <f t="shared" si="78"/>
        <v>0.10666666666666666</v>
      </c>
      <c r="T249" s="35">
        <f t="shared" si="79"/>
        <v>0.15333333333333335</v>
      </c>
      <c r="U249" s="35">
        <f t="shared" si="74"/>
        <v>8.256880733944949E-2</v>
      </c>
      <c r="V249" s="35">
        <f t="shared" si="91"/>
        <v>8.256880733944949E-2</v>
      </c>
      <c r="W249" s="35">
        <f t="shared" si="91"/>
        <v>8.256880733944949E-2</v>
      </c>
      <c r="X249" s="35">
        <f t="shared" si="91"/>
        <v>8.256880733944949E-2</v>
      </c>
      <c r="Y249" s="35">
        <f t="shared" si="91"/>
        <v>0.3527508090614887</v>
      </c>
      <c r="Z249" s="35">
        <f t="shared" si="91"/>
        <v>8.256880733944949E-2</v>
      </c>
      <c r="AA249" s="35">
        <f t="shared" si="91"/>
        <v>8.256880733944949E-2</v>
      </c>
    </row>
    <row r="250" spans="2:27" x14ac:dyDescent="0.2">
      <c r="B250" s="2">
        <v>248</v>
      </c>
      <c r="C250" s="2" t="str">
        <f t="shared" si="87"/>
        <v>b</v>
      </c>
      <c r="D250" s="29" t="s">
        <v>31</v>
      </c>
      <c r="E250" s="29" t="s">
        <v>181</v>
      </c>
      <c r="F250" s="2" t="s">
        <v>182</v>
      </c>
      <c r="G250" s="2">
        <f t="shared" si="82"/>
        <v>8</v>
      </c>
      <c r="H250" s="2" t="str">
        <f t="shared" si="72"/>
        <v>神圣</v>
      </c>
      <c r="I250" s="38">
        <f t="shared" si="75"/>
        <v>0.62272727272727268</v>
      </c>
      <c r="J250" s="33">
        <f t="shared" si="76"/>
        <v>100</v>
      </c>
      <c r="K250" s="33">
        <f t="shared" si="90"/>
        <v>99</v>
      </c>
      <c r="L250" s="33">
        <f t="shared" si="90"/>
        <v>24</v>
      </c>
      <c r="M250" s="33">
        <f t="shared" si="90"/>
        <v>70</v>
      </c>
      <c r="N250" s="33">
        <f t="shared" si="73"/>
        <v>220</v>
      </c>
      <c r="O250" s="33">
        <f t="shared" si="90"/>
        <v>83</v>
      </c>
      <c r="P250" s="33">
        <f t="shared" si="90"/>
        <v>37</v>
      </c>
      <c r="Q250" s="33">
        <f t="shared" si="90"/>
        <v>52</v>
      </c>
      <c r="R250" s="35">
        <f t="shared" si="77"/>
        <v>0.17333333333333331</v>
      </c>
      <c r="S250" s="35">
        <f t="shared" si="78"/>
        <v>0.12333333333333334</v>
      </c>
      <c r="T250" s="35">
        <f t="shared" si="79"/>
        <v>0.17333333333333331</v>
      </c>
      <c r="U250" s="35">
        <f t="shared" si="74"/>
        <v>9.5022624434389136E-2</v>
      </c>
      <c r="V250" s="35">
        <f t="shared" si="91"/>
        <v>9.5022624434389136E-2</v>
      </c>
      <c r="W250" s="35">
        <f t="shared" si="91"/>
        <v>9.5022624434389136E-2</v>
      </c>
      <c r="X250" s="35">
        <f t="shared" si="91"/>
        <v>9.5022624434389136E-2</v>
      </c>
      <c r="Y250" s="35">
        <f t="shared" si="91"/>
        <v>0.38461538461538458</v>
      </c>
      <c r="Z250" s="35">
        <f t="shared" si="91"/>
        <v>9.5022624434389136E-2</v>
      </c>
      <c r="AA250" s="35">
        <f t="shared" si="91"/>
        <v>9.5022624434389136E-2</v>
      </c>
    </row>
    <row r="251" spans="2:27" x14ac:dyDescent="0.2">
      <c r="B251" s="2">
        <v>249</v>
      </c>
      <c r="C251" s="2" t="str">
        <f t="shared" si="87"/>
        <v>c</v>
      </c>
      <c r="D251" s="29" t="s">
        <v>31</v>
      </c>
      <c r="E251" s="29" t="s">
        <v>181</v>
      </c>
      <c r="F251" s="2" t="s">
        <v>182</v>
      </c>
      <c r="G251" s="2">
        <f t="shared" si="82"/>
        <v>1</v>
      </c>
      <c r="H251" s="2" t="str">
        <f t="shared" si="72"/>
        <v>--</v>
      </c>
      <c r="I251" s="38">
        <f t="shared" si="75"/>
        <v>0</v>
      </c>
      <c r="J251" s="33">
        <f t="shared" si="76"/>
        <v>15</v>
      </c>
      <c r="K251" s="33">
        <f t="shared" si="90"/>
        <v>0</v>
      </c>
      <c r="L251" s="33">
        <f t="shared" si="90"/>
        <v>0</v>
      </c>
      <c r="M251" s="33">
        <f t="shared" si="90"/>
        <v>0</v>
      </c>
      <c r="N251" s="33">
        <f t="shared" si="73"/>
        <v>0</v>
      </c>
      <c r="O251" s="33">
        <f t="shared" si="90"/>
        <v>0</v>
      </c>
      <c r="P251" s="33">
        <f t="shared" si="90"/>
        <v>0</v>
      </c>
      <c r="Q251" s="33">
        <f t="shared" si="90"/>
        <v>0</v>
      </c>
      <c r="R251" s="35">
        <f t="shared" si="77"/>
        <v>0</v>
      </c>
      <c r="S251" s="35">
        <f t="shared" si="78"/>
        <v>0</v>
      </c>
      <c r="T251" s="35">
        <f t="shared" si="79"/>
        <v>0</v>
      </c>
      <c r="U251" s="35">
        <f t="shared" si="74"/>
        <v>0</v>
      </c>
      <c r="V251" s="35">
        <f t="shared" si="91"/>
        <v>0</v>
      </c>
      <c r="W251" s="35">
        <f t="shared" si="91"/>
        <v>0</v>
      </c>
      <c r="X251" s="35">
        <f t="shared" si="91"/>
        <v>0</v>
      </c>
      <c r="Y251" s="35">
        <f t="shared" si="91"/>
        <v>0</v>
      </c>
      <c r="Z251" s="35">
        <f t="shared" si="91"/>
        <v>0</v>
      </c>
      <c r="AA251" s="35">
        <f t="shared" si="91"/>
        <v>0</v>
      </c>
    </row>
    <row r="252" spans="2:27" x14ac:dyDescent="0.2">
      <c r="B252" s="2">
        <v>250</v>
      </c>
      <c r="C252" s="2" t="str">
        <f t="shared" si="87"/>
        <v>c</v>
      </c>
      <c r="D252" s="29" t="s">
        <v>31</v>
      </c>
      <c r="E252" s="29" t="s">
        <v>181</v>
      </c>
      <c r="F252" s="2" t="s">
        <v>182</v>
      </c>
      <c r="G252" s="2">
        <f t="shared" si="82"/>
        <v>2</v>
      </c>
      <c r="H252" s="2" t="str">
        <f t="shared" si="72"/>
        <v>--</v>
      </c>
      <c r="I252" s="38">
        <f t="shared" si="75"/>
        <v>0</v>
      </c>
      <c r="J252" s="33">
        <f t="shared" si="76"/>
        <v>31</v>
      </c>
      <c r="K252" s="33">
        <f t="shared" si="90"/>
        <v>0</v>
      </c>
      <c r="L252" s="33">
        <f t="shared" si="90"/>
        <v>0</v>
      </c>
      <c r="M252" s="33">
        <f t="shared" si="90"/>
        <v>0</v>
      </c>
      <c r="N252" s="33">
        <f t="shared" si="73"/>
        <v>0</v>
      </c>
      <c r="O252" s="33">
        <f t="shared" si="90"/>
        <v>0</v>
      </c>
      <c r="P252" s="33">
        <f t="shared" si="90"/>
        <v>0</v>
      </c>
      <c r="Q252" s="33">
        <f t="shared" si="90"/>
        <v>0</v>
      </c>
      <c r="R252" s="35">
        <f t="shared" si="77"/>
        <v>0</v>
      </c>
      <c r="S252" s="35">
        <f t="shared" si="78"/>
        <v>0</v>
      </c>
      <c r="T252" s="35">
        <f t="shared" si="79"/>
        <v>0</v>
      </c>
      <c r="U252" s="35">
        <f t="shared" si="74"/>
        <v>0</v>
      </c>
      <c r="V252" s="35">
        <f t="shared" si="91"/>
        <v>0</v>
      </c>
      <c r="W252" s="35">
        <f t="shared" si="91"/>
        <v>0</v>
      </c>
      <c r="X252" s="35">
        <f t="shared" si="91"/>
        <v>0</v>
      </c>
      <c r="Y252" s="35">
        <f t="shared" si="91"/>
        <v>0</v>
      </c>
      <c r="Z252" s="35">
        <f t="shared" si="91"/>
        <v>0</v>
      </c>
      <c r="AA252" s="35">
        <f t="shared" si="91"/>
        <v>0</v>
      </c>
    </row>
    <row r="253" spans="2:27" x14ac:dyDescent="0.2">
      <c r="B253" s="2">
        <v>251</v>
      </c>
      <c r="C253" s="2" t="str">
        <f t="shared" si="87"/>
        <v>c</v>
      </c>
      <c r="D253" s="29" t="s">
        <v>31</v>
      </c>
      <c r="E253" s="29" t="s">
        <v>181</v>
      </c>
      <c r="F253" s="2" t="s">
        <v>182</v>
      </c>
      <c r="G253" s="2">
        <f t="shared" si="82"/>
        <v>3</v>
      </c>
      <c r="H253" s="2" t="str">
        <f t="shared" si="72"/>
        <v>--</v>
      </c>
      <c r="I253" s="38">
        <f t="shared" si="75"/>
        <v>0</v>
      </c>
      <c r="J253" s="33">
        <f t="shared" si="76"/>
        <v>47</v>
      </c>
      <c r="K253" s="33">
        <f t="shared" ref="K253:Q262" si="92">INT((1+VLOOKUP($F253,role_property_weight,getpos(K$2),FALSE))*(1+VLOOKUP($F253,weapon_property_weight,getpos(K$2),FALSE))*VLOOKUP($E253,role_grow,getpos(K$2),FALSE)*$G253*10*VLOOKUP($C253,weapon_grow1,5,FALSE))</f>
        <v>0</v>
      </c>
      <c r="L253" s="33">
        <f t="shared" si="92"/>
        <v>0</v>
      </c>
      <c r="M253" s="33">
        <f t="shared" si="92"/>
        <v>0</v>
      </c>
      <c r="N253" s="33">
        <f t="shared" si="73"/>
        <v>0</v>
      </c>
      <c r="O253" s="33">
        <f t="shared" si="92"/>
        <v>0</v>
      </c>
      <c r="P253" s="33">
        <f t="shared" si="92"/>
        <v>0</v>
      </c>
      <c r="Q253" s="33">
        <f t="shared" si="92"/>
        <v>0</v>
      </c>
      <c r="R253" s="35">
        <f t="shared" si="77"/>
        <v>0</v>
      </c>
      <c r="S253" s="35">
        <f t="shared" si="78"/>
        <v>0</v>
      </c>
      <c r="T253" s="35">
        <f t="shared" si="79"/>
        <v>0</v>
      </c>
      <c r="U253" s="35">
        <f t="shared" si="74"/>
        <v>0</v>
      </c>
      <c r="V253" s="35">
        <f t="shared" ref="V253:AA262" si="93">1-200/(200+ROUND((1+VLOOKUP($F253,role_property_weight,getpos(V$2),FALSE))*VLOOKUP($E253,role_grow,getpos(V$2),FALSE)*$G253*10*VLOOKUP($C253,weapon_grow1,5,FALSE),0))</f>
        <v>0</v>
      </c>
      <c r="W253" s="35">
        <f t="shared" si="93"/>
        <v>0</v>
      </c>
      <c r="X253" s="35">
        <f t="shared" si="93"/>
        <v>0</v>
      </c>
      <c r="Y253" s="35">
        <f t="shared" si="93"/>
        <v>0</v>
      </c>
      <c r="Z253" s="35">
        <f t="shared" si="93"/>
        <v>0</v>
      </c>
      <c r="AA253" s="35">
        <f t="shared" si="93"/>
        <v>0</v>
      </c>
    </row>
    <row r="254" spans="2:27" x14ac:dyDescent="0.2">
      <c r="B254" s="2">
        <v>252</v>
      </c>
      <c r="C254" s="2" t="str">
        <f t="shared" si="87"/>
        <v>c</v>
      </c>
      <c r="D254" s="29" t="s">
        <v>31</v>
      </c>
      <c r="E254" s="29" t="s">
        <v>181</v>
      </c>
      <c r="F254" s="2" t="s">
        <v>182</v>
      </c>
      <c r="G254" s="2">
        <f t="shared" si="82"/>
        <v>4</v>
      </c>
      <c r="H254" s="2" t="str">
        <f t="shared" si="72"/>
        <v>--</v>
      </c>
      <c r="I254" s="38">
        <f t="shared" si="75"/>
        <v>0</v>
      </c>
      <c r="J254" s="33">
        <f t="shared" si="76"/>
        <v>63</v>
      </c>
      <c r="K254" s="33">
        <f t="shared" si="92"/>
        <v>0</v>
      </c>
      <c r="L254" s="33">
        <f t="shared" si="92"/>
        <v>0</v>
      </c>
      <c r="M254" s="33">
        <f t="shared" si="92"/>
        <v>0</v>
      </c>
      <c r="N254" s="33">
        <f t="shared" si="73"/>
        <v>0</v>
      </c>
      <c r="O254" s="33">
        <f t="shared" si="92"/>
        <v>0</v>
      </c>
      <c r="P254" s="33">
        <f t="shared" si="92"/>
        <v>0</v>
      </c>
      <c r="Q254" s="33">
        <f t="shared" si="92"/>
        <v>0</v>
      </c>
      <c r="R254" s="35">
        <f t="shared" si="77"/>
        <v>0</v>
      </c>
      <c r="S254" s="35">
        <f t="shared" si="78"/>
        <v>0</v>
      </c>
      <c r="T254" s="35">
        <f t="shared" si="79"/>
        <v>0</v>
      </c>
      <c r="U254" s="35">
        <f t="shared" si="74"/>
        <v>0</v>
      </c>
      <c r="V254" s="35">
        <f t="shared" si="93"/>
        <v>0</v>
      </c>
      <c r="W254" s="35">
        <f t="shared" si="93"/>
        <v>0</v>
      </c>
      <c r="X254" s="35">
        <f t="shared" si="93"/>
        <v>0</v>
      </c>
      <c r="Y254" s="35">
        <f t="shared" si="93"/>
        <v>0</v>
      </c>
      <c r="Z254" s="35">
        <f t="shared" si="93"/>
        <v>0</v>
      </c>
      <c r="AA254" s="35">
        <f t="shared" si="93"/>
        <v>0</v>
      </c>
    </row>
    <row r="255" spans="2:27" x14ac:dyDescent="0.2">
      <c r="B255" s="2">
        <v>253</v>
      </c>
      <c r="C255" s="2" t="str">
        <f t="shared" si="87"/>
        <v>c</v>
      </c>
      <c r="D255" s="29" t="s">
        <v>31</v>
      </c>
      <c r="E255" s="29" t="s">
        <v>181</v>
      </c>
      <c r="F255" s="2" t="s">
        <v>182</v>
      </c>
      <c r="G255" s="2">
        <f t="shared" si="82"/>
        <v>5</v>
      </c>
      <c r="H255" s="2" t="str">
        <f t="shared" si="72"/>
        <v>--</v>
      </c>
      <c r="I255" s="38">
        <f t="shared" si="75"/>
        <v>0</v>
      </c>
      <c r="J255" s="33">
        <f t="shared" si="76"/>
        <v>79</v>
      </c>
      <c r="K255" s="33">
        <f t="shared" si="92"/>
        <v>0</v>
      </c>
      <c r="L255" s="33">
        <f t="shared" si="92"/>
        <v>0</v>
      </c>
      <c r="M255" s="33">
        <f t="shared" si="92"/>
        <v>0</v>
      </c>
      <c r="N255" s="33">
        <f t="shared" si="73"/>
        <v>0</v>
      </c>
      <c r="O255" s="33">
        <f t="shared" si="92"/>
        <v>0</v>
      </c>
      <c r="P255" s="33">
        <f t="shared" si="92"/>
        <v>0</v>
      </c>
      <c r="Q255" s="33">
        <f t="shared" si="92"/>
        <v>0</v>
      </c>
      <c r="R255" s="35">
        <f t="shared" si="77"/>
        <v>0</v>
      </c>
      <c r="S255" s="35">
        <f t="shared" si="78"/>
        <v>0</v>
      </c>
      <c r="T255" s="35">
        <f t="shared" si="79"/>
        <v>0</v>
      </c>
      <c r="U255" s="35">
        <f t="shared" si="74"/>
        <v>0</v>
      </c>
      <c r="V255" s="35">
        <f t="shared" si="93"/>
        <v>0</v>
      </c>
      <c r="W255" s="35">
        <f t="shared" si="93"/>
        <v>0</v>
      </c>
      <c r="X255" s="35">
        <f t="shared" si="93"/>
        <v>0</v>
      </c>
      <c r="Y255" s="35">
        <f t="shared" si="93"/>
        <v>0</v>
      </c>
      <c r="Z255" s="35">
        <f t="shared" si="93"/>
        <v>0</v>
      </c>
      <c r="AA255" s="35">
        <f t="shared" si="93"/>
        <v>0</v>
      </c>
    </row>
    <row r="256" spans="2:27" x14ac:dyDescent="0.2">
      <c r="B256" s="2">
        <v>254</v>
      </c>
      <c r="C256" s="2" t="str">
        <f t="shared" si="87"/>
        <v>c</v>
      </c>
      <c r="D256" s="29" t="s">
        <v>31</v>
      </c>
      <c r="E256" s="29" t="s">
        <v>181</v>
      </c>
      <c r="F256" s="2" t="s">
        <v>182</v>
      </c>
      <c r="G256" s="2">
        <f t="shared" si="82"/>
        <v>6</v>
      </c>
      <c r="H256" s="2" t="str">
        <f t="shared" si="72"/>
        <v>--</v>
      </c>
      <c r="I256" s="38">
        <f t="shared" si="75"/>
        <v>0</v>
      </c>
      <c r="J256" s="33">
        <f t="shared" si="76"/>
        <v>95</v>
      </c>
      <c r="K256" s="33">
        <f t="shared" si="92"/>
        <v>0</v>
      </c>
      <c r="L256" s="33">
        <f t="shared" si="92"/>
        <v>0</v>
      </c>
      <c r="M256" s="33">
        <f t="shared" si="92"/>
        <v>0</v>
      </c>
      <c r="N256" s="33">
        <f t="shared" si="73"/>
        <v>0</v>
      </c>
      <c r="O256" s="33">
        <f t="shared" si="92"/>
        <v>0</v>
      </c>
      <c r="P256" s="33">
        <f t="shared" si="92"/>
        <v>0</v>
      </c>
      <c r="Q256" s="33">
        <f t="shared" si="92"/>
        <v>0</v>
      </c>
      <c r="R256" s="35">
        <f t="shared" si="77"/>
        <v>0</v>
      </c>
      <c r="S256" s="35">
        <f t="shared" si="78"/>
        <v>0</v>
      </c>
      <c r="T256" s="35">
        <f t="shared" si="79"/>
        <v>0</v>
      </c>
      <c r="U256" s="35">
        <f t="shared" si="74"/>
        <v>0</v>
      </c>
      <c r="V256" s="35">
        <f t="shared" si="93"/>
        <v>0</v>
      </c>
      <c r="W256" s="35">
        <f t="shared" si="93"/>
        <v>0</v>
      </c>
      <c r="X256" s="35">
        <f t="shared" si="93"/>
        <v>0</v>
      </c>
      <c r="Y256" s="35">
        <f t="shared" si="93"/>
        <v>0</v>
      </c>
      <c r="Z256" s="35">
        <f t="shared" si="93"/>
        <v>0</v>
      </c>
      <c r="AA256" s="35">
        <f t="shared" si="93"/>
        <v>0</v>
      </c>
    </row>
    <row r="257" spans="2:27" x14ac:dyDescent="0.2">
      <c r="B257" s="2">
        <v>255</v>
      </c>
      <c r="C257" s="2" t="str">
        <f t="shared" si="87"/>
        <v>c</v>
      </c>
      <c r="D257" s="29" t="s">
        <v>31</v>
      </c>
      <c r="E257" s="29" t="s">
        <v>181</v>
      </c>
      <c r="F257" s="2" t="s">
        <v>182</v>
      </c>
      <c r="G257" s="2">
        <f t="shared" si="82"/>
        <v>7</v>
      </c>
      <c r="H257" s="2" t="str">
        <f t="shared" si="72"/>
        <v>--</v>
      </c>
      <c r="I257" s="38">
        <f t="shared" si="75"/>
        <v>0</v>
      </c>
      <c r="J257" s="33">
        <f t="shared" si="76"/>
        <v>111</v>
      </c>
      <c r="K257" s="33">
        <f t="shared" si="92"/>
        <v>0</v>
      </c>
      <c r="L257" s="33">
        <f t="shared" si="92"/>
        <v>0</v>
      </c>
      <c r="M257" s="33">
        <f t="shared" si="92"/>
        <v>0</v>
      </c>
      <c r="N257" s="33">
        <f t="shared" si="73"/>
        <v>0</v>
      </c>
      <c r="O257" s="33">
        <f t="shared" si="92"/>
        <v>0</v>
      </c>
      <c r="P257" s="33">
        <f t="shared" si="92"/>
        <v>0</v>
      </c>
      <c r="Q257" s="33">
        <f t="shared" si="92"/>
        <v>0</v>
      </c>
      <c r="R257" s="35">
        <f t="shared" si="77"/>
        <v>0</v>
      </c>
      <c r="S257" s="35">
        <f t="shared" si="78"/>
        <v>0</v>
      </c>
      <c r="T257" s="35">
        <f t="shared" si="79"/>
        <v>0</v>
      </c>
      <c r="U257" s="35">
        <f t="shared" si="74"/>
        <v>0</v>
      </c>
      <c r="V257" s="35">
        <f t="shared" si="93"/>
        <v>0</v>
      </c>
      <c r="W257" s="35">
        <f t="shared" si="93"/>
        <v>0</v>
      </c>
      <c r="X257" s="35">
        <f t="shared" si="93"/>
        <v>0</v>
      </c>
      <c r="Y257" s="35">
        <f t="shared" si="93"/>
        <v>0</v>
      </c>
      <c r="Z257" s="35">
        <f t="shared" si="93"/>
        <v>0</v>
      </c>
      <c r="AA257" s="35">
        <f t="shared" si="93"/>
        <v>0</v>
      </c>
    </row>
    <row r="258" spans="2:27" x14ac:dyDescent="0.2">
      <c r="B258" s="2">
        <v>256</v>
      </c>
      <c r="C258" s="2" t="str">
        <f t="shared" si="87"/>
        <v>c</v>
      </c>
      <c r="D258" s="29" t="s">
        <v>31</v>
      </c>
      <c r="E258" s="29" t="s">
        <v>181</v>
      </c>
      <c r="F258" s="2" t="s">
        <v>182</v>
      </c>
      <c r="G258" s="2">
        <f t="shared" si="82"/>
        <v>8</v>
      </c>
      <c r="H258" s="2" t="str">
        <f t="shared" si="72"/>
        <v>--</v>
      </c>
      <c r="I258" s="38">
        <f t="shared" si="75"/>
        <v>0</v>
      </c>
      <c r="J258" s="33">
        <f t="shared" si="76"/>
        <v>127</v>
      </c>
      <c r="K258" s="33">
        <f t="shared" si="92"/>
        <v>0</v>
      </c>
      <c r="L258" s="33">
        <f t="shared" si="92"/>
        <v>0</v>
      </c>
      <c r="M258" s="33">
        <f t="shared" si="92"/>
        <v>0</v>
      </c>
      <c r="N258" s="33">
        <f t="shared" si="73"/>
        <v>0</v>
      </c>
      <c r="O258" s="33">
        <f t="shared" si="92"/>
        <v>0</v>
      </c>
      <c r="P258" s="33">
        <f t="shared" si="92"/>
        <v>0</v>
      </c>
      <c r="Q258" s="33">
        <f t="shared" si="92"/>
        <v>0</v>
      </c>
      <c r="R258" s="35">
        <f t="shared" si="77"/>
        <v>0</v>
      </c>
      <c r="S258" s="35">
        <f t="shared" si="78"/>
        <v>0</v>
      </c>
      <c r="T258" s="35">
        <f t="shared" si="79"/>
        <v>0</v>
      </c>
      <c r="U258" s="35">
        <f t="shared" si="74"/>
        <v>0</v>
      </c>
      <c r="V258" s="35">
        <f t="shared" si="93"/>
        <v>0</v>
      </c>
      <c r="W258" s="35">
        <f t="shared" si="93"/>
        <v>0</v>
      </c>
      <c r="X258" s="35">
        <f t="shared" si="93"/>
        <v>0</v>
      </c>
      <c r="Y258" s="35">
        <f t="shared" si="93"/>
        <v>0</v>
      </c>
      <c r="Z258" s="35">
        <f t="shared" si="93"/>
        <v>0</v>
      </c>
      <c r="AA258" s="35">
        <f t="shared" si="93"/>
        <v>0</v>
      </c>
    </row>
    <row r="259" spans="2:27" x14ac:dyDescent="0.2">
      <c r="B259" s="2">
        <v>257</v>
      </c>
      <c r="C259" s="2" t="str">
        <f t="shared" si="87"/>
        <v>s</v>
      </c>
      <c r="D259" s="29" t="s">
        <v>31</v>
      </c>
      <c r="E259" s="29" t="s">
        <v>181</v>
      </c>
      <c r="F259" s="2" t="s">
        <v>183</v>
      </c>
      <c r="G259" s="2">
        <f t="shared" si="82"/>
        <v>1</v>
      </c>
      <c r="H259" s="2" t="str">
        <f t="shared" ref="H259:H322" si="94">IF(C259="c","--",VLOOKUP(F259,role_property_weight,17,FALSE))</f>
        <v>电击</v>
      </c>
      <c r="I259" s="38">
        <f t="shared" si="75"/>
        <v>0.1</v>
      </c>
      <c r="J259" s="33">
        <f t="shared" si="76"/>
        <v>15</v>
      </c>
      <c r="K259" s="33">
        <f t="shared" si="92"/>
        <v>8</v>
      </c>
      <c r="L259" s="33">
        <f t="shared" si="92"/>
        <v>1</v>
      </c>
      <c r="M259" s="33">
        <f t="shared" si="92"/>
        <v>6</v>
      </c>
      <c r="N259" s="33">
        <f t="shared" ref="N259:N322" si="95">ROUNDUP((1+VLOOKUP($F259,role_property_weight,getpos(N$2),FALSE))*(1+VLOOKUP($F259,weapon_property_weight,getpos(N$2),FALSE))*VLOOKUP($E259,role_grow,getpos(N$2),FALSE)*$G259*10*VLOOKUP($C259,weapon_grow1,5,FALSE),0)</f>
        <v>14</v>
      </c>
      <c r="O259" s="33">
        <f t="shared" si="92"/>
        <v>11</v>
      </c>
      <c r="P259" s="33">
        <f t="shared" si="92"/>
        <v>2</v>
      </c>
      <c r="Q259" s="33">
        <f t="shared" si="92"/>
        <v>5</v>
      </c>
      <c r="R259" s="35">
        <f t="shared" si="77"/>
        <v>1.6666666666666666E-2</v>
      </c>
      <c r="S259" s="35">
        <f t="shared" si="78"/>
        <v>6.6666666666666662E-3</v>
      </c>
      <c r="T259" s="35">
        <f t="shared" si="79"/>
        <v>1.6666666666666666E-2</v>
      </c>
      <c r="U259" s="35">
        <f t="shared" ref="U259:U322" si="96">1-200/(200+ROUND((1+VLOOKUP($F259,role_property_weight,getpos(U$2),FALSE))*VLOOKUP($E259,role_grow,getpos(U$2),FALSE)*$G259*10*VLOOKUP($C259,weapon_grow1,5,FALSE),0))</f>
        <v>9.9009900990099098E-3</v>
      </c>
      <c r="V259" s="35">
        <f t="shared" si="93"/>
        <v>9.9009900990099098E-3</v>
      </c>
      <c r="W259" s="35">
        <f t="shared" si="93"/>
        <v>9.9009900990099098E-3</v>
      </c>
      <c r="X259" s="35">
        <f t="shared" si="93"/>
        <v>9.9009900990099098E-3</v>
      </c>
      <c r="Y259" s="35">
        <f t="shared" si="93"/>
        <v>9.9009900990099098E-3</v>
      </c>
      <c r="Z259" s="35">
        <f t="shared" si="93"/>
        <v>9.9009900990099098E-3</v>
      </c>
      <c r="AA259" s="35">
        <f t="shared" si="93"/>
        <v>5.6603773584905648E-2</v>
      </c>
    </row>
    <row r="260" spans="2:27" x14ac:dyDescent="0.2">
      <c r="B260" s="2">
        <v>258</v>
      </c>
      <c r="C260" s="2" t="str">
        <f t="shared" si="87"/>
        <v>s</v>
      </c>
      <c r="D260" s="29" t="s">
        <v>31</v>
      </c>
      <c r="E260" s="29" t="s">
        <v>181</v>
      </c>
      <c r="F260" s="2" t="s">
        <v>183</v>
      </c>
      <c r="G260" s="2">
        <f t="shared" si="82"/>
        <v>2</v>
      </c>
      <c r="H260" s="2" t="str">
        <f t="shared" si="94"/>
        <v>电击</v>
      </c>
      <c r="I260" s="38">
        <f t="shared" ref="I260:I323" si="97">IF(H260="--",0,IF((SUM(J260:Q260)/11)%&lt;10%,10%,(SUM(J260:Q260)/11)%))</f>
        <v>0.11818181818181818</v>
      </c>
      <c r="J260" s="33">
        <f t="shared" ref="J260:J323" si="98">INT((1+VLOOKUP($F260,role_property_weight,getpos(J$2),FALSE))*(1+VLOOKUP(F260,weapon_property_weight,getpos(J$2),FALSE))*VLOOKUP($E260,role_grow,getpos(J$2),FALSE)*$G260*10*VLOOKUP($C260,weapon_grow1,4,FALSE))</f>
        <v>31</v>
      </c>
      <c r="K260" s="33">
        <f t="shared" si="92"/>
        <v>17</v>
      </c>
      <c r="L260" s="33">
        <f t="shared" si="92"/>
        <v>3</v>
      </c>
      <c r="M260" s="33">
        <f t="shared" si="92"/>
        <v>13</v>
      </c>
      <c r="N260" s="33">
        <f t="shared" si="95"/>
        <v>28</v>
      </c>
      <c r="O260" s="33">
        <f t="shared" si="92"/>
        <v>23</v>
      </c>
      <c r="P260" s="33">
        <f t="shared" si="92"/>
        <v>5</v>
      </c>
      <c r="Q260" s="33">
        <f t="shared" si="92"/>
        <v>10</v>
      </c>
      <c r="R260" s="35">
        <f t="shared" ref="R260:R323" si="99">(Q260/3)%</f>
        <v>3.3333333333333333E-2</v>
      </c>
      <c r="S260" s="35">
        <f t="shared" ref="S260:S323" si="100">(P260/3)%</f>
        <v>1.6666666666666666E-2</v>
      </c>
      <c r="T260" s="35">
        <f t="shared" ref="T260:T323" si="101">(Q260/3)%</f>
        <v>3.3333333333333333E-2</v>
      </c>
      <c r="U260" s="35">
        <f t="shared" si="96"/>
        <v>1.9607843137254943E-2</v>
      </c>
      <c r="V260" s="35">
        <f t="shared" si="93"/>
        <v>1.9607843137254943E-2</v>
      </c>
      <c r="W260" s="35">
        <f t="shared" si="93"/>
        <v>1.9607843137254943E-2</v>
      </c>
      <c r="X260" s="35">
        <f t="shared" si="93"/>
        <v>1.9607843137254943E-2</v>
      </c>
      <c r="Y260" s="35">
        <f t="shared" si="93"/>
        <v>1.9607843137254943E-2</v>
      </c>
      <c r="Z260" s="35">
        <f t="shared" si="93"/>
        <v>1.9607843137254943E-2</v>
      </c>
      <c r="AA260" s="35">
        <f t="shared" si="93"/>
        <v>0.1071428571428571</v>
      </c>
    </row>
    <row r="261" spans="2:27" x14ac:dyDescent="0.2">
      <c r="B261" s="2">
        <v>259</v>
      </c>
      <c r="C261" s="2" t="str">
        <f t="shared" si="87"/>
        <v>s</v>
      </c>
      <c r="D261" s="29" t="s">
        <v>31</v>
      </c>
      <c r="E261" s="29" t="s">
        <v>181</v>
      </c>
      <c r="F261" s="2" t="s">
        <v>183</v>
      </c>
      <c r="G261" s="2">
        <f t="shared" si="82"/>
        <v>3</v>
      </c>
      <c r="H261" s="2" t="str">
        <f t="shared" si="94"/>
        <v>电击</v>
      </c>
      <c r="I261" s="38">
        <f t="shared" si="97"/>
        <v>0.18</v>
      </c>
      <c r="J261" s="33">
        <f t="shared" si="98"/>
        <v>47</v>
      </c>
      <c r="K261" s="33">
        <f t="shared" si="92"/>
        <v>26</v>
      </c>
      <c r="L261" s="33">
        <f t="shared" si="92"/>
        <v>4</v>
      </c>
      <c r="M261" s="33">
        <f t="shared" si="92"/>
        <v>20</v>
      </c>
      <c r="N261" s="33">
        <f t="shared" si="95"/>
        <v>42</v>
      </c>
      <c r="O261" s="33">
        <f t="shared" si="92"/>
        <v>35</v>
      </c>
      <c r="P261" s="33">
        <f t="shared" si="92"/>
        <v>8</v>
      </c>
      <c r="Q261" s="33">
        <f t="shared" si="92"/>
        <v>16</v>
      </c>
      <c r="R261" s="35">
        <f t="shared" si="99"/>
        <v>5.333333333333333E-2</v>
      </c>
      <c r="S261" s="35">
        <f t="shared" si="100"/>
        <v>2.6666666666666665E-2</v>
      </c>
      <c r="T261" s="35">
        <f t="shared" si="101"/>
        <v>5.333333333333333E-2</v>
      </c>
      <c r="U261" s="35">
        <f t="shared" si="96"/>
        <v>2.9126213592232997E-2</v>
      </c>
      <c r="V261" s="35">
        <f t="shared" si="93"/>
        <v>2.9126213592232997E-2</v>
      </c>
      <c r="W261" s="35">
        <f t="shared" si="93"/>
        <v>2.9126213592232997E-2</v>
      </c>
      <c r="X261" s="35">
        <f t="shared" si="93"/>
        <v>2.9126213592232997E-2</v>
      </c>
      <c r="Y261" s="35">
        <f t="shared" si="93"/>
        <v>2.9126213592232997E-2</v>
      </c>
      <c r="Z261" s="35">
        <f t="shared" si="93"/>
        <v>2.9126213592232997E-2</v>
      </c>
      <c r="AA261" s="35">
        <f t="shared" si="93"/>
        <v>0.14893617021276595</v>
      </c>
    </row>
    <row r="262" spans="2:27" x14ac:dyDescent="0.2">
      <c r="B262" s="2">
        <v>260</v>
      </c>
      <c r="C262" s="2" t="str">
        <f t="shared" si="87"/>
        <v>s</v>
      </c>
      <c r="D262" s="29" t="s">
        <v>31</v>
      </c>
      <c r="E262" s="29" t="s">
        <v>181</v>
      </c>
      <c r="F262" s="2" t="s">
        <v>183</v>
      </c>
      <c r="G262" s="2">
        <f t="shared" si="82"/>
        <v>4</v>
      </c>
      <c r="H262" s="2" t="str">
        <f t="shared" si="94"/>
        <v>电击</v>
      </c>
      <c r="I262" s="38">
        <f t="shared" si="97"/>
        <v>0.24</v>
      </c>
      <c r="J262" s="33">
        <f t="shared" si="98"/>
        <v>62</v>
      </c>
      <c r="K262" s="33">
        <f t="shared" si="92"/>
        <v>35</v>
      </c>
      <c r="L262" s="33">
        <f t="shared" si="92"/>
        <v>6</v>
      </c>
      <c r="M262" s="33">
        <f t="shared" si="92"/>
        <v>27</v>
      </c>
      <c r="N262" s="33">
        <f t="shared" si="95"/>
        <v>56</v>
      </c>
      <c r="O262" s="33">
        <f t="shared" si="92"/>
        <v>47</v>
      </c>
      <c r="P262" s="33">
        <f t="shared" si="92"/>
        <v>10</v>
      </c>
      <c r="Q262" s="33">
        <f t="shared" si="92"/>
        <v>21</v>
      </c>
      <c r="R262" s="35">
        <f t="shared" si="99"/>
        <v>7.0000000000000007E-2</v>
      </c>
      <c r="S262" s="35">
        <f t="shared" si="100"/>
        <v>3.3333333333333333E-2</v>
      </c>
      <c r="T262" s="35">
        <f t="shared" si="101"/>
        <v>7.0000000000000007E-2</v>
      </c>
      <c r="U262" s="35">
        <f t="shared" si="96"/>
        <v>3.8461538461538436E-2</v>
      </c>
      <c r="V262" s="35">
        <f t="shared" si="93"/>
        <v>3.8461538461538436E-2</v>
      </c>
      <c r="W262" s="35">
        <f t="shared" si="93"/>
        <v>3.8461538461538436E-2</v>
      </c>
      <c r="X262" s="35">
        <f t="shared" si="93"/>
        <v>3.8461538461538436E-2</v>
      </c>
      <c r="Y262" s="35">
        <f t="shared" si="93"/>
        <v>3.8461538461538436E-2</v>
      </c>
      <c r="Z262" s="35">
        <f t="shared" si="93"/>
        <v>3.8461538461538436E-2</v>
      </c>
      <c r="AA262" s="35">
        <f t="shared" si="93"/>
        <v>0.19028340080971662</v>
      </c>
    </row>
    <row r="263" spans="2:27" x14ac:dyDescent="0.2">
      <c r="B263" s="2">
        <v>261</v>
      </c>
      <c r="C263" s="2" t="str">
        <f t="shared" si="87"/>
        <v>s</v>
      </c>
      <c r="D263" s="29" t="s">
        <v>31</v>
      </c>
      <c r="E263" s="29" t="s">
        <v>181</v>
      </c>
      <c r="F263" s="2" t="s">
        <v>183</v>
      </c>
      <c r="G263" s="2">
        <f t="shared" si="82"/>
        <v>5</v>
      </c>
      <c r="H263" s="2" t="str">
        <f t="shared" si="94"/>
        <v>电击</v>
      </c>
      <c r="I263" s="38">
        <f t="shared" si="97"/>
        <v>0.29909090909090907</v>
      </c>
      <c r="J263" s="33">
        <f t="shared" si="98"/>
        <v>78</v>
      </c>
      <c r="K263" s="33">
        <f t="shared" ref="K263:Q272" si="102">INT((1+VLOOKUP($F263,role_property_weight,getpos(K$2),FALSE))*(1+VLOOKUP($F263,weapon_property_weight,getpos(K$2),FALSE))*VLOOKUP($E263,role_grow,getpos(K$2),FALSE)*$G263*10*VLOOKUP($C263,weapon_grow1,5,FALSE))</f>
        <v>44</v>
      </c>
      <c r="L263" s="33">
        <f t="shared" si="102"/>
        <v>7</v>
      </c>
      <c r="M263" s="33">
        <f t="shared" si="102"/>
        <v>34</v>
      </c>
      <c r="N263" s="33">
        <f t="shared" si="95"/>
        <v>69</v>
      </c>
      <c r="O263" s="33">
        <f t="shared" si="102"/>
        <v>58</v>
      </c>
      <c r="P263" s="33">
        <f t="shared" si="102"/>
        <v>13</v>
      </c>
      <c r="Q263" s="33">
        <f t="shared" si="102"/>
        <v>26</v>
      </c>
      <c r="R263" s="35">
        <f t="shared" si="99"/>
        <v>8.6666666666666656E-2</v>
      </c>
      <c r="S263" s="35">
        <f t="shared" si="100"/>
        <v>4.3333333333333328E-2</v>
      </c>
      <c r="T263" s="35">
        <f t="shared" si="101"/>
        <v>8.6666666666666656E-2</v>
      </c>
      <c r="U263" s="35">
        <f t="shared" si="96"/>
        <v>4.7619047619047672E-2</v>
      </c>
      <c r="V263" s="35">
        <f t="shared" ref="V263:AA272" si="103">1-200/(200+ROUND((1+VLOOKUP($F263,role_property_weight,getpos(V$2),FALSE))*VLOOKUP($E263,role_grow,getpos(V$2),FALSE)*$G263*10*VLOOKUP($C263,weapon_grow1,5,FALSE),0))</f>
        <v>4.7619047619047672E-2</v>
      </c>
      <c r="W263" s="35">
        <f t="shared" si="103"/>
        <v>4.7619047619047672E-2</v>
      </c>
      <c r="X263" s="35">
        <f t="shared" si="103"/>
        <v>4.7619047619047672E-2</v>
      </c>
      <c r="Y263" s="35">
        <f t="shared" si="103"/>
        <v>4.7619047619047672E-2</v>
      </c>
      <c r="Z263" s="35">
        <f t="shared" si="103"/>
        <v>4.7619047619047672E-2</v>
      </c>
      <c r="AA263" s="35">
        <f t="shared" si="103"/>
        <v>0.22779922779922779</v>
      </c>
    </row>
    <row r="264" spans="2:27" x14ac:dyDescent="0.2">
      <c r="B264" s="2">
        <v>262</v>
      </c>
      <c r="C264" s="2" t="str">
        <f t="shared" si="87"/>
        <v>s</v>
      </c>
      <c r="D264" s="29" t="s">
        <v>31</v>
      </c>
      <c r="E264" s="29" t="s">
        <v>181</v>
      </c>
      <c r="F264" s="2" t="s">
        <v>183</v>
      </c>
      <c r="G264" s="2">
        <f t="shared" si="82"/>
        <v>6</v>
      </c>
      <c r="H264" s="2" t="str">
        <f t="shared" si="94"/>
        <v>电击</v>
      </c>
      <c r="I264" s="38">
        <f t="shared" si="97"/>
        <v>0.36181818181818182</v>
      </c>
      <c r="J264" s="33">
        <f t="shared" si="98"/>
        <v>94</v>
      </c>
      <c r="K264" s="33">
        <f t="shared" si="102"/>
        <v>53</v>
      </c>
      <c r="L264" s="33">
        <f t="shared" si="102"/>
        <v>9</v>
      </c>
      <c r="M264" s="33">
        <f t="shared" si="102"/>
        <v>41</v>
      </c>
      <c r="N264" s="33">
        <f t="shared" si="95"/>
        <v>83</v>
      </c>
      <c r="O264" s="33">
        <f t="shared" si="102"/>
        <v>70</v>
      </c>
      <c r="P264" s="33">
        <f t="shared" si="102"/>
        <v>16</v>
      </c>
      <c r="Q264" s="33">
        <f t="shared" si="102"/>
        <v>32</v>
      </c>
      <c r="R264" s="35">
        <f t="shared" si="99"/>
        <v>0.10666666666666666</v>
      </c>
      <c r="S264" s="35">
        <f t="shared" si="100"/>
        <v>5.333333333333333E-2</v>
      </c>
      <c r="T264" s="35">
        <f t="shared" si="101"/>
        <v>0.10666666666666666</v>
      </c>
      <c r="U264" s="35">
        <f t="shared" si="96"/>
        <v>5.6603773584905648E-2</v>
      </c>
      <c r="V264" s="35">
        <f t="shared" si="103"/>
        <v>5.6603773584905648E-2</v>
      </c>
      <c r="W264" s="35">
        <f t="shared" si="103"/>
        <v>5.6603773584905648E-2</v>
      </c>
      <c r="X264" s="35">
        <f t="shared" si="103"/>
        <v>5.6603773584905648E-2</v>
      </c>
      <c r="Y264" s="35">
        <f t="shared" si="103"/>
        <v>5.6603773584905648E-2</v>
      </c>
      <c r="Z264" s="35">
        <f t="shared" si="103"/>
        <v>5.6603773584905648E-2</v>
      </c>
      <c r="AA264" s="35">
        <f t="shared" si="103"/>
        <v>0.26199261992619927</v>
      </c>
    </row>
    <row r="265" spans="2:27" x14ac:dyDescent="0.2">
      <c r="B265" s="2">
        <v>263</v>
      </c>
      <c r="C265" s="2" t="str">
        <f t="shared" si="87"/>
        <v>s</v>
      </c>
      <c r="D265" s="29" t="s">
        <v>31</v>
      </c>
      <c r="E265" s="29" t="s">
        <v>181</v>
      </c>
      <c r="F265" s="2" t="s">
        <v>183</v>
      </c>
      <c r="G265" s="2">
        <f t="shared" si="82"/>
        <v>7</v>
      </c>
      <c r="H265" s="2" t="str">
        <f t="shared" si="94"/>
        <v>电击</v>
      </c>
      <c r="I265" s="38">
        <f t="shared" si="97"/>
        <v>0.42181818181818181</v>
      </c>
      <c r="J265" s="33">
        <f t="shared" si="98"/>
        <v>109</v>
      </c>
      <c r="K265" s="33">
        <f t="shared" si="102"/>
        <v>62</v>
      </c>
      <c r="L265" s="33">
        <f t="shared" si="102"/>
        <v>10</v>
      </c>
      <c r="M265" s="33">
        <f t="shared" si="102"/>
        <v>48</v>
      </c>
      <c r="N265" s="33">
        <f t="shared" si="95"/>
        <v>97</v>
      </c>
      <c r="O265" s="33">
        <f t="shared" si="102"/>
        <v>82</v>
      </c>
      <c r="P265" s="33">
        <f t="shared" si="102"/>
        <v>19</v>
      </c>
      <c r="Q265" s="33">
        <f t="shared" si="102"/>
        <v>37</v>
      </c>
      <c r="R265" s="35">
        <f t="shared" si="99"/>
        <v>0.12333333333333334</v>
      </c>
      <c r="S265" s="35">
        <f t="shared" si="100"/>
        <v>6.3333333333333325E-2</v>
      </c>
      <c r="T265" s="35">
        <f t="shared" si="101"/>
        <v>0.12333333333333334</v>
      </c>
      <c r="U265" s="35">
        <f t="shared" si="96"/>
        <v>6.5420560747663559E-2</v>
      </c>
      <c r="V265" s="35">
        <f t="shared" si="103"/>
        <v>6.5420560747663559E-2</v>
      </c>
      <c r="W265" s="35">
        <f t="shared" si="103"/>
        <v>6.5420560747663559E-2</v>
      </c>
      <c r="X265" s="35">
        <f t="shared" si="103"/>
        <v>6.5420560747663559E-2</v>
      </c>
      <c r="Y265" s="35">
        <f t="shared" si="103"/>
        <v>6.5420560747663559E-2</v>
      </c>
      <c r="Z265" s="35">
        <f t="shared" si="103"/>
        <v>6.5420560747663559E-2</v>
      </c>
      <c r="AA265" s="35">
        <f t="shared" si="103"/>
        <v>0.29078014184397161</v>
      </c>
    </row>
    <row r="266" spans="2:27" x14ac:dyDescent="0.2">
      <c r="B266" s="2">
        <v>264</v>
      </c>
      <c r="C266" s="2" t="str">
        <f t="shared" si="87"/>
        <v>s</v>
      </c>
      <c r="D266" s="29" t="s">
        <v>31</v>
      </c>
      <c r="E266" s="29" t="s">
        <v>181</v>
      </c>
      <c r="F266" s="2" t="s">
        <v>183</v>
      </c>
      <c r="G266" s="2">
        <f t="shared" si="82"/>
        <v>8</v>
      </c>
      <c r="H266" s="2" t="str">
        <f t="shared" si="94"/>
        <v>电击</v>
      </c>
      <c r="I266" s="38">
        <f t="shared" si="97"/>
        <v>0.48272727272727273</v>
      </c>
      <c r="J266" s="33">
        <f t="shared" si="98"/>
        <v>125</v>
      </c>
      <c r="K266" s="33">
        <f t="shared" si="102"/>
        <v>71</v>
      </c>
      <c r="L266" s="33">
        <f t="shared" si="102"/>
        <v>12</v>
      </c>
      <c r="M266" s="33">
        <f t="shared" si="102"/>
        <v>55</v>
      </c>
      <c r="N266" s="33">
        <f t="shared" si="95"/>
        <v>111</v>
      </c>
      <c r="O266" s="33">
        <f t="shared" si="102"/>
        <v>94</v>
      </c>
      <c r="P266" s="33">
        <f t="shared" si="102"/>
        <v>21</v>
      </c>
      <c r="Q266" s="33">
        <f t="shared" si="102"/>
        <v>42</v>
      </c>
      <c r="R266" s="35">
        <f t="shared" si="99"/>
        <v>0.14000000000000001</v>
      </c>
      <c r="S266" s="35">
        <f t="shared" si="100"/>
        <v>7.0000000000000007E-2</v>
      </c>
      <c r="T266" s="35">
        <f t="shared" si="101"/>
        <v>0.14000000000000001</v>
      </c>
      <c r="U266" s="35">
        <f t="shared" si="96"/>
        <v>7.407407407407407E-2</v>
      </c>
      <c r="V266" s="35">
        <f t="shared" si="103"/>
        <v>7.407407407407407E-2</v>
      </c>
      <c r="W266" s="35">
        <f t="shared" si="103"/>
        <v>7.407407407407407E-2</v>
      </c>
      <c r="X266" s="35">
        <f t="shared" si="103"/>
        <v>7.407407407407407E-2</v>
      </c>
      <c r="Y266" s="35">
        <f t="shared" si="103"/>
        <v>7.407407407407407E-2</v>
      </c>
      <c r="Z266" s="35">
        <f t="shared" si="103"/>
        <v>7.407407407407407E-2</v>
      </c>
      <c r="AA266" s="35">
        <f t="shared" si="103"/>
        <v>0.31972789115646261</v>
      </c>
    </row>
    <row r="267" spans="2:27" x14ac:dyDescent="0.2">
      <c r="B267" s="2">
        <v>265</v>
      </c>
      <c r="C267" s="2" t="str">
        <f t="shared" si="87"/>
        <v>a</v>
      </c>
      <c r="D267" s="29" t="s">
        <v>31</v>
      </c>
      <c r="E267" s="29" t="s">
        <v>181</v>
      </c>
      <c r="F267" s="2" t="s">
        <v>183</v>
      </c>
      <c r="G267" s="2">
        <f t="shared" si="82"/>
        <v>1</v>
      </c>
      <c r="H267" s="2" t="str">
        <f t="shared" si="94"/>
        <v>电击</v>
      </c>
      <c r="I267" s="38">
        <f t="shared" si="97"/>
        <v>0.1</v>
      </c>
      <c r="J267" s="33">
        <f t="shared" si="98"/>
        <v>12</v>
      </c>
      <c r="K267" s="33">
        <f t="shared" si="102"/>
        <v>9</v>
      </c>
      <c r="L267" s="33">
        <f t="shared" si="102"/>
        <v>1</v>
      </c>
      <c r="M267" s="33">
        <f t="shared" si="102"/>
        <v>7</v>
      </c>
      <c r="N267" s="33">
        <f t="shared" si="95"/>
        <v>15</v>
      </c>
      <c r="O267" s="33">
        <f t="shared" si="102"/>
        <v>12</v>
      </c>
      <c r="P267" s="33">
        <f t="shared" si="102"/>
        <v>2</v>
      </c>
      <c r="Q267" s="33">
        <f t="shared" si="102"/>
        <v>5</v>
      </c>
      <c r="R267" s="35">
        <f t="shared" si="99"/>
        <v>1.6666666666666666E-2</v>
      </c>
      <c r="S267" s="35">
        <f t="shared" si="100"/>
        <v>6.6666666666666662E-3</v>
      </c>
      <c r="T267" s="35">
        <f t="shared" si="101"/>
        <v>1.6666666666666666E-2</v>
      </c>
      <c r="U267" s="35">
        <f t="shared" si="96"/>
        <v>9.9009900990099098E-3</v>
      </c>
      <c r="V267" s="35">
        <f t="shared" si="103"/>
        <v>9.9009900990099098E-3</v>
      </c>
      <c r="W267" s="35">
        <f t="shared" si="103"/>
        <v>9.9009900990099098E-3</v>
      </c>
      <c r="X267" s="35">
        <f t="shared" si="103"/>
        <v>9.9009900990099098E-3</v>
      </c>
      <c r="Y267" s="35">
        <f t="shared" si="103"/>
        <v>9.9009900990099098E-3</v>
      </c>
      <c r="Z267" s="35">
        <f t="shared" si="103"/>
        <v>9.9009900990099098E-3</v>
      </c>
      <c r="AA267" s="35">
        <f t="shared" si="103"/>
        <v>5.6603773584905648E-2</v>
      </c>
    </row>
    <row r="268" spans="2:27" x14ac:dyDescent="0.2">
      <c r="B268" s="2">
        <v>266</v>
      </c>
      <c r="C268" s="2" t="str">
        <f t="shared" si="87"/>
        <v>a</v>
      </c>
      <c r="D268" s="29" t="s">
        <v>31</v>
      </c>
      <c r="E268" s="29" t="s">
        <v>181</v>
      </c>
      <c r="F268" s="2" t="s">
        <v>183</v>
      </c>
      <c r="G268" s="2">
        <f t="shared" ref="G268:G331" si="104">G260</f>
        <v>2</v>
      </c>
      <c r="H268" s="2" t="str">
        <f t="shared" si="94"/>
        <v>电击</v>
      </c>
      <c r="I268" s="38">
        <f t="shared" si="97"/>
        <v>0.11727272727272726</v>
      </c>
      <c r="J268" s="33">
        <f t="shared" si="98"/>
        <v>24</v>
      </c>
      <c r="K268" s="33">
        <f t="shared" si="102"/>
        <v>18</v>
      </c>
      <c r="L268" s="33">
        <f t="shared" si="102"/>
        <v>3</v>
      </c>
      <c r="M268" s="33">
        <f t="shared" si="102"/>
        <v>14</v>
      </c>
      <c r="N268" s="33">
        <f t="shared" si="95"/>
        <v>30</v>
      </c>
      <c r="O268" s="33">
        <f t="shared" si="102"/>
        <v>24</v>
      </c>
      <c r="P268" s="33">
        <f t="shared" si="102"/>
        <v>5</v>
      </c>
      <c r="Q268" s="33">
        <f t="shared" si="102"/>
        <v>11</v>
      </c>
      <c r="R268" s="35">
        <f t="shared" si="99"/>
        <v>3.6666666666666667E-2</v>
      </c>
      <c r="S268" s="35">
        <f t="shared" si="100"/>
        <v>1.6666666666666666E-2</v>
      </c>
      <c r="T268" s="35">
        <f t="shared" si="101"/>
        <v>3.6666666666666667E-2</v>
      </c>
      <c r="U268" s="35">
        <f t="shared" si="96"/>
        <v>1.9607843137254943E-2</v>
      </c>
      <c r="V268" s="35">
        <f t="shared" si="103"/>
        <v>1.9607843137254943E-2</v>
      </c>
      <c r="W268" s="35">
        <f t="shared" si="103"/>
        <v>1.9607843137254943E-2</v>
      </c>
      <c r="X268" s="35">
        <f t="shared" si="103"/>
        <v>1.9607843137254943E-2</v>
      </c>
      <c r="Y268" s="35">
        <f t="shared" si="103"/>
        <v>1.9607843137254943E-2</v>
      </c>
      <c r="Z268" s="35">
        <f t="shared" si="103"/>
        <v>1.9607843137254943E-2</v>
      </c>
      <c r="AA268" s="35">
        <f t="shared" si="103"/>
        <v>0.11111111111111116</v>
      </c>
    </row>
    <row r="269" spans="2:27" x14ac:dyDescent="0.2">
      <c r="B269" s="2">
        <v>267</v>
      </c>
      <c r="C269" s="2" t="str">
        <f t="shared" si="87"/>
        <v>a</v>
      </c>
      <c r="D269" s="29" t="s">
        <v>31</v>
      </c>
      <c r="E269" s="29" t="s">
        <v>181</v>
      </c>
      <c r="F269" s="2" t="s">
        <v>183</v>
      </c>
      <c r="G269" s="2">
        <f t="shared" si="104"/>
        <v>3</v>
      </c>
      <c r="H269" s="2" t="str">
        <f t="shared" si="94"/>
        <v>电击</v>
      </c>
      <c r="I269" s="38">
        <f t="shared" si="97"/>
        <v>0.17636363636363636</v>
      </c>
      <c r="J269" s="33">
        <f t="shared" si="98"/>
        <v>36</v>
      </c>
      <c r="K269" s="33">
        <f t="shared" si="102"/>
        <v>28</v>
      </c>
      <c r="L269" s="33">
        <f t="shared" si="102"/>
        <v>4</v>
      </c>
      <c r="M269" s="33">
        <f t="shared" si="102"/>
        <v>21</v>
      </c>
      <c r="N269" s="33">
        <f t="shared" si="95"/>
        <v>44</v>
      </c>
      <c r="O269" s="33">
        <f t="shared" si="102"/>
        <v>37</v>
      </c>
      <c r="P269" s="33">
        <f t="shared" si="102"/>
        <v>8</v>
      </c>
      <c r="Q269" s="33">
        <f t="shared" si="102"/>
        <v>16</v>
      </c>
      <c r="R269" s="35">
        <f t="shared" si="99"/>
        <v>5.333333333333333E-2</v>
      </c>
      <c r="S269" s="35">
        <f t="shared" si="100"/>
        <v>2.6666666666666665E-2</v>
      </c>
      <c r="T269" s="35">
        <f t="shared" si="101"/>
        <v>5.333333333333333E-2</v>
      </c>
      <c r="U269" s="35">
        <f t="shared" si="96"/>
        <v>2.9126213592232997E-2</v>
      </c>
      <c r="V269" s="35">
        <f t="shared" si="103"/>
        <v>2.9126213592232997E-2</v>
      </c>
      <c r="W269" s="35">
        <f t="shared" si="103"/>
        <v>2.9126213592232997E-2</v>
      </c>
      <c r="X269" s="35">
        <f t="shared" si="103"/>
        <v>2.9126213592232997E-2</v>
      </c>
      <c r="Y269" s="35">
        <f t="shared" si="103"/>
        <v>2.9126213592232997E-2</v>
      </c>
      <c r="Z269" s="35">
        <f t="shared" si="103"/>
        <v>2.9126213592232997E-2</v>
      </c>
      <c r="AA269" s="35">
        <f t="shared" si="103"/>
        <v>0.15611814345991559</v>
      </c>
    </row>
    <row r="270" spans="2:27" x14ac:dyDescent="0.2">
      <c r="B270" s="2">
        <v>268</v>
      </c>
      <c r="C270" s="2" t="str">
        <f t="shared" si="87"/>
        <v>a</v>
      </c>
      <c r="D270" s="29" t="s">
        <v>31</v>
      </c>
      <c r="E270" s="29" t="s">
        <v>181</v>
      </c>
      <c r="F270" s="2" t="s">
        <v>183</v>
      </c>
      <c r="G270" s="2">
        <f t="shared" si="104"/>
        <v>4</v>
      </c>
      <c r="H270" s="2" t="str">
        <f t="shared" si="94"/>
        <v>电击</v>
      </c>
      <c r="I270" s="38">
        <f t="shared" si="97"/>
        <v>0.23727272727272727</v>
      </c>
      <c r="J270" s="33">
        <f t="shared" si="98"/>
        <v>48</v>
      </c>
      <c r="K270" s="33">
        <f t="shared" si="102"/>
        <v>37</v>
      </c>
      <c r="L270" s="33">
        <f t="shared" si="102"/>
        <v>6</v>
      </c>
      <c r="M270" s="33">
        <f t="shared" si="102"/>
        <v>29</v>
      </c>
      <c r="N270" s="33">
        <f t="shared" si="95"/>
        <v>59</v>
      </c>
      <c r="O270" s="33">
        <f t="shared" si="102"/>
        <v>49</v>
      </c>
      <c r="P270" s="33">
        <f t="shared" si="102"/>
        <v>11</v>
      </c>
      <c r="Q270" s="33">
        <f t="shared" si="102"/>
        <v>22</v>
      </c>
      <c r="R270" s="35">
        <f t="shared" si="99"/>
        <v>7.3333333333333334E-2</v>
      </c>
      <c r="S270" s="35">
        <f t="shared" si="100"/>
        <v>3.6666666666666667E-2</v>
      </c>
      <c r="T270" s="35">
        <f t="shared" si="101"/>
        <v>7.3333333333333334E-2</v>
      </c>
      <c r="U270" s="35">
        <f t="shared" si="96"/>
        <v>3.8461538461538436E-2</v>
      </c>
      <c r="V270" s="35">
        <f t="shared" si="103"/>
        <v>3.8461538461538436E-2</v>
      </c>
      <c r="W270" s="35">
        <f t="shared" si="103"/>
        <v>3.8461538461538436E-2</v>
      </c>
      <c r="X270" s="35">
        <f t="shared" si="103"/>
        <v>3.8461538461538436E-2</v>
      </c>
      <c r="Y270" s="35">
        <f t="shared" si="103"/>
        <v>3.8461538461538436E-2</v>
      </c>
      <c r="Z270" s="35">
        <f t="shared" si="103"/>
        <v>3.8461538461538436E-2</v>
      </c>
      <c r="AA270" s="35">
        <f t="shared" si="103"/>
        <v>0.19999999999999996</v>
      </c>
    </row>
    <row r="271" spans="2:27" x14ac:dyDescent="0.2">
      <c r="B271" s="2">
        <v>269</v>
      </c>
      <c r="C271" s="2" t="str">
        <f t="shared" si="87"/>
        <v>a</v>
      </c>
      <c r="D271" s="29" t="s">
        <v>31</v>
      </c>
      <c r="E271" s="29" t="s">
        <v>181</v>
      </c>
      <c r="F271" s="2" t="s">
        <v>183</v>
      </c>
      <c r="G271" s="2">
        <f t="shared" si="104"/>
        <v>5</v>
      </c>
      <c r="H271" s="2" t="str">
        <f t="shared" si="94"/>
        <v>电击</v>
      </c>
      <c r="I271" s="38">
        <f t="shared" si="97"/>
        <v>0.29818181818181816</v>
      </c>
      <c r="J271" s="33">
        <f t="shared" si="98"/>
        <v>60</v>
      </c>
      <c r="K271" s="33">
        <f t="shared" si="102"/>
        <v>47</v>
      </c>
      <c r="L271" s="33">
        <f t="shared" si="102"/>
        <v>8</v>
      </c>
      <c r="M271" s="33">
        <f t="shared" si="102"/>
        <v>36</v>
      </c>
      <c r="N271" s="33">
        <f t="shared" si="95"/>
        <v>73</v>
      </c>
      <c r="O271" s="33">
        <f t="shared" si="102"/>
        <v>62</v>
      </c>
      <c r="P271" s="33">
        <f t="shared" si="102"/>
        <v>14</v>
      </c>
      <c r="Q271" s="33">
        <f t="shared" si="102"/>
        <v>28</v>
      </c>
      <c r="R271" s="35">
        <f t="shared" si="99"/>
        <v>9.3333333333333338E-2</v>
      </c>
      <c r="S271" s="35">
        <f t="shared" si="100"/>
        <v>4.6666666666666669E-2</v>
      </c>
      <c r="T271" s="35">
        <f t="shared" si="101"/>
        <v>9.3333333333333338E-2</v>
      </c>
      <c r="U271" s="35">
        <f t="shared" si="96"/>
        <v>4.7619047619047672E-2</v>
      </c>
      <c r="V271" s="35">
        <f t="shared" si="103"/>
        <v>4.7619047619047672E-2</v>
      </c>
      <c r="W271" s="35">
        <f t="shared" si="103"/>
        <v>4.7619047619047672E-2</v>
      </c>
      <c r="X271" s="35">
        <f t="shared" si="103"/>
        <v>4.7619047619047672E-2</v>
      </c>
      <c r="Y271" s="35">
        <f t="shared" si="103"/>
        <v>4.7619047619047672E-2</v>
      </c>
      <c r="Z271" s="35">
        <f t="shared" si="103"/>
        <v>4.7619047619047672E-2</v>
      </c>
      <c r="AA271" s="35">
        <f t="shared" si="103"/>
        <v>0.23664122137404575</v>
      </c>
    </row>
    <row r="272" spans="2:27" x14ac:dyDescent="0.2">
      <c r="B272" s="2">
        <v>270</v>
      </c>
      <c r="C272" s="2" t="str">
        <f t="shared" si="87"/>
        <v>a</v>
      </c>
      <c r="D272" s="29" t="s">
        <v>134</v>
      </c>
      <c r="E272" s="29" t="s">
        <v>181</v>
      </c>
      <c r="F272" s="2" t="s">
        <v>183</v>
      </c>
      <c r="G272" s="2">
        <f t="shared" si="104"/>
        <v>6</v>
      </c>
      <c r="H272" s="2" t="str">
        <f t="shared" si="94"/>
        <v>电击</v>
      </c>
      <c r="I272" s="38">
        <f t="shared" si="97"/>
        <v>0.35636363636363633</v>
      </c>
      <c r="J272" s="33">
        <f t="shared" si="98"/>
        <v>72</v>
      </c>
      <c r="K272" s="33">
        <f t="shared" si="102"/>
        <v>56</v>
      </c>
      <c r="L272" s="33">
        <f t="shared" si="102"/>
        <v>9</v>
      </c>
      <c r="M272" s="33">
        <f t="shared" si="102"/>
        <v>43</v>
      </c>
      <c r="N272" s="33">
        <f t="shared" si="95"/>
        <v>88</v>
      </c>
      <c r="O272" s="33">
        <f t="shared" si="102"/>
        <v>74</v>
      </c>
      <c r="P272" s="33">
        <f t="shared" si="102"/>
        <v>17</v>
      </c>
      <c r="Q272" s="33">
        <f t="shared" si="102"/>
        <v>33</v>
      </c>
      <c r="R272" s="35">
        <f t="shared" si="99"/>
        <v>0.11</v>
      </c>
      <c r="S272" s="35">
        <f t="shared" si="100"/>
        <v>5.6666666666666671E-2</v>
      </c>
      <c r="T272" s="35">
        <f t="shared" si="101"/>
        <v>0.11</v>
      </c>
      <c r="U272" s="35">
        <f t="shared" si="96"/>
        <v>5.6603773584905648E-2</v>
      </c>
      <c r="V272" s="35">
        <f t="shared" si="103"/>
        <v>5.6603773584905648E-2</v>
      </c>
      <c r="W272" s="35">
        <f t="shared" si="103"/>
        <v>5.6603773584905648E-2</v>
      </c>
      <c r="X272" s="35">
        <f t="shared" si="103"/>
        <v>5.6603773584905648E-2</v>
      </c>
      <c r="Y272" s="35">
        <f t="shared" si="103"/>
        <v>5.6603773584905648E-2</v>
      </c>
      <c r="Z272" s="35">
        <f t="shared" si="103"/>
        <v>5.6603773584905648E-2</v>
      </c>
      <c r="AA272" s="35">
        <f t="shared" si="103"/>
        <v>0.27007299270072993</v>
      </c>
    </row>
    <row r="273" spans="2:27" x14ac:dyDescent="0.2">
      <c r="B273" s="2">
        <v>271</v>
      </c>
      <c r="C273" s="2" t="str">
        <f t="shared" si="87"/>
        <v>a</v>
      </c>
      <c r="D273" s="29" t="s">
        <v>31</v>
      </c>
      <c r="E273" s="29" t="s">
        <v>181</v>
      </c>
      <c r="F273" s="2" t="s">
        <v>183</v>
      </c>
      <c r="G273" s="2">
        <f t="shared" si="104"/>
        <v>7</v>
      </c>
      <c r="H273" s="2" t="str">
        <f t="shared" si="94"/>
        <v>电击</v>
      </c>
      <c r="I273" s="38">
        <f t="shared" si="97"/>
        <v>0.41545454545454547</v>
      </c>
      <c r="J273" s="33">
        <f t="shared" si="98"/>
        <v>84</v>
      </c>
      <c r="K273" s="33">
        <f t="shared" ref="K273:Q282" si="105">INT((1+VLOOKUP($F273,role_property_weight,getpos(K$2),FALSE))*(1+VLOOKUP($F273,weapon_property_weight,getpos(K$2),FALSE))*VLOOKUP($E273,role_grow,getpos(K$2),FALSE)*$G273*10*VLOOKUP($C273,weapon_grow1,5,FALSE))</f>
        <v>65</v>
      </c>
      <c r="L273" s="33">
        <f t="shared" si="105"/>
        <v>11</v>
      </c>
      <c r="M273" s="33">
        <f t="shared" si="105"/>
        <v>50</v>
      </c>
      <c r="N273" s="33">
        <f t="shared" si="95"/>
        <v>102</v>
      </c>
      <c r="O273" s="33">
        <f t="shared" si="105"/>
        <v>86</v>
      </c>
      <c r="P273" s="33">
        <f t="shared" si="105"/>
        <v>20</v>
      </c>
      <c r="Q273" s="33">
        <f t="shared" si="105"/>
        <v>39</v>
      </c>
      <c r="R273" s="35">
        <f t="shared" si="99"/>
        <v>0.13</v>
      </c>
      <c r="S273" s="35">
        <f t="shared" si="100"/>
        <v>6.6666666666666666E-2</v>
      </c>
      <c r="T273" s="35">
        <f t="shared" si="101"/>
        <v>0.13</v>
      </c>
      <c r="U273" s="35">
        <f t="shared" si="96"/>
        <v>6.5420560747663559E-2</v>
      </c>
      <c r="V273" s="35">
        <f t="shared" ref="V273:AA282" si="106">1-200/(200+ROUND((1+VLOOKUP($F273,role_property_weight,getpos(V$2),FALSE))*VLOOKUP($E273,role_grow,getpos(V$2),FALSE)*$G273*10*VLOOKUP($C273,weapon_grow1,5,FALSE),0))</f>
        <v>6.5420560747663559E-2</v>
      </c>
      <c r="W273" s="35">
        <f t="shared" si="106"/>
        <v>6.5420560747663559E-2</v>
      </c>
      <c r="X273" s="35">
        <f t="shared" si="106"/>
        <v>6.5420560747663559E-2</v>
      </c>
      <c r="Y273" s="35">
        <f t="shared" si="106"/>
        <v>6.5420560747663559E-2</v>
      </c>
      <c r="Z273" s="35">
        <f t="shared" si="106"/>
        <v>6.5420560747663559E-2</v>
      </c>
      <c r="AA273" s="35">
        <f t="shared" si="106"/>
        <v>0.30313588850174211</v>
      </c>
    </row>
    <row r="274" spans="2:27" x14ac:dyDescent="0.2">
      <c r="B274" s="2">
        <v>272</v>
      </c>
      <c r="C274" s="2" t="str">
        <f t="shared" si="87"/>
        <v>a</v>
      </c>
      <c r="D274" s="29" t="s">
        <v>31</v>
      </c>
      <c r="E274" s="29" t="s">
        <v>181</v>
      </c>
      <c r="F274" s="2" t="s">
        <v>183</v>
      </c>
      <c r="G274" s="2">
        <f t="shared" si="104"/>
        <v>8</v>
      </c>
      <c r="H274" s="2" t="str">
        <f t="shared" si="94"/>
        <v>电击</v>
      </c>
      <c r="I274" s="38">
        <f t="shared" si="97"/>
        <v>0.47818181818181821</v>
      </c>
      <c r="J274" s="33">
        <f t="shared" si="98"/>
        <v>96</v>
      </c>
      <c r="K274" s="33">
        <f t="shared" si="105"/>
        <v>75</v>
      </c>
      <c r="L274" s="33">
        <f t="shared" si="105"/>
        <v>13</v>
      </c>
      <c r="M274" s="33">
        <f t="shared" si="105"/>
        <v>58</v>
      </c>
      <c r="N274" s="33">
        <f t="shared" si="95"/>
        <v>117</v>
      </c>
      <c r="O274" s="33">
        <f t="shared" si="105"/>
        <v>99</v>
      </c>
      <c r="P274" s="33">
        <f t="shared" si="105"/>
        <v>23</v>
      </c>
      <c r="Q274" s="33">
        <f t="shared" si="105"/>
        <v>45</v>
      </c>
      <c r="R274" s="35">
        <f t="shared" si="99"/>
        <v>0.15</v>
      </c>
      <c r="S274" s="35">
        <f t="shared" si="100"/>
        <v>7.6666666666666675E-2</v>
      </c>
      <c r="T274" s="35">
        <f t="shared" si="101"/>
        <v>0.15</v>
      </c>
      <c r="U274" s="35">
        <f t="shared" si="96"/>
        <v>7.8341013824884786E-2</v>
      </c>
      <c r="V274" s="35">
        <f t="shared" si="106"/>
        <v>7.8341013824884786E-2</v>
      </c>
      <c r="W274" s="35">
        <f t="shared" si="106"/>
        <v>7.8341013824884786E-2</v>
      </c>
      <c r="X274" s="35">
        <f t="shared" si="106"/>
        <v>7.8341013824884786E-2</v>
      </c>
      <c r="Y274" s="35">
        <f t="shared" si="106"/>
        <v>7.8341013824884786E-2</v>
      </c>
      <c r="Z274" s="35">
        <f t="shared" si="106"/>
        <v>7.8341013824884786E-2</v>
      </c>
      <c r="AA274" s="35">
        <f t="shared" si="106"/>
        <v>0.33110367892976589</v>
      </c>
    </row>
    <row r="275" spans="2:27" x14ac:dyDescent="0.2">
      <c r="B275" s="2">
        <v>273</v>
      </c>
      <c r="C275" s="2" t="str">
        <f t="shared" si="87"/>
        <v>b</v>
      </c>
      <c r="D275" s="29" t="s">
        <v>31</v>
      </c>
      <c r="E275" s="29" t="s">
        <v>181</v>
      </c>
      <c r="F275" s="2" t="s">
        <v>183</v>
      </c>
      <c r="G275" s="2">
        <f t="shared" si="104"/>
        <v>1</v>
      </c>
      <c r="H275" s="2" t="str">
        <f t="shared" si="94"/>
        <v>电击</v>
      </c>
      <c r="I275" s="38">
        <f t="shared" si="97"/>
        <v>0.1</v>
      </c>
      <c r="J275" s="33">
        <f t="shared" si="98"/>
        <v>12</v>
      </c>
      <c r="K275" s="33">
        <f t="shared" si="105"/>
        <v>11</v>
      </c>
      <c r="L275" s="33">
        <f t="shared" si="105"/>
        <v>2</v>
      </c>
      <c r="M275" s="33">
        <f t="shared" si="105"/>
        <v>9</v>
      </c>
      <c r="N275" s="33">
        <f t="shared" si="95"/>
        <v>19</v>
      </c>
      <c r="O275" s="33">
        <f t="shared" si="105"/>
        <v>15</v>
      </c>
      <c r="P275" s="33">
        <f t="shared" si="105"/>
        <v>3</v>
      </c>
      <c r="Q275" s="33">
        <f t="shared" si="105"/>
        <v>7</v>
      </c>
      <c r="R275" s="35">
        <f t="shared" si="99"/>
        <v>2.3333333333333334E-2</v>
      </c>
      <c r="S275" s="35">
        <f t="shared" si="100"/>
        <v>0.01</v>
      </c>
      <c r="T275" s="35">
        <f t="shared" si="101"/>
        <v>2.3333333333333334E-2</v>
      </c>
      <c r="U275" s="35">
        <f t="shared" si="96"/>
        <v>1.4778325123152691E-2</v>
      </c>
      <c r="V275" s="35">
        <f t="shared" si="106"/>
        <v>1.4778325123152691E-2</v>
      </c>
      <c r="W275" s="35">
        <f t="shared" si="106"/>
        <v>1.4778325123152691E-2</v>
      </c>
      <c r="X275" s="35">
        <f t="shared" si="106"/>
        <v>1.4778325123152691E-2</v>
      </c>
      <c r="Y275" s="35">
        <f t="shared" si="106"/>
        <v>1.4778325123152691E-2</v>
      </c>
      <c r="Z275" s="35">
        <f t="shared" si="106"/>
        <v>1.4778325123152691E-2</v>
      </c>
      <c r="AA275" s="35">
        <f t="shared" si="106"/>
        <v>7.407407407407407E-2</v>
      </c>
    </row>
    <row r="276" spans="2:27" x14ac:dyDescent="0.2">
      <c r="B276" s="2">
        <v>274</v>
      </c>
      <c r="C276" s="2" t="str">
        <f t="shared" si="87"/>
        <v>b</v>
      </c>
      <c r="D276" s="29" t="s">
        <v>31</v>
      </c>
      <c r="E276" s="29" t="s">
        <v>181</v>
      </c>
      <c r="F276" s="2" t="s">
        <v>183</v>
      </c>
      <c r="G276" s="2">
        <f t="shared" si="104"/>
        <v>2</v>
      </c>
      <c r="H276" s="2" t="str">
        <f t="shared" si="94"/>
        <v>电击</v>
      </c>
      <c r="I276" s="38">
        <f t="shared" si="97"/>
        <v>0.14454545454545456</v>
      </c>
      <c r="J276" s="33">
        <f t="shared" si="98"/>
        <v>25</v>
      </c>
      <c r="K276" s="33">
        <f t="shared" si="105"/>
        <v>23</v>
      </c>
      <c r="L276" s="33">
        <f t="shared" si="105"/>
        <v>4</v>
      </c>
      <c r="M276" s="33">
        <f t="shared" si="105"/>
        <v>18</v>
      </c>
      <c r="N276" s="33">
        <f t="shared" si="95"/>
        <v>37</v>
      </c>
      <c r="O276" s="33">
        <f t="shared" si="105"/>
        <v>31</v>
      </c>
      <c r="P276" s="33">
        <f t="shared" si="105"/>
        <v>7</v>
      </c>
      <c r="Q276" s="33">
        <f t="shared" si="105"/>
        <v>14</v>
      </c>
      <c r="R276" s="35">
        <f t="shared" si="99"/>
        <v>4.6666666666666669E-2</v>
      </c>
      <c r="S276" s="35">
        <f t="shared" si="100"/>
        <v>2.3333333333333334E-2</v>
      </c>
      <c r="T276" s="35">
        <f t="shared" si="101"/>
        <v>4.6666666666666669E-2</v>
      </c>
      <c r="U276" s="35">
        <f t="shared" si="96"/>
        <v>2.4390243902439046E-2</v>
      </c>
      <c r="V276" s="35">
        <f t="shared" si="106"/>
        <v>2.4390243902439046E-2</v>
      </c>
      <c r="W276" s="35">
        <f t="shared" si="106"/>
        <v>2.4390243902439046E-2</v>
      </c>
      <c r="X276" s="35">
        <f t="shared" si="106"/>
        <v>2.4390243902439046E-2</v>
      </c>
      <c r="Y276" s="35">
        <f t="shared" si="106"/>
        <v>2.4390243902439046E-2</v>
      </c>
      <c r="Z276" s="35">
        <f t="shared" si="106"/>
        <v>2.4390243902439046E-2</v>
      </c>
      <c r="AA276" s="35">
        <f t="shared" si="106"/>
        <v>0.13419913419913421</v>
      </c>
    </row>
    <row r="277" spans="2:27" x14ac:dyDescent="0.2">
      <c r="B277" s="2">
        <v>275</v>
      </c>
      <c r="C277" s="2" t="str">
        <f t="shared" si="87"/>
        <v>b</v>
      </c>
      <c r="D277" s="29" t="s">
        <v>31</v>
      </c>
      <c r="E277" s="29" t="s">
        <v>181</v>
      </c>
      <c r="F277" s="2" t="s">
        <v>183</v>
      </c>
      <c r="G277" s="2">
        <f t="shared" si="104"/>
        <v>3</v>
      </c>
      <c r="H277" s="2" t="str">
        <f t="shared" si="94"/>
        <v>电击</v>
      </c>
      <c r="I277" s="38">
        <f t="shared" si="97"/>
        <v>0.21636363636363637</v>
      </c>
      <c r="J277" s="33">
        <f t="shared" si="98"/>
        <v>38</v>
      </c>
      <c r="K277" s="33">
        <f t="shared" si="105"/>
        <v>35</v>
      </c>
      <c r="L277" s="33">
        <f t="shared" si="105"/>
        <v>6</v>
      </c>
      <c r="M277" s="33">
        <f t="shared" si="105"/>
        <v>27</v>
      </c>
      <c r="N277" s="33">
        <f t="shared" si="95"/>
        <v>55</v>
      </c>
      <c r="O277" s="33">
        <f t="shared" si="105"/>
        <v>46</v>
      </c>
      <c r="P277" s="33">
        <f t="shared" si="105"/>
        <v>10</v>
      </c>
      <c r="Q277" s="33">
        <f t="shared" si="105"/>
        <v>21</v>
      </c>
      <c r="R277" s="35">
        <f t="shared" si="99"/>
        <v>7.0000000000000007E-2</v>
      </c>
      <c r="S277" s="35">
        <f t="shared" si="100"/>
        <v>3.3333333333333333E-2</v>
      </c>
      <c r="T277" s="35">
        <f t="shared" si="101"/>
        <v>7.0000000000000007E-2</v>
      </c>
      <c r="U277" s="35">
        <f t="shared" si="96"/>
        <v>3.8461538461538436E-2</v>
      </c>
      <c r="V277" s="35">
        <f t="shared" si="106"/>
        <v>3.8461538461538436E-2</v>
      </c>
      <c r="W277" s="35">
        <f t="shared" si="106"/>
        <v>3.8461538461538436E-2</v>
      </c>
      <c r="X277" s="35">
        <f t="shared" si="106"/>
        <v>3.8461538461538436E-2</v>
      </c>
      <c r="Y277" s="35">
        <f t="shared" si="106"/>
        <v>3.8461538461538436E-2</v>
      </c>
      <c r="Z277" s="35">
        <f t="shared" si="106"/>
        <v>3.8461538461538436E-2</v>
      </c>
      <c r="AA277" s="35">
        <f t="shared" si="106"/>
        <v>0.19028340080971662</v>
      </c>
    </row>
    <row r="278" spans="2:27" x14ac:dyDescent="0.2">
      <c r="B278" s="2">
        <v>276</v>
      </c>
      <c r="C278" s="2" t="str">
        <f t="shared" si="87"/>
        <v>b</v>
      </c>
      <c r="D278" s="29" t="s">
        <v>31</v>
      </c>
      <c r="E278" s="29" t="s">
        <v>181</v>
      </c>
      <c r="F278" s="2" t="s">
        <v>183</v>
      </c>
      <c r="G278" s="2">
        <f t="shared" si="104"/>
        <v>4</v>
      </c>
      <c r="H278" s="2" t="str">
        <f t="shared" si="94"/>
        <v>电击</v>
      </c>
      <c r="I278" s="38">
        <f t="shared" si="97"/>
        <v>0.29090909090909089</v>
      </c>
      <c r="J278" s="33">
        <f t="shared" si="98"/>
        <v>51</v>
      </c>
      <c r="K278" s="33">
        <f t="shared" si="105"/>
        <v>47</v>
      </c>
      <c r="L278" s="33">
        <f t="shared" si="105"/>
        <v>8</v>
      </c>
      <c r="M278" s="33">
        <f t="shared" si="105"/>
        <v>36</v>
      </c>
      <c r="N278" s="33">
        <f t="shared" si="95"/>
        <v>74</v>
      </c>
      <c r="O278" s="33">
        <f t="shared" si="105"/>
        <v>62</v>
      </c>
      <c r="P278" s="33">
        <f t="shared" si="105"/>
        <v>14</v>
      </c>
      <c r="Q278" s="33">
        <f t="shared" si="105"/>
        <v>28</v>
      </c>
      <c r="R278" s="35">
        <f t="shared" si="99"/>
        <v>9.3333333333333338E-2</v>
      </c>
      <c r="S278" s="35">
        <f t="shared" si="100"/>
        <v>4.6666666666666669E-2</v>
      </c>
      <c r="T278" s="35">
        <f t="shared" si="101"/>
        <v>9.3333333333333338E-2</v>
      </c>
      <c r="U278" s="35">
        <f t="shared" si="96"/>
        <v>4.7619047619047672E-2</v>
      </c>
      <c r="V278" s="35">
        <f t="shared" si="106"/>
        <v>4.7619047619047672E-2</v>
      </c>
      <c r="W278" s="35">
        <f t="shared" si="106"/>
        <v>4.7619047619047672E-2</v>
      </c>
      <c r="X278" s="35">
        <f t="shared" si="106"/>
        <v>4.7619047619047672E-2</v>
      </c>
      <c r="Y278" s="35">
        <f t="shared" si="106"/>
        <v>4.7619047619047672E-2</v>
      </c>
      <c r="Z278" s="35">
        <f t="shared" si="106"/>
        <v>4.7619047619047672E-2</v>
      </c>
      <c r="AA278" s="35">
        <f t="shared" si="106"/>
        <v>0.23664122137404575</v>
      </c>
    </row>
    <row r="279" spans="2:27" x14ac:dyDescent="0.2">
      <c r="B279" s="2">
        <v>277</v>
      </c>
      <c r="C279" s="2" t="str">
        <f t="shared" si="87"/>
        <v>b</v>
      </c>
      <c r="D279" s="29" t="s">
        <v>31</v>
      </c>
      <c r="E279" s="29" t="s">
        <v>181</v>
      </c>
      <c r="F279" s="2" t="s">
        <v>183</v>
      </c>
      <c r="G279" s="2">
        <f t="shared" si="104"/>
        <v>5</v>
      </c>
      <c r="H279" s="2" t="str">
        <f t="shared" si="94"/>
        <v>电击</v>
      </c>
      <c r="I279" s="38">
        <f t="shared" si="97"/>
        <v>0.36454545454545451</v>
      </c>
      <c r="J279" s="33">
        <f t="shared" si="98"/>
        <v>64</v>
      </c>
      <c r="K279" s="33">
        <f t="shared" si="105"/>
        <v>59</v>
      </c>
      <c r="L279" s="33">
        <f t="shared" si="105"/>
        <v>10</v>
      </c>
      <c r="M279" s="33">
        <f t="shared" si="105"/>
        <v>45</v>
      </c>
      <c r="N279" s="33">
        <f t="shared" si="95"/>
        <v>92</v>
      </c>
      <c r="O279" s="33">
        <f t="shared" si="105"/>
        <v>78</v>
      </c>
      <c r="P279" s="33">
        <f t="shared" si="105"/>
        <v>18</v>
      </c>
      <c r="Q279" s="33">
        <f t="shared" si="105"/>
        <v>35</v>
      </c>
      <c r="R279" s="35">
        <f t="shared" si="99"/>
        <v>0.11666666666666665</v>
      </c>
      <c r="S279" s="35">
        <f t="shared" si="100"/>
        <v>0.06</v>
      </c>
      <c r="T279" s="35">
        <f t="shared" si="101"/>
        <v>0.11666666666666665</v>
      </c>
      <c r="U279" s="35">
        <f t="shared" si="96"/>
        <v>6.1032863849765251E-2</v>
      </c>
      <c r="V279" s="35">
        <f t="shared" si="106"/>
        <v>6.1032863849765251E-2</v>
      </c>
      <c r="W279" s="35">
        <f t="shared" si="106"/>
        <v>6.1032863849765251E-2</v>
      </c>
      <c r="X279" s="35">
        <f t="shared" si="106"/>
        <v>6.1032863849765251E-2</v>
      </c>
      <c r="Y279" s="35">
        <f t="shared" si="106"/>
        <v>6.1032863849765251E-2</v>
      </c>
      <c r="Z279" s="35">
        <f t="shared" si="106"/>
        <v>6.1032863849765251E-2</v>
      </c>
      <c r="AA279" s="35">
        <f t="shared" si="106"/>
        <v>0.28057553956834536</v>
      </c>
    </row>
    <row r="280" spans="2:27" x14ac:dyDescent="0.2">
      <c r="B280" s="2">
        <v>278</v>
      </c>
      <c r="C280" s="2" t="str">
        <f t="shared" si="87"/>
        <v>b</v>
      </c>
      <c r="D280" s="29" t="s">
        <v>31</v>
      </c>
      <c r="E280" s="29" t="s">
        <v>181</v>
      </c>
      <c r="F280" s="2" t="s">
        <v>183</v>
      </c>
      <c r="G280" s="2">
        <f t="shared" si="104"/>
        <v>6</v>
      </c>
      <c r="H280" s="2" t="str">
        <f t="shared" si="94"/>
        <v>电击</v>
      </c>
      <c r="I280" s="38">
        <f t="shared" si="97"/>
        <v>0.43545454545454548</v>
      </c>
      <c r="J280" s="33">
        <f t="shared" si="98"/>
        <v>77</v>
      </c>
      <c r="K280" s="33">
        <f t="shared" si="105"/>
        <v>70</v>
      </c>
      <c r="L280" s="33">
        <f t="shared" si="105"/>
        <v>12</v>
      </c>
      <c r="M280" s="33">
        <f t="shared" si="105"/>
        <v>54</v>
      </c>
      <c r="N280" s="33">
        <f t="shared" si="95"/>
        <v>110</v>
      </c>
      <c r="O280" s="33">
        <f t="shared" si="105"/>
        <v>93</v>
      </c>
      <c r="P280" s="33">
        <f t="shared" si="105"/>
        <v>21</v>
      </c>
      <c r="Q280" s="33">
        <f t="shared" si="105"/>
        <v>42</v>
      </c>
      <c r="R280" s="35">
        <f t="shared" si="99"/>
        <v>0.14000000000000001</v>
      </c>
      <c r="S280" s="35">
        <f t="shared" si="100"/>
        <v>7.0000000000000007E-2</v>
      </c>
      <c r="T280" s="35">
        <f t="shared" si="101"/>
        <v>0.14000000000000001</v>
      </c>
      <c r="U280" s="35">
        <f t="shared" si="96"/>
        <v>7.407407407407407E-2</v>
      </c>
      <c r="V280" s="35">
        <f t="shared" si="106"/>
        <v>7.407407407407407E-2</v>
      </c>
      <c r="W280" s="35">
        <f t="shared" si="106"/>
        <v>7.407407407407407E-2</v>
      </c>
      <c r="X280" s="35">
        <f t="shared" si="106"/>
        <v>7.407407407407407E-2</v>
      </c>
      <c r="Y280" s="35">
        <f t="shared" si="106"/>
        <v>7.407407407407407E-2</v>
      </c>
      <c r="Z280" s="35">
        <f t="shared" si="106"/>
        <v>7.407407407407407E-2</v>
      </c>
      <c r="AA280" s="35">
        <f t="shared" si="106"/>
        <v>0.31972789115646261</v>
      </c>
    </row>
    <row r="281" spans="2:27" x14ac:dyDescent="0.2">
      <c r="B281" s="2">
        <v>279</v>
      </c>
      <c r="C281" s="2" t="str">
        <f t="shared" si="87"/>
        <v>b</v>
      </c>
      <c r="D281" s="29" t="s">
        <v>31</v>
      </c>
      <c r="E281" s="29" t="s">
        <v>181</v>
      </c>
      <c r="F281" s="2" t="s">
        <v>183</v>
      </c>
      <c r="G281" s="2">
        <f t="shared" si="104"/>
        <v>7</v>
      </c>
      <c r="H281" s="2" t="str">
        <f t="shared" si="94"/>
        <v>电击</v>
      </c>
      <c r="I281" s="38">
        <f t="shared" si="97"/>
        <v>0.51090909090909098</v>
      </c>
      <c r="J281" s="33">
        <f t="shared" si="98"/>
        <v>90</v>
      </c>
      <c r="K281" s="33">
        <f t="shared" si="105"/>
        <v>82</v>
      </c>
      <c r="L281" s="33">
        <f t="shared" si="105"/>
        <v>14</v>
      </c>
      <c r="M281" s="33">
        <f t="shared" si="105"/>
        <v>64</v>
      </c>
      <c r="N281" s="33">
        <f t="shared" si="95"/>
        <v>129</v>
      </c>
      <c r="O281" s="33">
        <f t="shared" si="105"/>
        <v>109</v>
      </c>
      <c r="P281" s="33">
        <f t="shared" si="105"/>
        <v>25</v>
      </c>
      <c r="Q281" s="33">
        <f t="shared" si="105"/>
        <v>49</v>
      </c>
      <c r="R281" s="35">
        <f t="shared" si="99"/>
        <v>0.16333333333333333</v>
      </c>
      <c r="S281" s="35">
        <f t="shared" si="100"/>
        <v>8.3333333333333343E-2</v>
      </c>
      <c r="T281" s="35">
        <f t="shared" si="101"/>
        <v>0.16333333333333333</v>
      </c>
      <c r="U281" s="35">
        <f t="shared" si="96"/>
        <v>8.256880733944949E-2</v>
      </c>
      <c r="V281" s="35">
        <f t="shared" si="106"/>
        <v>8.256880733944949E-2</v>
      </c>
      <c r="W281" s="35">
        <f t="shared" si="106"/>
        <v>8.256880733944949E-2</v>
      </c>
      <c r="X281" s="35">
        <f t="shared" si="106"/>
        <v>8.256880733944949E-2</v>
      </c>
      <c r="Y281" s="35">
        <f t="shared" si="106"/>
        <v>8.256880733944949E-2</v>
      </c>
      <c r="Z281" s="35">
        <f t="shared" si="106"/>
        <v>8.256880733944949E-2</v>
      </c>
      <c r="AA281" s="35">
        <f t="shared" si="106"/>
        <v>0.3527508090614887</v>
      </c>
    </row>
    <row r="282" spans="2:27" x14ac:dyDescent="0.2">
      <c r="B282" s="2">
        <v>280</v>
      </c>
      <c r="C282" s="2" t="str">
        <f t="shared" si="87"/>
        <v>b</v>
      </c>
      <c r="D282" s="29" t="s">
        <v>31</v>
      </c>
      <c r="E282" s="29" t="s">
        <v>181</v>
      </c>
      <c r="F282" s="2" t="s">
        <v>183</v>
      </c>
      <c r="G282" s="2">
        <f t="shared" si="104"/>
        <v>8</v>
      </c>
      <c r="H282" s="2" t="str">
        <f t="shared" si="94"/>
        <v>电击</v>
      </c>
      <c r="I282" s="38">
        <f t="shared" si="97"/>
        <v>0.58363636363636362</v>
      </c>
      <c r="J282" s="33">
        <f t="shared" si="98"/>
        <v>103</v>
      </c>
      <c r="K282" s="33">
        <f t="shared" si="105"/>
        <v>94</v>
      </c>
      <c r="L282" s="33">
        <f t="shared" si="105"/>
        <v>16</v>
      </c>
      <c r="M282" s="33">
        <f t="shared" si="105"/>
        <v>73</v>
      </c>
      <c r="N282" s="33">
        <f t="shared" si="95"/>
        <v>147</v>
      </c>
      <c r="O282" s="33">
        <f t="shared" si="105"/>
        <v>124</v>
      </c>
      <c r="P282" s="33">
        <f t="shared" si="105"/>
        <v>29</v>
      </c>
      <c r="Q282" s="33">
        <f t="shared" si="105"/>
        <v>56</v>
      </c>
      <c r="R282" s="35">
        <f t="shared" si="99"/>
        <v>0.18666666666666668</v>
      </c>
      <c r="S282" s="35">
        <f t="shared" si="100"/>
        <v>9.6666666666666665E-2</v>
      </c>
      <c r="T282" s="35">
        <f t="shared" si="101"/>
        <v>0.18666666666666668</v>
      </c>
      <c r="U282" s="35">
        <f t="shared" si="96"/>
        <v>9.5022624434389136E-2</v>
      </c>
      <c r="V282" s="35">
        <f t="shared" si="106"/>
        <v>9.5022624434389136E-2</v>
      </c>
      <c r="W282" s="35">
        <f t="shared" si="106"/>
        <v>9.5022624434389136E-2</v>
      </c>
      <c r="X282" s="35">
        <f t="shared" si="106"/>
        <v>9.5022624434389136E-2</v>
      </c>
      <c r="Y282" s="35">
        <f t="shared" si="106"/>
        <v>9.5022624434389136E-2</v>
      </c>
      <c r="Z282" s="35">
        <f t="shared" si="106"/>
        <v>9.5022624434389136E-2</v>
      </c>
      <c r="AA282" s="35">
        <f t="shared" si="106"/>
        <v>0.38461538461538458</v>
      </c>
    </row>
    <row r="283" spans="2:27" x14ac:dyDescent="0.2">
      <c r="B283" s="2">
        <v>281</v>
      </c>
      <c r="C283" s="2" t="str">
        <f t="shared" si="87"/>
        <v>c</v>
      </c>
      <c r="D283" s="29" t="s">
        <v>31</v>
      </c>
      <c r="E283" s="29" t="s">
        <v>181</v>
      </c>
      <c r="F283" s="2" t="s">
        <v>183</v>
      </c>
      <c r="G283" s="2">
        <f t="shared" si="104"/>
        <v>1</v>
      </c>
      <c r="H283" s="2" t="str">
        <f t="shared" si="94"/>
        <v>--</v>
      </c>
      <c r="I283" s="38">
        <f t="shared" si="97"/>
        <v>0</v>
      </c>
      <c r="J283" s="33">
        <f t="shared" si="98"/>
        <v>16</v>
      </c>
      <c r="K283" s="33">
        <f t="shared" ref="K283:Q292" si="107">INT((1+VLOOKUP($F283,role_property_weight,getpos(K$2),FALSE))*(1+VLOOKUP($F283,weapon_property_weight,getpos(K$2),FALSE))*VLOOKUP($E283,role_grow,getpos(K$2),FALSE)*$G283*10*VLOOKUP($C283,weapon_grow1,5,FALSE))</f>
        <v>0</v>
      </c>
      <c r="L283" s="33">
        <f t="shared" si="107"/>
        <v>0</v>
      </c>
      <c r="M283" s="33">
        <f t="shared" si="107"/>
        <v>0</v>
      </c>
      <c r="N283" s="33">
        <f t="shared" si="95"/>
        <v>0</v>
      </c>
      <c r="O283" s="33">
        <f t="shared" si="107"/>
        <v>0</v>
      </c>
      <c r="P283" s="33">
        <f t="shared" si="107"/>
        <v>0</v>
      </c>
      <c r="Q283" s="33">
        <f t="shared" si="107"/>
        <v>0</v>
      </c>
      <c r="R283" s="35">
        <f t="shared" si="99"/>
        <v>0</v>
      </c>
      <c r="S283" s="35">
        <f t="shared" si="100"/>
        <v>0</v>
      </c>
      <c r="T283" s="35">
        <f t="shared" si="101"/>
        <v>0</v>
      </c>
      <c r="U283" s="35">
        <f t="shared" si="96"/>
        <v>0</v>
      </c>
      <c r="V283" s="35">
        <f t="shared" ref="V283:AA292" si="108">1-200/(200+ROUND((1+VLOOKUP($F283,role_property_weight,getpos(V$2),FALSE))*VLOOKUP($E283,role_grow,getpos(V$2),FALSE)*$G283*10*VLOOKUP($C283,weapon_grow1,5,FALSE),0))</f>
        <v>0</v>
      </c>
      <c r="W283" s="35">
        <f t="shared" si="108"/>
        <v>0</v>
      </c>
      <c r="X283" s="35">
        <f t="shared" si="108"/>
        <v>0</v>
      </c>
      <c r="Y283" s="35">
        <f t="shared" si="108"/>
        <v>0</v>
      </c>
      <c r="Z283" s="35">
        <f t="shared" si="108"/>
        <v>0</v>
      </c>
      <c r="AA283" s="35">
        <f t="shared" si="108"/>
        <v>0</v>
      </c>
    </row>
    <row r="284" spans="2:27" x14ac:dyDescent="0.2">
      <c r="B284" s="2">
        <v>282</v>
      </c>
      <c r="C284" s="2" t="str">
        <f t="shared" si="87"/>
        <v>c</v>
      </c>
      <c r="D284" s="29" t="s">
        <v>31</v>
      </c>
      <c r="E284" s="29" t="s">
        <v>181</v>
      </c>
      <c r="F284" s="2" t="s">
        <v>183</v>
      </c>
      <c r="G284" s="2">
        <f t="shared" si="104"/>
        <v>2</v>
      </c>
      <c r="H284" s="2" t="str">
        <f t="shared" si="94"/>
        <v>--</v>
      </c>
      <c r="I284" s="38">
        <f t="shared" si="97"/>
        <v>0</v>
      </c>
      <c r="J284" s="33">
        <f t="shared" si="98"/>
        <v>32</v>
      </c>
      <c r="K284" s="33">
        <f t="shared" si="107"/>
        <v>0</v>
      </c>
      <c r="L284" s="33">
        <f t="shared" si="107"/>
        <v>0</v>
      </c>
      <c r="M284" s="33">
        <f t="shared" si="107"/>
        <v>0</v>
      </c>
      <c r="N284" s="33">
        <f t="shared" si="95"/>
        <v>0</v>
      </c>
      <c r="O284" s="33">
        <f t="shared" si="107"/>
        <v>0</v>
      </c>
      <c r="P284" s="33">
        <f t="shared" si="107"/>
        <v>0</v>
      </c>
      <c r="Q284" s="33">
        <f t="shared" si="107"/>
        <v>0</v>
      </c>
      <c r="R284" s="35">
        <f t="shared" si="99"/>
        <v>0</v>
      </c>
      <c r="S284" s="35">
        <f t="shared" si="100"/>
        <v>0</v>
      </c>
      <c r="T284" s="35">
        <f t="shared" si="101"/>
        <v>0</v>
      </c>
      <c r="U284" s="35">
        <f t="shared" si="96"/>
        <v>0</v>
      </c>
      <c r="V284" s="35">
        <f t="shared" si="108"/>
        <v>0</v>
      </c>
      <c r="W284" s="35">
        <f t="shared" si="108"/>
        <v>0</v>
      </c>
      <c r="X284" s="35">
        <f t="shared" si="108"/>
        <v>0</v>
      </c>
      <c r="Y284" s="35">
        <f t="shared" si="108"/>
        <v>0</v>
      </c>
      <c r="Z284" s="35">
        <f t="shared" si="108"/>
        <v>0</v>
      </c>
      <c r="AA284" s="35">
        <f t="shared" si="108"/>
        <v>0</v>
      </c>
    </row>
    <row r="285" spans="2:27" x14ac:dyDescent="0.2">
      <c r="B285" s="2">
        <v>283</v>
      </c>
      <c r="C285" s="2" t="str">
        <f t="shared" si="87"/>
        <v>c</v>
      </c>
      <c r="D285" s="29" t="s">
        <v>31</v>
      </c>
      <c r="E285" s="29" t="s">
        <v>181</v>
      </c>
      <c r="F285" s="2" t="s">
        <v>183</v>
      </c>
      <c r="G285" s="2">
        <f t="shared" si="104"/>
        <v>3</v>
      </c>
      <c r="H285" s="2" t="str">
        <f t="shared" si="94"/>
        <v>--</v>
      </c>
      <c r="I285" s="38">
        <f t="shared" si="97"/>
        <v>0</v>
      </c>
      <c r="J285" s="33">
        <f t="shared" si="98"/>
        <v>48</v>
      </c>
      <c r="K285" s="33">
        <f t="shared" si="107"/>
        <v>0</v>
      </c>
      <c r="L285" s="33">
        <f t="shared" si="107"/>
        <v>0</v>
      </c>
      <c r="M285" s="33">
        <f t="shared" si="107"/>
        <v>0</v>
      </c>
      <c r="N285" s="33">
        <f t="shared" si="95"/>
        <v>0</v>
      </c>
      <c r="O285" s="33">
        <f t="shared" si="107"/>
        <v>0</v>
      </c>
      <c r="P285" s="33">
        <f t="shared" si="107"/>
        <v>0</v>
      </c>
      <c r="Q285" s="33">
        <f t="shared" si="107"/>
        <v>0</v>
      </c>
      <c r="R285" s="35">
        <f t="shared" si="99"/>
        <v>0</v>
      </c>
      <c r="S285" s="35">
        <f t="shared" si="100"/>
        <v>0</v>
      </c>
      <c r="T285" s="35">
        <f t="shared" si="101"/>
        <v>0</v>
      </c>
      <c r="U285" s="35">
        <f t="shared" si="96"/>
        <v>0</v>
      </c>
      <c r="V285" s="35">
        <f t="shared" si="108"/>
        <v>0</v>
      </c>
      <c r="W285" s="35">
        <f t="shared" si="108"/>
        <v>0</v>
      </c>
      <c r="X285" s="35">
        <f t="shared" si="108"/>
        <v>0</v>
      </c>
      <c r="Y285" s="35">
        <f t="shared" si="108"/>
        <v>0</v>
      </c>
      <c r="Z285" s="35">
        <f t="shared" si="108"/>
        <v>0</v>
      </c>
      <c r="AA285" s="35">
        <f t="shared" si="108"/>
        <v>0</v>
      </c>
    </row>
    <row r="286" spans="2:27" x14ac:dyDescent="0.2">
      <c r="B286" s="2">
        <v>284</v>
      </c>
      <c r="C286" s="2" t="str">
        <f t="shared" si="87"/>
        <v>c</v>
      </c>
      <c r="D286" s="29" t="s">
        <v>31</v>
      </c>
      <c r="E286" s="29" t="s">
        <v>181</v>
      </c>
      <c r="F286" s="2" t="s">
        <v>183</v>
      </c>
      <c r="G286" s="2">
        <f t="shared" si="104"/>
        <v>4</v>
      </c>
      <c r="H286" s="2" t="str">
        <f t="shared" si="94"/>
        <v>--</v>
      </c>
      <c r="I286" s="38">
        <f t="shared" si="97"/>
        <v>0</v>
      </c>
      <c r="J286" s="33">
        <f t="shared" si="98"/>
        <v>65</v>
      </c>
      <c r="K286" s="33">
        <f t="shared" si="107"/>
        <v>0</v>
      </c>
      <c r="L286" s="33">
        <f t="shared" si="107"/>
        <v>0</v>
      </c>
      <c r="M286" s="33">
        <f t="shared" si="107"/>
        <v>0</v>
      </c>
      <c r="N286" s="33">
        <f t="shared" si="95"/>
        <v>0</v>
      </c>
      <c r="O286" s="33">
        <f t="shared" si="107"/>
        <v>0</v>
      </c>
      <c r="P286" s="33">
        <f t="shared" si="107"/>
        <v>0</v>
      </c>
      <c r="Q286" s="33">
        <f t="shared" si="107"/>
        <v>0</v>
      </c>
      <c r="R286" s="35">
        <f t="shared" si="99"/>
        <v>0</v>
      </c>
      <c r="S286" s="35">
        <f t="shared" si="100"/>
        <v>0</v>
      </c>
      <c r="T286" s="35">
        <f t="shared" si="101"/>
        <v>0</v>
      </c>
      <c r="U286" s="35">
        <f t="shared" si="96"/>
        <v>0</v>
      </c>
      <c r="V286" s="35">
        <f t="shared" si="108"/>
        <v>0</v>
      </c>
      <c r="W286" s="35">
        <f t="shared" si="108"/>
        <v>0</v>
      </c>
      <c r="X286" s="35">
        <f t="shared" si="108"/>
        <v>0</v>
      </c>
      <c r="Y286" s="35">
        <f t="shared" si="108"/>
        <v>0</v>
      </c>
      <c r="Z286" s="35">
        <f t="shared" si="108"/>
        <v>0</v>
      </c>
      <c r="AA286" s="35">
        <f t="shared" si="108"/>
        <v>0</v>
      </c>
    </row>
    <row r="287" spans="2:27" x14ac:dyDescent="0.2">
      <c r="B287" s="2">
        <v>285</v>
      </c>
      <c r="C287" s="2" t="str">
        <f t="shared" si="87"/>
        <v>c</v>
      </c>
      <c r="D287" s="29" t="s">
        <v>31</v>
      </c>
      <c r="E287" s="29" t="s">
        <v>181</v>
      </c>
      <c r="F287" s="2" t="s">
        <v>183</v>
      </c>
      <c r="G287" s="2">
        <f t="shared" si="104"/>
        <v>5</v>
      </c>
      <c r="H287" s="2" t="str">
        <f t="shared" si="94"/>
        <v>--</v>
      </c>
      <c r="I287" s="38">
        <f t="shared" si="97"/>
        <v>0</v>
      </c>
      <c r="J287" s="33">
        <f t="shared" si="98"/>
        <v>81</v>
      </c>
      <c r="K287" s="33">
        <f t="shared" si="107"/>
        <v>0</v>
      </c>
      <c r="L287" s="33">
        <f t="shared" si="107"/>
        <v>0</v>
      </c>
      <c r="M287" s="33">
        <f t="shared" si="107"/>
        <v>0</v>
      </c>
      <c r="N287" s="33">
        <f t="shared" si="95"/>
        <v>0</v>
      </c>
      <c r="O287" s="33">
        <f t="shared" si="107"/>
        <v>0</v>
      </c>
      <c r="P287" s="33">
        <f t="shared" si="107"/>
        <v>0</v>
      </c>
      <c r="Q287" s="33">
        <f t="shared" si="107"/>
        <v>0</v>
      </c>
      <c r="R287" s="35">
        <f t="shared" si="99"/>
        <v>0</v>
      </c>
      <c r="S287" s="35">
        <f t="shared" si="100"/>
        <v>0</v>
      </c>
      <c r="T287" s="35">
        <f t="shared" si="101"/>
        <v>0</v>
      </c>
      <c r="U287" s="35">
        <f t="shared" si="96"/>
        <v>0</v>
      </c>
      <c r="V287" s="35">
        <f t="shared" si="108"/>
        <v>0</v>
      </c>
      <c r="W287" s="35">
        <f t="shared" si="108"/>
        <v>0</v>
      </c>
      <c r="X287" s="35">
        <f t="shared" si="108"/>
        <v>0</v>
      </c>
      <c r="Y287" s="35">
        <f t="shared" si="108"/>
        <v>0</v>
      </c>
      <c r="Z287" s="35">
        <f t="shared" si="108"/>
        <v>0</v>
      </c>
      <c r="AA287" s="35">
        <f t="shared" si="108"/>
        <v>0</v>
      </c>
    </row>
    <row r="288" spans="2:27" x14ac:dyDescent="0.2">
      <c r="B288" s="2">
        <v>286</v>
      </c>
      <c r="C288" s="2" t="str">
        <f t="shared" si="87"/>
        <v>c</v>
      </c>
      <c r="D288" s="29" t="s">
        <v>31</v>
      </c>
      <c r="E288" s="29" t="s">
        <v>181</v>
      </c>
      <c r="F288" s="2" t="s">
        <v>183</v>
      </c>
      <c r="G288" s="2">
        <f t="shared" si="104"/>
        <v>6</v>
      </c>
      <c r="H288" s="2" t="str">
        <f t="shared" si="94"/>
        <v>--</v>
      </c>
      <c r="I288" s="38">
        <f t="shared" si="97"/>
        <v>0</v>
      </c>
      <c r="J288" s="33">
        <f t="shared" si="98"/>
        <v>97</v>
      </c>
      <c r="K288" s="33">
        <f t="shared" si="107"/>
        <v>0</v>
      </c>
      <c r="L288" s="33">
        <f t="shared" si="107"/>
        <v>0</v>
      </c>
      <c r="M288" s="33">
        <f t="shared" si="107"/>
        <v>0</v>
      </c>
      <c r="N288" s="33">
        <f t="shared" si="95"/>
        <v>0</v>
      </c>
      <c r="O288" s="33">
        <f t="shared" si="107"/>
        <v>0</v>
      </c>
      <c r="P288" s="33">
        <f t="shared" si="107"/>
        <v>0</v>
      </c>
      <c r="Q288" s="33">
        <f t="shared" si="107"/>
        <v>0</v>
      </c>
      <c r="R288" s="35">
        <f t="shared" si="99"/>
        <v>0</v>
      </c>
      <c r="S288" s="35">
        <f t="shared" si="100"/>
        <v>0</v>
      </c>
      <c r="T288" s="35">
        <f t="shared" si="101"/>
        <v>0</v>
      </c>
      <c r="U288" s="35">
        <f t="shared" si="96"/>
        <v>0</v>
      </c>
      <c r="V288" s="35">
        <f t="shared" si="108"/>
        <v>0</v>
      </c>
      <c r="W288" s="35">
        <f t="shared" si="108"/>
        <v>0</v>
      </c>
      <c r="X288" s="35">
        <f t="shared" si="108"/>
        <v>0</v>
      </c>
      <c r="Y288" s="35">
        <f t="shared" si="108"/>
        <v>0</v>
      </c>
      <c r="Z288" s="35">
        <f t="shared" si="108"/>
        <v>0</v>
      </c>
      <c r="AA288" s="35">
        <f t="shared" si="108"/>
        <v>0</v>
      </c>
    </row>
    <row r="289" spans="2:27" x14ac:dyDescent="0.2">
      <c r="B289" s="2">
        <v>287</v>
      </c>
      <c r="C289" s="2" t="str">
        <f t="shared" si="87"/>
        <v>c</v>
      </c>
      <c r="D289" s="29" t="s">
        <v>31</v>
      </c>
      <c r="E289" s="29" t="s">
        <v>181</v>
      </c>
      <c r="F289" s="2" t="s">
        <v>183</v>
      </c>
      <c r="G289" s="2">
        <f t="shared" si="104"/>
        <v>7</v>
      </c>
      <c r="H289" s="2" t="str">
        <f t="shared" si="94"/>
        <v>--</v>
      </c>
      <c r="I289" s="38">
        <f t="shared" si="97"/>
        <v>0</v>
      </c>
      <c r="J289" s="33">
        <f t="shared" si="98"/>
        <v>114</v>
      </c>
      <c r="K289" s="33">
        <f t="shared" si="107"/>
        <v>0</v>
      </c>
      <c r="L289" s="33">
        <f t="shared" si="107"/>
        <v>0</v>
      </c>
      <c r="M289" s="33">
        <f t="shared" si="107"/>
        <v>0</v>
      </c>
      <c r="N289" s="33">
        <f t="shared" si="95"/>
        <v>0</v>
      </c>
      <c r="O289" s="33">
        <f t="shared" si="107"/>
        <v>0</v>
      </c>
      <c r="P289" s="33">
        <f t="shared" si="107"/>
        <v>0</v>
      </c>
      <c r="Q289" s="33">
        <f t="shared" si="107"/>
        <v>0</v>
      </c>
      <c r="R289" s="35">
        <f t="shared" si="99"/>
        <v>0</v>
      </c>
      <c r="S289" s="35">
        <f t="shared" si="100"/>
        <v>0</v>
      </c>
      <c r="T289" s="35">
        <f t="shared" si="101"/>
        <v>0</v>
      </c>
      <c r="U289" s="35">
        <f t="shared" si="96"/>
        <v>0</v>
      </c>
      <c r="V289" s="35">
        <f t="shared" si="108"/>
        <v>0</v>
      </c>
      <c r="W289" s="35">
        <f t="shared" si="108"/>
        <v>0</v>
      </c>
      <c r="X289" s="35">
        <f t="shared" si="108"/>
        <v>0</v>
      </c>
      <c r="Y289" s="35">
        <f t="shared" si="108"/>
        <v>0</v>
      </c>
      <c r="Z289" s="35">
        <f t="shared" si="108"/>
        <v>0</v>
      </c>
      <c r="AA289" s="35">
        <f t="shared" si="108"/>
        <v>0</v>
      </c>
    </row>
    <row r="290" spans="2:27" x14ac:dyDescent="0.2">
      <c r="B290" s="2">
        <v>288</v>
      </c>
      <c r="C290" s="2" t="str">
        <f t="shared" si="87"/>
        <v>c</v>
      </c>
      <c r="D290" s="29" t="s">
        <v>31</v>
      </c>
      <c r="E290" s="29" t="s">
        <v>181</v>
      </c>
      <c r="F290" s="2" t="s">
        <v>183</v>
      </c>
      <c r="G290" s="2">
        <f t="shared" si="104"/>
        <v>8</v>
      </c>
      <c r="H290" s="2" t="str">
        <f t="shared" si="94"/>
        <v>--</v>
      </c>
      <c r="I290" s="38">
        <f t="shared" si="97"/>
        <v>0</v>
      </c>
      <c r="J290" s="33">
        <f t="shared" si="98"/>
        <v>130</v>
      </c>
      <c r="K290" s="33">
        <f t="shared" si="107"/>
        <v>0</v>
      </c>
      <c r="L290" s="33">
        <f t="shared" si="107"/>
        <v>0</v>
      </c>
      <c r="M290" s="33">
        <f t="shared" si="107"/>
        <v>0</v>
      </c>
      <c r="N290" s="33">
        <f t="shared" si="95"/>
        <v>0</v>
      </c>
      <c r="O290" s="33">
        <f t="shared" si="107"/>
        <v>0</v>
      </c>
      <c r="P290" s="33">
        <f t="shared" si="107"/>
        <v>0</v>
      </c>
      <c r="Q290" s="33">
        <f t="shared" si="107"/>
        <v>0</v>
      </c>
      <c r="R290" s="35">
        <f t="shared" si="99"/>
        <v>0</v>
      </c>
      <c r="S290" s="35">
        <f t="shared" si="100"/>
        <v>0</v>
      </c>
      <c r="T290" s="35">
        <f t="shared" si="101"/>
        <v>0</v>
      </c>
      <c r="U290" s="35">
        <f t="shared" si="96"/>
        <v>0</v>
      </c>
      <c r="V290" s="35">
        <f t="shared" si="108"/>
        <v>0</v>
      </c>
      <c r="W290" s="35">
        <f t="shared" si="108"/>
        <v>0</v>
      </c>
      <c r="X290" s="35">
        <f t="shared" si="108"/>
        <v>0</v>
      </c>
      <c r="Y290" s="35">
        <f t="shared" si="108"/>
        <v>0</v>
      </c>
      <c r="Z290" s="35">
        <f t="shared" si="108"/>
        <v>0</v>
      </c>
      <c r="AA290" s="35">
        <f t="shared" si="108"/>
        <v>0</v>
      </c>
    </row>
    <row r="291" spans="2:27" x14ac:dyDescent="0.2">
      <c r="B291" s="2">
        <v>289</v>
      </c>
      <c r="C291" s="2" t="str">
        <f t="shared" si="87"/>
        <v>s</v>
      </c>
      <c r="D291" s="29" t="s">
        <v>31</v>
      </c>
      <c r="E291" s="29" t="s">
        <v>181</v>
      </c>
      <c r="F291" s="2" t="s">
        <v>218</v>
      </c>
      <c r="G291" s="2">
        <f t="shared" si="104"/>
        <v>1</v>
      </c>
      <c r="H291" s="2" t="str">
        <f t="shared" si="94"/>
        <v>冷却</v>
      </c>
      <c r="I291" s="38">
        <f t="shared" si="97"/>
        <v>0.1</v>
      </c>
      <c r="J291" s="33">
        <f t="shared" si="98"/>
        <v>18</v>
      </c>
      <c r="K291" s="33">
        <f t="shared" si="107"/>
        <v>13</v>
      </c>
      <c r="L291" s="33">
        <f t="shared" si="107"/>
        <v>1</v>
      </c>
      <c r="M291" s="33">
        <f t="shared" si="107"/>
        <v>8</v>
      </c>
      <c r="N291" s="33">
        <f t="shared" si="95"/>
        <v>2</v>
      </c>
      <c r="O291" s="33">
        <f t="shared" si="107"/>
        <v>3</v>
      </c>
      <c r="P291" s="33">
        <f t="shared" si="107"/>
        <v>4</v>
      </c>
      <c r="Q291" s="33">
        <f t="shared" si="107"/>
        <v>3</v>
      </c>
      <c r="R291" s="35">
        <f t="shared" si="99"/>
        <v>0.01</v>
      </c>
      <c r="S291" s="35">
        <f t="shared" si="100"/>
        <v>1.3333333333333332E-2</v>
      </c>
      <c r="T291" s="35">
        <f t="shared" si="101"/>
        <v>0.01</v>
      </c>
      <c r="U291" s="35">
        <f t="shared" si="96"/>
        <v>9.9009900990099098E-3</v>
      </c>
      <c r="V291" s="35">
        <f t="shared" si="108"/>
        <v>9.9009900990099098E-3</v>
      </c>
      <c r="W291" s="35">
        <f t="shared" si="108"/>
        <v>5.6603773584905648E-2</v>
      </c>
      <c r="X291" s="35">
        <f t="shared" si="108"/>
        <v>9.9009900990099098E-3</v>
      </c>
      <c r="Y291" s="35">
        <f t="shared" si="108"/>
        <v>9.9009900990099098E-3</v>
      </c>
      <c r="Z291" s="35">
        <f t="shared" si="108"/>
        <v>9.9009900990099098E-3</v>
      </c>
      <c r="AA291" s="35">
        <f t="shared" si="108"/>
        <v>9.9009900990099098E-3</v>
      </c>
    </row>
    <row r="292" spans="2:27" x14ac:dyDescent="0.2">
      <c r="B292" s="2">
        <v>290</v>
      </c>
      <c r="C292" s="2" t="str">
        <f t="shared" ref="C292:C355" si="109">C260</f>
        <v>s</v>
      </c>
      <c r="D292" s="29" t="s">
        <v>31</v>
      </c>
      <c r="E292" s="29" t="s">
        <v>181</v>
      </c>
      <c r="F292" s="2" t="s">
        <v>218</v>
      </c>
      <c r="G292" s="2">
        <f t="shared" si="104"/>
        <v>2</v>
      </c>
      <c r="H292" s="2" t="str">
        <f t="shared" si="94"/>
        <v>冷却</v>
      </c>
      <c r="I292" s="38">
        <f t="shared" si="97"/>
        <v>0.1</v>
      </c>
      <c r="J292" s="33">
        <f t="shared" si="98"/>
        <v>36</v>
      </c>
      <c r="K292" s="33">
        <f t="shared" si="107"/>
        <v>27</v>
      </c>
      <c r="L292" s="33">
        <f t="shared" si="107"/>
        <v>3</v>
      </c>
      <c r="M292" s="33">
        <f t="shared" si="107"/>
        <v>17</v>
      </c>
      <c r="N292" s="33">
        <f t="shared" si="95"/>
        <v>4</v>
      </c>
      <c r="O292" s="33">
        <f t="shared" si="107"/>
        <v>7</v>
      </c>
      <c r="P292" s="33">
        <f t="shared" si="107"/>
        <v>9</v>
      </c>
      <c r="Q292" s="33">
        <f t="shared" si="107"/>
        <v>7</v>
      </c>
      <c r="R292" s="35">
        <f t="shared" si="99"/>
        <v>2.3333333333333334E-2</v>
      </c>
      <c r="S292" s="35">
        <f t="shared" si="100"/>
        <v>0.03</v>
      </c>
      <c r="T292" s="35">
        <f t="shared" si="101"/>
        <v>2.3333333333333334E-2</v>
      </c>
      <c r="U292" s="35">
        <f t="shared" si="96"/>
        <v>1.9607843137254943E-2</v>
      </c>
      <c r="V292" s="35">
        <f t="shared" si="108"/>
        <v>1.9607843137254943E-2</v>
      </c>
      <c r="W292" s="35">
        <f t="shared" si="108"/>
        <v>0.1071428571428571</v>
      </c>
      <c r="X292" s="35">
        <f t="shared" si="108"/>
        <v>1.9607843137254943E-2</v>
      </c>
      <c r="Y292" s="35">
        <f t="shared" si="108"/>
        <v>1.9607843137254943E-2</v>
      </c>
      <c r="Z292" s="35">
        <f t="shared" si="108"/>
        <v>1.9607843137254943E-2</v>
      </c>
      <c r="AA292" s="35">
        <f t="shared" si="108"/>
        <v>1.9607843137254943E-2</v>
      </c>
    </row>
    <row r="293" spans="2:27" x14ac:dyDescent="0.2">
      <c r="B293" s="2">
        <v>291</v>
      </c>
      <c r="C293" s="2" t="str">
        <f t="shared" si="109"/>
        <v>s</v>
      </c>
      <c r="D293" s="29" t="s">
        <v>31</v>
      </c>
      <c r="E293" s="29" t="s">
        <v>181</v>
      </c>
      <c r="F293" s="2" t="s">
        <v>218</v>
      </c>
      <c r="G293" s="2">
        <f t="shared" si="104"/>
        <v>3</v>
      </c>
      <c r="H293" s="2" t="str">
        <f t="shared" si="94"/>
        <v>冷却</v>
      </c>
      <c r="I293" s="38">
        <f t="shared" si="97"/>
        <v>0.15</v>
      </c>
      <c r="J293" s="33">
        <f t="shared" si="98"/>
        <v>55</v>
      </c>
      <c r="K293" s="33">
        <f t="shared" ref="K293:Q302" si="110">INT((1+VLOOKUP($F293,role_property_weight,getpos(K$2),FALSE))*(1+VLOOKUP($F293,weapon_property_weight,getpos(K$2),FALSE))*VLOOKUP($E293,role_grow,getpos(K$2),FALSE)*$G293*10*VLOOKUP($C293,weapon_grow1,5,FALSE))</f>
        <v>40</v>
      </c>
      <c r="L293" s="33">
        <f t="shared" si="110"/>
        <v>5</v>
      </c>
      <c r="M293" s="33">
        <f t="shared" si="110"/>
        <v>25</v>
      </c>
      <c r="N293" s="33">
        <f t="shared" si="95"/>
        <v>5</v>
      </c>
      <c r="O293" s="33">
        <f t="shared" si="110"/>
        <v>11</v>
      </c>
      <c r="P293" s="33">
        <f t="shared" si="110"/>
        <v>13</v>
      </c>
      <c r="Q293" s="33">
        <f t="shared" si="110"/>
        <v>11</v>
      </c>
      <c r="R293" s="35">
        <f t="shared" si="99"/>
        <v>3.6666666666666667E-2</v>
      </c>
      <c r="S293" s="35">
        <f t="shared" si="100"/>
        <v>4.3333333333333328E-2</v>
      </c>
      <c r="T293" s="35">
        <f t="shared" si="101"/>
        <v>3.6666666666666667E-2</v>
      </c>
      <c r="U293" s="35">
        <f t="shared" si="96"/>
        <v>2.9126213592232997E-2</v>
      </c>
      <c r="V293" s="35">
        <f t="shared" ref="V293:AA302" si="111">1-200/(200+ROUND((1+VLOOKUP($F293,role_property_weight,getpos(V$2),FALSE))*VLOOKUP($E293,role_grow,getpos(V$2),FALSE)*$G293*10*VLOOKUP($C293,weapon_grow1,5,FALSE),0))</f>
        <v>2.9126213592232997E-2</v>
      </c>
      <c r="W293" s="35">
        <f t="shared" si="111"/>
        <v>0.14893617021276595</v>
      </c>
      <c r="X293" s="35">
        <f t="shared" si="111"/>
        <v>2.9126213592232997E-2</v>
      </c>
      <c r="Y293" s="35">
        <f t="shared" si="111"/>
        <v>2.9126213592232997E-2</v>
      </c>
      <c r="Z293" s="35">
        <f t="shared" si="111"/>
        <v>2.9126213592232997E-2</v>
      </c>
      <c r="AA293" s="35">
        <f t="shared" si="111"/>
        <v>2.9126213592232997E-2</v>
      </c>
    </row>
    <row r="294" spans="2:27" x14ac:dyDescent="0.2">
      <c r="B294" s="2">
        <v>292</v>
      </c>
      <c r="C294" s="2" t="str">
        <f t="shared" si="109"/>
        <v>s</v>
      </c>
      <c r="D294" s="29" t="s">
        <v>31</v>
      </c>
      <c r="E294" s="29" t="s">
        <v>181</v>
      </c>
      <c r="F294" s="2" t="s">
        <v>218</v>
      </c>
      <c r="G294" s="2">
        <f t="shared" si="104"/>
        <v>4</v>
      </c>
      <c r="H294" s="2" t="str">
        <f t="shared" si="94"/>
        <v>冷却</v>
      </c>
      <c r="I294" s="38">
        <f t="shared" si="97"/>
        <v>0.20272727272727273</v>
      </c>
      <c r="J294" s="33">
        <f t="shared" si="98"/>
        <v>73</v>
      </c>
      <c r="K294" s="33">
        <f t="shared" si="110"/>
        <v>54</v>
      </c>
      <c r="L294" s="33">
        <f t="shared" si="110"/>
        <v>7</v>
      </c>
      <c r="M294" s="33">
        <f t="shared" si="110"/>
        <v>34</v>
      </c>
      <c r="N294" s="33">
        <f t="shared" si="95"/>
        <v>7</v>
      </c>
      <c r="O294" s="33">
        <f t="shared" si="110"/>
        <v>15</v>
      </c>
      <c r="P294" s="33">
        <f t="shared" si="110"/>
        <v>18</v>
      </c>
      <c r="Q294" s="33">
        <f t="shared" si="110"/>
        <v>15</v>
      </c>
      <c r="R294" s="35">
        <f t="shared" si="99"/>
        <v>0.05</v>
      </c>
      <c r="S294" s="35">
        <f t="shared" si="100"/>
        <v>0.06</v>
      </c>
      <c r="T294" s="35">
        <f t="shared" si="101"/>
        <v>0.05</v>
      </c>
      <c r="U294" s="35">
        <f t="shared" si="96"/>
        <v>3.8461538461538436E-2</v>
      </c>
      <c r="V294" s="35">
        <f t="shared" si="111"/>
        <v>3.8461538461538436E-2</v>
      </c>
      <c r="W294" s="35">
        <f t="shared" si="111"/>
        <v>0.19028340080971662</v>
      </c>
      <c r="X294" s="35">
        <f t="shared" si="111"/>
        <v>3.8461538461538436E-2</v>
      </c>
      <c r="Y294" s="35">
        <f t="shared" si="111"/>
        <v>3.8461538461538436E-2</v>
      </c>
      <c r="Z294" s="35">
        <f t="shared" si="111"/>
        <v>3.8461538461538436E-2</v>
      </c>
      <c r="AA294" s="35">
        <f t="shared" si="111"/>
        <v>3.8461538461538436E-2</v>
      </c>
    </row>
    <row r="295" spans="2:27" x14ac:dyDescent="0.2">
      <c r="B295" s="2">
        <v>293</v>
      </c>
      <c r="C295" s="2" t="str">
        <f t="shared" si="109"/>
        <v>s</v>
      </c>
      <c r="D295" s="29" t="s">
        <v>31</v>
      </c>
      <c r="E295" s="29" t="s">
        <v>181</v>
      </c>
      <c r="F295" s="2" t="s">
        <v>218</v>
      </c>
      <c r="G295" s="2">
        <f t="shared" si="104"/>
        <v>5</v>
      </c>
      <c r="H295" s="2" t="str">
        <f t="shared" si="94"/>
        <v>冷却</v>
      </c>
      <c r="I295" s="38">
        <f t="shared" si="97"/>
        <v>0.25272727272727274</v>
      </c>
      <c r="J295" s="33">
        <f t="shared" si="98"/>
        <v>91</v>
      </c>
      <c r="K295" s="33">
        <f t="shared" si="110"/>
        <v>67</v>
      </c>
      <c r="L295" s="33">
        <f t="shared" si="110"/>
        <v>9</v>
      </c>
      <c r="M295" s="33">
        <f t="shared" si="110"/>
        <v>43</v>
      </c>
      <c r="N295" s="33">
        <f t="shared" si="95"/>
        <v>8</v>
      </c>
      <c r="O295" s="33">
        <f t="shared" si="110"/>
        <v>19</v>
      </c>
      <c r="P295" s="33">
        <f t="shared" si="110"/>
        <v>22</v>
      </c>
      <c r="Q295" s="33">
        <f t="shared" si="110"/>
        <v>19</v>
      </c>
      <c r="R295" s="35">
        <f t="shared" si="99"/>
        <v>6.3333333333333325E-2</v>
      </c>
      <c r="S295" s="35">
        <f t="shared" si="100"/>
        <v>7.3333333333333334E-2</v>
      </c>
      <c r="T295" s="35">
        <f t="shared" si="101"/>
        <v>6.3333333333333325E-2</v>
      </c>
      <c r="U295" s="35">
        <f t="shared" si="96"/>
        <v>4.7619047619047672E-2</v>
      </c>
      <c r="V295" s="35">
        <f t="shared" si="111"/>
        <v>4.7619047619047672E-2</v>
      </c>
      <c r="W295" s="35">
        <f t="shared" si="111"/>
        <v>0.22779922779922779</v>
      </c>
      <c r="X295" s="35">
        <f t="shared" si="111"/>
        <v>4.7619047619047672E-2</v>
      </c>
      <c r="Y295" s="35">
        <f t="shared" si="111"/>
        <v>4.7619047619047672E-2</v>
      </c>
      <c r="Z295" s="35">
        <f t="shared" si="111"/>
        <v>4.7619047619047672E-2</v>
      </c>
      <c r="AA295" s="35">
        <f t="shared" si="111"/>
        <v>4.7619047619047672E-2</v>
      </c>
    </row>
    <row r="296" spans="2:27" x14ac:dyDescent="0.2">
      <c r="B296" s="2">
        <v>294</v>
      </c>
      <c r="C296" s="2" t="str">
        <f t="shared" si="109"/>
        <v>s</v>
      </c>
      <c r="D296" s="29" t="s">
        <v>31</v>
      </c>
      <c r="E296" s="29" t="s">
        <v>181</v>
      </c>
      <c r="F296" s="2" t="s">
        <v>218</v>
      </c>
      <c r="G296" s="2">
        <f t="shared" si="104"/>
        <v>6</v>
      </c>
      <c r="H296" s="2" t="str">
        <f t="shared" si="94"/>
        <v>冷却</v>
      </c>
      <c r="I296" s="38">
        <f t="shared" si="97"/>
        <v>0.30545454545454548</v>
      </c>
      <c r="J296" s="33">
        <f t="shared" si="98"/>
        <v>110</v>
      </c>
      <c r="K296" s="33">
        <f t="shared" si="110"/>
        <v>81</v>
      </c>
      <c r="L296" s="33">
        <f t="shared" si="110"/>
        <v>11</v>
      </c>
      <c r="M296" s="33">
        <f t="shared" si="110"/>
        <v>51</v>
      </c>
      <c r="N296" s="33">
        <f t="shared" si="95"/>
        <v>10</v>
      </c>
      <c r="O296" s="33">
        <f t="shared" si="110"/>
        <v>23</v>
      </c>
      <c r="P296" s="33">
        <f t="shared" si="110"/>
        <v>27</v>
      </c>
      <c r="Q296" s="33">
        <f t="shared" si="110"/>
        <v>23</v>
      </c>
      <c r="R296" s="35">
        <f t="shared" si="99"/>
        <v>7.6666666666666675E-2</v>
      </c>
      <c r="S296" s="35">
        <f t="shared" si="100"/>
        <v>0.09</v>
      </c>
      <c r="T296" s="35">
        <f t="shared" si="101"/>
        <v>7.6666666666666675E-2</v>
      </c>
      <c r="U296" s="35">
        <f t="shared" si="96"/>
        <v>5.6603773584905648E-2</v>
      </c>
      <c r="V296" s="35">
        <f t="shared" si="111"/>
        <v>5.6603773584905648E-2</v>
      </c>
      <c r="W296" s="35">
        <f t="shared" si="111"/>
        <v>0.26199261992619927</v>
      </c>
      <c r="X296" s="35">
        <f t="shared" si="111"/>
        <v>5.6603773584905648E-2</v>
      </c>
      <c r="Y296" s="35">
        <f t="shared" si="111"/>
        <v>5.6603773584905648E-2</v>
      </c>
      <c r="Z296" s="35">
        <f t="shared" si="111"/>
        <v>5.6603773584905648E-2</v>
      </c>
      <c r="AA296" s="35">
        <f t="shared" si="111"/>
        <v>5.6603773584905648E-2</v>
      </c>
    </row>
    <row r="297" spans="2:27" x14ac:dyDescent="0.2">
      <c r="B297" s="2">
        <v>295</v>
      </c>
      <c r="C297" s="2" t="str">
        <f t="shared" si="109"/>
        <v>s</v>
      </c>
      <c r="D297" s="29" t="s">
        <v>31</v>
      </c>
      <c r="E297" s="29" t="s">
        <v>181</v>
      </c>
      <c r="F297" s="2" t="s">
        <v>218</v>
      </c>
      <c r="G297" s="2">
        <f t="shared" si="104"/>
        <v>7</v>
      </c>
      <c r="H297" s="2" t="str">
        <f t="shared" si="94"/>
        <v>冷却</v>
      </c>
      <c r="I297" s="38">
        <f t="shared" si="97"/>
        <v>0.35545454545454547</v>
      </c>
      <c r="J297" s="33">
        <f t="shared" si="98"/>
        <v>128</v>
      </c>
      <c r="K297" s="33">
        <f t="shared" si="110"/>
        <v>94</v>
      </c>
      <c r="L297" s="33">
        <f t="shared" si="110"/>
        <v>13</v>
      </c>
      <c r="M297" s="33">
        <f t="shared" si="110"/>
        <v>60</v>
      </c>
      <c r="N297" s="33">
        <f t="shared" si="95"/>
        <v>11</v>
      </c>
      <c r="O297" s="33">
        <f t="shared" si="110"/>
        <v>27</v>
      </c>
      <c r="P297" s="33">
        <f t="shared" si="110"/>
        <v>31</v>
      </c>
      <c r="Q297" s="33">
        <f t="shared" si="110"/>
        <v>27</v>
      </c>
      <c r="R297" s="35">
        <f t="shared" si="99"/>
        <v>0.09</v>
      </c>
      <c r="S297" s="35">
        <f t="shared" si="100"/>
        <v>0.10333333333333333</v>
      </c>
      <c r="T297" s="35">
        <f t="shared" si="101"/>
        <v>0.09</v>
      </c>
      <c r="U297" s="35">
        <f t="shared" si="96"/>
        <v>6.5420560747663559E-2</v>
      </c>
      <c r="V297" s="35">
        <f t="shared" si="111"/>
        <v>6.5420560747663559E-2</v>
      </c>
      <c r="W297" s="35">
        <f t="shared" si="111"/>
        <v>0.29078014184397161</v>
      </c>
      <c r="X297" s="35">
        <f t="shared" si="111"/>
        <v>6.5420560747663559E-2</v>
      </c>
      <c r="Y297" s="35">
        <f t="shared" si="111"/>
        <v>6.5420560747663559E-2</v>
      </c>
      <c r="Z297" s="35">
        <f t="shared" si="111"/>
        <v>6.5420560747663559E-2</v>
      </c>
      <c r="AA297" s="35">
        <f t="shared" si="111"/>
        <v>6.5420560747663559E-2</v>
      </c>
    </row>
    <row r="298" spans="2:27" x14ac:dyDescent="0.2">
      <c r="B298" s="2">
        <v>296</v>
      </c>
      <c r="C298" s="2" t="str">
        <f t="shared" si="109"/>
        <v>s</v>
      </c>
      <c r="D298" s="29" t="s">
        <v>31</v>
      </c>
      <c r="E298" s="29" t="s">
        <v>181</v>
      </c>
      <c r="F298" s="2" t="s">
        <v>218</v>
      </c>
      <c r="G298" s="2">
        <f t="shared" si="104"/>
        <v>8</v>
      </c>
      <c r="H298" s="2" t="str">
        <f t="shared" si="94"/>
        <v>冷却</v>
      </c>
      <c r="I298" s="38">
        <f t="shared" si="97"/>
        <v>0.40727272727272729</v>
      </c>
      <c r="J298" s="33">
        <f t="shared" si="98"/>
        <v>146</v>
      </c>
      <c r="K298" s="33">
        <f t="shared" si="110"/>
        <v>108</v>
      </c>
      <c r="L298" s="33">
        <f t="shared" si="110"/>
        <v>15</v>
      </c>
      <c r="M298" s="33">
        <f t="shared" si="110"/>
        <v>68</v>
      </c>
      <c r="N298" s="33">
        <f t="shared" si="95"/>
        <v>13</v>
      </c>
      <c r="O298" s="33">
        <f t="shared" si="110"/>
        <v>31</v>
      </c>
      <c r="P298" s="33">
        <f t="shared" si="110"/>
        <v>36</v>
      </c>
      <c r="Q298" s="33">
        <f t="shared" si="110"/>
        <v>31</v>
      </c>
      <c r="R298" s="35">
        <f t="shared" si="99"/>
        <v>0.10333333333333333</v>
      </c>
      <c r="S298" s="35">
        <f t="shared" si="100"/>
        <v>0.12</v>
      </c>
      <c r="T298" s="35">
        <f t="shared" si="101"/>
        <v>0.10333333333333333</v>
      </c>
      <c r="U298" s="35">
        <f t="shared" si="96"/>
        <v>7.407407407407407E-2</v>
      </c>
      <c r="V298" s="35">
        <f t="shared" si="111"/>
        <v>7.407407407407407E-2</v>
      </c>
      <c r="W298" s="35">
        <f t="shared" si="111"/>
        <v>0.31972789115646261</v>
      </c>
      <c r="X298" s="35">
        <f t="shared" si="111"/>
        <v>7.407407407407407E-2</v>
      </c>
      <c r="Y298" s="35">
        <f t="shared" si="111"/>
        <v>7.407407407407407E-2</v>
      </c>
      <c r="Z298" s="35">
        <f t="shared" si="111"/>
        <v>7.407407407407407E-2</v>
      </c>
      <c r="AA298" s="35">
        <f t="shared" si="111"/>
        <v>7.407407407407407E-2</v>
      </c>
    </row>
    <row r="299" spans="2:27" x14ac:dyDescent="0.2">
      <c r="B299" s="2">
        <v>297</v>
      </c>
      <c r="C299" s="2" t="str">
        <f t="shared" si="109"/>
        <v>a</v>
      </c>
      <c r="D299" s="29" t="s">
        <v>31</v>
      </c>
      <c r="E299" s="29" t="s">
        <v>181</v>
      </c>
      <c r="F299" s="2" t="s">
        <v>218</v>
      </c>
      <c r="G299" s="2">
        <f t="shared" si="104"/>
        <v>1</v>
      </c>
      <c r="H299" s="2" t="str">
        <f t="shared" si="94"/>
        <v>冷却</v>
      </c>
      <c r="I299" s="38">
        <f t="shared" si="97"/>
        <v>0.1</v>
      </c>
      <c r="J299" s="33">
        <f t="shared" si="98"/>
        <v>14</v>
      </c>
      <c r="K299" s="33">
        <f t="shared" si="110"/>
        <v>14</v>
      </c>
      <c r="L299" s="33">
        <f t="shared" si="110"/>
        <v>1</v>
      </c>
      <c r="M299" s="33">
        <f t="shared" si="110"/>
        <v>9</v>
      </c>
      <c r="N299" s="33">
        <f t="shared" si="95"/>
        <v>2</v>
      </c>
      <c r="O299" s="33">
        <f t="shared" si="110"/>
        <v>4</v>
      </c>
      <c r="P299" s="33">
        <f t="shared" si="110"/>
        <v>4</v>
      </c>
      <c r="Q299" s="33">
        <f t="shared" si="110"/>
        <v>4</v>
      </c>
      <c r="R299" s="35">
        <f t="shared" si="99"/>
        <v>1.3333333333333332E-2</v>
      </c>
      <c r="S299" s="35">
        <f t="shared" si="100"/>
        <v>1.3333333333333332E-2</v>
      </c>
      <c r="T299" s="35">
        <f t="shared" si="101"/>
        <v>1.3333333333333332E-2</v>
      </c>
      <c r="U299" s="35">
        <f t="shared" si="96"/>
        <v>9.9009900990099098E-3</v>
      </c>
      <c r="V299" s="35">
        <f t="shared" si="111"/>
        <v>9.9009900990099098E-3</v>
      </c>
      <c r="W299" s="35">
        <f t="shared" si="111"/>
        <v>5.6603773584905648E-2</v>
      </c>
      <c r="X299" s="35">
        <f t="shared" si="111"/>
        <v>9.9009900990099098E-3</v>
      </c>
      <c r="Y299" s="35">
        <f t="shared" si="111"/>
        <v>9.9009900990099098E-3</v>
      </c>
      <c r="Z299" s="35">
        <f t="shared" si="111"/>
        <v>9.9009900990099098E-3</v>
      </c>
      <c r="AA299" s="35">
        <f t="shared" si="111"/>
        <v>9.9009900990099098E-3</v>
      </c>
    </row>
    <row r="300" spans="2:27" x14ac:dyDescent="0.2">
      <c r="B300" s="2">
        <v>298</v>
      </c>
      <c r="C300" s="2" t="str">
        <f t="shared" si="109"/>
        <v>a</v>
      </c>
      <c r="D300" s="29" t="s">
        <v>31</v>
      </c>
      <c r="E300" s="29" t="s">
        <v>181</v>
      </c>
      <c r="F300" s="2" t="s">
        <v>218</v>
      </c>
      <c r="G300" s="2">
        <f t="shared" si="104"/>
        <v>2</v>
      </c>
      <c r="H300" s="2" t="str">
        <f t="shared" si="94"/>
        <v>冷却</v>
      </c>
      <c r="I300" s="38">
        <f t="shared" si="97"/>
        <v>0.1</v>
      </c>
      <c r="J300" s="33">
        <f t="shared" si="98"/>
        <v>28</v>
      </c>
      <c r="K300" s="33">
        <f t="shared" si="110"/>
        <v>28</v>
      </c>
      <c r="L300" s="33">
        <f t="shared" si="110"/>
        <v>3</v>
      </c>
      <c r="M300" s="33">
        <f t="shared" si="110"/>
        <v>18</v>
      </c>
      <c r="N300" s="33">
        <f t="shared" si="95"/>
        <v>4</v>
      </c>
      <c r="O300" s="33">
        <f t="shared" si="110"/>
        <v>8</v>
      </c>
      <c r="P300" s="33">
        <f t="shared" si="110"/>
        <v>9</v>
      </c>
      <c r="Q300" s="33">
        <f t="shared" si="110"/>
        <v>8</v>
      </c>
      <c r="R300" s="35">
        <f t="shared" si="99"/>
        <v>2.6666666666666665E-2</v>
      </c>
      <c r="S300" s="35">
        <f t="shared" si="100"/>
        <v>0.03</v>
      </c>
      <c r="T300" s="35">
        <f t="shared" si="101"/>
        <v>2.6666666666666665E-2</v>
      </c>
      <c r="U300" s="35">
        <f t="shared" si="96"/>
        <v>1.9607843137254943E-2</v>
      </c>
      <c r="V300" s="35">
        <f t="shared" si="111"/>
        <v>1.9607843137254943E-2</v>
      </c>
      <c r="W300" s="35">
        <f t="shared" si="111"/>
        <v>0.11111111111111116</v>
      </c>
      <c r="X300" s="35">
        <f t="shared" si="111"/>
        <v>1.9607843137254943E-2</v>
      </c>
      <c r="Y300" s="35">
        <f t="shared" si="111"/>
        <v>1.9607843137254943E-2</v>
      </c>
      <c r="Z300" s="35">
        <f t="shared" si="111"/>
        <v>1.9607843137254943E-2</v>
      </c>
      <c r="AA300" s="35">
        <f t="shared" si="111"/>
        <v>1.9607843137254943E-2</v>
      </c>
    </row>
    <row r="301" spans="2:27" x14ac:dyDescent="0.2">
      <c r="B301" s="2">
        <v>299</v>
      </c>
      <c r="C301" s="2" t="str">
        <f t="shared" si="109"/>
        <v>a</v>
      </c>
      <c r="D301" s="29" t="s">
        <v>31</v>
      </c>
      <c r="E301" s="29" t="s">
        <v>181</v>
      </c>
      <c r="F301" s="2" t="s">
        <v>218</v>
      </c>
      <c r="G301" s="2">
        <f t="shared" si="104"/>
        <v>3</v>
      </c>
      <c r="H301" s="2" t="str">
        <f t="shared" si="94"/>
        <v>冷却</v>
      </c>
      <c r="I301" s="38">
        <f t="shared" si="97"/>
        <v>0.14454545454545456</v>
      </c>
      <c r="J301" s="33">
        <f t="shared" si="98"/>
        <v>42</v>
      </c>
      <c r="K301" s="33">
        <f t="shared" si="110"/>
        <v>42</v>
      </c>
      <c r="L301" s="33">
        <f t="shared" si="110"/>
        <v>5</v>
      </c>
      <c r="M301" s="33">
        <f t="shared" si="110"/>
        <v>27</v>
      </c>
      <c r="N301" s="33">
        <f t="shared" si="95"/>
        <v>5</v>
      </c>
      <c r="O301" s="33">
        <f t="shared" si="110"/>
        <v>12</v>
      </c>
      <c r="P301" s="33">
        <f t="shared" si="110"/>
        <v>14</v>
      </c>
      <c r="Q301" s="33">
        <f t="shared" si="110"/>
        <v>12</v>
      </c>
      <c r="R301" s="35">
        <f t="shared" si="99"/>
        <v>0.04</v>
      </c>
      <c r="S301" s="35">
        <f t="shared" si="100"/>
        <v>4.6666666666666669E-2</v>
      </c>
      <c r="T301" s="35">
        <f t="shared" si="101"/>
        <v>0.04</v>
      </c>
      <c r="U301" s="35">
        <f t="shared" si="96"/>
        <v>2.9126213592232997E-2</v>
      </c>
      <c r="V301" s="35">
        <f t="shared" si="111"/>
        <v>2.9126213592232997E-2</v>
      </c>
      <c r="W301" s="35">
        <f t="shared" si="111"/>
        <v>0.15611814345991559</v>
      </c>
      <c r="X301" s="35">
        <f t="shared" si="111"/>
        <v>2.9126213592232997E-2</v>
      </c>
      <c r="Y301" s="35">
        <f t="shared" si="111"/>
        <v>2.9126213592232997E-2</v>
      </c>
      <c r="Z301" s="35">
        <f t="shared" si="111"/>
        <v>2.9126213592232997E-2</v>
      </c>
      <c r="AA301" s="35">
        <f t="shared" si="111"/>
        <v>2.9126213592232997E-2</v>
      </c>
    </row>
    <row r="302" spans="2:27" x14ac:dyDescent="0.2">
      <c r="B302" s="2">
        <v>300</v>
      </c>
      <c r="C302" s="2" t="str">
        <f t="shared" si="109"/>
        <v>a</v>
      </c>
      <c r="D302" s="29" t="s">
        <v>31</v>
      </c>
      <c r="E302" s="29" t="s">
        <v>181</v>
      </c>
      <c r="F302" s="2" t="s">
        <v>218</v>
      </c>
      <c r="G302" s="2">
        <f t="shared" si="104"/>
        <v>4</v>
      </c>
      <c r="H302" s="2" t="str">
        <f t="shared" si="94"/>
        <v>冷却</v>
      </c>
      <c r="I302" s="38">
        <f t="shared" si="97"/>
        <v>0.19454545454545452</v>
      </c>
      <c r="J302" s="33">
        <f t="shared" si="98"/>
        <v>56</v>
      </c>
      <c r="K302" s="33">
        <f t="shared" si="110"/>
        <v>57</v>
      </c>
      <c r="L302" s="33">
        <f t="shared" si="110"/>
        <v>7</v>
      </c>
      <c r="M302" s="33">
        <f t="shared" si="110"/>
        <v>36</v>
      </c>
      <c r="N302" s="33">
        <f t="shared" si="95"/>
        <v>7</v>
      </c>
      <c r="O302" s="33">
        <f t="shared" si="110"/>
        <v>16</v>
      </c>
      <c r="P302" s="33">
        <f t="shared" si="110"/>
        <v>19</v>
      </c>
      <c r="Q302" s="33">
        <f t="shared" si="110"/>
        <v>16</v>
      </c>
      <c r="R302" s="35">
        <f t="shared" si="99"/>
        <v>5.333333333333333E-2</v>
      </c>
      <c r="S302" s="35">
        <f t="shared" si="100"/>
        <v>6.3333333333333325E-2</v>
      </c>
      <c r="T302" s="35">
        <f t="shared" si="101"/>
        <v>5.333333333333333E-2</v>
      </c>
      <c r="U302" s="35">
        <f t="shared" si="96"/>
        <v>3.8461538461538436E-2</v>
      </c>
      <c r="V302" s="35">
        <f t="shared" si="111"/>
        <v>3.8461538461538436E-2</v>
      </c>
      <c r="W302" s="35">
        <f t="shared" si="111"/>
        <v>0.19999999999999996</v>
      </c>
      <c r="X302" s="35">
        <f t="shared" si="111"/>
        <v>3.8461538461538436E-2</v>
      </c>
      <c r="Y302" s="35">
        <f t="shared" si="111"/>
        <v>3.8461538461538436E-2</v>
      </c>
      <c r="Z302" s="35">
        <f t="shared" si="111"/>
        <v>3.8461538461538436E-2</v>
      </c>
      <c r="AA302" s="35">
        <f t="shared" si="111"/>
        <v>3.8461538461538436E-2</v>
      </c>
    </row>
    <row r="303" spans="2:27" x14ac:dyDescent="0.2">
      <c r="B303" s="2">
        <v>301</v>
      </c>
      <c r="C303" s="2" t="str">
        <f t="shared" si="109"/>
        <v>a</v>
      </c>
      <c r="D303" s="29" t="s">
        <v>31</v>
      </c>
      <c r="E303" s="29" t="s">
        <v>181</v>
      </c>
      <c r="F303" s="2" t="s">
        <v>218</v>
      </c>
      <c r="G303" s="2">
        <f t="shared" si="104"/>
        <v>5</v>
      </c>
      <c r="H303" s="2" t="str">
        <f t="shared" si="94"/>
        <v>冷却</v>
      </c>
      <c r="I303" s="38">
        <f t="shared" si="97"/>
        <v>0.24272727272727274</v>
      </c>
      <c r="J303" s="33">
        <f t="shared" si="98"/>
        <v>70</v>
      </c>
      <c r="K303" s="33">
        <f t="shared" ref="K303:Q312" si="112">INT((1+VLOOKUP($F303,role_property_weight,getpos(K$2),FALSE))*(1+VLOOKUP($F303,weapon_property_weight,getpos(K$2),FALSE))*VLOOKUP($E303,role_grow,getpos(K$2),FALSE)*$G303*10*VLOOKUP($C303,weapon_grow1,5,FALSE))</f>
        <v>71</v>
      </c>
      <c r="L303" s="33">
        <f t="shared" si="112"/>
        <v>9</v>
      </c>
      <c r="M303" s="33">
        <f t="shared" si="112"/>
        <v>45</v>
      </c>
      <c r="N303" s="33">
        <f t="shared" si="95"/>
        <v>9</v>
      </c>
      <c r="O303" s="33">
        <f t="shared" si="112"/>
        <v>20</v>
      </c>
      <c r="P303" s="33">
        <f t="shared" si="112"/>
        <v>23</v>
      </c>
      <c r="Q303" s="33">
        <f t="shared" si="112"/>
        <v>20</v>
      </c>
      <c r="R303" s="35">
        <f t="shared" si="99"/>
        <v>6.6666666666666666E-2</v>
      </c>
      <c r="S303" s="35">
        <f t="shared" si="100"/>
        <v>7.6666666666666675E-2</v>
      </c>
      <c r="T303" s="35">
        <f t="shared" si="101"/>
        <v>6.6666666666666666E-2</v>
      </c>
      <c r="U303" s="35">
        <f t="shared" si="96"/>
        <v>4.7619047619047672E-2</v>
      </c>
      <c r="V303" s="35">
        <f t="shared" ref="V303:AA312" si="113">1-200/(200+ROUND((1+VLOOKUP($F303,role_property_weight,getpos(V$2),FALSE))*VLOOKUP($E303,role_grow,getpos(V$2),FALSE)*$G303*10*VLOOKUP($C303,weapon_grow1,5,FALSE),0))</f>
        <v>4.7619047619047672E-2</v>
      </c>
      <c r="W303" s="35">
        <f t="shared" si="113"/>
        <v>0.23664122137404575</v>
      </c>
      <c r="X303" s="35">
        <f t="shared" si="113"/>
        <v>4.7619047619047672E-2</v>
      </c>
      <c r="Y303" s="35">
        <f t="shared" si="113"/>
        <v>4.7619047619047672E-2</v>
      </c>
      <c r="Z303" s="35">
        <f t="shared" si="113"/>
        <v>4.7619047619047672E-2</v>
      </c>
      <c r="AA303" s="35">
        <f t="shared" si="113"/>
        <v>4.7619047619047672E-2</v>
      </c>
    </row>
    <row r="304" spans="2:27" x14ac:dyDescent="0.2">
      <c r="B304" s="2">
        <v>302</v>
      </c>
      <c r="C304" s="2" t="str">
        <f t="shared" si="109"/>
        <v>a</v>
      </c>
      <c r="D304" s="29" t="s">
        <v>31</v>
      </c>
      <c r="E304" s="29" t="s">
        <v>181</v>
      </c>
      <c r="F304" s="2" t="s">
        <v>218</v>
      </c>
      <c r="G304" s="2">
        <f t="shared" si="104"/>
        <v>6</v>
      </c>
      <c r="H304" s="2" t="str">
        <f t="shared" si="94"/>
        <v>冷却</v>
      </c>
      <c r="I304" s="38">
        <f t="shared" si="97"/>
        <v>0.29090909090909089</v>
      </c>
      <c r="J304" s="33">
        <f t="shared" si="98"/>
        <v>84</v>
      </c>
      <c r="K304" s="33">
        <f t="shared" si="112"/>
        <v>85</v>
      </c>
      <c r="L304" s="33">
        <f t="shared" si="112"/>
        <v>11</v>
      </c>
      <c r="M304" s="33">
        <f t="shared" si="112"/>
        <v>54</v>
      </c>
      <c r="N304" s="33">
        <f t="shared" si="95"/>
        <v>10</v>
      </c>
      <c r="O304" s="33">
        <f t="shared" si="112"/>
        <v>24</v>
      </c>
      <c r="P304" s="33">
        <f t="shared" si="112"/>
        <v>28</v>
      </c>
      <c r="Q304" s="33">
        <f t="shared" si="112"/>
        <v>24</v>
      </c>
      <c r="R304" s="35">
        <f t="shared" si="99"/>
        <v>0.08</v>
      </c>
      <c r="S304" s="35">
        <f t="shared" si="100"/>
        <v>9.3333333333333338E-2</v>
      </c>
      <c r="T304" s="35">
        <f t="shared" si="101"/>
        <v>0.08</v>
      </c>
      <c r="U304" s="35">
        <f t="shared" si="96"/>
        <v>5.6603773584905648E-2</v>
      </c>
      <c r="V304" s="35">
        <f t="shared" si="113"/>
        <v>5.6603773584905648E-2</v>
      </c>
      <c r="W304" s="35">
        <f t="shared" si="113"/>
        <v>0.27007299270072993</v>
      </c>
      <c r="X304" s="35">
        <f t="shared" si="113"/>
        <v>5.6603773584905648E-2</v>
      </c>
      <c r="Y304" s="35">
        <f t="shared" si="113"/>
        <v>5.6603773584905648E-2</v>
      </c>
      <c r="Z304" s="35">
        <f t="shared" si="113"/>
        <v>5.6603773584905648E-2</v>
      </c>
      <c r="AA304" s="35">
        <f t="shared" si="113"/>
        <v>5.6603773584905648E-2</v>
      </c>
    </row>
    <row r="305" spans="2:27" x14ac:dyDescent="0.2">
      <c r="B305" s="2">
        <v>303</v>
      </c>
      <c r="C305" s="2" t="str">
        <f t="shared" si="109"/>
        <v>a</v>
      </c>
      <c r="D305" s="29" t="s">
        <v>31</v>
      </c>
      <c r="E305" s="29" t="s">
        <v>181</v>
      </c>
      <c r="F305" s="2" t="s">
        <v>218</v>
      </c>
      <c r="G305" s="2">
        <f t="shared" si="104"/>
        <v>7</v>
      </c>
      <c r="H305" s="2" t="str">
        <f t="shared" si="94"/>
        <v>冷却</v>
      </c>
      <c r="I305" s="38">
        <f t="shared" si="97"/>
        <v>0.34</v>
      </c>
      <c r="J305" s="33">
        <f t="shared" si="98"/>
        <v>98</v>
      </c>
      <c r="K305" s="33">
        <f t="shared" si="112"/>
        <v>99</v>
      </c>
      <c r="L305" s="33">
        <f t="shared" si="112"/>
        <v>13</v>
      </c>
      <c r="M305" s="33">
        <f t="shared" si="112"/>
        <v>63</v>
      </c>
      <c r="N305" s="33">
        <f t="shared" si="95"/>
        <v>12</v>
      </c>
      <c r="O305" s="33">
        <f t="shared" si="112"/>
        <v>28</v>
      </c>
      <c r="P305" s="33">
        <f t="shared" si="112"/>
        <v>33</v>
      </c>
      <c r="Q305" s="33">
        <f t="shared" si="112"/>
        <v>28</v>
      </c>
      <c r="R305" s="35">
        <f t="shared" si="99"/>
        <v>9.3333333333333338E-2</v>
      </c>
      <c r="S305" s="35">
        <f t="shared" si="100"/>
        <v>0.11</v>
      </c>
      <c r="T305" s="35">
        <f t="shared" si="101"/>
        <v>9.3333333333333338E-2</v>
      </c>
      <c r="U305" s="35">
        <f t="shared" si="96"/>
        <v>6.5420560747663559E-2</v>
      </c>
      <c r="V305" s="35">
        <f t="shared" si="113"/>
        <v>6.5420560747663559E-2</v>
      </c>
      <c r="W305" s="35">
        <f t="shared" si="113"/>
        <v>0.30313588850174211</v>
      </c>
      <c r="X305" s="35">
        <f t="shared" si="113"/>
        <v>6.5420560747663559E-2</v>
      </c>
      <c r="Y305" s="35">
        <f t="shared" si="113"/>
        <v>6.5420560747663559E-2</v>
      </c>
      <c r="Z305" s="35">
        <f t="shared" si="113"/>
        <v>6.5420560747663559E-2</v>
      </c>
      <c r="AA305" s="35">
        <f t="shared" si="113"/>
        <v>6.5420560747663559E-2</v>
      </c>
    </row>
    <row r="306" spans="2:27" x14ac:dyDescent="0.2">
      <c r="B306" s="2">
        <v>304</v>
      </c>
      <c r="C306" s="2" t="str">
        <f t="shared" si="109"/>
        <v>a</v>
      </c>
      <c r="D306" s="29" t="s">
        <v>31</v>
      </c>
      <c r="E306" s="29" t="s">
        <v>181</v>
      </c>
      <c r="F306" s="2" t="s">
        <v>218</v>
      </c>
      <c r="G306" s="2">
        <f t="shared" si="104"/>
        <v>8</v>
      </c>
      <c r="H306" s="2" t="str">
        <f t="shared" si="94"/>
        <v>冷却</v>
      </c>
      <c r="I306" s="38">
        <f t="shared" si="97"/>
        <v>0.39181818181818179</v>
      </c>
      <c r="J306" s="33">
        <f t="shared" si="98"/>
        <v>112</v>
      </c>
      <c r="K306" s="33">
        <f t="shared" si="112"/>
        <v>114</v>
      </c>
      <c r="L306" s="33">
        <f t="shared" si="112"/>
        <v>15</v>
      </c>
      <c r="M306" s="33">
        <f t="shared" si="112"/>
        <v>72</v>
      </c>
      <c r="N306" s="33">
        <f t="shared" si="95"/>
        <v>14</v>
      </c>
      <c r="O306" s="33">
        <f t="shared" si="112"/>
        <v>33</v>
      </c>
      <c r="P306" s="33">
        <f t="shared" si="112"/>
        <v>38</v>
      </c>
      <c r="Q306" s="33">
        <f t="shared" si="112"/>
        <v>33</v>
      </c>
      <c r="R306" s="35">
        <f t="shared" si="99"/>
        <v>0.11</v>
      </c>
      <c r="S306" s="35">
        <f t="shared" si="100"/>
        <v>0.12666666666666665</v>
      </c>
      <c r="T306" s="35">
        <f t="shared" si="101"/>
        <v>0.11</v>
      </c>
      <c r="U306" s="35">
        <f t="shared" si="96"/>
        <v>7.8341013824884786E-2</v>
      </c>
      <c r="V306" s="35">
        <f t="shared" si="113"/>
        <v>7.8341013824884786E-2</v>
      </c>
      <c r="W306" s="35">
        <f t="shared" si="113"/>
        <v>0.33110367892976589</v>
      </c>
      <c r="X306" s="35">
        <f t="shared" si="113"/>
        <v>7.8341013824884786E-2</v>
      </c>
      <c r="Y306" s="35">
        <f t="shared" si="113"/>
        <v>7.8341013824884786E-2</v>
      </c>
      <c r="Z306" s="35">
        <f t="shared" si="113"/>
        <v>7.8341013824884786E-2</v>
      </c>
      <c r="AA306" s="35">
        <f t="shared" si="113"/>
        <v>7.8341013824884786E-2</v>
      </c>
    </row>
    <row r="307" spans="2:27" x14ac:dyDescent="0.2">
      <c r="B307" s="2">
        <v>305</v>
      </c>
      <c r="C307" s="2" t="str">
        <f t="shared" si="109"/>
        <v>b</v>
      </c>
      <c r="D307" s="29" t="s">
        <v>31</v>
      </c>
      <c r="E307" s="29" t="s">
        <v>181</v>
      </c>
      <c r="F307" s="2" t="s">
        <v>218</v>
      </c>
      <c r="G307" s="2">
        <f t="shared" si="104"/>
        <v>1</v>
      </c>
      <c r="H307" s="2" t="str">
        <f t="shared" si="94"/>
        <v>冷却</v>
      </c>
      <c r="I307" s="38">
        <f t="shared" si="97"/>
        <v>0.1</v>
      </c>
      <c r="J307" s="33">
        <f t="shared" si="98"/>
        <v>15</v>
      </c>
      <c r="K307" s="33">
        <f t="shared" si="112"/>
        <v>17</v>
      </c>
      <c r="L307" s="33">
        <f t="shared" si="112"/>
        <v>2</v>
      </c>
      <c r="M307" s="33">
        <f t="shared" si="112"/>
        <v>11</v>
      </c>
      <c r="N307" s="33">
        <f t="shared" si="95"/>
        <v>3</v>
      </c>
      <c r="O307" s="33">
        <f t="shared" si="112"/>
        <v>5</v>
      </c>
      <c r="P307" s="33">
        <f t="shared" si="112"/>
        <v>6</v>
      </c>
      <c r="Q307" s="33">
        <f t="shared" si="112"/>
        <v>5</v>
      </c>
      <c r="R307" s="35">
        <f t="shared" si="99"/>
        <v>1.6666666666666666E-2</v>
      </c>
      <c r="S307" s="35">
        <f t="shared" si="100"/>
        <v>0.02</v>
      </c>
      <c r="T307" s="35">
        <f t="shared" si="101"/>
        <v>1.6666666666666666E-2</v>
      </c>
      <c r="U307" s="35">
        <f t="shared" si="96"/>
        <v>1.4778325123152691E-2</v>
      </c>
      <c r="V307" s="35">
        <f t="shared" si="113"/>
        <v>1.4778325123152691E-2</v>
      </c>
      <c r="W307" s="35">
        <f t="shared" si="113"/>
        <v>7.407407407407407E-2</v>
      </c>
      <c r="X307" s="35">
        <f t="shared" si="113"/>
        <v>1.4778325123152691E-2</v>
      </c>
      <c r="Y307" s="35">
        <f t="shared" si="113"/>
        <v>1.4778325123152691E-2</v>
      </c>
      <c r="Z307" s="35">
        <f t="shared" si="113"/>
        <v>1.4778325123152691E-2</v>
      </c>
      <c r="AA307" s="35">
        <f t="shared" si="113"/>
        <v>1.4778325123152691E-2</v>
      </c>
    </row>
    <row r="308" spans="2:27" x14ac:dyDescent="0.2">
      <c r="B308" s="2">
        <v>306</v>
      </c>
      <c r="C308" s="2" t="str">
        <f t="shared" si="109"/>
        <v>b</v>
      </c>
      <c r="D308" s="29" t="s">
        <v>31</v>
      </c>
      <c r="E308" s="29" t="s">
        <v>181</v>
      </c>
      <c r="F308" s="2" t="s">
        <v>218</v>
      </c>
      <c r="G308" s="2">
        <f t="shared" si="104"/>
        <v>2</v>
      </c>
      <c r="H308" s="2" t="str">
        <f t="shared" si="94"/>
        <v>冷却</v>
      </c>
      <c r="I308" s="38">
        <f t="shared" si="97"/>
        <v>0.11636363636363636</v>
      </c>
      <c r="J308" s="33">
        <f t="shared" si="98"/>
        <v>30</v>
      </c>
      <c r="K308" s="33">
        <f t="shared" si="112"/>
        <v>35</v>
      </c>
      <c r="L308" s="33">
        <f t="shared" si="112"/>
        <v>4</v>
      </c>
      <c r="M308" s="33">
        <f t="shared" si="112"/>
        <v>22</v>
      </c>
      <c r="N308" s="33">
        <f t="shared" si="95"/>
        <v>5</v>
      </c>
      <c r="O308" s="33">
        <f t="shared" si="112"/>
        <v>10</v>
      </c>
      <c r="P308" s="33">
        <f t="shared" si="112"/>
        <v>12</v>
      </c>
      <c r="Q308" s="33">
        <f t="shared" si="112"/>
        <v>10</v>
      </c>
      <c r="R308" s="35">
        <f t="shared" si="99"/>
        <v>3.3333333333333333E-2</v>
      </c>
      <c r="S308" s="35">
        <f t="shared" si="100"/>
        <v>0.04</v>
      </c>
      <c r="T308" s="35">
        <f t="shared" si="101"/>
        <v>3.3333333333333333E-2</v>
      </c>
      <c r="U308" s="35">
        <f t="shared" si="96"/>
        <v>2.4390243902439046E-2</v>
      </c>
      <c r="V308" s="35">
        <f t="shared" si="113"/>
        <v>2.4390243902439046E-2</v>
      </c>
      <c r="W308" s="35">
        <f t="shared" si="113"/>
        <v>0.13419913419913421</v>
      </c>
      <c r="X308" s="35">
        <f t="shared" si="113"/>
        <v>2.4390243902439046E-2</v>
      </c>
      <c r="Y308" s="35">
        <f t="shared" si="113"/>
        <v>2.4390243902439046E-2</v>
      </c>
      <c r="Z308" s="35">
        <f t="shared" si="113"/>
        <v>2.4390243902439046E-2</v>
      </c>
      <c r="AA308" s="35">
        <f t="shared" si="113"/>
        <v>2.4390243902439046E-2</v>
      </c>
    </row>
    <row r="309" spans="2:27" x14ac:dyDescent="0.2">
      <c r="B309" s="2">
        <v>307</v>
      </c>
      <c r="C309" s="2" t="str">
        <f t="shared" si="109"/>
        <v>b</v>
      </c>
      <c r="D309" s="29" t="s">
        <v>31</v>
      </c>
      <c r="E309" s="29" t="s">
        <v>181</v>
      </c>
      <c r="F309" s="2" t="s">
        <v>218</v>
      </c>
      <c r="G309" s="2">
        <f t="shared" si="104"/>
        <v>3</v>
      </c>
      <c r="H309" s="2" t="str">
        <f t="shared" si="94"/>
        <v>冷却</v>
      </c>
      <c r="I309" s="38">
        <f t="shared" si="97"/>
        <v>0.17636363636363636</v>
      </c>
      <c r="J309" s="33">
        <f t="shared" si="98"/>
        <v>45</v>
      </c>
      <c r="K309" s="33">
        <f t="shared" si="112"/>
        <v>53</v>
      </c>
      <c r="L309" s="33">
        <f t="shared" si="112"/>
        <v>7</v>
      </c>
      <c r="M309" s="33">
        <f t="shared" si="112"/>
        <v>34</v>
      </c>
      <c r="N309" s="33">
        <f t="shared" si="95"/>
        <v>7</v>
      </c>
      <c r="O309" s="33">
        <f t="shared" si="112"/>
        <v>15</v>
      </c>
      <c r="P309" s="33">
        <f t="shared" si="112"/>
        <v>18</v>
      </c>
      <c r="Q309" s="33">
        <f t="shared" si="112"/>
        <v>15</v>
      </c>
      <c r="R309" s="35">
        <f t="shared" si="99"/>
        <v>0.05</v>
      </c>
      <c r="S309" s="35">
        <f t="shared" si="100"/>
        <v>0.06</v>
      </c>
      <c r="T309" s="35">
        <f t="shared" si="101"/>
        <v>0.05</v>
      </c>
      <c r="U309" s="35">
        <f t="shared" si="96"/>
        <v>3.8461538461538436E-2</v>
      </c>
      <c r="V309" s="35">
        <f t="shared" si="113"/>
        <v>3.8461538461538436E-2</v>
      </c>
      <c r="W309" s="35">
        <f t="shared" si="113"/>
        <v>0.19028340080971662</v>
      </c>
      <c r="X309" s="35">
        <f t="shared" si="113"/>
        <v>3.8461538461538436E-2</v>
      </c>
      <c r="Y309" s="35">
        <f t="shared" si="113"/>
        <v>3.8461538461538436E-2</v>
      </c>
      <c r="Z309" s="35">
        <f t="shared" si="113"/>
        <v>3.8461538461538436E-2</v>
      </c>
      <c r="AA309" s="35">
        <f t="shared" si="113"/>
        <v>3.8461538461538436E-2</v>
      </c>
    </row>
    <row r="310" spans="2:27" x14ac:dyDescent="0.2">
      <c r="B310" s="2">
        <v>308</v>
      </c>
      <c r="C310" s="2" t="str">
        <f t="shared" si="109"/>
        <v>b</v>
      </c>
      <c r="D310" s="29" t="s">
        <v>31</v>
      </c>
      <c r="E310" s="29" t="s">
        <v>181</v>
      </c>
      <c r="F310" s="2" t="s">
        <v>218</v>
      </c>
      <c r="G310" s="2">
        <f t="shared" si="104"/>
        <v>4</v>
      </c>
      <c r="H310" s="2" t="str">
        <f t="shared" si="94"/>
        <v>冷却</v>
      </c>
      <c r="I310" s="38">
        <f t="shared" si="97"/>
        <v>0.23454545454545453</v>
      </c>
      <c r="J310" s="33">
        <f t="shared" si="98"/>
        <v>60</v>
      </c>
      <c r="K310" s="33">
        <f t="shared" si="112"/>
        <v>71</v>
      </c>
      <c r="L310" s="33">
        <f t="shared" si="112"/>
        <v>9</v>
      </c>
      <c r="M310" s="33">
        <f t="shared" si="112"/>
        <v>45</v>
      </c>
      <c r="N310" s="33">
        <f t="shared" si="95"/>
        <v>9</v>
      </c>
      <c r="O310" s="33">
        <f t="shared" si="112"/>
        <v>20</v>
      </c>
      <c r="P310" s="33">
        <f t="shared" si="112"/>
        <v>24</v>
      </c>
      <c r="Q310" s="33">
        <f t="shared" si="112"/>
        <v>20</v>
      </c>
      <c r="R310" s="35">
        <f t="shared" si="99"/>
        <v>6.6666666666666666E-2</v>
      </c>
      <c r="S310" s="35">
        <f t="shared" si="100"/>
        <v>0.08</v>
      </c>
      <c r="T310" s="35">
        <f t="shared" si="101"/>
        <v>6.6666666666666666E-2</v>
      </c>
      <c r="U310" s="35">
        <f t="shared" si="96"/>
        <v>4.7619047619047672E-2</v>
      </c>
      <c r="V310" s="35">
        <f t="shared" si="113"/>
        <v>4.7619047619047672E-2</v>
      </c>
      <c r="W310" s="35">
        <f t="shared" si="113"/>
        <v>0.23664122137404575</v>
      </c>
      <c r="X310" s="35">
        <f t="shared" si="113"/>
        <v>4.7619047619047672E-2</v>
      </c>
      <c r="Y310" s="35">
        <f t="shared" si="113"/>
        <v>4.7619047619047672E-2</v>
      </c>
      <c r="Z310" s="35">
        <f t="shared" si="113"/>
        <v>4.7619047619047672E-2</v>
      </c>
      <c r="AA310" s="35">
        <f t="shared" si="113"/>
        <v>4.7619047619047672E-2</v>
      </c>
    </row>
    <row r="311" spans="2:27" x14ac:dyDescent="0.2">
      <c r="B311" s="2">
        <v>309</v>
      </c>
      <c r="C311" s="2" t="str">
        <f t="shared" si="109"/>
        <v>b</v>
      </c>
      <c r="D311" s="29" t="s">
        <v>31</v>
      </c>
      <c r="E311" s="29" t="s">
        <v>181</v>
      </c>
      <c r="F311" s="2" t="s">
        <v>218</v>
      </c>
      <c r="G311" s="2">
        <f t="shared" si="104"/>
        <v>5</v>
      </c>
      <c r="H311" s="2" t="str">
        <f t="shared" si="94"/>
        <v>冷却</v>
      </c>
      <c r="I311" s="38">
        <f t="shared" si="97"/>
        <v>0.29636363636363638</v>
      </c>
      <c r="J311" s="33">
        <f t="shared" si="98"/>
        <v>75</v>
      </c>
      <c r="K311" s="33">
        <f t="shared" si="112"/>
        <v>89</v>
      </c>
      <c r="L311" s="33">
        <f t="shared" si="112"/>
        <v>12</v>
      </c>
      <c r="M311" s="33">
        <f t="shared" si="112"/>
        <v>57</v>
      </c>
      <c r="N311" s="33">
        <f t="shared" si="95"/>
        <v>11</v>
      </c>
      <c r="O311" s="33">
        <f t="shared" si="112"/>
        <v>26</v>
      </c>
      <c r="P311" s="33">
        <f t="shared" si="112"/>
        <v>30</v>
      </c>
      <c r="Q311" s="33">
        <f t="shared" si="112"/>
        <v>26</v>
      </c>
      <c r="R311" s="35">
        <f t="shared" si="99"/>
        <v>8.6666666666666656E-2</v>
      </c>
      <c r="S311" s="35">
        <f t="shared" si="100"/>
        <v>0.1</v>
      </c>
      <c r="T311" s="35">
        <f t="shared" si="101"/>
        <v>8.6666666666666656E-2</v>
      </c>
      <c r="U311" s="35">
        <f t="shared" si="96"/>
        <v>6.1032863849765251E-2</v>
      </c>
      <c r="V311" s="35">
        <f t="shared" si="113"/>
        <v>6.1032863849765251E-2</v>
      </c>
      <c r="W311" s="35">
        <f t="shared" si="113"/>
        <v>0.28057553956834536</v>
      </c>
      <c r="X311" s="35">
        <f t="shared" si="113"/>
        <v>6.1032863849765251E-2</v>
      </c>
      <c r="Y311" s="35">
        <f t="shared" si="113"/>
        <v>6.1032863849765251E-2</v>
      </c>
      <c r="Z311" s="35">
        <f t="shared" si="113"/>
        <v>6.1032863849765251E-2</v>
      </c>
      <c r="AA311" s="35">
        <f t="shared" si="113"/>
        <v>6.1032863849765251E-2</v>
      </c>
    </row>
    <row r="312" spans="2:27" x14ac:dyDescent="0.2">
      <c r="B312" s="2">
        <v>310</v>
      </c>
      <c r="C312" s="2" t="str">
        <f t="shared" si="109"/>
        <v>b</v>
      </c>
      <c r="D312" s="29" t="s">
        <v>31</v>
      </c>
      <c r="E312" s="29" t="s">
        <v>181</v>
      </c>
      <c r="F312" s="2" t="s">
        <v>218</v>
      </c>
      <c r="G312" s="2">
        <f t="shared" si="104"/>
        <v>6</v>
      </c>
      <c r="H312" s="2" t="str">
        <f t="shared" si="94"/>
        <v>冷却</v>
      </c>
      <c r="I312" s="38">
        <f t="shared" si="97"/>
        <v>0.35454545454545455</v>
      </c>
      <c r="J312" s="33">
        <f t="shared" si="98"/>
        <v>90</v>
      </c>
      <c r="K312" s="33">
        <f t="shared" si="112"/>
        <v>107</v>
      </c>
      <c r="L312" s="33">
        <f t="shared" si="112"/>
        <v>14</v>
      </c>
      <c r="M312" s="33">
        <f t="shared" si="112"/>
        <v>68</v>
      </c>
      <c r="N312" s="33">
        <f t="shared" si="95"/>
        <v>13</v>
      </c>
      <c r="O312" s="33">
        <f t="shared" si="112"/>
        <v>31</v>
      </c>
      <c r="P312" s="33">
        <f t="shared" si="112"/>
        <v>36</v>
      </c>
      <c r="Q312" s="33">
        <f t="shared" si="112"/>
        <v>31</v>
      </c>
      <c r="R312" s="35">
        <f t="shared" si="99"/>
        <v>0.10333333333333333</v>
      </c>
      <c r="S312" s="35">
        <f t="shared" si="100"/>
        <v>0.12</v>
      </c>
      <c r="T312" s="35">
        <f t="shared" si="101"/>
        <v>0.10333333333333333</v>
      </c>
      <c r="U312" s="35">
        <f t="shared" si="96"/>
        <v>7.407407407407407E-2</v>
      </c>
      <c r="V312" s="35">
        <f t="shared" si="113"/>
        <v>7.407407407407407E-2</v>
      </c>
      <c r="W312" s="35">
        <f t="shared" si="113"/>
        <v>0.31972789115646261</v>
      </c>
      <c r="X312" s="35">
        <f t="shared" si="113"/>
        <v>7.407407407407407E-2</v>
      </c>
      <c r="Y312" s="35">
        <f t="shared" si="113"/>
        <v>7.407407407407407E-2</v>
      </c>
      <c r="Z312" s="35">
        <f t="shared" si="113"/>
        <v>7.407407407407407E-2</v>
      </c>
      <c r="AA312" s="35">
        <f t="shared" si="113"/>
        <v>7.407407407407407E-2</v>
      </c>
    </row>
    <row r="313" spans="2:27" x14ac:dyDescent="0.2">
      <c r="B313" s="2">
        <v>311</v>
      </c>
      <c r="C313" s="2" t="str">
        <f t="shared" si="109"/>
        <v>b</v>
      </c>
      <c r="D313" s="29" t="s">
        <v>31</v>
      </c>
      <c r="E313" s="29" t="s">
        <v>181</v>
      </c>
      <c r="F313" s="2" t="s">
        <v>218</v>
      </c>
      <c r="G313" s="2">
        <f t="shared" si="104"/>
        <v>7</v>
      </c>
      <c r="H313" s="2" t="str">
        <f t="shared" si="94"/>
        <v>冷却</v>
      </c>
      <c r="I313" s="38">
        <f t="shared" si="97"/>
        <v>0.41454545454545455</v>
      </c>
      <c r="J313" s="33">
        <f t="shared" si="98"/>
        <v>105</v>
      </c>
      <c r="K313" s="33">
        <f t="shared" ref="K313:Q322" si="114">INT((1+VLOOKUP($F313,role_property_weight,getpos(K$2),FALSE))*(1+VLOOKUP($F313,weapon_property_weight,getpos(K$2),FALSE))*VLOOKUP($E313,role_grow,getpos(K$2),FALSE)*$G313*10*VLOOKUP($C313,weapon_grow1,5,FALSE))</f>
        <v>125</v>
      </c>
      <c r="L313" s="33">
        <f t="shared" si="114"/>
        <v>17</v>
      </c>
      <c r="M313" s="33">
        <f t="shared" si="114"/>
        <v>80</v>
      </c>
      <c r="N313" s="33">
        <f t="shared" si="95"/>
        <v>15</v>
      </c>
      <c r="O313" s="33">
        <f t="shared" si="114"/>
        <v>36</v>
      </c>
      <c r="P313" s="33">
        <f t="shared" si="114"/>
        <v>42</v>
      </c>
      <c r="Q313" s="33">
        <f t="shared" si="114"/>
        <v>36</v>
      </c>
      <c r="R313" s="35">
        <f t="shared" si="99"/>
        <v>0.12</v>
      </c>
      <c r="S313" s="35">
        <f t="shared" si="100"/>
        <v>0.14000000000000001</v>
      </c>
      <c r="T313" s="35">
        <f t="shared" si="101"/>
        <v>0.12</v>
      </c>
      <c r="U313" s="35">
        <f t="shared" si="96"/>
        <v>8.256880733944949E-2</v>
      </c>
      <c r="V313" s="35">
        <f t="shared" ref="V313:AA322" si="115">1-200/(200+ROUND((1+VLOOKUP($F313,role_property_weight,getpos(V$2),FALSE))*VLOOKUP($E313,role_grow,getpos(V$2),FALSE)*$G313*10*VLOOKUP($C313,weapon_grow1,5,FALSE),0))</f>
        <v>8.256880733944949E-2</v>
      </c>
      <c r="W313" s="35">
        <f t="shared" si="115"/>
        <v>0.3527508090614887</v>
      </c>
      <c r="X313" s="35">
        <f t="shared" si="115"/>
        <v>8.256880733944949E-2</v>
      </c>
      <c r="Y313" s="35">
        <f t="shared" si="115"/>
        <v>8.256880733944949E-2</v>
      </c>
      <c r="Z313" s="35">
        <f t="shared" si="115"/>
        <v>8.256880733944949E-2</v>
      </c>
      <c r="AA313" s="35">
        <f t="shared" si="115"/>
        <v>8.256880733944949E-2</v>
      </c>
    </row>
    <row r="314" spans="2:27" x14ac:dyDescent="0.2">
      <c r="B314" s="2">
        <v>312</v>
      </c>
      <c r="C314" s="2" t="str">
        <f t="shared" si="109"/>
        <v>b</v>
      </c>
      <c r="D314" s="29" t="s">
        <v>31</v>
      </c>
      <c r="E314" s="29" t="s">
        <v>181</v>
      </c>
      <c r="F314" s="2" t="s">
        <v>218</v>
      </c>
      <c r="G314" s="2">
        <f t="shared" si="104"/>
        <v>8</v>
      </c>
      <c r="H314" s="2" t="str">
        <f t="shared" si="94"/>
        <v>冷却</v>
      </c>
      <c r="I314" s="38">
        <f t="shared" si="97"/>
        <v>0.47272727272727272</v>
      </c>
      <c r="J314" s="33">
        <f t="shared" si="98"/>
        <v>120</v>
      </c>
      <c r="K314" s="33">
        <f t="shared" si="114"/>
        <v>143</v>
      </c>
      <c r="L314" s="33">
        <f t="shared" si="114"/>
        <v>19</v>
      </c>
      <c r="M314" s="33">
        <f t="shared" si="114"/>
        <v>91</v>
      </c>
      <c r="N314" s="33">
        <f t="shared" si="95"/>
        <v>17</v>
      </c>
      <c r="O314" s="33">
        <f t="shared" si="114"/>
        <v>41</v>
      </c>
      <c r="P314" s="33">
        <f t="shared" si="114"/>
        <v>48</v>
      </c>
      <c r="Q314" s="33">
        <f t="shared" si="114"/>
        <v>41</v>
      </c>
      <c r="R314" s="35">
        <f t="shared" si="99"/>
        <v>0.13666666666666666</v>
      </c>
      <c r="S314" s="35">
        <f t="shared" si="100"/>
        <v>0.16</v>
      </c>
      <c r="T314" s="35">
        <f t="shared" si="101"/>
        <v>0.13666666666666666</v>
      </c>
      <c r="U314" s="35">
        <f t="shared" si="96"/>
        <v>9.5022624434389136E-2</v>
      </c>
      <c r="V314" s="35">
        <f t="shared" si="115"/>
        <v>9.5022624434389136E-2</v>
      </c>
      <c r="W314" s="35">
        <f t="shared" si="115"/>
        <v>0.38461538461538458</v>
      </c>
      <c r="X314" s="35">
        <f t="shared" si="115"/>
        <v>9.5022624434389136E-2</v>
      </c>
      <c r="Y314" s="35">
        <f t="shared" si="115"/>
        <v>9.5022624434389136E-2</v>
      </c>
      <c r="Z314" s="35">
        <f t="shared" si="115"/>
        <v>9.5022624434389136E-2</v>
      </c>
      <c r="AA314" s="35">
        <f t="shared" si="115"/>
        <v>9.5022624434389136E-2</v>
      </c>
    </row>
    <row r="315" spans="2:27" x14ac:dyDescent="0.2">
      <c r="B315" s="2">
        <v>313</v>
      </c>
      <c r="C315" s="2" t="str">
        <f t="shared" si="109"/>
        <v>c</v>
      </c>
      <c r="D315" s="29" t="s">
        <v>31</v>
      </c>
      <c r="E315" s="29" t="s">
        <v>181</v>
      </c>
      <c r="F315" s="2" t="s">
        <v>218</v>
      </c>
      <c r="G315" s="2">
        <f t="shared" si="104"/>
        <v>1</v>
      </c>
      <c r="H315" s="2" t="str">
        <f t="shared" si="94"/>
        <v>--</v>
      </c>
      <c r="I315" s="38">
        <f t="shared" si="97"/>
        <v>0</v>
      </c>
      <c r="J315" s="33">
        <f t="shared" si="98"/>
        <v>19</v>
      </c>
      <c r="K315" s="33">
        <f t="shared" si="114"/>
        <v>0</v>
      </c>
      <c r="L315" s="33">
        <f t="shared" si="114"/>
        <v>0</v>
      </c>
      <c r="M315" s="33">
        <f t="shared" si="114"/>
        <v>0</v>
      </c>
      <c r="N315" s="33">
        <f t="shared" si="95"/>
        <v>0</v>
      </c>
      <c r="O315" s="33">
        <f t="shared" si="114"/>
        <v>0</v>
      </c>
      <c r="P315" s="33">
        <f t="shared" si="114"/>
        <v>0</v>
      </c>
      <c r="Q315" s="33">
        <f t="shared" si="114"/>
        <v>0</v>
      </c>
      <c r="R315" s="35">
        <f t="shared" si="99"/>
        <v>0</v>
      </c>
      <c r="S315" s="35">
        <f t="shared" si="100"/>
        <v>0</v>
      </c>
      <c r="T315" s="35">
        <f t="shared" si="101"/>
        <v>0</v>
      </c>
      <c r="U315" s="35">
        <f t="shared" si="96"/>
        <v>0</v>
      </c>
      <c r="V315" s="35">
        <f t="shared" si="115"/>
        <v>0</v>
      </c>
      <c r="W315" s="35">
        <f t="shared" si="115"/>
        <v>0</v>
      </c>
      <c r="X315" s="35">
        <f t="shared" si="115"/>
        <v>0</v>
      </c>
      <c r="Y315" s="35">
        <f t="shared" si="115"/>
        <v>0</v>
      </c>
      <c r="Z315" s="35">
        <f t="shared" si="115"/>
        <v>0</v>
      </c>
      <c r="AA315" s="35">
        <f t="shared" si="115"/>
        <v>0</v>
      </c>
    </row>
    <row r="316" spans="2:27" x14ac:dyDescent="0.2">
      <c r="B316" s="2">
        <v>314</v>
      </c>
      <c r="C316" s="2" t="str">
        <f t="shared" si="109"/>
        <v>c</v>
      </c>
      <c r="D316" s="29" t="s">
        <v>31</v>
      </c>
      <c r="E316" s="29" t="s">
        <v>181</v>
      </c>
      <c r="F316" s="2" t="s">
        <v>218</v>
      </c>
      <c r="G316" s="2">
        <f t="shared" si="104"/>
        <v>2</v>
      </c>
      <c r="H316" s="2" t="str">
        <f t="shared" si="94"/>
        <v>--</v>
      </c>
      <c r="I316" s="38">
        <f t="shared" si="97"/>
        <v>0</v>
      </c>
      <c r="J316" s="33">
        <f t="shared" si="98"/>
        <v>38</v>
      </c>
      <c r="K316" s="33">
        <f t="shared" si="114"/>
        <v>0</v>
      </c>
      <c r="L316" s="33">
        <f t="shared" si="114"/>
        <v>0</v>
      </c>
      <c r="M316" s="33">
        <f t="shared" si="114"/>
        <v>0</v>
      </c>
      <c r="N316" s="33">
        <f t="shared" si="95"/>
        <v>0</v>
      </c>
      <c r="O316" s="33">
        <f t="shared" si="114"/>
        <v>0</v>
      </c>
      <c r="P316" s="33">
        <f t="shared" si="114"/>
        <v>0</v>
      </c>
      <c r="Q316" s="33">
        <f t="shared" si="114"/>
        <v>0</v>
      </c>
      <c r="R316" s="35">
        <f t="shared" si="99"/>
        <v>0</v>
      </c>
      <c r="S316" s="35">
        <f t="shared" si="100"/>
        <v>0</v>
      </c>
      <c r="T316" s="35">
        <f t="shared" si="101"/>
        <v>0</v>
      </c>
      <c r="U316" s="35">
        <f t="shared" si="96"/>
        <v>0</v>
      </c>
      <c r="V316" s="35">
        <f t="shared" si="115"/>
        <v>0</v>
      </c>
      <c r="W316" s="35">
        <f t="shared" si="115"/>
        <v>0</v>
      </c>
      <c r="X316" s="35">
        <f t="shared" si="115"/>
        <v>0</v>
      </c>
      <c r="Y316" s="35">
        <f t="shared" si="115"/>
        <v>0</v>
      </c>
      <c r="Z316" s="35">
        <f t="shared" si="115"/>
        <v>0</v>
      </c>
      <c r="AA316" s="35">
        <f t="shared" si="115"/>
        <v>0</v>
      </c>
    </row>
    <row r="317" spans="2:27" x14ac:dyDescent="0.2">
      <c r="B317" s="2">
        <v>315</v>
      </c>
      <c r="C317" s="2" t="str">
        <f t="shared" si="109"/>
        <v>c</v>
      </c>
      <c r="D317" s="29" t="s">
        <v>31</v>
      </c>
      <c r="E317" s="29" t="s">
        <v>181</v>
      </c>
      <c r="F317" s="2" t="s">
        <v>218</v>
      </c>
      <c r="G317" s="2">
        <f t="shared" si="104"/>
        <v>3</v>
      </c>
      <c r="H317" s="2" t="str">
        <f t="shared" si="94"/>
        <v>--</v>
      </c>
      <c r="I317" s="38">
        <f t="shared" si="97"/>
        <v>0</v>
      </c>
      <c r="J317" s="33">
        <f t="shared" si="98"/>
        <v>57</v>
      </c>
      <c r="K317" s="33">
        <f t="shared" si="114"/>
        <v>0</v>
      </c>
      <c r="L317" s="33">
        <f t="shared" si="114"/>
        <v>0</v>
      </c>
      <c r="M317" s="33">
        <f t="shared" si="114"/>
        <v>0</v>
      </c>
      <c r="N317" s="33">
        <f t="shared" si="95"/>
        <v>0</v>
      </c>
      <c r="O317" s="33">
        <f t="shared" si="114"/>
        <v>0</v>
      </c>
      <c r="P317" s="33">
        <f t="shared" si="114"/>
        <v>0</v>
      </c>
      <c r="Q317" s="33">
        <f t="shared" si="114"/>
        <v>0</v>
      </c>
      <c r="R317" s="35">
        <f t="shared" si="99"/>
        <v>0</v>
      </c>
      <c r="S317" s="35">
        <f t="shared" si="100"/>
        <v>0</v>
      </c>
      <c r="T317" s="35">
        <f t="shared" si="101"/>
        <v>0</v>
      </c>
      <c r="U317" s="35">
        <f t="shared" si="96"/>
        <v>0</v>
      </c>
      <c r="V317" s="35">
        <f t="shared" si="115"/>
        <v>0</v>
      </c>
      <c r="W317" s="35">
        <f t="shared" si="115"/>
        <v>0</v>
      </c>
      <c r="X317" s="35">
        <f t="shared" si="115"/>
        <v>0</v>
      </c>
      <c r="Y317" s="35">
        <f t="shared" si="115"/>
        <v>0</v>
      </c>
      <c r="Z317" s="35">
        <f t="shared" si="115"/>
        <v>0</v>
      </c>
      <c r="AA317" s="35">
        <f t="shared" si="115"/>
        <v>0</v>
      </c>
    </row>
    <row r="318" spans="2:27" x14ac:dyDescent="0.2">
      <c r="B318" s="2">
        <v>316</v>
      </c>
      <c r="C318" s="2" t="str">
        <f t="shared" si="109"/>
        <v>c</v>
      </c>
      <c r="D318" s="29" t="s">
        <v>31</v>
      </c>
      <c r="E318" s="29" t="s">
        <v>181</v>
      </c>
      <c r="F318" s="2" t="s">
        <v>218</v>
      </c>
      <c r="G318" s="2">
        <f t="shared" si="104"/>
        <v>4</v>
      </c>
      <c r="H318" s="2" t="str">
        <f t="shared" si="94"/>
        <v>--</v>
      </c>
      <c r="I318" s="38">
        <f t="shared" si="97"/>
        <v>0</v>
      </c>
      <c r="J318" s="33">
        <f t="shared" si="98"/>
        <v>76</v>
      </c>
      <c r="K318" s="33">
        <f t="shared" si="114"/>
        <v>0</v>
      </c>
      <c r="L318" s="33">
        <f t="shared" si="114"/>
        <v>0</v>
      </c>
      <c r="M318" s="33">
        <f t="shared" si="114"/>
        <v>0</v>
      </c>
      <c r="N318" s="33">
        <f t="shared" si="95"/>
        <v>0</v>
      </c>
      <c r="O318" s="33">
        <f t="shared" si="114"/>
        <v>0</v>
      </c>
      <c r="P318" s="33">
        <f t="shared" si="114"/>
        <v>0</v>
      </c>
      <c r="Q318" s="33">
        <f t="shared" si="114"/>
        <v>0</v>
      </c>
      <c r="R318" s="35">
        <f t="shared" si="99"/>
        <v>0</v>
      </c>
      <c r="S318" s="35">
        <f t="shared" si="100"/>
        <v>0</v>
      </c>
      <c r="T318" s="35">
        <f t="shared" si="101"/>
        <v>0</v>
      </c>
      <c r="U318" s="35">
        <f t="shared" si="96"/>
        <v>0</v>
      </c>
      <c r="V318" s="35">
        <f t="shared" si="115"/>
        <v>0</v>
      </c>
      <c r="W318" s="35">
        <f t="shared" si="115"/>
        <v>0</v>
      </c>
      <c r="X318" s="35">
        <f t="shared" si="115"/>
        <v>0</v>
      </c>
      <c r="Y318" s="35">
        <f t="shared" si="115"/>
        <v>0</v>
      </c>
      <c r="Z318" s="35">
        <f t="shared" si="115"/>
        <v>0</v>
      </c>
      <c r="AA318" s="35">
        <f t="shared" si="115"/>
        <v>0</v>
      </c>
    </row>
    <row r="319" spans="2:27" x14ac:dyDescent="0.2">
      <c r="B319" s="2">
        <v>317</v>
      </c>
      <c r="C319" s="2" t="str">
        <f t="shared" si="109"/>
        <v>c</v>
      </c>
      <c r="D319" s="29" t="s">
        <v>31</v>
      </c>
      <c r="E319" s="29" t="s">
        <v>181</v>
      </c>
      <c r="F319" s="2" t="s">
        <v>218</v>
      </c>
      <c r="G319" s="2">
        <f t="shared" si="104"/>
        <v>5</v>
      </c>
      <c r="H319" s="2" t="str">
        <f t="shared" si="94"/>
        <v>--</v>
      </c>
      <c r="I319" s="38">
        <f t="shared" si="97"/>
        <v>0</v>
      </c>
      <c r="J319" s="33">
        <f t="shared" si="98"/>
        <v>95</v>
      </c>
      <c r="K319" s="33">
        <f t="shared" si="114"/>
        <v>0</v>
      </c>
      <c r="L319" s="33">
        <f t="shared" si="114"/>
        <v>0</v>
      </c>
      <c r="M319" s="33">
        <f t="shared" si="114"/>
        <v>0</v>
      </c>
      <c r="N319" s="33">
        <f t="shared" si="95"/>
        <v>0</v>
      </c>
      <c r="O319" s="33">
        <f t="shared" si="114"/>
        <v>0</v>
      </c>
      <c r="P319" s="33">
        <f t="shared" si="114"/>
        <v>0</v>
      </c>
      <c r="Q319" s="33">
        <f t="shared" si="114"/>
        <v>0</v>
      </c>
      <c r="R319" s="35">
        <f t="shared" si="99"/>
        <v>0</v>
      </c>
      <c r="S319" s="35">
        <f t="shared" si="100"/>
        <v>0</v>
      </c>
      <c r="T319" s="35">
        <f t="shared" si="101"/>
        <v>0</v>
      </c>
      <c r="U319" s="35">
        <f t="shared" si="96"/>
        <v>0</v>
      </c>
      <c r="V319" s="35">
        <f t="shared" si="115"/>
        <v>0</v>
      </c>
      <c r="W319" s="35">
        <f t="shared" si="115"/>
        <v>0</v>
      </c>
      <c r="X319" s="35">
        <f t="shared" si="115"/>
        <v>0</v>
      </c>
      <c r="Y319" s="35">
        <f t="shared" si="115"/>
        <v>0</v>
      </c>
      <c r="Z319" s="35">
        <f t="shared" si="115"/>
        <v>0</v>
      </c>
      <c r="AA319" s="35">
        <f t="shared" si="115"/>
        <v>0</v>
      </c>
    </row>
    <row r="320" spans="2:27" x14ac:dyDescent="0.2">
      <c r="B320" s="2">
        <v>318</v>
      </c>
      <c r="C320" s="2" t="str">
        <f t="shared" si="109"/>
        <v>c</v>
      </c>
      <c r="D320" s="29" t="s">
        <v>31</v>
      </c>
      <c r="E320" s="29" t="s">
        <v>181</v>
      </c>
      <c r="F320" s="2" t="s">
        <v>218</v>
      </c>
      <c r="G320" s="2">
        <f t="shared" si="104"/>
        <v>6</v>
      </c>
      <c r="H320" s="2" t="str">
        <f t="shared" si="94"/>
        <v>--</v>
      </c>
      <c r="I320" s="38">
        <f t="shared" si="97"/>
        <v>0</v>
      </c>
      <c r="J320" s="33">
        <f t="shared" si="98"/>
        <v>114</v>
      </c>
      <c r="K320" s="33">
        <f t="shared" si="114"/>
        <v>0</v>
      </c>
      <c r="L320" s="33">
        <f t="shared" si="114"/>
        <v>0</v>
      </c>
      <c r="M320" s="33">
        <f t="shared" si="114"/>
        <v>0</v>
      </c>
      <c r="N320" s="33">
        <f t="shared" si="95"/>
        <v>0</v>
      </c>
      <c r="O320" s="33">
        <f t="shared" si="114"/>
        <v>0</v>
      </c>
      <c r="P320" s="33">
        <f t="shared" si="114"/>
        <v>0</v>
      </c>
      <c r="Q320" s="33">
        <f t="shared" si="114"/>
        <v>0</v>
      </c>
      <c r="R320" s="35">
        <f t="shared" si="99"/>
        <v>0</v>
      </c>
      <c r="S320" s="35">
        <f t="shared" si="100"/>
        <v>0</v>
      </c>
      <c r="T320" s="35">
        <f t="shared" si="101"/>
        <v>0</v>
      </c>
      <c r="U320" s="35">
        <f t="shared" si="96"/>
        <v>0</v>
      </c>
      <c r="V320" s="35">
        <f t="shared" si="115"/>
        <v>0</v>
      </c>
      <c r="W320" s="35">
        <f t="shared" si="115"/>
        <v>0</v>
      </c>
      <c r="X320" s="35">
        <f t="shared" si="115"/>
        <v>0</v>
      </c>
      <c r="Y320" s="35">
        <f t="shared" si="115"/>
        <v>0</v>
      </c>
      <c r="Z320" s="35">
        <f t="shared" si="115"/>
        <v>0</v>
      </c>
      <c r="AA320" s="35">
        <f t="shared" si="115"/>
        <v>0</v>
      </c>
    </row>
    <row r="321" spans="2:27" x14ac:dyDescent="0.2">
      <c r="B321" s="2">
        <v>319</v>
      </c>
      <c r="C321" s="2" t="str">
        <f t="shared" si="109"/>
        <v>c</v>
      </c>
      <c r="D321" s="29" t="s">
        <v>31</v>
      </c>
      <c r="E321" s="29" t="s">
        <v>181</v>
      </c>
      <c r="F321" s="2" t="s">
        <v>218</v>
      </c>
      <c r="G321" s="2">
        <f t="shared" si="104"/>
        <v>7</v>
      </c>
      <c r="H321" s="2" t="str">
        <f t="shared" si="94"/>
        <v>--</v>
      </c>
      <c r="I321" s="38">
        <f t="shared" si="97"/>
        <v>0</v>
      </c>
      <c r="J321" s="33">
        <f t="shared" si="98"/>
        <v>133</v>
      </c>
      <c r="K321" s="33">
        <f t="shared" si="114"/>
        <v>0</v>
      </c>
      <c r="L321" s="33">
        <f t="shared" si="114"/>
        <v>0</v>
      </c>
      <c r="M321" s="33">
        <f t="shared" si="114"/>
        <v>0</v>
      </c>
      <c r="N321" s="33">
        <f t="shared" si="95"/>
        <v>0</v>
      </c>
      <c r="O321" s="33">
        <f t="shared" si="114"/>
        <v>0</v>
      </c>
      <c r="P321" s="33">
        <f t="shared" si="114"/>
        <v>0</v>
      </c>
      <c r="Q321" s="33">
        <f t="shared" si="114"/>
        <v>0</v>
      </c>
      <c r="R321" s="35">
        <f t="shared" si="99"/>
        <v>0</v>
      </c>
      <c r="S321" s="35">
        <f t="shared" si="100"/>
        <v>0</v>
      </c>
      <c r="T321" s="35">
        <f t="shared" si="101"/>
        <v>0</v>
      </c>
      <c r="U321" s="35">
        <f t="shared" si="96"/>
        <v>0</v>
      </c>
      <c r="V321" s="35">
        <f t="shared" si="115"/>
        <v>0</v>
      </c>
      <c r="W321" s="35">
        <f t="shared" si="115"/>
        <v>0</v>
      </c>
      <c r="X321" s="35">
        <f t="shared" si="115"/>
        <v>0</v>
      </c>
      <c r="Y321" s="35">
        <f t="shared" si="115"/>
        <v>0</v>
      </c>
      <c r="Z321" s="35">
        <f t="shared" si="115"/>
        <v>0</v>
      </c>
      <c r="AA321" s="35">
        <f t="shared" si="115"/>
        <v>0</v>
      </c>
    </row>
    <row r="322" spans="2:27" x14ac:dyDescent="0.2">
      <c r="B322" s="2">
        <v>320</v>
      </c>
      <c r="C322" s="2" t="str">
        <f t="shared" si="109"/>
        <v>c</v>
      </c>
      <c r="D322" s="29" t="s">
        <v>31</v>
      </c>
      <c r="E322" s="29" t="s">
        <v>181</v>
      </c>
      <c r="F322" s="2" t="s">
        <v>218</v>
      </c>
      <c r="G322" s="2">
        <f t="shared" si="104"/>
        <v>8</v>
      </c>
      <c r="H322" s="2" t="str">
        <f t="shared" si="94"/>
        <v>--</v>
      </c>
      <c r="I322" s="38">
        <f t="shared" si="97"/>
        <v>0</v>
      </c>
      <c r="J322" s="33">
        <f t="shared" si="98"/>
        <v>152</v>
      </c>
      <c r="K322" s="33">
        <f t="shared" si="114"/>
        <v>0</v>
      </c>
      <c r="L322" s="33">
        <f t="shared" si="114"/>
        <v>0</v>
      </c>
      <c r="M322" s="33">
        <f t="shared" si="114"/>
        <v>0</v>
      </c>
      <c r="N322" s="33">
        <f t="shared" si="95"/>
        <v>0</v>
      </c>
      <c r="O322" s="33">
        <f t="shared" si="114"/>
        <v>0</v>
      </c>
      <c r="P322" s="33">
        <f t="shared" si="114"/>
        <v>0</v>
      </c>
      <c r="Q322" s="33">
        <f t="shared" si="114"/>
        <v>0</v>
      </c>
      <c r="R322" s="35">
        <f t="shared" si="99"/>
        <v>0</v>
      </c>
      <c r="S322" s="35">
        <f t="shared" si="100"/>
        <v>0</v>
      </c>
      <c r="T322" s="35">
        <f t="shared" si="101"/>
        <v>0</v>
      </c>
      <c r="U322" s="35">
        <f t="shared" si="96"/>
        <v>0</v>
      </c>
      <c r="V322" s="35">
        <f t="shared" si="115"/>
        <v>0</v>
      </c>
      <c r="W322" s="35">
        <f t="shared" si="115"/>
        <v>0</v>
      </c>
      <c r="X322" s="35">
        <f t="shared" si="115"/>
        <v>0</v>
      </c>
      <c r="Y322" s="35">
        <f t="shared" si="115"/>
        <v>0</v>
      </c>
      <c r="Z322" s="35">
        <f t="shared" si="115"/>
        <v>0</v>
      </c>
      <c r="AA322" s="35">
        <f t="shared" si="115"/>
        <v>0</v>
      </c>
    </row>
    <row r="323" spans="2:27" x14ac:dyDescent="0.2">
      <c r="B323" s="2">
        <v>321</v>
      </c>
      <c r="C323" s="2" t="str">
        <f t="shared" si="109"/>
        <v>s</v>
      </c>
      <c r="D323" s="29" t="s">
        <v>31</v>
      </c>
      <c r="E323" s="29" t="s">
        <v>219</v>
      </c>
      <c r="F323" s="2" t="s">
        <v>220</v>
      </c>
      <c r="G323" s="2">
        <f t="shared" si="104"/>
        <v>1</v>
      </c>
      <c r="H323" s="2" t="str">
        <f t="shared" ref="H323:H386" si="116">IF(C323="c","--",VLOOKUP(F323,role_property_weight,17,FALSE))</f>
        <v>物理</v>
      </c>
      <c r="I323" s="38">
        <f t="shared" si="97"/>
        <v>0.1</v>
      </c>
      <c r="J323" s="33">
        <f t="shared" si="98"/>
        <v>30</v>
      </c>
      <c r="K323" s="33">
        <f t="shared" ref="K323:Q332" si="117">INT((1+VLOOKUP($F323,role_property_weight,getpos(K$2),FALSE))*(1+VLOOKUP($F323,weapon_property_weight,getpos(K$2),FALSE))*VLOOKUP($E323,role_grow,getpos(K$2),FALSE)*$G323*10*VLOOKUP($C323,weapon_grow1,5,FALSE))</f>
        <v>16</v>
      </c>
      <c r="L323" s="33">
        <f t="shared" si="117"/>
        <v>1</v>
      </c>
      <c r="M323" s="33">
        <f t="shared" si="117"/>
        <v>10</v>
      </c>
      <c r="N323" s="33">
        <f t="shared" ref="N323:N386" si="118">ROUNDUP((1+VLOOKUP($F323,role_property_weight,getpos(N$2),FALSE))*(1+VLOOKUP($F323,weapon_property_weight,getpos(N$2),FALSE))*VLOOKUP($E323,role_grow,getpos(N$2),FALSE)*$G323*10*VLOOKUP($C323,weapon_grow1,5,FALSE),0)</f>
        <v>8</v>
      </c>
      <c r="O323" s="33">
        <f t="shared" si="117"/>
        <v>3</v>
      </c>
      <c r="P323" s="33">
        <f t="shared" si="117"/>
        <v>5</v>
      </c>
      <c r="Q323" s="33">
        <f t="shared" si="117"/>
        <v>4</v>
      </c>
      <c r="R323" s="35">
        <f t="shared" si="99"/>
        <v>1.3333333333333332E-2</v>
      </c>
      <c r="S323" s="35">
        <f t="shared" si="100"/>
        <v>1.6666666666666666E-2</v>
      </c>
      <c r="T323" s="35">
        <f t="shared" si="101"/>
        <v>1.3333333333333332E-2</v>
      </c>
      <c r="U323" s="35">
        <f t="shared" ref="U323:U386" si="119">1-200/(200+ROUND((1+VLOOKUP($F323,role_property_weight,getpos(U$2),FALSE))*VLOOKUP($E323,role_grow,getpos(U$2),FALSE)*$G323*10*VLOOKUP($C323,weapon_grow1,5,FALSE),0))</f>
        <v>2.4390243902439046E-2</v>
      </c>
      <c r="V323" s="35">
        <f t="shared" ref="V323:AA332" si="120">1-200/(200+ROUND((1+VLOOKUP($F323,role_property_weight,getpos(V$2),FALSE))*VLOOKUP($E323,role_grow,getpos(V$2),FALSE)*$G323*10*VLOOKUP($C323,weapon_grow1,5,FALSE),0))</f>
        <v>9.9009900990099098E-3</v>
      </c>
      <c r="W323" s="35">
        <f t="shared" si="120"/>
        <v>9.9009900990099098E-3</v>
      </c>
      <c r="X323" s="35">
        <f t="shared" si="120"/>
        <v>9.9009900990099098E-3</v>
      </c>
      <c r="Y323" s="35">
        <f t="shared" si="120"/>
        <v>9.9009900990099098E-3</v>
      </c>
      <c r="Z323" s="35">
        <f t="shared" si="120"/>
        <v>9.9009900990099098E-3</v>
      </c>
      <c r="AA323" s="35">
        <f t="shared" si="120"/>
        <v>9.9009900990099098E-3</v>
      </c>
    </row>
    <row r="324" spans="2:27" x14ac:dyDescent="0.2">
      <c r="B324" s="2">
        <v>322</v>
      </c>
      <c r="C324" s="2" t="str">
        <f t="shared" si="109"/>
        <v>s</v>
      </c>
      <c r="D324" s="29" t="s">
        <v>31</v>
      </c>
      <c r="E324" s="29" t="s">
        <v>219</v>
      </c>
      <c r="F324" s="2" t="s">
        <v>220</v>
      </c>
      <c r="G324" s="2">
        <f t="shared" si="104"/>
        <v>2</v>
      </c>
      <c r="H324" s="2" t="str">
        <f t="shared" si="116"/>
        <v>物理</v>
      </c>
      <c r="I324" s="38">
        <f t="shared" ref="I324:I387" si="121">IF(H324="--",0,IF((SUM(J324:Q324)/11)%&lt;10%,10%,(SUM(J324:Q324)/11)%))</f>
        <v>0.14545454545454545</v>
      </c>
      <c r="J324" s="33">
        <f t="shared" ref="J324:J387" si="122">INT((1+VLOOKUP($F324,role_property_weight,getpos(J$2),FALSE))*(1+VLOOKUP(F324,weapon_property_weight,getpos(J$2),FALSE))*VLOOKUP($E324,role_grow,getpos(J$2),FALSE)*$G324*10*VLOOKUP($C324,weapon_grow1,4,FALSE))</f>
        <v>61</v>
      </c>
      <c r="K324" s="33">
        <f t="shared" si="117"/>
        <v>33</v>
      </c>
      <c r="L324" s="33">
        <f t="shared" si="117"/>
        <v>3</v>
      </c>
      <c r="M324" s="33">
        <f t="shared" si="117"/>
        <v>20</v>
      </c>
      <c r="N324" s="33">
        <f t="shared" si="118"/>
        <v>16</v>
      </c>
      <c r="O324" s="33">
        <f t="shared" si="117"/>
        <v>7</v>
      </c>
      <c r="P324" s="33">
        <f t="shared" si="117"/>
        <v>11</v>
      </c>
      <c r="Q324" s="33">
        <f t="shared" si="117"/>
        <v>9</v>
      </c>
      <c r="R324" s="35">
        <f t="shared" ref="R324:R387" si="123">(Q324/3)%</f>
        <v>0.03</v>
      </c>
      <c r="S324" s="35">
        <f t="shared" ref="S324:S387" si="124">(P324/3)%</f>
        <v>3.6666666666666667E-2</v>
      </c>
      <c r="T324" s="35">
        <f t="shared" ref="T324:T387" si="125">(Q324/3)%</f>
        <v>0.03</v>
      </c>
      <c r="U324" s="35">
        <f t="shared" si="119"/>
        <v>4.3062200956937802E-2</v>
      </c>
      <c r="V324" s="35">
        <f t="shared" si="120"/>
        <v>2.4390243902439046E-2</v>
      </c>
      <c r="W324" s="35">
        <f t="shared" si="120"/>
        <v>2.4390243902439046E-2</v>
      </c>
      <c r="X324" s="35">
        <f t="shared" si="120"/>
        <v>2.4390243902439046E-2</v>
      </c>
      <c r="Y324" s="35">
        <f t="shared" si="120"/>
        <v>2.4390243902439046E-2</v>
      </c>
      <c r="Z324" s="35">
        <f t="shared" si="120"/>
        <v>2.4390243902439046E-2</v>
      </c>
      <c r="AA324" s="35">
        <f t="shared" si="120"/>
        <v>2.4390243902439046E-2</v>
      </c>
    </row>
    <row r="325" spans="2:27" x14ac:dyDescent="0.2">
      <c r="B325" s="2">
        <v>323</v>
      </c>
      <c r="C325" s="2" t="str">
        <f t="shared" si="109"/>
        <v>s</v>
      </c>
      <c r="D325" s="29" t="s">
        <v>31</v>
      </c>
      <c r="E325" s="29" t="s">
        <v>219</v>
      </c>
      <c r="F325" s="2" t="s">
        <v>220</v>
      </c>
      <c r="G325" s="2">
        <f t="shared" si="104"/>
        <v>3</v>
      </c>
      <c r="H325" s="2" t="str">
        <f t="shared" si="116"/>
        <v>物理</v>
      </c>
      <c r="I325" s="38">
        <f t="shared" si="121"/>
        <v>0.22090909090909089</v>
      </c>
      <c r="J325" s="33">
        <f t="shared" si="122"/>
        <v>92</v>
      </c>
      <c r="K325" s="33">
        <f t="shared" si="117"/>
        <v>50</v>
      </c>
      <c r="L325" s="33">
        <f t="shared" si="117"/>
        <v>5</v>
      </c>
      <c r="M325" s="33">
        <f t="shared" si="117"/>
        <v>31</v>
      </c>
      <c r="N325" s="33">
        <f t="shared" si="118"/>
        <v>23</v>
      </c>
      <c r="O325" s="33">
        <f t="shared" si="117"/>
        <v>11</v>
      </c>
      <c r="P325" s="33">
        <f t="shared" si="117"/>
        <v>17</v>
      </c>
      <c r="Q325" s="33">
        <f t="shared" si="117"/>
        <v>14</v>
      </c>
      <c r="R325" s="35">
        <f t="shared" si="123"/>
        <v>4.6666666666666669E-2</v>
      </c>
      <c r="S325" s="35">
        <f t="shared" si="124"/>
        <v>5.6666666666666671E-2</v>
      </c>
      <c r="T325" s="35">
        <f t="shared" si="125"/>
        <v>4.6666666666666669E-2</v>
      </c>
      <c r="U325" s="35">
        <f t="shared" si="119"/>
        <v>6.5420560747663559E-2</v>
      </c>
      <c r="V325" s="35">
        <f t="shared" si="120"/>
        <v>3.3816425120772986E-2</v>
      </c>
      <c r="W325" s="35">
        <f t="shared" si="120"/>
        <v>3.3816425120772986E-2</v>
      </c>
      <c r="X325" s="35">
        <f t="shared" si="120"/>
        <v>3.3816425120772986E-2</v>
      </c>
      <c r="Y325" s="35">
        <f t="shared" si="120"/>
        <v>3.3816425120772986E-2</v>
      </c>
      <c r="Z325" s="35">
        <f t="shared" si="120"/>
        <v>3.3816425120772986E-2</v>
      </c>
      <c r="AA325" s="35">
        <f t="shared" si="120"/>
        <v>3.3816425120772986E-2</v>
      </c>
    </row>
    <row r="326" spans="2:27" x14ac:dyDescent="0.2">
      <c r="B326" s="2">
        <v>324</v>
      </c>
      <c r="C326" s="2" t="str">
        <f t="shared" si="109"/>
        <v>s</v>
      </c>
      <c r="D326" s="29" t="s">
        <v>31</v>
      </c>
      <c r="E326" s="29" t="s">
        <v>219</v>
      </c>
      <c r="F326" s="2" t="s">
        <v>220</v>
      </c>
      <c r="G326" s="2">
        <f t="shared" si="104"/>
        <v>4</v>
      </c>
      <c r="H326" s="2" t="str">
        <f t="shared" si="116"/>
        <v>物理</v>
      </c>
      <c r="I326" s="38">
        <f t="shared" si="121"/>
        <v>0.29363636363636364</v>
      </c>
      <c r="J326" s="33">
        <f t="shared" si="122"/>
        <v>123</v>
      </c>
      <c r="K326" s="33">
        <f t="shared" si="117"/>
        <v>67</v>
      </c>
      <c r="L326" s="33">
        <f t="shared" si="117"/>
        <v>6</v>
      </c>
      <c r="M326" s="33">
        <f t="shared" si="117"/>
        <v>41</v>
      </c>
      <c r="N326" s="33">
        <f t="shared" si="118"/>
        <v>31</v>
      </c>
      <c r="O326" s="33">
        <f t="shared" si="117"/>
        <v>15</v>
      </c>
      <c r="P326" s="33">
        <f t="shared" si="117"/>
        <v>22</v>
      </c>
      <c r="Q326" s="33">
        <f t="shared" si="117"/>
        <v>18</v>
      </c>
      <c r="R326" s="35">
        <f t="shared" si="123"/>
        <v>0.06</v>
      </c>
      <c r="S326" s="35">
        <f t="shared" si="124"/>
        <v>7.3333333333333334E-2</v>
      </c>
      <c r="T326" s="35">
        <f t="shared" si="125"/>
        <v>0.06</v>
      </c>
      <c r="U326" s="35">
        <f t="shared" si="119"/>
        <v>8.6757990867579959E-2</v>
      </c>
      <c r="V326" s="35">
        <f t="shared" si="120"/>
        <v>4.3062200956937802E-2</v>
      </c>
      <c r="W326" s="35">
        <f t="shared" si="120"/>
        <v>4.3062200956937802E-2</v>
      </c>
      <c r="X326" s="35">
        <f t="shared" si="120"/>
        <v>4.3062200956937802E-2</v>
      </c>
      <c r="Y326" s="35">
        <f t="shared" si="120"/>
        <v>4.3062200956937802E-2</v>
      </c>
      <c r="Z326" s="35">
        <f t="shared" si="120"/>
        <v>4.3062200956937802E-2</v>
      </c>
      <c r="AA326" s="35">
        <f t="shared" si="120"/>
        <v>4.3062200956937802E-2</v>
      </c>
    </row>
    <row r="327" spans="2:27" x14ac:dyDescent="0.2">
      <c r="B327" s="2">
        <v>325</v>
      </c>
      <c r="C327" s="2" t="str">
        <f t="shared" si="109"/>
        <v>s</v>
      </c>
      <c r="D327" s="29" t="s">
        <v>31</v>
      </c>
      <c r="E327" s="29" t="s">
        <v>219</v>
      </c>
      <c r="F327" s="2" t="s">
        <v>220</v>
      </c>
      <c r="G327" s="2">
        <f t="shared" si="104"/>
        <v>5</v>
      </c>
      <c r="H327" s="2" t="str">
        <f t="shared" si="116"/>
        <v>物理</v>
      </c>
      <c r="I327" s="38">
        <f t="shared" si="121"/>
        <v>0.36727272727272725</v>
      </c>
      <c r="J327" s="33">
        <f t="shared" si="122"/>
        <v>154</v>
      </c>
      <c r="K327" s="33">
        <f t="shared" si="117"/>
        <v>84</v>
      </c>
      <c r="L327" s="33">
        <f t="shared" si="117"/>
        <v>8</v>
      </c>
      <c r="M327" s="33">
        <f t="shared" si="117"/>
        <v>51</v>
      </c>
      <c r="N327" s="33">
        <f t="shared" si="118"/>
        <v>38</v>
      </c>
      <c r="O327" s="33">
        <f t="shared" si="117"/>
        <v>18</v>
      </c>
      <c r="P327" s="33">
        <f t="shared" si="117"/>
        <v>28</v>
      </c>
      <c r="Q327" s="33">
        <f t="shared" si="117"/>
        <v>23</v>
      </c>
      <c r="R327" s="35">
        <f t="shared" si="123"/>
        <v>7.6666666666666675E-2</v>
      </c>
      <c r="S327" s="35">
        <f t="shared" si="124"/>
        <v>9.3333333333333338E-2</v>
      </c>
      <c r="T327" s="35">
        <f t="shared" si="125"/>
        <v>7.6666666666666675E-2</v>
      </c>
      <c r="U327" s="35">
        <f t="shared" si="119"/>
        <v>0.1071428571428571</v>
      </c>
      <c r="V327" s="35">
        <f t="shared" si="120"/>
        <v>5.6603773584905648E-2</v>
      </c>
      <c r="W327" s="35">
        <f t="shared" si="120"/>
        <v>5.6603773584905648E-2</v>
      </c>
      <c r="X327" s="35">
        <f t="shared" si="120"/>
        <v>5.6603773584905648E-2</v>
      </c>
      <c r="Y327" s="35">
        <f t="shared" si="120"/>
        <v>5.6603773584905648E-2</v>
      </c>
      <c r="Z327" s="35">
        <f t="shared" si="120"/>
        <v>5.6603773584905648E-2</v>
      </c>
      <c r="AA327" s="35">
        <f t="shared" si="120"/>
        <v>5.6603773584905648E-2</v>
      </c>
    </row>
    <row r="328" spans="2:27" x14ac:dyDescent="0.2">
      <c r="B328" s="2">
        <v>326</v>
      </c>
      <c r="C328" s="2" t="str">
        <f t="shared" si="109"/>
        <v>s</v>
      </c>
      <c r="D328" s="29" t="s">
        <v>31</v>
      </c>
      <c r="E328" s="29" t="s">
        <v>219</v>
      </c>
      <c r="F328" s="2" t="s">
        <v>220</v>
      </c>
      <c r="G328" s="2">
        <f t="shared" si="104"/>
        <v>6</v>
      </c>
      <c r="H328" s="2" t="str">
        <f t="shared" si="116"/>
        <v>物理</v>
      </c>
      <c r="I328" s="38">
        <f t="shared" si="121"/>
        <v>0.44363636363636366</v>
      </c>
      <c r="J328" s="33">
        <f t="shared" si="122"/>
        <v>185</v>
      </c>
      <c r="K328" s="33">
        <f t="shared" si="117"/>
        <v>101</v>
      </c>
      <c r="L328" s="33">
        <f t="shared" si="117"/>
        <v>10</v>
      </c>
      <c r="M328" s="33">
        <f t="shared" si="117"/>
        <v>62</v>
      </c>
      <c r="N328" s="33">
        <f t="shared" si="118"/>
        <v>46</v>
      </c>
      <c r="O328" s="33">
        <f t="shared" si="117"/>
        <v>22</v>
      </c>
      <c r="P328" s="33">
        <f t="shared" si="117"/>
        <v>34</v>
      </c>
      <c r="Q328" s="33">
        <f t="shared" si="117"/>
        <v>28</v>
      </c>
      <c r="R328" s="35">
        <f t="shared" si="123"/>
        <v>9.3333333333333338E-2</v>
      </c>
      <c r="S328" s="35">
        <f t="shared" si="124"/>
        <v>0.11333333333333334</v>
      </c>
      <c r="T328" s="35">
        <f t="shared" si="125"/>
        <v>9.3333333333333338E-2</v>
      </c>
      <c r="U328" s="35">
        <f t="shared" si="119"/>
        <v>0.1228070175438597</v>
      </c>
      <c r="V328" s="35">
        <f t="shared" si="120"/>
        <v>6.5420560747663559E-2</v>
      </c>
      <c r="W328" s="35">
        <f t="shared" si="120"/>
        <v>6.5420560747663559E-2</v>
      </c>
      <c r="X328" s="35">
        <f t="shared" si="120"/>
        <v>6.5420560747663559E-2</v>
      </c>
      <c r="Y328" s="35">
        <f t="shared" si="120"/>
        <v>6.5420560747663559E-2</v>
      </c>
      <c r="Z328" s="35">
        <f t="shared" si="120"/>
        <v>6.5420560747663559E-2</v>
      </c>
      <c r="AA328" s="35">
        <f t="shared" si="120"/>
        <v>6.5420560747663559E-2</v>
      </c>
    </row>
    <row r="329" spans="2:27" x14ac:dyDescent="0.2">
      <c r="B329" s="2">
        <v>327</v>
      </c>
      <c r="C329" s="2" t="str">
        <f t="shared" si="109"/>
        <v>s</v>
      </c>
      <c r="D329" s="29" t="s">
        <v>31</v>
      </c>
      <c r="E329" s="29" t="s">
        <v>219</v>
      </c>
      <c r="F329" s="2" t="s">
        <v>220</v>
      </c>
      <c r="G329" s="2">
        <f t="shared" si="104"/>
        <v>7</v>
      </c>
      <c r="H329" s="2" t="str">
        <f t="shared" si="116"/>
        <v>物理</v>
      </c>
      <c r="I329" s="38">
        <f t="shared" si="121"/>
        <v>0.5154545454545455</v>
      </c>
      <c r="J329" s="33">
        <f t="shared" si="122"/>
        <v>216</v>
      </c>
      <c r="K329" s="33">
        <f t="shared" si="117"/>
        <v>118</v>
      </c>
      <c r="L329" s="33">
        <f t="shared" si="117"/>
        <v>11</v>
      </c>
      <c r="M329" s="33">
        <f t="shared" si="117"/>
        <v>72</v>
      </c>
      <c r="N329" s="33">
        <f t="shared" si="118"/>
        <v>53</v>
      </c>
      <c r="O329" s="33">
        <f t="shared" si="117"/>
        <v>26</v>
      </c>
      <c r="P329" s="33">
        <f t="shared" si="117"/>
        <v>39</v>
      </c>
      <c r="Q329" s="33">
        <f t="shared" si="117"/>
        <v>32</v>
      </c>
      <c r="R329" s="35">
        <f t="shared" si="123"/>
        <v>0.10666666666666666</v>
      </c>
      <c r="S329" s="35">
        <f t="shared" si="124"/>
        <v>0.13</v>
      </c>
      <c r="T329" s="35">
        <f t="shared" si="125"/>
        <v>0.10666666666666666</v>
      </c>
      <c r="U329" s="35">
        <f t="shared" si="119"/>
        <v>0.14163090128755362</v>
      </c>
      <c r="V329" s="35">
        <f t="shared" si="120"/>
        <v>7.407407407407407E-2</v>
      </c>
      <c r="W329" s="35">
        <f t="shared" si="120"/>
        <v>7.407407407407407E-2</v>
      </c>
      <c r="X329" s="35">
        <f t="shared" si="120"/>
        <v>7.407407407407407E-2</v>
      </c>
      <c r="Y329" s="35">
        <f t="shared" si="120"/>
        <v>7.407407407407407E-2</v>
      </c>
      <c r="Z329" s="35">
        <f t="shared" si="120"/>
        <v>7.407407407407407E-2</v>
      </c>
      <c r="AA329" s="35">
        <f t="shared" si="120"/>
        <v>7.407407407407407E-2</v>
      </c>
    </row>
    <row r="330" spans="2:27" x14ac:dyDescent="0.2">
      <c r="B330" s="2">
        <v>328</v>
      </c>
      <c r="C330" s="2" t="str">
        <f t="shared" si="109"/>
        <v>s</v>
      </c>
      <c r="D330" s="29" t="s">
        <v>31</v>
      </c>
      <c r="E330" s="29" t="s">
        <v>219</v>
      </c>
      <c r="F330" s="2" t="s">
        <v>220</v>
      </c>
      <c r="G330" s="2">
        <f t="shared" si="104"/>
        <v>8</v>
      </c>
      <c r="H330" s="2" t="str">
        <f t="shared" si="116"/>
        <v>物理</v>
      </c>
      <c r="I330" s="38">
        <f t="shared" si="121"/>
        <v>0.59090909090909094</v>
      </c>
      <c r="J330" s="33">
        <f t="shared" si="122"/>
        <v>247</v>
      </c>
      <c r="K330" s="33">
        <f t="shared" si="117"/>
        <v>135</v>
      </c>
      <c r="L330" s="33">
        <f t="shared" si="117"/>
        <v>13</v>
      </c>
      <c r="M330" s="33">
        <f t="shared" si="117"/>
        <v>82</v>
      </c>
      <c r="N330" s="33">
        <f t="shared" si="118"/>
        <v>61</v>
      </c>
      <c r="O330" s="33">
        <f t="shared" si="117"/>
        <v>30</v>
      </c>
      <c r="P330" s="33">
        <f t="shared" si="117"/>
        <v>45</v>
      </c>
      <c r="Q330" s="33">
        <f t="shared" si="117"/>
        <v>37</v>
      </c>
      <c r="R330" s="35">
        <f t="shared" si="123"/>
        <v>0.12333333333333334</v>
      </c>
      <c r="S330" s="35">
        <f t="shared" si="124"/>
        <v>0.15</v>
      </c>
      <c r="T330" s="35">
        <f t="shared" si="125"/>
        <v>0.12333333333333334</v>
      </c>
      <c r="U330" s="35">
        <f t="shared" si="119"/>
        <v>0.15966386554621848</v>
      </c>
      <c r="V330" s="35">
        <f t="shared" si="120"/>
        <v>8.6757990867579959E-2</v>
      </c>
      <c r="W330" s="35">
        <f t="shared" si="120"/>
        <v>8.6757990867579959E-2</v>
      </c>
      <c r="X330" s="35">
        <f t="shared" si="120"/>
        <v>8.6757990867579959E-2</v>
      </c>
      <c r="Y330" s="35">
        <f t="shared" si="120"/>
        <v>8.6757990867579959E-2</v>
      </c>
      <c r="Z330" s="35">
        <f t="shared" si="120"/>
        <v>8.6757990867579959E-2</v>
      </c>
      <c r="AA330" s="35">
        <f t="shared" si="120"/>
        <v>8.6757990867579959E-2</v>
      </c>
    </row>
    <row r="331" spans="2:27" x14ac:dyDescent="0.2">
      <c r="B331" s="2">
        <v>329</v>
      </c>
      <c r="C331" s="2" t="str">
        <f t="shared" si="109"/>
        <v>a</v>
      </c>
      <c r="D331" s="29" t="s">
        <v>31</v>
      </c>
      <c r="E331" s="29" t="s">
        <v>219</v>
      </c>
      <c r="F331" s="2" t="s">
        <v>220</v>
      </c>
      <c r="G331" s="2">
        <f t="shared" si="104"/>
        <v>1</v>
      </c>
      <c r="H331" s="2" t="str">
        <f t="shared" si="116"/>
        <v>物理</v>
      </c>
      <c r="I331" s="38">
        <f t="shared" si="121"/>
        <v>0.1</v>
      </c>
      <c r="J331" s="33">
        <f t="shared" si="122"/>
        <v>23</v>
      </c>
      <c r="K331" s="33">
        <f t="shared" si="117"/>
        <v>17</v>
      </c>
      <c r="L331" s="33">
        <f t="shared" si="117"/>
        <v>1</v>
      </c>
      <c r="M331" s="33">
        <f t="shared" si="117"/>
        <v>10</v>
      </c>
      <c r="N331" s="33">
        <f t="shared" si="118"/>
        <v>8</v>
      </c>
      <c r="O331" s="33">
        <f t="shared" si="117"/>
        <v>3</v>
      </c>
      <c r="P331" s="33">
        <f t="shared" si="117"/>
        <v>6</v>
      </c>
      <c r="Q331" s="33">
        <f t="shared" si="117"/>
        <v>4</v>
      </c>
      <c r="R331" s="35">
        <f t="shared" si="123"/>
        <v>1.3333333333333332E-2</v>
      </c>
      <c r="S331" s="35">
        <f t="shared" si="124"/>
        <v>0.02</v>
      </c>
      <c r="T331" s="35">
        <f t="shared" si="125"/>
        <v>1.3333333333333332E-2</v>
      </c>
      <c r="U331" s="35">
        <f t="shared" si="119"/>
        <v>2.4390243902439046E-2</v>
      </c>
      <c r="V331" s="35">
        <f t="shared" si="120"/>
        <v>9.9009900990099098E-3</v>
      </c>
      <c r="W331" s="35">
        <f t="shared" si="120"/>
        <v>9.9009900990099098E-3</v>
      </c>
      <c r="X331" s="35">
        <f t="shared" si="120"/>
        <v>9.9009900990099098E-3</v>
      </c>
      <c r="Y331" s="35">
        <f t="shared" si="120"/>
        <v>9.9009900990099098E-3</v>
      </c>
      <c r="Z331" s="35">
        <f t="shared" si="120"/>
        <v>9.9009900990099098E-3</v>
      </c>
      <c r="AA331" s="35">
        <f t="shared" si="120"/>
        <v>9.9009900990099098E-3</v>
      </c>
    </row>
    <row r="332" spans="2:27" x14ac:dyDescent="0.2">
      <c r="B332" s="2">
        <v>330</v>
      </c>
      <c r="C332" s="2" t="str">
        <f t="shared" si="109"/>
        <v>a</v>
      </c>
      <c r="D332" s="29" t="s">
        <v>31</v>
      </c>
      <c r="E332" s="29" t="s">
        <v>219</v>
      </c>
      <c r="F332" s="2" t="s">
        <v>220</v>
      </c>
      <c r="G332" s="2">
        <f t="shared" ref="G332:G395" si="126">G324</f>
        <v>2</v>
      </c>
      <c r="H332" s="2" t="str">
        <f t="shared" si="116"/>
        <v>物理</v>
      </c>
      <c r="I332" s="38">
        <f t="shared" si="121"/>
        <v>0.13636363636363635</v>
      </c>
      <c r="J332" s="33">
        <f t="shared" si="122"/>
        <v>47</v>
      </c>
      <c r="K332" s="33">
        <f t="shared" si="117"/>
        <v>35</v>
      </c>
      <c r="L332" s="33">
        <f t="shared" si="117"/>
        <v>3</v>
      </c>
      <c r="M332" s="33">
        <f t="shared" si="117"/>
        <v>21</v>
      </c>
      <c r="N332" s="33">
        <f t="shared" si="118"/>
        <v>16</v>
      </c>
      <c r="O332" s="33">
        <f t="shared" si="117"/>
        <v>7</v>
      </c>
      <c r="P332" s="33">
        <f t="shared" si="117"/>
        <v>12</v>
      </c>
      <c r="Q332" s="33">
        <f t="shared" si="117"/>
        <v>9</v>
      </c>
      <c r="R332" s="35">
        <f t="shared" si="123"/>
        <v>0.03</v>
      </c>
      <c r="S332" s="35">
        <f t="shared" si="124"/>
        <v>0.04</v>
      </c>
      <c r="T332" s="35">
        <f t="shared" si="125"/>
        <v>0.03</v>
      </c>
      <c r="U332" s="35">
        <f t="shared" si="119"/>
        <v>4.7619047619047672E-2</v>
      </c>
      <c r="V332" s="35">
        <f t="shared" si="120"/>
        <v>2.4390243902439046E-2</v>
      </c>
      <c r="W332" s="35">
        <f t="shared" si="120"/>
        <v>2.4390243902439046E-2</v>
      </c>
      <c r="X332" s="35">
        <f t="shared" si="120"/>
        <v>2.4390243902439046E-2</v>
      </c>
      <c r="Y332" s="35">
        <f t="shared" si="120"/>
        <v>2.4390243902439046E-2</v>
      </c>
      <c r="Z332" s="35">
        <f t="shared" si="120"/>
        <v>2.4390243902439046E-2</v>
      </c>
      <c r="AA332" s="35">
        <f t="shared" si="120"/>
        <v>2.4390243902439046E-2</v>
      </c>
    </row>
    <row r="333" spans="2:27" x14ac:dyDescent="0.2">
      <c r="B333" s="2">
        <v>331</v>
      </c>
      <c r="C333" s="2" t="str">
        <f t="shared" si="109"/>
        <v>a</v>
      </c>
      <c r="D333" s="29" t="s">
        <v>31</v>
      </c>
      <c r="E333" s="29" t="s">
        <v>219</v>
      </c>
      <c r="F333" s="2" t="s">
        <v>220</v>
      </c>
      <c r="G333" s="2">
        <f t="shared" si="126"/>
        <v>3</v>
      </c>
      <c r="H333" s="2" t="str">
        <f t="shared" si="116"/>
        <v>物理</v>
      </c>
      <c r="I333" s="38">
        <f t="shared" si="121"/>
        <v>0.20727272727272728</v>
      </c>
      <c r="J333" s="33">
        <f t="shared" si="122"/>
        <v>71</v>
      </c>
      <c r="K333" s="33">
        <f t="shared" ref="K333:Q342" si="127">INT((1+VLOOKUP($F333,role_property_weight,getpos(K$2),FALSE))*(1+VLOOKUP($F333,weapon_property_weight,getpos(K$2),FALSE))*VLOOKUP($E333,role_grow,getpos(K$2),FALSE)*$G333*10*VLOOKUP($C333,weapon_grow1,5,FALSE))</f>
        <v>53</v>
      </c>
      <c r="L333" s="33">
        <f t="shared" si="127"/>
        <v>5</v>
      </c>
      <c r="M333" s="33">
        <f t="shared" si="127"/>
        <v>32</v>
      </c>
      <c r="N333" s="33">
        <f t="shared" si="118"/>
        <v>24</v>
      </c>
      <c r="O333" s="33">
        <f t="shared" si="127"/>
        <v>11</v>
      </c>
      <c r="P333" s="33">
        <f t="shared" si="127"/>
        <v>18</v>
      </c>
      <c r="Q333" s="33">
        <f t="shared" si="127"/>
        <v>14</v>
      </c>
      <c r="R333" s="35">
        <f t="shared" si="123"/>
        <v>4.6666666666666669E-2</v>
      </c>
      <c r="S333" s="35">
        <f t="shared" si="124"/>
        <v>0.06</v>
      </c>
      <c r="T333" s="35">
        <f t="shared" si="125"/>
        <v>4.6666666666666669E-2</v>
      </c>
      <c r="U333" s="35">
        <f t="shared" si="119"/>
        <v>6.9767441860465129E-2</v>
      </c>
      <c r="V333" s="35">
        <f t="shared" ref="V333:AA342" si="128">1-200/(200+ROUND((1+VLOOKUP($F333,role_property_weight,getpos(V$2),FALSE))*VLOOKUP($E333,role_grow,getpos(V$2),FALSE)*$G333*10*VLOOKUP($C333,weapon_grow1,5,FALSE),0))</f>
        <v>3.3816425120772986E-2</v>
      </c>
      <c r="W333" s="35">
        <f t="shared" si="128"/>
        <v>3.3816425120772986E-2</v>
      </c>
      <c r="X333" s="35">
        <f t="shared" si="128"/>
        <v>3.3816425120772986E-2</v>
      </c>
      <c r="Y333" s="35">
        <f t="shared" si="128"/>
        <v>3.3816425120772986E-2</v>
      </c>
      <c r="Z333" s="35">
        <f t="shared" si="128"/>
        <v>3.3816425120772986E-2</v>
      </c>
      <c r="AA333" s="35">
        <f t="shared" si="128"/>
        <v>3.3816425120772986E-2</v>
      </c>
    </row>
    <row r="334" spans="2:27" x14ac:dyDescent="0.2">
      <c r="B334" s="2">
        <v>332</v>
      </c>
      <c r="C334" s="2" t="str">
        <f t="shared" si="109"/>
        <v>a</v>
      </c>
      <c r="D334" s="29" t="s">
        <v>31</v>
      </c>
      <c r="E334" s="29" t="s">
        <v>219</v>
      </c>
      <c r="F334" s="2" t="s">
        <v>220</v>
      </c>
      <c r="G334" s="2">
        <f t="shared" si="126"/>
        <v>4</v>
      </c>
      <c r="H334" s="2" t="str">
        <f t="shared" si="116"/>
        <v>物理</v>
      </c>
      <c r="I334" s="38">
        <f t="shared" si="121"/>
        <v>0.27727272727272728</v>
      </c>
      <c r="J334" s="33">
        <f t="shared" si="122"/>
        <v>94</v>
      </c>
      <c r="K334" s="33">
        <f t="shared" si="127"/>
        <v>71</v>
      </c>
      <c r="L334" s="33">
        <f t="shared" si="127"/>
        <v>7</v>
      </c>
      <c r="M334" s="33">
        <f t="shared" si="127"/>
        <v>43</v>
      </c>
      <c r="N334" s="33">
        <f t="shared" si="118"/>
        <v>32</v>
      </c>
      <c r="O334" s="33">
        <f t="shared" si="127"/>
        <v>15</v>
      </c>
      <c r="P334" s="33">
        <f t="shared" si="127"/>
        <v>24</v>
      </c>
      <c r="Q334" s="33">
        <f t="shared" si="127"/>
        <v>19</v>
      </c>
      <c r="R334" s="35">
        <f t="shared" si="123"/>
        <v>6.3333333333333325E-2</v>
      </c>
      <c r="S334" s="35">
        <f t="shared" si="124"/>
        <v>0.08</v>
      </c>
      <c r="T334" s="35">
        <f t="shared" si="125"/>
        <v>6.3333333333333325E-2</v>
      </c>
      <c r="U334" s="35">
        <f t="shared" si="119"/>
        <v>9.0909090909090939E-2</v>
      </c>
      <c r="V334" s="35">
        <f t="shared" si="128"/>
        <v>4.7619047619047672E-2</v>
      </c>
      <c r="W334" s="35">
        <f t="shared" si="128"/>
        <v>4.7619047619047672E-2</v>
      </c>
      <c r="X334" s="35">
        <f t="shared" si="128"/>
        <v>4.7619047619047672E-2</v>
      </c>
      <c r="Y334" s="35">
        <f t="shared" si="128"/>
        <v>4.7619047619047672E-2</v>
      </c>
      <c r="Z334" s="35">
        <f t="shared" si="128"/>
        <v>4.7619047619047672E-2</v>
      </c>
      <c r="AA334" s="35">
        <f t="shared" si="128"/>
        <v>4.7619047619047672E-2</v>
      </c>
    </row>
    <row r="335" spans="2:27" x14ac:dyDescent="0.2">
      <c r="B335" s="2">
        <v>333</v>
      </c>
      <c r="C335" s="2" t="str">
        <f t="shared" si="109"/>
        <v>a</v>
      </c>
      <c r="D335" s="29" t="s">
        <v>31</v>
      </c>
      <c r="E335" s="29" t="s">
        <v>219</v>
      </c>
      <c r="F335" s="2" t="s">
        <v>220</v>
      </c>
      <c r="G335" s="2">
        <f t="shared" si="126"/>
        <v>5</v>
      </c>
      <c r="H335" s="2" t="str">
        <f t="shared" si="116"/>
        <v>物理</v>
      </c>
      <c r="I335" s="38">
        <f t="shared" si="121"/>
        <v>0.34727272727272729</v>
      </c>
      <c r="J335" s="33">
        <f t="shared" si="122"/>
        <v>118</v>
      </c>
      <c r="K335" s="33">
        <f t="shared" si="127"/>
        <v>89</v>
      </c>
      <c r="L335" s="33">
        <f t="shared" si="127"/>
        <v>8</v>
      </c>
      <c r="M335" s="33">
        <f t="shared" si="127"/>
        <v>54</v>
      </c>
      <c r="N335" s="33">
        <f t="shared" si="118"/>
        <v>40</v>
      </c>
      <c r="O335" s="33">
        <f t="shared" si="127"/>
        <v>19</v>
      </c>
      <c r="P335" s="33">
        <f t="shared" si="127"/>
        <v>30</v>
      </c>
      <c r="Q335" s="33">
        <f t="shared" si="127"/>
        <v>24</v>
      </c>
      <c r="R335" s="35">
        <f t="shared" si="123"/>
        <v>0.08</v>
      </c>
      <c r="S335" s="35">
        <f t="shared" si="124"/>
        <v>0.1</v>
      </c>
      <c r="T335" s="35">
        <f t="shared" si="125"/>
        <v>0.08</v>
      </c>
      <c r="U335" s="35">
        <f t="shared" si="119"/>
        <v>0.11111111111111116</v>
      </c>
      <c r="V335" s="35">
        <f t="shared" si="128"/>
        <v>5.6603773584905648E-2</v>
      </c>
      <c r="W335" s="35">
        <f t="shared" si="128"/>
        <v>5.6603773584905648E-2</v>
      </c>
      <c r="X335" s="35">
        <f t="shared" si="128"/>
        <v>5.6603773584905648E-2</v>
      </c>
      <c r="Y335" s="35">
        <f t="shared" si="128"/>
        <v>5.6603773584905648E-2</v>
      </c>
      <c r="Z335" s="35">
        <f t="shared" si="128"/>
        <v>5.6603773584905648E-2</v>
      </c>
      <c r="AA335" s="35">
        <f t="shared" si="128"/>
        <v>5.6603773584905648E-2</v>
      </c>
    </row>
    <row r="336" spans="2:27" x14ac:dyDescent="0.2">
      <c r="B336" s="2">
        <v>334</v>
      </c>
      <c r="C336" s="2" t="str">
        <f t="shared" si="109"/>
        <v>a</v>
      </c>
      <c r="D336" s="29" t="s">
        <v>31</v>
      </c>
      <c r="E336" s="29" t="s">
        <v>219</v>
      </c>
      <c r="F336" s="2" t="s">
        <v>220</v>
      </c>
      <c r="G336" s="2">
        <f t="shared" si="126"/>
        <v>6</v>
      </c>
      <c r="H336" s="2" t="str">
        <f t="shared" si="116"/>
        <v>物理</v>
      </c>
      <c r="I336" s="38">
        <f t="shared" si="121"/>
        <v>0.41818181818181821</v>
      </c>
      <c r="J336" s="33">
        <f t="shared" si="122"/>
        <v>142</v>
      </c>
      <c r="K336" s="33">
        <f t="shared" si="127"/>
        <v>107</v>
      </c>
      <c r="L336" s="33">
        <f t="shared" si="127"/>
        <v>10</v>
      </c>
      <c r="M336" s="33">
        <f t="shared" si="127"/>
        <v>65</v>
      </c>
      <c r="N336" s="33">
        <f t="shared" si="118"/>
        <v>48</v>
      </c>
      <c r="O336" s="33">
        <f t="shared" si="127"/>
        <v>23</v>
      </c>
      <c r="P336" s="33">
        <f t="shared" si="127"/>
        <v>36</v>
      </c>
      <c r="Q336" s="33">
        <f t="shared" si="127"/>
        <v>29</v>
      </c>
      <c r="R336" s="35">
        <f t="shared" si="123"/>
        <v>9.6666666666666665E-2</v>
      </c>
      <c r="S336" s="35">
        <f t="shared" si="124"/>
        <v>0.12</v>
      </c>
      <c r="T336" s="35">
        <f t="shared" si="125"/>
        <v>9.6666666666666665E-2</v>
      </c>
      <c r="U336" s="35">
        <f t="shared" si="119"/>
        <v>0.13043478260869568</v>
      </c>
      <c r="V336" s="35">
        <f t="shared" si="128"/>
        <v>6.9767441860465129E-2</v>
      </c>
      <c r="W336" s="35">
        <f t="shared" si="128"/>
        <v>6.9767441860465129E-2</v>
      </c>
      <c r="X336" s="35">
        <f t="shared" si="128"/>
        <v>6.9767441860465129E-2</v>
      </c>
      <c r="Y336" s="35">
        <f t="shared" si="128"/>
        <v>6.9767441860465129E-2</v>
      </c>
      <c r="Z336" s="35">
        <f t="shared" si="128"/>
        <v>6.9767441860465129E-2</v>
      </c>
      <c r="AA336" s="35">
        <f t="shared" si="128"/>
        <v>6.9767441860465129E-2</v>
      </c>
    </row>
    <row r="337" spans="2:27" x14ac:dyDescent="0.2">
      <c r="B337" s="2">
        <v>335</v>
      </c>
      <c r="C337" s="2" t="str">
        <f t="shared" si="109"/>
        <v>a</v>
      </c>
      <c r="D337" s="29" t="s">
        <v>31</v>
      </c>
      <c r="E337" s="29" t="s">
        <v>219</v>
      </c>
      <c r="F337" s="2" t="s">
        <v>220</v>
      </c>
      <c r="G337" s="2">
        <f t="shared" si="126"/>
        <v>7</v>
      </c>
      <c r="H337" s="2" t="str">
        <f t="shared" si="116"/>
        <v>物理</v>
      </c>
      <c r="I337" s="38">
        <f t="shared" si="121"/>
        <v>0.48727272727272725</v>
      </c>
      <c r="J337" s="33">
        <f t="shared" si="122"/>
        <v>165</v>
      </c>
      <c r="K337" s="33">
        <f t="shared" si="127"/>
        <v>124</v>
      </c>
      <c r="L337" s="33">
        <f t="shared" si="127"/>
        <v>12</v>
      </c>
      <c r="M337" s="33">
        <f t="shared" si="127"/>
        <v>76</v>
      </c>
      <c r="N337" s="33">
        <f t="shared" si="118"/>
        <v>56</v>
      </c>
      <c r="O337" s="33">
        <f t="shared" si="127"/>
        <v>27</v>
      </c>
      <c r="P337" s="33">
        <f t="shared" si="127"/>
        <v>42</v>
      </c>
      <c r="Q337" s="33">
        <f t="shared" si="127"/>
        <v>34</v>
      </c>
      <c r="R337" s="35">
        <f t="shared" si="123"/>
        <v>0.11333333333333334</v>
      </c>
      <c r="S337" s="35">
        <f t="shared" si="124"/>
        <v>0.14000000000000001</v>
      </c>
      <c r="T337" s="35">
        <f t="shared" si="125"/>
        <v>0.11333333333333334</v>
      </c>
      <c r="U337" s="35">
        <f t="shared" si="119"/>
        <v>0.14893617021276595</v>
      </c>
      <c r="V337" s="35">
        <f t="shared" si="128"/>
        <v>7.8341013824884786E-2</v>
      </c>
      <c r="W337" s="35">
        <f t="shared" si="128"/>
        <v>7.8341013824884786E-2</v>
      </c>
      <c r="X337" s="35">
        <f t="shared" si="128"/>
        <v>7.8341013824884786E-2</v>
      </c>
      <c r="Y337" s="35">
        <f t="shared" si="128"/>
        <v>7.8341013824884786E-2</v>
      </c>
      <c r="Z337" s="35">
        <f t="shared" si="128"/>
        <v>7.8341013824884786E-2</v>
      </c>
      <c r="AA337" s="35">
        <f t="shared" si="128"/>
        <v>7.8341013824884786E-2</v>
      </c>
    </row>
    <row r="338" spans="2:27" x14ac:dyDescent="0.2">
      <c r="B338" s="2">
        <v>336</v>
      </c>
      <c r="C338" s="2" t="str">
        <f t="shared" si="109"/>
        <v>a</v>
      </c>
      <c r="D338" s="29" t="s">
        <v>31</v>
      </c>
      <c r="E338" s="29" t="s">
        <v>219</v>
      </c>
      <c r="F338" s="2" t="s">
        <v>220</v>
      </c>
      <c r="G338" s="2">
        <f t="shared" si="126"/>
        <v>8</v>
      </c>
      <c r="H338" s="2" t="str">
        <f t="shared" si="116"/>
        <v>物理</v>
      </c>
      <c r="I338" s="38">
        <f t="shared" si="121"/>
        <v>0.55818181818181822</v>
      </c>
      <c r="J338" s="33">
        <f t="shared" si="122"/>
        <v>189</v>
      </c>
      <c r="K338" s="33">
        <f t="shared" si="127"/>
        <v>142</v>
      </c>
      <c r="L338" s="33">
        <f t="shared" si="127"/>
        <v>14</v>
      </c>
      <c r="M338" s="33">
        <f t="shared" si="127"/>
        <v>87</v>
      </c>
      <c r="N338" s="33">
        <f t="shared" si="118"/>
        <v>64</v>
      </c>
      <c r="O338" s="33">
        <f t="shared" si="127"/>
        <v>31</v>
      </c>
      <c r="P338" s="33">
        <f t="shared" si="127"/>
        <v>48</v>
      </c>
      <c r="Q338" s="33">
        <f t="shared" si="127"/>
        <v>39</v>
      </c>
      <c r="R338" s="35">
        <f t="shared" si="123"/>
        <v>0.13</v>
      </c>
      <c r="S338" s="35">
        <f t="shared" si="124"/>
        <v>0.16</v>
      </c>
      <c r="T338" s="35">
        <f t="shared" si="125"/>
        <v>0.13</v>
      </c>
      <c r="U338" s="35">
        <f t="shared" si="119"/>
        <v>0.16666666666666663</v>
      </c>
      <c r="V338" s="35">
        <f t="shared" si="128"/>
        <v>9.0909090909090939E-2</v>
      </c>
      <c r="W338" s="35">
        <f t="shared" si="128"/>
        <v>9.0909090909090939E-2</v>
      </c>
      <c r="X338" s="35">
        <f t="shared" si="128"/>
        <v>9.0909090909090939E-2</v>
      </c>
      <c r="Y338" s="35">
        <f t="shared" si="128"/>
        <v>9.0909090909090939E-2</v>
      </c>
      <c r="Z338" s="35">
        <f t="shared" si="128"/>
        <v>9.0909090909090939E-2</v>
      </c>
      <c r="AA338" s="35">
        <f t="shared" si="128"/>
        <v>9.0909090909090939E-2</v>
      </c>
    </row>
    <row r="339" spans="2:27" x14ac:dyDescent="0.2">
      <c r="B339" s="2">
        <v>337</v>
      </c>
      <c r="C339" s="2" t="str">
        <f t="shared" si="109"/>
        <v>b</v>
      </c>
      <c r="D339" s="29" t="s">
        <v>31</v>
      </c>
      <c r="E339" s="29" t="s">
        <v>219</v>
      </c>
      <c r="F339" s="2" t="s">
        <v>220</v>
      </c>
      <c r="G339" s="2">
        <f t="shared" si="126"/>
        <v>1</v>
      </c>
      <c r="H339" s="2" t="str">
        <f t="shared" si="116"/>
        <v>物理</v>
      </c>
      <c r="I339" s="38">
        <f t="shared" si="121"/>
        <v>0.1</v>
      </c>
      <c r="J339" s="33">
        <f t="shared" si="122"/>
        <v>25</v>
      </c>
      <c r="K339" s="33">
        <f t="shared" si="127"/>
        <v>22</v>
      </c>
      <c r="L339" s="33">
        <f t="shared" si="127"/>
        <v>2</v>
      </c>
      <c r="M339" s="33">
        <f t="shared" si="127"/>
        <v>13</v>
      </c>
      <c r="N339" s="33">
        <f t="shared" si="118"/>
        <v>10</v>
      </c>
      <c r="O339" s="33">
        <f t="shared" si="127"/>
        <v>4</v>
      </c>
      <c r="P339" s="33">
        <f t="shared" si="127"/>
        <v>7</v>
      </c>
      <c r="Q339" s="33">
        <f t="shared" si="127"/>
        <v>6</v>
      </c>
      <c r="R339" s="35">
        <f t="shared" si="123"/>
        <v>0.02</v>
      </c>
      <c r="S339" s="35">
        <f t="shared" si="124"/>
        <v>2.3333333333333334E-2</v>
      </c>
      <c r="T339" s="35">
        <f t="shared" si="125"/>
        <v>0.02</v>
      </c>
      <c r="U339" s="35">
        <f t="shared" si="119"/>
        <v>2.9126213592232997E-2</v>
      </c>
      <c r="V339" s="35">
        <f t="shared" si="128"/>
        <v>1.4778325123152691E-2</v>
      </c>
      <c r="W339" s="35">
        <f t="shared" si="128"/>
        <v>1.4778325123152691E-2</v>
      </c>
      <c r="X339" s="35">
        <f t="shared" si="128"/>
        <v>1.4778325123152691E-2</v>
      </c>
      <c r="Y339" s="35">
        <f t="shared" si="128"/>
        <v>1.4778325123152691E-2</v>
      </c>
      <c r="Z339" s="35">
        <f t="shared" si="128"/>
        <v>1.4778325123152691E-2</v>
      </c>
      <c r="AA339" s="35">
        <f t="shared" si="128"/>
        <v>1.4778325123152691E-2</v>
      </c>
    </row>
    <row r="340" spans="2:27" x14ac:dyDescent="0.2">
      <c r="B340" s="2">
        <v>338</v>
      </c>
      <c r="C340" s="2" t="str">
        <f t="shared" si="109"/>
        <v>b</v>
      </c>
      <c r="D340" s="29" t="s">
        <v>31</v>
      </c>
      <c r="E340" s="29" t="s">
        <v>219</v>
      </c>
      <c r="F340" s="2" t="s">
        <v>220</v>
      </c>
      <c r="G340" s="2">
        <f t="shared" si="126"/>
        <v>2</v>
      </c>
      <c r="H340" s="2" t="str">
        <f t="shared" si="116"/>
        <v>物理</v>
      </c>
      <c r="I340" s="38">
        <f t="shared" si="121"/>
        <v>0.16545454545454547</v>
      </c>
      <c r="J340" s="33">
        <f t="shared" si="122"/>
        <v>51</v>
      </c>
      <c r="K340" s="33">
        <f t="shared" si="127"/>
        <v>44</v>
      </c>
      <c r="L340" s="33">
        <f t="shared" si="127"/>
        <v>4</v>
      </c>
      <c r="M340" s="33">
        <f t="shared" si="127"/>
        <v>27</v>
      </c>
      <c r="N340" s="33">
        <f t="shared" si="118"/>
        <v>20</v>
      </c>
      <c r="O340" s="33">
        <f t="shared" si="127"/>
        <v>9</v>
      </c>
      <c r="P340" s="33">
        <f t="shared" si="127"/>
        <v>15</v>
      </c>
      <c r="Q340" s="33">
        <f t="shared" si="127"/>
        <v>12</v>
      </c>
      <c r="R340" s="35">
        <f t="shared" si="123"/>
        <v>0.04</v>
      </c>
      <c r="S340" s="35">
        <f t="shared" si="124"/>
        <v>0.05</v>
      </c>
      <c r="T340" s="35">
        <f t="shared" si="125"/>
        <v>0.04</v>
      </c>
      <c r="U340" s="35">
        <f t="shared" si="119"/>
        <v>5.6603773584905648E-2</v>
      </c>
      <c r="V340" s="35">
        <f t="shared" si="128"/>
        <v>2.9126213592232997E-2</v>
      </c>
      <c r="W340" s="35">
        <f t="shared" si="128"/>
        <v>2.9126213592232997E-2</v>
      </c>
      <c r="X340" s="35">
        <f t="shared" si="128"/>
        <v>2.9126213592232997E-2</v>
      </c>
      <c r="Y340" s="35">
        <f t="shared" si="128"/>
        <v>2.9126213592232997E-2</v>
      </c>
      <c r="Z340" s="35">
        <f t="shared" si="128"/>
        <v>2.9126213592232997E-2</v>
      </c>
      <c r="AA340" s="35">
        <f t="shared" si="128"/>
        <v>2.9126213592232997E-2</v>
      </c>
    </row>
    <row r="341" spans="2:27" x14ac:dyDescent="0.2">
      <c r="B341" s="2">
        <v>339</v>
      </c>
      <c r="C341" s="2" t="str">
        <f t="shared" si="109"/>
        <v>b</v>
      </c>
      <c r="D341" s="29" t="s">
        <v>31</v>
      </c>
      <c r="E341" s="29" t="s">
        <v>219</v>
      </c>
      <c r="F341" s="2" t="s">
        <v>220</v>
      </c>
      <c r="G341" s="2">
        <f t="shared" si="126"/>
        <v>3</v>
      </c>
      <c r="H341" s="2" t="str">
        <f t="shared" si="116"/>
        <v>物理</v>
      </c>
      <c r="I341" s="38">
        <f t="shared" si="121"/>
        <v>0.24909090909090911</v>
      </c>
      <c r="J341" s="33">
        <f t="shared" si="122"/>
        <v>76</v>
      </c>
      <c r="K341" s="33">
        <f t="shared" si="127"/>
        <v>67</v>
      </c>
      <c r="L341" s="33">
        <f t="shared" si="127"/>
        <v>6</v>
      </c>
      <c r="M341" s="33">
        <f t="shared" si="127"/>
        <v>41</v>
      </c>
      <c r="N341" s="33">
        <f t="shared" si="118"/>
        <v>30</v>
      </c>
      <c r="O341" s="33">
        <f t="shared" si="127"/>
        <v>14</v>
      </c>
      <c r="P341" s="33">
        <f t="shared" si="127"/>
        <v>22</v>
      </c>
      <c r="Q341" s="33">
        <f t="shared" si="127"/>
        <v>18</v>
      </c>
      <c r="R341" s="35">
        <f t="shared" si="123"/>
        <v>0.06</v>
      </c>
      <c r="S341" s="35">
        <f t="shared" si="124"/>
        <v>7.3333333333333334E-2</v>
      </c>
      <c r="T341" s="35">
        <f t="shared" si="125"/>
        <v>0.06</v>
      </c>
      <c r="U341" s="35">
        <f t="shared" si="119"/>
        <v>8.6757990867579959E-2</v>
      </c>
      <c r="V341" s="35">
        <f t="shared" si="128"/>
        <v>4.3062200956937802E-2</v>
      </c>
      <c r="W341" s="35">
        <f t="shared" si="128"/>
        <v>4.3062200956937802E-2</v>
      </c>
      <c r="X341" s="35">
        <f t="shared" si="128"/>
        <v>4.3062200956937802E-2</v>
      </c>
      <c r="Y341" s="35">
        <f t="shared" si="128"/>
        <v>4.3062200956937802E-2</v>
      </c>
      <c r="Z341" s="35">
        <f t="shared" si="128"/>
        <v>4.3062200956937802E-2</v>
      </c>
      <c r="AA341" s="35">
        <f t="shared" si="128"/>
        <v>4.3062200956937802E-2</v>
      </c>
    </row>
    <row r="342" spans="2:27" x14ac:dyDescent="0.2">
      <c r="B342" s="2">
        <v>340</v>
      </c>
      <c r="C342" s="2" t="str">
        <f t="shared" si="109"/>
        <v>b</v>
      </c>
      <c r="D342" s="29" t="s">
        <v>31</v>
      </c>
      <c r="E342" s="29" t="s">
        <v>219</v>
      </c>
      <c r="F342" s="2" t="s">
        <v>220</v>
      </c>
      <c r="G342" s="2">
        <f t="shared" si="126"/>
        <v>4</v>
      </c>
      <c r="H342" s="2" t="str">
        <f t="shared" si="116"/>
        <v>物理</v>
      </c>
      <c r="I342" s="38">
        <f t="shared" si="121"/>
        <v>0.33272727272727276</v>
      </c>
      <c r="J342" s="33">
        <f t="shared" si="122"/>
        <v>102</v>
      </c>
      <c r="K342" s="33">
        <f t="shared" si="127"/>
        <v>89</v>
      </c>
      <c r="L342" s="33">
        <f t="shared" si="127"/>
        <v>8</v>
      </c>
      <c r="M342" s="33">
        <f t="shared" si="127"/>
        <v>54</v>
      </c>
      <c r="N342" s="33">
        <f t="shared" si="118"/>
        <v>40</v>
      </c>
      <c r="O342" s="33">
        <f t="shared" si="127"/>
        <v>19</v>
      </c>
      <c r="P342" s="33">
        <f t="shared" si="127"/>
        <v>30</v>
      </c>
      <c r="Q342" s="33">
        <f t="shared" si="127"/>
        <v>24</v>
      </c>
      <c r="R342" s="35">
        <f t="shared" si="123"/>
        <v>0.08</v>
      </c>
      <c r="S342" s="35">
        <f t="shared" si="124"/>
        <v>0.1</v>
      </c>
      <c r="T342" s="35">
        <f t="shared" si="125"/>
        <v>0.08</v>
      </c>
      <c r="U342" s="35">
        <f t="shared" si="119"/>
        <v>0.11111111111111116</v>
      </c>
      <c r="V342" s="35">
        <f t="shared" si="128"/>
        <v>5.6603773584905648E-2</v>
      </c>
      <c r="W342" s="35">
        <f t="shared" si="128"/>
        <v>5.6603773584905648E-2</v>
      </c>
      <c r="X342" s="35">
        <f t="shared" si="128"/>
        <v>5.6603773584905648E-2</v>
      </c>
      <c r="Y342" s="35">
        <f t="shared" si="128"/>
        <v>5.6603773584905648E-2</v>
      </c>
      <c r="Z342" s="35">
        <f t="shared" si="128"/>
        <v>5.6603773584905648E-2</v>
      </c>
      <c r="AA342" s="35">
        <f t="shared" si="128"/>
        <v>5.6603773584905648E-2</v>
      </c>
    </row>
    <row r="343" spans="2:27" x14ac:dyDescent="0.2">
      <c r="B343" s="2">
        <v>341</v>
      </c>
      <c r="C343" s="2" t="str">
        <f t="shared" si="109"/>
        <v>b</v>
      </c>
      <c r="D343" s="29" t="s">
        <v>31</v>
      </c>
      <c r="E343" s="29" t="s">
        <v>219</v>
      </c>
      <c r="F343" s="2" t="s">
        <v>220</v>
      </c>
      <c r="G343" s="2">
        <f t="shared" si="126"/>
        <v>5</v>
      </c>
      <c r="H343" s="2" t="str">
        <f t="shared" si="116"/>
        <v>物理</v>
      </c>
      <c r="I343" s="38">
        <f t="shared" si="121"/>
        <v>0.41818181818181821</v>
      </c>
      <c r="J343" s="33">
        <f t="shared" si="122"/>
        <v>127</v>
      </c>
      <c r="K343" s="33">
        <f t="shared" ref="K343:Q352" si="129">INT((1+VLOOKUP($F343,role_property_weight,getpos(K$2),FALSE))*(1+VLOOKUP($F343,weapon_property_weight,getpos(K$2),FALSE))*VLOOKUP($E343,role_grow,getpos(K$2),FALSE)*$G343*10*VLOOKUP($C343,weapon_grow1,5,FALSE))</f>
        <v>112</v>
      </c>
      <c r="L343" s="33">
        <f t="shared" si="129"/>
        <v>11</v>
      </c>
      <c r="M343" s="33">
        <f t="shared" si="129"/>
        <v>68</v>
      </c>
      <c r="N343" s="33">
        <f t="shared" si="118"/>
        <v>50</v>
      </c>
      <c r="O343" s="33">
        <f t="shared" si="129"/>
        <v>24</v>
      </c>
      <c r="P343" s="33">
        <f t="shared" si="129"/>
        <v>37</v>
      </c>
      <c r="Q343" s="33">
        <f t="shared" si="129"/>
        <v>31</v>
      </c>
      <c r="R343" s="35">
        <f t="shared" si="123"/>
        <v>0.10333333333333333</v>
      </c>
      <c r="S343" s="35">
        <f t="shared" si="124"/>
        <v>0.12333333333333334</v>
      </c>
      <c r="T343" s="35">
        <f t="shared" si="125"/>
        <v>0.10333333333333333</v>
      </c>
      <c r="U343" s="35">
        <f t="shared" si="119"/>
        <v>0.13419913419913421</v>
      </c>
      <c r="V343" s="35">
        <f t="shared" ref="V343:AA352" si="130">1-200/(200+ROUND((1+VLOOKUP($F343,role_property_weight,getpos(V$2),FALSE))*VLOOKUP($E343,role_grow,getpos(V$2),FALSE)*$G343*10*VLOOKUP($C343,weapon_grow1,5,FALSE),0))</f>
        <v>7.407407407407407E-2</v>
      </c>
      <c r="W343" s="35">
        <f t="shared" si="130"/>
        <v>7.407407407407407E-2</v>
      </c>
      <c r="X343" s="35">
        <f t="shared" si="130"/>
        <v>7.407407407407407E-2</v>
      </c>
      <c r="Y343" s="35">
        <f t="shared" si="130"/>
        <v>7.407407407407407E-2</v>
      </c>
      <c r="Z343" s="35">
        <f t="shared" si="130"/>
        <v>7.407407407407407E-2</v>
      </c>
      <c r="AA343" s="35">
        <f t="shared" si="130"/>
        <v>7.407407407407407E-2</v>
      </c>
    </row>
    <row r="344" spans="2:27" x14ac:dyDescent="0.2">
      <c r="B344" s="2">
        <v>342</v>
      </c>
      <c r="C344" s="2" t="str">
        <f t="shared" si="109"/>
        <v>b</v>
      </c>
      <c r="D344" s="29" t="s">
        <v>31</v>
      </c>
      <c r="E344" s="29" t="s">
        <v>219</v>
      </c>
      <c r="F344" s="2" t="s">
        <v>220</v>
      </c>
      <c r="G344" s="2">
        <f t="shared" si="126"/>
        <v>6</v>
      </c>
      <c r="H344" s="2" t="str">
        <f t="shared" si="116"/>
        <v>物理</v>
      </c>
      <c r="I344" s="38">
        <f t="shared" si="121"/>
        <v>0.50272727272727269</v>
      </c>
      <c r="J344" s="33">
        <f t="shared" si="122"/>
        <v>153</v>
      </c>
      <c r="K344" s="33">
        <f t="shared" si="129"/>
        <v>134</v>
      </c>
      <c r="L344" s="33">
        <f t="shared" si="129"/>
        <v>13</v>
      </c>
      <c r="M344" s="33">
        <f t="shared" si="129"/>
        <v>82</v>
      </c>
      <c r="N344" s="33">
        <f t="shared" si="118"/>
        <v>60</v>
      </c>
      <c r="O344" s="33">
        <f t="shared" si="129"/>
        <v>29</v>
      </c>
      <c r="P344" s="33">
        <f t="shared" si="129"/>
        <v>45</v>
      </c>
      <c r="Q344" s="33">
        <f t="shared" si="129"/>
        <v>37</v>
      </c>
      <c r="R344" s="35">
        <f t="shared" si="123"/>
        <v>0.12333333333333334</v>
      </c>
      <c r="S344" s="35">
        <f t="shared" si="124"/>
        <v>0.15</v>
      </c>
      <c r="T344" s="35">
        <f t="shared" si="125"/>
        <v>0.12333333333333334</v>
      </c>
      <c r="U344" s="35">
        <f t="shared" si="119"/>
        <v>0.15611814345991559</v>
      </c>
      <c r="V344" s="35">
        <f t="shared" si="130"/>
        <v>8.6757990867579959E-2</v>
      </c>
      <c r="W344" s="35">
        <f t="shared" si="130"/>
        <v>8.6757990867579959E-2</v>
      </c>
      <c r="X344" s="35">
        <f t="shared" si="130"/>
        <v>8.6757990867579959E-2</v>
      </c>
      <c r="Y344" s="35">
        <f t="shared" si="130"/>
        <v>8.6757990867579959E-2</v>
      </c>
      <c r="Z344" s="35">
        <f t="shared" si="130"/>
        <v>8.6757990867579959E-2</v>
      </c>
      <c r="AA344" s="35">
        <f t="shared" si="130"/>
        <v>8.6757990867579959E-2</v>
      </c>
    </row>
    <row r="345" spans="2:27" x14ac:dyDescent="0.2">
      <c r="B345" s="2">
        <v>343</v>
      </c>
      <c r="C345" s="2" t="str">
        <f t="shared" si="109"/>
        <v>b</v>
      </c>
      <c r="D345" s="29" t="s">
        <v>31</v>
      </c>
      <c r="E345" s="29" t="s">
        <v>219</v>
      </c>
      <c r="F345" s="2" t="s">
        <v>220</v>
      </c>
      <c r="G345" s="2">
        <f t="shared" si="126"/>
        <v>7</v>
      </c>
      <c r="H345" s="2" t="str">
        <f t="shared" si="116"/>
        <v>物理</v>
      </c>
      <c r="I345" s="38">
        <f t="shared" si="121"/>
        <v>0.58636363636363631</v>
      </c>
      <c r="J345" s="33">
        <f t="shared" si="122"/>
        <v>178</v>
      </c>
      <c r="K345" s="33">
        <f t="shared" si="129"/>
        <v>157</v>
      </c>
      <c r="L345" s="33">
        <f t="shared" si="129"/>
        <v>15</v>
      </c>
      <c r="M345" s="33">
        <f t="shared" si="129"/>
        <v>96</v>
      </c>
      <c r="N345" s="33">
        <f t="shared" si="118"/>
        <v>70</v>
      </c>
      <c r="O345" s="33">
        <f t="shared" si="129"/>
        <v>34</v>
      </c>
      <c r="P345" s="33">
        <f t="shared" si="129"/>
        <v>52</v>
      </c>
      <c r="Q345" s="33">
        <f t="shared" si="129"/>
        <v>43</v>
      </c>
      <c r="R345" s="35">
        <f t="shared" si="123"/>
        <v>0.14333333333333334</v>
      </c>
      <c r="S345" s="35">
        <f t="shared" si="124"/>
        <v>0.17333333333333331</v>
      </c>
      <c r="T345" s="35">
        <f t="shared" si="125"/>
        <v>0.14333333333333334</v>
      </c>
      <c r="U345" s="35">
        <f t="shared" si="119"/>
        <v>0.18032786885245899</v>
      </c>
      <c r="V345" s="35">
        <f t="shared" si="130"/>
        <v>9.9099099099099086E-2</v>
      </c>
      <c r="W345" s="35">
        <f t="shared" si="130"/>
        <v>9.9099099099099086E-2</v>
      </c>
      <c r="X345" s="35">
        <f t="shared" si="130"/>
        <v>9.9099099099099086E-2</v>
      </c>
      <c r="Y345" s="35">
        <f t="shared" si="130"/>
        <v>9.9099099099099086E-2</v>
      </c>
      <c r="Z345" s="35">
        <f t="shared" si="130"/>
        <v>9.9099099099099086E-2</v>
      </c>
      <c r="AA345" s="35">
        <f t="shared" si="130"/>
        <v>9.9099099099099086E-2</v>
      </c>
    </row>
    <row r="346" spans="2:27" x14ac:dyDescent="0.2">
      <c r="B346" s="2">
        <v>344</v>
      </c>
      <c r="C346" s="2" t="str">
        <f t="shared" si="109"/>
        <v>b</v>
      </c>
      <c r="D346" s="29" t="s">
        <v>31</v>
      </c>
      <c r="E346" s="29" t="s">
        <v>219</v>
      </c>
      <c r="F346" s="2" t="s">
        <v>220</v>
      </c>
      <c r="G346" s="2">
        <f t="shared" si="126"/>
        <v>8</v>
      </c>
      <c r="H346" s="2" t="str">
        <f t="shared" si="116"/>
        <v>物理</v>
      </c>
      <c r="I346" s="38">
        <f t="shared" si="121"/>
        <v>0.67</v>
      </c>
      <c r="J346" s="33">
        <f t="shared" si="122"/>
        <v>204</v>
      </c>
      <c r="K346" s="33">
        <f t="shared" si="129"/>
        <v>179</v>
      </c>
      <c r="L346" s="33">
        <f t="shared" si="129"/>
        <v>17</v>
      </c>
      <c r="M346" s="33">
        <f t="shared" si="129"/>
        <v>109</v>
      </c>
      <c r="N346" s="33">
        <f t="shared" si="118"/>
        <v>80</v>
      </c>
      <c r="O346" s="33">
        <f t="shared" si="129"/>
        <v>39</v>
      </c>
      <c r="P346" s="33">
        <f t="shared" si="129"/>
        <v>60</v>
      </c>
      <c r="Q346" s="33">
        <f t="shared" si="129"/>
        <v>49</v>
      </c>
      <c r="R346" s="35">
        <f t="shared" si="123"/>
        <v>0.16333333333333333</v>
      </c>
      <c r="S346" s="35">
        <f t="shared" si="124"/>
        <v>0.2</v>
      </c>
      <c r="T346" s="35">
        <f t="shared" si="125"/>
        <v>0.16333333333333333</v>
      </c>
      <c r="U346" s="35">
        <f t="shared" si="119"/>
        <v>0.19999999999999996</v>
      </c>
      <c r="V346" s="35">
        <f t="shared" si="130"/>
        <v>0.11111111111111116</v>
      </c>
      <c r="W346" s="35">
        <f t="shared" si="130"/>
        <v>0.11111111111111116</v>
      </c>
      <c r="X346" s="35">
        <f t="shared" si="130"/>
        <v>0.11111111111111116</v>
      </c>
      <c r="Y346" s="35">
        <f t="shared" si="130"/>
        <v>0.11111111111111116</v>
      </c>
      <c r="Z346" s="35">
        <f t="shared" si="130"/>
        <v>0.11111111111111116</v>
      </c>
      <c r="AA346" s="35">
        <f t="shared" si="130"/>
        <v>0.11111111111111116</v>
      </c>
    </row>
    <row r="347" spans="2:27" x14ac:dyDescent="0.2">
      <c r="B347" s="2">
        <v>345</v>
      </c>
      <c r="C347" s="2" t="str">
        <f t="shared" si="109"/>
        <v>c</v>
      </c>
      <c r="D347" s="29" t="s">
        <v>31</v>
      </c>
      <c r="E347" s="29" t="s">
        <v>219</v>
      </c>
      <c r="F347" s="2" t="s">
        <v>220</v>
      </c>
      <c r="G347" s="2">
        <f t="shared" si="126"/>
        <v>1</v>
      </c>
      <c r="H347" s="2" t="str">
        <f t="shared" si="116"/>
        <v>--</v>
      </c>
      <c r="I347" s="38">
        <f t="shared" si="121"/>
        <v>0</v>
      </c>
      <c r="J347" s="33">
        <f t="shared" si="122"/>
        <v>32</v>
      </c>
      <c r="K347" s="33">
        <f t="shared" si="129"/>
        <v>0</v>
      </c>
      <c r="L347" s="33">
        <f t="shared" si="129"/>
        <v>0</v>
      </c>
      <c r="M347" s="33">
        <f t="shared" si="129"/>
        <v>0</v>
      </c>
      <c r="N347" s="33">
        <f t="shared" si="118"/>
        <v>0</v>
      </c>
      <c r="O347" s="33">
        <f t="shared" si="129"/>
        <v>0</v>
      </c>
      <c r="P347" s="33">
        <f t="shared" si="129"/>
        <v>0</v>
      </c>
      <c r="Q347" s="33">
        <f t="shared" si="129"/>
        <v>0</v>
      </c>
      <c r="R347" s="35">
        <f t="shared" si="123"/>
        <v>0</v>
      </c>
      <c r="S347" s="35">
        <f t="shared" si="124"/>
        <v>0</v>
      </c>
      <c r="T347" s="35">
        <f t="shared" si="125"/>
        <v>0</v>
      </c>
      <c r="U347" s="35">
        <f t="shared" si="119"/>
        <v>0</v>
      </c>
      <c r="V347" s="35">
        <f t="shared" si="130"/>
        <v>0</v>
      </c>
      <c r="W347" s="35">
        <f t="shared" si="130"/>
        <v>0</v>
      </c>
      <c r="X347" s="35">
        <f t="shared" si="130"/>
        <v>0</v>
      </c>
      <c r="Y347" s="35">
        <f t="shared" si="130"/>
        <v>0</v>
      </c>
      <c r="Z347" s="35">
        <f t="shared" si="130"/>
        <v>0</v>
      </c>
      <c r="AA347" s="35">
        <f t="shared" si="130"/>
        <v>0</v>
      </c>
    </row>
    <row r="348" spans="2:27" x14ac:dyDescent="0.2">
      <c r="B348" s="2">
        <v>346</v>
      </c>
      <c r="C348" s="2" t="str">
        <f t="shared" si="109"/>
        <v>c</v>
      </c>
      <c r="D348" s="29" t="s">
        <v>31</v>
      </c>
      <c r="E348" s="29" t="s">
        <v>219</v>
      </c>
      <c r="F348" s="2" t="s">
        <v>220</v>
      </c>
      <c r="G348" s="2">
        <f t="shared" si="126"/>
        <v>2</v>
      </c>
      <c r="H348" s="2" t="str">
        <f t="shared" si="116"/>
        <v>--</v>
      </c>
      <c r="I348" s="38">
        <f t="shared" si="121"/>
        <v>0</v>
      </c>
      <c r="J348" s="33">
        <f t="shared" si="122"/>
        <v>64</v>
      </c>
      <c r="K348" s="33">
        <f t="shared" si="129"/>
        <v>0</v>
      </c>
      <c r="L348" s="33">
        <f t="shared" si="129"/>
        <v>0</v>
      </c>
      <c r="M348" s="33">
        <f t="shared" si="129"/>
        <v>0</v>
      </c>
      <c r="N348" s="33">
        <f t="shared" si="118"/>
        <v>0</v>
      </c>
      <c r="O348" s="33">
        <f t="shared" si="129"/>
        <v>0</v>
      </c>
      <c r="P348" s="33">
        <f t="shared" si="129"/>
        <v>0</v>
      </c>
      <c r="Q348" s="33">
        <f t="shared" si="129"/>
        <v>0</v>
      </c>
      <c r="R348" s="35">
        <f t="shared" si="123"/>
        <v>0</v>
      </c>
      <c r="S348" s="35">
        <f t="shared" si="124"/>
        <v>0</v>
      </c>
      <c r="T348" s="35">
        <f t="shared" si="125"/>
        <v>0</v>
      </c>
      <c r="U348" s="35">
        <f t="shared" si="119"/>
        <v>0</v>
      </c>
      <c r="V348" s="35">
        <f t="shared" si="130"/>
        <v>0</v>
      </c>
      <c r="W348" s="35">
        <f t="shared" si="130"/>
        <v>0</v>
      </c>
      <c r="X348" s="35">
        <f t="shared" si="130"/>
        <v>0</v>
      </c>
      <c r="Y348" s="35">
        <f t="shared" si="130"/>
        <v>0</v>
      </c>
      <c r="Z348" s="35">
        <f t="shared" si="130"/>
        <v>0</v>
      </c>
      <c r="AA348" s="35">
        <f t="shared" si="130"/>
        <v>0</v>
      </c>
    </row>
    <row r="349" spans="2:27" x14ac:dyDescent="0.2">
      <c r="B349" s="2">
        <v>347</v>
      </c>
      <c r="C349" s="2" t="str">
        <f t="shared" si="109"/>
        <v>c</v>
      </c>
      <c r="D349" s="29" t="s">
        <v>31</v>
      </c>
      <c r="E349" s="29" t="s">
        <v>219</v>
      </c>
      <c r="F349" s="2" t="s">
        <v>220</v>
      </c>
      <c r="G349" s="2">
        <f t="shared" si="126"/>
        <v>3</v>
      </c>
      <c r="H349" s="2" t="str">
        <f t="shared" si="116"/>
        <v>--</v>
      </c>
      <c r="I349" s="38">
        <f t="shared" si="121"/>
        <v>0</v>
      </c>
      <c r="J349" s="33">
        <f t="shared" si="122"/>
        <v>96</v>
      </c>
      <c r="K349" s="33">
        <f t="shared" si="129"/>
        <v>0</v>
      </c>
      <c r="L349" s="33">
        <f t="shared" si="129"/>
        <v>0</v>
      </c>
      <c r="M349" s="33">
        <f t="shared" si="129"/>
        <v>0</v>
      </c>
      <c r="N349" s="33">
        <f t="shared" si="118"/>
        <v>0</v>
      </c>
      <c r="O349" s="33">
        <f t="shared" si="129"/>
        <v>0</v>
      </c>
      <c r="P349" s="33">
        <f t="shared" si="129"/>
        <v>0</v>
      </c>
      <c r="Q349" s="33">
        <f t="shared" si="129"/>
        <v>0</v>
      </c>
      <c r="R349" s="35">
        <f t="shared" si="123"/>
        <v>0</v>
      </c>
      <c r="S349" s="35">
        <f t="shared" si="124"/>
        <v>0</v>
      </c>
      <c r="T349" s="35">
        <f t="shared" si="125"/>
        <v>0</v>
      </c>
      <c r="U349" s="35">
        <f t="shared" si="119"/>
        <v>0</v>
      </c>
      <c r="V349" s="35">
        <f t="shared" si="130"/>
        <v>0</v>
      </c>
      <c r="W349" s="35">
        <f t="shared" si="130"/>
        <v>0</v>
      </c>
      <c r="X349" s="35">
        <f t="shared" si="130"/>
        <v>0</v>
      </c>
      <c r="Y349" s="35">
        <f t="shared" si="130"/>
        <v>0</v>
      </c>
      <c r="Z349" s="35">
        <f t="shared" si="130"/>
        <v>0</v>
      </c>
      <c r="AA349" s="35">
        <f t="shared" si="130"/>
        <v>0</v>
      </c>
    </row>
    <row r="350" spans="2:27" x14ac:dyDescent="0.2">
      <c r="B350" s="2">
        <v>348</v>
      </c>
      <c r="C350" s="2" t="str">
        <f t="shared" si="109"/>
        <v>c</v>
      </c>
      <c r="D350" s="29" t="s">
        <v>31</v>
      </c>
      <c r="E350" s="29" t="s">
        <v>219</v>
      </c>
      <c r="F350" s="2" t="s">
        <v>220</v>
      </c>
      <c r="G350" s="2">
        <f t="shared" si="126"/>
        <v>4</v>
      </c>
      <c r="H350" s="2" t="str">
        <f t="shared" si="116"/>
        <v>--</v>
      </c>
      <c r="I350" s="38">
        <f t="shared" si="121"/>
        <v>0</v>
      </c>
      <c r="J350" s="33">
        <f t="shared" si="122"/>
        <v>128</v>
      </c>
      <c r="K350" s="33">
        <f t="shared" si="129"/>
        <v>0</v>
      </c>
      <c r="L350" s="33">
        <f t="shared" si="129"/>
        <v>0</v>
      </c>
      <c r="M350" s="33">
        <f t="shared" si="129"/>
        <v>0</v>
      </c>
      <c r="N350" s="33">
        <f t="shared" si="118"/>
        <v>0</v>
      </c>
      <c r="O350" s="33">
        <f t="shared" si="129"/>
        <v>0</v>
      </c>
      <c r="P350" s="33">
        <f t="shared" si="129"/>
        <v>0</v>
      </c>
      <c r="Q350" s="33">
        <f t="shared" si="129"/>
        <v>0</v>
      </c>
      <c r="R350" s="35">
        <f t="shared" si="123"/>
        <v>0</v>
      </c>
      <c r="S350" s="35">
        <f t="shared" si="124"/>
        <v>0</v>
      </c>
      <c r="T350" s="35">
        <f t="shared" si="125"/>
        <v>0</v>
      </c>
      <c r="U350" s="35">
        <f t="shared" si="119"/>
        <v>0</v>
      </c>
      <c r="V350" s="35">
        <f t="shared" si="130"/>
        <v>0</v>
      </c>
      <c r="W350" s="35">
        <f t="shared" si="130"/>
        <v>0</v>
      </c>
      <c r="X350" s="35">
        <f t="shared" si="130"/>
        <v>0</v>
      </c>
      <c r="Y350" s="35">
        <f t="shared" si="130"/>
        <v>0</v>
      </c>
      <c r="Z350" s="35">
        <f t="shared" si="130"/>
        <v>0</v>
      </c>
      <c r="AA350" s="35">
        <f t="shared" si="130"/>
        <v>0</v>
      </c>
    </row>
    <row r="351" spans="2:27" x14ac:dyDescent="0.2">
      <c r="B351" s="2">
        <v>349</v>
      </c>
      <c r="C351" s="2" t="str">
        <f t="shared" si="109"/>
        <v>c</v>
      </c>
      <c r="D351" s="29" t="s">
        <v>31</v>
      </c>
      <c r="E351" s="29" t="s">
        <v>219</v>
      </c>
      <c r="F351" s="2" t="s">
        <v>220</v>
      </c>
      <c r="G351" s="2">
        <f t="shared" si="126"/>
        <v>5</v>
      </c>
      <c r="H351" s="2" t="str">
        <f t="shared" si="116"/>
        <v>--</v>
      </c>
      <c r="I351" s="38">
        <f t="shared" si="121"/>
        <v>0</v>
      </c>
      <c r="J351" s="33">
        <f t="shared" si="122"/>
        <v>160</v>
      </c>
      <c r="K351" s="33">
        <f t="shared" si="129"/>
        <v>0</v>
      </c>
      <c r="L351" s="33">
        <f t="shared" si="129"/>
        <v>0</v>
      </c>
      <c r="M351" s="33">
        <f t="shared" si="129"/>
        <v>0</v>
      </c>
      <c r="N351" s="33">
        <f t="shared" si="118"/>
        <v>0</v>
      </c>
      <c r="O351" s="33">
        <f t="shared" si="129"/>
        <v>0</v>
      </c>
      <c r="P351" s="33">
        <f t="shared" si="129"/>
        <v>0</v>
      </c>
      <c r="Q351" s="33">
        <f t="shared" si="129"/>
        <v>0</v>
      </c>
      <c r="R351" s="35">
        <f t="shared" si="123"/>
        <v>0</v>
      </c>
      <c r="S351" s="35">
        <f t="shared" si="124"/>
        <v>0</v>
      </c>
      <c r="T351" s="35">
        <f t="shared" si="125"/>
        <v>0</v>
      </c>
      <c r="U351" s="35">
        <f t="shared" si="119"/>
        <v>0</v>
      </c>
      <c r="V351" s="35">
        <f t="shared" si="130"/>
        <v>0</v>
      </c>
      <c r="W351" s="35">
        <f t="shared" si="130"/>
        <v>0</v>
      </c>
      <c r="X351" s="35">
        <f t="shared" si="130"/>
        <v>0</v>
      </c>
      <c r="Y351" s="35">
        <f t="shared" si="130"/>
        <v>0</v>
      </c>
      <c r="Z351" s="35">
        <f t="shared" si="130"/>
        <v>0</v>
      </c>
      <c r="AA351" s="35">
        <f t="shared" si="130"/>
        <v>0</v>
      </c>
    </row>
    <row r="352" spans="2:27" x14ac:dyDescent="0.2">
      <c r="B352" s="2">
        <v>350</v>
      </c>
      <c r="C352" s="2" t="str">
        <f t="shared" si="109"/>
        <v>c</v>
      </c>
      <c r="D352" s="29" t="s">
        <v>31</v>
      </c>
      <c r="E352" s="29" t="s">
        <v>219</v>
      </c>
      <c r="F352" s="2" t="s">
        <v>220</v>
      </c>
      <c r="G352" s="2">
        <f t="shared" si="126"/>
        <v>6</v>
      </c>
      <c r="H352" s="2" t="str">
        <f t="shared" si="116"/>
        <v>--</v>
      </c>
      <c r="I352" s="38">
        <f t="shared" si="121"/>
        <v>0</v>
      </c>
      <c r="J352" s="33">
        <f t="shared" si="122"/>
        <v>193</v>
      </c>
      <c r="K352" s="33">
        <f t="shared" si="129"/>
        <v>0</v>
      </c>
      <c r="L352" s="33">
        <f t="shared" si="129"/>
        <v>0</v>
      </c>
      <c r="M352" s="33">
        <f t="shared" si="129"/>
        <v>0</v>
      </c>
      <c r="N352" s="33">
        <f t="shared" si="118"/>
        <v>0</v>
      </c>
      <c r="O352" s="33">
        <f t="shared" si="129"/>
        <v>0</v>
      </c>
      <c r="P352" s="33">
        <f t="shared" si="129"/>
        <v>0</v>
      </c>
      <c r="Q352" s="33">
        <f t="shared" si="129"/>
        <v>0</v>
      </c>
      <c r="R352" s="35">
        <f t="shared" si="123"/>
        <v>0</v>
      </c>
      <c r="S352" s="35">
        <f t="shared" si="124"/>
        <v>0</v>
      </c>
      <c r="T352" s="35">
        <f t="shared" si="125"/>
        <v>0</v>
      </c>
      <c r="U352" s="35">
        <f t="shared" si="119"/>
        <v>0</v>
      </c>
      <c r="V352" s="35">
        <f t="shared" si="130"/>
        <v>0</v>
      </c>
      <c r="W352" s="35">
        <f t="shared" si="130"/>
        <v>0</v>
      </c>
      <c r="X352" s="35">
        <f t="shared" si="130"/>
        <v>0</v>
      </c>
      <c r="Y352" s="35">
        <f t="shared" si="130"/>
        <v>0</v>
      </c>
      <c r="Z352" s="35">
        <f t="shared" si="130"/>
        <v>0</v>
      </c>
      <c r="AA352" s="35">
        <f t="shared" si="130"/>
        <v>0</v>
      </c>
    </row>
    <row r="353" spans="2:27" x14ac:dyDescent="0.2">
      <c r="B353" s="2">
        <v>351</v>
      </c>
      <c r="C353" s="2" t="str">
        <f t="shared" si="109"/>
        <v>c</v>
      </c>
      <c r="D353" s="29" t="s">
        <v>31</v>
      </c>
      <c r="E353" s="29" t="s">
        <v>219</v>
      </c>
      <c r="F353" s="2" t="s">
        <v>220</v>
      </c>
      <c r="G353" s="2">
        <f t="shared" si="126"/>
        <v>7</v>
      </c>
      <c r="H353" s="2" t="str">
        <f t="shared" si="116"/>
        <v>--</v>
      </c>
      <c r="I353" s="38">
        <f t="shared" si="121"/>
        <v>0</v>
      </c>
      <c r="J353" s="33">
        <f t="shared" si="122"/>
        <v>225</v>
      </c>
      <c r="K353" s="33">
        <f t="shared" ref="K353:Q362" si="131">INT((1+VLOOKUP($F353,role_property_weight,getpos(K$2),FALSE))*(1+VLOOKUP($F353,weapon_property_weight,getpos(K$2),FALSE))*VLOOKUP($E353,role_grow,getpos(K$2),FALSE)*$G353*10*VLOOKUP($C353,weapon_grow1,5,FALSE))</f>
        <v>0</v>
      </c>
      <c r="L353" s="33">
        <f t="shared" si="131"/>
        <v>0</v>
      </c>
      <c r="M353" s="33">
        <f t="shared" si="131"/>
        <v>0</v>
      </c>
      <c r="N353" s="33">
        <f t="shared" si="118"/>
        <v>0</v>
      </c>
      <c r="O353" s="33">
        <f t="shared" si="131"/>
        <v>0</v>
      </c>
      <c r="P353" s="33">
        <f t="shared" si="131"/>
        <v>0</v>
      </c>
      <c r="Q353" s="33">
        <f t="shared" si="131"/>
        <v>0</v>
      </c>
      <c r="R353" s="35">
        <f t="shared" si="123"/>
        <v>0</v>
      </c>
      <c r="S353" s="35">
        <f t="shared" si="124"/>
        <v>0</v>
      </c>
      <c r="T353" s="35">
        <f t="shared" si="125"/>
        <v>0</v>
      </c>
      <c r="U353" s="35">
        <f t="shared" si="119"/>
        <v>0</v>
      </c>
      <c r="V353" s="35">
        <f t="shared" ref="V353:AA362" si="132">1-200/(200+ROUND((1+VLOOKUP($F353,role_property_weight,getpos(V$2),FALSE))*VLOOKUP($E353,role_grow,getpos(V$2),FALSE)*$G353*10*VLOOKUP($C353,weapon_grow1,5,FALSE),0))</f>
        <v>0</v>
      </c>
      <c r="W353" s="35">
        <f t="shared" si="132"/>
        <v>0</v>
      </c>
      <c r="X353" s="35">
        <f t="shared" si="132"/>
        <v>0</v>
      </c>
      <c r="Y353" s="35">
        <f t="shared" si="132"/>
        <v>0</v>
      </c>
      <c r="Z353" s="35">
        <f t="shared" si="132"/>
        <v>0</v>
      </c>
      <c r="AA353" s="35">
        <f t="shared" si="132"/>
        <v>0</v>
      </c>
    </row>
    <row r="354" spans="2:27" x14ac:dyDescent="0.2">
      <c r="B354" s="2">
        <v>352</v>
      </c>
      <c r="C354" s="2" t="str">
        <f t="shared" si="109"/>
        <v>c</v>
      </c>
      <c r="D354" s="29" t="s">
        <v>31</v>
      </c>
      <c r="E354" s="29" t="s">
        <v>219</v>
      </c>
      <c r="F354" s="2" t="s">
        <v>220</v>
      </c>
      <c r="G354" s="2">
        <f t="shared" si="126"/>
        <v>8</v>
      </c>
      <c r="H354" s="2" t="str">
        <f t="shared" si="116"/>
        <v>--</v>
      </c>
      <c r="I354" s="38">
        <f t="shared" si="121"/>
        <v>0</v>
      </c>
      <c r="J354" s="33">
        <f t="shared" si="122"/>
        <v>257</v>
      </c>
      <c r="K354" s="33">
        <f t="shared" si="131"/>
        <v>0</v>
      </c>
      <c r="L354" s="33">
        <f t="shared" si="131"/>
        <v>0</v>
      </c>
      <c r="M354" s="33">
        <f t="shared" si="131"/>
        <v>0</v>
      </c>
      <c r="N354" s="33">
        <f t="shared" si="118"/>
        <v>0</v>
      </c>
      <c r="O354" s="33">
        <f t="shared" si="131"/>
        <v>0</v>
      </c>
      <c r="P354" s="33">
        <f t="shared" si="131"/>
        <v>0</v>
      </c>
      <c r="Q354" s="33">
        <f t="shared" si="131"/>
        <v>0</v>
      </c>
      <c r="R354" s="35">
        <f t="shared" si="123"/>
        <v>0</v>
      </c>
      <c r="S354" s="35">
        <f t="shared" si="124"/>
        <v>0</v>
      </c>
      <c r="T354" s="35">
        <f t="shared" si="125"/>
        <v>0</v>
      </c>
      <c r="U354" s="35">
        <f t="shared" si="119"/>
        <v>0</v>
      </c>
      <c r="V354" s="35">
        <f t="shared" si="132"/>
        <v>0</v>
      </c>
      <c r="W354" s="35">
        <f t="shared" si="132"/>
        <v>0</v>
      </c>
      <c r="X354" s="35">
        <f t="shared" si="132"/>
        <v>0</v>
      </c>
      <c r="Y354" s="35">
        <f t="shared" si="132"/>
        <v>0</v>
      </c>
      <c r="Z354" s="35">
        <f t="shared" si="132"/>
        <v>0</v>
      </c>
      <c r="AA354" s="35">
        <f t="shared" si="132"/>
        <v>0</v>
      </c>
    </row>
    <row r="355" spans="2:27" x14ac:dyDescent="0.2">
      <c r="B355" s="2">
        <v>353</v>
      </c>
      <c r="C355" s="2" t="str">
        <f t="shared" si="109"/>
        <v>s</v>
      </c>
      <c r="D355" s="29" t="s">
        <v>31</v>
      </c>
      <c r="E355" s="29" t="s">
        <v>219</v>
      </c>
      <c r="F355" s="2" t="s">
        <v>221</v>
      </c>
      <c r="G355" s="2">
        <f t="shared" si="126"/>
        <v>1</v>
      </c>
      <c r="H355" s="2" t="str">
        <f t="shared" si="116"/>
        <v>电击</v>
      </c>
      <c r="I355" s="38">
        <f t="shared" si="121"/>
        <v>0.1</v>
      </c>
      <c r="J355" s="33">
        <f t="shared" si="122"/>
        <v>25</v>
      </c>
      <c r="K355" s="33">
        <f t="shared" si="131"/>
        <v>12</v>
      </c>
      <c r="L355" s="33">
        <f t="shared" si="131"/>
        <v>3</v>
      </c>
      <c r="M355" s="33">
        <f t="shared" si="131"/>
        <v>7</v>
      </c>
      <c r="N355" s="33">
        <f t="shared" si="118"/>
        <v>24</v>
      </c>
      <c r="O355" s="33">
        <f t="shared" si="131"/>
        <v>11</v>
      </c>
      <c r="P355" s="33">
        <f t="shared" si="131"/>
        <v>4</v>
      </c>
      <c r="Q355" s="33">
        <f t="shared" si="131"/>
        <v>6</v>
      </c>
      <c r="R355" s="35">
        <f t="shared" si="123"/>
        <v>0.02</v>
      </c>
      <c r="S355" s="35">
        <f t="shared" si="124"/>
        <v>1.3333333333333332E-2</v>
      </c>
      <c r="T355" s="35">
        <f t="shared" si="125"/>
        <v>0.02</v>
      </c>
      <c r="U355" s="35">
        <f t="shared" si="119"/>
        <v>9.9009900990099098E-3</v>
      </c>
      <c r="V355" s="35">
        <f t="shared" si="132"/>
        <v>9.9009900990099098E-3</v>
      </c>
      <c r="W355" s="35">
        <f t="shared" si="132"/>
        <v>9.9009900990099098E-3</v>
      </c>
      <c r="X355" s="35">
        <f t="shared" si="132"/>
        <v>9.9009900990099098E-3</v>
      </c>
      <c r="Y355" s="35">
        <f t="shared" si="132"/>
        <v>9.9009900990099098E-3</v>
      </c>
      <c r="Z355" s="35">
        <f t="shared" si="132"/>
        <v>9.9009900990099098E-3</v>
      </c>
      <c r="AA355" s="35">
        <f t="shared" si="132"/>
        <v>6.5420560747663559E-2</v>
      </c>
    </row>
    <row r="356" spans="2:27" x14ac:dyDescent="0.2">
      <c r="B356" s="2">
        <v>354</v>
      </c>
      <c r="C356" s="2" t="str">
        <f t="shared" ref="C356:C419" si="133">C324</f>
        <v>s</v>
      </c>
      <c r="D356" s="29" t="s">
        <v>31</v>
      </c>
      <c r="E356" s="29" t="s">
        <v>219</v>
      </c>
      <c r="F356" s="2" t="s">
        <v>221</v>
      </c>
      <c r="G356" s="2">
        <f t="shared" si="126"/>
        <v>2</v>
      </c>
      <c r="H356" s="2" t="str">
        <f t="shared" si="116"/>
        <v>电击</v>
      </c>
      <c r="I356" s="38">
        <f t="shared" si="121"/>
        <v>0.17</v>
      </c>
      <c r="J356" s="33">
        <f t="shared" si="122"/>
        <v>51</v>
      </c>
      <c r="K356" s="33">
        <f t="shared" si="131"/>
        <v>25</v>
      </c>
      <c r="L356" s="33">
        <f t="shared" si="131"/>
        <v>6</v>
      </c>
      <c r="M356" s="33">
        <f t="shared" si="131"/>
        <v>15</v>
      </c>
      <c r="N356" s="33">
        <f t="shared" si="118"/>
        <v>48</v>
      </c>
      <c r="O356" s="33">
        <f t="shared" si="131"/>
        <v>22</v>
      </c>
      <c r="P356" s="33">
        <f t="shared" si="131"/>
        <v>8</v>
      </c>
      <c r="Q356" s="33">
        <f t="shared" si="131"/>
        <v>12</v>
      </c>
      <c r="R356" s="35">
        <f t="shared" si="123"/>
        <v>0.04</v>
      </c>
      <c r="S356" s="35">
        <f t="shared" si="124"/>
        <v>2.6666666666666665E-2</v>
      </c>
      <c r="T356" s="35">
        <f t="shared" si="125"/>
        <v>0.04</v>
      </c>
      <c r="U356" s="35">
        <f t="shared" si="119"/>
        <v>2.4390243902439046E-2</v>
      </c>
      <c r="V356" s="35">
        <f t="shared" si="132"/>
        <v>2.4390243902439046E-2</v>
      </c>
      <c r="W356" s="35">
        <f t="shared" si="132"/>
        <v>2.4390243902439046E-2</v>
      </c>
      <c r="X356" s="35">
        <f t="shared" si="132"/>
        <v>2.4390243902439046E-2</v>
      </c>
      <c r="Y356" s="35">
        <f t="shared" si="132"/>
        <v>2.4390243902439046E-2</v>
      </c>
      <c r="Z356" s="35">
        <f t="shared" si="132"/>
        <v>2.4390243902439046E-2</v>
      </c>
      <c r="AA356" s="35">
        <f t="shared" si="132"/>
        <v>0.1228070175438597</v>
      </c>
    </row>
    <row r="357" spans="2:27" x14ac:dyDescent="0.2">
      <c r="B357" s="2">
        <v>355</v>
      </c>
      <c r="C357" s="2" t="str">
        <f t="shared" si="133"/>
        <v>s</v>
      </c>
      <c r="D357" s="29" t="s">
        <v>31</v>
      </c>
      <c r="E357" s="29" t="s">
        <v>219</v>
      </c>
      <c r="F357" s="2" t="s">
        <v>221</v>
      </c>
      <c r="G357" s="2">
        <f t="shared" si="126"/>
        <v>3</v>
      </c>
      <c r="H357" s="2" t="str">
        <f t="shared" si="116"/>
        <v>电击</v>
      </c>
      <c r="I357" s="38">
        <f t="shared" si="121"/>
        <v>0.25636363636363635</v>
      </c>
      <c r="J357" s="33">
        <f t="shared" si="122"/>
        <v>77</v>
      </c>
      <c r="K357" s="33">
        <f t="shared" si="131"/>
        <v>38</v>
      </c>
      <c r="L357" s="33">
        <f t="shared" si="131"/>
        <v>10</v>
      </c>
      <c r="M357" s="33">
        <f t="shared" si="131"/>
        <v>23</v>
      </c>
      <c r="N357" s="33">
        <f t="shared" si="118"/>
        <v>71</v>
      </c>
      <c r="O357" s="33">
        <f t="shared" si="131"/>
        <v>33</v>
      </c>
      <c r="P357" s="33">
        <f t="shared" si="131"/>
        <v>12</v>
      </c>
      <c r="Q357" s="33">
        <f t="shared" si="131"/>
        <v>18</v>
      </c>
      <c r="R357" s="35">
        <f t="shared" si="123"/>
        <v>0.06</v>
      </c>
      <c r="S357" s="35">
        <f t="shared" si="124"/>
        <v>0.04</v>
      </c>
      <c r="T357" s="35">
        <f t="shared" si="125"/>
        <v>0.06</v>
      </c>
      <c r="U357" s="35">
        <f t="shared" si="119"/>
        <v>3.3816425120772986E-2</v>
      </c>
      <c r="V357" s="35">
        <f t="shared" si="132"/>
        <v>3.3816425120772986E-2</v>
      </c>
      <c r="W357" s="35">
        <f t="shared" si="132"/>
        <v>3.3816425120772986E-2</v>
      </c>
      <c r="X357" s="35">
        <f t="shared" si="132"/>
        <v>3.3816425120772986E-2</v>
      </c>
      <c r="Y357" s="35">
        <f t="shared" si="132"/>
        <v>3.3816425120772986E-2</v>
      </c>
      <c r="Z357" s="35">
        <f t="shared" si="132"/>
        <v>3.3816425120772986E-2</v>
      </c>
      <c r="AA357" s="35">
        <f t="shared" si="132"/>
        <v>0.17355371900826444</v>
      </c>
    </row>
    <row r="358" spans="2:27" x14ac:dyDescent="0.2">
      <c r="B358" s="2">
        <v>356</v>
      </c>
      <c r="C358" s="2" t="str">
        <f t="shared" si="133"/>
        <v>s</v>
      </c>
      <c r="D358" s="29" t="s">
        <v>31</v>
      </c>
      <c r="E358" s="29" t="s">
        <v>219</v>
      </c>
      <c r="F358" s="2" t="s">
        <v>221</v>
      </c>
      <c r="G358" s="2">
        <f t="shared" si="126"/>
        <v>4</v>
      </c>
      <c r="H358" s="2" t="str">
        <f t="shared" si="116"/>
        <v>电击</v>
      </c>
      <c r="I358" s="38">
        <f t="shared" si="121"/>
        <v>0.3418181818181818</v>
      </c>
      <c r="J358" s="33">
        <f t="shared" si="122"/>
        <v>102</v>
      </c>
      <c r="K358" s="33">
        <f t="shared" si="131"/>
        <v>50</v>
      </c>
      <c r="L358" s="33">
        <f t="shared" si="131"/>
        <v>13</v>
      </c>
      <c r="M358" s="33">
        <f t="shared" si="131"/>
        <v>31</v>
      </c>
      <c r="N358" s="33">
        <f t="shared" si="118"/>
        <v>95</v>
      </c>
      <c r="O358" s="33">
        <f t="shared" si="131"/>
        <v>45</v>
      </c>
      <c r="P358" s="33">
        <f t="shared" si="131"/>
        <v>16</v>
      </c>
      <c r="Q358" s="33">
        <f t="shared" si="131"/>
        <v>24</v>
      </c>
      <c r="R358" s="35">
        <f t="shared" si="123"/>
        <v>0.08</v>
      </c>
      <c r="S358" s="35">
        <f t="shared" si="124"/>
        <v>5.333333333333333E-2</v>
      </c>
      <c r="T358" s="35">
        <f t="shared" si="125"/>
        <v>0.08</v>
      </c>
      <c r="U358" s="35">
        <f t="shared" si="119"/>
        <v>4.3062200956937802E-2</v>
      </c>
      <c r="V358" s="35">
        <f t="shared" si="132"/>
        <v>4.3062200956937802E-2</v>
      </c>
      <c r="W358" s="35">
        <f t="shared" si="132"/>
        <v>4.3062200956937802E-2</v>
      </c>
      <c r="X358" s="35">
        <f t="shared" si="132"/>
        <v>4.3062200956937802E-2</v>
      </c>
      <c r="Y358" s="35">
        <f t="shared" si="132"/>
        <v>4.3062200956937802E-2</v>
      </c>
      <c r="Z358" s="35">
        <f t="shared" si="132"/>
        <v>4.3062200956937802E-2</v>
      </c>
      <c r="AA358" s="35">
        <f t="shared" si="132"/>
        <v>0.21875</v>
      </c>
    </row>
    <row r="359" spans="2:27" x14ac:dyDescent="0.2">
      <c r="B359" s="2">
        <v>357</v>
      </c>
      <c r="C359" s="2" t="str">
        <f t="shared" si="133"/>
        <v>s</v>
      </c>
      <c r="D359" s="29" t="s">
        <v>31</v>
      </c>
      <c r="E359" s="29" t="s">
        <v>219</v>
      </c>
      <c r="F359" s="2" t="s">
        <v>221</v>
      </c>
      <c r="G359" s="2">
        <f t="shared" si="126"/>
        <v>5</v>
      </c>
      <c r="H359" s="2" t="str">
        <f t="shared" si="116"/>
        <v>电击</v>
      </c>
      <c r="I359" s="38">
        <f t="shared" si="121"/>
        <v>0.42909090909090908</v>
      </c>
      <c r="J359" s="33">
        <f t="shared" si="122"/>
        <v>128</v>
      </c>
      <c r="K359" s="33">
        <f t="shared" si="131"/>
        <v>63</v>
      </c>
      <c r="L359" s="33">
        <f t="shared" si="131"/>
        <v>17</v>
      </c>
      <c r="M359" s="33">
        <f t="shared" si="131"/>
        <v>39</v>
      </c>
      <c r="N359" s="33">
        <f t="shared" si="118"/>
        <v>118</v>
      </c>
      <c r="O359" s="33">
        <f t="shared" si="131"/>
        <v>56</v>
      </c>
      <c r="P359" s="33">
        <f t="shared" si="131"/>
        <v>21</v>
      </c>
      <c r="Q359" s="33">
        <f t="shared" si="131"/>
        <v>30</v>
      </c>
      <c r="R359" s="35">
        <f t="shared" si="123"/>
        <v>0.1</v>
      </c>
      <c r="S359" s="35">
        <f t="shared" si="124"/>
        <v>7.0000000000000007E-2</v>
      </c>
      <c r="T359" s="35">
        <f t="shared" si="125"/>
        <v>0.1</v>
      </c>
      <c r="U359" s="35">
        <f t="shared" si="119"/>
        <v>5.6603773584905648E-2</v>
      </c>
      <c r="V359" s="35">
        <f t="shared" si="132"/>
        <v>5.6603773584905648E-2</v>
      </c>
      <c r="W359" s="35">
        <f t="shared" si="132"/>
        <v>5.6603773584905648E-2</v>
      </c>
      <c r="X359" s="35">
        <f t="shared" si="132"/>
        <v>5.6603773584905648E-2</v>
      </c>
      <c r="Y359" s="35">
        <f t="shared" si="132"/>
        <v>5.6603773584905648E-2</v>
      </c>
      <c r="Z359" s="35">
        <f t="shared" si="132"/>
        <v>5.6603773584905648E-2</v>
      </c>
      <c r="AA359" s="35">
        <f t="shared" si="132"/>
        <v>0.26199261992619927</v>
      </c>
    </row>
    <row r="360" spans="2:27" x14ac:dyDescent="0.2">
      <c r="B360" s="2">
        <v>358</v>
      </c>
      <c r="C360" s="2" t="str">
        <f t="shared" si="133"/>
        <v>s</v>
      </c>
      <c r="D360" s="29" t="s">
        <v>31</v>
      </c>
      <c r="E360" s="29" t="s">
        <v>219</v>
      </c>
      <c r="F360" s="2" t="s">
        <v>221</v>
      </c>
      <c r="G360" s="2">
        <f t="shared" si="126"/>
        <v>6</v>
      </c>
      <c r="H360" s="2" t="str">
        <f t="shared" si="116"/>
        <v>电击</v>
      </c>
      <c r="I360" s="38">
        <f t="shared" si="121"/>
        <v>0.5154545454545455</v>
      </c>
      <c r="J360" s="33">
        <f t="shared" si="122"/>
        <v>154</v>
      </c>
      <c r="K360" s="33">
        <f t="shared" si="131"/>
        <v>76</v>
      </c>
      <c r="L360" s="33">
        <f t="shared" si="131"/>
        <v>20</v>
      </c>
      <c r="M360" s="33">
        <f t="shared" si="131"/>
        <v>47</v>
      </c>
      <c r="N360" s="33">
        <f t="shared" si="118"/>
        <v>142</v>
      </c>
      <c r="O360" s="33">
        <f t="shared" si="131"/>
        <v>67</v>
      </c>
      <c r="P360" s="33">
        <f t="shared" si="131"/>
        <v>25</v>
      </c>
      <c r="Q360" s="33">
        <f t="shared" si="131"/>
        <v>36</v>
      </c>
      <c r="R360" s="35">
        <f t="shared" si="123"/>
        <v>0.12</v>
      </c>
      <c r="S360" s="35">
        <f t="shared" si="124"/>
        <v>8.3333333333333343E-2</v>
      </c>
      <c r="T360" s="35">
        <f t="shared" si="125"/>
        <v>0.12</v>
      </c>
      <c r="U360" s="35">
        <f t="shared" si="119"/>
        <v>6.5420560747663559E-2</v>
      </c>
      <c r="V360" s="35">
        <f t="shared" si="132"/>
        <v>6.5420560747663559E-2</v>
      </c>
      <c r="W360" s="35">
        <f t="shared" si="132"/>
        <v>6.5420560747663559E-2</v>
      </c>
      <c r="X360" s="35">
        <f t="shared" si="132"/>
        <v>6.5420560747663559E-2</v>
      </c>
      <c r="Y360" s="35">
        <f t="shared" si="132"/>
        <v>6.5420560747663559E-2</v>
      </c>
      <c r="Z360" s="35">
        <f t="shared" si="132"/>
        <v>6.5420560747663559E-2</v>
      </c>
      <c r="AA360" s="35">
        <f t="shared" si="132"/>
        <v>0.29824561403508776</v>
      </c>
    </row>
    <row r="361" spans="2:27" x14ac:dyDescent="0.2">
      <c r="B361" s="2">
        <v>359</v>
      </c>
      <c r="C361" s="2" t="str">
        <f t="shared" si="133"/>
        <v>s</v>
      </c>
      <c r="D361" s="29" t="s">
        <v>31</v>
      </c>
      <c r="E361" s="29" t="s">
        <v>219</v>
      </c>
      <c r="F361" s="2" t="s">
        <v>221</v>
      </c>
      <c r="G361" s="2">
        <f t="shared" si="126"/>
        <v>7</v>
      </c>
      <c r="H361" s="2" t="str">
        <f t="shared" si="116"/>
        <v>电击</v>
      </c>
      <c r="I361" s="38">
        <f t="shared" si="121"/>
        <v>0.6</v>
      </c>
      <c r="J361" s="33">
        <f t="shared" si="122"/>
        <v>179</v>
      </c>
      <c r="K361" s="33">
        <f t="shared" si="131"/>
        <v>88</v>
      </c>
      <c r="L361" s="33">
        <f t="shared" si="131"/>
        <v>23</v>
      </c>
      <c r="M361" s="33">
        <f t="shared" si="131"/>
        <v>55</v>
      </c>
      <c r="N361" s="33">
        <f t="shared" si="118"/>
        <v>165</v>
      </c>
      <c r="O361" s="33">
        <f t="shared" si="131"/>
        <v>79</v>
      </c>
      <c r="P361" s="33">
        <f t="shared" si="131"/>
        <v>29</v>
      </c>
      <c r="Q361" s="33">
        <f t="shared" si="131"/>
        <v>42</v>
      </c>
      <c r="R361" s="35">
        <f t="shared" si="123"/>
        <v>0.14000000000000001</v>
      </c>
      <c r="S361" s="35">
        <f t="shared" si="124"/>
        <v>9.6666666666666665E-2</v>
      </c>
      <c r="T361" s="35">
        <f t="shared" si="125"/>
        <v>0.14000000000000001</v>
      </c>
      <c r="U361" s="35">
        <f t="shared" si="119"/>
        <v>7.407407407407407E-2</v>
      </c>
      <c r="V361" s="35">
        <f t="shared" si="132"/>
        <v>7.407407407407407E-2</v>
      </c>
      <c r="W361" s="35">
        <f t="shared" si="132"/>
        <v>7.407407407407407E-2</v>
      </c>
      <c r="X361" s="35">
        <f t="shared" si="132"/>
        <v>7.407407407407407E-2</v>
      </c>
      <c r="Y361" s="35">
        <f t="shared" si="132"/>
        <v>7.407407407407407E-2</v>
      </c>
      <c r="Z361" s="35">
        <f t="shared" si="132"/>
        <v>7.407407407407407E-2</v>
      </c>
      <c r="AA361" s="35">
        <f t="shared" si="132"/>
        <v>0.33110367892976589</v>
      </c>
    </row>
    <row r="362" spans="2:27" x14ac:dyDescent="0.2">
      <c r="B362" s="2">
        <v>360</v>
      </c>
      <c r="C362" s="2" t="str">
        <f t="shared" si="133"/>
        <v>s</v>
      </c>
      <c r="D362" s="29" t="s">
        <v>31</v>
      </c>
      <c r="E362" s="29" t="s">
        <v>219</v>
      </c>
      <c r="F362" s="2" t="s">
        <v>221</v>
      </c>
      <c r="G362" s="2">
        <f t="shared" si="126"/>
        <v>8</v>
      </c>
      <c r="H362" s="2" t="str">
        <f t="shared" si="116"/>
        <v>电击</v>
      </c>
      <c r="I362" s="38">
        <f t="shared" si="121"/>
        <v>0.68727272727272737</v>
      </c>
      <c r="J362" s="33">
        <f t="shared" si="122"/>
        <v>205</v>
      </c>
      <c r="K362" s="33">
        <f t="shared" si="131"/>
        <v>101</v>
      </c>
      <c r="L362" s="33">
        <f t="shared" si="131"/>
        <v>27</v>
      </c>
      <c r="M362" s="33">
        <f t="shared" si="131"/>
        <v>63</v>
      </c>
      <c r="N362" s="33">
        <f t="shared" si="118"/>
        <v>189</v>
      </c>
      <c r="O362" s="33">
        <f t="shared" si="131"/>
        <v>90</v>
      </c>
      <c r="P362" s="33">
        <f t="shared" si="131"/>
        <v>33</v>
      </c>
      <c r="Q362" s="33">
        <f t="shared" si="131"/>
        <v>48</v>
      </c>
      <c r="R362" s="35">
        <f t="shared" si="123"/>
        <v>0.16</v>
      </c>
      <c r="S362" s="35">
        <f t="shared" si="124"/>
        <v>0.11</v>
      </c>
      <c r="T362" s="35">
        <f t="shared" si="125"/>
        <v>0.16</v>
      </c>
      <c r="U362" s="35">
        <f t="shared" si="119"/>
        <v>8.6757990867579959E-2</v>
      </c>
      <c r="V362" s="35">
        <f t="shared" si="132"/>
        <v>8.6757990867579959E-2</v>
      </c>
      <c r="W362" s="35">
        <f t="shared" si="132"/>
        <v>8.6757990867579959E-2</v>
      </c>
      <c r="X362" s="35">
        <f t="shared" si="132"/>
        <v>8.6757990867579959E-2</v>
      </c>
      <c r="Y362" s="35">
        <f t="shared" si="132"/>
        <v>8.6757990867579959E-2</v>
      </c>
      <c r="Z362" s="35">
        <f t="shared" si="132"/>
        <v>8.6757990867579959E-2</v>
      </c>
      <c r="AA362" s="35">
        <f t="shared" si="132"/>
        <v>0.36102236421725242</v>
      </c>
    </row>
    <row r="363" spans="2:27" x14ac:dyDescent="0.2">
      <c r="B363" s="2">
        <v>361</v>
      </c>
      <c r="C363" s="2" t="str">
        <f t="shared" si="133"/>
        <v>a</v>
      </c>
      <c r="D363" s="29" t="s">
        <v>31</v>
      </c>
      <c r="E363" s="29" t="s">
        <v>219</v>
      </c>
      <c r="F363" s="2" t="s">
        <v>221</v>
      </c>
      <c r="G363" s="2">
        <f t="shared" si="126"/>
        <v>1</v>
      </c>
      <c r="H363" s="2" t="str">
        <f t="shared" si="116"/>
        <v>电击</v>
      </c>
      <c r="I363" s="38">
        <f t="shared" si="121"/>
        <v>0.1</v>
      </c>
      <c r="J363" s="33">
        <f t="shared" si="122"/>
        <v>19</v>
      </c>
      <c r="K363" s="33">
        <f t="shared" ref="K363:Q372" si="134">INT((1+VLOOKUP($F363,role_property_weight,getpos(K$2),FALSE))*(1+VLOOKUP($F363,weapon_property_weight,getpos(K$2),FALSE))*VLOOKUP($E363,role_grow,getpos(K$2),FALSE)*$G363*10*VLOOKUP($C363,weapon_grow1,5,FALSE))</f>
        <v>13</v>
      </c>
      <c r="L363" s="33">
        <f t="shared" si="134"/>
        <v>3</v>
      </c>
      <c r="M363" s="33">
        <f t="shared" si="134"/>
        <v>8</v>
      </c>
      <c r="N363" s="33">
        <f t="shared" si="118"/>
        <v>25</v>
      </c>
      <c r="O363" s="33">
        <f t="shared" si="134"/>
        <v>11</v>
      </c>
      <c r="P363" s="33">
        <f t="shared" si="134"/>
        <v>4</v>
      </c>
      <c r="Q363" s="33">
        <f t="shared" si="134"/>
        <v>6</v>
      </c>
      <c r="R363" s="35">
        <f t="shared" si="123"/>
        <v>0.02</v>
      </c>
      <c r="S363" s="35">
        <f t="shared" si="124"/>
        <v>1.3333333333333332E-2</v>
      </c>
      <c r="T363" s="35">
        <f t="shared" si="125"/>
        <v>0.02</v>
      </c>
      <c r="U363" s="35">
        <f t="shared" si="119"/>
        <v>9.9009900990099098E-3</v>
      </c>
      <c r="V363" s="35">
        <f t="shared" ref="V363:AA372" si="135">1-200/(200+ROUND((1+VLOOKUP($F363,role_property_weight,getpos(V$2),FALSE))*VLOOKUP($E363,role_grow,getpos(V$2),FALSE)*$G363*10*VLOOKUP($C363,weapon_grow1,5,FALSE),0))</f>
        <v>9.9009900990099098E-3</v>
      </c>
      <c r="W363" s="35">
        <f t="shared" si="135"/>
        <v>9.9009900990099098E-3</v>
      </c>
      <c r="X363" s="35">
        <f t="shared" si="135"/>
        <v>9.9009900990099098E-3</v>
      </c>
      <c r="Y363" s="35">
        <f t="shared" si="135"/>
        <v>9.9009900990099098E-3</v>
      </c>
      <c r="Z363" s="35">
        <f t="shared" si="135"/>
        <v>9.9009900990099098E-3</v>
      </c>
      <c r="AA363" s="35">
        <f t="shared" si="135"/>
        <v>6.9767441860465129E-2</v>
      </c>
    </row>
    <row r="364" spans="2:27" x14ac:dyDescent="0.2">
      <c r="B364" s="2">
        <v>362</v>
      </c>
      <c r="C364" s="2" t="str">
        <f t="shared" si="133"/>
        <v>a</v>
      </c>
      <c r="D364" s="29" t="s">
        <v>31</v>
      </c>
      <c r="E364" s="29" t="s">
        <v>219</v>
      </c>
      <c r="F364" s="2" t="s">
        <v>221</v>
      </c>
      <c r="G364" s="2">
        <f t="shared" si="126"/>
        <v>2</v>
      </c>
      <c r="H364" s="2" t="str">
        <f t="shared" si="116"/>
        <v>电击</v>
      </c>
      <c r="I364" s="38">
        <f t="shared" si="121"/>
        <v>0.16454545454545452</v>
      </c>
      <c r="J364" s="33">
        <f t="shared" si="122"/>
        <v>39</v>
      </c>
      <c r="K364" s="33">
        <f t="shared" si="134"/>
        <v>26</v>
      </c>
      <c r="L364" s="33">
        <f t="shared" si="134"/>
        <v>7</v>
      </c>
      <c r="M364" s="33">
        <f t="shared" si="134"/>
        <v>16</v>
      </c>
      <c r="N364" s="33">
        <f t="shared" si="118"/>
        <v>50</v>
      </c>
      <c r="O364" s="33">
        <f t="shared" si="134"/>
        <v>23</v>
      </c>
      <c r="P364" s="33">
        <f t="shared" si="134"/>
        <v>8</v>
      </c>
      <c r="Q364" s="33">
        <f t="shared" si="134"/>
        <v>12</v>
      </c>
      <c r="R364" s="35">
        <f t="shared" si="123"/>
        <v>0.04</v>
      </c>
      <c r="S364" s="35">
        <f t="shared" si="124"/>
        <v>2.6666666666666665E-2</v>
      </c>
      <c r="T364" s="35">
        <f t="shared" si="125"/>
        <v>0.04</v>
      </c>
      <c r="U364" s="35">
        <f t="shared" si="119"/>
        <v>2.4390243902439046E-2</v>
      </c>
      <c r="V364" s="35">
        <f t="shared" si="135"/>
        <v>2.4390243902439046E-2</v>
      </c>
      <c r="W364" s="35">
        <f t="shared" si="135"/>
        <v>2.4390243902439046E-2</v>
      </c>
      <c r="X364" s="35">
        <f t="shared" si="135"/>
        <v>2.4390243902439046E-2</v>
      </c>
      <c r="Y364" s="35">
        <f t="shared" si="135"/>
        <v>2.4390243902439046E-2</v>
      </c>
      <c r="Z364" s="35">
        <f t="shared" si="135"/>
        <v>2.4390243902439046E-2</v>
      </c>
      <c r="AA364" s="35">
        <f t="shared" si="135"/>
        <v>0.13043478260869568</v>
      </c>
    </row>
    <row r="365" spans="2:27" x14ac:dyDescent="0.2">
      <c r="B365" s="2">
        <v>363</v>
      </c>
      <c r="C365" s="2" t="str">
        <f t="shared" si="133"/>
        <v>a</v>
      </c>
      <c r="D365" s="29" t="s">
        <v>31</v>
      </c>
      <c r="E365" s="29" t="s">
        <v>219</v>
      </c>
      <c r="F365" s="2" t="s">
        <v>221</v>
      </c>
      <c r="G365" s="2">
        <f t="shared" si="126"/>
        <v>3</v>
      </c>
      <c r="H365" s="2" t="str">
        <f t="shared" si="116"/>
        <v>电击</v>
      </c>
      <c r="I365" s="38">
        <f t="shared" si="121"/>
        <v>0.25</v>
      </c>
      <c r="J365" s="33">
        <f t="shared" si="122"/>
        <v>58</v>
      </c>
      <c r="K365" s="33">
        <f t="shared" si="134"/>
        <v>40</v>
      </c>
      <c r="L365" s="33">
        <f t="shared" si="134"/>
        <v>10</v>
      </c>
      <c r="M365" s="33">
        <f t="shared" si="134"/>
        <v>25</v>
      </c>
      <c r="N365" s="33">
        <f t="shared" si="118"/>
        <v>75</v>
      </c>
      <c r="O365" s="33">
        <f t="shared" si="134"/>
        <v>35</v>
      </c>
      <c r="P365" s="33">
        <f t="shared" si="134"/>
        <v>13</v>
      </c>
      <c r="Q365" s="33">
        <f t="shared" si="134"/>
        <v>19</v>
      </c>
      <c r="R365" s="35">
        <f t="shared" si="123"/>
        <v>6.3333333333333325E-2</v>
      </c>
      <c r="S365" s="35">
        <f t="shared" si="124"/>
        <v>4.3333333333333328E-2</v>
      </c>
      <c r="T365" s="35">
        <f t="shared" si="125"/>
        <v>6.3333333333333325E-2</v>
      </c>
      <c r="U365" s="35">
        <f t="shared" si="119"/>
        <v>3.3816425120772986E-2</v>
      </c>
      <c r="V365" s="35">
        <f t="shared" si="135"/>
        <v>3.3816425120772986E-2</v>
      </c>
      <c r="W365" s="35">
        <f t="shared" si="135"/>
        <v>3.3816425120772986E-2</v>
      </c>
      <c r="X365" s="35">
        <f t="shared" si="135"/>
        <v>3.3816425120772986E-2</v>
      </c>
      <c r="Y365" s="35">
        <f t="shared" si="135"/>
        <v>3.3816425120772986E-2</v>
      </c>
      <c r="Z365" s="35">
        <f t="shared" si="135"/>
        <v>3.3816425120772986E-2</v>
      </c>
      <c r="AA365" s="35">
        <f t="shared" si="135"/>
        <v>0.18367346938775508</v>
      </c>
    </row>
    <row r="366" spans="2:27" x14ac:dyDescent="0.2">
      <c r="B366" s="2">
        <v>364</v>
      </c>
      <c r="C366" s="2" t="str">
        <f t="shared" si="133"/>
        <v>a</v>
      </c>
      <c r="D366" s="29" t="s">
        <v>31</v>
      </c>
      <c r="E366" s="29" t="s">
        <v>219</v>
      </c>
      <c r="F366" s="2" t="s">
        <v>221</v>
      </c>
      <c r="G366" s="2">
        <f t="shared" si="126"/>
        <v>4</v>
      </c>
      <c r="H366" s="2" t="str">
        <f t="shared" si="116"/>
        <v>电击</v>
      </c>
      <c r="I366" s="38">
        <f t="shared" si="121"/>
        <v>0.33363636363636368</v>
      </c>
      <c r="J366" s="33">
        <f t="shared" si="122"/>
        <v>78</v>
      </c>
      <c r="K366" s="33">
        <f t="shared" si="134"/>
        <v>53</v>
      </c>
      <c r="L366" s="33">
        <f t="shared" si="134"/>
        <v>14</v>
      </c>
      <c r="M366" s="33">
        <f t="shared" si="134"/>
        <v>33</v>
      </c>
      <c r="N366" s="33">
        <f t="shared" si="118"/>
        <v>100</v>
      </c>
      <c r="O366" s="33">
        <f t="shared" si="134"/>
        <v>47</v>
      </c>
      <c r="P366" s="33">
        <f t="shared" si="134"/>
        <v>17</v>
      </c>
      <c r="Q366" s="33">
        <f t="shared" si="134"/>
        <v>25</v>
      </c>
      <c r="R366" s="35">
        <f t="shared" si="123"/>
        <v>8.3333333333333343E-2</v>
      </c>
      <c r="S366" s="35">
        <f t="shared" si="124"/>
        <v>5.6666666666666671E-2</v>
      </c>
      <c r="T366" s="35">
        <f t="shared" si="125"/>
        <v>8.3333333333333343E-2</v>
      </c>
      <c r="U366" s="35">
        <f t="shared" si="119"/>
        <v>4.7619047619047672E-2</v>
      </c>
      <c r="V366" s="35">
        <f t="shared" si="135"/>
        <v>4.7619047619047672E-2</v>
      </c>
      <c r="W366" s="35">
        <f t="shared" si="135"/>
        <v>4.7619047619047672E-2</v>
      </c>
      <c r="X366" s="35">
        <f t="shared" si="135"/>
        <v>4.7619047619047672E-2</v>
      </c>
      <c r="Y366" s="35">
        <f t="shared" si="135"/>
        <v>4.7619047619047672E-2</v>
      </c>
      <c r="Z366" s="35">
        <f t="shared" si="135"/>
        <v>4.7619047619047672E-2</v>
      </c>
      <c r="AA366" s="35">
        <f t="shared" si="135"/>
        <v>0.23076923076923073</v>
      </c>
    </row>
    <row r="367" spans="2:27" x14ac:dyDescent="0.2">
      <c r="B367" s="2">
        <v>365</v>
      </c>
      <c r="C367" s="2" t="str">
        <f t="shared" si="133"/>
        <v>a</v>
      </c>
      <c r="D367" s="29" t="s">
        <v>31</v>
      </c>
      <c r="E367" s="29" t="s">
        <v>219</v>
      </c>
      <c r="F367" s="2" t="s">
        <v>221</v>
      </c>
      <c r="G367" s="2">
        <f t="shared" si="126"/>
        <v>5</v>
      </c>
      <c r="H367" s="2" t="str">
        <f t="shared" si="116"/>
        <v>电击</v>
      </c>
      <c r="I367" s="38">
        <f t="shared" si="121"/>
        <v>0.41909090909090907</v>
      </c>
      <c r="J367" s="33">
        <f t="shared" si="122"/>
        <v>98</v>
      </c>
      <c r="K367" s="33">
        <f t="shared" si="134"/>
        <v>66</v>
      </c>
      <c r="L367" s="33">
        <f t="shared" si="134"/>
        <v>18</v>
      </c>
      <c r="M367" s="33">
        <f t="shared" si="134"/>
        <v>42</v>
      </c>
      <c r="N367" s="33">
        <f t="shared" si="118"/>
        <v>124</v>
      </c>
      <c r="O367" s="33">
        <f t="shared" si="134"/>
        <v>59</v>
      </c>
      <c r="P367" s="33">
        <f t="shared" si="134"/>
        <v>22</v>
      </c>
      <c r="Q367" s="33">
        <f t="shared" si="134"/>
        <v>32</v>
      </c>
      <c r="R367" s="35">
        <f t="shared" si="123"/>
        <v>0.10666666666666666</v>
      </c>
      <c r="S367" s="35">
        <f t="shared" si="124"/>
        <v>7.3333333333333334E-2</v>
      </c>
      <c r="T367" s="35">
        <f t="shared" si="125"/>
        <v>0.10666666666666666</v>
      </c>
      <c r="U367" s="35">
        <f t="shared" si="119"/>
        <v>5.6603773584905648E-2</v>
      </c>
      <c r="V367" s="35">
        <f t="shared" si="135"/>
        <v>5.6603773584905648E-2</v>
      </c>
      <c r="W367" s="35">
        <f t="shared" si="135"/>
        <v>5.6603773584905648E-2</v>
      </c>
      <c r="X367" s="35">
        <f t="shared" si="135"/>
        <v>5.6603773584905648E-2</v>
      </c>
      <c r="Y367" s="35">
        <f t="shared" si="135"/>
        <v>5.6603773584905648E-2</v>
      </c>
      <c r="Z367" s="35">
        <f t="shared" si="135"/>
        <v>5.6603773584905648E-2</v>
      </c>
      <c r="AA367" s="35">
        <f t="shared" si="135"/>
        <v>0.27007299270072993</v>
      </c>
    </row>
    <row r="368" spans="2:27" x14ac:dyDescent="0.2">
      <c r="B368" s="2">
        <v>366</v>
      </c>
      <c r="C368" s="2" t="str">
        <f t="shared" si="133"/>
        <v>a</v>
      </c>
      <c r="D368" s="29" t="s">
        <v>31</v>
      </c>
      <c r="E368" s="29" t="s">
        <v>219</v>
      </c>
      <c r="F368" s="2" t="s">
        <v>221</v>
      </c>
      <c r="G368" s="2">
        <f t="shared" si="126"/>
        <v>6</v>
      </c>
      <c r="H368" s="2" t="str">
        <f t="shared" si="116"/>
        <v>电击</v>
      </c>
      <c r="I368" s="38">
        <f t="shared" si="121"/>
        <v>0.50181818181818183</v>
      </c>
      <c r="J368" s="33">
        <f t="shared" si="122"/>
        <v>117</v>
      </c>
      <c r="K368" s="33">
        <f t="shared" si="134"/>
        <v>80</v>
      </c>
      <c r="L368" s="33">
        <f t="shared" si="134"/>
        <v>21</v>
      </c>
      <c r="M368" s="33">
        <f t="shared" si="134"/>
        <v>50</v>
      </c>
      <c r="N368" s="33">
        <f t="shared" si="118"/>
        <v>149</v>
      </c>
      <c r="O368" s="33">
        <f t="shared" si="134"/>
        <v>71</v>
      </c>
      <c r="P368" s="33">
        <f t="shared" si="134"/>
        <v>26</v>
      </c>
      <c r="Q368" s="33">
        <f t="shared" si="134"/>
        <v>38</v>
      </c>
      <c r="R368" s="35">
        <f t="shared" si="123"/>
        <v>0.12666666666666665</v>
      </c>
      <c r="S368" s="35">
        <f t="shared" si="124"/>
        <v>8.6666666666666656E-2</v>
      </c>
      <c r="T368" s="35">
        <f t="shared" si="125"/>
        <v>0.12666666666666665</v>
      </c>
      <c r="U368" s="35">
        <f t="shared" si="119"/>
        <v>6.9767441860465129E-2</v>
      </c>
      <c r="V368" s="35">
        <f t="shared" si="135"/>
        <v>6.9767441860465129E-2</v>
      </c>
      <c r="W368" s="35">
        <f t="shared" si="135"/>
        <v>6.9767441860465129E-2</v>
      </c>
      <c r="X368" s="35">
        <f t="shared" si="135"/>
        <v>6.9767441860465129E-2</v>
      </c>
      <c r="Y368" s="35">
        <f t="shared" si="135"/>
        <v>6.9767441860465129E-2</v>
      </c>
      <c r="Z368" s="35">
        <f t="shared" si="135"/>
        <v>6.9767441860465129E-2</v>
      </c>
      <c r="AA368" s="35">
        <f t="shared" si="135"/>
        <v>0.30795847750865057</v>
      </c>
    </row>
    <row r="369" spans="2:27" x14ac:dyDescent="0.2">
      <c r="B369" s="2">
        <v>367</v>
      </c>
      <c r="C369" s="2" t="str">
        <f t="shared" si="133"/>
        <v>a</v>
      </c>
      <c r="D369" s="29" t="s">
        <v>31</v>
      </c>
      <c r="E369" s="29" t="s">
        <v>219</v>
      </c>
      <c r="F369" s="2" t="s">
        <v>221</v>
      </c>
      <c r="G369" s="2">
        <f t="shared" si="126"/>
        <v>7</v>
      </c>
      <c r="H369" s="2" t="str">
        <f t="shared" si="116"/>
        <v>电击</v>
      </c>
      <c r="I369" s="38">
        <f t="shared" si="121"/>
        <v>0.58818181818181825</v>
      </c>
      <c r="J369" s="33">
        <f t="shared" si="122"/>
        <v>137</v>
      </c>
      <c r="K369" s="33">
        <f t="shared" si="134"/>
        <v>93</v>
      </c>
      <c r="L369" s="33">
        <f t="shared" si="134"/>
        <v>25</v>
      </c>
      <c r="M369" s="33">
        <f t="shared" si="134"/>
        <v>59</v>
      </c>
      <c r="N369" s="33">
        <f t="shared" si="118"/>
        <v>174</v>
      </c>
      <c r="O369" s="33">
        <f t="shared" si="134"/>
        <v>83</v>
      </c>
      <c r="P369" s="33">
        <f t="shared" si="134"/>
        <v>31</v>
      </c>
      <c r="Q369" s="33">
        <f t="shared" si="134"/>
        <v>45</v>
      </c>
      <c r="R369" s="35">
        <f t="shared" si="123"/>
        <v>0.15</v>
      </c>
      <c r="S369" s="35">
        <f t="shared" si="124"/>
        <v>0.10333333333333333</v>
      </c>
      <c r="T369" s="35">
        <f t="shared" si="125"/>
        <v>0.15</v>
      </c>
      <c r="U369" s="35">
        <f t="shared" si="119"/>
        <v>7.8341013824884786E-2</v>
      </c>
      <c r="V369" s="35">
        <f t="shared" si="135"/>
        <v>7.8341013824884786E-2</v>
      </c>
      <c r="W369" s="35">
        <f t="shared" si="135"/>
        <v>7.8341013824884786E-2</v>
      </c>
      <c r="X369" s="35">
        <f t="shared" si="135"/>
        <v>7.8341013824884786E-2</v>
      </c>
      <c r="Y369" s="35">
        <f t="shared" si="135"/>
        <v>7.8341013824884786E-2</v>
      </c>
      <c r="Z369" s="35">
        <f t="shared" si="135"/>
        <v>7.8341013824884786E-2</v>
      </c>
      <c r="AA369" s="35">
        <f t="shared" si="135"/>
        <v>0.34210526315789469</v>
      </c>
    </row>
    <row r="370" spans="2:27" x14ac:dyDescent="0.2">
      <c r="B370" s="2">
        <v>368</v>
      </c>
      <c r="C370" s="2" t="str">
        <f t="shared" si="133"/>
        <v>a</v>
      </c>
      <c r="D370" s="29" t="s">
        <v>31</v>
      </c>
      <c r="E370" s="29" t="s">
        <v>219</v>
      </c>
      <c r="F370" s="2" t="s">
        <v>221</v>
      </c>
      <c r="G370" s="2">
        <f t="shared" si="126"/>
        <v>8</v>
      </c>
      <c r="H370" s="2" t="str">
        <f t="shared" si="116"/>
        <v>电击</v>
      </c>
      <c r="I370" s="38">
        <f t="shared" si="121"/>
        <v>0.67181818181818187</v>
      </c>
      <c r="J370" s="33">
        <f t="shared" si="122"/>
        <v>157</v>
      </c>
      <c r="K370" s="33">
        <f t="shared" si="134"/>
        <v>107</v>
      </c>
      <c r="L370" s="33">
        <f t="shared" si="134"/>
        <v>28</v>
      </c>
      <c r="M370" s="33">
        <f t="shared" si="134"/>
        <v>67</v>
      </c>
      <c r="N370" s="33">
        <f t="shared" si="118"/>
        <v>199</v>
      </c>
      <c r="O370" s="33">
        <f t="shared" si="134"/>
        <v>95</v>
      </c>
      <c r="P370" s="33">
        <f t="shared" si="134"/>
        <v>35</v>
      </c>
      <c r="Q370" s="33">
        <f t="shared" si="134"/>
        <v>51</v>
      </c>
      <c r="R370" s="35">
        <f t="shared" si="123"/>
        <v>0.17</v>
      </c>
      <c r="S370" s="35">
        <f t="shared" si="124"/>
        <v>0.11666666666666665</v>
      </c>
      <c r="T370" s="35">
        <f t="shared" si="125"/>
        <v>0.17</v>
      </c>
      <c r="U370" s="35">
        <f t="shared" si="119"/>
        <v>9.0909090909090939E-2</v>
      </c>
      <c r="V370" s="35">
        <f t="shared" si="135"/>
        <v>9.0909090909090939E-2</v>
      </c>
      <c r="W370" s="35">
        <f t="shared" si="135"/>
        <v>9.0909090909090939E-2</v>
      </c>
      <c r="X370" s="35">
        <f t="shared" si="135"/>
        <v>9.0909090909090939E-2</v>
      </c>
      <c r="Y370" s="35">
        <f t="shared" si="135"/>
        <v>9.0909090909090939E-2</v>
      </c>
      <c r="Z370" s="35">
        <f t="shared" si="135"/>
        <v>9.0909090909090939E-2</v>
      </c>
      <c r="AA370" s="35">
        <f t="shared" si="135"/>
        <v>0.37304075235109713</v>
      </c>
    </row>
    <row r="371" spans="2:27" x14ac:dyDescent="0.2">
      <c r="B371" s="2">
        <v>369</v>
      </c>
      <c r="C371" s="2" t="str">
        <f t="shared" si="133"/>
        <v>b</v>
      </c>
      <c r="D371" s="29" t="s">
        <v>31</v>
      </c>
      <c r="E371" s="29" t="s">
        <v>219</v>
      </c>
      <c r="F371" s="2" t="s">
        <v>221</v>
      </c>
      <c r="G371" s="2">
        <f t="shared" si="126"/>
        <v>1</v>
      </c>
      <c r="H371" s="2" t="str">
        <f t="shared" si="116"/>
        <v>电击</v>
      </c>
      <c r="I371" s="38">
        <f t="shared" si="121"/>
        <v>0.1</v>
      </c>
      <c r="J371" s="33">
        <f t="shared" si="122"/>
        <v>21</v>
      </c>
      <c r="K371" s="33">
        <f t="shared" si="134"/>
        <v>16</v>
      </c>
      <c r="L371" s="33">
        <f t="shared" si="134"/>
        <v>4</v>
      </c>
      <c r="M371" s="33">
        <f t="shared" si="134"/>
        <v>10</v>
      </c>
      <c r="N371" s="33">
        <f t="shared" si="118"/>
        <v>32</v>
      </c>
      <c r="O371" s="33">
        <f t="shared" si="134"/>
        <v>14</v>
      </c>
      <c r="P371" s="33">
        <f t="shared" si="134"/>
        <v>5</v>
      </c>
      <c r="Q371" s="33">
        <f t="shared" si="134"/>
        <v>8</v>
      </c>
      <c r="R371" s="35">
        <f t="shared" si="123"/>
        <v>2.6666666666666665E-2</v>
      </c>
      <c r="S371" s="35">
        <f t="shared" si="124"/>
        <v>1.6666666666666666E-2</v>
      </c>
      <c r="T371" s="35">
        <f t="shared" si="125"/>
        <v>2.6666666666666665E-2</v>
      </c>
      <c r="U371" s="35">
        <f t="shared" si="119"/>
        <v>1.4778325123152691E-2</v>
      </c>
      <c r="V371" s="35">
        <f t="shared" si="135"/>
        <v>1.4778325123152691E-2</v>
      </c>
      <c r="W371" s="35">
        <f t="shared" si="135"/>
        <v>1.4778325123152691E-2</v>
      </c>
      <c r="X371" s="35">
        <f t="shared" si="135"/>
        <v>1.4778325123152691E-2</v>
      </c>
      <c r="Y371" s="35">
        <f t="shared" si="135"/>
        <v>1.4778325123152691E-2</v>
      </c>
      <c r="Z371" s="35">
        <f t="shared" si="135"/>
        <v>1.4778325123152691E-2</v>
      </c>
      <c r="AA371" s="35">
        <f t="shared" si="135"/>
        <v>8.6757990867579959E-2</v>
      </c>
    </row>
    <row r="372" spans="2:27" x14ac:dyDescent="0.2">
      <c r="B372" s="2">
        <v>370</v>
      </c>
      <c r="C372" s="2" t="str">
        <f t="shared" si="133"/>
        <v>b</v>
      </c>
      <c r="D372" s="29" t="s">
        <v>31</v>
      </c>
      <c r="E372" s="29" t="s">
        <v>219</v>
      </c>
      <c r="F372" s="2" t="s">
        <v>221</v>
      </c>
      <c r="G372" s="2">
        <f t="shared" si="126"/>
        <v>2</v>
      </c>
      <c r="H372" s="2" t="str">
        <f t="shared" si="116"/>
        <v>电击</v>
      </c>
      <c r="I372" s="38">
        <f t="shared" si="121"/>
        <v>0.20363636363636364</v>
      </c>
      <c r="J372" s="33">
        <f t="shared" si="122"/>
        <v>42</v>
      </c>
      <c r="K372" s="33">
        <f t="shared" si="134"/>
        <v>33</v>
      </c>
      <c r="L372" s="33">
        <f t="shared" si="134"/>
        <v>9</v>
      </c>
      <c r="M372" s="33">
        <f t="shared" si="134"/>
        <v>21</v>
      </c>
      <c r="N372" s="33">
        <f t="shared" si="118"/>
        <v>63</v>
      </c>
      <c r="O372" s="33">
        <f t="shared" si="134"/>
        <v>29</v>
      </c>
      <c r="P372" s="33">
        <f t="shared" si="134"/>
        <v>11</v>
      </c>
      <c r="Q372" s="33">
        <f t="shared" si="134"/>
        <v>16</v>
      </c>
      <c r="R372" s="35">
        <f t="shared" si="123"/>
        <v>5.333333333333333E-2</v>
      </c>
      <c r="S372" s="35">
        <f t="shared" si="124"/>
        <v>3.6666666666666667E-2</v>
      </c>
      <c r="T372" s="35">
        <f t="shared" si="125"/>
        <v>5.333333333333333E-2</v>
      </c>
      <c r="U372" s="35">
        <f t="shared" si="119"/>
        <v>2.9126213592232997E-2</v>
      </c>
      <c r="V372" s="35">
        <f t="shared" si="135"/>
        <v>2.9126213592232997E-2</v>
      </c>
      <c r="W372" s="35">
        <f t="shared" si="135"/>
        <v>2.9126213592232997E-2</v>
      </c>
      <c r="X372" s="35">
        <f t="shared" si="135"/>
        <v>2.9126213592232997E-2</v>
      </c>
      <c r="Y372" s="35">
        <f t="shared" si="135"/>
        <v>2.9126213592232997E-2</v>
      </c>
      <c r="Z372" s="35">
        <f t="shared" si="135"/>
        <v>2.9126213592232997E-2</v>
      </c>
      <c r="AA372" s="35">
        <f t="shared" si="135"/>
        <v>0.15611814345991559</v>
      </c>
    </row>
    <row r="373" spans="2:27" x14ac:dyDescent="0.2">
      <c r="B373" s="2">
        <v>371</v>
      </c>
      <c r="C373" s="2" t="str">
        <f t="shared" si="133"/>
        <v>b</v>
      </c>
      <c r="D373" s="29" t="s">
        <v>31</v>
      </c>
      <c r="E373" s="29" t="s">
        <v>219</v>
      </c>
      <c r="F373" s="2" t="s">
        <v>221</v>
      </c>
      <c r="G373" s="2">
        <f t="shared" si="126"/>
        <v>3</v>
      </c>
      <c r="H373" s="2" t="str">
        <f t="shared" si="116"/>
        <v>电击</v>
      </c>
      <c r="I373" s="38">
        <f t="shared" si="121"/>
        <v>0.30454545454545451</v>
      </c>
      <c r="J373" s="33">
        <f t="shared" si="122"/>
        <v>63</v>
      </c>
      <c r="K373" s="33">
        <f t="shared" ref="K373:Q382" si="136">INT((1+VLOOKUP($F373,role_property_weight,getpos(K$2),FALSE))*(1+VLOOKUP($F373,weapon_property_weight,getpos(K$2),FALSE))*VLOOKUP($E373,role_grow,getpos(K$2),FALSE)*$G373*10*VLOOKUP($C373,weapon_grow1,5,FALSE))</f>
        <v>50</v>
      </c>
      <c r="L373" s="33">
        <f t="shared" si="136"/>
        <v>13</v>
      </c>
      <c r="M373" s="33">
        <f t="shared" si="136"/>
        <v>31</v>
      </c>
      <c r="N373" s="33">
        <f t="shared" si="118"/>
        <v>94</v>
      </c>
      <c r="O373" s="33">
        <f t="shared" si="136"/>
        <v>44</v>
      </c>
      <c r="P373" s="33">
        <f t="shared" si="136"/>
        <v>16</v>
      </c>
      <c r="Q373" s="33">
        <f t="shared" si="136"/>
        <v>24</v>
      </c>
      <c r="R373" s="35">
        <f t="shared" si="123"/>
        <v>0.08</v>
      </c>
      <c r="S373" s="35">
        <f t="shared" si="124"/>
        <v>5.333333333333333E-2</v>
      </c>
      <c r="T373" s="35">
        <f t="shared" si="125"/>
        <v>0.08</v>
      </c>
      <c r="U373" s="35">
        <f t="shared" si="119"/>
        <v>4.3062200956937802E-2</v>
      </c>
      <c r="V373" s="35">
        <f t="shared" ref="V373:AA382" si="137">1-200/(200+ROUND((1+VLOOKUP($F373,role_property_weight,getpos(V$2),FALSE))*VLOOKUP($E373,role_grow,getpos(V$2),FALSE)*$G373*10*VLOOKUP($C373,weapon_grow1,5,FALSE),0))</f>
        <v>4.3062200956937802E-2</v>
      </c>
      <c r="W373" s="35">
        <f t="shared" si="137"/>
        <v>4.3062200956937802E-2</v>
      </c>
      <c r="X373" s="35">
        <f t="shared" si="137"/>
        <v>4.3062200956937802E-2</v>
      </c>
      <c r="Y373" s="35">
        <f t="shared" si="137"/>
        <v>4.3062200956937802E-2</v>
      </c>
      <c r="Z373" s="35">
        <f t="shared" si="137"/>
        <v>4.3062200956937802E-2</v>
      </c>
      <c r="AA373" s="35">
        <f t="shared" si="137"/>
        <v>0.21875</v>
      </c>
    </row>
    <row r="374" spans="2:27" x14ac:dyDescent="0.2">
      <c r="B374" s="2">
        <v>372</v>
      </c>
      <c r="C374" s="2" t="str">
        <f t="shared" si="133"/>
        <v>b</v>
      </c>
      <c r="D374" s="29" t="s">
        <v>31</v>
      </c>
      <c r="E374" s="29" t="s">
        <v>219</v>
      </c>
      <c r="F374" s="2" t="s">
        <v>221</v>
      </c>
      <c r="G374" s="2">
        <f t="shared" si="126"/>
        <v>4</v>
      </c>
      <c r="H374" s="2" t="str">
        <f t="shared" si="116"/>
        <v>电击</v>
      </c>
      <c r="I374" s="38">
        <f t="shared" si="121"/>
        <v>0.4081818181818182</v>
      </c>
      <c r="J374" s="33">
        <f t="shared" si="122"/>
        <v>84</v>
      </c>
      <c r="K374" s="33">
        <f t="shared" si="136"/>
        <v>67</v>
      </c>
      <c r="L374" s="33">
        <f t="shared" si="136"/>
        <v>18</v>
      </c>
      <c r="M374" s="33">
        <f t="shared" si="136"/>
        <v>42</v>
      </c>
      <c r="N374" s="33">
        <f t="shared" si="118"/>
        <v>125</v>
      </c>
      <c r="O374" s="33">
        <f t="shared" si="136"/>
        <v>59</v>
      </c>
      <c r="P374" s="33">
        <f t="shared" si="136"/>
        <v>22</v>
      </c>
      <c r="Q374" s="33">
        <f t="shared" si="136"/>
        <v>32</v>
      </c>
      <c r="R374" s="35">
        <f t="shared" si="123"/>
        <v>0.10666666666666666</v>
      </c>
      <c r="S374" s="35">
        <f t="shared" si="124"/>
        <v>7.3333333333333334E-2</v>
      </c>
      <c r="T374" s="35">
        <f t="shared" si="125"/>
        <v>0.10666666666666666</v>
      </c>
      <c r="U374" s="35">
        <f t="shared" si="119"/>
        <v>5.6603773584905648E-2</v>
      </c>
      <c r="V374" s="35">
        <f t="shared" si="137"/>
        <v>5.6603773584905648E-2</v>
      </c>
      <c r="W374" s="35">
        <f t="shared" si="137"/>
        <v>5.6603773584905648E-2</v>
      </c>
      <c r="X374" s="35">
        <f t="shared" si="137"/>
        <v>5.6603773584905648E-2</v>
      </c>
      <c r="Y374" s="35">
        <f t="shared" si="137"/>
        <v>5.6603773584905648E-2</v>
      </c>
      <c r="Z374" s="35">
        <f t="shared" si="137"/>
        <v>5.6603773584905648E-2</v>
      </c>
      <c r="AA374" s="35">
        <f t="shared" si="137"/>
        <v>0.27272727272727271</v>
      </c>
    </row>
    <row r="375" spans="2:27" x14ac:dyDescent="0.2">
      <c r="B375" s="2">
        <v>373</v>
      </c>
      <c r="C375" s="2" t="str">
        <f t="shared" si="133"/>
        <v>b</v>
      </c>
      <c r="D375" s="29" t="s">
        <v>31</v>
      </c>
      <c r="E375" s="29" t="s">
        <v>219</v>
      </c>
      <c r="F375" s="2" t="s">
        <v>221</v>
      </c>
      <c r="G375" s="2">
        <f t="shared" si="126"/>
        <v>5</v>
      </c>
      <c r="H375" s="2" t="str">
        <f t="shared" si="116"/>
        <v>电击</v>
      </c>
      <c r="I375" s="38">
        <f t="shared" si="121"/>
        <v>0.51090909090909098</v>
      </c>
      <c r="J375" s="33">
        <f t="shared" si="122"/>
        <v>105</v>
      </c>
      <c r="K375" s="33">
        <f t="shared" si="136"/>
        <v>84</v>
      </c>
      <c r="L375" s="33">
        <f t="shared" si="136"/>
        <v>22</v>
      </c>
      <c r="M375" s="33">
        <f t="shared" si="136"/>
        <v>53</v>
      </c>
      <c r="N375" s="33">
        <f t="shared" si="118"/>
        <v>156</v>
      </c>
      <c r="O375" s="33">
        <f t="shared" si="136"/>
        <v>74</v>
      </c>
      <c r="P375" s="33">
        <f t="shared" si="136"/>
        <v>28</v>
      </c>
      <c r="Q375" s="33">
        <f t="shared" si="136"/>
        <v>40</v>
      </c>
      <c r="R375" s="35">
        <f t="shared" si="123"/>
        <v>0.13333333333333333</v>
      </c>
      <c r="S375" s="35">
        <f t="shared" si="124"/>
        <v>9.3333333333333338E-2</v>
      </c>
      <c r="T375" s="35">
        <f t="shared" si="125"/>
        <v>0.13333333333333333</v>
      </c>
      <c r="U375" s="35">
        <f t="shared" si="119"/>
        <v>7.407407407407407E-2</v>
      </c>
      <c r="V375" s="35">
        <f t="shared" si="137"/>
        <v>7.407407407407407E-2</v>
      </c>
      <c r="W375" s="35">
        <f t="shared" si="137"/>
        <v>7.407407407407407E-2</v>
      </c>
      <c r="X375" s="35">
        <f t="shared" si="137"/>
        <v>7.407407407407407E-2</v>
      </c>
      <c r="Y375" s="35">
        <f t="shared" si="137"/>
        <v>7.407407407407407E-2</v>
      </c>
      <c r="Z375" s="35">
        <f t="shared" si="137"/>
        <v>7.407407407407407E-2</v>
      </c>
      <c r="AA375" s="35">
        <f t="shared" si="137"/>
        <v>0.31972789115646261</v>
      </c>
    </row>
    <row r="376" spans="2:27" x14ac:dyDescent="0.2">
      <c r="B376" s="2">
        <v>374</v>
      </c>
      <c r="C376" s="2" t="str">
        <f t="shared" si="133"/>
        <v>b</v>
      </c>
      <c r="D376" s="29" t="s">
        <v>31</v>
      </c>
      <c r="E376" s="29" t="s">
        <v>219</v>
      </c>
      <c r="F376" s="2" t="s">
        <v>221</v>
      </c>
      <c r="G376" s="2">
        <f t="shared" si="126"/>
        <v>6</v>
      </c>
      <c r="H376" s="2" t="str">
        <f t="shared" si="116"/>
        <v>电击</v>
      </c>
      <c r="I376" s="38">
        <f t="shared" si="121"/>
        <v>0.61454545454545451</v>
      </c>
      <c r="J376" s="33">
        <f t="shared" si="122"/>
        <v>127</v>
      </c>
      <c r="K376" s="33">
        <f t="shared" si="136"/>
        <v>101</v>
      </c>
      <c r="L376" s="33">
        <f t="shared" si="136"/>
        <v>27</v>
      </c>
      <c r="M376" s="33">
        <f t="shared" si="136"/>
        <v>63</v>
      </c>
      <c r="N376" s="33">
        <f t="shared" si="118"/>
        <v>188</v>
      </c>
      <c r="O376" s="33">
        <f t="shared" si="136"/>
        <v>89</v>
      </c>
      <c r="P376" s="33">
        <f t="shared" si="136"/>
        <v>33</v>
      </c>
      <c r="Q376" s="33">
        <f t="shared" si="136"/>
        <v>48</v>
      </c>
      <c r="R376" s="35">
        <f t="shared" si="123"/>
        <v>0.16</v>
      </c>
      <c r="S376" s="35">
        <f t="shared" si="124"/>
        <v>0.11</v>
      </c>
      <c r="T376" s="35">
        <f t="shared" si="125"/>
        <v>0.16</v>
      </c>
      <c r="U376" s="35">
        <f t="shared" si="119"/>
        <v>8.6757990867579959E-2</v>
      </c>
      <c r="V376" s="35">
        <f t="shared" si="137"/>
        <v>8.6757990867579959E-2</v>
      </c>
      <c r="W376" s="35">
        <f t="shared" si="137"/>
        <v>8.6757990867579959E-2</v>
      </c>
      <c r="X376" s="35">
        <f t="shared" si="137"/>
        <v>8.6757990867579959E-2</v>
      </c>
      <c r="Y376" s="35">
        <f t="shared" si="137"/>
        <v>8.6757990867579959E-2</v>
      </c>
      <c r="Z376" s="35">
        <f t="shared" si="137"/>
        <v>8.6757990867579959E-2</v>
      </c>
      <c r="AA376" s="35">
        <f t="shared" si="137"/>
        <v>0.35897435897435892</v>
      </c>
    </row>
    <row r="377" spans="2:27" x14ac:dyDescent="0.2">
      <c r="B377" s="2">
        <v>375</v>
      </c>
      <c r="C377" s="2" t="str">
        <f t="shared" si="133"/>
        <v>b</v>
      </c>
      <c r="D377" s="29" t="s">
        <v>31</v>
      </c>
      <c r="E377" s="29" t="s">
        <v>219</v>
      </c>
      <c r="F377" s="2" t="s">
        <v>221</v>
      </c>
      <c r="G377" s="2">
        <f t="shared" si="126"/>
        <v>7</v>
      </c>
      <c r="H377" s="2" t="str">
        <f t="shared" si="116"/>
        <v>电击</v>
      </c>
      <c r="I377" s="38">
        <f t="shared" si="121"/>
        <v>0.71636363636363642</v>
      </c>
      <c r="J377" s="33">
        <f t="shared" si="122"/>
        <v>148</v>
      </c>
      <c r="K377" s="33">
        <f t="shared" si="136"/>
        <v>117</v>
      </c>
      <c r="L377" s="33">
        <f t="shared" si="136"/>
        <v>31</v>
      </c>
      <c r="M377" s="33">
        <f t="shared" si="136"/>
        <v>74</v>
      </c>
      <c r="N377" s="33">
        <f t="shared" si="118"/>
        <v>219</v>
      </c>
      <c r="O377" s="33">
        <f t="shared" si="136"/>
        <v>104</v>
      </c>
      <c r="P377" s="33">
        <f t="shared" si="136"/>
        <v>39</v>
      </c>
      <c r="Q377" s="33">
        <f t="shared" si="136"/>
        <v>56</v>
      </c>
      <c r="R377" s="35">
        <f t="shared" si="123"/>
        <v>0.18666666666666668</v>
      </c>
      <c r="S377" s="35">
        <f t="shared" si="124"/>
        <v>0.13</v>
      </c>
      <c r="T377" s="35">
        <f t="shared" si="125"/>
        <v>0.18666666666666668</v>
      </c>
      <c r="U377" s="35">
        <f t="shared" si="119"/>
        <v>9.9099099099099086E-2</v>
      </c>
      <c r="V377" s="35">
        <f t="shared" si="137"/>
        <v>9.9099099099099086E-2</v>
      </c>
      <c r="W377" s="35">
        <f t="shared" si="137"/>
        <v>9.9099099099099086E-2</v>
      </c>
      <c r="X377" s="35">
        <f t="shared" si="137"/>
        <v>9.9099099099099086E-2</v>
      </c>
      <c r="Y377" s="35">
        <f t="shared" si="137"/>
        <v>9.9099099099099086E-2</v>
      </c>
      <c r="Z377" s="35">
        <f t="shared" si="137"/>
        <v>9.9099099099099086E-2</v>
      </c>
      <c r="AA377" s="35">
        <f t="shared" si="137"/>
        <v>0.39577039274924475</v>
      </c>
    </row>
    <row r="378" spans="2:27" x14ac:dyDescent="0.2">
      <c r="B378" s="2">
        <v>376</v>
      </c>
      <c r="C378" s="2" t="str">
        <f t="shared" si="133"/>
        <v>b</v>
      </c>
      <c r="D378" s="29" t="s">
        <v>31</v>
      </c>
      <c r="E378" s="29" t="s">
        <v>219</v>
      </c>
      <c r="F378" s="2" t="s">
        <v>221</v>
      </c>
      <c r="G378" s="2">
        <f t="shared" si="126"/>
        <v>8</v>
      </c>
      <c r="H378" s="2" t="str">
        <f t="shared" si="116"/>
        <v>电击</v>
      </c>
      <c r="I378" s="38">
        <f t="shared" si="121"/>
        <v>0.81818181818181812</v>
      </c>
      <c r="J378" s="33">
        <f t="shared" si="122"/>
        <v>169</v>
      </c>
      <c r="K378" s="33">
        <f t="shared" si="136"/>
        <v>134</v>
      </c>
      <c r="L378" s="33">
        <f t="shared" si="136"/>
        <v>36</v>
      </c>
      <c r="M378" s="33">
        <f t="shared" si="136"/>
        <v>84</v>
      </c>
      <c r="N378" s="33">
        <f t="shared" si="118"/>
        <v>250</v>
      </c>
      <c r="O378" s="33">
        <f t="shared" si="136"/>
        <v>119</v>
      </c>
      <c r="P378" s="33">
        <f t="shared" si="136"/>
        <v>44</v>
      </c>
      <c r="Q378" s="33">
        <f t="shared" si="136"/>
        <v>64</v>
      </c>
      <c r="R378" s="35">
        <f t="shared" si="123"/>
        <v>0.21333333333333332</v>
      </c>
      <c r="S378" s="35">
        <f t="shared" si="124"/>
        <v>0.14666666666666667</v>
      </c>
      <c r="T378" s="35">
        <f t="shared" si="125"/>
        <v>0.21333333333333332</v>
      </c>
      <c r="U378" s="35">
        <f t="shared" si="119"/>
        <v>0.11111111111111116</v>
      </c>
      <c r="V378" s="35">
        <f t="shared" si="137"/>
        <v>0.11111111111111116</v>
      </c>
      <c r="W378" s="35">
        <f t="shared" si="137"/>
        <v>0.11111111111111116</v>
      </c>
      <c r="X378" s="35">
        <f t="shared" si="137"/>
        <v>0.11111111111111116</v>
      </c>
      <c r="Y378" s="35">
        <f t="shared" si="137"/>
        <v>0.11111111111111116</v>
      </c>
      <c r="Z378" s="35">
        <f t="shared" si="137"/>
        <v>0.11111111111111116</v>
      </c>
      <c r="AA378" s="35">
        <f t="shared" si="137"/>
        <v>0.4285714285714286</v>
      </c>
    </row>
    <row r="379" spans="2:27" x14ac:dyDescent="0.2">
      <c r="B379" s="2">
        <v>377</v>
      </c>
      <c r="C379" s="2" t="str">
        <f t="shared" si="133"/>
        <v>c</v>
      </c>
      <c r="D379" s="29" t="s">
        <v>31</v>
      </c>
      <c r="E379" s="29" t="s">
        <v>219</v>
      </c>
      <c r="F379" s="2" t="s">
        <v>221</v>
      </c>
      <c r="G379" s="2">
        <f t="shared" si="126"/>
        <v>1</v>
      </c>
      <c r="H379" s="2" t="str">
        <f t="shared" si="116"/>
        <v>--</v>
      </c>
      <c r="I379" s="38">
        <f t="shared" si="121"/>
        <v>0</v>
      </c>
      <c r="J379" s="33">
        <f t="shared" si="122"/>
        <v>26</v>
      </c>
      <c r="K379" s="33">
        <f t="shared" si="136"/>
        <v>0</v>
      </c>
      <c r="L379" s="33">
        <f t="shared" si="136"/>
        <v>0</v>
      </c>
      <c r="M379" s="33">
        <f t="shared" si="136"/>
        <v>0</v>
      </c>
      <c r="N379" s="33">
        <f t="shared" si="118"/>
        <v>0</v>
      </c>
      <c r="O379" s="33">
        <f t="shared" si="136"/>
        <v>0</v>
      </c>
      <c r="P379" s="33">
        <f t="shared" si="136"/>
        <v>0</v>
      </c>
      <c r="Q379" s="33">
        <f t="shared" si="136"/>
        <v>0</v>
      </c>
      <c r="R379" s="35">
        <f t="shared" si="123"/>
        <v>0</v>
      </c>
      <c r="S379" s="35">
        <f t="shared" si="124"/>
        <v>0</v>
      </c>
      <c r="T379" s="35">
        <f t="shared" si="125"/>
        <v>0</v>
      </c>
      <c r="U379" s="35">
        <f t="shared" si="119"/>
        <v>0</v>
      </c>
      <c r="V379" s="35">
        <f t="shared" si="137"/>
        <v>0</v>
      </c>
      <c r="W379" s="35">
        <f t="shared" si="137"/>
        <v>0</v>
      </c>
      <c r="X379" s="35">
        <f t="shared" si="137"/>
        <v>0</v>
      </c>
      <c r="Y379" s="35">
        <f t="shared" si="137"/>
        <v>0</v>
      </c>
      <c r="Z379" s="35">
        <f t="shared" si="137"/>
        <v>0</v>
      </c>
      <c r="AA379" s="35">
        <f t="shared" si="137"/>
        <v>0</v>
      </c>
    </row>
    <row r="380" spans="2:27" x14ac:dyDescent="0.2">
      <c r="B380" s="2">
        <v>378</v>
      </c>
      <c r="C380" s="2" t="str">
        <f t="shared" si="133"/>
        <v>c</v>
      </c>
      <c r="D380" s="29" t="s">
        <v>31</v>
      </c>
      <c r="E380" s="29" t="s">
        <v>219</v>
      </c>
      <c r="F380" s="2" t="s">
        <v>221</v>
      </c>
      <c r="G380" s="2">
        <f t="shared" si="126"/>
        <v>2</v>
      </c>
      <c r="H380" s="2" t="str">
        <f t="shared" si="116"/>
        <v>--</v>
      </c>
      <c r="I380" s="38">
        <f t="shared" si="121"/>
        <v>0</v>
      </c>
      <c r="J380" s="33">
        <f t="shared" si="122"/>
        <v>53</v>
      </c>
      <c r="K380" s="33">
        <f t="shared" si="136"/>
        <v>0</v>
      </c>
      <c r="L380" s="33">
        <f t="shared" si="136"/>
        <v>0</v>
      </c>
      <c r="M380" s="33">
        <f t="shared" si="136"/>
        <v>0</v>
      </c>
      <c r="N380" s="33">
        <f t="shared" si="118"/>
        <v>0</v>
      </c>
      <c r="O380" s="33">
        <f t="shared" si="136"/>
        <v>0</v>
      </c>
      <c r="P380" s="33">
        <f t="shared" si="136"/>
        <v>0</v>
      </c>
      <c r="Q380" s="33">
        <f t="shared" si="136"/>
        <v>0</v>
      </c>
      <c r="R380" s="35">
        <f t="shared" si="123"/>
        <v>0</v>
      </c>
      <c r="S380" s="35">
        <f t="shared" si="124"/>
        <v>0</v>
      </c>
      <c r="T380" s="35">
        <f t="shared" si="125"/>
        <v>0</v>
      </c>
      <c r="U380" s="35">
        <f t="shared" si="119"/>
        <v>0</v>
      </c>
      <c r="V380" s="35">
        <f t="shared" si="137"/>
        <v>0</v>
      </c>
      <c r="W380" s="35">
        <f t="shared" si="137"/>
        <v>0</v>
      </c>
      <c r="X380" s="35">
        <f t="shared" si="137"/>
        <v>0</v>
      </c>
      <c r="Y380" s="35">
        <f t="shared" si="137"/>
        <v>0</v>
      </c>
      <c r="Z380" s="35">
        <f t="shared" si="137"/>
        <v>0</v>
      </c>
      <c r="AA380" s="35">
        <f t="shared" si="137"/>
        <v>0</v>
      </c>
    </row>
    <row r="381" spans="2:27" x14ac:dyDescent="0.2">
      <c r="B381" s="2">
        <v>379</v>
      </c>
      <c r="C381" s="2" t="str">
        <f t="shared" si="133"/>
        <v>c</v>
      </c>
      <c r="D381" s="29" t="s">
        <v>31</v>
      </c>
      <c r="E381" s="29" t="s">
        <v>219</v>
      </c>
      <c r="F381" s="2" t="s">
        <v>221</v>
      </c>
      <c r="G381" s="2">
        <f t="shared" si="126"/>
        <v>3</v>
      </c>
      <c r="H381" s="2" t="str">
        <f t="shared" si="116"/>
        <v>--</v>
      </c>
      <c r="I381" s="38">
        <f t="shared" si="121"/>
        <v>0</v>
      </c>
      <c r="J381" s="33">
        <f t="shared" si="122"/>
        <v>80</v>
      </c>
      <c r="K381" s="33">
        <f t="shared" si="136"/>
        <v>0</v>
      </c>
      <c r="L381" s="33">
        <f t="shared" si="136"/>
        <v>0</v>
      </c>
      <c r="M381" s="33">
        <f t="shared" si="136"/>
        <v>0</v>
      </c>
      <c r="N381" s="33">
        <f t="shared" si="118"/>
        <v>0</v>
      </c>
      <c r="O381" s="33">
        <f t="shared" si="136"/>
        <v>0</v>
      </c>
      <c r="P381" s="33">
        <f t="shared" si="136"/>
        <v>0</v>
      </c>
      <c r="Q381" s="33">
        <f t="shared" si="136"/>
        <v>0</v>
      </c>
      <c r="R381" s="35">
        <f t="shared" si="123"/>
        <v>0</v>
      </c>
      <c r="S381" s="35">
        <f t="shared" si="124"/>
        <v>0</v>
      </c>
      <c r="T381" s="35">
        <f t="shared" si="125"/>
        <v>0</v>
      </c>
      <c r="U381" s="35">
        <f t="shared" si="119"/>
        <v>0</v>
      </c>
      <c r="V381" s="35">
        <f t="shared" si="137"/>
        <v>0</v>
      </c>
      <c r="W381" s="35">
        <f t="shared" si="137"/>
        <v>0</v>
      </c>
      <c r="X381" s="35">
        <f t="shared" si="137"/>
        <v>0</v>
      </c>
      <c r="Y381" s="35">
        <f t="shared" si="137"/>
        <v>0</v>
      </c>
      <c r="Z381" s="35">
        <f t="shared" si="137"/>
        <v>0</v>
      </c>
      <c r="AA381" s="35">
        <f t="shared" si="137"/>
        <v>0</v>
      </c>
    </row>
    <row r="382" spans="2:27" x14ac:dyDescent="0.2">
      <c r="B382" s="2">
        <v>380</v>
      </c>
      <c r="C382" s="2" t="str">
        <f t="shared" si="133"/>
        <v>c</v>
      </c>
      <c r="D382" s="29" t="s">
        <v>31</v>
      </c>
      <c r="E382" s="29" t="s">
        <v>219</v>
      </c>
      <c r="F382" s="2" t="s">
        <v>221</v>
      </c>
      <c r="G382" s="2">
        <f t="shared" si="126"/>
        <v>4</v>
      </c>
      <c r="H382" s="2" t="str">
        <f t="shared" si="116"/>
        <v>--</v>
      </c>
      <c r="I382" s="38">
        <f t="shared" si="121"/>
        <v>0</v>
      </c>
      <c r="J382" s="33">
        <f t="shared" si="122"/>
        <v>106</v>
      </c>
      <c r="K382" s="33">
        <f t="shared" si="136"/>
        <v>0</v>
      </c>
      <c r="L382" s="33">
        <f t="shared" si="136"/>
        <v>0</v>
      </c>
      <c r="M382" s="33">
        <f t="shared" si="136"/>
        <v>0</v>
      </c>
      <c r="N382" s="33">
        <f t="shared" si="118"/>
        <v>0</v>
      </c>
      <c r="O382" s="33">
        <f t="shared" si="136"/>
        <v>0</v>
      </c>
      <c r="P382" s="33">
        <f t="shared" si="136"/>
        <v>0</v>
      </c>
      <c r="Q382" s="33">
        <f t="shared" si="136"/>
        <v>0</v>
      </c>
      <c r="R382" s="35">
        <f t="shared" si="123"/>
        <v>0</v>
      </c>
      <c r="S382" s="35">
        <f t="shared" si="124"/>
        <v>0</v>
      </c>
      <c r="T382" s="35">
        <f t="shared" si="125"/>
        <v>0</v>
      </c>
      <c r="U382" s="35">
        <f t="shared" si="119"/>
        <v>0</v>
      </c>
      <c r="V382" s="35">
        <f t="shared" si="137"/>
        <v>0</v>
      </c>
      <c r="W382" s="35">
        <f t="shared" si="137"/>
        <v>0</v>
      </c>
      <c r="X382" s="35">
        <f t="shared" si="137"/>
        <v>0</v>
      </c>
      <c r="Y382" s="35">
        <f t="shared" si="137"/>
        <v>0</v>
      </c>
      <c r="Z382" s="35">
        <f t="shared" si="137"/>
        <v>0</v>
      </c>
      <c r="AA382" s="35">
        <f t="shared" si="137"/>
        <v>0</v>
      </c>
    </row>
    <row r="383" spans="2:27" x14ac:dyDescent="0.2">
      <c r="B383" s="2">
        <v>381</v>
      </c>
      <c r="C383" s="2" t="str">
        <f t="shared" si="133"/>
        <v>c</v>
      </c>
      <c r="D383" s="29" t="s">
        <v>31</v>
      </c>
      <c r="E383" s="29" t="s">
        <v>219</v>
      </c>
      <c r="F383" s="2" t="s">
        <v>221</v>
      </c>
      <c r="G383" s="2">
        <f t="shared" si="126"/>
        <v>5</v>
      </c>
      <c r="H383" s="2" t="str">
        <f t="shared" si="116"/>
        <v>--</v>
      </c>
      <c r="I383" s="38">
        <f t="shared" si="121"/>
        <v>0</v>
      </c>
      <c r="J383" s="33">
        <f t="shared" si="122"/>
        <v>133</v>
      </c>
      <c r="K383" s="33">
        <f t="shared" ref="K383:Q392" si="138">INT((1+VLOOKUP($F383,role_property_weight,getpos(K$2),FALSE))*(1+VLOOKUP($F383,weapon_property_weight,getpos(K$2),FALSE))*VLOOKUP($E383,role_grow,getpos(K$2),FALSE)*$G383*10*VLOOKUP($C383,weapon_grow1,5,FALSE))</f>
        <v>0</v>
      </c>
      <c r="L383" s="33">
        <f t="shared" si="138"/>
        <v>0</v>
      </c>
      <c r="M383" s="33">
        <f t="shared" si="138"/>
        <v>0</v>
      </c>
      <c r="N383" s="33">
        <f t="shared" si="118"/>
        <v>0</v>
      </c>
      <c r="O383" s="33">
        <f t="shared" si="138"/>
        <v>0</v>
      </c>
      <c r="P383" s="33">
        <f t="shared" si="138"/>
        <v>0</v>
      </c>
      <c r="Q383" s="33">
        <f t="shared" si="138"/>
        <v>0</v>
      </c>
      <c r="R383" s="35">
        <f t="shared" si="123"/>
        <v>0</v>
      </c>
      <c r="S383" s="35">
        <f t="shared" si="124"/>
        <v>0</v>
      </c>
      <c r="T383" s="35">
        <f t="shared" si="125"/>
        <v>0</v>
      </c>
      <c r="U383" s="35">
        <f t="shared" si="119"/>
        <v>0</v>
      </c>
      <c r="V383" s="35">
        <f t="shared" ref="V383:AA392" si="139">1-200/(200+ROUND((1+VLOOKUP($F383,role_property_weight,getpos(V$2),FALSE))*VLOOKUP($E383,role_grow,getpos(V$2),FALSE)*$G383*10*VLOOKUP($C383,weapon_grow1,5,FALSE),0))</f>
        <v>0</v>
      </c>
      <c r="W383" s="35">
        <f t="shared" si="139"/>
        <v>0</v>
      </c>
      <c r="X383" s="35">
        <f t="shared" si="139"/>
        <v>0</v>
      </c>
      <c r="Y383" s="35">
        <f t="shared" si="139"/>
        <v>0</v>
      </c>
      <c r="Z383" s="35">
        <f t="shared" si="139"/>
        <v>0</v>
      </c>
      <c r="AA383" s="35">
        <f t="shared" si="139"/>
        <v>0</v>
      </c>
    </row>
    <row r="384" spans="2:27" x14ac:dyDescent="0.2">
      <c r="B384" s="2">
        <v>382</v>
      </c>
      <c r="C384" s="2" t="str">
        <f t="shared" si="133"/>
        <v>c</v>
      </c>
      <c r="D384" s="29" t="s">
        <v>31</v>
      </c>
      <c r="E384" s="29" t="s">
        <v>219</v>
      </c>
      <c r="F384" s="2" t="s">
        <v>221</v>
      </c>
      <c r="G384" s="2">
        <f t="shared" si="126"/>
        <v>6</v>
      </c>
      <c r="H384" s="2" t="str">
        <f t="shared" si="116"/>
        <v>--</v>
      </c>
      <c r="I384" s="38">
        <f t="shared" si="121"/>
        <v>0</v>
      </c>
      <c r="J384" s="33">
        <f t="shared" si="122"/>
        <v>160</v>
      </c>
      <c r="K384" s="33">
        <f t="shared" si="138"/>
        <v>0</v>
      </c>
      <c r="L384" s="33">
        <f t="shared" si="138"/>
        <v>0</v>
      </c>
      <c r="M384" s="33">
        <f t="shared" si="138"/>
        <v>0</v>
      </c>
      <c r="N384" s="33">
        <f t="shared" si="118"/>
        <v>0</v>
      </c>
      <c r="O384" s="33">
        <f t="shared" si="138"/>
        <v>0</v>
      </c>
      <c r="P384" s="33">
        <f t="shared" si="138"/>
        <v>0</v>
      </c>
      <c r="Q384" s="33">
        <f t="shared" si="138"/>
        <v>0</v>
      </c>
      <c r="R384" s="35">
        <f t="shared" si="123"/>
        <v>0</v>
      </c>
      <c r="S384" s="35">
        <f t="shared" si="124"/>
        <v>0</v>
      </c>
      <c r="T384" s="35">
        <f t="shared" si="125"/>
        <v>0</v>
      </c>
      <c r="U384" s="35">
        <f t="shared" si="119"/>
        <v>0</v>
      </c>
      <c r="V384" s="35">
        <f t="shared" si="139"/>
        <v>0</v>
      </c>
      <c r="W384" s="35">
        <f t="shared" si="139"/>
        <v>0</v>
      </c>
      <c r="X384" s="35">
        <f t="shared" si="139"/>
        <v>0</v>
      </c>
      <c r="Y384" s="35">
        <f t="shared" si="139"/>
        <v>0</v>
      </c>
      <c r="Z384" s="35">
        <f t="shared" si="139"/>
        <v>0</v>
      </c>
      <c r="AA384" s="35">
        <f t="shared" si="139"/>
        <v>0</v>
      </c>
    </row>
    <row r="385" spans="2:27" x14ac:dyDescent="0.2">
      <c r="B385" s="2">
        <v>383</v>
      </c>
      <c r="C385" s="2" t="str">
        <f t="shared" si="133"/>
        <v>c</v>
      </c>
      <c r="D385" s="29" t="s">
        <v>31</v>
      </c>
      <c r="E385" s="29" t="s">
        <v>219</v>
      </c>
      <c r="F385" s="2" t="s">
        <v>221</v>
      </c>
      <c r="G385" s="2">
        <f t="shared" si="126"/>
        <v>7</v>
      </c>
      <c r="H385" s="2" t="str">
        <f t="shared" si="116"/>
        <v>--</v>
      </c>
      <c r="I385" s="38">
        <f t="shared" si="121"/>
        <v>0</v>
      </c>
      <c r="J385" s="33">
        <f t="shared" si="122"/>
        <v>186</v>
      </c>
      <c r="K385" s="33">
        <f t="shared" si="138"/>
        <v>0</v>
      </c>
      <c r="L385" s="33">
        <f t="shared" si="138"/>
        <v>0</v>
      </c>
      <c r="M385" s="33">
        <f t="shared" si="138"/>
        <v>0</v>
      </c>
      <c r="N385" s="33">
        <f t="shared" si="118"/>
        <v>0</v>
      </c>
      <c r="O385" s="33">
        <f t="shared" si="138"/>
        <v>0</v>
      </c>
      <c r="P385" s="33">
        <f t="shared" si="138"/>
        <v>0</v>
      </c>
      <c r="Q385" s="33">
        <f t="shared" si="138"/>
        <v>0</v>
      </c>
      <c r="R385" s="35">
        <f t="shared" si="123"/>
        <v>0</v>
      </c>
      <c r="S385" s="35">
        <f t="shared" si="124"/>
        <v>0</v>
      </c>
      <c r="T385" s="35">
        <f t="shared" si="125"/>
        <v>0</v>
      </c>
      <c r="U385" s="35">
        <f t="shared" si="119"/>
        <v>0</v>
      </c>
      <c r="V385" s="35">
        <f t="shared" si="139"/>
        <v>0</v>
      </c>
      <c r="W385" s="35">
        <f t="shared" si="139"/>
        <v>0</v>
      </c>
      <c r="X385" s="35">
        <f t="shared" si="139"/>
        <v>0</v>
      </c>
      <c r="Y385" s="35">
        <f t="shared" si="139"/>
        <v>0</v>
      </c>
      <c r="Z385" s="35">
        <f t="shared" si="139"/>
        <v>0</v>
      </c>
      <c r="AA385" s="35">
        <f t="shared" si="139"/>
        <v>0</v>
      </c>
    </row>
    <row r="386" spans="2:27" x14ac:dyDescent="0.2">
      <c r="B386" s="2">
        <v>384</v>
      </c>
      <c r="C386" s="2" t="str">
        <f t="shared" si="133"/>
        <v>c</v>
      </c>
      <c r="D386" s="29" t="s">
        <v>31</v>
      </c>
      <c r="E386" s="29" t="s">
        <v>219</v>
      </c>
      <c r="F386" s="2" t="s">
        <v>221</v>
      </c>
      <c r="G386" s="2">
        <f t="shared" si="126"/>
        <v>8</v>
      </c>
      <c r="H386" s="2" t="str">
        <f t="shared" si="116"/>
        <v>--</v>
      </c>
      <c r="I386" s="38">
        <f t="shared" si="121"/>
        <v>0</v>
      </c>
      <c r="J386" s="33">
        <f t="shared" si="122"/>
        <v>213</v>
      </c>
      <c r="K386" s="33">
        <f t="shared" si="138"/>
        <v>0</v>
      </c>
      <c r="L386" s="33">
        <f t="shared" si="138"/>
        <v>0</v>
      </c>
      <c r="M386" s="33">
        <f t="shared" si="138"/>
        <v>0</v>
      </c>
      <c r="N386" s="33">
        <f t="shared" si="118"/>
        <v>0</v>
      </c>
      <c r="O386" s="33">
        <f t="shared" si="138"/>
        <v>0</v>
      </c>
      <c r="P386" s="33">
        <f t="shared" si="138"/>
        <v>0</v>
      </c>
      <c r="Q386" s="33">
        <f t="shared" si="138"/>
        <v>0</v>
      </c>
      <c r="R386" s="35">
        <f t="shared" si="123"/>
        <v>0</v>
      </c>
      <c r="S386" s="35">
        <f t="shared" si="124"/>
        <v>0</v>
      </c>
      <c r="T386" s="35">
        <f t="shared" si="125"/>
        <v>0</v>
      </c>
      <c r="U386" s="35">
        <f t="shared" si="119"/>
        <v>0</v>
      </c>
      <c r="V386" s="35">
        <f t="shared" si="139"/>
        <v>0</v>
      </c>
      <c r="W386" s="35">
        <f t="shared" si="139"/>
        <v>0</v>
      </c>
      <c r="X386" s="35">
        <f t="shared" si="139"/>
        <v>0</v>
      </c>
      <c r="Y386" s="35">
        <f t="shared" si="139"/>
        <v>0</v>
      </c>
      <c r="Z386" s="35">
        <f t="shared" si="139"/>
        <v>0</v>
      </c>
      <c r="AA386" s="35">
        <f t="shared" si="139"/>
        <v>0</v>
      </c>
    </row>
    <row r="387" spans="2:27" x14ac:dyDescent="0.2">
      <c r="B387" s="2">
        <v>385</v>
      </c>
      <c r="C387" s="2" t="str">
        <f t="shared" si="133"/>
        <v>s</v>
      </c>
      <c r="D387" s="29" t="s">
        <v>31</v>
      </c>
      <c r="E387" s="29" t="s">
        <v>219</v>
      </c>
      <c r="F387" s="2" t="s">
        <v>222</v>
      </c>
      <c r="G387" s="2">
        <f t="shared" si="126"/>
        <v>1</v>
      </c>
      <c r="H387" s="2" t="str">
        <f t="shared" ref="H387:H450" si="140">IF(C387="c","--",VLOOKUP(F387,role_property_weight,17,FALSE))</f>
        <v>神圣</v>
      </c>
      <c r="I387" s="38">
        <f t="shared" si="121"/>
        <v>0.1</v>
      </c>
      <c r="J387" s="33">
        <f t="shared" si="122"/>
        <v>26</v>
      </c>
      <c r="K387" s="33">
        <f t="shared" si="138"/>
        <v>15</v>
      </c>
      <c r="L387" s="33">
        <f t="shared" si="138"/>
        <v>3</v>
      </c>
      <c r="M387" s="33">
        <f t="shared" si="138"/>
        <v>9</v>
      </c>
      <c r="N387" s="33">
        <f t="shared" ref="N387:N450" si="141">ROUNDUP((1+VLOOKUP($F387,role_property_weight,getpos(N$2),FALSE))*(1+VLOOKUP($F387,weapon_property_weight,getpos(N$2),FALSE))*VLOOKUP($E387,role_grow,getpos(N$2),FALSE)*$G387*10*VLOOKUP($C387,weapon_grow1,5,FALSE),0)</f>
        <v>20</v>
      </c>
      <c r="O387" s="33">
        <f t="shared" si="138"/>
        <v>12</v>
      </c>
      <c r="P387" s="33">
        <f t="shared" si="138"/>
        <v>5</v>
      </c>
      <c r="Q387" s="33">
        <f t="shared" si="138"/>
        <v>4</v>
      </c>
      <c r="R387" s="35">
        <f t="shared" si="123"/>
        <v>1.3333333333333332E-2</v>
      </c>
      <c r="S387" s="35">
        <f t="shared" si="124"/>
        <v>1.6666666666666666E-2</v>
      </c>
      <c r="T387" s="35">
        <f t="shared" si="125"/>
        <v>1.3333333333333332E-2</v>
      </c>
      <c r="U387" s="35">
        <f t="shared" ref="U387:U450" si="142">1-200/(200+ROUND((1+VLOOKUP($F387,role_property_weight,getpos(U$2),FALSE))*VLOOKUP($E387,role_grow,getpos(U$2),FALSE)*$G387*10*VLOOKUP($C387,weapon_grow1,5,FALSE),0))</f>
        <v>9.9009900990099098E-3</v>
      </c>
      <c r="V387" s="35">
        <f t="shared" si="139"/>
        <v>9.9009900990099098E-3</v>
      </c>
      <c r="W387" s="35">
        <f t="shared" si="139"/>
        <v>9.9009900990099098E-3</v>
      </c>
      <c r="X387" s="35">
        <f t="shared" si="139"/>
        <v>9.9009900990099098E-3</v>
      </c>
      <c r="Y387" s="35">
        <f t="shared" si="139"/>
        <v>6.5420560747663559E-2</v>
      </c>
      <c r="Z387" s="35">
        <f t="shared" si="139"/>
        <v>9.9009900990099098E-3</v>
      </c>
      <c r="AA387" s="35">
        <f t="shared" si="139"/>
        <v>9.9009900990099098E-3</v>
      </c>
    </row>
    <row r="388" spans="2:27" x14ac:dyDescent="0.2">
      <c r="B388" s="2">
        <v>386</v>
      </c>
      <c r="C388" s="2" t="str">
        <f t="shared" si="133"/>
        <v>s</v>
      </c>
      <c r="D388" s="29" t="s">
        <v>31</v>
      </c>
      <c r="E388" s="29" t="s">
        <v>219</v>
      </c>
      <c r="F388" s="2" t="s">
        <v>222</v>
      </c>
      <c r="G388" s="2">
        <f t="shared" si="126"/>
        <v>2</v>
      </c>
      <c r="H388" s="2" t="str">
        <f t="shared" si="140"/>
        <v>神圣</v>
      </c>
      <c r="I388" s="38">
        <f t="shared" ref="I388:I451" si="143">IF(H388="--",0,IF((SUM(J388:Q388)/11)%&lt;10%,10%,(SUM(J388:Q388)/11)%))</f>
        <v>0.17181818181818184</v>
      </c>
      <c r="J388" s="33">
        <f t="shared" ref="J388:J451" si="144">INT((1+VLOOKUP($F388,role_property_weight,getpos(J$2),FALSE))*(1+VLOOKUP(F388,weapon_property_weight,getpos(J$2),FALSE))*VLOOKUP($E388,role_grow,getpos(J$2),FALSE)*$G388*10*VLOOKUP($C388,weapon_grow1,4,FALSE))</f>
        <v>53</v>
      </c>
      <c r="K388" s="33">
        <f t="shared" si="138"/>
        <v>30</v>
      </c>
      <c r="L388" s="33">
        <f t="shared" si="138"/>
        <v>6</v>
      </c>
      <c r="M388" s="33">
        <f t="shared" si="138"/>
        <v>18</v>
      </c>
      <c r="N388" s="33">
        <f t="shared" si="141"/>
        <v>39</v>
      </c>
      <c r="O388" s="33">
        <f t="shared" si="138"/>
        <v>24</v>
      </c>
      <c r="P388" s="33">
        <f t="shared" si="138"/>
        <v>10</v>
      </c>
      <c r="Q388" s="33">
        <f t="shared" si="138"/>
        <v>9</v>
      </c>
      <c r="R388" s="35">
        <f t="shared" ref="R388:R451" si="145">(Q388/3)%</f>
        <v>0.03</v>
      </c>
      <c r="S388" s="35">
        <f t="shared" ref="S388:S451" si="146">(P388/3)%</f>
        <v>3.3333333333333333E-2</v>
      </c>
      <c r="T388" s="35">
        <f t="shared" ref="T388:T451" si="147">(Q388/3)%</f>
        <v>0.03</v>
      </c>
      <c r="U388" s="35">
        <f t="shared" si="142"/>
        <v>2.4390243902439046E-2</v>
      </c>
      <c r="V388" s="35">
        <f t="shared" si="139"/>
        <v>2.4390243902439046E-2</v>
      </c>
      <c r="W388" s="35">
        <f t="shared" si="139"/>
        <v>2.4390243902439046E-2</v>
      </c>
      <c r="X388" s="35">
        <f t="shared" si="139"/>
        <v>2.4390243902439046E-2</v>
      </c>
      <c r="Y388" s="35">
        <f t="shared" si="139"/>
        <v>0.1228070175438597</v>
      </c>
      <c r="Z388" s="35">
        <f t="shared" si="139"/>
        <v>2.4390243902439046E-2</v>
      </c>
      <c r="AA388" s="35">
        <f t="shared" si="139"/>
        <v>2.4390243902439046E-2</v>
      </c>
    </row>
    <row r="389" spans="2:27" x14ac:dyDescent="0.2">
      <c r="B389" s="2">
        <v>387</v>
      </c>
      <c r="C389" s="2" t="str">
        <f t="shared" si="133"/>
        <v>s</v>
      </c>
      <c r="D389" s="29" t="s">
        <v>31</v>
      </c>
      <c r="E389" s="29" t="s">
        <v>219</v>
      </c>
      <c r="F389" s="2" t="s">
        <v>222</v>
      </c>
      <c r="G389" s="2">
        <f t="shared" si="126"/>
        <v>3</v>
      </c>
      <c r="H389" s="2" t="str">
        <f t="shared" si="140"/>
        <v>神圣</v>
      </c>
      <c r="I389" s="38">
        <f t="shared" si="143"/>
        <v>0.26090909090909092</v>
      </c>
      <c r="J389" s="33">
        <f t="shared" si="144"/>
        <v>80</v>
      </c>
      <c r="K389" s="33">
        <f t="shared" si="138"/>
        <v>45</v>
      </c>
      <c r="L389" s="33">
        <f t="shared" si="138"/>
        <v>9</v>
      </c>
      <c r="M389" s="33">
        <f t="shared" si="138"/>
        <v>28</v>
      </c>
      <c r="N389" s="33">
        <f t="shared" si="141"/>
        <v>59</v>
      </c>
      <c r="O389" s="33">
        <f t="shared" si="138"/>
        <v>36</v>
      </c>
      <c r="P389" s="33">
        <f t="shared" si="138"/>
        <v>16</v>
      </c>
      <c r="Q389" s="33">
        <f t="shared" si="138"/>
        <v>14</v>
      </c>
      <c r="R389" s="35">
        <f t="shared" si="145"/>
        <v>4.6666666666666669E-2</v>
      </c>
      <c r="S389" s="35">
        <f t="shared" si="146"/>
        <v>5.333333333333333E-2</v>
      </c>
      <c r="T389" s="35">
        <f t="shared" si="147"/>
        <v>4.6666666666666669E-2</v>
      </c>
      <c r="U389" s="35">
        <f t="shared" si="142"/>
        <v>3.3816425120772986E-2</v>
      </c>
      <c r="V389" s="35">
        <f t="shared" si="139"/>
        <v>3.3816425120772986E-2</v>
      </c>
      <c r="W389" s="35">
        <f t="shared" si="139"/>
        <v>3.3816425120772986E-2</v>
      </c>
      <c r="X389" s="35">
        <f t="shared" si="139"/>
        <v>3.3816425120772986E-2</v>
      </c>
      <c r="Y389" s="35">
        <f t="shared" si="139"/>
        <v>0.17355371900826444</v>
      </c>
      <c r="Z389" s="35">
        <f t="shared" si="139"/>
        <v>3.3816425120772986E-2</v>
      </c>
      <c r="AA389" s="35">
        <f t="shared" si="139"/>
        <v>3.3816425120772986E-2</v>
      </c>
    </row>
    <row r="390" spans="2:27" x14ac:dyDescent="0.2">
      <c r="B390" s="2">
        <v>388</v>
      </c>
      <c r="C390" s="2" t="str">
        <f t="shared" si="133"/>
        <v>s</v>
      </c>
      <c r="D390" s="29" t="s">
        <v>31</v>
      </c>
      <c r="E390" s="29" t="s">
        <v>219</v>
      </c>
      <c r="F390" s="2" t="s">
        <v>222</v>
      </c>
      <c r="G390" s="2">
        <f t="shared" si="126"/>
        <v>4</v>
      </c>
      <c r="H390" s="2" t="str">
        <f t="shared" si="140"/>
        <v>神圣</v>
      </c>
      <c r="I390" s="38">
        <f t="shared" si="143"/>
        <v>0.34727272727272729</v>
      </c>
      <c r="J390" s="33">
        <f t="shared" si="144"/>
        <v>107</v>
      </c>
      <c r="K390" s="33">
        <f t="shared" si="138"/>
        <v>61</v>
      </c>
      <c r="L390" s="33">
        <f t="shared" si="138"/>
        <v>12</v>
      </c>
      <c r="M390" s="33">
        <f t="shared" si="138"/>
        <v>37</v>
      </c>
      <c r="N390" s="33">
        <f t="shared" si="141"/>
        <v>78</v>
      </c>
      <c r="O390" s="33">
        <f t="shared" si="138"/>
        <v>48</v>
      </c>
      <c r="P390" s="33">
        <f t="shared" si="138"/>
        <v>21</v>
      </c>
      <c r="Q390" s="33">
        <f t="shared" si="138"/>
        <v>18</v>
      </c>
      <c r="R390" s="35">
        <f t="shared" si="145"/>
        <v>0.06</v>
      </c>
      <c r="S390" s="35">
        <f t="shared" si="146"/>
        <v>7.0000000000000007E-2</v>
      </c>
      <c r="T390" s="35">
        <f t="shared" si="147"/>
        <v>0.06</v>
      </c>
      <c r="U390" s="35">
        <f t="shared" si="142"/>
        <v>4.3062200956937802E-2</v>
      </c>
      <c r="V390" s="35">
        <f t="shared" si="139"/>
        <v>4.3062200956937802E-2</v>
      </c>
      <c r="W390" s="35">
        <f t="shared" si="139"/>
        <v>4.3062200956937802E-2</v>
      </c>
      <c r="X390" s="35">
        <f t="shared" si="139"/>
        <v>4.3062200956937802E-2</v>
      </c>
      <c r="Y390" s="35">
        <f t="shared" si="139"/>
        <v>0.21875</v>
      </c>
      <c r="Z390" s="35">
        <f t="shared" si="139"/>
        <v>4.3062200956937802E-2</v>
      </c>
      <c r="AA390" s="35">
        <f t="shared" si="139"/>
        <v>4.3062200956937802E-2</v>
      </c>
    </row>
    <row r="391" spans="2:27" x14ac:dyDescent="0.2">
      <c r="B391" s="2">
        <v>389</v>
      </c>
      <c r="C391" s="2" t="str">
        <f t="shared" si="133"/>
        <v>s</v>
      </c>
      <c r="D391" s="29" t="s">
        <v>31</v>
      </c>
      <c r="E391" s="29" t="s">
        <v>219</v>
      </c>
      <c r="F391" s="2" t="s">
        <v>222</v>
      </c>
      <c r="G391" s="2">
        <f t="shared" si="126"/>
        <v>5</v>
      </c>
      <c r="H391" s="2" t="str">
        <f t="shared" si="140"/>
        <v>神圣</v>
      </c>
      <c r="I391" s="38">
        <f t="shared" si="143"/>
        <v>0.43727272727272726</v>
      </c>
      <c r="J391" s="33">
        <f t="shared" si="144"/>
        <v>134</v>
      </c>
      <c r="K391" s="33">
        <f t="shared" si="138"/>
        <v>76</v>
      </c>
      <c r="L391" s="33">
        <f t="shared" si="138"/>
        <v>15</v>
      </c>
      <c r="M391" s="33">
        <f t="shared" si="138"/>
        <v>47</v>
      </c>
      <c r="N391" s="33">
        <f t="shared" si="141"/>
        <v>98</v>
      </c>
      <c r="O391" s="33">
        <f t="shared" si="138"/>
        <v>61</v>
      </c>
      <c r="P391" s="33">
        <f t="shared" si="138"/>
        <v>27</v>
      </c>
      <c r="Q391" s="33">
        <f t="shared" si="138"/>
        <v>23</v>
      </c>
      <c r="R391" s="35">
        <f t="shared" si="145"/>
        <v>7.6666666666666675E-2</v>
      </c>
      <c r="S391" s="35">
        <f t="shared" si="146"/>
        <v>0.09</v>
      </c>
      <c r="T391" s="35">
        <f t="shared" si="147"/>
        <v>7.6666666666666675E-2</v>
      </c>
      <c r="U391" s="35">
        <f t="shared" si="142"/>
        <v>5.6603773584905648E-2</v>
      </c>
      <c r="V391" s="35">
        <f t="shared" si="139"/>
        <v>5.6603773584905648E-2</v>
      </c>
      <c r="W391" s="35">
        <f t="shared" si="139"/>
        <v>5.6603773584905648E-2</v>
      </c>
      <c r="X391" s="35">
        <f t="shared" si="139"/>
        <v>5.6603773584905648E-2</v>
      </c>
      <c r="Y391" s="35">
        <f t="shared" si="139"/>
        <v>0.26199261992619927</v>
      </c>
      <c r="Z391" s="35">
        <f t="shared" si="139"/>
        <v>5.6603773584905648E-2</v>
      </c>
      <c r="AA391" s="35">
        <f t="shared" si="139"/>
        <v>5.6603773584905648E-2</v>
      </c>
    </row>
    <row r="392" spans="2:27" x14ac:dyDescent="0.2">
      <c r="B392" s="2">
        <v>390</v>
      </c>
      <c r="C392" s="2" t="str">
        <f t="shared" si="133"/>
        <v>s</v>
      </c>
      <c r="D392" s="29" t="s">
        <v>31</v>
      </c>
      <c r="E392" s="29" t="s">
        <v>219</v>
      </c>
      <c r="F392" s="2" t="s">
        <v>222</v>
      </c>
      <c r="G392" s="2">
        <f t="shared" si="126"/>
        <v>6</v>
      </c>
      <c r="H392" s="2" t="str">
        <f t="shared" si="140"/>
        <v>神圣</v>
      </c>
      <c r="I392" s="38">
        <f t="shared" si="143"/>
        <v>0.52363636363636368</v>
      </c>
      <c r="J392" s="33">
        <f t="shared" si="144"/>
        <v>161</v>
      </c>
      <c r="K392" s="33">
        <f t="shared" si="138"/>
        <v>91</v>
      </c>
      <c r="L392" s="33">
        <f t="shared" si="138"/>
        <v>18</v>
      </c>
      <c r="M392" s="33">
        <f t="shared" si="138"/>
        <v>56</v>
      </c>
      <c r="N392" s="33">
        <f t="shared" si="141"/>
        <v>117</v>
      </c>
      <c r="O392" s="33">
        <f t="shared" si="138"/>
        <v>73</v>
      </c>
      <c r="P392" s="33">
        <f t="shared" si="138"/>
        <v>32</v>
      </c>
      <c r="Q392" s="33">
        <f t="shared" si="138"/>
        <v>28</v>
      </c>
      <c r="R392" s="35">
        <f t="shared" si="145"/>
        <v>9.3333333333333338E-2</v>
      </c>
      <c r="S392" s="35">
        <f t="shared" si="146"/>
        <v>0.10666666666666666</v>
      </c>
      <c r="T392" s="35">
        <f t="shared" si="147"/>
        <v>9.3333333333333338E-2</v>
      </c>
      <c r="U392" s="35">
        <f t="shared" si="142"/>
        <v>6.5420560747663559E-2</v>
      </c>
      <c r="V392" s="35">
        <f t="shared" si="139"/>
        <v>6.5420560747663559E-2</v>
      </c>
      <c r="W392" s="35">
        <f t="shared" si="139"/>
        <v>6.5420560747663559E-2</v>
      </c>
      <c r="X392" s="35">
        <f t="shared" si="139"/>
        <v>6.5420560747663559E-2</v>
      </c>
      <c r="Y392" s="35">
        <f t="shared" si="139"/>
        <v>0.29824561403508776</v>
      </c>
      <c r="Z392" s="35">
        <f t="shared" si="139"/>
        <v>6.5420560747663559E-2</v>
      </c>
      <c r="AA392" s="35">
        <f t="shared" si="139"/>
        <v>6.5420560747663559E-2</v>
      </c>
    </row>
    <row r="393" spans="2:27" x14ac:dyDescent="0.2">
      <c r="B393" s="2">
        <v>391</v>
      </c>
      <c r="C393" s="2" t="str">
        <f t="shared" si="133"/>
        <v>s</v>
      </c>
      <c r="D393" s="29" t="s">
        <v>31</v>
      </c>
      <c r="E393" s="29" t="s">
        <v>219</v>
      </c>
      <c r="F393" s="2" t="s">
        <v>222</v>
      </c>
      <c r="G393" s="2">
        <f t="shared" si="126"/>
        <v>7</v>
      </c>
      <c r="H393" s="2" t="str">
        <f t="shared" si="140"/>
        <v>神圣</v>
      </c>
      <c r="I393" s="38">
        <f t="shared" si="143"/>
        <v>0.61090909090909096</v>
      </c>
      <c r="J393" s="33">
        <f t="shared" si="144"/>
        <v>188</v>
      </c>
      <c r="K393" s="33">
        <f t="shared" ref="K393:Q402" si="148">INT((1+VLOOKUP($F393,role_property_weight,getpos(K$2),FALSE))*(1+VLOOKUP($F393,weapon_property_weight,getpos(K$2),FALSE))*VLOOKUP($E393,role_grow,getpos(K$2),FALSE)*$G393*10*VLOOKUP($C393,weapon_grow1,5,FALSE))</f>
        <v>107</v>
      </c>
      <c r="L393" s="33">
        <f t="shared" si="148"/>
        <v>21</v>
      </c>
      <c r="M393" s="33">
        <f t="shared" si="148"/>
        <v>65</v>
      </c>
      <c r="N393" s="33">
        <f t="shared" si="141"/>
        <v>137</v>
      </c>
      <c r="O393" s="33">
        <f t="shared" si="148"/>
        <v>85</v>
      </c>
      <c r="P393" s="33">
        <f t="shared" si="148"/>
        <v>37</v>
      </c>
      <c r="Q393" s="33">
        <f t="shared" si="148"/>
        <v>32</v>
      </c>
      <c r="R393" s="35">
        <f t="shared" si="145"/>
        <v>0.10666666666666666</v>
      </c>
      <c r="S393" s="35">
        <f t="shared" si="146"/>
        <v>0.12333333333333334</v>
      </c>
      <c r="T393" s="35">
        <f t="shared" si="147"/>
        <v>0.10666666666666666</v>
      </c>
      <c r="U393" s="35">
        <f t="shared" si="142"/>
        <v>7.407407407407407E-2</v>
      </c>
      <c r="V393" s="35">
        <f t="shared" ref="V393:AA402" si="149">1-200/(200+ROUND((1+VLOOKUP($F393,role_property_weight,getpos(V$2),FALSE))*VLOOKUP($E393,role_grow,getpos(V$2),FALSE)*$G393*10*VLOOKUP($C393,weapon_grow1,5,FALSE),0))</f>
        <v>7.407407407407407E-2</v>
      </c>
      <c r="W393" s="35">
        <f t="shared" si="149"/>
        <v>7.407407407407407E-2</v>
      </c>
      <c r="X393" s="35">
        <f t="shared" si="149"/>
        <v>7.407407407407407E-2</v>
      </c>
      <c r="Y393" s="35">
        <f t="shared" si="149"/>
        <v>0.33110367892976589</v>
      </c>
      <c r="Z393" s="35">
        <f t="shared" si="149"/>
        <v>7.407407407407407E-2</v>
      </c>
      <c r="AA393" s="35">
        <f t="shared" si="149"/>
        <v>7.407407407407407E-2</v>
      </c>
    </row>
    <row r="394" spans="2:27" x14ac:dyDescent="0.2">
      <c r="B394" s="2">
        <v>392</v>
      </c>
      <c r="C394" s="2" t="str">
        <f t="shared" si="133"/>
        <v>s</v>
      </c>
      <c r="D394" s="29" t="s">
        <v>31</v>
      </c>
      <c r="E394" s="29" t="s">
        <v>219</v>
      </c>
      <c r="F394" s="2" t="s">
        <v>222</v>
      </c>
      <c r="G394" s="2">
        <f t="shared" si="126"/>
        <v>8</v>
      </c>
      <c r="H394" s="2" t="str">
        <f t="shared" si="140"/>
        <v>神圣</v>
      </c>
      <c r="I394" s="38">
        <f t="shared" si="143"/>
        <v>0.6990909090909091</v>
      </c>
      <c r="J394" s="33">
        <f t="shared" si="144"/>
        <v>215</v>
      </c>
      <c r="K394" s="33">
        <f t="shared" si="148"/>
        <v>122</v>
      </c>
      <c r="L394" s="33">
        <f t="shared" si="148"/>
        <v>24</v>
      </c>
      <c r="M394" s="33">
        <f t="shared" si="148"/>
        <v>75</v>
      </c>
      <c r="N394" s="33">
        <f t="shared" si="141"/>
        <v>156</v>
      </c>
      <c r="O394" s="33">
        <f t="shared" si="148"/>
        <v>97</v>
      </c>
      <c r="P394" s="33">
        <f t="shared" si="148"/>
        <v>43</v>
      </c>
      <c r="Q394" s="33">
        <f t="shared" si="148"/>
        <v>37</v>
      </c>
      <c r="R394" s="35">
        <f t="shared" si="145"/>
        <v>0.12333333333333334</v>
      </c>
      <c r="S394" s="35">
        <f t="shared" si="146"/>
        <v>0.14333333333333334</v>
      </c>
      <c r="T394" s="35">
        <f t="shared" si="147"/>
        <v>0.12333333333333334</v>
      </c>
      <c r="U394" s="35">
        <f t="shared" si="142"/>
        <v>8.6757990867579959E-2</v>
      </c>
      <c r="V394" s="35">
        <f t="shared" si="149"/>
        <v>8.6757990867579959E-2</v>
      </c>
      <c r="W394" s="35">
        <f t="shared" si="149"/>
        <v>8.6757990867579959E-2</v>
      </c>
      <c r="X394" s="35">
        <f t="shared" si="149"/>
        <v>8.6757990867579959E-2</v>
      </c>
      <c r="Y394" s="35">
        <f t="shared" si="149"/>
        <v>0.36102236421725242</v>
      </c>
      <c r="Z394" s="35">
        <f t="shared" si="149"/>
        <v>8.6757990867579959E-2</v>
      </c>
      <c r="AA394" s="35">
        <f t="shared" si="149"/>
        <v>8.6757990867579959E-2</v>
      </c>
    </row>
    <row r="395" spans="2:27" x14ac:dyDescent="0.2">
      <c r="B395" s="2">
        <v>393</v>
      </c>
      <c r="C395" s="2" t="str">
        <f t="shared" si="133"/>
        <v>a</v>
      </c>
      <c r="D395" s="29" t="s">
        <v>31</v>
      </c>
      <c r="E395" s="29" t="s">
        <v>219</v>
      </c>
      <c r="F395" s="2" t="s">
        <v>222</v>
      </c>
      <c r="G395" s="2">
        <f t="shared" si="126"/>
        <v>1</v>
      </c>
      <c r="H395" s="2" t="str">
        <f t="shared" si="140"/>
        <v>神圣</v>
      </c>
      <c r="I395" s="38">
        <f t="shared" si="143"/>
        <v>0.1</v>
      </c>
      <c r="J395" s="33">
        <f t="shared" si="144"/>
        <v>20</v>
      </c>
      <c r="K395" s="33">
        <f t="shared" si="148"/>
        <v>16</v>
      </c>
      <c r="L395" s="33">
        <f t="shared" si="148"/>
        <v>3</v>
      </c>
      <c r="M395" s="33">
        <f t="shared" si="148"/>
        <v>9</v>
      </c>
      <c r="N395" s="33">
        <f t="shared" si="141"/>
        <v>21</v>
      </c>
      <c r="O395" s="33">
        <f t="shared" si="148"/>
        <v>12</v>
      </c>
      <c r="P395" s="33">
        <f t="shared" si="148"/>
        <v>5</v>
      </c>
      <c r="Q395" s="33">
        <f t="shared" si="148"/>
        <v>4</v>
      </c>
      <c r="R395" s="35">
        <f t="shared" si="145"/>
        <v>1.3333333333333332E-2</v>
      </c>
      <c r="S395" s="35">
        <f t="shared" si="146"/>
        <v>1.6666666666666666E-2</v>
      </c>
      <c r="T395" s="35">
        <f t="shared" si="147"/>
        <v>1.3333333333333332E-2</v>
      </c>
      <c r="U395" s="35">
        <f t="shared" si="142"/>
        <v>9.9009900990099098E-3</v>
      </c>
      <c r="V395" s="35">
        <f t="shared" si="149"/>
        <v>9.9009900990099098E-3</v>
      </c>
      <c r="W395" s="35">
        <f t="shared" si="149"/>
        <v>9.9009900990099098E-3</v>
      </c>
      <c r="X395" s="35">
        <f t="shared" si="149"/>
        <v>9.9009900990099098E-3</v>
      </c>
      <c r="Y395" s="35">
        <f t="shared" si="149"/>
        <v>6.9767441860465129E-2</v>
      </c>
      <c r="Z395" s="35">
        <f t="shared" si="149"/>
        <v>9.9009900990099098E-3</v>
      </c>
      <c r="AA395" s="35">
        <f t="shared" si="149"/>
        <v>9.9009900990099098E-3</v>
      </c>
    </row>
    <row r="396" spans="2:27" x14ac:dyDescent="0.2">
      <c r="B396" s="2">
        <v>394</v>
      </c>
      <c r="C396" s="2" t="str">
        <f t="shared" si="133"/>
        <v>a</v>
      </c>
      <c r="D396" s="29" t="s">
        <v>31</v>
      </c>
      <c r="E396" s="29" t="s">
        <v>219</v>
      </c>
      <c r="F396" s="2" t="s">
        <v>222</v>
      </c>
      <c r="G396" s="2">
        <f t="shared" ref="G396:G459" si="150">G388</f>
        <v>2</v>
      </c>
      <c r="H396" s="2" t="str">
        <f t="shared" si="140"/>
        <v>神圣</v>
      </c>
      <c r="I396" s="38">
        <f t="shared" si="143"/>
        <v>0.16818181818181815</v>
      </c>
      <c r="J396" s="33">
        <f t="shared" si="144"/>
        <v>41</v>
      </c>
      <c r="K396" s="33">
        <f t="shared" si="148"/>
        <v>32</v>
      </c>
      <c r="L396" s="33">
        <f t="shared" si="148"/>
        <v>6</v>
      </c>
      <c r="M396" s="33">
        <f t="shared" si="148"/>
        <v>19</v>
      </c>
      <c r="N396" s="33">
        <f t="shared" si="141"/>
        <v>42</v>
      </c>
      <c r="O396" s="33">
        <f t="shared" si="148"/>
        <v>25</v>
      </c>
      <c r="P396" s="33">
        <f t="shared" si="148"/>
        <v>11</v>
      </c>
      <c r="Q396" s="33">
        <f t="shared" si="148"/>
        <v>9</v>
      </c>
      <c r="R396" s="35">
        <f t="shared" si="145"/>
        <v>0.03</v>
      </c>
      <c r="S396" s="35">
        <f t="shared" si="146"/>
        <v>3.6666666666666667E-2</v>
      </c>
      <c r="T396" s="35">
        <f t="shared" si="147"/>
        <v>0.03</v>
      </c>
      <c r="U396" s="35">
        <f t="shared" si="142"/>
        <v>2.4390243902439046E-2</v>
      </c>
      <c r="V396" s="35">
        <f t="shared" si="149"/>
        <v>2.4390243902439046E-2</v>
      </c>
      <c r="W396" s="35">
        <f t="shared" si="149"/>
        <v>2.4390243902439046E-2</v>
      </c>
      <c r="X396" s="35">
        <f t="shared" si="149"/>
        <v>2.4390243902439046E-2</v>
      </c>
      <c r="Y396" s="35">
        <f t="shared" si="149"/>
        <v>0.13043478260869568</v>
      </c>
      <c r="Z396" s="35">
        <f t="shared" si="149"/>
        <v>2.4390243902439046E-2</v>
      </c>
      <c r="AA396" s="35">
        <f t="shared" si="149"/>
        <v>2.4390243902439046E-2</v>
      </c>
    </row>
    <row r="397" spans="2:27" x14ac:dyDescent="0.2">
      <c r="B397" s="2">
        <v>395</v>
      </c>
      <c r="C397" s="2" t="str">
        <f t="shared" si="133"/>
        <v>a</v>
      </c>
      <c r="D397" s="29" t="s">
        <v>31</v>
      </c>
      <c r="E397" s="29" t="s">
        <v>219</v>
      </c>
      <c r="F397" s="2" t="s">
        <v>222</v>
      </c>
      <c r="G397" s="2">
        <f t="shared" si="150"/>
        <v>3</v>
      </c>
      <c r="H397" s="2" t="str">
        <f t="shared" si="140"/>
        <v>神圣</v>
      </c>
      <c r="I397" s="38">
        <f t="shared" si="143"/>
        <v>0.25272727272727274</v>
      </c>
      <c r="J397" s="33">
        <f t="shared" si="144"/>
        <v>61</v>
      </c>
      <c r="K397" s="33">
        <f t="shared" si="148"/>
        <v>48</v>
      </c>
      <c r="L397" s="33">
        <f t="shared" si="148"/>
        <v>9</v>
      </c>
      <c r="M397" s="33">
        <f t="shared" si="148"/>
        <v>29</v>
      </c>
      <c r="N397" s="33">
        <f t="shared" si="141"/>
        <v>62</v>
      </c>
      <c r="O397" s="33">
        <f t="shared" si="148"/>
        <v>38</v>
      </c>
      <c r="P397" s="33">
        <f t="shared" si="148"/>
        <v>17</v>
      </c>
      <c r="Q397" s="33">
        <f t="shared" si="148"/>
        <v>14</v>
      </c>
      <c r="R397" s="35">
        <f t="shared" si="145"/>
        <v>4.6666666666666669E-2</v>
      </c>
      <c r="S397" s="35">
        <f t="shared" si="146"/>
        <v>5.6666666666666671E-2</v>
      </c>
      <c r="T397" s="35">
        <f t="shared" si="147"/>
        <v>4.6666666666666669E-2</v>
      </c>
      <c r="U397" s="35">
        <f t="shared" si="142"/>
        <v>3.3816425120772986E-2</v>
      </c>
      <c r="V397" s="35">
        <f t="shared" si="149"/>
        <v>3.3816425120772986E-2</v>
      </c>
      <c r="W397" s="35">
        <f t="shared" si="149"/>
        <v>3.3816425120772986E-2</v>
      </c>
      <c r="X397" s="35">
        <f t="shared" si="149"/>
        <v>3.3816425120772986E-2</v>
      </c>
      <c r="Y397" s="35">
        <f t="shared" si="149"/>
        <v>0.18367346938775508</v>
      </c>
      <c r="Z397" s="35">
        <f t="shared" si="149"/>
        <v>3.3816425120772986E-2</v>
      </c>
      <c r="AA397" s="35">
        <f t="shared" si="149"/>
        <v>3.3816425120772986E-2</v>
      </c>
    </row>
    <row r="398" spans="2:27" x14ac:dyDescent="0.2">
      <c r="B398" s="2">
        <v>396</v>
      </c>
      <c r="C398" s="2" t="str">
        <f t="shared" si="133"/>
        <v>a</v>
      </c>
      <c r="D398" s="29" t="s">
        <v>31</v>
      </c>
      <c r="E398" s="29" t="s">
        <v>219</v>
      </c>
      <c r="F398" s="2" t="s">
        <v>222</v>
      </c>
      <c r="G398" s="2">
        <f t="shared" si="150"/>
        <v>4</v>
      </c>
      <c r="H398" s="2" t="str">
        <f t="shared" si="140"/>
        <v>神圣</v>
      </c>
      <c r="I398" s="38">
        <f t="shared" si="143"/>
        <v>0.33909090909090905</v>
      </c>
      <c r="J398" s="33">
        <f t="shared" si="144"/>
        <v>82</v>
      </c>
      <c r="K398" s="33">
        <f t="shared" si="148"/>
        <v>64</v>
      </c>
      <c r="L398" s="33">
        <f t="shared" si="148"/>
        <v>13</v>
      </c>
      <c r="M398" s="33">
        <f t="shared" si="148"/>
        <v>39</v>
      </c>
      <c r="N398" s="33">
        <f t="shared" si="141"/>
        <v>83</v>
      </c>
      <c r="O398" s="33">
        <f t="shared" si="148"/>
        <v>51</v>
      </c>
      <c r="P398" s="33">
        <f t="shared" si="148"/>
        <v>22</v>
      </c>
      <c r="Q398" s="33">
        <f t="shared" si="148"/>
        <v>19</v>
      </c>
      <c r="R398" s="35">
        <f t="shared" si="145"/>
        <v>6.3333333333333325E-2</v>
      </c>
      <c r="S398" s="35">
        <f t="shared" si="146"/>
        <v>7.3333333333333334E-2</v>
      </c>
      <c r="T398" s="35">
        <f t="shared" si="147"/>
        <v>6.3333333333333325E-2</v>
      </c>
      <c r="U398" s="35">
        <f t="shared" si="142"/>
        <v>4.7619047619047672E-2</v>
      </c>
      <c r="V398" s="35">
        <f t="shared" si="149"/>
        <v>4.7619047619047672E-2</v>
      </c>
      <c r="W398" s="35">
        <f t="shared" si="149"/>
        <v>4.7619047619047672E-2</v>
      </c>
      <c r="X398" s="35">
        <f t="shared" si="149"/>
        <v>4.7619047619047672E-2</v>
      </c>
      <c r="Y398" s="35">
        <f t="shared" si="149"/>
        <v>0.23076923076923073</v>
      </c>
      <c r="Z398" s="35">
        <f t="shared" si="149"/>
        <v>4.7619047619047672E-2</v>
      </c>
      <c r="AA398" s="35">
        <f t="shared" si="149"/>
        <v>4.7619047619047672E-2</v>
      </c>
    </row>
    <row r="399" spans="2:27" x14ac:dyDescent="0.2">
      <c r="B399" s="2">
        <v>397</v>
      </c>
      <c r="C399" s="2" t="str">
        <f t="shared" si="133"/>
        <v>a</v>
      </c>
      <c r="D399" s="29" t="s">
        <v>31</v>
      </c>
      <c r="E399" s="29" t="s">
        <v>219</v>
      </c>
      <c r="F399" s="2" t="s">
        <v>222</v>
      </c>
      <c r="G399" s="2">
        <f t="shared" si="150"/>
        <v>5</v>
      </c>
      <c r="H399" s="2" t="str">
        <f t="shared" si="140"/>
        <v>神圣</v>
      </c>
      <c r="I399" s="38">
        <f t="shared" si="143"/>
        <v>0.42363636363636364</v>
      </c>
      <c r="J399" s="33">
        <f t="shared" si="144"/>
        <v>102</v>
      </c>
      <c r="K399" s="33">
        <f t="shared" si="148"/>
        <v>80</v>
      </c>
      <c r="L399" s="33">
        <f t="shared" si="148"/>
        <v>16</v>
      </c>
      <c r="M399" s="33">
        <f t="shared" si="148"/>
        <v>49</v>
      </c>
      <c r="N399" s="33">
        <f t="shared" si="141"/>
        <v>103</v>
      </c>
      <c r="O399" s="33">
        <f t="shared" si="148"/>
        <v>64</v>
      </c>
      <c r="P399" s="33">
        <f t="shared" si="148"/>
        <v>28</v>
      </c>
      <c r="Q399" s="33">
        <f t="shared" si="148"/>
        <v>24</v>
      </c>
      <c r="R399" s="35">
        <f t="shared" si="145"/>
        <v>0.08</v>
      </c>
      <c r="S399" s="35">
        <f t="shared" si="146"/>
        <v>9.3333333333333338E-2</v>
      </c>
      <c r="T399" s="35">
        <f t="shared" si="147"/>
        <v>0.08</v>
      </c>
      <c r="U399" s="35">
        <f t="shared" si="142"/>
        <v>5.6603773584905648E-2</v>
      </c>
      <c r="V399" s="35">
        <f t="shared" si="149"/>
        <v>5.6603773584905648E-2</v>
      </c>
      <c r="W399" s="35">
        <f t="shared" si="149"/>
        <v>5.6603773584905648E-2</v>
      </c>
      <c r="X399" s="35">
        <f t="shared" si="149"/>
        <v>5.6603773584905648E-2</v>
      </c>
      <c r="Y399" s="35">
        <f t="shared" si="149"/>
        <v>0.27007299270072993</v>
      </c>
      <c r="Z399" s="35">
        <f t="shared" si="149"/>
        <v>5.6603773584905648E-2</v>
      </c>
      <c r="AA399" s="35">
        <f t="shared" si="149"/>
        <v>5.6603773584905648E-2</v>
      </c>
    </row>
    <row r="400" spans="2:27" x14ac:dyDescent="0.2">
      <c r="B400" s="2">
        <v>398</v>
      </c>
      <c r="C400" s="2" t="str">
        <f t="shared" si="133"/>
        <v>a</v>
      </c>
      <c r="D400" s="29" t="s">
        <v>31</v>
      </c>
      <c r="E400" s="29" t="s">
        <v>219</v>
      </c>
      <c r="F400" s="2" t="s">
        <v>222</v>
      </c>
      <c r="G400" s="2">
        <f t="shared" si="150"/>
        <v>6</v>
      </c>
      <c r="H400" s="2" t="str">
        <f t="shared" si="140"/>
        <v>神圣</v>
      </c>
      <c r="I400" s="38">
        <f t="shared" si="143"/>
        <v>0.51</v>
      </c>
      <c r="J400" s="33">
        <f t="shared" si="144"/>
        <v>123</v>
      </c>
      <c r="K400" s="33">
        <f t="shared" si="148"/>
        <v>96</v>
      </c>
      <c r="L400" s="33">
        <f t="shared" si="148"/>
        <v>19</v>
      </c>
      <c r="M400" s="33">
        <f t="shared" si="148"/>
        <v>59</v>
      </c>
      <c r="N400" s="33">
        <f t="shared" si="141"/>
        <v>124</v>
      </c>
      <c r="O400" s="33">
        <f t="shared" si="148"/>
        <v>77</v>
      </c>
      <c r="P400" s="33">
        <f t="shared" si="148"/>
        <v>34</v>
      </c>
      <c r="Q400" s="33">
        <f t="shared" si="148"/>
        <v>29</v>
      </c>
      <c r="R400" s="35">
        <f t="shared" si="145"/>
        <v>9.6666666666666665E-2</v>
      </c>
      <c r="S400" s="35">
        <f t="shared" si="146"/>
        <v>0.11333333333333334</v>
      </c>
      <c r="T400" s="35">
        <f t="shared" si="147"/>
        <v>9.6666666666666665E-2</v>
      </c>
      <c r="U400" s="35">
        <f t="shared" si="142"/>
        <v>6.9767441860465129E-2</v>
      </c>
      <c r="V400" s="35">
        <f t="shared" si="149"/>
        <v>6.9767441860465129E-2</v>
      </c>
      <c r="W400" s="35">
        <f t="shared" si="149"/>
        <v>6.9767441860465129E-2</v>
      </c>
      <c r="X400" s="35">
        <f t="shared" si="149"/>
        <v>6.9767441860465129E-2</v>
      </c>
      <c r="Y400" s="35">
        <f t="shared" si="149"/>
        <v>0.30795847750865057</v>
      </c>
      <c r="Z400" s="35">
        <f t="shared" si="149"/>
        <v>6.9767441860465129E-2</v>
      </c>
      <c r="AA400" s="35">
        <f t="shared" si="149"/>
        <v>6.9767441860465129E-2</v>
      </c>
    </row>
    <row r="401" spans="2:27" x14ac:dyDescent="0.2">
      <c r="B401" s="2">
        <v>399</v>
      </c>
      <c r="C401" s="2" t="str">
        <f t="shared" si="133"/>
        <v>a</v>
      </c>
      <c r="D401" s="29" t="s">
        <v>31</v>
      </c>
      <c r="E401" s="29" t="s">
        <v>219</v>
      </c>
      <c r="F401" s="2" t="s">
        <v>222</v>
      </c>
      <c r="G401" s="2">
        <f t="shared" si="150"/>
        <v>7</v>
      </c>
      <c r="H401" s="2" t="str">
        <f t="shared" si="140"/>
        <v>神圣</v>
      </c>
      <c r="I401" s="38">
        <f t="shared" si="143"/>
        <v>0.59454545454545449</v>
      </c>
      <c r="J401" s="33">
        <f t="shared" si="144"/>
        <v>144</v>
      </c>
      <c r="K401" s="33">
        <f t="shared" si="148"/>
        <v>112</v>
      </c>
      <c r="L401" s="33">
        <f t="shared" si="148"/>
        <v>22</v>
      </c>
      <c r="M401" s="33">
        <f t="shared" si="148"/>
        <v>69</v>
      </c>
      <c r="N401" s="33">
        <f t="shared" si="141"/>
        <v>144</v>
      </c>
      <c r="O401" s="33">
        <f t="shared" si="148"/>
        <v>90</v>
      </c>
      <c r="P401" s="33">
        <f t="shared" si="148"/>
        <v>39</v>
      </c>
      <c r="Q401" s="33">
        <f t="shared" si="148"/>
        <v>34</v>
      </c>
      <c r="R401" s="35">
        <f t="shared" si="145"/>
        <v>0.11333333333333334</v>
      </c>
      <c r="S401" s="35">
        <f t="shared" si="146"/>
        <v>0.13</v>
      </c>
      <c r="T401" s="35">
        <f t="shared" si="147"/>
        <v>0.11333333333333334</v>
      </c>
      <c r="U401" s="35">
        <f t="shared" si="142"/>
        <v>7.8341013824884786E-2</v>
      </c>
      <c r="V401" s="35">
        <f t="shared" si="149"/>
        <v>7.8341013824884786E-2</v>
      </c>
      <c r="W401" s="35">
        <f t="shared" si="149"/>
        <v>7.8341013824884786E-2</v>
      </c>
      <c r="X401" s="35">
        <f t="shared" si="149"/>
        <v>7.8341013824884786E-2</v>
      </c>
      <c r="Y401" s="35">
        <f t="shared" si="149"/>
        <v>0.34210526315789469</v>
      </c>
      <c r="Z401" s="35">
        <f t="shared" si="149"/>
        <v>7.8341013824884786E-2</v>
      </c>
      <c r="AA401" s="35">
        <f t="shared" si="149"/>
        <v>7.8341013824884786E-2</v>
      </c>
    </row>
    <row r="402" spans="2:27" x14ac:dyDescent="0.2">
      <c r="B402" s="2">
        <v>400</v>
      </c>
      <c r="C402" s="2" t="str">
        <f t="shared" si="133"/>
        <v>a</v>
      </c>
      <c r="D402" s="29" t="s">
        <v>31</v>
      </c>
      <c r="E402" s="29" t="s">
        <v>219</v>
      </c>
      <c r="F402" s="2" t="s">
        <v>222</v>
      </c>
      <c r="G402" s="2">
        <f t="shared" si="150"/>
        <v>8</v>
      </c>
      <c r="H402" s="2" t="str">
        <f t="shared" si="140"/>
        <v>神圣</v>
      </c>
      <c r="I402" s="38">
        <f t="shared" si="143"/>
        <v>0.68090909090909091</v>
      </c>
      <c r="J402" s="33">
        <f t="shared" si="144"/>
        <v>164</v>
      </c>
      <c r="K402" s="33">
        <f t="shared" si="148"/>
        <v>128</v>
      </c>
      <c r="L402" s="33">
        <f t="shared" si="148"/>
        <v>26</v>
      </c>
      <c r="M402" s="33">
        <f t="shared" si="148"/>
        <v>79</v>
      </c>
      <c r="N402" s="33">
        <f t="shared" si="141"/>
        <v>165</v>
      </c>
      <c r="O402" s="33">
        <f t="shared" si="148"/>
        <v>103</v>
      </c>
      <c r="P402" s="33">
        <f t="shared" si="148"/>
        <v>45</v>
      </c>
      <c r="Q402" s="33">
        <f t="shared" si="148"/>
        <v>39</v>
      </c>
      <c r="R402" s="35">
        <f t="shared" si="145"/>
        <v>0.13</v>
      </c>
      <c r="S402" s="35">
        <f t="shared" si="146"/>
        <v>0.15</v>
      </c>
      <c r="T402" s="35">
        <f t="shared" si="147"/>
        <v>0.13</v>
      </c>
      <c r="U402" s="35">
        <f t="shared" si="142"/>
        <v>9.0909090909090939E-2</v>
      </c>
      <c r="V402" s="35">
        <f t="shared" si="149"/>
        <v>9.0909090909090939E-2</v>
      </c>
      <c r="W402" s="35">
        <f t="shared" si="149"/>
        <v>9.0909090909090939E-2</v>
      </c>
      <c r="X402" s="35">
        <f t="shared" si="149"/>
        <v>9.0909090909090939E-2</v>
      </c>
      <c r="Y402" s="35">
        <f t="shared" si="149"/>
        <v>0.37304075235109713</v>
      </c>
      <c r="Z402" s="35">
        <f t="shared" si="149"/>
        <v>9.0909090909090939E-2</v>
      </c>
      <c r="AA402" s="35">
        <f t="shared" si="149"/>
        <v>9.0909090909090939E-2</v>
      </c>
    </row>
    <row r="403" spans="2:27" x14ac:dyDescent="0.2">
      <c r="B403" s="2">
        <v>401</v>
      </c>
      <c r="C403" s="2" t="str">
        <f t="shared" si="133"/>
        <v>b</v>
      </c>
      <c r="D403" s="29" t="s">
        <v>31</v>
      </c>
      <c r="E403" s="29" t="s">
        <v>219</v>
      </c>
      <c r="F403" s="2" t="s">
        <v>222</v>
      </c>
      <c r="G403" s="2">
        <f t="shared" si="150"/>
        <v>1</v>
      </c>
      <c r="H403" s="2" t="str">
        <f t="shared" si="140"/>
        <v>神圣</v>
      </c>
      <c r="I403" s="38">
        <f t="shared" si="143"/>
        <v>0.10272727272727274</v>
      </c>
      <c r="J403" s="33">
        <f t="shared" si="144"/>
        <v>22</v>
      </c>
      <c r="K403" s="33">
        <f t="shared" ref="K403:Q412" si="151">INT((1+VLOOKUP($F403,role_property_weight,getpos(K$2),FALSE))*(1+VLOOKUP($F403,weapon_property_weight,getpos(K$2),FALSE))*VLOOKUP($E403,role_grow,getpos(K$2),FALSE)*$G403*10*VLOOKUP($C403,weapon_grow1,5,FALSE))</f>
        <v>20</v>
      </c>
      <c r="L403" s="33">
        <f t="shared" si="151"/>
        <v>4</v>
      </c>
      <c r="M403" s="33">
        <f t="shared" si="151"/>
        <v>12</v>
      </c>
      <c r="N403" s="33">
        <f t="shared" si="141"/>
        <v>26</v>
      </c>
      <c r="O403" s="33">
        <f t="shared" si="151"/>
        <v>16</v>
      </c>
      <c r="P403" s="33">
        <f t="shared" si="151"/>
        <v>7</v>
      </c>
      <c r="Q403" s="33">
        <f t="shared" si="151"/>
        <v>6</v>
      </c>
      <c r="R403" s="35">
        <f t="shared" si="145"/>
        <v>0.02</v>
      </c>
      <c r="S403" s="35">
        <f t="shared" si="146"/>
        <v>2.3333333333333334E-2</v>
      </c>
      <c r="T403" s="35">
        <f t="shared" si="147"/>
        <v>0.02</v>
      </c>
      <c r="U403" s="35">
        <f t="shared" si="142"/>
        <v>1.4778325123152691E-2</v>
      </c>
      <c r="V403" s="35">
        <f t="shared" ref="V403:AA412" si="152">1-200/(200+ROUND((1+VLOOKUP($F403,role_property_weight,getpos(V$2),FALSE))*VLOOKUP($E403,role_grow,getpos(V$2),FALSE)*$G403*10*VLOOKUP($C403,weapon_grow1,5,FALSE),0))</f>
        <v>1.4778325123152691E-2</v>
      </c>
      <c r="W403" s="35">
        <f t="shared" si="152"/>
        <v>1.4778325123152691E-2</v>
      </c>
      <c r="X403" s="35">
        <f t="shared" si="152"/>
        <v>1.4778325123152691E-2</v>
      </c>
      <c r="Y403" s="35">
        <f t="shared" si="152"/>
        <v>8.6757990867579959E-2</v>
      </c>
      <c r="Z403" s="35">
        <f t="shared" si="152"/>
        <v>1.4778325123152691E-2</v>
      </c>
      <c r="AA403" s="35">
        <f t="shared" si="152"/>
        <v>1.4778325123152691E-2</v>
      </c>
    </row>
    <row r="404" spans="2:27" x14ac:dyDescent="0.2">
      <c r="B404" s="2">
        <v>402</v>
      </c>
      <c r="C404" s="2" t="str">
        <f t="shared" si="133"/>
        <v>b</v>
      </c>
      <c r="D404" s="29" t="s">
        <v>31</v>
      </c>
      <c r="E404" s="29" t="s">
        <v>219</v>
      </c>
      <c r="F404" s="2" t="s">
        <v>222</v>
      </c>
      <c r="G404" s="2">
        <f t="shared" si="150"/>
        <v>2</v>
      </c>
      <c r="H404" s="2" t="str">
        <f t="shared" si="140"/>
        <v>神圣</v>
      </c>
      <c r="I404" s="38">
        <f t="shared" si="143"/>
        <v>0.20545454545454547</v>
      </c>
      <c r="J404" s="33">
        <f t="shared" si="144"/>
        <v>44</v>
      </c>
      <c r="K404" s="33">
        <f t="shared" si="151"/>
        <v>40</v>
      </c>
      <c r="L404" s="33">
        <f t="shared" si="151"/>
        <v>8</v>
      </c>
      <c r="M404" s="33">
        <f t="shared" si="151"/>
        <v>24</v>
      </c>
      <c r="N404" s="33">
        <f t="shared" si="141"/>
        <v>52</v>
      </c>
      <c r="O404" s="33">
        <f t="shared" si="151"/>
        <v>32</v>
      </c>
      <c r="P404" s="33">
        <f t="shared" si="151"/>
        <v>14</v>
      </c>
      <c r="Q404" s="33">
        <f t="shared" si="151"/>
        <v>12</v>
      </c>
      <c r="R404" s="35">
        <f t="shared" si="145"/>
        <v>0.04</v>
      </c>
      <c r="S404" s="35">
        <f t="shared" si="146"/>
        <v>4.6666666666666669E-2</v>
      </c>
      <c r="T404" s="35">
        <f t="shared" si="147"/>
        <v>0.04</v>
      </c>
      <c r="U404" s="35">
        <f t="shared" si="142"/>
        <v>2.9126213592232997E-2</v>
      </c>
      <c r="V404" s="35">
        <f t="shared" si="152"/>
        <v>2.9126213592232997E-2</v>
      </c>
      <c r="W404" s="35">
        <f t="shared" si="152"/>
        <v>2.9126213592232997E-2</v>
      </c>
      <c r="X404" s="35">
        <f t="shared" si="152"/>
        <v>2.9126213592232997E-2</v>
      </c>
      <c r="Y404" s="35">
        <f t="shared" si="152"/>
        <v>0.15611814345991559</v>
      </c>
      <c r="Z404" s="35">
        <f t="shared" si="152"/>
        <v>2.9126213592232997E-2</v>
      </c>
      <c r="AA404" s="35">
        <f t="shared" si="152"/>
        <v>2.9126213592232997E-2</v>
      </c>
    </row>
    <row r="405" spans="2:27" x14ac:dyDescent="0.2">
      <c r="B405" s="2">
        <v>403</v>
      </c>
      <c r="C405" s="2" t="str">
        <f t="shared" si="133"/>
        <v>b</v>
      </c>
      <c r="D405" s="29" t="s">
        <v>31</v>
      </c>
      <c r="E405" s="29" t="s">
        <v>219</v>
      </c>
      <c r="F405" s="2" t="s">
        <v>222</v>
      </c>
      <c r="G405" s="2">
        <f t="shared" si="150"/>
        <v>3</v>
      </c>
      <c r="H405" s="2" t="str">
        <f t="shared" si="140"/>
        <v>神圣</v>
      </c>
      <c r="I405" s="38">
        <f t="shared" si="143"/>
        <v>0.30909090909090908</v>
      </c>
      <c r="J405" s="33">
        <f t="shared" si="144"/>
        <v>66</v>
      </c>
      <c r="K405" s="33">
        <f t="shared" si="151"/>
        <v>60</v>
      </c>
      <c r="L405" s="33">
        <f t="shared" si="151"/>
        <v>12</v>
      </c>
      <c r="M405" s="33">
        <f t="shared" si="151"/>
        <v>37</v>
      </c>
      <c r="N405" s="33">
        <f t="shared" si="141"/>
        <v>78</v>
      </c>
      <c r="O405" s="33">
        <f t="shared" si="151"/>
        <v>48</v>
      </c>
      <c r="P405" s="33">
        <f t="shared" si="151"/>
        <v>21</v>
      </c>
      <c r="Q405" s="33">
        <f t="shared" si="151"/>
        <v>18</v>
      </c>
      <c r="R405" s="35">
        <f t="shared" si="145"/>
        <v>0.06</v>
      </c>
      <c r="S405" s="35">
        <f t="shared" si="146"/>
        <v>7.0000000000000007E-2</v>
      </c>
      <c r="T405" s="35">
        <f t="shared" si="147"/>
        <v>0.06</v>
      </c>
      <c r="U405" s="35">
        <f t="shared" si="142"/>
        <v>4.3062200956937802E-2</v>
      </c>
      <c r="V405" s="35">
        <f t="shared" si="152"/>
        <v>4.3062200956937802E-2</v>
      </c>
      <c r="W405" s="35">
        <f t="shared" si="152"/>
        <v>4.3062200956937802E-2</v>
      </c>
      <c r="X405" s="35">
        <f t="shared" si="152"/>
        <v>4.3062200956937802E-2</v>
      </c>
      <c r="Y405" s="35">
        <f t="shared" si="152"/>
        <v>0.21875</v>
      </c>
      <c r="Z405" s="35">
        <f t="shared" si="152"/>
        <v>4.3062200956937802E-2</v>
      </c>
      <c r="AA405" s="35">
        <f t="shared" si="152"/>
        <v>4.3062200956937802E-2</v>
      </c>
    </row>
    <row r="406" spans="2:27" x14ac:dyDescent="0.2">
      <c r="B406" s="2">
        <v>404</v>
      </c>
      <c r="C406" s="2" t="str">
        <f t="shared" si="133"/>
        <v>b</v>
      </c>
      <c r="D406" s="29" t="s">
        <v>31</v>
      </c>
      <c r="E406" s="29" t="s">
        <v>219</v>
      </c>
      <c r="F406" s="2" t="s">
        <v>222</v>
      </c>
      <c r="G406" s="2">
        <f t="shared" si="150"/>
        <v>4</v>
      </c>
      <c r="H406" s="2" t="str">
        <f t="shared" si="140"/>
        <v>神圣</v>
      </c>
      <c r="I406" s="38">
        <f t="shared" si="143"/>
        <v>0.41272727272727272</v>
      </c>
      <c r="J406" s="33">
        <f t="shared" si="144"/>
        <v>88</v>
      </c>
      <c r="K406" s="33">
        <f t="shared" si="151"/>
        <v>81</v>
      </c>
      <c r="L406" s="33">
        <f t="shared" si="151"/>
        <v>16</v>
      </c>
      <c r="M406" s="33">
        <f t="shared" si="151"/>
        <v>49</v>
      </c>
      <c r="N406" s="33">
        <f t="shared" si="141"/>
        <v>104</v>
      </c>
      <c r="O406" s="33">
        <f t="shared" si="151"/>
        <v>64</v>
      </c>
      <c r="P406" s="33">
        <f t="shared" si="151"/>
        <v>28</v>
      </c>
      <c r="Q406" s="33">
        <f t="shared" si="151"/>
        <v>24</v>
      </c>
      <c r="R406" s="35">
        <f t="shared" si="145"/>
        <v>0.08</v>
      </c>
      <c r="S406" s="35">
        <f t="shared" si="146"/>
        <v>9.3333333333333338E-2</v>
      </c>
      <c r="T406" s="35">
        <f t="shared" si="147"/>
        <v>0.08</v>
      </c>
      <c r="U406" s="35">
        <f t="shared" si="142"/>
        <v>5.6603773584905648E-2</v>
      </c>
      <c r="V406" s="35">
        <f t="shared" si="152"/>
        <v>5.6603773584905648E-2</v>
      </c>
      <c r="W406" s="35">
        <f t="shared" si="152"/>
        <v>5.6603773584905648E-2</v>
      </c>
      <c r="X406" s="35">
        <f t="shared" si="152"/>
        <v>5.6603773584905648E-2</v>
      </c>
      <c r="Y406" s="35">
        <f t="shared" si="152"/>
        <v>0.27272727272727271</v>
      </c>
      <c r="Z406" s="35">
        <f t="shared" si="152"/>
        <v>5.6603773584905648E-2</v>
      </c>
      <c r="AA406" s="35">
        <f t="shared" si="152"/>
        <v>5.6603773584905648E-2</v>
      </c>
    </row>
    <row r="407" spans="2:27" x14ac:dyDescent="0.2">
      <c r="B407" s="2">
        <v>405</v>
      </c>
      <c r="C407" s="2" t="str">
        <f t="shared" si="133"/>
        <v>b</v>
      </c>
      <c r="D407" s="29" t="s">
        <v>31</v>
      </c>
      <c r="E407" s="29" t="s">
        <v>219</v>
      </c>
      <c r="F407" s="2" t="s">
        <v>222</v>
      </c>
      <c r="G407" s="2">
        <f t="shared" si="150"/>
        <v>5</v>
      </c>
      <c r="H407" s="2" t="str">
        <f t="shared" si="140"/>
        <v>神圣</v>
      </c>
      <c r="I407" s="38">
        <f t="shared" si="143"/>
        <v>0.51818181818181819</v>
      </c>
      <c r="J407" s="33">
        <f t="shared" si="144"/>
        <v>110</v>
      </c>
      <c r="K407" s="33">
        <f t="shared" si="151"/>
        <v>101</v>
      </c>
      <c r="L407" s="33">
        <f t="shared" si="151"/>
        <v>20</v>
      </c>
      <c r="M407" s="33">
        <f t="shared" si="151"/>
        <v>62</v>
      </c>
      <c r="N407" s="33">
        <f t="shared" si="141"/>
        <v>130</v>
      </c>
      <c r="O407" s="33">
        <f t="shared" si="151"/>
        <v>81</v>
      </c>
      <c r="P407" s="33">
        <f t="shared" si="151"/>
        <v>35</v>
      </c>
      <c r="Q407" s="33">
        <f t="shared" si="151"/>
        <v>31</v>
      </c>
      <c r="R407" s="35">
        <f t="shared" si="145"/>
        <v>0.10333333333333333</v>
      </c>
      <c r="S407" s="35">
        <f t="shared" si="146"/>
        <v>0.11666666666666665</v>
      </c>
      <c r="T407" s="35">
        <f t="shared" si="147"/>
        <v>0.10333333333333333</v>
      </c>
      <c r="U407" s="35">
        <f t="shared" si="142"/>
        <v>7.407407407407407E-2</v>
      </c>
      <c r="V407" s="35">
        <f t="shared" si="152"/>
        <v>7.407407407407407E-2</v>
      </c>
      <c r="W407" s="35">
        <f t="shared" si="152"/>
        <v>7.407407407407407E-2</v>
      </c>
      <c r="X407" s="35">
        <f t="shared" si="152"/>
        <v>7.407407407407407E-2</v>
      </c>
      <c r="Y407" s="35">
        <f t="shared" si="152"/>
        <v>0.31972789115646261</v>
      </c>
      <c r="Z407" s="35">
        <f t="shared" si="152"/>
        <v>7.407407407407407E-2</v>
      </c>
      <c r="AA407" s="35">
        <f t="shared" si="152"/>
        <v>7.407407407407407E-2</v>
      </c>
    </row>
    <row r="408" spans="2:27" x14ac:dyDescent="0.2">
      <c r="B408" s="2">
        <v>406</v>
      </c>
      <c r="C408" s="2" t="str">
        <f t="shared" si="133"/>
        <v>b</v>
      </c>
      <c r="D408" s="29" t="s">
        <v>31</v>
      </c>
      <c r="E408" s="29" t="s">
        <v>219</v>
      </c>
      <c r="F408" s="2" t="s">
        <v>222</v>
      </c>
      <c r="G408" s="2">
        <f t="shared" si="150"/>
        <v>6</v>
      </c>
      <c r="H408" s="2" t="str">
        <f t="shared" si="140"/>
        <v>神圣</v>
      </c>
      <c r="I408" s="38">
        <f t="shared" si="143"/>
        <v>0.62272727272727268</v>
      </c>
      <c r="J408" s="33">
        <f t="shared" si="144"/>
        <v>133</v>
      </c>
      <c r="K408" s="33">
        <f t="shared" si="151"/>
        <v>121</v>
      </c>
      <c r="L408" s="33">
        <f t="shared" si="151"/>
        <v>24</v>
      </c>
      <c r="M408" s="33">
        <f t="shared" si="151"/>
        <v>74</v>
      </c>
      <c r="N408" s="33">
        <f t="shared" si="141"/>
        <v>156</v>
      </c>
      <c r="O408" s="33">
        <f t="shared" si="151"/>
        <v>97</v>
      </c>
      <c r="P408" s="33">
        <f t="shared" si="151"/>
        <v>43</v>
      </c>
      <c r="Q408" s="33">
        <f t="shared" si="151"/>
        <v>37</v>
      </c>
      <c r="R408" s="35">
        <f t="shared" si="145"/>
        <v>0.12333333333333334</v>
      </c>
      <c r="S408" s="35">
        <f t="shared" si="146"/>
        <v>0.14333333333333334</v>
      </c>
      <c r="T408" s="35">
        <f t="shared" si="147"/>
        <v>0.12333333333333334</v>
      </c>
      <c r="U408" s="35">
        <f t="shared" si="142"/>
        <v>8.6757990867579959E-2</v>
      </c>
      <c r="V408" s="35">
        <f t="shared" si="152"/>
        <v>8.6757990867579959E-2</v>
      </c>
      <c r="W408" s="35">
        <f t="shared" si="152"/>
        <v>8.6757990867579959E-2</v>
      </c>
      <c r="X408" s="35">
        <f t="shared" si="152"/>
        <v>8.6757990867579959E-2</v>
      </c>
      <c r="Y408" s="35">
        <f t="shared" si="152"/>
        <v>0.35897435897435892</v>
      </c>
      <c r="Z408" s="35">
        <f t="shared" si="152"/>
        <v>8.6757990867579959E-2</v>
      </c>
      <c r="AA408" s="35">
        <f t="shared" si="152"/>
        <v>8.6757990867579959E-2</v>
      </c>
    </row>
    <row r="409" spans="2:27" x14ac:dyDescent="0.2">
      <c r="B409" s="2">
        <v>407</v>
      </c>
      <c r="C409" s="2" t="str">
        <f t="shared" si="133"/>
        <v>b</v>
      </c>
      <c r="D409" s="29" t="s">
        <v>31</v>
      </c>
      <c r="E409" s="29" t="s">
        <v>219</v>
      </c>
      <c r="F409" s="2" t="s">
        <v>222</v>
      </c>
      <c r="G409" s="2">
        <f t="shared" si="150"/>
        <v>7</v>
      </c>
      <c r="H409" s="2" t="str">
        <f t="shared" si="140"/>
        <v>神圣</v>
      </c>
      <c r="I409" s="38">
        <f t="shared" si="143"/>
        <v>0.72545454545454546</v>
      </c>
      <c r="J409" s="33">
        <f t="shared" si="144"/>
        <v>155</v>
      </c>
      <c r="K409" s="33">
        <f t="shared" si="151"/>
        <v>141</v>
      </c>
      <c r="L409" s="33">
        <f t="shared" si="151"/>
        <v>28</v>
      </c>
      <c r="M409" s="33">
        <f t="shared" si="151"/>
        <v>87</v>
      </c>
      <c r="N409" s="33">
        <f t="shared" si="141"/>
        <v>181</v>
      </c>
      <c r="O409" s="33">
        <f t="shared" si="151"/>
        <v>113</v>
      </c>
      <c r="P409" s="33">
        <f t="shared" si="151"/>
        <v>50</v>
      </c>
      <c r="Q409" s="33">
        <f t="shared" si="151"/>
        <v>43</v>
      </c>
      <c r="R409" s="35">
        <f t="shared" si="145"/>
        <v>0.14333333333333334</v>
      </c>
      <c r="S409" s="35">
        <f t="shared" si="146"/>
        <v>0.16666666666666669</v>
      </c>
      <c r="T409" s="35">
        <f t="shared" si="147"/>
        <v>0.14333333333333334</v>
      </c>
      <c r="U409" s="35">
        <f t="shared" si="142"/>
        <v>9.9099099099099086E-2</v>
      </c>
      <c r="V409" s="35">
        <f t="shared" si="152"/>
        <v>9.9099099099099086E-2</v>
      </c>
      <c r="W409" s="35">
        <f t="shared" si="152"/>
        <v>9.9099099099099086E-2</v>
      </c>
      <c r="X409" s="35">
        <f t="shared" si="152"/>
        <v>9.9099099099099086E-2</v>
      </c>
      <c r="Y409" s="35">
        <f t="shared" si="152"/>
        <v>0.39577039274924475</v>
      </c>
      <c r="Z409" s="35">
        <f t="shared" si="152"/>
        <v>9.9099099099099086E-2</v>
      </c>
      <c r="AA409" s="35">
        <f t="shared" si="152"/>
        <v>9.9099099099099086E-2</v>
      </c>
    </row>
    <row r="410" spans="2:27" x14ac:dyDescent="0.2">
      <c r="B410" s="2">
        <v>408</v>
      </c>
      <c r="C410" s="2" t="str">
        <f t="shared" si="133"/>
        <v>b</v>
      </c>
      <c r="D410" s="29" t="s">
        <v>31</v>
      </c>
      <c r="E410" s="29" t="s">
        <v>219</v>
      </c>
      <c r="F410" s="2" t="s">
        <v>222</v>
      </c>
      <c r="G410" s="2">
        <f t="shared" si="150"/>
        <v>8</v>
      </c>
      <c r="H410" s="2" t="str">
        <f t="shared" si="140"/>
        <v>神圣</v>
      </c>
      <c r="I410" s="38">
        <f t="shared" si="143"/>
        <v>0.8290909090909091</v>
      </c>
      <c r="J410" s="33">
        <f t="shared" si="144"/>
        <v>177</v>
      </c>
      <c r="K410" s="33">
        <f t="shared" si="151"/>
        <v>162</v>
      </c>
      <c r="L410" s="33">
        <f t="shared" si="151"/>
        <v>32</v>
      </c>
      <c r="M410" s="33">
        <f t="shared" si="151"/>
        <v>99</v>
      </c>
      <c r="N410" s="33">
        <f t="shared" si="141"/>
        <v>207</v>
      </c>
      <c r="O410" s="33">
        <f t="shared" si="151"/>
        <v>129</v>
      </c>
      <c r="P410" s="33">
        <f t="shared" si="151"/>
        <v>57</v>
      </c>
      <c r="Q410" s="33">
        <f t="shared" si="151"/>
        <v>49</v>
      </c>
      <c r="R410" s="35">
        <f t="shared" si="145"/>
        <v>0.16333333333333333</v>
      </c>
      <c r="S410" s="35">
        <f t="shared" si="146"/>
        <v>0.19</v>
      </c>
      <c r="T410" s="35">
        <f t="shared" si="147"/>
        <v>0.16333333333333333</v>
      </c>
      <c r="U410" s="35">
        <f t="shared" si="142"/>
        <v>0.11111111111111116</v>
      </c>
      <c r="V410" s="35">
        <f t="shared" si="152"/>
        <v>0.11111111111111116</v>
      </c>
      <c r="W410" s="35">
        <f t="shared" si="152"/>
        <v>0.11111111111111116</v>
      </c>
      <c r="X410" s="35">
        <f t="shared" si="152"/>
        <v>0.11111111111111116</v>
      </c>
      <c r="Y410" s="35">
        <f t="shared" si="152"/>
        <v>0.4285714285714286</v>
      </c>
      <c r="Z410" s="35">
        <f t="shared" si="152"/>
        <v>0.11111111111111116</v>
      </c>
      <c r="AA410" s="35">
        <f t="shared" si="152"/>
        <v>0.11111111111111116</v>
      </c>
    </row>
    <row r="411" spans="2:27" x14ac:dyDescent="0.2">
      <c r="B411" s="2">
        <v>409</v>
      </c>
      <c r="C411" s="2" t="str">
        <f t="shared" si="133"/>
        <v>c</v>
      </c>
      <c r="D411" s="29" t="s">
        <v>31</v>
      </c>
      <c r="E411" s="29" t="s">
        <v>219</v>
      </c>
      <c r="F411" s="2" t="s">
        <v>222</v>
      </c>
      <c r="G411" s="2">
        <f t="shared" si="150"/>
        <v>1</v>
      </c>
      <c r="H411" s="2" t="str">
        <f t="shared" si="140"/>
        <v>--</v>
      </c>
      <c r="I411" s="38">
        <f t="shared" si="143"/>
        <v>0</v>
      </c>
      <c r="J411" s="33">
        <f t="shared" si="144"/>
        <v>27</v>
      </c>
      <c r="K411" s="33">
        <f t="shared" si="151"/>
        <v>0</v>
      </c>
      <c r="L411" s="33">
        <f t="shared" si="151"/>
        <v>0</v>
      </c>
      <c r="M411" s="33">
        <f t="shared" si="151"/>
        <v>0</v>
      </c>
      <c r="N411" s="33">
        <f t="shared" si="141"/>
        <v>0</v>
      </c>
      <c r="O411" s="33">
        <f t="shared" si="151"/>
        <v>0</v>
      </c>
      <c r="P411" s="33">
        <f t="shared" si="151"/>
        <v>0</v>
      </c>
      <c r="Q411" s="33">
        <f t="shared" si="151"/>
        <v>0</v>
      </c>
      <c r="R411" s="35">
        <f t="shared" si="145"/>
        <v>0</v>
      </c>
      <c r="S411" s="35">
        <f t="shared" si="146"/>
        <v>0</v>
      </c>
      <c r="T411" s="35">
        <f t="shared" si="147"/>
        <v>0</v>
      </c>
      <c r="U411" s="35">
        <f t="shared" si="142"/>
        <v>0</v>
      </c>
      <c r="V411" s="35">
        <f t="shared" si="152"/>
        <v>0</v>
      </c>
      <c r="W411" s="35">
        <f t="shared" si="152"/>
        <v>0</v>
      </c>
      <c r="X411" s="35">
        <f t="shared" si="152"/>
        <v>0</v>
      </c>
      <c r="Y411" s="35">
        <f t="shared" si="152"/>
        <v>0</v>
      </c>
      <c r="Z411" s="35">
        <f t="shared" si="152"/>
        <v>0</v>
      </c>
      <c r="AA411" s="35">
        <f t="shared" si="152"/>
        <v>0</v>
      </c>
    </row>
    <row r="412" spans="2:27" x14ac:dyDescent="0.2">
      <c r="B412" s="2">
        <v>410</v>
      </c>
      <c r="C412" s="2" t="str">
        <f t="shared" si="133"/>
        <v>c</v>
      </c>
      <c r="D412" s="29" t="s">
        <v>31</v>
      </c>
      <c r="E412" s="29" t="s">
        <v>219</v>
      </c>
      <c r="F412" s="2" t="s">
        <v>222</v>
      </c>
      <c r="G412" s="2">
        <f t="shared" si="150"/>
        <v>2</v>
      </c>
      <c r="H412" s="2" t="str">
        <f t="shared" si="140"/>
        <v>--</v>
      </c>
      <c r="I412" s="38">
        <f t="shared" si="143"/>
        <v>0</v>
      </c>
      <c r="J412" s="33">
        <f t="shared" si="144"/>
        <v>55</v>
      </c>
      <c r="K412" s="33">
        <f t="shared" si="151"/>
        <v>0</v>
      </c>
      <c r="L412" s="33">
        <f t="shared" si="151"/>
        <v>0</v>
      </c>
      <c r="M412" s="33">
        <f t="shared" si="151"/>
        <v>0</v>
      </c>
      <c r="N412" s="33">
        <f t="shared" si="141"/>
        <v>0</v>
      </c>
      <c r="O412" s="33">
        <f t="shared" si="151"/>
        <v>0</v>
      </c>
      <c r="P412" s="33">
        <f t="shared" si="151"/>
        <v>0</v>
      </c>
      <c r="Q412" s="33">
        <f t="shared" si="151"/>
        <v>0</v>
      </c>
      <c r="R412" s="35">
        <f t="shared" si="145"/>
        <v>0</v>
      </c>
      <c r="S412" s="35">
        <f t="shared" si="146"/>
        <v>0</v>
      </c>
      <c r="T412" s="35">
        <f t="shared" si="147"/>
        <v>0</v>
      </c>
      <c r="U412" s="35">
        <f t="shared" si="142"/>
        <v>0</v>
      </c>
      <c r="V412" s="35">
        <f t="shared" si="152"/>
        <v>0</v>
      </c>
      <c r="W412" s="35">
        <f t="shared" si="152"/>
        <v>0</v>
      </c>
      <c r="X412" s="35">
        <f t="shared" si="152"/>
        <v>0</v>
      </c>
      <c r="Y412" s="35">
        <f t="shared" si="152"/>
        <v>0</v>
      </c>
      <c r="Z412" s="35">
        <f t="shared" si="152"/>
        <v>0</v>
      </c>
      <c r="AA412" s="35">
        <f t="shared" si="152"/>
        <v>0</v>
      </c>
    </row>
    <row r="413" spans="2:27" x14ac:dyDescent="0.2">
      <c r="B413" s="2">
        <v>411</v>
      </c>
      <c r="C413" s="2" t="str">
        <f t="shared" si="133"/>
        <v>c</v>
      </c>
      <c r="D413" s="29" t="s">
        <v>31</v>
      </c>
      <c r="E413" s="29" t="s">
        <v>219</v>
      </c>
      <c r="F413" s="2" t="s">
        <v>222</v>
      </c>
      <c r="G413" s="2">
        <f t="shared" si="150"/>
        <v>3</v>
      </c>
      <c r="H413" s="2" t="str">
        <f t="shared" si="140"/>
        <v>--</v>
      </c>
      <c r="I413" s="38">
        <f t="shared" si="143"/>
        <v>0</v>
      </c>
      <c r="J413" s="33">
        <f t="shared" si="144"/>
        <v>83</v>
      </c>
      <c r="K413" s="33">
        <f t="shared" ref="K413:Q422" si="153">INT((1+VLOOKUP($F413,role_property_weight,getpos(K$2),FALSE))*(1+VLOOKUP($F413,weapon_property_weight,getpos(K$2),FALSE))*VLOOKUP($E413,role_grow,getpos(K$2),FALSE)*$G413*10*VLOOKUP($C413,weapon_grow1,5,FALSE))</f>
        <v>0</v>
      </c>
      <c r="L413" s="33">
        <f t="shared" si="153"/>
        <v>0</v>
      </c>
      <c r="M413" s="33">
        <f t="shared" si="153"/>
        <v>0</v>
      </c>
      <c r="N413" s="33">
        <f t="shared" si="141"/>
        <v>0</v>
      </c>
      <c r="O413" s="33">
        <f t="shared" si="153"/>
        <v>0</v>
      </c>
      <c r="P413" s="33">
        <f t="shared" si="153"/>
        <v>0</v>
      </c>
      <c r="Q413" s="33">
        <f t="shared" si="153"/>
        <v>0</v>
      </c>
      <c r="R413" s="35">
        <f t="shared" si="145"/>
        <v>0</v>
      </c>
      <c r="S413" s="35">
        <f t="shared" si="146"/>
        <v>0</v>
      </c>
      <c r="T413" s="35">
        <f t="shared" si="147"/>
        <v>0</v>
      </c>
      <c r="U413" s="35">
        <f t="shared" si="142"/>
        <v>0</v>
      </c>
      <c r="V413" s="35">
        <f t="shared" ref="V413:AA422" si="154">1-200/(200+ROUND((1+VLOOKUP($F413,role_property_weight,getpos(V$2),FALSE))*VLOOKUP($E413,role_grow,getpos(V$2),FALSE)*$G413*10*VLOOKUP($C413,weapon_grow1,5,FALSE),0))</f>
        <v>0</v>
      </c>
      <c r="W413" s="35">
        <f t="shared" si="154"/>
        <v>0</v>
      </c>
      <c r="X413" s="35">
        <f t="shared" si="154"/>
        <v>0</v>
      </c>
      <c r="Y413" s="35">
        <f t="shared" si="154"/>
        <v>0</v>
      </c>
      <c r="Z413" s="35">
        <f t="shared" si="154"/>
        <v>0</v>
      </c>
      <c r="AA413" s="35">
        <f t="shared" si="154"/>
        <v>0</v>
      </c>
    </row>
    <row r="414" spans="2:27" x14ac:dyDescent="0.2">
      <c r="B414" s="2">
        <v>412</v>
      </c>
      <c r="C414" s="2" t="str">
        <f t="shared" si="133"/>
        <v>c</v>
      </c>
      <c r="D414" s="29" t="s">
        <v>31</v>
      </c>
      <c r="E414" s="29" t="s">
        <v>219</v>
      </c>
      <c r="F414" s="2" t="s">
        <v>222</v>
      </c>
      <c r="G414" s="2">
        <f t="shared" si="150"/>
        <v>4</v>
      </c>
      <c r="H414" s="2" t="str">
        <f t="shared" si="140"/>
        <v>--</v>
      </c>
      <c r="I414" s="38">
        <f t="shared" si="143"/>
        <v>0</v>
      </c>
      <c r="J414" s="33">
        <f t="shared" si="144"/>
        <v>111</v>
      </c>
      <c r="K414" s="33">
        <f t="shared" si="153"/>
        <v>0</v>
      </c>
      <c r="L414" s="33">
        <f t="shared" si="153"/>
        <v>0</v>
      </c>
      <c r="M414" s="33">
        <f t="shared" si="153"/>
        <v>0</v>
      </c>
      <c r="N414" s="33">
        <f t="shared" si="141"/>
        <v>0</v>
      </c>
      <c r="O414" s="33">
        <f t="shared" si="153"/>
        <v>0</v>
      </c>
      <c r="P414" s="33">
        <f t="shared" si="153"/>
        <v>0</v>
      </c>
      <c r="Q414" s="33">
        <f t="shared" si="153"/>
        <v>0</v>
      </c>
      <c r="R414" s="35">
        <f t="shared" si="145"/>
        <v>0</v>
      </c>
      <c r="S414" s="35">
        <f t="shared" si="146"/>
        <v>0</v>
      </c>
      <c r="T414" s="35">
        <f t="shared" si="147"/>
        <v>0</v>
      </c>
      <c r="U414" s="35">
        <f t="shared" si="142"/>
        <v>0</v>
      </c>
      <c r="V414" s="35">
        <f t="shared" si="154"/>
        <v>0</v>
      </c>
      <c r="W414" s="35">
        <f t="shared" si="154"/>
        <v>0</v>
      </c>
      <c r="X414" s="35">
        <f t="shared" si="154"/>
        <v>0</v>
      </c>
      <c r="Y414" s="35">
        <f t="shared" si="154"/>
        <v>0</v>
      </c>
      <c r="Z414" s="35">
        <f t="shared" si="154"/>
        <v>0</v>
      </c>
      <c r="AA414" s="35">
        <f t="shared" si="154"/>
        <v>0</v>
      </c>
    </row>
    <row r="415" spans="2:27" x14ac:dyDescent="0.2">
      <c r="B415" s="2">
        <v>413</v>
      </c>
      <c r="C415" s="2" t="str">
        <f t="shared" si="133"/>
        <v>c</v>
      </c>
      <c r="D415" s="29" t="s">
        <v>31</v>
      </c>
      <c r="E415" s="29" t="s">
        <v>219</v>
      </c>
      <c r="F415" s="2" t="s">
        <v>222</v>
      </c>
      <c r="G415" s="2">
        <f t="shared" si="150"/>
        <v>5</v>
      </c>
      <c r="H415" s="2" t="str">
        <f t="shared" si="140"/>
        <v>--</v>
      </c>
      <c r="I415" s="38">
        <f t="shared" si="143"/>
        <v>0</v>
      </c>
      <c r="J415" s="33">
        <f t="shared" si="144"/>
        <v>139</v>
      </c>
      <c r="K415" s="33">
        <f t="shared" si="153"/>
        <v>0</v>
      </c>
      <c r="L415" s="33">
        <f t="shared" si="153"/>
        <v>0</v>
      </c>
      <c r="M415" s="33">
        <f t="shared" si="153"/>
        <v>0</v>
      </c>
      <c r="N415" s="33">
        <f t="shared" si="141"/>
        <v>0</v>
      </c>
      <c r="O415" s="33">
        <f t="shared" si="153"/>
        <v>0</v>
      </c>
      <c r="P415" s="33">
        <f t="shared" si="153"/>
        <v>0</v>
      </c>
      <c r="Q415" s="33">
        <f t="shared" si="153"/>
        <v>0</v>
      </c>
      <c r="R415" s="35">
        <f t="shared" si="145"/>
        <v>0</v>
      </c>
      <c r="S415" s="35">
        <f t="shared" si="146"/>
        <v>0</v>
      </c>
      <c r="T415" s="35">
        <f t="shared" si="147"/>
        <v>0</v>
      </c>
      <c r="U415" s="35">
        <f t="shared" si="142"/>
        <v>0</v>
      </c>
      <c r="V415" s="35">
        <f t="shared" si="154"/>
        <v>0</v>
      </c>
      <c r="W415" s="35">
        <f t="shared" si="154"/>
        <v>0</v>
      </c>
      <c r="X415" s="35">
        <f t="shared" si="154"/>
        <v>0</v>
      </c>
      <c r="Y415" s="35">
        <f t="shared" si="154"/>
        <v>0</v>
      </c>
      <c r="Z415" s="35">
        <f t="shared" si="154"/>
        <v>0</v>
      </c>
      <c r="AA415" s="35">
        <f t="shared" si="154"/>
        <v>0</v>
      </c>
    </row>
    <row r="416" spans="2:27" x14ac:dyDescent="0.2">
      <c r="B416" s="2">
        <v>414</v>
      </c>
      <c r="C416" s="2" t="str">
        <f t="shared" si="133"/>
        <v>c</v>
      </c>
      <c r="D416" s="29" t="s">
        <v>31</v>
      </c>
      <c r="E416" s="29" t="s">
        <v>219</v>
      </c>
      <c r="F416" s="2" t="s">
        <v>222</v>
      </c>
      <c r="G416" s="2">
        <f t="shared" si="150"/>
        <v>6</v>
      </c>
      <c r="H416" s="2" t="str">
        <f t="shared" si="140"/>
        <v>--</v>
      </c>
      <c r="I416" s="38">
        <f t="shared" si="143"/>
        <v>0</v>
      </c>
      <c r="J416" s="33">
        <f t="shared" si="144"/>
        <v>167</v>
      </c>
      <c r="K416" s="33">
        <f t="shared" si="153"/>
        <v>0</v>
      </c>
      <c r="L416" s="33">
        <f t="shared" si="153"/>
        <v>0</v>
      </c>
      <c r="M416" s="33">
        <f t="shared" si="153"/>
        <v>0</v>
      </c>
      <c r="N416" s="33">
        <f t="shared" si="141"/>
        <v>0</v>
      </c>
      <c r="O416" s="33">
        <f t="shared" si="153"/>
        <v>0</v>
      </c>
      <c r="P416" s="33">
        <f t="shared" si="153"/>
        <v>0</v>
      </c>
      <c r="Q416" s="33">
        <f t="shared" si="153"/>
        <v>0</v>
      </c>
      <c r="R416" s="35">
        <f t="shared" si="145"/>
        <v>0</v>
      </c>
      <c r="S416" s="35">
        <f t="shared" si="146"/>
        <v>0</v>
      </c>
      <c r="T416" s="35">
        <f t="shared" si="147"/>
        <v>0</v>
      </c>
      <c r="U416" s="35">
        <f t="shared" si="142"/>
        <v>0</v>
      </c>
      <c r="V416" s="35">
        <f t="shared" si="154"/>
        <v>0</v>
      </c>
      <c r="W416" s="35">
        <f t="shared" si="154"/>
        <v>0</v>
      </c>
      <c r="X416" s="35">
        <f t="shared" si="154"/>
        <v>0</v>
      </c>
      <c r="Y416" s="35">
        <f t="shared" si="154"/>
        <v>0</v>
      </c>
      <c r="Z416" s="35">
        <f t="shared" si="154"/>
        <v>0</v>
      </c>
      <c r="AA416" s="35">
        <f t="shared" si="154"/>
        <v>0</v>
      </c>
    </row>
    <row r="417" spans="2:27" x14ac:dyDescent="0.2">
      <c r="B417" s="2">
        <v>415</v>
      </c>
      <c r="C417" s="2" t="str">
        <f t="shared" si="133"/>
        <v>c</v>
      </c>
      <c r="D417" s="29" t="s">
        <v>31</v>
      </c>
      <c r="E417" s="29" t="s">
        <v>219</v>
      </c>
      <c r="F417" s="2" t="s">
        <v>222</v>
      </c>
      <c r="G417" s="2">
        <f t="shared" si="150"/>
        <v>7</v>
      </c>
      <c r="H417" s="2" t="str">
        <f t="shared" si="140"/>
        <v>--</v>
      </c>
      <c r="I417" s="38">
        <f t="shared" si="143"/>
        <v>0</v>
      </c>
      <c r="J417" s="33">
        <f t="shared" si="144"/>
        <v>195</v>
      </c>
      <c r="K417" s="33">
        <f t="shared" si="153"/>
        <v>0</v>
      </c>
      <c r="L417" s="33">
        <f t="shared" si="153"/>
        <v>0</v>
      </c>
      <c r="M417" s="33">
        <f t="shared" si="153"/>
        <v>0</v>
      </c>
      <c r="N417" s="33">
        <f t="shared" si="141"/>
        <v>0</v>
      </c>
      <c r="O417" s="33">
        <f t="shared" si="153"/>
        <v>0</v>
      </c>
      <c r="P417" s="33">
        <f t="shared" si="153"/>
        <v>0</v>
      </c>
      <c r="Q417" s="33">
        <f t="shared" si="153"/>
        <v>0</v>
      </c>
      <c r="R417" s="35">
        <f t="shared" si="145"/>
        <v>0</v>
      </c>
      <c r="S417" s="35">
        <f t="shared" si="146"/>
        <v>0</v>
      </c>
      <c r="T417" s="35">
        <f t="shared" si="147"/>
        <v>0</v>
      </c>
      <c r="U417" s="35">
        <f t="shared" si="142"/>
        <v>0</v>
      </c>
      <c r="V417" s="35">
        <f t="shared" si="154"/>
        <v>0</v>
      </c>
      <c r="W417" s="35">
        <f t="shared" si="154"/>
        <v>0</v>
      </c>
      <c r="X417" s="35">
        <f t="shared" si="154"/>
        <v>0</v>
      </c>
      <c r="Y417" s="35">
        <f t="shared" si="154"/>
        <v>0</v>
      </c>
      <c r="Z417" s="35">
        <f t="shared" si="154"/>
        <v>0</v>
      </c>
      <c r="AA417" s="35">
        <f t="shared" si="154"/>
        <v>0</v>
      </c>
    </row>
    <row r="418" spans="2:27" x14ac:dyDescent="0.2">
      <c r="B418" s="2">
        <v>416</v>
      </c>
      <c r="C418" s="2" t="str">
        <f t="shared" si="133"/>
        <v>c</v>
      </c>
      <c r="D418" s="29" t="s">
        <v>31</v>
      </c>
      <c r="E418" s="29" t="s">
        <v>219</v>
      </c>
      <c r="F418" s="2" t="s">
        <v>222</v>
      </c>
      <c r="G418" s="2">
        <f t="shared" si="150"/>
        <v>8</v>
      </c>
      <c r="H418" s="2" t="str">
        <f t="shared" si="140"/>
        <v>--</v>
      </c>
      <c r="I418" s="38">
        <f t="shared" si="143"/>
        <v>0</v>
      </c>
      <c r="J418" s="33">
        <f t="shared" si="144"/>
        <v>223</v>
      </c>
      <c r="K418" s="33">
        <f t="shared" si="153"/>
        <v>0</v>
      </c>
      <c r="L418" s="33">
        <f t="shared" si="153"/>
        <v>0</v>
      </c>
      <c r="M418" s="33">
        <f t="shared" si="153"/>
        <v>0</v>
      </c>
      <c r="N418" s="33">
        <f t="shared" si="141"/>
        <v>0</v>
      </c>
      <c r="O418" s="33">
        <f t="shared" si="153"/>
        <v>0</v>
      </c>
      <c r="P418" s="33">
        <f t="shared" si="153"/>
        <v>0</v>
      </c>
      <c r="Q418" s="33">
        <f t="shared" si="153"/>
        <v>0</v>
      </c>
      <c r="R418" s="35">
        <f t="shared" si="145"/>
        <v>0</v>
      </c>
      <c r="S418" s="35">
        <f t="shared" si="146"/>
        <v>0</v>
      </c>
      <c r="T418" s="35">
        <f t="shared" si="147"/>
        <v>0</v>
      </c>
      <c r="U418" s="35">
        <f t="shared" si="142"/>
        <v>0</v>
      </c>
      <c r="V418" s="35">
        <f t="shared" si="154"/>
        <v>0</v>
      </c>
      <c r="W418" s="35">
        <f t="shared" si="154"/>
        <v>0</v>
      </c>
      <c r="X418" s="35">
        <f t="shared" si="154"/>
        <v>0</v>
      </c>
      <c r="Y418" s="35">
        <f t="shared" si="154"/>
        <v>0</v>
      </c>
      <c r="Z418" s="35">
        <f t="shared" si="154"/>
        <v>0</v>
      </c>
      <c r="AA418" s="35">
        <f t="shared" si="154"/>
        <v>0</v>
      </c>
    </row>
    <row r="419" spans="2:27" x14ac:dyDescent="0.2">
      <c r="B419" s="2">
        <v>417</v>
      </c>
      <c r="C419" s="2" t="str">
        <f t="shared" si="133"/>
        <v>s</v>
      </c>
      <c r="D419" s="29" t="s">
        <v>31</v>
      </c>
      <c r="E419" s="29" t="s">
        <v>219</v>
      </c>
      <c r="F419" s="2" t="s">
        <v>223</v>
      </c>
      <c r="G419" s="2">
        <f t="shared" si="150"/>
        <v>1</v>
      </c>
      <c r="H419" s="2" t="str">
        <f t="shared" si="140"/>
        <v>火炎</v>
      </c>
      <c r="I419" s="38">
        <f t="shared" si="143"/>
        <v>0.1</v>
      </c>
      <c r="J419" s="33">
        <f t="shared" si="144"/>
        <v>17</v>
      </c>
      <c r="K419" s="33">
        <f t="shared" si="153"/>
        <v>11</v>
      </c>
      <c r="L419" s="33">
        <f t="shared" si="153"/>
        <v>3</v>
      </c>
      <c r="M419" s="33">
        <f t="shared" si="153"/>
        <v>7</v>
      </c>
      <c r="N419" s="33">
        <f t="shared" si="141"/>
        <v>29</v>
      </c>
      <c r="O419" s="33">
        <f t="shared" si="153"/>
        <v>11</v>
      </c>
      <c r="P419" s="33">
        <f t="shared" si="153"/>
        <v>5</v>
      </c>
      <c r="Q419" s="33">
        <f t="shared" si="153"/>
        <v>4</v>
      </c>
      <c r="R419" s="35">
        <f t="shared" si="145"/>
        <v>1.3333333333333332E-2</v>
      </c>
      <c r="S419" s="35">
        <f t="shared" si="146"/>
        <v>1.6666666666666666E-2</v>
      </c>
      <c r="T419" s="35">
        <f t="shared" si="147"/>
        <v>1.3333333333333332E-2</v>
      </c>
      <c r="U419" s="35">
        <f t="shared" si="142"/>
        <v>9.9009900990099098E-3</v>
      </c>
      <c r="V419" s="35">
        <f t="shared" si="154"/>
        <v>9.9009900990099098E-3</v>
      </c>
      <c r="W419" s="35">
        <f t="shared" si="154"/>
        <v>9.9009900990099098E-3</v>
      </c>
      <c r="X419" s="35">
        <f t="shared" si="154"/>
        <v>6.5420560747663559E-2</v>
      </c>
      <c r="Y419" s="35">
        <f t="shared" si="154"/>
        <v>9.9009900990099098E-3</v>
      </c>
      <c r="Z419" s="35">
        <f t="shared" si="154"/>
        <v>9.9009900990099098E-3</v>
      </c>
      <c r="AA419" s="35">
        <f t="shared" si="154"/>
        <v>9.9009900990099098E-3</v>
      </c>
    </row>
    <row r="420" spans="2:27" x14ac:dyDescent="0.2">
      <c r="B420" s="2">
        <v>418</v>
      </c>
      <c r="C420" s="2" t="str">
        <f t="shared" ref="C420:C483" si="155">C388</f>
        <v>s</v>
      </c>
      <c r="D420" s="29" t="s">
        <v>31</v>
      </c>
      <c r="E420" s="29" t="s">
        <v>219</v>
      </c>
      <c r="F420" s="2" t="s">
        <v>223</v>
      </c>
      <c r="G420" s="2">
        <f t="shared" si="150"/>
        <v>2</v>
      </c>
      <c r="H420" s="2" t="str">
        <f t="shared" si="140"/>
        <v>火炎</v>
      </c>
      <c r="I420" s="38">
        <f t="shared" si="143"/>
        <v>0.16181818181818183</v>
      </c>
      <c r="J420" s="33">
        <f t="shared" si="144"/>
        <v>35</v>
      </c>
      <c r="K420" s="33">
        <f t="shared" si="153"/>
        <v>23</v>
      </c>
      <c r="L420" s="33">
        <f t="shared" si="153"/>
        <v>7</v>
      </c>
      <c r="M420" s="33">
        <f t="shared" si="153"/>
        <v>15</v>
      </c>
      <c r="N420" s="33">
        <f t="shared" si="141"/>
        <v>57</v>
      </c>
      <c r="O420" s="33">
        <f t="shared" si="153"/>
        <v>22</v>
      </c>
      <c r="P420" s="33">
        <f t="shared" si="153"/>
        <v>10</v>
      </c>
      <c r="Q420" s="33">
        <f t="shared" si="153"/>
        <v>9</v>
      </c>
      <c r="R420" s="35">
        <f t="shared" si="145"/>
        <v>0.03</v>
      </c>
      <c r="S420" s="35">
        <f t="shared" si="146"/>
        <v>3.3333333333333333E-2</v>
      </c>
      <c r="T420" s="35">
        <f t="shared" si="147"/>
        <v>0.03</v>
      </c>
      <c r="U420" s="35">
        <f t="shared" si="142"/>
        <v>2.4390243902439046E-2</v>
      </c>
      <c r="V420" s="35">
        <f t="shared" si="154"/>
        <v>2.4390243902439046E-2</v>
      </c>
      <c r="W420" s="35">
        <f t="shared" si="154"/>
        <v>2.4390243902439046E-2</v>
      </c>
      <c r="X420" s="35">
        <f t="shared" si="154"/>
        <v>0.1228070175438597</v>
      </c>
      <c r="Y420" s="35">
        <f t="shared" si="154"/>
        <v>2.4390243902439046E-2</v>
      </c>
      <c r="Z420" s="35">
        <f t="shared" si="154"/>
        <v>2.4390243902439046E-2</v>
      </c>
      <c r="AA420" s="35">
        <f t="shared" si="154"/>
        <v>2.4390243902439046E-2</v>
      </c>
    </row>
    <row r="421" spans="2:27" x14ac:dyDescent="0.2">
      <c r="B421" s="2">
        <v>419</v>
      </c>
      <c r="C421" s="2" t="str">
        <f t="shared" si="155"/>
        <v>s</v>
      </c>
      <c r="D421" s="29" t="s">
        <v>31</v>
      </c>
      <c r="E421" s="29" t="s">
        <v>219</v>
      </c>
      <c r="F421" s="2" t="s">
        <v>223</v>
      </c>
      <c r="G421" s="2">
        <f t="shared" si="150"/>
        <v>3</v>
      </c>
      <c r="H421" s="2" t="str">
        <f t="shared" si="140"/>
        <v>火炎</v>
      </c>
      <c r="I421" s="38">
        <f t="shared" si="143"/>
        <v>0.24363636363636362</v>
      </c>
      <c r="J421" s="33">
        <f t="shared" si="144"/>
        <v>53</v>
      </c>
      <c r="K421" s="33">
        <f t="shared" si="153"/>
        <v>35</v>
      </c>
      <c r="L421" s="33">
        <f t="shared" si="153"/>
        <v>10</v>
      </c>
      <c r="M421" s="33">
        <f t="shared" si="153"/>
        <v>23</v>
      </c>
      <c r="N421" s="33">
        <f t="shared" si="141"/>
        <v>85</v>
      </c>
      <c r="O421" s="33">
        <f t="shared" si="153"/>
        <v>33</v>
      </c>
      <c r="P421" s="33">
        <f t="shared" si="153"/>
        <v>15</v>
      </c>
      <c r="Q421" s="33">
        <f t="shared" si="153"/>
        <v>14</v>
      </c>
      <c r="R421" s="35">
        <f t="shared" si="145"/>
        <v>4.6666666666666669E-2</v>
      </c>
      <c r="S421" s="35">
        <f t="shared" si="146"/>
        <v>0.05</v>
      </c>
      <c r="T421" s="35">
        <f t="shared" si="147"/>
        <v>4.6666666666666669E-2</v>
      </c>
      <c r="U421" s="35">
        <f t="shared" si="142"/>
        <v>3.3816425120772986E-2</v>
      </c>
      <c r="V421" s="35">
        <f t="shared" si="154"/>
        <v>3.3816425120772986E-2</v>
      </c>
      <c r="W421" s="35">
        <f t="shared" si="154"/>
        <v>3.3816425120772986E-2</v>
      </c>
      <c r="X421" s="35">
        <f t="shared" si="154"/>
        <v>0.17355371900826444</v>
      </c>
      <c r="Y421" s="35">
        <f t="shared" si="154"/>
        <v>3.3816425120772986E-2</v>
      </c>
      <c r="Z421" s="35">
        <f t="shared" si="154"/>
        <v>3.3816425120772986E-2</v>
      </c>
      <c r="AA421" s="35">
        <f t="shared" si="154"/>
        <v>3.3816425120772986E-2</v>
      </c>
    </row>
    <row r="422" spans="2:27" x14ac:dyDescent="0.2">
      <c r="B422" s="2">
        <v>420</v>
      </c>
      <c r="C422" s="2" t="str">
        <f t="shared" si="155"/>
        <v>s</v>
      </c>
      <c r="D422" s="29" t="s">
        <v>31</v>
      </c>
      <c r="E422" s="29" t="s">
        <v>219</v>
      </c>
      <c r="F422" s="2" t="s">
        <v>223</v>
      </c>
      <c r="G422" s="2">
        <f t="shared" si="150"/>
        <v>4</v>
      </c>
      <c r="H422" s="2" t="str">
        <f t="shared" si="140"/>
        <v>火炎</v>
      </c>
      <c r="I422" s="38">
        <f t="shared" si="143"/>
        <v>0.32727272727272727</v>
      </c>
      <c r="J422" s="33">
        <f t="shared" si="144"/>
        <v>71</v>
      </c>
      <c r="K422" s="33">
        <f t="shared" si="153"/>
        <v>47</v>
      </c>
      <c r="L422" s="33">
        <f t="shared" si="153"/>
        <v>14</v>
      </c>
      <c r="M422" s="33">
        <f t="shared" si="153"/>
        <v>31</v>
      </c>
      <c r="N422" s="33">
        <f t="shared" si="141"/>
        <v>113</v>
      </c>
      <c r="O422" s="33">
        <f t="shared" si="153"/>
        <v>45</v>
      </c>
      <c r="P422" s="33">
        <f t="shared" si="153"/>
        <v>20</v>
      </c>
      <c r="Q422" s="33">
        <f t="shared" si="153"/>
        <v>19</v>
      </c>
      <c r="R422" s="35">
        <f t="shared" si="145"/>
        <v>6.3333333333333325E-2</v>
      </c>
      <c r="S422" s="35">
        <f t="shared" si="146"/>
        <v>6.6666666666666666E-2</v>
      </c>
      <c r="T422" s="35">
        <f t="shared" si="147"/>
        <v>6.3333333333333325E-2</v>
      </c>
      <c r="U422" s="35">
        <f t="shared" si="142"/>
        <v>4.3062200956937802E-2</v>
      </c>
      <c r="V422" s="35">
        <f t="shared" si="154"/>
        <v>4.3062200956937802E-2</v>
      </c>
      <c r="W422" s="35">
        <f t="shared" si="154"/>
        <v>4.3062200956937802E-2</v>
      </c>
      <c r="X422" s="35">
        <f t="shared" si="154"/>
        <v>0.21875</v>
      </c>
      <c r="Y422" s="35">
        <f t="shared" si="154"/>
        <v>4.3062200956937802E-2</v>
      </c>
      <c r="Z422" s="35">
        <f t="shared" si="154"/>
        <v>4.3062200956937802E-2</v>
      </c>
      <c r="AA422" s="35">
        <f t="shared" si="154"/>
        <v>4.3062200956937802E-2</v>
      </c>
    </row>
    <row r="423" spans="2:27" x14ac:dyDescent="0.2">
      <c r="B423" s="2">
        <v>421</v>
      </c>
      <c r="C423" s="2" t="str">
        <f t="shared" si="155"/>
        <v>s</v>
      </c>
      <c r="D423" s="29" t="s">
        <v>31</v>
      </c>
      <c r="E423" s="29" t="s">
        <v>219</v>
      </c>
      <c r="F423" s="2" t="s">
        <v>223</v>
      </c>
      <c r="G423" s="2">
        <f t="shared" si="150"/>
        <v>5</v>
      </c>
      <c r="H423" s="2" t="str">
        <f t="shared" si="140"/>
        <v>火炎</v>
      </c>
      <c r="I423" s="38">
        <f t="shared" si="143"/>
        <v>0.40909090909090906</v>
      </c>
      <c r="J423" s="33">
        <f t="shared" si="144"/>
        <v>89</v>
      </c>
      <c r="K423" s="33">
        <f t="shared" ref="K423:Q432" si="156">INT((1+VLOOKUP($F423,role_property_weight,getpos(K$2),FALSE))*(1+VLOOKUP($F423,weapon_property_weight,getpos(K$2),FALSE))*VLOOKUP($E423,role_grow,getpos(K$2),FALSE)*$G423*10*VLOOKUP($C423,weapon_grow1,5,FALSE))</f>
        <v>58</v>
      </c>
      <c r="L423" s="33">
        <f t="shared" si="156"/>
        <v>17</v>
      </c>
      <c r="M423" s="33">
        <f t="shared" si="156"/>
        <v>39</v>
      </c>
      <c r="N423" s="33">
        <f t="shared" si="141"/>
        <v>142</v>
      </c>
      <c r="O423" s="33">
        <f t="shared" si="156"/>
        <v>56</v>
      </c>
      <c r="P423" s="33">
        <f t="shared" si="156"/>
        <v>25</v>
      </c>
      <c r="Q423" s="33">
        <f t="shared" si="156"/>
        <v>24</v>
      </c>
      <c r="R423" s="35">
        <f t="shared" si="145"/>
        <v>0.08</v>
      </c>
      <c r="S423" s="35">
        <f t="shared" si="146"/>
        <v>8.3333333333333343E-2</v>
      </c>
      <c r="T423" s="35">
        <f t="shared" si="147"/>
        <v>0.08</v>
      </c>
      <c r="U423" s="35">
        <f t="shared" si="142"/>
        <v>5.6603773584905648E-2</v>
      </c>
      <c r="V423" s="35">
        <f t="shared" ref="V423:AA432" si="157">1-200/(200+ROUND((1+VLOOKUP($F423,role_property_weight,getpos(V$2),FALSE))*VLOOKUP($E423,role_grow,getpos(V$2),FALSE)*$G423*10*VLOOKUP($C423,weapon_grow1,5,FALSE),0))</f>
        <v>5.6603773584905648E-2</v>
      </c>
      <c r="W423" s="35">
        <f t="shared" si="157"/>
        <v>5.6603773584905648E-2</v>
      </c>
      <c r="X423" s="35">
        <f t="shared" si="157"/>
        <v>0.26199261992619927</v>
      </c>
      <c r="Y423" s="35">
        <f t="shared" si="157"/>
        <v>5.6603773584905648E-2</v>
      </c>
      <c r="Z423" s="35">
        <f t="shared" si="157"/>
        <v>5.6603773584905648E-2</v>
      </c>
      <c r="AA423" s="35">
        <f t="shared" si="157"/>
        <v>5.6603773584905648E-2</v>
      </c>
    </row>
    <row r="424" spans="2:27" x14ac:dyDescent="0.2">
      <c r="B424" s="2">
        <v>422</v>
      </c>
      <c r="C424" s="2" t="str">
        <f t="shared" si="155"/>
        <v>s</v>
      </c>
      <c r="D424" s="29" t="s">
        <v>31</v>
      </c>
      <c r="E424" s="29" t="s">
        <v>219</v>
      </c>
      <c r="F424" s="2" t="s">
        <v>223</v>
      </c>
      <c r="G424" s="2">
        <f t="shared" si="150"/>
        <v>6</v>
      </c>
      <c r="H424" s="2" t="str">
        <f t="shared" si="140"/>
        <v>火炎</v>
      </c>
      <c r="I424" s="38">
        <f t="shared" si="143"/>
        <v>0.49272727272727274</v>
      </c>
      <c r="J424" s="33">
        <f t="shared" si="144"/>
        <v>107</v>
      </c>
      <c r="K424" s="33">
        <f t="shared" si="156"/>
        <v>70</v>
      </c>
      <c r="L424" s="33">
        <f t="shared" si="156"/>
        <v>21</v>
      </c>
      <c r="M424" s="33">
        <f t="shared" si="156"/>
        <v>47</v>
      </c>
      <c r="N424" s="33">
        <f t="shared" si="141"/>
        <v>170</v>
      </c>
      <c r="O424" s="33">
        <f t="shared" si="156"/>
        <v>67</v>
      </c>
      <c r="P424" s="33">
        <f t="shared" si="156"/>
        <v>31</v>
      </c>
      <c r="Q424" s="33">
        <f t="shared" si="156"/>
        <v>29</v>
      </c>
      <c r="R424" s="35">
        <f t="shared" si="145"/>
        <v>9.6666666666666665E-2</v>
      </c>
      <c r="S424" s="35">
        <f t="shared" si="146"/>
        <v>0.10333333333333333</v>
      </c>
      <c r="T424" s="35">
        <f t="shared" si="147"/>
        <v>9.6666666666666665E-2</v>
      </c>
      <c r="U424" s="35">
        <f t="shared" si="142"/>
        <v>6.5420560747663559E-2</v>
      </c>
      <c r="V424" s="35">
        <f t="shared" si="157"/>
        <v>6.5420560747663559E-2</v>
      </c>
      <c r="W424" s="35">
        <f t="shared" si="157"/>
        <v>6.5420560747663559E-2</v>
      </c>
      <c r="X424" s="35">
        <f t="shared" si="157"/>
        <v>0.29824561403508776</v>
      </c>
      <c r="Y424" s="35">
        <f t="shared" si="157"/>
        <v>6.5420560747663559E-2</v>
      </c>
      <c r="Z424" s="35">
        <f t="shared" si="157"/>
        <v>6.5420560747663559E-2</v>
      </c>
      <c r="AA424" s="35">
        <f t="shared" si="157"/>
        <v>6.5420560747663559E-2</v>
      </c>
    </row>
    <row r="425" spans="2:27" x14ac:dyDescent="0.2">
      <c r="B425" s="2">
        <v>423</v>
      </c>
      <c r="C425" s="2" t="str">
        <f t="shared" si="155"/>
        <v>s</v>
      </c>
      <c r="D425" s="29" t="s">
        <v>31</v>
      </c>
      <c r="E425" s="29" t="s">
        <v>219</v>
      </c>
      <c r="F425" s="2" t="s">
        <v>223</v>
      </c>
      <c r="G425" s="2">
        <f t="shared" si="150"/>
        <v>7</v>
      </c>
      <c r="H425" s="2" t="str">
        <f t="shared" si="140"/>
        <v>火炎</v>
      </c>
      <c r="I425" s="38">
        <f t="shared" si="143"/>
        <v>0.57545454545454544</v>
      </c>
      <c r="J425" s="33">
        <f t="shared" si="144"/>
        <v>125</v>
      </c>
      <c r="K425" s="33">
        <f t="shared" si="156"/>
        <v>82</v>
      </c>
      <c r="L425" s="33">
        <f t="shared" si="156"/>
        <v>24</v>
      </c>
      <c r="M425" s="33">
        <f t="shared" si="156"/>
        <v>55</v>
      </c>
      <c r="N425" s="33">
        <f t="shared" si="141"/>
        <v>198</v>
      </c>
      <c r="O425" s="33">
        <f t="shared" si="156"/>
        <v>79</v>
      </c>
      <c r="P425" s="33">
        <f t="shared" si="156"/>
        <v>36</v>
      </c>
      <c r="Q425" s="33">
        <f t="shared" si="156"/>
        <v>34</v>
      </c>
      <c r="R425" s="35">
        <f t="shared" si="145"/>
        <v>0.11333333333333334</v>
      </c>
      <c r="S425" s="35">
        <f t="shared" si="146"/>
        <v>0.12</v>
      </c>
      <c r="T425" s="35">
        <f t="shared" si="147"/>
        <v>0.11333333333333334</v>
      </c>
      <c r="U425" s="35">
        <f t="shared" si="142"/>
        <v>7.407407407407407E-2</v>
      </c>
      <c r="V425" s="35">
        <f t="shared" si="157"/>
        <v>7.407407407407407E-2</v>
      </c>
      <c r="W425" s="35">
        <f t="shared" si="157"/>
        <v>7.407407407407407E-2</v>
      </c>
      <c r="X425" s="35">
        <f t="shared" si="157"/>
        <v>0.33110367892976589</v>
      </c>
      <c r="Y425" s="35">
        <f t="shared" si="157"/>
        <v>7.407407407407407E-2</v>
      </c>
      <c r="Z425" s="35">
        <f t="shared" si="157"/>
        <v>7.407407407407407E-2</v>
      </c>
      <c r="AA425" s="35">
        <f t="shared" si="157"/>
        <v>7.407407407407407E-2</v>
      </c>
    </row>
    <row r="426" spans="2:27" x14ac:dyDescent="0.2">
      <c r="B426" s="2">
        <v>424</v>
      </c>
      <c r="C426" s="2" t="str">
        <f t="shared" si="155"/>
        <v>s</v>
      </c>
      <c r="D426" s="29" t="s">
        <v>31</v>
      </c>
      <c r="E426" s="29" t="s">
        <v>219</v>
      </c>
      <c r="F426" s="2" t="s">
        <v>223</v>
      </c>
      <c r="G426" s="2">
        <f t="shared" si="150"/>
        <v>8</v>
      </c>
      <c r="H426" s="2" t="str">
        <f t="shared" si="140"/>
        <v>火炎</v>
      </c>
      <c r="I426" s="38">
        <f t="shared" si="143"/>
        <v>0.65818181818181809</v>
      </c>
      <c r="J426" s="33">
        <f t="shared" si="144"/>
        <v>143</v>
      </c>
      <c r="K426" s="33">
        <f t="shared" si="156"/>
        <v>94</v>
      </c>
      <c r="L426" s="33">
        <f t="shared" si="156"/>
        <v>28</v>
      </c>
      <c r="M426" s="33">
        <f t="shared" si="156"/>
        <v>63</v>
      </c>
      <c r="N426" s="33">
        <f t="shared" si="141"/>
        <v>226</v>
      </c>
      <c r="O426" s="33">
        <f t="shared" si="156"/>
        <v>90</v>
      </c>
      <c r="P426" s="33">
        <f t="shared" si="156"/>
        <v>41</v>
      </c>
      <c r="Q426" s="33">
        <f t="shared" si="156"/>
        <v>39</v>
      </c>
      <c r="R426" s="35">
        <f t="shared" si="145"/>
        <v>0.13</v>
      </c>
      <c r="S426" s="35">
        <f t="shared" si="146"/>
        <v>0.13666666666666666</v>
      </c>
      <c r="T426" s="35">
        <f t="shared" si="147"/>
        <v>0.13</v>
      </c>
      <c r="U426" s="35">
        <f t="shared" si="142"/>
        <v>8.6757990867579959E-2</v>
      </c>
      <c r="V426" s="35">
        <f t="shared" si="157"/>
        <v>8.6757990867579959E-2</v>
      </c>
      <c r="W426" s="35">
        <f t="shared" si="157"/>
        <v>8.6757990867579959E-2</v>
      </c>
      <c r="X426" s="35">
        <f t="shared" si="157"/>
        <v>0.36102236421725242</v>
      </c>
      <c r="Y426" s="35">
        <f t="shared" si="157"/>
        <v>8.6757990867579959E-2</v>
      </c>
      <c r="Z426" s="35">
        <f t="shared" si="157"/>
        <v>8.6757990867579959E-2</v>
      </c>
      <c r="AA426" s="35">
        <f t="shared" si="157"/>
        <v>8.6757990867579959E-2</v>
      </c>
    </row>
    <row r="427" spans="2:27" x14ac:dyDescent="0.2">
      <c r="B427" s="2">
        <v>425</v>
      </c>
      <c r="C427" s="2" t="str">
        <f t="shared" si="155"/>
        <v>a</v>
      </c>
      <c r="D427" s="29" t="s">
        <v>31</v>
      </c>
      <c r="E427" s="29" t="s">
        <v>219</v>
      </c>
      <c r="F427" s="2" t="s">
        <v>223</v>
      </c>
      <c r="G427" s="2">
        <f t="shared" si="150"/>
        <v>1</v>
      </c>
      <c r="H427" s="2" t="str">
        <f t="shared" si="140"/>
        <v>火炎</v>
      </c>
      <c r="I427" s="38">
        <f t="shared" si="143"/>
        <v>0.1</v>
      </c>
      <c r="J427" s="33">
        <f t="shared" si="144"/>
        <v>13</v>
      </c>
      <c r="K427" s="33">
        <f t="shared" si="156"/>
        <v>12</v>
      </c>
      <c r="L427" s="33">
        <f t="shared" si="156"/>
        <v>3</v>
      </c>
      <c r="M427" s="33">
        <f t="shared" si="156"/>
        <v>8</v>
      </c>
      <c r="N427" s="33">
        <f t="shared" si="141"/>
        <v>30</v>
      </c>
      <c r="O427" s="33">
        <f t="shared" si="156"/>
        <v>11</v>
      </c>
      <c r="P427" s="33">
        <f t="shared" si="156"/>
        <v>5</v>
      </c>
      <c r="Q427" s="33">
        <f t="shared" si="156"/>
        <v>5</v>
      </c>
      <c r="R427" s="35">
        <f t="shared" si="145"/>
        <v>1.6666666666666666E-2</v>
      </c>
      <c r="S427" s="35">
        <f t="shared" si="146"/>
        <v>1.6666666666666666E-2</v>
      </c>
      <c r="T427" s="35">
        <f t="shared" si="147"/>
        <v>1.6666666666666666E-2</v>
      </c>
      <c r="U427" s="35">
        <f t="shared" si="142"/>
        <v>9.9009900990099098E-3</v>
      </c>
      <c r="V427" s="35">
        <f t="shared" si="157"/>
        <v>9.9009900990099098E-3</v>
      </c>
      <c r="W427" s="35">
        <f t="shared" si="157"/>
        <v>9.9009900990099098E-3</v>
      </c>
      <c r="X427" s="35">
        <f t="shared" si="157"/>
        <v>6.9767441860465129E-2</v>
      </c>
      <c r="Y427" s="35">
        <f t="shared" si="157"/>
        <v>9.9009900990099098E-3</v>
      </c>
      <c r="Z427" s="35">
        <f t="shared" si="157"/>
        <v>9.9009900990099098E-3</v>
      </c>
      <c r="AA427" s="35">
        <f t="shared" si="157"/>
        <v>9.9009900990099098E-3</v>
      </c>
    </row>
    <row r="428" spans="2:27" x14ac:dyDescent="0.2">
      <c r="B428" s="2">
        <v>426</v>
      </c>
      <c r="C428" s="2" t="str">
        <f t="shared" si="155"/>
        <v>a</v>
      </c>
      <c r="D428" s="29" t="s">
        <v>31</v>
      </c>
      <c r="E428" s="29" t="s">
        <v>219</v>
      </c>
      <c r="F428" s="2" t="s">
        <v>223</v>
      </c>
      <c r="G428" s="2">
        <f t="shared" si="150"/>
        <v>2</v>
      </c>
      <c r="H428" s="2" t="str">
        <f t="shared" si="140"/>
        <v>火炎</v>
      </c>
      <c r="I428" s="38">
        <f t="shared" si="143"/>
        <v>0.16090909090909089</v>
      </c>
      <c r="J428" s="33">
        <f t="shared" si="144"/>
        <v>27</v>
      </c>
      <c r="K428" s="33">
        <f t="shared" si="156"/>
        <v>24</v>
      </c>
      <c r="L428" s="33">
        <f t="shared" si="156"/>
        <v>7</v>
      </c>
      <c r="M428" s="33">
        <f t="shared" si="156"/>
        <v>16</v>
      </c>
      <c r="N428" s="33">
        <f t="shared" si="141"/>
        <v>60</v>
      </c>
      <c r="O428" s="33">
        <f t="shared" si="156"/>
        <v>23</v>
      </c>
      <c r="P428" s="33">
        <f t="shared" si="156"/>
        <v>10</v>
      </c>
      <c r="Q428" s="33">
        <f t="shared" si="156"/>
        <v>10</v>
      </c>
      <c r="R428" s="35">
        <f t="shared" si="145"/>
        <v>3.3333333333333333E-2</v>
      </c>
      <c r="S428" s="35">
        <f t="shared" si="146"/>
        <v>3.3333333333333333E-2</v>
      </c>
      <c r="T428" s="35">
        <f t="shared" si="147"/>
        <v>3.3333333333333333E-2</v>
      </c>
      <c r="U428" s="35">
        <f t="shared" si="142"/>
        <v>2.4390243902439046E-2</v>
      </c>
      <c r="V428" s="35">
        <f t="shared" si="157"/>
        <v>2.4390243902439046E-2</v>
      </c>
      <c r="W428" s="35">
        <f t="shared" si="157"/>
        <v>2.4390243902439046E-2</v>
      </c>
      <c r="X428" s="35">
        <f t="shared" si="157"/>
        <v>0.13043478260869568</v>
      </c>
      <c r="Y428" s="35">
        <f t="shared" si="157"/>
        <v>2.4390243902439046E-2</v>
      </c>
      <c r="Z428" s="35">
        <f t="shared" si="157"/>
        <v>2.4390243902439046E-2</v>
      </c>
      <c r="AA428" s="35">
        <f t="shared" si="157"/>
        <v>2.4390243902439046E-2</v>
      </c>
    </row>
    <row r="429" spans="2:27" x14ac:dyDescent="0.2">
      <c r="B429" s="2">
        <v>427</v>
      </c>
      <c r="C429" s="2" t="str">
        <f t="shared" si="155"/>
        <v>a</v>
      </c>
      <c r="D429" s="29" t="s">
        <v>31</v>
      </c>
      <c r="E429" s="29" t="s">
        <v>219</v>
      </c>
      <c r="F429" s="2" t="s">
        <v>223</v>
      </c>
      <c r="G429" s="2">
        <f t="shared" si="150"/>
        <v>3</v>
      </c>
      <c r="H429" s="2" t="str">
        <f t="shared" si="140"/>
        <v>火炎</v>
      </c>
      <c r="I429" s="38">
        <f t="shared" si="143"/>
        <v>0.24454545454545454</v>
      </c>
      <c r="J429" s="33">
        <f t="shared" si="144"/>
        <v>41</v>
      </c>
      <c r="K429" s="33">
        <f t="shared" si="156"/>
        <v>37</v>
      </c>
      <c r="L429" s="33">
        <f t="shared" si="156"/>
        <v>11</v>
      </c>
      <c r="M429" s="33">
        <f t="shared" si="156"/>
        <v>24</v>
      </c>
      <c r="N429" s="33">
        <f t="shared" si="141"/>
        <v>90</v>
      </c>
      <c r="O429" s="33">
        <f t="shared" si="156"/>
        <v>35</v>
      </c>
      <c r="P429" s="33">
        <f t="shared" si="156"/>
        <v>16</v>
      </c>
      <c r="Q429" s="33">
        <f t="shared" si="156"/>
        <v>15</v>
      </c>
      <c r="R429" s="35">
        <f t="shared" si="145"/>
        <v>0.05</v>
      </c>
      <c r="S429" s="35">
        <f t="shared" si="146"/>
        <v>5.333333333333333E-2</v>
      </c>
      <c r="T429" s="35">
        <f t="shared" si="147"/>
        <v>0.05</v>
      </c>
      <c r="U429" s="35">
        <f t="shared" si="142"/>
        <v>3.3816425120772986E-2</v>
      </c>
      <c r="V429" s="35">
        <f t="shared" si="157"/>
        <v>3.3816425120772986E-2</v>
      </c>
      <c r="W429" s="35">
        <f t="shared" si="157"/>
        <v>3.3816425120772986E-2</v>
      </c>
      <c r="X429" s="35">
        <f t="shared" si="157"/>
        <v>0.18367346938775508</v>
      </c>
      <c r="Y429" s="35">
        <f t="shared" si="157"/>
        <v>3.3816425120772986E-2</v>
      </c>
      <c r="Z429" s="35">
        <f t="shared" si="157"/>
        <v>3.3816425120772986E-2</v>
      </c>
      <c r="AA429" s="35">
        <f t="shared" si="157"/>
        <v>3.3816425120772986E-2</v>
      </c>
    </row>
    <row r="430" spans="2:27" x14ac:dyDescent="0.2">
      <c r="B430" s="2">
        <v>428</v>
      </c>
      <c r="C430" s="2" t="str">
        <f t="shared" si="155"/>
        <v>a</v>
      </c>
      <c r="D430" s="29" t="s">
        <v>31</v>
      </c>
      <c r="E430" s="29" t="s">
        <v>219</v>
      </c>
      <c r="F430" s="2" t="s">
        <v>223</v>
      </c>
      <c r="G430" s="2">
        <f t="shared" si="150"/>
        <v>4</v>
      </c>
      <c r="H430" s="2" t="str">
        <f t="shared" si="140"/>
        <v>火炎</v>
      </c>
      <c r="I430" s="38">
        <f t="shared" si="143"/>
        <v>0.32636363636363636</v>
      </c>
      <c r="J430" s="33">
        <f t="shared" si="144"/>
        <v>55</v>
      </c>
      <c r="K430" s="33">
        <f t="shared" si="156"/>
        <v>49</v>
      </c>
      <c r="L430" s="33">
        <f t="shared" si="156"/>
        <v>14</v>
      </c>
      <c r="M430" s="33">
        <f t="shared" si="156"/>
        <v>33</v>
      </c>
      <c r="N430" s="33">
        <f t="shared" si="141"/>
        <v>120</v>
      </c>
      <c r="O430" s="33">
        <f t="shared" si="156"/>
        <v>47</v>
      </c>
      <c r="P430" s="33">
        <f t="shared" si="156"/>
        <v>21</v>
      </c>
      <c r="Q430" s="33">
        <f t="shared" si="156"/>
        <v>20</v>
      </c>
      <c r="R430" s="35">
        <f t="shared" si="145"/>
        <v>6.6666666666666666E-2</v>
      </c>
      <c r="S430" s="35">
        <f t="shared" si="146"/>
        <v>7.0000000000000007E-2</v>
      </c>
      <c r="T430" s="35">
        <f t="shared" si="147"/>
        <v>6.6666666666666666E-2</v>
      </c>
      <c r="U430" s="35">
        <f t="shared" si="142"/>
        <v>4.7619047619047672E-2</v>
      </c>
      <c r="V430" s="35">
        <f t="shared" si="157"/>
        <v>4.7619047619047672E-2</v>
      </c>
      <c r="W430" s="35">
        <f t="shared" si="157"/>
        <v>4.7619047619047672E-2</v>
      </c>
      <c r="X430" s="35">
        <f t="shared" si="157"/>
        <v>0.23076923076923073</v>
      </c>
      <c r="Y430" s="35">
        <f t="shared" si="157"/>
        <v>4.7619047619047672E-2</v>
      </c>
      <c r="Z430" s="35">
        <f t="shared" si="157"/>
        <v>4.7619047619047672E-2</v>
      </c>
      <c r="AA430" s="35">
        <f t="shared" si="157"/>
        <v>4.7619047619047672E-2</v>
      </c>
    </row>
    <row r="431" spans="2:27" x14ac:dyDescent="0.2">
      <c r="B431" s="2">
        <v>429</v>
      </c>
      <c r="C431" s="2" t="str">
        <f t="shared" si="155"/>
        <v>a</v>
      </c>
      <c r="D431" s="29" t="s">
        <v>31</v>
      </c>
      <c r="E431" s="29" t="s">
        <v>219</v>
      </c>
      <c r="F431" s="2" t="s">
        <v>223</v>
      </c>
      <c r="G431" s="2">
        <f t="shared" si="150"/>
        <v>5</v>
      </c>
      <c r="H431" s="2" t="str">
        <f t="shared" si="140"/>
        <v>火炎</v>
      </c>
      <c r="I431" s="38">
        <f t="shared" si="143"/>
        <v>0.40909090909090906</v>
      </c>
      <c r="J431" s="33">
        <f t="shared" si="144"/>
        <v>68</v>
      </c>
      <c r="K431" s="33">
        <f t="shared" si="156"/>
        <v>62</v>
      </c>
      <c r="L431" s="33">
        <f t="shared" si="156"/>
        <v>18</v>
      </c>
      <c r="M431" s="33">
        <f t="shared" si="156"/>
        <v>41</v>
      </c>
      <c r="N431" s="33">
        <f t="shared" si="141"/>
        <v>149</v>
      </c>
      <c r="O431" s="33">
        <f t="shared" si="156"/>
        <v>59</v>
      </c>
      <c r="P431" s="33">
        <f t="shared" si="156"/>
        <v>27</v>
      </c>
      <c r="Q431" s="33">
        <f t="shared" si="156"/>
        <v>26</v>
      </c>
      <c r="R431" s="35">
        <f t="shared" si="145"/>
        <v>8.6666666666666656E-2</v>
      </c>
      <c r="S431" s="35">
        <f t="shared" si="146"/>
        <v>0.09</v>
      </c>
      <c r="T431" s="35">
        <f t="shared" si="147"/>
        <v>8.6666666666666656E-2</v>
      </c>
      <c r="U431" s="35">
        <f t="shared" si="142"/>
        <v>5.6603773584905648E-2</v>
      </c>
      <c r="V431" s="35">
        <f t="shared" si="157"/>
        <v>5.6603773584905648E-2</v>
      </c>
      <c r="W431" s="35">
        <f t="shared" si="157"/>
        <v>5.6603773584905648E-2</v>
      </c>
      <c r="X431" s="35">
        <f t="shared" si="157"/>
        <v>0.27007299270072993</v>
      </c>
      <c r="Y431" s="35">
        <f t="shared" si="157"/>
        <v>5.6603773584905648E-2</v>
      </c>
      <c r="Z431" s="35">
        <f t="shared" si="157"/>
        <v>5.6603773584905648E-2</v>
      </c>
      <c r="AA431" s="35">
        <f t="shared" si="157"/>
        <v>5.6603773584905648E-2</v>
      </c>
    </row>
    <row r="432" spans="2:27" x14ac:dyDescent="0.2">
      <c r="B432" s="2">
        <v>430</v>
      </c>
      <c r="C432" s="2" t="str">
        <f t="shared" si="155"/>
        <v>a</v>
      </c>
      <c r="D432" s="29" t="s">
        <v>31</v>
      </c>
      <c r="E432" s="29" t="s">
        <v>219</v>
      </c>
      <c r="F432" s="2" t="s">
        <v>223</v>
      </c>
      <c r="G432" s="2">
        <f t="shared" si="150"/>
        <v>6</v>
      </c>
      <c r="H432" s="2" t="str">
        <f t="shared" si="140"/>
        <v>火炎</v>
      </c>
      <c r="I432" s="38">
        <f t="shared" si="143"/>
        <v>0.49090909090909096</v>
      </c>
      <c r="J432" s="33">
        <f t="shared" si="144"/>
        <v>82</v>
      </c>
      <c r="K432" s="33">
        <f t="shared" si="156"/>
        <v>74</v>
      </c>
      <c r="L432" s="33">
        <f t="shared" si="156"/>
        <v>22</v>
      </c>
      <c r="M432" s="33">
        <f t="shared" si="156"/>
        <v>49</v>
      </c>
      <c r="N432" s="33">
        <f t="shared" si="141"/>
        <v>179</v>
      </c>
      <c r="O432" s="33">
        <f t="shared" si="156"/>
        <v>71</v>
      </c>
      <c r="P432" s="33">
        <f t="shared" si="156"/>
        <v>32</v>
      </c>
      <c r="Q432" s="33">
        <f t="shared" si="156"/>
        <v>31</v>
      </c>
      <c r="R432" s="35">
        <f t="shared" si="145"/>
        <v>0.10333333333333333</v>
      </c>
      <c r="S432" s="35">
        <f t="shared" si="146"/>
        <v>0.10666666666666666</v>
      </c>
      <c r="T432" s="35">
        <f t="shared" si="147"/>
        <v>0.10333333333333333</v>
      </c>
      <c r="U432" s="35">
        <f t="shared" si="142"/>
        <v>6.9767441860465129E-2</v>
      </c>
      <c r="V432" s="35">
        <f t="shared" si="157"/>
        <v>6.9767441860465129E-2</v>
      </c>
      <c r="W432" s="35">
        <f t="shared" si="157"/>
        <v>6.9767441860465129E-2</v>
      </c>
      <c r="X432" s="35">
        <f t="shared" si="157"/>
        <v>0.30795847750865057</v>
      </c>
      <c r="Y432" s="35">
        <f t="shared" si="157"/>
        <v>6.9767441860465129E-2</v>
      </c>
      <c r="Z432" s="35">
        <f t="shared" si="157"/>
        <v>6.9767441860465129E-2</v>
      </c>
      <c r="AA432" s="35">
        <f t="shared" si="157"/>
        <v>6.9767441860465129E-2</v>
      </c>
    </row>
    <row r="433" spans="2:27" x14ac:dyDescent="0.2">
      <c r="B433" s="2">
        <v>431</v>
      </c>
      <c r="C433" s="2" t="str">
        <f t="shared" si="155"/>
        <v>a</v>
      </c>
      <c r="D433" s="29" t="s">
        <v>31</v>
      </c>
      <c r="E433" s="29" t="s">
        <v>219</v>
      </c>
      <c r="F433" s="2" t="s">
        <v>223</v>
      </c>
      <c r="G433" s="2">
        <f t="shared" si="150"/>
        <v>7</v>
      </c>
      <c r="H433" s="2" t="str">
        <f t="shared" si="140"/>
        <v>火炎</v>
      </c>
      <c r="I433" s="38">
        <f t="shared" si="143"/>
        <v>0.57454545454545458</v>
      </c>
      <c r="J433" s="33">
        <f t="shared" si="144"/>
        <v>96</v>
      </c>
      <c r="K433" s="33">
        <f t="shared" ref="K433:Q442" si="158">INT((1+VLOOKUP($F433,role_property_weight,getpos(K$2),FALSE))*(1+VLOOKUP($F433,weapon_property_weight,getpos(K$2),FALSE))*VLOOKUP($E433,role_grow,getpos(K$2),FALSE)*$G433*10*VLOOKUP($C433,weapon_grow1,5,FALSE))</f>
        <v>86</v>
      </c>
      <c r="L433" s="33">
        <f t="shared" si="158"/>
        <v>26</v>
      </c>
      <c r="M433" s="33">
        <f t="shared" si="158"/>
        <v>58</v>
      </c>
      <c r="N433" s="33">
        <f t="shared" si="141"/>
        <v>209</v>
      </c>
      <c r="O433" s="33">
        <f t="shared" si="158"/>
        <v>83</v>
      </c>
      <c r="P433" s="33">
        <f t="shared" si="158"/>
        <v>38</v>
      </c>
      <c r="Q433" s="33">
        <f t="shared" si="158"/>
        <v>36</v>
      </c>
      <c r="R433" s="35">
        <f t="shared" si="145"/>
        <v>0.12</v>
      </c>
      <c r="S433" s="35">
        <f t="shared" si="146"/>
        <v>0.12666666666666665</v>
      </c>
      <c r="T433" s="35">
        <f t="shared" si="147"/>
        <v>0.12</v>
      </c>
      <c r="U433" s="35">
        <f t="shared" si="142"/>
        <v>7.8341013824884786E-2</v>
      </c>
      <c r="V433" s="35">
        <f t="shared" ref="V433:AA442" si="159">1-200/(200+ROUND((1+VLOOKUP($F433,role_property_weight,getpos(V$2),FALSE))*VLOOKUP($E433,role_grow,getpos(V$2),FALSE)*$G433*10*VLOOKUP($C433,weapon_grow1,5,FALSE),0))</f>
        <v>7.8341013824884786E-2</v>
      </c>
      <c r="W433" s="35">
        <f t="shared" si="159"/>
        <v>7.8341013824884786E-2</v>
      </c>
      <c r="X433" s="35">
        <f t="shared" si="159"/>
        <v>0.34210526315789469</v>
      </c>
      <c r="Y433" s="35">
        <f t="shared" si="159"/>
        <v>7.8341013824884786E-2</v>
      </c>
      <c r="Z433" s="35">
        <f t="shared" si="159"/>
        <v>7.8341013824884786E-2</v>
      </c>
      <c r="AA433" s="35">
        <f t="shared" si="159"/>
        <v>7.8341013824884786E-2</v>
      </c>
    </row>
    <row r="434" spans="2:27" x14ac:dyDescent="0.2">
      <c r="B434" s="2">
        <v>432</v>
      </c>
      <c r="C434" s="2" t="str">
        <f t="shared" si="155"/>
        <v>a</v>
      </c>
      <c r="D434" s="29" t="s">
        <v>31</v>
      </c>
      <c r="E434" s="29" t="s">
        <v>219</v>
      </c>
      <c r="F434" s="2" t="s">
        <v>223</v>
      </c>
      <c r="G434" s="2">
        <f t="shared" si="150"/>
        <v>8</v>
      </c>
      <c r="H434" s="2" t="str">
        <f t="shared" si="140"/>
        <v>火炎</v>
      </c>
      <c r="I434" s="38">
        <f t="shared" si="143"/>
        <v>0.65636363636363637</v>
      </c>
      <c r="J434" s="33">
        <f t="shared" si="144"/>
        <v>110</v>
      </c>
      <c r="K434" s="33">
        <f t="shared" si="158"/>
        <v>99</v>
      </c>
      <c r="L434" s="33">
        <f t="shared" si="158"/>
        <v>29</v>
      </c>
      <c r="M434" s="33">
        <f t="shared" si="158"/>
        <v>66</v>
      </c>
      <c r="N434" s="33">
        <f t="shared" si="141"/>
        <v>239</v>
      </c>
      <c r="O434" s="33">
        <f t="shared" si="158"/>
        <v>95</v>
      </c>
      <c r="P434" s="33">
        <f t="shared" si="158"/>
        <v>43</v>
      </c>
      <c r="Q434" s="33">
        <f t="shared" si="158"/>
        <v>41</v>
      </c>
      <c r="R434" s="35">
        <f t="shared" si="145"/>
        <v>0.13666666666666666</v>
      </c>
      <c r="S434" s="35">
        <f t="shared" si="146"/>
        <v>0.14333333333333334</v>
      </c>
      <c r="T434" s="35">
        <f t="shared" si="147"/>
        <v>0.13666666666666666</v>
      </c>
      <c r="U434" s="35">
        <f t="shared" si="142"/>
        <v>9.0909090909090939E-2</v>
      </c>
      <c r="V434" s="35">
        <f t="shared" si="159"/>
        <v>9.0909090909090939E-2</v>
      </c>
      <c r="W434" s="35">
        <f t="shared" si="159"/>
        <v>9.0909090909090939E-2</v>
      </c>
      <c r="X434" s="35">
        <f t="shared" si="159"/>
        <v>0.37304075235109713</v>
      </c>
      <c r="Y434" s="35">
        <f t="shared" si="159"/>
        <v>9.0909090909090939E-2</v>
      </c>
      <c r="Z434" s="35">
        <f t="shared" si="159"/>
        <v>9.0909090909090939E-2</v>
      </c>
      <c r="AA434" s="35">
        <f t="shared" si="159"/>
        <v>9.0909090909090939E-2</v>
      </c>
    </row>
    <row r="435" spans="2:27" x14ac:dyDescent="0.2">
      <c r="B435" s="2">
        <v>433</v>
      </c>
      <c r="C435" s="2" t="str">
        <f t="shared" si="155"/>
        <v>b</v>
      </c>
      <c r="D435" s="29" t="s">
        <v>31</v>
      </c>
      <c r="E435" s="29" t="s">
        <v>219</v>
      </c>
      <c r="F435" s="2" t="s">
        <v>223</v>
      </c>
      <c r="G435" s="2">
        <f t="shared" si="150"/>
        <v>1</v>
      </c>
      <c r="H435" s="2" t="str">
        <f t="shared" si="140"/>
        <v>火炎</v>
      </c>
      <c r="I435" s="38">
        <f t="shared" si="143"/>
        <v>0.1</v>
      </c>
      <c r="J435" s="33">
        <f t="shared" si="144"/>
        <v>14</v>
      </c>
      <c r="K435" s="33">
        <f t="shared" si="158"/>
        <v>15</v>
      </c>
      <c r="L435" s="33">
        <f t="shared" si="158"/>
        <v>4</v>
      </c>
      <c r="M435" s="33">
        <f t="shared" si="158"/>
        <v>10</v>
      </c>
      <c r="N435" s="33">
        <f t="shared" si="141"/>
        <v>38</v>
      </c>
      <c r="O435" s="33">
        <f t="shared" si="158"/>
        <v>14</v>
      </c>
      <c r="P435" s="33">
        <f t="shared" si="158"/>
        <v>6</v>
      </c>
      <c r="Q435" s="33">
        <f t="shared" si="158"/>
        <v>6</v>
      </c>
      <c r="R435" s="35">
        <f t="shared" si="145"/>
        <v>0.02</v>
      </c>
      <c r="S435" s="35">
        <f t="shared" si="146"/>
        <v>0.02</v>
      </c>
      <c r="T435" s="35">
        <f t="shared" si="147"/>
        <v>0.02</v>
      </c>
      <c r="U435" s="35">
        <f t="shared" si="142"/>
        <v>1.4778325123152691E-2</v>
      </c>
      <c r="V435" s="35">
        <f t="shared" si="159"/>
        <v>1.4778325123152691E-2</v>
      </c>
      <c r="W435" s="35">
        <f t="shared" si="159"/>
        <v>1.4778325123152691E-2</v>
      </c>
      <c r="X435" s="35">
        <f t="shared" si="159"/>
        <v>8.6757990867579959E-2</v>
      </c>
      <c r="Y435" s="35">
        <f t="shared" si="159"/>
        <v>1.4778325123152691E-2</v>
      </c>
      <c r="Z435" s="35">
        <f t="shared" si="159"/>
        <v>1.4778325123152691E-2</v>
      </c>
      <c r="AA435" s="35">
        <f t="shared" si="159"/>
        <v>1.4778325123152691E-2</v>
      </c>
    </row>
    <row r="436" spans="2:27" x14ac:dyDescent="0.2">
      <c r="B436" s="2">
        <v>434</v>
      </c>
      <c r="C436" s="2" t="str">
        <f t="shared" si="155"/>
        <v>b</v>
      </c>
      <c r="D436" s="29" t="s">
        <v>31</v>
      </c>
      <c r="E436" s="29" t="s">
        <v>219</v>
      </c>
      <c r="F436" s="2" t="s">
        <v>223</v>
      </c>
      <c r="G436" s="2">
        <f t="shared" si="150"/>
        <v>2</v>
      </c>
      <c r="H436" s="2" t="str">
        <f t="shared" si="140"/>
        <v>火炎</v>
      </c>
      <c r="I436" s="38">
        <f t="shared" si="143"/>
        <v>0.1990909090909091</v>
      </c>
      <c r="J436" s="33">
        <f t="shared" si="144"/>
        <v>29</v>
      </c>
      <c r="K436" s="33">
        <f t="shared" si="158"/>
        <v>31</v>
      </c>
      <c r="L436" s="33">
        <f t="shared" si="158"/>
        <v>9</v>
      </c>
      <c r="M436" s="33">
        <f t="shared" si="158"/>
        <v>20</v>
      </c>
      <c r="N436" s="33">
        <f t="shared" si="141"/>
        <v>75</v>
      </c>
      <c r="O436" s="33">
        <f t="shared" si="158"/>
        <v>29</v>
      </c>
      <c r="P436" s="33">
        <f t="shared" si="158"/>
        <v>13</v>
      </c>
      <c r="Q436" s="33">
        <f t="shared" si="158"/>
        <v>13</v>
      </c>
      <c r="R436" s="35">
        <f t="shared" si="145"/>
        <v>4.3333333333333328E-2</v>
      </c>
      <c r="S436" s="35">
        <f t="shared" si="146"/>
        <v>4.3333333333333328E-2</v>
      </c>
      <c r="T436" s="35">
        <f t="shared" si="147"/>
        <v>4.3333333333333328E-2</v>
      </c>
      <c r="U436" s="35">
        <f t="shared" si="142"/>
        <v>2.9126213592232997E-2</v>
      </c>
      <c r="V436" s="35">
        <f t="shared" si="159"/>
        <v>2.9126213592232997E-2</v>
      </c>
      <c r="W436" s="35">
        <f t="shared" si="159"/>
        <v>2.9126213592232997E-2</v>
      </c>
      <c r="X436" s="35">
        <f t="shared" si="159"/>
        <v>0.15611814345991559</v>
      </c>
      <c r="Y436" s="35">
        <f t="shared" si="159"/>
        <v>2.9126213592232997E-2</v>
      </c>
      <c r="Z436" s="35">
        <f t="shared" si="159"/>
        <v>2.9126213592232997E-2</v>
      </c>
      <c r="AA436" s="35">
        <f t="shared" si="159"/>
        <v>2.9126213592232997E-2</v>
      </c>
    </row>
    <row r="437" spans="2:27" x14ac:dyDescent="0.2">
      <c r="B437" s="2">
        <v>435</v>
      </c>
      <c r="C437" s="2" t="str">
        <f t="shared" si="155"/>
        <v>b</v>
      </c>
      <c r="D437" s="29" t="s">
        <v>31</v>
      </c>
      <c r="E437" s="29" t="s">
        <v>219</v>
      </c>
      <c r="F437" s="2" t="s">
        <v>223</v>
      </c>
      <c r="G437" s="2">
        <f t="shared" si="150"/>
        <v>3</v>
      </c>
      <c r="H437" s="2" t="str">
        <f t="shared" si="140"/>
        <v>火炎</v>
      </c>
      <c r="I437" s="38">
        <f t="shared" si="143"/>
        <v>0.3009090909090909</v>
      </c>
      <c r="J437" s="33">
        <f t="shared" si="144"/>
        <v>44</v>
      </c>
      <c r="K437" s="33">
        <f t="shared" si="158"/>
        <v>46</v>
      </c>
      <c r="L437" s="33">
        <f t="shared" si="158"/>
        <v>14</v>
      </c>
      <c r="M437" s="33">
        <f t="shared" si="158"/>
        <v>31</v>
      </c>
      <c r="N437" s="33">
        <f t="shared" si="141"/>
        <v>113</v>
      </c>
      <c r="O437" s="33">
        <f t="shared" si="158"/>
        <v>44</v>
      </c>
      <c r="P437" s="33">
        <f t="shared" si="158"/>
        <v>20</v>
      </c>
      <c r="Q437" s="33">
        <f t="shared" si="158"/>
        <v>19</v>
      </c>
      <c r="R437" s="35">
        <f t="shared" si="145"/>
        <v>6.3333333333333325E-2</v>
      </c>
      <c r="S437" s="35">
        <f t="shared" si="146"/>
        <v>6.6666666666666666E-2</v>
      </c>
      <c r="T437" s="35">
        <f t="shared" si="147"/>
        <v>6.3333333333333325E-2</v>
      </c>
      <c r="U437" s="35">
        <f t="shared" si="142"/>
        <v>4.3062200956937802E-2</v>
      </c>
      <c r="V437" s="35">
        <f t="shared" si="159"/>
        <v>4.3062200956937802E-2</v>
      </c>
      <c r="W437" s="35">
        <f t="shared" si="159"/>
        <v>4.3062200956937802E-2</v>
      </c>
      <c r="X437" s="35">
        <f t="shared" si="159"/>
        <v>0.21875</v>
      </c>
      <c r="Y437" s="35">
        <f t="shared" si="159"/>
        <v>4.3062200956937802E-2</v>
      </c>
      <c r="Z437" s="35">
        <f t="shared" si="159"/>
        <v>4.3062200956937802E-2</v>
      </c>
      <c r="AA437" s="35">
        <f t="shared" si="159"/>
        <v>4.3062200956937802E-2</v>
      </c>
    </row>
    <row r="438" spans="2:27" x14ac:dyDescent="0.2">
      <c r="B438" s="2">
        <v>436</v>
      </c>
      <c r="C438" s="2" t="str">
        <f t="shared" si="155"/>
        <v>b</v>
      </c>
      <c r="D438" s="29" t="s">
        <v>31</v>
      </c>
      <c r="E438" s="29" t="s">
        <v>219</v>
      </c>
      <c r="F438" s="2" t="s">
        <v>223</v>
      </c>
      <c r="G438" s="2">
        <f t="shared" si="150"/>
        <v>4</v>
      </c>
      <c r="H438" s="2" t="str">
        <f t="shared" si="140"/>
        <v>火炎</v>
      </c>
      <c r="I438" s="38">
        <f t="shared" si="143"/>
        <v>0.4018181818181818</v>
      </c>
      <c r="J438" s="33">
        <f t="shared" si="144"/>
        <v>59</v>
      </c>
      <c r="K438" s="33">
        <f t="shared" si="158"/>
        <v>62</v>
      </c>
      <c r="L438" s="33">
        <f t="shared" si="158"/>
        <v>18</v>
      </c>
      <c r="M438" s="33">
        <f t="shared" si="158"/>
        <v>41</v>
      </c>
      <c r="N438" s="33">
        <f t="shared" si="141"/>
        <v>150</v>
      </c>
      <c r="O438" s="33">
        <f t="shared" si="158"/>
        <v>59</v>
      </c>
      <c r="P438" s="33">
        <f t="shared" si="158"/>
        <v>27</v>
      </c>
      <c r="Q438" s="33">
        <f t="shared" si="158"/>
        <v>26</v>
      </c>
      <c r="R438" s="35">
        <f t="shared" si="145"/>
        <v>8.6666666666666656E-2</v>
      </c>
      <c r="S438" s="35">
        <f t="shared" si="146"/>
        <v>0.09</v>
      </c>
      <c r="T438" s="35">
        <f t="shared" si="147"/>
        <v>8.6666666666666656E-2</v>
      </c>
      <c r="U438" s="35">
        <f t="shared" si="142"/>
        <v>5.6603773584905648E-2</v>
      </c>
      <c r="V438" s="35">
        <f t="shared" si="159"/>
        <v>5.6603773584905648E-2</v>
      </c>
      <c r="W438" s="35">
        <f t="shared" si="159"/>
        <v>5.6603773584905648E-2</v>
      </c>
      <c r="X438" s="35">
        <f t="shared" si="159"/>
        <v>0.27272727272727271</v>
      </c>
      <c r="Y438" s="35">
        <f t="shared" si="159"/>
        <v>5.6603773584905648E-2</v>
      </c>
      <c r="Z438" s="35">
        <f t="shared" si="159"/>
        <v>5.6603773584905648E-2</v>
      </c>
      <c r="AA438" s="35">
        <f t="shared" si="159"/>
        <v>5.6603773584905648E-2</v>
      </c>
    </row>
    <row r="439" spans="2:27" x14ac:dyDescent="0.2">
      <c r="B439" s="2">
        <v>437</v>
      </c>
      <c r="C439" s="2" t="str">
        <f t="shared" si="155"/>
        <v>b</v>
      </c>
      <c r="D439" s="29" t="s">
        <v>31</v>
      </c>
      <c r="E439" s="29" t="s">
        <v>219</v>
      </c>
      <c r="F439" s="2" t="s">
        <v>223</v>
      </c>
      <c r="G439" s="2">
        <f t="shared" si="150"/>
        <v>5</v>
      </c>
      <c r="H439" s="2" t="str">
        <f t="shared" si="140"/>
        <v>火炎</v>
      </c>
      <c r="I439" s="38">
        <f t="shared" si="143"/>
        <v>0.50454545454545452</v>
      </c>
      <c r="J439" s="33">
        <f t="shared" si="144"/>
        <v>74</v>
      </c>
      <c r="K439" s="33">
        <f t="shared" si="158"/>
        <v>78</v>
      </c>
      <c r="L439" s="33">
        <f t="shared" si="158"/>
        <v>23</v>
      </c>
      <c r="M439" s="33">
        <f t="shared" si="158"/>
        <v>52</v>
      </c>
      <c r="N439" s="33">
        <f t="shared" si="141"/>
        <v>188</v>
      </c>
      <c r="O439" s="33">
        <f t="shared" si="158"/>
        <v>74</v>
      </c>
      <c r="P439" s="33">
        <f t="shared" si="158"/>
        <v>34</v>
      </c>
      <c r="Q439" s="33">
        <f t="shared" si="158"/>
        <v>32</v>
      </c>
      <c r="R439" s="35">
        <f t="shared" si="145"/>
        <v>0.10666666666666666</v>
      </c>
      <c r="S439" s="35">
        <f t="shared" si="146"/>
        <v>0.11333333333333334</v>
      </c>
      <c r="T439" s="35">
        <f t="shared" si="147"/>
        <v>0.10666666666666666</v>
      </c>
      <c r="U439" s="35">
        <f t="shared" si="142"/>
        <v>7.407407407407407E-2</v>
      </c>
      <c r="V439" s="35">
        <f t="shared" si="159"/>
        <v>7.407407407407407E-2</v>
      </c>
      <c r="W439" s="35">
        <f t="shared" si="159"/>
        <v>7.407407407407407E-2</v>
      </c>
      <c r="X439" s="35">
        <f t="shared" si="159"/>
        <v>0.31972789115646261</v>
      </c>
      <c r="Y439" s="35">
        <f t="shared" si="159"/>
        <v>7.407407407407407E-2</v>
      </c>
      <c r="Z439" s="35">
        <f t="shared" si="159"/>
        <v>7.407407407407407E-2</v>
      </c>
      <c r="AA439" s="35">
        <f t="shared" si="159"/>
        <v>7.407407407407407E-2</v>
      </c>
    </row>
    <row r="440" spans="2:27" x14ac:dyDescent="0.2">
      <c r="B440" s="2">
        <v>438</v>
      </c>
      <c r="C440" s="2" t="str">
        <f t="shared" si="155"/>
        <v>b</v>
      </c>
      <c r="D440" s="29" t="s">
        <v>31</v>
      </c>
      <c r="E440" s="29" t="s">
        <v>219</v>
      </c>
      <c r="F440" s="2" t="s">
        <v>223</v>
      </c>
      <c r="G440" s="2">
        <f t="shared" si="150"/>
        <v>6</v>
      </c>
      <c r="H440" s="2" t="str">
        <f t="shared" si="140"/>
        <v>火炎</v>
      </c>
      <c r="I440" s="38">
        <f t="shared" si="143"/>
        <v>0.6045454545454545</v>
      </c>
      <c r="J440" s="33">
        <f t="shared" si="144"/>
        <v>88</v>
      </c>
      <c r="K440" s="33">
        <f t="shared" si="158"/>
        <v>93</v>
      </c>
      <c r="L440" s="33">
        <f t="shared" si="158"/>
        <v>28</v>
      </c>
      <c r="M440" s="33">
        <f t="shared" si="158"/>
        <v>62</v>
      </c>
      <c r="N440" s="33">
        <f t="shared" si="141"/>
        <v>225</v>
      </c>
      <c r="O440" s="33">
        <f t="shared" si="158"/>
        <v>89</v>
      </c>
      <c r="P440" s="33">
        <f t="shared" si="158"/>
        <v>41</v>
      </c>
      <c r="Q440" s="33">
        <f t="shared" si="158"/>
        <v>39</v>
      </c>
      <c r="R440" s="35">
        <f t="shared" si="145"/>
        <v>0.13</v>
      </c>
      <c r="S440" s="35">
        <f t="shared" si="146"/>
        <v>0.13666666666666666</v>
      </c>
      <c r="T440" s="35">
        <f t="shared" si="147"/>
        <v>0.13</v>
      </c>
      <c r="U440" s="35">
        <f t="shared" si="142"/>
        <v>8.6757990867579959E-2</v>
      </c>
      <c r="V440" s="35">
        <f t="shared" si="159"/>
        <v>8.6757990867579959E-2</v>
      </c>
      <c r="W440" s="35">
        <f t="shared" si="159"/>
        <v>8.6757990867579959E-2</v>
      </c>
      <c r="X440" s="35">
        <f t="shared" si="159"/>
        <v>0.35897435897435892</v>
      </c>
      <c r="Y440" s="35">
        <f t="shared" si="159"/>
        <v>8.6757990867579959E-2</v>
      </c>
      <c r="Z440" s="35">
        <f t="shared" si="159"/>
        <v>8.6757990867579959E-2</v>
      </c>
      <c r="AA440" s="35">
        <f t="shared" si="159"/>
        <v>8.6757990867579959E-2</v>
      </c>
    </row>
    <row r="441" spans="2:27" x14ac:dyDescent="0.2">
      <c r="B441" s="2">
        <v>439</v>
      </c>
      <c r="C441" s="2" t="str">
        <f t="shared" si="155"/>
        <v>b</v>
      </c>
      <c r="D441" s="29" t="s">
        <v>31</v>
      </c>
      <c r="E441" s="29" t="s">
        <v>219</v>
      </c>
      <c r="F441" s="2" t="s">
        <v>223</v>
      </c>
      <c r="G441" s="2">
        <f t="shared" si="150"/>
        <v>7</v>
      </c>
      <c r="H441" s="2" t="str">
        <f t="shared" si="140"/>
        <v>火炎</v>
      </c>
      <c r="I441" s="38">
        <f t="shared" si="143"/>
        <v>0.70727272727272739</v>
      </c>
      <c r="J441" s="33">
        <f t="shared" si="144"/>
        <v>103</v>
      </c>
      <c r="K441" s="33">
        <f t="shared" si="158"/>
        <v>109</v>
      </c>
      <c r="L441" s="33">
        <f t="shared" si="158"/>
        <v>33</v>
      </c>
      <c r="M441" s="33">
        <f t="shared" si="158"/>
        <v>73</v>
      </c>
      <c r="N441" s="33">
        <f t="shared" si="141"/>
        <v>263</v>
      </c>
      <c r="O441" s="33">
        <f t="shared" si="158"/>
        <v>104</v>
      </c>
      <c r="P441" s="33">
        <f t="shared" si="158"/>
        <v>48</v>
      </c>
      <c r="Q441" s="33">
        <f t="shared" si="158"/>
        <v>45</v>
      </c>
      <c r="R441" s="35">
        <f t="shared" si="145"/>
        <v>0.15</v>
      </c>
      <c r="S441" s="35">
        <f t="shared" si="146"/>
        <v>0.16</v>
      </c>
      <c r="T441" s="35">
        <f t="shared" si="147"/>
        <v>0.15</v>
      </c>
      <c r="U441" s="35">
        <f t="shared" si="142"/>
        <v>9.9099099099099086E-2</v>
      </c>
      <c r="V441" s="35">
        <f t="shared" si="159"/>
        <v>9.9099099099099086E-2</v>
      </c>
      <c r="W441" s="35">
        <f t="shared" si="159"/>
        <v>9.9099099099099086E-2</v>
      </c>
      <c r="X441" s="35">
        <f t="shared" si="159"/>
        <v>0.39577039274924475</v>
      </c>
      <c r="Y441" s="35">
        <f t="shared" si="159"/>
        <v>9.9099099099099086E-2</v>
      </c>
      <c r="Z441" s="35">
        <f t="shared" si="159"/>
        <v>9.9099099099099086E-2</v>
      </c>
      <c r="AA441" s="35">
        <f t="shared" si="159"/>
        <v>9.9099099099099086E-2</v>
      </c>
    </row>
    <row r="442" spans="2:27" x14ac:dyDescent="0.2">
      <c r="B442" s="2">
        <v>440</v>
      </c>
      <c r="C442" s="2" t="str">
        <f t="shared" si="155"/>
        <v>b</v>
      </c>
      <c r="D442" s="29" t="s">
        <v>31</v>
      </c>
      <c r="E442" s="29" t="s">
        <v>219</v>
      </c>
      <c r="F442" s="2" t="s">
        <v>223</v>
      </c>
      <c r="G442" s="2">
        <f t="shared" si="150"/>
        <v>8</v>
      </c>
      <c r="H442" s="2" t="str">
        <f t="shared" si="140"/>
        <v>火炎</v>
      </c>
      <c r="I442" s="38">
        <f t="shared" si="143"/>
        <v>0.80727272727272736</v>
      </c>
      <c r="J442" s="33">
        <f t="shared" si="144"/>
        <v>118</v>
      </c>
      <c r="K442" s="33">
        <f t="shared" si="158"/>
        <v>124</v>
      </c>
      <c r="L442" s="33">
        <f t="shared" si="158"/>
        <v>37</v>
      </c>
      <c r="M442" s="33">
        <f t="shared" si="158"/>
        <v>83</v>
      </c>
      <c r="N442" s="33">
        <f t="shared" si="141"/>
        <v>300</v>
      </c>
      <c r="O442" s="33">
        <f t="shared" si="158"/>
        <v>119</v>
      </c>
      <c r="P442" s="33">
        <f t="shared" si="158"/>
        <v>55</v>
      </c>
      <c r="Q442" s="33">
        <f t="shared" si="158"/>
        <v>52</v>
      </c>
      <c r="R442" s="35">
        <f t="shared" si="145"/>
        <v>0.17333333333333331</v>
      </c>
      <c r="S442" s="35">
        <f t="shared" si="146"/>
        <v>0.18333333333333332</v>
      </c>
      <c r="T442" s="35">
        <f t="shared" si="147"/>
        <v>0.17333333333333331</v>
      </c>
      <c r="U442" s="35">
        <f t="shared" si="142"/>
        <v>0.11111111111111116</v>
      </c>
      <c r="V442" s="35">
        <f t="shared" si="159"/>
        <v>0.11111111111111116</v>
      </c>
      <c r="W442" s="35">
        <f t="shared" si="159"/>
        <v>0.11111111111111116</v>
      </c>
      <c r="X442" s="35">
        <f t="shared" si="159"/>
        <v>0.4285714285714286</v>
      </c>
      <c r="Y442" s="35">
        <f t="shared" si="159"/>
        <v>0.11111111111111116</v>
      </c>
      <c r="Z442" s="35">
        <f t="shared" si="159"/>
        <v>0.11111111111111116</v>
      </c>
      <c r="AA442" s="35">
        <f t="shared" si="159"/>
        <v>0.11111111111111116</v>
      </c>
    </row>
    <row r="443" spans="2:27" x14ac:dyDescent="0.2">
      <c r="B443" s="2">
        <v>441</v>
      </c>
      <c r="C443" s="2" t="str">
        <f t="shared" si="155"/>
        <v>c</v>
      </c>
      <c r="D443" s="29" t="s">
        <v>31</v>
      </c>
      <c r="E443" s="29" t="s">
        <v>219</v>
      </c>
      <c r="F443" s="2" t="s">
        <v>223</v>
      </c>
      <c r="G443" s="2">
        <f t="shared" si="150"/>
        <v>1</v>
      </c>
      <c r="H443" s="2" t="str">
        <f t="shared" si="140"/>
        <v>--</v>
      </c>
      <c r="I443" s="38">
        <f t="shared" si="143"/>
        <v>0</v>
      </c>
      <c r="J443" s="33">
        <f t="shared" si="144"/>
        <v>18</v>
      </c>
      <c r="K443" s="33">
        <f t="shared" ref="K443:Q452" si="160">INT((1+VLOOKUP($F443,role_property_weight,getpos(K$2),FALSE))*(1+VLOOKUP($F443,weapon_property_weight,getpos(K$2),FALSE))*VLOOKUP($E443,role_grow,getpos(K$2),FALSE)*$G443*10*VLOOKUP($C443,weapon_grow1,5,FALSE))</f>
        <v>0</v>
      </c>
      <c r="L443" s="33">
        <f t="shared" si="160"/>
        <v>0</v>
      </c>
      <c r="M443" s="33">
        <f t="shared" si="160"/>
        <v>0</v>
      </c>
      <c r="N443" s="33">
        <f t="shared" si="141"/>
        <v>0</v>
      </c>
      <c r="O443" s="33">
        <f t="shared" si="160"/>
        <v>0</v>
      </c>
      <c r="P443" s="33">
        <f t="shared" si="160"/>
        <v>0</v>
      </c>
      <c r="Q443" s="33">
        <f t="shared" si="160"/>
        <v>0</v>
      </c>
      <c r="R443" s="35">
        <f t="shared" si="145"/>
        <v>0</v>
      </c>
      <c r="S443" s="35">
        <f t="shared" si="146"/>
        <v>0</v>
      </c>
      <c r="T443" s="35">
        <f t="shared" si="147"/>
        <v>0</v>
      </c>
      <c r="U443" s="35">
        <f t="shared" si="142"/>
        <v>0</v>
      </c>
      <c r="V443" s="35">
        <f t="shared" ref="V443:AA452" si="161">1-200/(200+ROUND((1+VLOOKUP($F443,role_property_weight,getpos(V$2),FALSE))*VLOOKUP($E443,role_grow,getpos(V$2),FALSE)*$G443*10*VLOOKUP($C443,weapon_grow1,5,FALSE),0))</f>
        <v>0</v>
      </c>
      <c r="W443" s="35">
        <f t="shared" si="161"/>
        <v>0</v>
      </c>
      <c r="X443" s="35">
        <f t="shared" si="161"/>
        <v>0</v>
      </c>
      <c r="Y443" s="35">
        <f t="shared" si="161"/>
        <v>0</v>
      </c>
      <c r="Z443" s="35">
        <f t="shared" si="161"/>
        <v>0</v>
      </c>
      <c r="AA443" s="35">
        <f t="shared" si="161"/>
        <v>0</v>
      </c>
    </row>
    <row r="444" spans="2:27" x14ac:dyDescent="0.2">
      <c r="B444" s="2">
        <v>442</v>
      </c>
      <c r="C444" s="2" t="str">
        <f t="shared" si="155"/>
        <v>c</v>
      </c>
      <c r="D444" s="29" t="s">
        <v>31</v>
      </c>
      <c r="E444" s="29" t="s">
        <v>219</v>
      </c>
      <c r="F444" s="2" t="s">
        <v>223</v>
      </c>
      <c r="G444" s="2">
        <f t="shared" si="150"/>
        <v>2</v>
      </c>
      <c r="H444" s="2" t="str">
        <f t="shared" si="140"/>
        <v>--</v>
      </c>
      <c r="I444" s="38">
        <f t="shared" si="143"/>
        <v>0</v>
      </c>
      <c r="J444" s="33">
        <f t="shared" si="144"/>
        <v>37</v>
      </c>
      <c r="K444" s="33">
        <f t="shared" si="160"/>
        <v>0</v>
      </c>
      <c r="L444" s="33">
        <f t="shared" si="160"/>
        <v>0</v>
      </c>
      <c r="M444" s="33">
        <f t="shared" si="160"/>
        <v>0</v>
      </c>
      <c r="N444" s="33">
        <f t="shared" si="141"/>
        <v>0</v>
      </c>
      <c r="O444" s="33">
        <f t="shared" si="160"/>
        <v>0</v>
      </c>
      <c r="P444" s="33">
        <f t="shared" si="160"/>
        <v>0</v>
      </c>
      <c r="Q444" s="33">
        <f t="shared" si="160"/>
        <v>0</v>
      </c>
      <c r="R444" s="35">
        <f t="shared" si="145"/>
        <v>0</v>
      </c>
      <c r="S444" s="35">
        <f t="shared" si="146"/>
        <v>0</v>
      </c>
      <c r="T444" s="35">
        <f t="shared" si="147"/>
        <v>0</v>
      </c>
      <c r="U444" s="35">
        <f t="shared" si="142"/>
        <v>0</v>
      </c>
      <c r="V444" s="35">
        <f t="shared" si="161"/>
        <v>0</v>
      </c>
      <c r="W444" s="35">
        <f t="shared" si="161"/>
        <v>0</v>
      </c>
      <c r="X444" s="35">
        <f t="shared" si="161"/>
        <v>0</v>
      </c>
      <c r="Y444" s="35">
        <f t="shared" si="161"/>
        <v>0</v>
      </c>
      <c r="Z444" s="35">
        <f t="shared" si="161"/>
        <v>0</v>
      </c>
      <c r="AA444" s="35">
        <f t="shared" si="161"/>
        <v>0</v>
      </c>
    </row>
    <row r="445" spans="2:27" x14ac:dyDescent="0.2">
      <c r="B445" s="2">
        <v>443</v>
      </c>
      <c r="C445" s="2" t="str">
        <f t="shared" si="155"/>
        <v>c</v>
      </c>
      <c r="D445" s="29" t="s">
        <v>31</v>
      </c>
      <c r="E445" s="29" t="s">
        <v>219</v>
      </c>
      <c r="F445" s="2" t="s">
        <v>223</v>
      </c>
      <c r="G445" s="2">
        <f t="shared" si="150"/>
        <v>3</v>
      </c>
      <c r="H445" s="2" t="str">
        <f t="shared" si="140"/>
        <v>--</v>
      </c>
      <c r="I445" s="38">
        <f t="shared" si="143"/>
        <v>0</v>
      </c>
      <c r="J445" s="33">
        <f t="shared" si="144"/>
        <v>56</v>
      </c>
      <c r="K445" s="33">
        <f t="shared" si="160"/>
        <v>0</v>
      </c>
      <c r="L445" s="33">
        <f t="shared" si="160"/>
        <v>0</v>
      </c>
      <c r="M445" s="33">
        <f t="shared" si="160"/>
        <v>0</v>
      </c>
      <c r="N445" s="33">
        <f t="shared" si="141"/>
        <v>0</v>
      </c>
      <c r="O445" s="33">
        <f t="shared" si="160"/>
        <v>0</v>
      </c>
      <c r="P445" s="33">
        <f t="shared" si="160"/>
        <v>0</v>
      </c>
      <c r="Q445" s="33">
        <f t="shared" si="160"/>
        <v>0</v>
      </c>
      <c r="R445" s="35">
        <f t="shared" si="145"/>
        <v>0</v>
      </c>
      <c r="S445" s="35">
        <f t="shared" si="146"/>
        <v>0</v>
      </c>
      <c r="T445" s="35">
        <f t="shared" si="147"/>
        <v>0</v>
      </c>
      <c r="U445" s="35">
        <f t="shared" si="142"/>
        <v>0</v>
      </c>
      <c r="V445" s="35">
        <f t="shared" si="161"/>
        <v>0</v>
      </c>
      <c r="W445" s="35">
        <f t="shared" si="161"/>
        <v>0</v>
      </c>
      <c r="X445" s="35">
        <f t="shared" si="161"/>
        <v>0</v>
      </c>
      <c r="Y445" s="35">
        <f t="shared" si="161"/>
        <v>0</v>
      </c>
      <c r="Z445" s="35">
        <f t="shared" si="161"/>
        <v>0</v>
      </c>
      <c r="AA445" s="35">
        <f t="shared" si="161"/>
        <v>0</v>
      </c>
    </row>
    <row r="446" spans="2:27" x14ac:dyDescent="0.2">
      <c r="B446" s="2">
        <v>444</v>
      </c>
      <c r="C446" s="2" t="str">
        <f t="shared" si="155"/>
        <v>c</v>
      </c>
      <c r="D446" s="29" t="s">
        <v>31</v>
      </c>
      <c r="E446" s="29" t="s">
        <v>219</v>
      </c>
      <c r="F446" s="2" t="s">
        <v>223</v>
      </c>
      <c r="G446" s="2">
        <f t="shared" si="150"/>
        <v>4</v>
      </c>
      <c r="H446" s="2" t="str">
        <f t="shared" si="140"/>
        <v>--</v>
      </c>
      <c r="I446" s="38">
        <f t="shared" si="143"/>
        <v>0</v>
      </c>
      <c r="J446" s="33">
        <f t="shared" si="144"/>
        <v>74</v>
      </c>
      <c r="K446" s="33">
        <f t="shared" si="160"/>
        <v>0</v>
      </c>
      <c r="L446" s="33">
        <f t="shared" si="160"/>
        <v>0</v>
      </c>
      <c r="M446" s="33">
        <f t="shared" si="160"/>
        <v>0</v>
      </c>
      <c r="N446" s="33">
        <f t="shared" si="141"/>
        <v>0</v>
      </c>
      <c r="O446" s="33">
        <f t="shared" si="160"/>
        <v>0</v>
      </c>
      <c r="P446" s="33">
        <f t="shared" si="160"/>
        <v>0</v>
      </c>
      <c r="Q446" s="33">
        <f t="shared" si="160"/>
        <v>0</v>
      </c>
      <c r="R446" s="35">
        <f t="shared" si="145"/>
        <v>0</v>
      </c>
      <c r="S446" s="35">
        <f t="shared" si="146"/>
        <v>0</v>
      </c>
      <c r="T446" s="35">
        <f t="shared" si="147"/>
        <v>0</v>
      </c>
      <c r="U446" s="35">
        <f t="shared" si="142"/>
        <v>0</v>
      </c>
      <c r="V446" s="35">
        <f t="shared" si="161"/>
        <v>0</v>
      </c>
      <c r="W446" s="35">
        <f t="shared" si="161"/>
        <v>0</v>
      </c>
      <c r="X446" s="35">
        <f t="shared" si="161"/>
        <v>0</v>
      </c>
      <c r="Y446" s="35">
        <f t="shared" si="161"/>
        <v>0</v>
      </c>
      <c r="Z446" s="35">
        <f t="shared" si="161"/>
        <v>0</v>
      </c>
      <c r="AA446" s="35">
        <f t="shared" si="161"/>
        <v>0</v>
      </c>
    </row>
    <row r="447" spans="2:27" x14ac:dyDescent="0.2">
      <c r="B447" s="2">
        <v>445</v>
      </c>
      <c r="C447" s="2" t="str">
        <f t="shared" si="155"/>
        <v>c</v>
      </c>
      <c r="D447" s="29" t="s">
        <v>31</v>
      </c>
      <c r="E447" s="29" t="s">
        <v>219</v>
      </c>
      <c r="F447" s="2" t="s">
        <v>223</v>
      </c>
      <c r="G447" s="2">
        <f t="shared" si="150"/>
        <v>5</v>
      </c>
      <c r="H447" s="2" t="str">
        <f t="shared" si="140"/>
        <v>--</v>
      </c>
      <c r="I447" s="38">
        <f t="shared" si="143"/>
        <v>0</v>
      </c>
      <c r="J447" s="33">
        <f t="shared" si="144"/>
        <v>93</v>
      </c>
      <c r="K447" s="33">
        <f t="shared" si="160"/>
        <v>0</v>
      </c>
      <c r="L447" s="33">
        <f t="shared" si="160"/>
        <v>0</v>
      </c>
      <c r="M447" s="33">
        <f t="shared" si="160"/>
        <v>0</v>
      </c>
      <c r="N447" s="33">
        <f t="shared" si="141"/>
        <v>0</v>
      </c>
      <c r="O447" s="33">
        <f t="shared" si="160"/>
        <v>0</v>
      </c>
      <c r="P447" s="33">
        <f t="shared" si="160"/>
        <v>0</v>
      </c>
      <c r="Q447" s="33">
        <f t="shared" si="160"/>
        <v>0</v>
      </c>
      <c r="R447" s="35">
        <f t="shared" si="145"/>
        <v>0</v>
      </c>
      <c r="S447" s="35">
        <f t="shared" si="146"/>
        <v>0</v>
      </c>
      <c r="T447" s="35">
        <f t="shared" si="147"/>
        <v>0</v>
      </c>
      <c r="U447" s="35">
        <f t="shared" si="142"/>
        <v>0</v>
      </c>
      <c r="V447" s="35">
        <f t="shared" si="161"/>
        <v>0</v>
      </c>
      <c r="W447" s="35">
        <f t="shared" si="161"/>
        <v>0</v>
      </c>
      <c r="X447" s="35">
        <f t="shared" si="161"/>
        <v>0</v>
      </c>
      <c r="Y447" s="35">
        <f t="shared" si="161"/>
        <v>0</v>
      </c>
      <c r="Z447" s="35">
        <f t="shared" si="161"/>
        <v>0</v>
      </c>
      <c r="AA447" s="35">
        <f t="shared" si="161"/>
        <v>0</v>
      </c>
    </row>
    <row r="448" spans="2:27" x14ac:dyDescent="0.2">
      <c r="B448" s="2">
        <v>446</v>
      </c>
      <c r="C448" s="2" t="str">
        <f t="shared" si="155"/>
        <v>c</v>
      </c>
      <c r="D448" s="29" t="s">
        <v>31</v>
      </c>
      <c r="E448" s="29" t="s">
        <v>219</v>
      </c>
      <c r="F448" s="2" t="s">
        <v>223</v>
      </c>
      <c r="G448" s="2">
        <f t="shared" si="150"/>
        <v>6</v>
      </c>
      <c r="H448" s="2" t="str">
        <f t="shared" si="140"/>
        <v>--</v>
      </c>
      <c r="I448" s="38">
        <f t="shared" si="143"/>
        <v>0</v>
      </c>
      <c r="J448" s="33">
        <f t="shared" si="144"/>
        <v>112</v>
      </c>
      <c r="K448" s="33">
        <f t="shared" si="160"/>
        <v>0</v>
      </c>
      <c r="L448" s="33">
        <f t="shared" si="160"/>
        <v>0</v>
      </c>
      <c r="M448" s="33">
        <f t="shared" si="160"/>
        <v>0</v>
      </c>
      <c r="N448" s="33">
        <f t="shared" si="141"/>
        <v>0</v>
      </c>
      <c r="O448" s="33">
        <f t="shared" si="160"/>
        <v>0</v>
      </c>
      <c r="P448" s="33">
        <f t="shared" si="160"/>
        <v>0</v>
      </c>
      <c r="Q448" s="33">
        <f t="shared" si="160"/>
        <v>0</v>
      </c>
      <c r="R448" s="35">
        <f t="shared" si="145"/>
        <v>0</v>
      </c>
      <c r="S448" s="35">
        <f t="shared" si="146"/>
        <v>0</v>
      </c>
      <c r="T448" s="35">
        <f t="shared" si="147"/>
        <v>0</v>
      </c>
      <c r="U448" s="35">
        <f t="shared" si="142"/>
        <v>0</v>
      </c>
      <c r="V448" s="35">
        <f t="shared" si="161"/>
        <v>0</v>
      </c>
      <c r="W448" s="35">
        <f t="shared" si="161"/>
        <v>0</v>
      </c>
      <c r="X448" s="35">
        <f t="shared" si="161"/>
        <v>0</v>
      </c>
      <c r="Y448" s="35">
        <f t="shared" si="161"/>
        <v>0</v>
      </c>
      <c r="Z448" s="35">
        <f t="shared" si="161"/>
        <v>0</v>
      </c>
      <c r="AA448" s="35">
        <f t="shared" si="161"/>
        <v>0</v>
      </c>
    </row>
    <row r="449" spans="2:27" x14ac:dyDescent="0.2">
      <c r="B449" s="2">
        <v>447</v>
      </c>
      <c r="C449" s="2" t="str">
        <f t="shared" si="155"/>
        <v>c</v>
      </c>
      <c r="D449" s="29" t="s">
        <v>31</v>
      </c>
      <c r="E449" s="29" t="s">
        <v>219</v>
      </c>
      <c r="F449" s="2" t="s">
        <v>223</v>
      </c>
      <c r="G449" s="2">
        <f t="shared" si="150"/>
        <v>7</v>
      </c>
      <c r="H449" s="2" t="str">
        <f t="shared" si="140"/>
        <v>--</v>
      </c>
      <c r="I449" s="38">
        <f t="shared" si="143"/>
        <v>0</v>
      </c>
      <c r="J449" s="33">
        <f t="shared" si="144"/>
        <v>130</v>
      </c>
      <c r="K449" s="33">
        <f t="shared" si="160"/>
        <v>0</v>
      </c>
      <c r="L449" s="33">
        <f t="shared" si="160"/>
        <v>0</v>
      </c>
      <c r="M449" s="33">
        <f t="shared" si="160"/>
        <v>0</v>
      </c>
      <c r="N449" s="33">
        <f t="shared" si="141"/>
        <v>0</v>
      </c>
      <c r="O449" s="33">
        <f t="shared" si="160"/>
        <v>0</v>
      </c>
      <c r="P449" s="33">
        <f t="shared" si="160"/>
        <v>0</v>
      </c>
      <c r="Q449" s="33">
        <f t="shared" si="160"/>
        <v>0</v>
      </c>
      <c r="R449" s="35">
        <f t="shared" si="145"/>
        <v>0</v>
      </c>
      <c r="S449" s="35">
        <f t="shared" si="146"/>
        <v>0</v>
      </c>
      <c r="T449" s="35">
        <f t="shared" si="147"/>
        <v>0</v>
      </c>
      <c r="U449" s="35">
        <f t="shared" si="142"/>
        <v>0</v>
      </c>
      <c r="V449" s="35">
        <f t="shared" si="161"/>
        <v>0</v>
      </c>
      <c r="W449" s="35">
        <f t="shared" si="161"/>
        <v>0</v>
      </c>
      <c r="X449" s="35">
        <f t="shared" si="161"/>
        <v>0</v>
      </c>
      <c r="Y449" s="35">
        <f t="shared" si="161"/>
        <v>0</v>
      </c>
      <c r="Z449" s="35">
        <f t="shared" si="161"/>
        <v>0</v>
      </c>
      <c r="AA449" s="35">
        <f t="shared" si="161"/>
        <v>0</v>
      </c>
    </row>
    <row r="450" spans="2:27" x14ac:dyDescent="0.2">
      <c r="B450" s="2">
        <v>448</v>
      </c>
      <c r="C450" s="2" t="str">
        <f t="shared" si="155"/>
        <v>c</v>
      </c>
      <c r="D450" s="29" t="s">
        <v>31</v>
      </c>
      <c r="E450" s="29" t="s">
        <v>219</v>
      </c>
      <c r="F450" s="2" t="s">
        <v>223</v>
      </c>
      <c r="G450" s="2">
        <f t="shared" si="150"/>
        <v>8</v>
      </c>
      <c r="H450" s="2" t="str">
        <f t="shared" si="140"/>
        <v>--</v>
      </c>
      <c r="I450" s="38">
        <f t="shared" si="143"/>
        <v>0</v>
      </c>
      <c r="J450" s="33">
        <f t="shared" si="144"/>
        <v>149</v>
      </c>
      <c r="K450" s="33">
        <f t="shared" si="160"/>
        <v>0</v>
      </c>
      <c r="L450" s="33">
        <f t="shared" si="160"/>
        <v>0</v>
      </c>
      <c r="M450" s="33">
        <f t="shared" si="160"/>
        <v>0</v>
      </c>
      <c r="N450" s="33">
        <f t="shared" si="141"/>
        <v>0</v>
      </c>
      <c r="O450" s="33">
        <f t="shared" si="160"/>
        <v>0</v>
      </c>
      <c r="P450" s="33">
        <f t="shared" si="160"/>
        <v>0</v>
      </c>
      <c r="Q450" s="33">
        <f t="shared" si="160"/>
        <v>0</v>
      </c>
      <c r="R450" s="35">
        <f t="shared" si="145"/>
        <v>0</v>
      </c>
      <c r="S450" s="35">
        <f t="shared" si="146"/>
        <v>0</v>
      </c>
      <c r="T450" s="35">
        <f t="shared" si="147"/>
        <v>0</v>
      </c>
      <c r="U450" s="35">
        <f t="shared" si="142"/>
        <v>0</v>
      </c>
      <c r="V450" s="35">
        <f t="shared" si="161"/>
        <v>0</v>
      </c>
      <c r="W450" s="35">
        <f t="shared" si="161"/>
        <v>0</v>
      </c>
      <c r="X450" s="35">
        <f t="shared" si="161"/>
        <v>0</v>
      </c>
      <c r="Y450" s="35">
        <f t="shared" si="161"/>
        <v>0</v>
      </c>
      <c r="Z450" s="35">
        <f t="shared" si="161"/>
        <v>0</v>
      </c>
      <c r="AA450" s="35">
        <f t="shared" si="161"/>
        <v>0</v>
      </c>
    </row>
    <row r="451" spans="2:27" x14ac:dyDescent="0.2">
      <c r="B451" s="2">
        <v>449</v>
      </c>
      <c r="C451" s="2" t="str">
        <f t="shared" si="155"/>
        <v>s</v>
      </c>
      <c r="D451" s="29" t="s">
        <v>31</v>
      </c>
      <c r="E451" s="29" t="s">
        <v>219</v>
      </c>
      <c r="F451" s="2" t="s">
        <v>224</v>
      </c>
      <c r="G451" s="2">
        <f t="shared" si="150"/>
        <v>1</v>
      </c>
      <c r="H451" s="2" t="str">
        <f t="shared" ref="H451:H514" si="162">IF(C451="c","--",VLOOKUP(F451,role_property_weight,17,FALSE))</f>
        <v>黑暗</v>
      </c>
      <c r="I451" s="38">
        <f t="shared" si="143"/>
        <v>0.1</v>
      </c>
      <c r="J451" s="33">
        <f t="shared" si="144"/>
        <v>24</v>
      </c>
      <c r="K451" s="33">
        <f t="shared" si="160"/>
        <v>13</v>
      </c>
      <c r="L451" s="33">
        <f t="shared" si="160"/>
        <v>2</v>
      </c>
      <c r="M451" s="33">
        <f t="shared" si="160"/>
        <v>9</v>
      </c>
      <c r="N451" s="33">
        <f t="shared" ref="N451:N514" si="163">ROUNDUP((1+VLOOKUP($F451,role_property_weight,getpos(N$2),FALSE))*(1+VLOOKUP($F451,weapon_property_weight,getpos(N$2),FALSE))*VLOOKUP($E451,role_grow,getpos(N$2),FALSE)*$G451*10*VLOOKUP($C451,weapon_grow1,5,FALSE),0)</f>
        <v>12</v>
      </c>
      <c r="O451" s="33">
        <f t="shared" si="160"/>
        <v>9</v>
      </c>
      <c r="P451" s="33">
        <f t="shared" si="160"/>
        <v>6</v>
      </c>
      <c r="Q451" s="33">
        <f t="shared" si="160"/>
        <v>4</v>
      </c>
      <c r="R451" s="35">
        <f t="shared" si="145"/>
        <v>1.3333333333333332E-2</v>
      </c>
      <c r="S451" s="35">
        <f t="shared" si="146"/>
        <v>0.02</v>
      </c>
      <c r="T451" s="35">
        <f t="shared" si="147"/>
        <v>1.3333333333333332E-2</v>
      </c>
      <c r="U451" s="35">
        <f t="shared" ref="U451:U514" si="164">1-200/(200+ROUND((1+VLOOKUP($F451,role_property_weight,getpos(U$2),FALSE))*VLOOKUP($E451,role_grow,getpos(U$2),FALSE)*$G451*10*VLOOKUP($C451,weapon_grow1,5,FALSE),0))</f>
        <v>9.9009900990099098E-3</v>
      </c>
      <c r="V451" s="35">
        <f t="shared" si="161"/>
        <v>9.9009900990099098E-3</v>
      </c>
      <c r="W451" s="35">
        <f t="shared" si="161"/>
        <v>9.9009900990099098E-3</v>
      </c>
      <c r="X451" s="35">
        <f t="shared" si="161"/>
        <v>9.9009900990099098E-3</v>
      </c>
      <c r="Y451" s="35">
        <f t="shared" si="161"/>
        <v>9.9009900990099098E-3</v>
      </c>
      <c r="Z451" s="35">
        <f t="shared" si="161"/>
        <v>6.5420560747663559E-2</v>
      </c>
      <c r="AA451" s="35">
        <f t="shared" si="161"/>
        <v>9.9009900990099098E-3</v>
      </c>
    </row>
    <row r="452" spans="2:27" x14ac:dyDescent="0.2">
      <c r="B452" s="2">
        <v>450</v>
      </c>
      <c r="C452" s="2" t="str">
        <f t="shared" si="155"/>
        <v>s</v>
      </c>
      <c r="D452" s="29" t="s">
        <v>31</v>
      </c>
      <c r="E452" s="29" t="s">
        <v>219</v>
      </c>
      <c r="F452" s="2" t="s">
        <v>224</v>
      </c>
      <c r="G452" s="2">
        <f t="shared" si="150"/>
        <v>2</v>
      </c>
      <c r="H452" s="2" t="str">
        <f t="shared" si="162"/>
        <v>黑暗</v>
      </c>
      <c r="I452" s="38">
        <f t="shared" ref="I452:I515" si="165">IF(H452="--",0,IF((SUM(J452:Q452)/11)%&lt;10%,10%,(SUM(J452:Q452)/11)%))</f>
        <v>0.14545454545454545</v>
      </c>
      <c r="J452" s="33">
        <f t="shared" ref="J452:J515" si="166">INT((1+VLOOKUP($F452,role_property_weight,getpos(J$2),FALSE))*(1+VLOOKUP(F452,weapon_property_weight,getpos(J$2),FALSE))*VLOOKUP($E452,role_grow,getpos(J$2),FALSE)*$G452*10*VLOOKUP($C452,weapon_grow1,4,FALSE))</f>
        <v>48</v>
      </c>
      <c r="K452" s="33">
        <f t="shared" si="160"/>
        <v>26</v>
      </c>
      <c r="L452" s="33">
        <f t="shared" si="160"/>
        <v>5</v>
      </c>
      <c r="M452" s="33">
        <f t="shared" si="160"/>
        <v>18</v>
      </c>
      <c r="N452" s="33">
        <f t="shared" si="163"/>
        <v>23</v>
      </c>
      <c r="O452" s="33">
        <f t="shared" si="160"/>
        <v>18</v>
      </c>
      <c r="P452" s="33">
        <f t="shared" si="160"/>
        <v>13</v>
      </c>
      <c r="Q452" s="33">
        <f t="shared" si="160"/>
        <v>9</v>
      </c>
      <c r="R452" s="35">
        <f t="shared" ref="R452:R515" si="167">(Q452/3)%</f>
        <v>0.03</v>
      </c>
      <c r="S452" s="35">
        <f t="shared" ref="S452:S515" si="168">(P452/3)%</f>
        <v>4.3333333333333328E-2</v>
      </c>
      <c r="T452" s="35">
        <f t="shared" ref="T452:T515" si="169">(Q452/3)%</f>
        <v>0.03</v>
      </c>
      <c r="U452" s="35">
        <f t="shared" si="164"/>
        <v>2.4390243902439046E-2</v>
      </c>
      <c r="V452" s="35">
        <f t="shared" si="161"/>
        <v>2.4390243902439046E-2</v>
      </c>
      <c r="W452" s="35">
        <f t="shared" si="161"/>
        <v>2.4390243902439046E-2</v>
      </c>
      <c r="X452" s="35">
        <f t="shared" si="161"/>
        <v>2.4390243902439046E-2</v>
      </c>
      <c r="Y452" s="35">
        <f t="shared" si="161"/>
        <v>2.4390243902439046E-2</v>
      </c>
      <c r="Z452" s="35">
        <f t="shared" si="161"/>
        <v>0.1228070175438597</v>
      </c>
      <c r="AA452" s="35">
        <f t="shared" si="161"/>
        <v>2.4390243902439046E-2</v>
      </c>
    </row>
    <row r="453" spans="2:27" x14ac:dyDescent="0.2">
      <c r="B453" s="2">
        <v>451</v>
      </c>
      <c r="C453" s="2" t="str">
        <f t="shared" si="155"/>
        <v>s</v>
      </c>
      <c r="D453" s="29" t="s">
        <v>31</v>
      </c>
      <c r="E453" s="29" t="s">
        <v>219</v>
      </c>
      <c r="F453" s="2" t="s">
        <v>224</v>
      </c>
      <c r="G453" s="2">
        <f t="shared" si="150"/>
        <v>3</v>
      </c>
      <c r="H453" s="2" t="str">
        <f t="shared" si="162"/>
        <v>黑暗</v>
      </c>
      <c r="I453" s="38">
        <f t="shared" si="165"/>
        <v>0.22272727272727275</v>
      </c>
      <c r="J453" s="33">
        <f t="shared" si="166"/>
        <v>73</v>
      </c>
      <c r="K453" s="33">
        <f t="shared" ref="K453:Q462" si="170">INT((1+VLOOKUP($F453,role_property_weight,getpos(K$2),FALSE))*(1+VLOOKUP($F453,weapon_property_weight,getpos(K$2),FALSE))*VLOOKUP($E453,role_grow,getpos(K$2),FALSE)*$G453*10*VLOOKUP($C453,weapon_grow1,5,FALSE))</f>
        <v>40</v>
      </c>
      <c r="L453" s="33">
        <f t="shared" si="170"/>
        <v>8</v>
      </c>
      <c r="M453" s="33">
        <f t="shared" si="170"/>
        <v>28</v>
      </c>
      <c r="N453" s="33">
        <f t="shared" si="163"/>
        <v>34</v>
      </c>
      <c r="O453" s="33">
        <f t="shared" si="170"/>
        <v>28</v>
      </c>
      <c r="P453" s="33">
        <f t="shared" si="170"/>
        <v>20</v>
      </c>
      <c r="Q453" s="33">
        <f t="shared" si="170"/>
        <v>14</v>
      </c>
      <c r="R453" s="35">
        <f t="shared" si="167"/>
        <v>4.6666666666666669E-2</v>
      </c>
      <c r="S453" s="35">
        <f t="shared" si="168"/>
        <v>6.6666666666666666E-2</v>
      </c>
      <c r="T453" s="35">
        <f t="shared" si="169"/>
        <v>4.6666666666666669E-2</v>
      </c>
      <c r="U453" s="35">
        <f t="shared" si="164"/>
        <v>3.3816425120772986E-2</v>
      </c>
      <c r="V453" s="35">
        <f t="shared" ref="V453:AA462" si="171">1-200/(200+ROUND((1+VLOOKUP($F453,role_property_weight,getpos(V$2),FALSE))*VLOOKUP($E453,role_grow,getpos(V$2),FALSE)*$G453*10*VLOOKUP($C453,weapon_grow1,5,FALSE),0))</f>
        <v>3.3816425120772986E-2</v>
      </c>
      <c r="W453" s="35">
        <f t="shared" si="171"/>
        <v>3.3816425120772986E-2</v>
      </c>
      <c r="X453" s="35">
        <f t="shared" si="171"/>
        <v>3.3816425120772986E-2</v>
      </c>
      <c r="Y453" s="35">
        <f t="shared" si="171"/>
        <v>3.3816425120772986E-2</v>
      </c>
      <c r="Z453" s="35">
        <f t="shared" si="171"/>
        <v>0.17355371900826444</v>
      </c>
      <c r="AA453" s="35">
        <f t="shared" si="171"/>
        <v>3.3816425120772986E-2</v>
      </c>
    </row>
    <row r="454" spans="2:27" x14ac:dyDescent="0.2">
      <c r="B454" s="2">
        <v>452</v>
      </c>
      <c r="C454" s="2" t="str">
        <f t="shared" si="155"/>
        <v>s</v>
      </c>
      <c r="D454" s="29" t="s">
        <v>31</v>
      </c>
      <c r="E454" s="29" t="s">
        <v>219</v>
      </c>
      <c r="F454" s="2" t="s">
        <v>224</v>
      </c>
      <c r="G454" s="2">
        <f t="shared" si="150"/>
        <v>4</v>
      </c>
      <c r="H454" s="2" t="str">
        <f t="shared" si="162"/>
        <v>黑暗</v>
      </c>
      <c r="I454" s="38">
        <f t="shared" si="165"/>
        <v>0.29636363636363638</v>
      </c>
      <c r="J454" s="33">
        <f t="shared" si="166"/>
        <v>97</v>
      </c>
      <c r="K454" s="33">
        <f t="shared" si="170"/>
        <v>53</v>
      </c>
      <c r="L454" s="33">
        <f t="shared" si="170"/>
        <v>11</v>
      </c>
      <c r="M454" s="33">
        <f t="shared" si="170"/>
        <v>37</v>
      </c>
      <c r="N454" s="33">
        <f t="shared" si="163"/>
        <v>46</v>
      </c>
      <c r="O454" s="33">
        <f t="shared" si="170"/>
        <v>37</v>
      </c>
      <c r="P454" s="33">
        <f t="shared" si="170"/>
        <v>26</v>
      </c>
      <c r="Q454" s="33">
        <f t="shared" si="170"/>
        <v>19</v>
      </c>
      <c r="R454" s="35">
        <f t="shared" si="167"/>
        <v>6.3333333333333325E-2</v>
      </c>
      <c r="S454" s="35">
        <f t="shared" si="168"/>
        <v>8.6666666666666656E-2</v>
      </c>
      <c r="T454" s="35">
        <f t="shared" si="169"/>
        <v>6.3333333333333325E-2</v>
      </c>
      <c r="U454" s="35">
        <f t="shared" si="164"/>
        <v>4.3062200956937802E-2</v>
      </c>
      <c r="V454" s="35">
        <f t="shared" si="171"/>
        <v>4.3062200956937802E-2</v>
      </c>
      <c r="W454" s="35">
        <f t="shared" si="171"/>
        <v>4.3062200956937802E-2</v>
      </c>
      <c r="X454" s="35">
        <f t="shared" si="171"/>
        <v>4.3062200956937802E-2</v>
      </c>
      <c r="Y454" s="35">
        <f t="shared" si="171"/>
        <v>4.3062200956937802E-2</v>
      </c>
      <c r="Z454" s="35">
        <f t="shared" si="171"/>
        <v>0.21875</v>
      </c>
      <c r="AA454" s="35">
        <f t="shared" si="171"/>
        <v>4.3062200956937802E-2</v>
      </c>
    </row>
    <row r="455" spans="2:27" x14ac:dyDescent="0.2">
      <c r="B455" s="2">
        <v>453</v>
      </c>
      <c r="C455" s="2" t="str">
        <f t="shared" si="155"/>
        <v>s</v>
      </c>
      <c r="D455" s="29" t="s">
        <v>31</v>
      </c>
      <c r="E455" s="29" t="s">
        <v>219</v>
      </c>
      <c r="F455" s="2" t="s">
        <v>224</v>
      </c>
      <c r="G455" s="2">
        <f t="shared" si="150"/>
        <v>5</v>
      </c>
      <c r="H455" s="2" t="str">
        <f t="shared" si="162"/>
        <v>黑暗</v>
      </c>
      <c r="I455" s="38">
        <f t="shared" si="165"/>
        <v>0.37363636363636366</v>
      </c>
      <c r="J455" s="33">
        <f t="shared" si="166"/>
        <v>122</v>
      </c>
      <c r="K455" s="33">
        <f t="shared" si="170"/>
        <v>67</v>
      </c>
      <c r="L455" s="33">
        <f t="shared" si="170"/>
        <v>14</v>
      </c>
      <c r="M455" s="33">
        <f t="shared" si="170"/>
        <v>47</v>
      </c>
      <c r="N455" s="33">
        <f t="shared" si="163"/>
        <v>57</v>
      </c>
      <c r="O455" s="33">
        <f t="shared" si="170"/>
        <v>47</v>
      </c>
      <c r="P455" s="33">
        <f t="shared" si="170"/>
        <v>33</v>
      </c>
      <c r="Q455" s="33">
        <f t="shared" si="170"/>
        <v>24</v>
      </c>
      <c r="R455" s="35">
        <f t="shared" si="167"/>
        <v>0.08</v>
      </c>
      <c r="S455" s="35">
        <f t="shared" si="168"/>
        <v>0.11</v>
      </c>
      <c r="T455" s="35">
        <f t="shared" si="169"/>
        <v>0.08</v>
      </c>
      <c r="U455" s="35">
        <f t="shared" si="164"/>
        <v>5.6603773584905648E-2</v>
      </c>
      <c r="V455" s="35">
        <f t="shared" si="171"/>
        <v>5.6603773584905648E-2</v>
      </c>
      <c r="W455" s="35">
        <f t="shared" si="171"/>
        <v>5.6603773584905648E-2</v>
      </c>
      <c r="X455" s="35">
        <f t="shared" si="171"/>
        <v>5.6603773584905648E-2</v>
      </c>
      <c r="Y455" s="35">
        <f t="shared" si="171"/>
        <v>5.6603773584905648E-2</v>
      </c>
      <c r="Z455" s="35">
        <f t="shared" si="171"/>
        <v>0.26199261992619927</v>
      </c>
      <c r="AA455" s="35">
        <f t="shared" si="171"/>
        <v>5.6603773584905648E-2</v>
      </c>
    </row>
    <row r="456" spans="2:27" x14ac:dyDescent="0.2">
      <c r="B456" s="2">
        <v>454</v>
      </c>
      <c r="C456" s="2" t="str">
        <f t="shared" si="155"/>
        <v>s</v>
      </c>
      <c r="D456" s="29" t="s">
        <v>31</v>
      </c>
      <c r="E456" s="29" t="s">
        <v>219</v>
      </c>
      <c r="F456" s="2" t="s">
        <v>224</v>
      </c>
      <c r="G456" s="2">
        <f t="shared" si="150"/>
        <v>6</v>
      </c>
      <c r="H456" s="2" t="str">
        <f t="shared" si="162"/>
        <v>黑暗</v>
      </c>
      <c r="I456" s="38">
        <f t="shared" si="165"/>
        <v>0.44636363636363635</v>
      </c>
      <c r="J456" s="33">
        <f t="shared" si="166"/>
        <v>146</v>
      </c>
      <c r="K456" s="33">
        <f t="shared" si="170"/>
        <v>80</v>
      </c>
      <c r="L456" s="33">
        <f t="shared" si="170"/>
        <v>16</v>
      </c>
      <c r="M456" s="33">
        <f t="shared" si="170"/>
        <v>56</v>
      </c>
      <c r="N456" s="33">
        <f t="shared" si="163"/>
        <v>68</v>
      </c>
      <c r="O456" s="33">
        <f t="shared" si="170"/>
        <v>56</v>
      </c>
      <c r="P456" s="33">
        <f t="shared" si="170"/>
        <v>40</v>
      </c>
      <c r="Q456" s="33">
        <f t="shared" si="170"/>
        <v>29</v>
      </c>
      <c r="R456" s="35">
        <f t="shared" si="167"/>
        <v>9.6666666666666665E-2</v>
      </c>
      <c r="S456" s="35">
        <f t="shared" si="168"/>
        <v>0.13333333333333333</v>
      </c>
      <c r="T456" s="35">
        <f t="shared" si="169"/>
        <v>9.6666666666666665E-2</v>
      </c>
      <c r="U456" s="35">
        <f t="shared" si="164"/>
        <v>6.5420560747663559E-2</v>
      </c>
      <c r="V456" s="35">
        <f t="shared" si="171"/>
        <v>6.5420560747663559E-2</v>
      </c>
      <c r="W456" s="35">
        <f t="shared" si="171"/>
        <v>6.5420560747663559E-2</v>
      </c>
      <c r="X456" s="35">
        <f t="shared" si="171"/>
        <v>6.5420560747663559E-2</v>
      </c>
      <c r="Y456" s="35">
        <f t="shared" si="171"/>
        <v>6.5420560747663559E-2</v>
      </c>
      <c r="Z456" s="35">
        <f t="shared" si="171"/>
        <v>0.29824561403508776</v>
      </c>
      <c r="AA456" s="35">
        <f t="shared" si="171"/>
        <v>6.5420560747663559E-2</v>
      </c>
    </row>
    <row r="457" spans="2:27" x14ac:dyDescent="0.2">
      <c r="B457" s="2">
        <v>455</v>
      </c>
      <c r="C457" s="2" t="str">
        <f t="shared" si="155"/>
        <v>s</v>
      </c>
      <c r="D457" s="29" t="s">
        <v>31</v>
      </c>
      <c r="E457" s="29" t="s">
        <v>219</v>
      </c>
      <c r="F457" s="2" t="s">
        <v>224</v>
      </c>
      <c r="G457" s="2">
        <f t="shared" si="150"/>
        <v>7</v>
      </c>
      <c r="H457" s="2" t="str">
        <f t="shared" si="162"/>
        <v>黑暗</v>
      </c>
      <c r="I457" s="38">
        <f t="shared" si="165"/>
        <v>0.52181818181818185</v>
      </c>
      <c r="J457" s="33">
        <f t="shared" si="166"/>
        <v>171</v>
      </c>
      <c r="K457" s="33">
        <f t="shared" si="170"/>
        <v>93</v>
      </c>
      <c r="L457" s="33">
        <f t="shared" si="170"/>
        <v>19</v>
      </c>
      <c r="M457" s="33">
        <f t="shared" si="170"/>
        <v>65</v>
      </c>
      <c r="N457" s="33">
        <f t="shared" si="163"/>
        <v>80</v>
      </c>
      <c r="O457" s="33">
        <f t="shared" si="170"/>
        <v>65</v>
      </c>
      <c r="P457" s="33">
        <f t="shared" si="170"/>
        <v>47</v>
      </c>
      <c r="Q457" s="33">
        <f t="shared" si="170"/>
        <v>34</v>
      </c>
      <c r="R457" s="35">
        <f t="shared" si="167"/>
        <v>0.11333333333333334</v>
      </c>
      <c r="S457" s="35">
        <f t="shared" si="168"/>
        <v>0.15666666666666665</v>
      </c>
      <c r="T457" s="35">
        <f t="shared" si="169"/>
        <v>0.11333333333333334</v>
      </c>
      <c r="U457" s="35">
        <f t="shared" si="164"/>
        <v>7.407407407407407E-2</v>
      </c>
      <c r="V457" s="35">
        <f t="shared" si="171"/>
        <v>7.407407407407407E-2</v>
      </c>
      <c r="W457" s="35">
        <f t="shared" si="171"/>
        <v>7.407407407407407E-2</v>
      </c>
      <c r="X457" s="35">
        <f t="shared" si="171"/>
        <v>7.407407407407407E-2</v>
      </c>
      <c r="Y457" s="35">
        <f t="shared" si="171"/>
        <v>7.407407407407407E-2</v>
      </c>
      <c r="Z457" s="35">
        <f t="shared" si="171"/>
        <v>0.33110367892976589</v>
      </c>
      <c r="AA457" s="35">
        <f t="shared" si="171"/>
        <v>7.407407407407407E-2</v>
      </c>
    </row>
    <row r="458" spans="2:27" x14ac:dyDescent="0.2">
      <c r="B458" s="2">
        <v>456</v>
      </c>
      <c r="C458" s="2" t="str">
        <f t="shared" si="155"/>
        <v>s</v>
      </c>
      <c r="D458" s="29" t="s">
        <v>31</v>
      </c>
      <c r="E458" s="29" t="s">
        <v>219</v>
      </c>
      <c r="F458" s="2" t="s">
        <v>224</v>
      </c>
      <c r="G458" s="2">
        <f t="shared" si="150"/>
        <v>8</v>
      </c>
      <c r="H458" s="2" t="str">
        <f t="shared" si="162"/>
        <v>黑暗</v>
      </c>
      <c r="I458" s="38">
        <f t="shared" si="165"/>
        <v>0.59727272727272729</v>
      </c>
      <c r="J458" s="33">
        <f t="shared" si="166"/>
        <v>195</v>
      </c>
      <c r="K458" s="33">
        <f t="shared" si="170"/>
        <v>107</v>
      </c>
      <c r="L458" s="33">
        <f t="shared" si="170"/>
        <v>22</v>
      </c>
      <c r="M458" s="33">
        <f t="shared" si="170"/>
        <v>75</v>
      </c>
      <c r="N458" s="33">
        <f t="shared" si="163"/>
        <v>91</v>
      </c>
      <c r="O458" s="33">
        <f t="shared" si="170"/>
        <v>75</v>
      </c>
      <c r="P458" s="33">
        <f t="shared" si="170"/>
        <v>53</v>
      </c>
      <c r="Q458" s="33">
        <f t="shared" si="170"/>
        <v>39</v>
      </c>
      <c r="R458" s="35">
        <f t="shared" si="167"/>
        <v>0.13</v>
      </c>
      <c r="S458" s="35">
        <f t="shared" si="168"/>
        <v>0.17666666666666667</v>
      </c>
      <c r="T458" s="35">
        <f t="shared" si="169"/>
        <v>0.13</v>
      </c>
      <c r="U458" s="35">
        <f t="shared" si="164"/>
        <v>8.6757990867579959E-2</v>
      </c>
      <c r="V458" s="35">
        <f t="shared" si="171"/>
        <v>8.6757990867579959E-2</v>
      </c>
      <c r="W458" s="35">
        <f t="shared" si="171"/>
        <v>8.6757990867579959E-2</v>
      </c>
      <c r="X458" s="35">
        <f t="shared" si="171"/>
        <v>8.6757990867579959E-2</v>
      </c>
      <c r="Y458" s="35">
        <f t="shared" si="171"/>
        <v>8.6757990867579959E-2</v>
      </c>
      <c r="Z458" s="35">
        <f t="shared" si="171"/>
        <v>0.36102236421725242</v>
      </c>
      <c r="AA458" s="35">
        <f t="shared" si="171"/>
        <v>8.6757990867579959E-2</v>
      </c>
    </row>
    <row r="459" spans="2:27" x14ac:dyDescent="0.2">
      <c r="B459" s="2">
        <v>457</v>
      </c>
      <c r="C459" s="2" t="str">
        <f t="shared" si="155"/>
        <v>a</v>
      </c>
      <c r="D459" s="29" t="s">
        <v>31</v>
      </c>
      <c r="E459" s="29" t="s">
        <v>219</v>
      </c>
      <c r="F459" s="2" t="s">
        <v>224</v>
      </c>
      <c r="G459" s="2">
        <f t="shared" si="150"/>
        <v>1</v>
      </c>
      <c r="H459" s="2" t="str">
        <f t="shared" si="162"/>
        <v>黑暗</v>
      </c>
      <c r="I459" s="38">
        <f t="shared" si="165"/>
        <v>0.1</v>
      </c>
      <c r="J459" s="33">
        <f t="shared" si="166"/>
        <v>18</v>
      </c>
      <c r="K459" s="33">
        <f t="shared" si="170"/>
        <v>14</v>
      </c>
      <c r="L459" s="33">
        <f t="shared" si="170"/>
        <v>2</v>
      </c>
      <c r="M459" s="33">
        <f t="shared" si="170"/>
        <v>9</v>
      </c>
      <c r="N459" s="33">
        <f t="shared" si="163"/>
        <v>12</v>
      </c>
      <c r="O459" s="33">
        <f t="shared" si="170"/>
        <v>9</v>
      </c>
      <c r="P459" s="33">
        <f t="shared" si="170"/>
        <v>7</v>
      </c>
      <c r="Q459" s="33">
        <f t="shared" si="170"/>
        <v>5</v>
      </c>
      <c r="R459" s="35">
        <f t="shared" si="167"/>
        <v>1.6666666666666666E-2</v>
      </c>
      <c r="S459" s="35">
        <f t="shared" si="168"/>
        <v>2.3333333333333334E-2</v>
      </c>
      <c r="T459" s="35">
        <f t="shared" si="169"/>
        <v>1.6666666666666666E-2</v>
      </c>
      <c r="U459" s="35">
        <f t="shared" si="164"/>
        <v>9.9009900990099098E-3</v>
      </c>
      <c r="V459" s="35">
        <f t="shared" si="171"/>
        <v>9.9009900990099098E-3</v>
      </c>
      <c r="W459" s="35">
        <f t="shared" si="171"/>
        <v>9.9009900990099098E-3</v>
      </c>
      <c r="X459" s="35">
        <f t="shared" si="171"/>
        <v>9.9009900990099098E-3</v>
      </c>
      <c r="Y459" s="35">
        <f t="shared" si="171"/>
        <v>9.9009900990099098E-3</v>
      </c>
      <c r="Z459" s="35">
        <f t="shared" si="171"/>
        <v>6.9767441860465129E-2</v>
      </c>
      <c r="AA459" s="35">
        <f t="shared" si="171"/>
        <v>9.9009900990099098E-3</v>
      </c>
    </row>
    <row r="460" spans="2:27" x14ac:dyDescent="0.2">
      <c r="B460" s="2">
        <v>458</v>
      </c>
      <c r="C460" s="2" t="str">
        <f t="shared" si="155"/>
        <v>a</v>
      </c>
      <c r="D460" s="29" t="s">
        <v>31</v>
      </c>
      <c r="E460" s="29" t="s">
        <v>219</v>
      </c>
      <c r="F460" s="2" t="s">
        <v>224</v>
      </c>
      <c r="G460" s="2">
        <f t="shared" ref="G460:G523" si="172">G452</f>
        <v>2</v>
      </c>
      <c r="H460" s="2" t="str">
        <f t="shared" si="162"/>
        <v>黑暗</v>
      </c>
      <c r="I460" s="38">
        <f t="shared" si="165"/>
        <v>0.14181818181818182</v>
      </c>
      <c r="J460" s="33">
        <f t="shared" si="166"/>
        <v>37</v>
      </c>
      <c r="K460" s="33">
        <f t="shared" si="170"/>
        <v>28</v>
      </c>
      <c r="L460" s="33">
        <f t="shared" si="170"/>
        <v>5</v>
      </c>
      <c r="M460" s="33">
        <f t="shared" si="170"/>
        <v>19</v>
      </c>
      <c r="N460" s="33">
        <f t="shared" si="163"/>
        <v>24</v>
      </c>
      <c r="O460" s="33">
        <f t="shared" si="170"/>
        <v>19</v>
      </c>
      <c r="P460" s="33">
        <f t="shared" si="170"/>
        <v>14</v>
      </c>
      <c r="Q460" s="33">
        <f t="shared" si="170"/>
        <v>10</v>
      </c>
      <c r="R460" s="35">
        <f t="shared" si="167"/>
        <v>3.3333333333333333E-2</v>
      </c>
      <c r="S460" s="35">
        <f t="shared" si="168"/>
        <v>4.6666666666666669E-2</v>
      </c>
      <c r="T460" s="35">
        <f t="shared" si="169"/>
        <v>3.3333333333333333E-2</v>
      </c>
      <c r="U460" s="35">
        <f t="shared" si="164"/>
        <v>2.4390243902439046E-2</v>
      </c>
      <c r="V460" s="35">
        <f t="shared" si="171"/>
        <v>2.4390243902439046E-2</v>
      </c>
      <c r="W460" s="35">
        <f t="shared" si="171"/>
        <v>2.4390243902439046E-2</v>
      </c>
      <c r="X460" s="35">
        <f t="shared" si="171"/>
        <v>2.4390243902439046E-2</v>
      </c>
      <c r="Y460" s="35">
        <f t="shared" si="171"/>
        <v>2.4390243902439046E-2</v>
      </c>
      <c r="Z460" s="35">
        <f t="shared" si="171"/>
        <v>0.13043478260869568</v>
      </c>
      <c r="AA460" s="35">
        <f t="shared" si="171"/>
        <v>2.4390243902439046E-2</v>
      </c>
    </row>
    <row r="461" spans="2:27" x14ac:dyDescent="0.2">
      <c r="B461" s="2">
        <v>459</v>
      </c>
      <c r="C461" s="2" t="str">
        <f t="shared" si="155"/>
        <v>a</v>
      </c>
      <c r="D461" s="29" t="s">
        <v>31</v>
      </c>
      <c r="E461" s="29" t="s">
        <v>219</v>
      </c>
      <c r="F461" s="2" t="s">
        <v>224</v>
      </c>
      <c r="G461" s="2">
        <f t="shared" si="172"/>
        <v>3</v>
      </c>
      <c r="H461" s="2" t="str">
        <f t="shared" si="162"/>
        <v>黑暗</v>
      </c>
      <c r="I461" s="38">
        <f t="shared" si="165"/>
        <v>0.21454545454545454</v>
      </c>
      <c r="J461" s="33">
        <f t="shared" si="166"/>
        <v>56</v>
      </c>
      <c r="K461" s="33">
        <f t="shared" si="170"/>
        <v>42</v>
      </c>
      <c r="L461" s="33">
        <f t="shared" si="170"/>
        <v>8</v>
      </c>
      <c r="M461" s="33">
        <f t="shared" si="170"/>
        <v>29</v>
      </c>
      <c r="N461" s="33">
        <f t="shared" si="163"/>
        <v>36</v>
      </c>
      <c r="O461" s="33">
        <f t="shared" si="170"/>
        <v>29</v>
      </c>
      <c r="P461" s="33">
        <f t="shared" si="170"/>
        <v>21</v>
      </c>
      <c r="Q461" s="33">
        <f t="shared" si="170"/>
        <v>15</v>
      </c>
      <c r="R461" s="35">
        <f t="shared" si="167"/>
        <v>0.05</v>
      </c>
      <c r="S461" s="35">
        <f t="shared" si="168"/>
        <v>7.0000000000000007E-2</v>
      </c>
      <c r="T461" s="35">
        <f t="shared" si="169"/>
        <v>0.05</v>
      </c>
      <c r="U461" s="35">
        <f t="shared" si="164"/>
        <v>3.3816425120772986E-2</v>
      </c>
      <c r="V461" s="35">
        <f t="shared" si="171"/>
        <v>3.3816425120772986E-2</v>
      </c>
      <c r="W461" s="35">
        <f t="shared" si="171"/>
        <v>3.3816425120772986E-2</v>
      </c>
      <c r="X461" s="35">
        <f t="shared" si="171"/>
        <v>3.3816425120772986E-2</v>
      </c>
      <c r="Y461" s="35">
        <f t="shared" si="171"/>
        <v>3.3816425120772986E-2</v>
      </c>
      <c r="Z461" s="35">
        <f t="shared" si="171"/>
        <v>0.18367346938775508</v>
      </c>
      <c r="AA461" s="35">
        <f t="shared" si="171"/>
        <v>3.3816425120772986E-2</v>
      </c>
    </row>
    <row r="462" spans="2:27" x14ac:dyDescent="0.2">
      <c r="B462" s="2">
        <v>460</v>
      </c>
      <c r="C462" s="2" t="str">
        <f t="shared" si="155"/>
        <v>a</v>
      </c>
      <c r="D462" s="29" t="s">
        <v>31</v>
      </c>
      <c r="E462" s="29" t="s">
        <v>219</v>
      </c>
      <c r="F462" s="2" t="s">
        <v>224</v>
      </c>
      <c r="G462" s="2">
        <f t="shared" si="172"/>
        <v>4</v>
      </c>
      <c r="H462" s="2" t="str">
        <f t="shared" si="162"/>
        <v>黑暗</v>
      </c>
      <c r="I462" s="38">
        <f t="shared" si="165"/>
        <v>0.28636363636363638</v>
      </c>
      <c r="J462" s="33">
        <f t="shared" si="166"/>
        <v>74</v>
      </c>
      <c r="K462" s="33">
        <f t="shared" si="170"/>
        <v>56</v>
      </c>
      <c r="L462" s="33">
        <f t="shared" si="170"/>
        <v>11</v>
      </c>
      <c r="M462" s="33">
        <f t="shared" si="170"/>
        <v>39</v>
      </c>
      <c r="N462" s="33">
        <f t="shared" si="163"/>
        <v>48</v>
      </c>
      <c r="O462" s="33">
        <f t="shared" si="170"/>
        <v>39</v>
      </c>
      <c r="P462" s="33">
        <f t="shared" si="170"/>
        <v>28</v>
      </c>
      <c r="Q462" s="33">
        <f t="shared" si="170"/>
        <v>20</v>
      </c>
      <c r="R462" s="35">
        <f t="shared" si="167"/>
        <v>6.6666666666666666E-2</v>
      </c>
      <c r="S462" s="35">
        <f t="shared" si="168"/>
        <v>9.3333333333333338E-2</v>
      </c>
      <c r="T462" s="35">
        <f t="shared" si="169"/>
        <v>6.6666666666666666E-2</v>
      </c>
      <c r="U462" s="35">
        <f t="shared" si="164"/>
        <v>4.7619047619047672E-2</v>
      </c>
      <c r="V462" s="35">
        <f t="shared" si="171"/>
        <v>4.7619047619047672E-2</v>
      </c>
      <c r="W462" s="35">
        <f t="shared" si="171"/>
        <v>4.7619047619047672E-2</v>
      </c>
      <c r="X462" s="35">
        <f t="shared" si="171"/>
        <v>4.7619047619047672E-2</v>
      </c>
      <c r="Y462" s="35">
        <f t="shared" si="171"/>
        <v>4.7619047619047672E-2</v>
      </c>
      <c r="Z462" s="35">
        <f t="shared" si="171"/>
        <v>0.23076923076923073</v>
      </c>
      <c r="AA462" s="35">
        <f t="shared" si="171"/>
        <v>4.7619047619047672E-2</v>
      </c>
    </row>
    <row r="463" spans="2:27" x14ac:dyDescent="0.2">
      <c r="B463" s="2">
        <v>461</v>
      </c>
      <c r="C463" s="2" t="str">
        <f t="shared" si="155"/>
        <v>a</v>
      </c>
      <c r="D463" s="29" t="s">
        <v>31</v>
      </c>
      <c r="E463" s="29" t="s">
        <v>219</v>
      </c>
      <c r="F463" s="2" t="s">
        <v>224</v>
      </c>
      <c r="G463" s="2">
        <f t="shared" si="172"/>
        <v>5</v>
      </c>
      <c r="H463" s="2" t="str">
        <f t="shared" si="162"/>
        <v>黑暗</v>
      </c>
      <c r="I463" s="38">
        <f t="shared" si="165"/>
        <v>0.36</v>
      </c>
      <c r="J463" s="33">
        <f t="shared" si="166"/>
        <v>93</v>
      </c>
      <c r="K463" s="33">
        <f t="shared" ref="K463:Q472" si="173">INT((1+VLOOKUP($F463,role_property_weight,getpos(K$2),FALSE))*(1+VLOOKUP($F463,weapon_property_weight,getpos(K$2),FALSE))*VLOOKUP($E463,role_grow,getpos(K$2),FALSE)*$G463*10*VLOOKUP($C463,weapon_grow1,5,FALSE))</f>
        <v>70</v>
      </c>
      <c r="L463" s="33">
        <f t="shared" si="173"/>
        <v>14</v>
      </c>
      <c r="M463" s="33">
        <f t="shared" si="173"/>
        <v>49</v>
      </c>
      <c r="N463" s="33">
        <f t="shared" si="163"/>
        <v>60</v>
      </c>
      <c r="O463" s="33">
        <f t="shared" si="173"/>
        <v>49</v>
      </c>
      <c r="P463" s="33">
        <f t="shared" si="173"/>
        <v>35</v>
      </c>
      <c r="Q463" s="33">
        <f t="shared" si="173"/>
        <v>26</v>
      </c>
      <c r="R463" s="35">
        <f t="shared" si="167"/>
        <v>8.6666666666666656E-2</v>
      </c>
      <c r="S463" s="35">
        <f t="shared" si="168"/>
        <v>0.11666666666666665</v>
      </c>
      <c r="T463" s="35">
        <f t="shared" si="169"/>
        <v>8.6666666666666656E-2</v>
      </c>
      <c r="U463" s="35">
        <f t="shared" si="164"/>
        <v>5.6603773584905648E-2</v>
      </c>
      <c r="V463" s="35">
        <f t="shared" ref="V463:AA472" si="174">1-200/(200+ROUND((1+VLOOKUP($F463,role_property_weight,getpos(V$2),FALSE))*VLOOKUP($E463,role_grow,getpos(V$2),FALSE)*$G463*10*VLOOKUP($C463,weapon_grow1,5,FALSE),0))</f>
        <v>5.6603773584905648E-2</v>
      </c>
      <c r="W463" s="35">
        <f t="shared" si="174"/>
        <v>5.6603773584905648E-2</v>
      </c>
      <c r="X463" s="35">
        <f t="shared" si="174"/>
        <v>5.6603773584905648E-2</v>
      </c>
      <c r="Y463" s="35">
        <f t="shared" si="174"/>
        <v>5.6603773584905648E-2</v>
      </c>
      <c r="Z463" s="35">
        <f t="shared" si="174"/>
        <v>0.27007299270072993</v>
      </c>
      <c r="AA463" s="35">
        <f t="shared" si="174"/>
        <v>5.6603773584905648E-2</v>
      </c>
    </row>
    <row r="464" spans="2:27" x14ac:dyDescent="0.2">
      <c r="B464" s="2">
        <v>462</v>
      </c>
      <c r="C464" s="2" t="str">
        <f t="shared" si="155"/>
        <v>a</v>
      </c>
      <c r="D464" s="29" t="s">
        <v>31</v>
      </c>
      <c r="E464" s="29" t="s">
        <v>219</v>
      </c>
      <c r="F464" s="2" t="s">
        <v>224</v>
      </c>
      <c r="G464" s="2">
        <f t="shared" si="172"/>
        <v>6</v>
      </c>
      <c r="H464" s="2" t="str">
        <f t="shared" si="162"/>
        <v>黑暗</v>
      </c>
      <c r="I464" s="38">
        <f t="shared" si="165"/>
        <v>0.43272727272727274</v>
      </c>
      <c r="J464" s="33">
        <f t="shared" si="166"/>
        <v>112</v>
      </c>
      <c r="K464" s="33">
        <f t="shared" si="173"/>
        <v>84</v>
      </c>
      <c r="L464" s="33">
        <f t="shared" si="173"/>
        <v>17</v>
      </c>
      <c r="M464" s="33">
        <f t="shared" si="173"/>
        <v>59</v>
      </c>
      <c r="N464" s="33">
        <f t="shared" si="163"/>
        <v>72</v>
      </c>
      <c r="O464" s="33">
        <f t="shared" si="173"/>
        <v>59</v>
      </c>
      <c r="P464" s="33">
        <f t="shared" si="173"/>
        <v>42</v>
      </c>
      <c r="Q464" s="33">
        <f t="shared" si="173"/>
        <v>31</v>
      </c>
      <c r="R464" s="35">
        <f t="shared" si="167"/>
        <v>0.10333333333333333</v>
      </c>
      <c r="S464" s="35">
        <f t="shared" si="168"/>
        <v>0.14000000000000001</v>
      </c>
      <c r="T464" s="35">
        <f t="shared" si="169"/>
        <v>0.10333333333333333</v>
      </c>
      <c r="U464" s="35">
        <f t="shared" si="164"/>
        <v>6.9767441860465129E-2</v>
      </c>
      <c r="V464" s="35">
        <f t="shared" si="174"/>
        <v>6.9767441860465129E-2</v>
      </c>
      <c r="W464" s="35">
        <f t="shared" si="174"/>
        <v>6.9767441860465129E-2</v>
      </c>
      <c r="X464" s="35">
        <f t="shared" si="174"/>
        <v>6.9767441860465129E-2</v>
      </c>
      <c r="Y464" s="35">
        <f t="shared" si="174"/>
        <v>6.9767441860465129E-2</v>
      </c>
      <c r="Z464" s="35">
        <f t="shared" si="174"/>
        <v>0.30795847750865057</v>
      </c>
      <c r="AA464" s="35">
        <f t="shared" si="174"/>
        <v>6.9767441860465129E-2</v>
      </c>
    </row>
    <row r="465" spans="2:27" x14ac:dyDescent="0.2">
      <c r="B465" s="2">
        <v>463</v>
      </c>
      <c r="C465" s="2" t="str">
        <f t="shared" si="155"/>
        <v>a</v>
      </c>
      <c r="D465" s="29" t="s">
        <v>31</v>
      </c>
      <c r="E465" s="29" t="s">
        <v>219</v>
      </c>
      <c r="F465" s="2" t="s">
        <v>224</v>
      </c>
      <c r="G465" s="2">
        <f t="shared" si="172"/>
        <v>7</v>
      </c>
      <c r="H465" s="2" t="str">
        <f t="shared" si="162"/>
        <v>黑暗</v>
      </c>
      <c r="I465" s="38">
        <f t="shared" si="165"/>
        <v>0.50545454545454549</v>
      </c>
      <c r="J465" s="33">
        <f t="shared" si="166"/>
        <v>131</v>
      </c>
      <c r="K465" s="33">
        <f t="shared" si="173"/>
        <v>98</v>
      </c>
      <c r="L465" s="33">
        <f t="shared" si="173"/>
        <v>20</v>
      </c>
      <c r="M465" s="33">
        <f t="shared" si="173"/>
        <v>69</v>
      </c>
      <c r="N465" s="33">
        <f t="shared" si="163"/>
        <v>84</v>
      </c>
      <c r="O465" s="33">
        <f t="shared" si="173"/>
        <v>69</v>
      </c>
      <c r="P465" s="33">
        <f t="shared" si="173"/>
        <v>49</v>
      </c>
      <c r="Q465" s="33">
        <f t="shared" si="173"/>
        <v>36</v>
      </c>
      <c r="R465" s="35">
        <f t="shared" si="167"/>
        <v>0.12</v>
      </c>
      <c r="S465" s="35">
        <f t="shared" si="168"/>
        <v>0.16333333333333333</v>
      </c>
      <c r="T465" s="35">
        <f t="shared" si="169"/>
        <v>0.12</v>
      </c>
      <c r="U465" s="35">
        <f t="shared" si="164"/>
        <v>7.8341013824884786E-2</v>
      </c>
      <c r="V465" s="35">
        <f t="shared" si="174"/>
        <v>7.8341013824884786E-2</v>
      </c>
      <c r="W465" s="35">
        <f t="shared" si="174"/>
        <v>7.8341013824884786E-2</v>
      </c>
      <c r="X465" s="35">
        <f t="shared" si="174"/>
        <v>7.8341013824884786E-2</v>
      </c>
      <c r="Y465" s="35">
        <f t="shared" si="174"/>
        <v>7.8341013824884786E-2</v>
      </c>
      <c r="Z465" s="35">
        <f t="shared" si="174"/>
        <v>0.34210526315789469</v>
      </c>
      <c r="AA465" s="35">
        <f t="shared" si="174"/>
        <v>7.8341013824884786E-2</v>
      </c>
    </row>
    <row r="466" spans="2:27" x14ac:dyDescent="0.2">
      <c r="B466" s="2">
        <v>464</v>
      </c>
      <c r="C466" s="2" t="str">
        <f t="shared" si="155"/>
        <v>a</v>
      </c>
      <c r="D466" s="29" t="s">
        <v>31</v>
      </c>
      <c r="E466" s="29" t="s">
        <v>219</v>
      </c>
      <c r="F466" s="2" t="s">
        <v>224</v>
      </c>
      <c r="G466" s="2">
        <f t="shared" si="172"/>
        <v>8</v>
      </c>
      <c r="H466" s="2" t="str">
        <f t="shared" si="162"/>
        <v>黑暗</v>
      </c>
      <c r="I466" s="38">
        <f t="shared" si="165"/>
        <v>0.57818181818181824</v>
      </c>
      <c r="J466" s="33">
        <f t="shared" si="166"/>
        <v>149</v>
      </c>
      <c r="K466" s="33">
        <f t="shared" si="173"/>
        <v>113</v>
      </c>
      <c r="L466" s="33">
        <f t="shared" si="173"/>
        <v>23</v>
      </c>
      <c r="M466" s="33">
        <f t="shared" si="173"/>
        <v>79</v>
      </c>
      <c r="N466" s="33">
        <f t="shared" si="163"/>
        <v>96</v>
      </c>
      <c r="O466" s="33">
        <f t="shared" si="173"/>
        <v>79</v>
      </c>
      <c r="P466" s="33">
        <f t="shared" si="173"/>
        <v>56</v>
      </c>
      <c r="Q466" s="33">
        <f t="shared" si="173"/>
        <v>41</v>
      </c>
      <c r="R466" s="35">
        <f t="shared" si="167"/>
        <v>0.13666666666666666</v>
      </c>
      <c r="S466" s="35">
        <f t="shared" si="168"/>
        <v>0.18666666666666668</v>
      </c>
      <c r="T466" s="35">
        <f t="shared" si="169"/>
        <v>0.13666666666666666</v>
      </c>
      <c r="U466" s="35">
        <f t="shared" si="164"/>
        <v>9.0909090909090939E-2</v>
      </c>
      <c r="V466" s="35">
        <f t="shared" si="174"/>
        <v>9.0909090909090939E-2</v>
      </c>
      <c r="W466" s="35">
        <f t="shared" si="174"/>
        <v>9.0909090909090939E-2</v>
      </c>
      <c r="X466" s="35">
        <f t="shared" si="174"/>
        <v>9.0909090909090939E-2</v>
      </c>
      <c r="Y466" s="35">
        <f t="shared" si="174"/>
        <v>9.0909090909090939E-2</v>
      </c>
      <c r="Z466" s="35">
        <f t="shared" si="174"/>
        <v>0.37304075235109713</v>
      </c>
      <c r="AA466" s="35">
        <f t="shared" si="174"/>
        <v>9.0909090909090939E-2</v>
      </c>
    </row>
    <row r="467" spans="2:27" x14ac:dyDescent="0.2">
      <c r="B467" s="2">
        <v>465</v>
      </c>
      <c r="C467" s="2" t="str">
        <f t="shared" si="155"/>
        <v>b</v>
      </c>
      <c r="D467" s="29" t="s">
        <v>31</v>
      </c>
      <c r="E467" s="29" t="s">
        <v>219</v>
      </c>
      <c r="F467" s="2" t="s">
        <v>224</v>
      </c>
      <c r="G467" s="2">
        <f t="shared" si="172"/>
        <v>1</v>
      </c>
      <c r="H467" s="2" t="str">
        <f t="shared" si="162"/>
        <v>黑暗</v>
      </c>
      <c r="I467" s="38">
        <f t="shared" si="165"/>
        <v>0.1</v>
      </c>
      <c r="J467" s="33">
        <f t="shared" si="166"/>
        <v>20</v>
      </c>
      <c r="K467" s="33">
        <f t="shared" si="173"/>
        <v>17</v>
      </c>
      <c r="L467" s="33">
        <f t="shared" si="173"/>
        <v>3</v>
      </c>
      <c r="M467" s="33">
        <f t="shared" si="173"/>
        <v>12</v>
      </c>
      <c r="N467" s="33">
        <f t="shared" si="163"/>
        <v>15</v>
      </c>
      <c r="O467" s="33">
        <f t="shared" si="173"/>
        <v>12</v>
      </c>
      <c r="P467" s="33">
        <f t="shared" si="173"/>
        <v>8</v>
      </c>
      <c r="Q467" s="33">
        <f t="shared" si="173"/>
        <v>6</v>
      </c>
      <c r="R467" s="35">
        <f t="shared" si="167"/>
        <v>0.02</v>
      </c>
      <c r="S467" s="35">
        <f t="shared" si="168"/>
        <v>2.6666666666666665E-2</v>
      </c>
      <c r="T467" s="35">
        <f t="shared" si="169"/>
        <v>0.02</v>
      </c>
      <c r="U467" s="35">
        <f t="shared" si="164"/>
        <v>1.4778325123152691E-2</v>
      </c>
      <c r="V467" s="35">
        <f t="shared" si="174"/>
        <v>1.4778325123152691E-2</v>
      </c>
      <c r="W467" s="35">
        <f t="shared" si="174"/>
        <v>1.4778325123152691E-2</v>
      </c>
      <c r="X467" s="35">
        <f t="shared" si="174"/>
        <v>1.4778325123152691E-2</v>
      </c>
      <c r="Y467" s="35">
        <f t="shared" si="174"/>
        <v>1.4778325123152691E-2</v>
      </c>
      <c r="Z467" s="35">
        <f t="shared" si="174"/>
        <v>8.6757990867579959E-2</v>
      </c>
      <c r="AA467" s="35">
        <f t="shared" si="174"/>
        <v>1.4778325123152691E-2</v>
      </c>
    </row>
    <row r="468" spans="2:27" x14ac:dyDescent="0.2">
      <c r="B468" s="2">
        <v>466</v>
      </c>
      <c r="C468" s="2" t="str">
        <f t="shared" si="155"/>
        <v>b</v>
      </c>
      <c r="D468" s="29" t="s">
        <v>31</v>
      </c>
      <c r="E468" s="29" t="s">
        <v>219</v>
      </c>
      <c r="F468" s="2" t="s">
        <v>224</v>
      </c>
      <c r="G468" s="2">
        <f t="shared" si="172"/>
        <v>2</v>
      </c>
      <c r="H468" s="2" t="str">
        <f t="shared" si="162"/>
        <v>黑暗</v>
      </c>
      <c r="I468" s="38">
        <f t="shared" si="165"/>
        <v>0.17272727272727273</v>
      </c>
      <c r="J468" s="33">
        <f t="shared" si="166"/>
        <v>40</v>
      </c>
      <c r="K468" s="33">
        <f t="shared" si="173"/>
        <v>35</v>
      </c>
      <c r="L468" s="33">
        <f t="shared" si="173"/>
        <v>7</v>
      </c>
      <c r="M468" s="33">
        <f t="shared" si="173"/>
        <v>24</v>
      </c>
      <c r="N468" s="33">
        <f t="shared" si="163"/>
        <v>30</v>
      </c>
      <c r="O468" s="33">
        <f t="shared" si="173"/>
        <v>24</v>
      </c>
      <c r="P468" s="33">
        <f t="shared" si="173"/>
        <v>17</v>
      </c>
      <c r="Q468" s="33">
        <f t="shared" si="173"/>
        <v>13</v>
      </c>
      <c r="R468" s="35">
        <f t="shared" si="167"/>
        <v>4.3333333333333328E-2</v>
      </c>
      <c r="S468" s="35">
        <f t="shared" si="168"/>
        <v>5.6666666666666671E-2</v>
      </c>
      <c r="T468" s="35">
        <f t="shared" si="169"/>
        <v>4.3333333333333328E-2</v>
      </c>
      <c r="U468" s="35">
        <f t="shared" si="164"/>
        <v>2.9126213592232997E-2</v>
      </c>
      <c r="V468" s="35">
        <f t="shared" si="174"/>
        <v>2.9126213592232997E-2</v>
      </c>
      <c r="W468" s="35">
        <f t="shared" si="174"/>
        <v>2.9126213592232997E-2</v>
      </c>
      <c r="X468" s="35">
        <f t="shared" si="174"/>
        <v>2.9126213592232997E-2</v>
      </c>
      <c r="Y468" s="35">
        <f t="shared" si="174"/>
        <v>2.9126213592232997E-2</v>
      </c>
      <c r="Z468" s="35">
        <f t="shared" si="174"/>
        <v>0.15611814345991559</v>
      </c>
      <c r="AA468" s="35">
        <f t="shared" si="174"/>
        <v>2.9126213592232997E-2</v>
      </c>
    </row>
    <row r="469" spans="2:27" x14ac:dyDescent="0.2">
      <c r="B469" s="2">
        <v>467</v>
      </c>
      <c r="C469" s="2" t="str">
        <f t="shared" si="155"/>
        <v>b</v>
      </c>
      <c r="D469" s="29" t="s">
        <v>31</v>
      </c>
      <c r="E469" s="29" t="s">
        <v>219</v>
      </c>
      <c r="F469" s="2" t="s">
        <v>224</v>
      </c>
      <c r="G469" s="2">
        <f t="shared" si="172"/>
        <v>3</v>
      </c>
      <c r="H469" s="2" t="str">
        <f t="shared" si="162"/>
        <v>黑暗</v>
      </c>
      <c r="I469" s="38">
        <f t="shared" si="165"/>
        <v>0.26181818181818184</v>
      </c>
      <c r="J469" s="33">
        <f t="shared" si="166"/>
        <v>60</v>
      </c>
      <c r="K469" s="33">
        <f t="shared" si="173"/>
        <v>53</v>
      </c>
      <c r="L469" s="33">
        <f t="shared" si="173"/>
        <v>11</v>
      </c>
      <c r="M469" s="33">
        <f t="shared" si="173"/>
        <v>37</v>
      </c>
      <c r="N469" s="33">
        <f t="shared" si="163"/>
        <v>45</v>
      </c>
      <c r="O469" s="33">
        <f t="shared" si="173"/>
        <v>37</v>
      </c>
      <c r="P469" s="33">
        <f t="shared" si="173"/>
        <v>26</v>
      </c>
      <c r="Q469" s="33">
        <f t="shared" si="173"/>
        <v>19</v>
      </c>
      <c r="R469" s="35">
        <f t="shared" si="167"/>
        <v>6.3333333333333325E-2</v>
      </c>
      <c r="S469" s="35">
        <f t="shared" si="168"/>
        <v>8.6666666666666656E-2</v>
      </c>
      <c r="T469" s="35">
        <f t="shared" si="169"/>
        <v>6.3333333333333325E-2</v>
      </c>
      <c r="U469" s="35">
        <f t="shared" si="164"/>
        <v>4.3062200956937802E-2</v>
      </c>
      <c r="V469" s="35">
        <f t="shared" si="174"/>
        <v>4.3062200956937802E-2</v>
      </c>
      <c r="W469" s="35">
        <f t="shared" si="174"/>
        <v>4.3062200956937802E-2</v>
      </c>
      <c r="X469" s="35">
        <f t="shared" si="174"/>
        <v>4.3062200956937802E-2</v>
      </c>
      <c r="Y469" s="35">
        <f t="shared" si="174"/>
        <v>4.3062200956937802E-2</v>
      </c>
      <c r="Z469" s="35">
        <f t="shared" si="174"/>
        <v>0.21875</v>
      </c>
      <c r="AA469" s="35">
        <f t="shared" si="174"/>
        <v>4.3062200956937802E-2</v>
      </c>
    </row>
    <row r="470" spans="2:27" x14ac:dyDescent="0.2">
      <c r="B470" s="2">
        <v>468</v>
      </c>
      <c r="C470" s="2" t="str">
        <f t="shared" si="155"/>
        <v>b</v>
      </c>
      <c r="D470" s="29" t="s">
        <v>31</v>
      </c>
      <c r="E470" s="29" t="s">
        <v>219</v>
      </c>
      <c r="F470" s="2" t="s">
        <v>224</v>
      </c>
      <c r="G470" s="2">
        <f t="shared" si="172"/>
        <v>4</v>
      </c>
      <c r="H470" s="2" t="str">
        <f t="shared" si="162"/>
        <v>黑暗</v>
      </c>
      <c r="I470" s="38">
        <f t="shared" si="165"/>
        <v>0.34909090909090906</v>
      </c>
      <c r="J470" s="33">
        <f t="shared" si="166"/>
        <v>80</v>
      </c>
      <c r="K470" s="33">
        <f t="shared" si="173"/>
        <v>71</v>
      </c>
      <c r="L470" s="33">
        <f t="shared" si="173"/>
        <v>14</v>
      </c>
      <c r="M470" s="33">
        <f t="shared" si="173"/>
        <v>49</v>
      </c>
      <c r="N470" s="33">
        <f t="shared" si="163"/>
        <v>60</v>
      </c>
      <c r="O470" s="33">
        <f t="shared" si="173"/>
        <v>49</v>
      </c>
      <c r="P470" s="33">
        <f t="shared" si="173"/>
        <v>35</v>
      </c>
      <c r="Q470" s="33">
        <f t="shared" si="173"/>
        <v>26</v>
      </c>
      <c r="R470" s="35">
        <f t="shared" si="167"/>
        <v>8.6666666666666656E-2</v>
      </c>
      <c r="S470" s="35">
        <f t="shared" si="168"/>
        <v>0.11666666666666665</v>
      </c>
      <c r="T470" s="35">
        <f t="shared" si="169"/>
        <v>8.6666666666666656E-2</v>
      </c>
      <c r="U470" s="35">
        <f t="shared" si="164"/>
        <v>5.6603773584905648E-2</v>
      </c>
      <c r="V470" s="35">
        <f t="shared" si="174"/>
        <v>5.6603773584905648E-2</v>
      </c>
      <c r="W470" s="35">
        <f t="shared" si="174"/>
        <v>5.6603773584905648E-2</v>
      </c>
      <c r="X470" s="35">
        <f t="shared" si="174"/>
        <v>5.6603773584905648E-2</v>
      </c>
      <c r="Y470" s="35">
        <f t="shared" si="174"/>
        <v>5.6603773584905648E-2</v>
      </c>
      <c r="Z470" s="35">
        <f t="shared" si="174"/>
        <v>0.27272727272727271</v>
      </c>
      <c r="AA470" s="35">
        <f t="shared" si="174"/>
        <v>5.6603773584905648E-2</v>
      </c>
    </row>
    <row r="471" spans="2:27" x14ac:dyDescent="0.2">
      <c r="B471" s="2">
        <v>469</v>
      </c>
      <c r="C471" s="2" t="str">
        <f t="shared" si="155"/>
        <v>b</v>
      </c>
      <c r="D471" s="29" t="s">
        <v>31</v>
      </c>
      <c r="E471" s="29" t="s">
        <v>219</v>
      </c>
      <c r="F471" s="2" t="s">
        <v>224</v>
      </c>
      <c r="G471" s="2">
        <f t="shared" si="172"/>
        <v>5</v>
      </c>
      <c r="H471" s="2" t="str">
        <f t="shared" si="162"/>
        <v>黑暗</v>
      </c>
      <c r="I471" s="38">
        <f t="shared" si="165"/>
        <v>0.43727272727272726</v>
      </c>
      <c r="J471" s="33">
        <f t="shared" si="166"/>
        <v>100</v>
      </c>
      <c r="K471" s="33">
        <f t="shared" si="173"/>
        <v>88</v>
      </c>
      <c r="L471" s="33">
        <f t="shared" si="173"/>
        <v>18</v>
      </c>
      <c r="M471" s="33">
        <f t="shared" si="173"/>
        <v>62</v>
      </c>
      <c r="N471" s="33">
        <f t="shared" si="163"/>
        <v>75</v>
      </c>
      <c r="O471" s="33">
        <f t="shared" si="173"/>
        <v>62</v>
      </c>
      <c r="P471" s="33">
        <f t="shared" si="173"/>
        <v>44</v>
      </c>
      <c r="Q471" s="33">
        <f t="shared" si="173"/>
        <v>32</v>
      </c>
      <c r="R471" s="35">
        <f t="shared" si="167"/>
        <v>0.10666666666666666</v>
      </c>
      <c r="S471" s="35">
        <f t="shared" si="168"/>
        <v>0.14666666666666667</v>
      </c>
      <c r="T471" s="35">
        <f t="shared" si="169"/>
        <v>0.10666666666666666</v>
      </c>
      <c r="U471" s="35">
        <f t="shared" si="164"/>
        <v>7.407407407407407E-2</v>
      </c>
      <c r="V471" s="35">
        <f t="shared" si="174"/>
        <v>7.407407407407407E-2</v>
      </c>
      <c r="W471" s="35">
        <f t="shared" si="174"/>
        <v>7.407407407407407E-2</v>
      </c>
      <c r="X471" s="35">
        <f t="shared" si="174"/>
        <v>7.407407407407407E-2</v>
      </c>
      <c r="Y471" s="35">
        <f t="shared" si="174"/>
        <v>7.407407407407407E-2</v>
      </c>
      <c r="Z471" s="35">
        <f t="shared" si="174"/>
        <v>0.31972789115646261</v>
      </c>
      <c r="AA471" s="35">
        <f t="shared" si="174"/>
        <v>7.407407407407407E-2</v>
      </c>
    </row>
    <row r="472" spans="2:27" x14ac:dyDescent="0.2">
      <c r="B472" s="2">
        <v>470</v>
      </c>
      <c r="C472" s="2" t="str">
        <f t="shared" si="155"/>
        <v>b</v>
      </c>
      <c r="D472" s="29" t="s">
        <v>31</v>
      </c>
      <c r="E472" s="29" t="s">
        <v>219</v>
      </c>
      <c r="F472" s="2" t="s">
        <v>224</v>
      </c>
      <c r="G472" s="2">
        <f t="shared" si="172"/>
        <v>6</v>
      </c>
      <c r="H472" s="2" t="str">
        <f t="shared" si="162"/>
        <v>黑暗</v>
      </c>
      <c r="I472" s="38">
        <f t="shared" si="165"/>
        <v>0.52545454545454551</v>
      </c>
      <c r="J472" s="33">
        <f t="shared" si="166"/>
        <v>120</v>
      </c>
      <c r="K472" s="33">
        <f t="shared" si="173"/>
        <v>106</v>
      </c>
      <c r="L472" s="33">
        <f t="shared" si="173"/>
        <v>22</v>
      </c>
      <c r="M472" s="33">
        <f t="shared" si="173"/>
        <v>74</v>
      </c>
      <c r="N472" s="33">
        <f t="shared" si="163"/>
        <v>90</v>
      </c>
      <c r="O472" s="33">
        <f t="shared" si="173"/>
        <v>74</v>
      </c>
      <c r="P472" s="33">
        <f t="shared" si="173"/>
        <v>53</v>
      </c>
      <c r="Q472" s="33">
        <f t="shared" si="173"/>
        <v>39</v>
      </c>
      <c r="R472" s="35">
        <f t="shared" si="167"/>
        <v>0.13</v>
      </c>
      <c r="S472" s="35">
        <f t="shared" si="168"/>
        <v>0.17666666666666667</v>
      </c>
      <c r="T472" s="35">
        <f t="shared" si="169"/>
        <v>0.13</v>
      </c>
      <c r="U472" s="35">
        <f t="shared" si="164"/>
        <v>8.6757990867579959E-2</v>
      </c>
      <c r="V472" s="35">
        <f t="shared" si="174"/>
        <v>8.6757990867579959E-2</v>
      </c>
      <c r="W472" s="35">
        <f t="shared" si="174"/>
        <v>8.6757990867579959E-2</v>
      </c>
      <c r="X472" s="35">
        <f t="shared" si="174"/>
        <v>8.6757990867579959E-2</v>
      </c>
      <c r="Y472" s="35">
        <f t="shared" si="174"/>
        <v>8.6757990867579959E-2</v>
      </c>
      <c r="Z472" s="35">
        <f t="shared" si="174"/>
        <v>0.35897435897435892</v>
      </c>
      <c r="AA472" s="35">
        <f t="shared" si="174"/>
        <v>8.6757990867579959E-2</v>
      </c>
    </row>
    <row r="473" spans="2:27" x14ac:dyDescent="0.2">
      <c r="B473" s="2">
        <v>471</v>
      </c>
      <c r="C473" s="2" t="str">
        <f t="shared" si="155"/>
        <v>b</v>
      </c>
      <c r="D473" s="29" t="s">
        <v>31</v>
      </c>
      <c r="E473" s="29" t="s">
        <v>219</v>
      </c>
      <c r="F473" s="2" t="s">
        <v>224</v>
      </c>
      <c r="G473" s="2">
        <f t="shared" si="172"/>
        <v>7</v>
      </c>
      <c r="H473" s="2" t="str">
        <f t="shared" si="162"/>
        <v>黑暗</v>
      </c>
      <c r="I473" s="38">
        <f t="shared" si="165"/>
        <v>0.61545454545454548</v>
      </c>
      <c r="J473" s="33">
        <f t="shared" si="166"/>
        <v>141</v>
      </c>
      <c r="K473" s="33">
        <f t="shared" ref="K473:Q482" si="175">INT((1+VLOOKUP($F473,role_property_weight,getpos(K$2),FALSE))*(1+VLOOKUP($F473,weapon_property_weight,getpos(K$2),FALSE))*VLOOKUP($E473,role_grow,getpos(K$2),FALSE)*$G473*10*VLOOKUP($C473,weapon_grow1,5,FALSE))</f>
        <v>124</v>
      </c>
      <c r="L473" s="33">
        <f t="shared" si="175"/>
        <v>26</v>
      </c>
      <c r="M473" s="33">
        <f t="shared" si="175"/>
        <v>87</v>
      </c>
      <c r="N473" s="33">
        <f t="shared" si="163"/>
        <v>105</v>
      </c>
      <c r="O473" s="33">
        <f t="shared" si="175"/>
        <v>87</v>
      </c>
      <c r="P473" s="33">
        <f t="shared" si="175"/>
        <v>62</v>
      </c>
      <c r="Q473" s="33">
        <f t="shared" si="175"/>
        <v>45</v>
      </c>
      <c r="R473" s="35">
        <f t="shared" si="167"/>
        <v>0.15</v>
      </c>
      <c r="S473" s="35">
        <f t="shared" si="168"/>
        <v>0.20666666666666667</v>
      </c>
      <c r="T473" s="35">
        <f t="shared" si="169"/>
        <v>0.15</v>
      </c>
      <c r="U473" s="35">
        <f t="shared" si="164"/>
        <v>9.9099099099099086E-2</v>
      </c>
      <c r="V473" s="35">
        <f t="shared" ref="V473:AA482" si="176">1-200/(200+ROUND((1+VLOOKUP($F473,role_property_weight,getpos(V$2),FALSE))*VLOOKUP($E473,role_grow,getpos(V$2),FALSE)*$G473*10*VLOOKUP($C473,weapon_grow1,5,FALSE),0))</f>
        <v>9.9099099099099086E-2</v>
      </c>
      <c r="W473" s="35">
        <f t="shared" si="176"/>
        <v>9.9099099099099086E-2</v>
      </c>
      <c r="X473" s="35">
        <f t="shared" si="176"/>
        <v>9.9099099099099086E-2</v>
      </c>
      <c r="Y473" s="35">
        <f t="shared" si="176"/>
        <v>9.9099099099099086E-2</v>
      </c>
      <c r="Z473" s="35">
        <f t="shared" si="176"/>
        <v>0.39577039274924475</v>
      </c>
      <c r="AA473" s="35">
        <f t="shared" si="176"/>
        <v>9.9099099099099086E-2</v>
      </c>
    </row>
    <row r="474" spans="2:27" x14ac:dyDescent="0.2">
      <c r="B474" s="2">
        <v>472</v>
      </c>
      <c r="C474" s="2" t="str">
        <f t="shared" si="155"/>
        <v>b</v>
      </c>
      <c r="D474" s="29" t="s">
        <v>31</v>
      </c>
      <c r="E474" s="29" t="s">
        <v>219</v>
      </c>
      <c r="F474" s="2" t="s">
        <v>224</v>
      </c>
      <c r="G474" s="2">
        <f t="shared" si="172"/>
        <v>8</v>
      </c>
      <c r="H474" s="2" t="str">
        <f t="shared" si="162"/>
        <v>黑暗</v>
      </c>
      <c r="I474" s="38">
        <f t="shared" si="165"/>
        <v>0.70272727272727264</v>
      </c>
      <c r="J474" s="33">
        <f t="shared" si="166"/>
        <v>161</v>
      </c>
      <c r="K474" s="33">
        <f t="shared" si="175"/>
        <v>142</v>
      </c>
      <c r="L474" s="33">
        <f t="shared" si="175"/>
        <v>29</v>
      </c>
      <c r="M474" s="33">
        <f t="shared" si="175"/>
        <v>99</v>
      </c>
      <c r="N474" s="33">
        <f t="shared" si="163"/>
        <v>120</v>
      </c>
      <c r="O474" s="33">
        <f t="shared" si="175"/>
        <v>99</v>
      </c>
      <c r="P474" s="33">
        <f t="shared" si="175"/>
        <v>71</v>
      </c>
      <c r="Q474" s="33">
        <f t="shared" si="175"/>
        <v>52</v>
      </c>
      <c r="R474" s="35">
        <f t="shared" si="167"/>
        <v>0.17333333333333331</v>
      </c>
      <c r="S474" s="35">
        <f t="shared" si="168"/>
        <v>0.23666666666666669</v>
      </c>
      <c r="T474" s="35">
        <f t="shared" si="169"/>
        <v>0.17333333333333331</v>
      </c>
      <c r="U474" s="35">
        <f t="shared" si="164"/>
        <v>0.11111111111111116</v>
      </c>
      <c r="V474" s="35">
        <f t="shared" si="176"/>
        <v>0.11111111111111116</v>
      </c>
      <c r="W474" s="35">
        <f t="shared" si="176"/>
        <v>0.11111111111111116</v>
      </c>
      <c r="X474" s="35">
        <f t="shared" si="176"/>
        <v>0.11111111111111116</v>
      </c>
      <c r="Y474" s="35">
        <f t="shared" si="176"/>
        <v>0.11111111111111116</v>
      </c>
      <c r="Z474" s="35">
        <f t="shared" si="176"/>
        <v>0.4285714285714286</v>
      </c>
      <c r="AA474" s="35">
        <f t="shared" si="176"/>
        <v>0.11111111111111116</v>
      </c>
    </row>
    <row r="475" spans="2:27" x14ac:dyDescent="0.2">
      <c r="B475" s="2">
        <v>473</v>
      </c>
      <c r="C475" s="2" t="str">
        <f t="shared" si="155"/>
        <v>c</v>
      </c>
      <c r="D475" s="29" t="s">
        <v>31</v>
      </c>
      <c r="E475" s="29" t="s">
        <v>219</v>
      </c>
      <c r="F475" s="2" t="s">
        <v>224</v>
      </c>
      <c r="G475" s="2">
        <f t="shared" si="172"/>
        <v>1</v>
      </c>
      <c r="H475" s="2" t="str">
        <f t="shared" si="162"/>
        <v>--</v>
      </c>
      <c r="I475" s="38">
        <f t="shared" si="165"/>
        <v>0</v>
      </c>
      <c r="J475" s="33">
        <f t="shared" si="166"/>
        <v>25</v>
      </c>
      <c r="K475" s="33">
        <f t="shared" si="175"/>
        <v>0</v>
      </c>
      <c r="L475" s="33">
        <f t="shared" si="175"/>
        <v>0</v>
      </c>
      <c r="M475" s="33">
        <f t="shared" si="175"/>
        <v>0</v>
      </c>
      <c r="N475" s="33">
        <f t="shared" si="163"/>
        <v>0</v>
      </c>
      <c r="O475" s="33">
        <f t="shared" si="175"/>
        <v>0</v>
      </c>
      <c r="P475" s="33">
        <f t="shared" si="175"/>
        <v>0</v>
      </c>
      <c r="Q475" s="33">
        <f t="shared" si="175"/>
        <v>0</v>
      </c>
      <c r="R475" s="35">
        <f t="shared" si="167"/>
        <v>0</v>
      </c>
      <c r="S475" s="35">
        <f t="shared" si="168"/>
        <v>0</v>
      </c>
      <c r="T475" s="35">
        <f t="shared" si="169"/>
        <v>0</v>
      </c>
      <c r="U475" s="35">
        <f t="shared" si="164"/>
        <v>0</v>
      </c>
      <c r="V475" s="35">
        <f t="shared" si="176"/>
        <v>0</v>
      </c>
      <c r="W475" s="35">
        <f t="shared" si="176"/>
        <v>0</v>
      </c>
      <c r="X475" s="35">
        <f t="shared" si="176"/>
        <v>0</v>
      </c>
      <c r="Y475" s="35">
        <f t="shared" si="176"/>
        <v>0</v>
      </c>
      <c r="Z475" s="35">
        <f t="shared" si="176"/>
        <v>0</v>
      </c>
      <c r="AA475" s="35">
        <f t="shared" si="176"/>
        <v>0</v>
      </c>
    </row>
    <row r="476" spans="2:27" x14ac:dyDescent="0.2">
      <c r="B476" s="2">
        <v>474</v>
      </c>
      <c r="C476" s="2" t="str">
        <f t="shared" si="155"/>
        <v>c</v>
      </c>
      <c r="D476" s="29" t="s">
        <v>31</v>
      </c>
      <c r="E476" s="29" t="s">
        <v>219</v>
      </c>
      <c r="F476" s="2" t="s">
        <v>224</v>
      </c>
      <c r="G476" s="2">
        <f t="shared" si="172"/>
        <v>2</v>
      </c>
      <c r="H476" s="2" t="str">
        <f t="shared" si="162"/>
        <v>--</v>
      </c>
      <c r="I476" s="38">
        <f t="shared" si="165"/>
        <v>0</v>
      </c>
      <c r="J476" s="33">
        <f t="shared" si="166"/>
        <v>50</v>
      </c>
      <c r="K476" s="33">
        <f t="shared" si="175"/>
        <v>0</v>
      </c>
      <c r="L476" s="33">
        <f t="shared" si="175"/>
        <v>0</v>
      </c>
      <c r="M476" s="33">
        <f t="shared" si="175"/>
        <v>0</v>
      </c>
      <c r="N476" s="33">
        <f t="shared" si="163"/>
        <v>0</v>
      </c>
      <c r="O476" s="33">
        <f t="shared" si="175"/>
        <v>0</v>
      </c>
      <c r="P476" s="33">
        <f t="shared" si="175"/>
        <v>0</v>
      </c>
      <c r="Q476" s="33">
        <f t="shared" si="175"/>
        <v>0</v>
      </c>
      <c r="R476" s="35">
        <f t="shared" si="167"/>
        <v>0</v>
      </c>
      <c r="S476" s="35">
        <f t="shared" si="168"/>
        <v>0</v>
      </c>
      <c r="T476" s="35">
        <f t="shared" si="169"/>
        <v>0</v>
      </c>
      <c r="U476" s="35">
        <f t="shared" si="164"/>
        <v>0</v>
      </c>
      <c r="V476" s="35">
        <f t="shared" si="176"/>
        <v>0</v>
      </c>
      <c r="W476" s="35">
        <f t="shared" si="176"/>
        <v>0</v>
      </c>
      <c r="X476" s="35">
        <f t="shared" si="176"/>
        <v>0</v>
      </c>
      <c r="Y476" s="35">
        <f t="shared" si="176"/>
        <v>0</v>
      </c>
      <c r="Z476" s="35">
        <f t="shared" si="176"/>
        <v>0</v>
      </c>
      <c r="AA476" s="35">
        <f t="shared" si="176"/>
        <v>0</v>
      </c>
    </row>
    <row r="477" spans="2:27" x14ac:dyDescent="0.2">
      <c r="B477" s="2">
        <v>475</v>
      </c>
      <c r="C477" s="2" t="str">
        <f t="shared" si="155"/>
        <v>c</v>
      </c>
      <c r="D477" s="29" t="s">
        <v>31</v>
      </c>
      <c r="E477" s="29" t="s">
        <v>219</v>
      </c>
      <c r="F477" s="2" t="s">
        <v>224</v>
      </c>
      <c r="G477" s="2">
        <f t="shared" si="172"/>
        <v>3</v>
      </c>
      <c r="H477" s="2" t="str">
        <f t="shared" si="162"/>
        <v>--</v>
      </c>
      <c r="I477" s="38">
        <f t="shared" si="165"/>
        <v>0</v>
      </c>
      <c r="J477" s="33">
        <f t="shared" si="166"/>
        <v>76</v>
      </c>
      <c r="K477" s="33">
        <f t="shared" si="175"/>
        <v>0</v>
      </c>
      <c r="L477" s="33">
        <f t="shared" si="175"/>
        <v>0</v>
      </c>
      <c r="M477" s="33">
        <f t="shared" si="175"/>
        <v>0</v>
      </c>
      <c r="N477" s="33">
        <f t="shared" si="163"/>
        <v>0</v>
      </c>
      <c r="O477" s="33">
        <f t="shared" si="175"/>
        <v>0</v>
      </c>
      <c r="P477" s="33">
        <f t="shared" si="175"/>
        <v>0</v>
      </c>
      <c r="Q477" s="33">
        <f t="shared" si="175"/>
        <v>0</v>
      </c>
      <c r="R477" s="35">
        <f t="shared" si="167"/>
        <v>0</v>
      </c>
      <c r="S477" s="35">
        <f t="shared" si="168"/>
        <v>0</v>
      </c>
      <c r="T477" s="35">
        <f t="shared" si="169"/>
        <v>0</v>
      </c>
      <c r="U477" s="35">
        <f t="shared" si="164"/>
        <v>0</v>
      </c>
      <c r="V477" s="35">
        <f t="shared" si="176"/>
        <v>0</v>
      </c>
      <c r="W477" s="35">
        <f t="shared" si="176"/>
        <v>0</v>
      </c>
      <c r="X477" s="35">
        <f t="shared" si="176"/>
        <v>0</v>
      </c>
      <c r="Y477" s="35">
        <f t="shared" si="176"/>
        <v>0</v>
      </c>
      <c r="Z477" s="35">
        <f t="shared" si="176"/>
        <v>0</v>
      </c>
      <c r="AA477" s="35">
        <f t="shared" si="176"/>
        <v>0</v>
      </c>
    </row>
    <row r="478" spans="2:27" x14ac:dyDescent="0.2">
      <c r="B478" s="2">
        <v>476</v>
      </c>
      <c r="C478" s="2" t="str">
        <f t="shared" si="155"/>
        <v>c</v>
      </c>
      <c r="D478" s="29" t="s">
        <v>31</v>
      </c>
      <c r="E478" s="29" t="s">
        <v>219</v>
      </c>
      <c r="F478" s="2" t="s">
        <v>224</v>
      </c>
      <c r="G478" s="2">
        <f t="shared" si="172"/>
        <v>4</v>
      </c>
      <c r="H478" s="2" t="str">
        <f t="shared" si="162"/>
        <v>--</v>
      </c>
      <c r="I478" s="38">
        <f t="shared" si="165"/>
        <v>0</v>
      </c>
      <c r="J478" s="33">
        <f t="shared" si="166"/>
        <v>101</v>
      </c>
      <c r="K478" s="33">
        <f t="shared" si="175"/>
        <v>0</v>
      </c>
      <c r="L478" s="33">
        <f t="shared" si="175"/>
        <v>0</v>
      </c>
      <c r="M478" s="33">
        <f t="shared" si="175"/>
        <v>0</v>
      </c>
      <c r="N478" s="33">
        <f t="shared" si="163"/>
        <v>0</v>
      </c>
      <c r="O478" s="33">
        <f t="shared" si="175"/>
        <v>0</v>
      </c>
      <c r="P478" s="33">
        <f t="shared" si="175"/>
        <v>0</v>
      </c>
      <c r="Q478" s="33">
        <f t="shared" si="175"/>
        <v>0</v>
      </c>
      <c r="R478" s="35">
        <f t="shared" si="167"/>
        <v>0</v>
      </c>
      <c r="S478" s="35">
        <f t="shared" si="168"/>
        <v>0</v>
      </c>
      <c r="T478" s="35">
        <f t="shared" si="169"/>
        <v>0</v>
      </c>
      <c r="U478" s="35">
        <f t="shared" si="164"/>
        <v>0</v>
      </c>
      <c r="V478" s="35">
        <f t="shared" si="176"/>
        <v>0</v>
      </c>
      <c r="W478" s="35">
        <f t="shared" si="176"/>
        <v>0</v>
      </c>
      <c r="X478" s="35">
        <f t="shared" si="176"/>
        <v>0</v>
      </c>
      <c r="Y478" s="35">
        <f t="shared" si="176"/>
        <v>0</v>
      </c>
      <c r="Z478" s="35">
        <f t="shared" si="176"/>
        <v>0</v>
      </c>
      <c r="AA478" s="35">
        <f t="shared" si="176"/>
        <v>0</v>
      </c>
    </row>
    <row r="479" spans="2:27" x14ac:dyDescent="0.2">
      <c r="B479" s="2">
        <v>477</v>
      </c>
      <c r="C479" s="2" t="str">
        <f t="shared" si="155"/>
        <v>c</v>
      </c>
      <c r="D479" s="29" t="s">
        <v>31</v>
      </c>
      <c r="E479" s="29" t="s">
        <v>219</v>
      </c>
      <c r="F479" s="2" t="s">
        <v>224</v>
      </c>
      <c r="G479" s="2">
        <f t="shared" si="172"/>
        <v>5</v>
      </c>
      <c r="H479" s="2" t="str">
        <f t="shared" si="162"/>
        <v>--</v>
      </c>
      <c r="I479" s="38">
        <f t="shared" si="165"/>
        <v>0</v>
      </c>
      <c r="J479" s="33">
        <f t="shared" si="166"/>
        <v>127</v>
      </c>
      <c r="K479" s="33">
        <f t="shared" si="175"/>
        <v>0</v>
      </c>
      <c r="L479" s="33">
        <f t="shared" si="175"/>
        <v>0</v>
      </c>
      <c r="M479" s="33">
        <f t="shared" si="175"/>
        <v>0</v>
      </c>
      <c r="N479" s="33">
        <f t="shared" si="163"/>
        <v>0</v>
      </c>
      <c r="O479" s="33">
        <f t="shared" si="175"/>
        <v>0</v>
      </c>
      <c r="P479" s="33">
        <f t="shared" si="175"/>
        <v>0</v>
      </c>
      <c r="Q479" s="33">
        <f t="shared" si="175"/>
        <v>0</v>
      </c>
      <c r="R479" s="35">
        <f t="shared" si="167"/>
        <v>0</v>
      </c>
      <c r="S479" s="35">
        <f t="shared" si="168"/>
        <v>0</v>
      </c>
      <c r="T479" s="35">
        <f t="shared" si="169"/>
        <v>0</v>
      </c>
      <c r="U479" s="35">
        <f t="shared" si="164"/>
        <v>0</v>
      </c>
      <c r="V479" s="35">
        <f t="shared" si="176"/>
        <v>0</v>
      </c>
      <c r="W479" s="35">
        <f t="shared" si="176"/>
        <v>0</v>
      </c>
      <c r="X479" s="35">
        <f t="shared" si="176"/>
        <v>0</v>
      </c>
      <c r="Y479" s="35">
        <f t="shared" si="176"/>
        <v>0</v>
      </c>
      <c r="Z479" s="35">
        <f t="shared" si="176"/>
        <v>0</v>
      </c>
      <c r="AA479" s="35">
        <f t="shared" si="176"/>
        <v>0</v>
      </c>
    </row>
    <row r="480" spans="2:27" x14ac:dyDescent="0.2">
      <c r="B480" s="2">
        <v>478</v>
      </c>
      <c r="C480" s="2" t="str">
        <f t="shared" si="155"/>
        <v>c</v>
      </c>
      <c r="D480" s="29" t="s">
        <v>31</v>
      </c>
      <c r="E480" s="29" t="s">
        <v>219</v>
      </c>
      <c r="F480" s="2" t="s">
        <v>224</v>
      </c>
      <c r="G480" s="2">
        <f t="shared" si="172"/>
        <v>6</v>
      </c>
      <c r="H480" s="2" t="str">
        <f t="shared" si="162"/>
        <v>--</v>
      </c>
      <c r="I480" s="38">
        <f t="shared" si="165"/>
        <v>0</v>
      </c>
      <c r="J480" s="33">
        <f t="shared" si="166"/>
        <v>152</v>
      </c>
      <c r="K480" s="33">
        <f t="shared" si="175"/>
        <v>0</v>
      </c>
      <c r="L480" s="33">
        <f t="shared" si="175"/>
        <v>0</v>
      </c>
      <c r="M480" s="33">
        <f t="shared" si="175"/>
        <v>0</v>
      </c>
      <c r="N480" s="33">
        <f t="shared" si="163"/>
        <v>0</v>
      </c>
      <c r="O480" s="33">
        <f t="shared" si="175"/>
        <v>0</v>
      </c>
      <c r="P480" s="33">
        <f t="shared" si="175"/>
        <v>0</v>
      </c>
      <c r="Q480" s="33">
        <f t="shared" si="175"/>
        <v>0</v>
      </c>
      <c r="R480" s="35">
        <f t="shared" si="167"/>
        <v>0</v>
      </c>
      <c r="S480" s="35">
        <f t="shared" si="168"/>
        <v>0</v>
      </c>
      <c r="T480" s="35">
        <f t="shared" si="169"/>
        <v>0</v>
      </c>
      <c r="U480" s="35">
        <f t="shared" si="164"/>
        <v>0</v>
      </c>
      <c r="V480" s="35">
        <f t="shared" si="176"/>
        <v>0</v>
      </c>
      <c r="W480" s="35">
        <f t="shared" si="176"/>
        <v>0</v>
      </c>
      <c r="X480" s="35">
        <f t="shared" si="176"/>
        <v>0</v>
      </c>
      <c r="Y480" s="35">
        <f t="shared" si="176"/>
        <v>0</v>
      </c>
      <c r="Z480" s="35">
        <f t="shared" si="176"/>
        <v>0</v>
      </c>
      <c r="AA480" s="35">
        <f t="shared" si="176"/>
        <v>0</v>
      </c>
    </row>
    <row r="481" spans="2:27" x14ac:dyDescent="0.2">
      <c r="B481" s="2">
        <v>479</v>
      </c>
      <c r="C481" s="2" t="str">
        <f t="shared" si="155"/>
        <v>c</v>
      </c>
      <c r="D481" s="29" t="s">
        <v>31</v>
      </c>
      <c r="E481" s="29" t="s">
        <v>219</v>
      </c>
      <c r="F481" s="2" t="s">
        <v>224</v>
      </c>
      <c r="G481" s="2">
        <f t="shared" si="172"/>
        <v>7</v>
      </c>
      <c r="H481" s="2" t="str">
        <f t="shared" si="162"/>
        <v>--</v>
      </c>
      <c r="I481" s="38">
        <f t="shared" si="165"/>
        <v>0</v>
      </c>
      <c r="J481" s="33">
        <f t="shared" si="166"/>
        <v>178</v>
      </c>
      <c r="K481" s="33">
        <f t="shared" si="175"/>
        <v>0</v>
      </c>
      <c r="L481" s="33">
        <f t="shared" si="175"/>
        <v>0</v>
      </c>
      <c r="M481" s="33">
        <f t="shared" si="175"/>
        <v>0</v>
      </c>
      <c r="N481" s="33">
        <f t="shared" si="163"/>
        <v>0</v>
      </c>
      <c r="O481" s="33">
        <f t="shared" si="175"/>
        <v>0</v>
      </c>
      <c r="P481" s="33">
        <f t="shared" si="175"/>
        <v>0</v>
      </c>
      <c r="Q481" s="33">
        <f t="shared" si="175"/>
        <v>0</v>
      </c>
      <c r="R481" s="35">
        <f t="shared" si="167"/>
        <v>0</v>
      </c>
      <c r="S481" s="35">
        <f t="shared" si="168"/>
        <v>0</v>
      </c>
      <c r="T481" s="35">
        <f t="shared" si="169"/>
        <v>0</v>
      </c>
      <c r="U481" s="35">
        <f t="shared" si="164"/>
        <v>0</v>
      </c>
      <c r="V481" s="35">
        <f t="shared" si="176"/>
        <v>0</v>
      </c>
      <c r="W481" s="35">
        <f t="shared" si="176"/>
        <v>0</v>
      </c>
      <c r="X481" s="35">
        <f t="shared" si="176"/>
        <v>0</v>
      </c>
      <c r="Y481" s="35">
        <f t="shared" si="176"/>
        <v>0</v>
      </c>
      <c r="Z481" s="35">
        <f t="shared" si="176"/>
        <v>0</v>
      </c>
      <c r="AA481" s="35">
        <f t="shared" si="176"/>
        <v>0</v>
      </c>
    </row>
    <row r="482" spans="2:27" x14ac:dyDescent="0.2">
      <c r="B482" s="2">
        <v>480</v>
      </c>
      <c r="C482" s="2" t="str">
        <f t="shared" si="155"/>
        <v>c</v>
      </c>
      <c r="D482" s="29" t="s">
        <v>31</v>
      </c>
      <c r="E482" s="29" t="s">
        <v>219</v>
      </c>
      <c r="F482" s="2" t="s">
        <v>224</v>
      </c>
      <c r="G482" s="2">
        <f t="shared" si="172"/>
        <v>8</v>
      </c>
      <c r="H482" s="2" t="str">
        <f t="shared" si="162"/>
        <v>--</v>
      </c>
      <c r="I482" s="38">
        <f t="shared" si="165"/>
        <v>0</v>
      </c>
      <c r="J482" s="33">
        <f t="shared" si="166"/>
        <v>203</v>
      </c>
      <c r="K482" s="33">
        <f t="shared" si="175"/>
        <v>0</v>
      </c>
      <c r="L482" s="33">
        <f t="shared" si="175"/>
        <v>0</v>
      </c>
      <c r="M482" s="33">
        <f t="shared" si="175"/>
        <v>0</v>
      </c>
      <c r="N482" s="33">
        <f t="shared" si="163"/>
        <v>0</v>
      </c>
      <c r="O482" s="33">
        <f t="shared" si="175"/>
        <v>0</v>
      </c>
      <c r="P482" s="33">
        <f t="shared" si="175"/>
        <v>0</v>
      </c>
      <c r="Q482" s="33">
        <f t="shared" si="175"/>
        <v>0</v>
      </c>
      <c r="R482" s="35">
        <f t="shared" si="167"/>
        <v>0</v>
      </c>
      <c r="S482" s="35">
        <f t="shared" si="168"/>
        <v>0</v>
      </c>
      <c r="T482" s="35">
        <f t="shared" si="169"/>
        <v>0</v>
      </c>
      <c r="U482" s="35">
        <f t="shared" si="164"/>
        <v>0</v>
      </c>
      <c r="V482" s="35">
        <f t="shared" si="176"/>
        <v>0</v>
      </c>
      <c r="W482" s="35">
        <f t="shared" si="176"/>
        <v>0</v>
      </c>
      <c r="X482" s="35">
        <f t="shared" si="176"/>
        <v>0</v>
      </c>
      <c r="Y482" s="35">
        <f t="shared" si="176"/>
        <v>0</v>
      </c>
      <c r="Z482" s="35">
        <f t="shared" si="176"/>
        <v>0</v>
      </c>
      <c r="AA482" s="35">
        <f t="shared" si="176"/>
        <v>0</v>
      </c>
    </row>
    <row r="483" spans="2:27" x14ac:dyDescent="0.2">
      <c r="B483" s="2">
        <v>481</v>
      </c>
      <c r="C483" s="2" t="str">
        <f t="shared" si="155"/>
        <v>s</v>
      </c>
      <c r="D483" s="29" t="s">
        <v>31</v>
      </c>
      <c r="E483" s="29" t="s">
        <v>219</v>
      </c>
      <c r="F483" s="2" t="s">
        <v>225</v>
      </c>
      <c r="G483" s="2">
        <f t="shared" si="172"/>
        <v>1</v>
      </c>
      <c r="H483" s="2" t="str">
        <f t="shared" si="162"/>
        <v>冷却</v>
      </c>
      <c r="I483" s="38">
        <f t="shared" si="165"/>
        <v>0.1</v>
      </c>
      <c r="J483" s="33">
        <f t="shared" si="166"/>
        <v>29</v>
      </c>
      <c r="K483" s="33">
        <f t="shared" ref="K483:Q492" si="177">INT((1+VLOOKUP($F483,role_property_weight,getpos(K$2),FALSE))*(1+VLOOKUP($F483,weapon_property_weight,getpos(K$2),FALSE))*VLOOKUP($E483,role_grow,getpos(K$2),FALSE)*$G483*10*VLOOKUP($C483,weapon_grow1,5,FALSE))</f>
        <v>14</v>
      </c>
      <c r="L483" s="33">
        <f t="shared" si="177"/>
        <v>2</v>
      </c>
      <c r="M483" s="33">
        <f t="shared" si="177"/>
        <v>11</v>
      </c>
      <c r="N483" s="33">
        <f t="shared" si="163"/>
        <v>9</v>
      </c>
      <c r="O483" s="33">
        <f t="shared" si="177"/>
        <v>9</v>
      </c>
      <c r="P483" s="33">
        <f t="shared" si="177"/>
        <v>5</v>
      </c>
      <c r="Q483" s="33">
        <f t="shared" si="177"/>
        <v>5</v>
      </c>
      <c r="R483" s="35">
        <f t="shared" si="167"/>
        <v>1.6666666666666666E-2</v>
      </c>
      <c r="S483" s="35">
        <f t="shared" si="168"/>
        <v>1.6666666666666666E-2</v>
      </c>
      <c r="T483" s="35">
        <f t="shared" si="169"/>
        <v>1.6666666666666666E-2</v>
      </c>
      <c r="U483" s="35">
        <f t="shared" si="164"/>
        <v>9.9009900990099098E-3</v>
      </c>
      <c r="V483" s="35">
        <f t="shared" ref="V483:AA492" si="178">1-200/(200+ROUND((1+VLOOKUP($F483,role_property_weight,getpos(V$2),FALSE))*VLOOKUP($E483,role_grow,getpos(V$2),FALSE)*$G483*10*VLOOKUP($C483,weapon_grow1,5,FALSE),0))</f>
        <v>9.9009900990099098E-3</v>
      </c>
      <c r="W483" s="35">
        <f t="shared" si="178"/>
        <v>6.5420560747663559E-2</v>
      </c>
      <c r="X483" s="35">
        <f t="shared" si="178"/>
        <v>9.9009900990099098E-3</v>
      </c>
      <c r="Y483" s="35">
        <f t="shared" si="178"/>
        <v>9.9009900990099098E-3</v>
      </c>
      <c r="Z483" s="35">
        <f t="shared" si="178"/>
        <v>9.9009900990099098E-3</v>
      </c>
      <c r="AA483" s="35">
        <f t="shared" si="178"/>
        <v>9.9009900990099098E-3</v>
      </c>
    </row>
    <row r="484" spans="2:27" x14ac:dyDescent="0.2">
      <c r="B484" s="2">
        <v>482</v>
      </c>
      <c r="C484" s="2" t="str">
        <f t="shared" ref="C484:C547" si="179">C452</f>
        <v>s</v>
      </c>
      <c r="D484" s="29" t="s">
        <v>31</v>
      </c>
      <c r="E484" s="29" t="s">
        <v>219</v>
      </c>
      <c r="F484" s="2" t="s">
        <v>225</v>
      </c>
      <c r="G484" s="2">
        <f t="shared" si="172"/>
        <v>2</v>
      </c>
      <c r="H484" s="2" t="str">
        <f t="shared" si="162"/>
        <v>冷却</v>
      </c>
      <c r="I484" s="38">
        <f t="shared" si="165"/>
        <v>0.15545454545454546</v>
      </c>
      <c r="J484" s="33">
        <f t="shared" si="166"/>
        <v>59</v>
      </c>
      <c r="K484" s="33">
        <f t="shared" si="177"/>
        <v>29</v>
      </c>
      <c r="L484" s="33">
        <f t="shared" si="177"/>
        <v>5</v>
      </c>
      <c r="M484" s="33">
        <f t="shared" si="177"/>
        <v>22</v>
      </c>
      <c r="N484" s="33">
        <f t="shared" si="163"/>
        <v>17</v>
      </c>
      <c r="O484" s="33">
        <f t="shared" si="177"/>
        <v>18</v>
      </c>
      <c r="P484" s="33">
        <f t="shared" si="177"/>
        <v>10</v>
      </c>
      <c r="Q484" s="33">
        <f t="shared" si="177"/>
        <v>11</v>
      </c>
      <c r="R484" s="35">
        <f t="shared" si="167"/>
        <v>3.6666666666666667E-2</v>
      </c>
      <c r="S484" s="35">
        <f t="shared" si="168"/>
        <v>3.3333333333333333E-2</v>
      </c>
      <c r="T484" s="35">
        <f t="shared" si="169"/>
        <v>3.6666666666666667E-2</v>
      </c>
      <c r="U484" s="35">
        <f t="shared" si="164"/>
        <v>2.4390243902439046E-2</v>
      </c>
      <c r="V484" s="35">
        <f t="shared" si="178"/>
        <v>2.4390243902439046E-2</v>
      </c>
      <c r="W484" s="35">
        <f t="shared" si="178"/>
        <v>0.1228070175438597</v>
      </c>
      <c r="X484" s="35">
        <f t="shared" si="178"/>
        <v>2.4390243902439046E-2</v>
      </c>
      <c r="Y484" s="35">
        <f t="shared" si="178"/>
        <v>2.4390243902439046E-2</v>
      </c>
      <c r="Z484" s="35">
        <f t="shared" si="178"/>
        <v>2.4390243902439046E-2</v>
      </c>
      <c r="AA484" s="35">
        <f t="shared" si="178"/>
        <v>2.4390243902439046E-2</v>
      </c>
    </row>
    <row r="485" spans="2:27" x14ac:dyDescent="0.2">
      <c r="B485" s="2">
        <v>483</v>
      </c>
      <c r="C485" s="2" t="str">
        <f t="shared" si="179"/>
        <v>s</v>
      </c>
      <c r="D485" s="29" t="s">
        <v>31</v>
      </c>
      <c r="E485" s="29" t="s">
        <v>219</v>
      </c>
      <c r="F485" s="2" t="s">
        <v>225</v>
      </c>
      <c r="G485" s="2">
        <f t="shared" si="172"/>
        <v>3</v>
      </c>
      <c r="H485" s="2" t="str">
        <f t="shared" si="162"/>
        <v>冷却</v>
      </c>
      <c r="I485" s="38">
        <f t="shared" si="165"/>
        <v>0.23363636363636364</v>
      </c>
      <c r="J485" s="33">
        <f t="shared" si="166"/>
        <v>88</v>
      </c>
      <c r="K485" s="33">
        <f t="shared" si="177"/>
        <v>44</v>
      </c>
      <c r="L485" s="33">
        <f t="shared" si="177"/>
        <v>7</v>
      </c>
      <c r="M485" s="33">
        <f t="shared" si="177"/>
        <v>33</v>
      </c>
      <c r="N485" s="33">
        <f t="shared" si="163"/>
        <v>26</v>
      </c>
      <c r="O485" s="33">
        <f t="shared" si="177"/>
        <v>28</v>
      </c>
      <c r="P485" s="33">
        <f t="shared" si="177"/>
        <v>15</v>
      </c>
      <c r="Q485" s="33">
        <f t="shared" si="177"/>
        <v>16</v>
      </c>
      <c r="R485" s="35">
        <f t="shared" si="167"/>
        <v>5.333333333333333E-2</v>
      </c>
      <c r="S485" s="35">
        <f t="shared" si="168"/>
        <v>0.05</v>
      </c>
      <c r="T485" s="35">
        <f t="shared" si="169"/>
        <v>5.333333333333333E-2</v>
      </c>
      <c r="U485" s="35">
        <f t="shared" si="164"/>
        <v>3.3816425120772986E-2</v>
      </c>
      <c r="V485" s="35">
        <f t="shared" si="178"/>
        <v>3.3816425120772986E-2</v>
      </c>
      <c r="W485" s="35">
        <f t="shared" si="178"/>
        <v>0.17355371900826444</v>
      </c>
      <c r="X485" s="35">
        <f t="shared" si="178"/>
        <v>3.3816425120772986E-2</v>
      </c>
      <c r="Y485" s="35">
        <f t="shared" si="178"/>
        <v>3.3816425120772986E-2</v>
      </c>
      <c r="Z485" s="35">
        <f t="shared" si="178"/>
        <v>3.3816425120772986E-2</v>
      </c>
      <c r="AA485" s="35">
        <f t="shared" si="178"/>
        <v>3.3816425120772986E-2</v>
      </c>
    </row>
    <row r="486" spans="2:27" x14ac:dyDescent="0.2">
      <c r="B486" s="2">
        <v>484</v>
      </c>
      <c r="C486" s="2" t="str">
        <f t="shared" si="179"/>
        <v>s</v>
      </c>
      <c r="D486" s="29" t="s">
        <v>31</v>
      </c>
      <c r="E486" s="29" t="s">
        <v>219</v>
      </c>
      <c r="F486" s="2" t="s">
        <v>225</v>
      </c>
      <c r="G486" s="2">
        <f t="shared" si="172"/>
        <v>4</v>
      </c>
      <c r="H486" s="2" t="str">
        <f t="shared" si="162"/>
        <v>冷却</v>
      </c>
      <c r="I486" s="38">
        <f t="shared" si="165"/>
        <v>0.31363636363636366</v>
      </c>
      <c r="J486" s="33">
        <f t="shared" si="166"/>
        <v>118</v>
      </c>
      <c r="K486" s="33">
        <f t="shared" si="177"/>
        <v>59</v>
      </c>
      <c r="L486" s="33">
        <f t="shared" si="177"/>
        <v>10</v>
      </c>
      <c r="M486" s="33">
        <f t="shared" si="177"/>
        <v>45</v>
      </c>
      <c r="N486" s="33">
        <f t="shared" si="163"/>
        <v>34</v>
      </c>
      <c r="O486" s="33">
        <f t="shared" si="177"/>
        <v>37</v>
      </c>
      <c r="P486" s="33">
        <f t="shared" si="177"/>
        <v>20</v>
      </c>
      <c r="Q486" s="33">
        <f t="shared" si="177"/>
        <v>22</v>
      </c>
      <c r="R486" s="35">
        <f t="shared" si="167"/>
        <v>7.3333333333333334E-2</v>
      </c>
      <c r="S486" s="35">
        <f t="shared" si="168"/>
        <v>6.6666666666666666E-2</v>
      </c>
      <c r="T486" s="35">
        <f t="shared" si="169"/>
        <v>7.3333333333333334E-2</v>
      </c>
      <c r="U486" s="35">
        <f t="shared" si="164"/>
        <v>4.3062200956937802E-2</v>
      </c>
      <c r="V486" s="35">
        <f t="shared" si="178"/>
        <v>4.3062200956937802E-2</v>
      </c>
      <c r="W486" s="35">
        <f t="shared" si="178"/>
        <v>0.21875</v>
      </c>
      <c r="X486" s="35">
        <f t="shared" si="178"/>
        <v>4.3062200956937802E-2</v>
      </c>
      <c r="Y486" s="35">
        <f t="shared" si="178"/>
        <v>4.3062200956937802E-2</v>
      </c>
      <c r="Z486" s="35">
        <f t="shared" si="178"/>
        <v>4.3062200956937802E-2</v>
      </c>
      <c r="AA486" s="35">
        <f t="shared" si="178"/>
        <v>4.3062200956937802E-2</v>
      </c>
    </row>
    <row r="487" spans="2:27" x14ac:dyDescent="0.2">
      <c r="B487" s="2">
        <v>485</v>
      </c>
      <c r="C487" s="2" t="str">
        <f t="shared" si="179"/>
        <v>s</v>
      </c>
      <c r="D487" s="29" t="s">
        <v>31</v>
      </c>
      <c r="E487" s="29" t="s">
        <v>219</v>
      </c>
      <c r="F487" s="2" t="s">
        <v>225</v>
      </c>
      <c r="G487" s="2">
        <f t="shared" si="172"/>
        <v>5</v>
      </c>
      <c r="H487" s="2" t="str">
        <f t="shared" si="162"/>
        <v>冷却</v>
      </c>
      <c r="I487" s="38">
        <f t="shared" si="165"/>
        <v>0.39363636363636367</v>
      </c>
      <c r="J487" s="33">
        <f t="shared" si="166"/>
        <v>148</v>
      </c>
      <c r="K487" s="33">
        <f t="shared" si="177"/>
        <v>74</v>
      </c>
      <c r="L487" s="33">
        <f t="shared" si="177"/>
        <v>12</v>
      </c>
      <c r="M487" s="33">
        <f t="shared" si="177"/>
        <v>56</v>
      </c>
      <c r="N487" s="33">
        <f t="shared" si="163"/>
        <v>43</v>
      </c>
      <c r="O487" s="33">
        <f t="shared" si="177"/>
        <v>47</v>
      </c>
      <c r="P487" s="33">
        <f t="shared" si="177"/>
        <v>25</v>
      </c>
      <c r="Q487" s="33">
        <f t="shared" si="177"/>
        <v>28</v>
      </c>
      <c r="R487" s="35">
        <f t="shared" si="167"/>
        <v>9.3333333333333338E-2</v>
      </c>
      <c r="S487" s="35">
        <f t="shared" si="168"/>
        <v>8.3333333333333343E-2</v>
      </c>
      <c r="T487" s="35">
        <f t="shared" si="169"/>
        <v>9.3333333333333338E-2</v>
      </c>
      <c r="U487" s="35">
        <f t="shared" si="164"/>
        <v>5.6603773584905648E-2</v>
      </c>
      <c r="V487" s="35">
        <f t="shared" si="178"/>
        <v>5.6603773584905648E-2</v>
      </c>
      <c r="W487" s="35">
        <f t="shared" si="178"/>
        <v>0.26199261992619927</v>
      </c>
      <c r="X487" s="35">
        <f t="shared" si="178"/>
        <v>5.6603773584905648E-2</v>
      </c>
      <c r="Y487" s="35">
        <f t="shared" si="178"/>
        <v>5.6603773584905648E-2</v>
      </c>
      <c r="Z487" s="35">
        <f t="shared" si="178"/>
        <v>5.6603773584905648E-2</v>
      </c>
      <c r="AA487" s="35">
        <f t="shared" si="178"/>
        <v>5.6603773584905648E-2</v>
      </c>
    </row>
    <row r="488" spans="2:27" x14ac:dyDescent="0.2">
      <c r="B488" s="2">
        <v>486</v>
      </c>
      <c r="C488" s="2" t="str">
        <f t="shared" si="179"/>
        <v>s</v>
      </c>
      <c r="D488" s="29" t="s">
        <v>31</v>
      </c>
      <c r="E488" s="29" t="s">
        <v>219</v>
      </c>
      <c r="F488" s="2" t="s">
        <v>225</v>
      </c>
      <c r="G488" s="2">
        <f t="shared" si="172"/>
        <v>6</v>
      </c>
      <c r="H488" s="2" t="str">
        <f t="shared" si="162"/>
        <v>冷却</v>
      </c>
      <c r="I488" s="38">
        <f t="shared" si="165"/>
        <v>0.47090909090909094</v>
      </c>
      <c r="J488" s="33">
        <f t="shared" si="166"/>
        <v>177</v>
      </c>
      <c r="K488" s="33">
        <f t="shared" si="177"/>
        <v>88</v>
      </c>
      <c r="L488" s="33">
        <f t="shared" si="177"/>
        <v>15</v>
      </c>
      <c r="M488" s="33">
        <f t="shared" si="177"/>
        <v>67</v>
      </c>
      <c r="N488" s="33">
        <f t="shared" si="163"/>
        <v>51</v>
      </c>
      <c r="O488" s="33">
        <f t="shared" si="177"/>
        <v>56</v>
      </c>
      <c r="P488" s="33">
        <f t="shared" si="177"/>
        <v>31</v>
      </c>
      <c r="Q488" s="33">
        <f t="shared" si="177"/>
        <v>33</v>
      </c>
      <c r="R488" s="35">
        <f t="shared" si="167"/>
        <v>0.11</v>
      </c>
      <c r="S488" s="35">
        <f t="shared" si="168"/>
        <v>0.10333333333333333</v>
      </c>
      <c r="T488" s="35">
        <f t="shared" si="169"/>
        <v>0.11</v>
      </c>
      <c r="U488" s="35">
        <f t="shared" si="164"/>
        <v>6.5420560747663559E-2</v>
      </c>
      <c r="V488" s="35">
        <f t="shared" si="178"/>
        <v>6.5420560747663559E-2</v>
      </c>
      <c r="W488" s="35">
        <f t="shared" si="178"/>
        <v>0.29824561403508776</v>
      </c>
      <c r="X488" s="35">
        <f t="shared" si="178"/>
        <v>6.5420560747663559E-2</v>
      </c>
      <c r="Y488" s="35">
        <f t="shared" si="178"/>
        <v>6.5420560747663559E-2</v>
      </c>
      <c r="Z488" s="35">
        <f t="shared" si="178"/>
        <v>6.5420560747663559E-2</v>
      </c>
      <c r="AA488" s="35">
        <f t="shared" si="178"/>
        <v>6.5420560747663559E-2</v>
      </c>
    </row>
    <row r="489" spans="2:27" x14ac:dyDescent="0.2">
      <c r="B489" s="2">
        <v>487</v>
      </c>
      <c r="C489" s="2" t="str">
        <f t="shared" si="179"/>
        <v>s</v>
      </c>
      <c r="D489" s="29" t="s">
        <v>31</v>
      </c>
      <c r="E489" s="29" t="s">
        <v>219</v>
      </c>
      <c r="F489" s="2" t="s">
        <v>225</v>
      </c>
      <c r="G489" s="2">
        <f t="shared" si="172"/>
        <v>7</v>
      </c>
      <c r="H489" s="2" t="str">
        <f t="shared" si="162"/>
        <v>冷却</v>
      </c>
      <c r="I489" s="38">
        <f t="shared" si="165"/>
        <v>0.5509090909090909</v>
      </c>
      <c r="J489" s="33">
        <f t="shared" si="166"/>
        <v>207</v>
      </c>
      <c r="K489" s="33">
        <f t="shared" si="177"/>
        <v>103</v>
      </c>
      <c r="L489" s="33">
        <f t="shared" si="177"/>
        <v>17</v>
      </c>
      <c r="M489" s="33">
        <f t="shared" si="177"/>
        <v>79</v>
      </c>
      <c r="N489" s="33">
        <f t="shared" si="163"/>
        <v>60</v>
      </c>
      <c r="O489" s="33">
        <f t="shared" si="177"/>
        <v>65</v>
      </c>
      <c r="P489" s="33">
        <f t="shared" si="177"/>
        <v>36</v>
      </c>
      <c r="Q489" s="33">
        <f t="shared" si="177"/>
        <v>39</v>
      </c>
      <c r="R489" s="35">
        <f t="shared" si="167"/>
        <v>0.13</v>
      </c>
      <c r="S489" s="35">
        <f t="shared" si="168"/>
        <v>0.12</v>
      </c>
      <c r="T489" s="35">
        <f t="shared" si="169"/>
        <v>0.13</v>
      </c>
      <c r="U489" s="35">
        <f t="shared" si="164"/>
        <v>7.407407407407407E-2</v>
      </c>
      <c r="V489" s="35">
        <f t="shared" si="178"/>
        <v>7.407407407407407E-2</v>
      </c>
      <c r="W489" s="35">
        <f t="shared" si="178"/>
        <v>0.33110367892976589</v>
      </c>
      <c r="X489" s="35">
        <f t="shared" si="178"/>
        <v>7.407407407407407E-2</v>
      </c>
      <c r="Y489" s="35">
        <f t="shared" si="178"/>
        <v>7.407407407407407E-2</v>
      </c>
      <c r="Z489" s="35">
        <f t="shared" si="178"/>
        <v>7.407407407407407E-2</v>
      </c>
      <c r="AA489" s="35">
        <f t="shared" si="178"/>
        <v>7.407407407407407E-2</v>
      </c>
    </row>
    <row r="490" spans="2:27" x14ac:dyDescent="0.2">
      <c r="B490" s="2">
        <v>488</v>
      </c>
      <c r="C490" s="2" t="str">
        <f t="shared" si="179"/>
        <v>s</v>
      </c>
      <c r="D490" s="29" t="s">
        <v>31</v>
      </c>
      <c r="E490" s="29" t="s">
        <v>219</v>
      </c>
      <c r="F490" s="2" t="s">
        <v>225</v>
      </c>
      <c r="G490" s="2">
        <f t="shared" si="172"/>
        <v>8</v>
      </c>
      <c r="H490" s="2" t="str">
        <f t="shared" si="162"/>
        <v>冷却</v>
      </c>
      <c r="I490" s="38">
        <f t="shared" si="165"/>
        <v>0.63</v>
      </c>
      <c r="J490" s="33">
        <f t="shared" si="166"/>
        <v>236</v>
      </c>
      <c r="K490" s="33">
        <f t="shared" si="177"/>
        <v>118</v>
      </c>
      <c r="L490" s="33">
        <f t="shared" si="177"/>
        <v>20</v>
      </c>
      <c r="M490" s="33">
        <f t="shared" si="177"/>
        <v>90</v>
      </c>
      <c r="N490" s="33">
        <f t="shared" si="163"/>
        <v>68</v>
      </c>
      <c r="O490" s="33">
        <f t="shared" si="177"/>
        <v>75</v>
      </c>
      <c r="P490" s="33">
        <f t="shared" si="177"/>
        <v>41</v>
      </c>
      <c r="Q490" s="33">
        <f t="shared" si="177"/>
        <v>45</v>
      </c>
      <c r="R490" s="35">
        <f t="shared" si="167"/>
        <v>0.15</v>
      </c>
      <c r="S490" s="35">
        <f t="shared" si="168"/>
        <v>0.13666666666666666</v>
      </c>
      <c r="T490" s="35">
        <f t="shared" si="169"/>
        <v>0.15</v>
      </c>
      <c r="U490" s="35">
        <f t="shared" si="164"/>
        <v>8.6757990867579959E-2</v>
      </c>
      <c r="V490" s="35">
        <f t="shared" si="178"/>
        <v>8.6757990867579959E-2</v>
      </c>
      <c r="W490" s="35">
        <f t="shared" si="178"/>
        <v>0.36102236421725242</v>
      </c>
      <c r="X490" s="35">
        <f t="shared" si="178"/>
        <v>8.6757990867579959E-2</v>
      </c>
      <c r="Y490" s="35">
        <f t="shared" si="178"/>
        <v>8.6757990867579959E-2</v>
      </c>
      <c r="Z490" s="35">
        <f t="shared" si="178"/>
        <v>8.6757990867579959E-2</v>
      </c>
      <c r="AA490" s="35">
        <f t="shared" si="178"/>
        <v>8.6757990867579959E-2</v>
      </c>
    </row>
    <row r="491" spans="2:27" x14ac:dyDescent="0.2">
      <c r="B491" s="2">
        <v>489</v>
      </c>
      <c r="C491" s="2" t="str">
        <f t="shared" si="179"/>
        <v>a</v>
      </c>
      <c r="D491" s="29" t="s">
        <v>31</v>
      </c>
      <c r="E491" s="29" t="s">
        <v>219</v>
      </c>
      <c r="F491" s="2" t="s">
        <v>225</v>
      </c>
      <c r="G491" s="2">
        <f t="shared" si="172"/>
        <v>1</v>
      </c>
      <c r="H491" s="2" t="str">
        <f t="shared" si="162"/>
        <v>冷却</v>
      </c>
      <c r="I491" s="38">
        <f t="shared" si="165"/>
        <v>0.1</v>
      </c>
      <c r="J491" s="33">
        <f t="shared" si="166"/>
        <v>22</v>
      </c>
      <c r="K491" s="33">
        <f t="shared" si="177"/>
        <v>15</v>
      </c>
      <c r="L491" s="33">
        <f t="shared" si="177"/>
        <v>2</v>
      </c>
      <c r="M491" s="33">
        <f t="shared" si="177"/>
        <v>11</v>
      </c>
      <c r="N491" s="33">
        <f t="shared" si="163"/>
        <v>9</v>
      </c>
      <c r="O491" s="33">
        <f t="shared" si="177"/>
        <v>9</v>
      </c>
      <c r="P491" s="33">
        <f t="shared" si="177"/>
        <v>5</v>
      </c>
      <c r="Q491" s="33">
        <f t="shared" si="177"/>
        <v>5</v>
      </c>
      <c r="R491" s="35">
        <f t="shared" si="167"/>
        <v>1.6666666666666666E-2</v>
      </c>
      <c r="S491" s="35">
        <f t="shared" si="168"/>
        <v>1.6666666666666666E-2</v>
      </c>
      <c r="T491" s="35">
        <f t="shared" si="169"/>
        <v>1.6666666666666666E-2</v>
      </c>
      <c r="U491" s="35">
        <f t="shared" si="164"/>
        <v>9.9009900990099098E-3</v>
      </c>
      <c r="V491" s="35">
        <f t="shared" si="178"/>
        <v>9.9009900990099098E-3</v>
      </c>
      <c r="W491" s="35">
        <f t="shared" si="178"/>
        <v>6.9767441860465129E-2</v>
      </c>
      <c r="X491" s="35">
        <f t="shared" si="178"/>
        <v>9.9009900990099098E-3</v>
      </c>
      <c r="Y491" s="35">
        <f t="shared" si="178"/>
        <v>9.9009900990099098E-3</v>
      </c>
      <c r="Z491" s="35">
        <f t="shared" si="178"/>
        <v>9.9009900990099098E-3</v>
      </c>
      <c r="AA491" s="35">
        <f t="shared" si="178"/>
        <v>9.9009900990099098E-3</v>
      </c>
    </row>
    <row r="492" spans="2:27" x14ac:dyDescent="0.2">
      <c r="B492" s="2">
        <v>490</v>
      </c>
      <c r="C492" s="2" t="str">
        <f t="shared" si="179"/>
        <v>a</v>
      </c>
      <c r="D492" s="29" t="s">
        <v>31</v>
      </c>
      <c r="E492" s="29" t="s">
        <v>219</v>
      </c>
      <c r="F492" s="2" t="s">
        <v>225</v>
      </c>
      <c r="G492" s="2">
        <f t="shared" si="172"/>
        <v>2</v>
      </c>
      <c r="H492" s="2" t="str">
        <f t="shared" si="162"/>
        <v>冷却</v>
      </c>
      <c r="I492" s="38">
        <f t="shared" si="165"/>
        <v>0.14727272727272728</v>
      </c>
      <c r="J492" s="33">
        <f t="shared" si="166"/>
        <v>45</v>
      </c>
      <c r="K492" s="33">
        <f t="shared" si="177"/>
        <v>31</v>
      </c>
      <c r="L492" s="33">
        <f t="shared" si="177"/>
        <v>5</v>
      </c>
      <c r="M492" s="33">
        <f t="shared" si="177"/>
        <v>23</v>
      </c>
      <c r="N492" s="33">
        <f t="shared" si="163"/>
        <v>18</v>
      </c>
      <c r="O492" s="33">
        <f t="shared" si="177"/>
        <v>19</v>
      </c>
      <c r="P492" s="33">
        <f t="shared" si="177"/>
        <v>10</v>
      </c>
      <c r="Q492" s="33">
        <f t="shared" si="177"/>
        <v>11</v>
      </c>
      <c r="R492" s="35">
        <f t="shared" si="167"/>
        <v>3.6666666666666667E-2</v>
      </c>
      <c r="S492" s="35">
        <f t="shared" si="168"/>
        <v>3.3333333333333333E-2</v>
      </c>
      <c r="T492" s="35">
        <f t="shared" si="169"/>
        <v>3.6666666666666667E-2</v>
      </c>
      <c r="U492" s="35">
        <f t="shared" si="164"/>
        <v>2.4390243902439046E-2</v>
      </c>
      <c r="V492" s="35">
        <f t="shared" si="178"/>
        <v>2.4390243902439046E-2</v>
      </c>
      <c r="W492" s="35">
        <f t="shared" si="178"/>
        <v>0.13043478260869568</v>
      </c>
      <c r="X492" s="35">
        <f t="shared" si="178"/>
        <v>2.4390243902439046E-2</v>
      </c>
      <c r="Y492" s="35">
        <f t="shared" si="178"/>
        <v>2.4390243902439046E-2</v>
      </c>
      <c r="Z492" s="35">
        <f t="shared" si="178"/>
        <v>2.4390243902439046E-2</v>
      </c>
      <c r="AA492" s="35">
        <f t="shared" si="178"/>
        <v>2.4390243902439046E-2</v>
      </c>
    </row>
    <row r="493" spans="2:27" x14ac:dyDescent="0.2">
      <c r="B493" s="2">
        <v>491</v>
      </c>
      <c r="C493" s="2" t="str">
        <f t="shared" si="179"/>
        <v>a</v>
      </c>
      <c r="D493" s="29" t="s">
        <v>31</v>
      </c>
      <c r="E493" s="29" t="s">
        <v>219</v>
      </c>
      <c r="F493" s="2" t="s">
        <v>225</v>
      </c>
      <c r="G493" s="2">
        <f t="shared" si="172"/>
        <v>3</v>
      </c>
      <c r="H493" s="2" t="str">
        <f t="shared" si="162"/>
        <v>冷却</v>
      </c>
      <c r="I493" s="38">
        <f t="shared" si="165"/>
        <v>0.22272727272727275</v>
      </c>
      <c r="J493" s="33">
        <f t="shared" si="166"/>
        <v>67</v>
      </c>
      <c r="K493" s="33">
        <f t="shared" ref="K493:Q502" si="180">INT((1+VLOOKUP($F493,role_property_weight,getpos(K$2),FALSE))*(1+VLOOKUP($F493,weapon_property_weight,getpos(K$2),FALSE))*VLOOKUP($E493,role_grow,getpos(K$2),FALSE)*$G493*10*VLOOKUP($C493,weapon_grow1,5,FALSE))</f>
        <v>46</v>
      </c>
      <c r="L493" s="33">
        <f t="shared" si="180"/>
        <v>8</v>
      </c>
      <c r="M493" s="33">
        <f t="shared" si="180"/>
        <v>35</v>
      </c>
      <c r="N493" s="33">
        <f t="shared" si="163"/>
        <v>27</v>
      </c>
      <c r="O493" s="33">
        <f t="shared" si="180"/>
        <v>29</v>
      </c>
      <c r="P493" s="33">
        <f t="shared" si="180"/>
        <v>16</v>
      </c>
      <c r="Q493" s="33">
        <f t="shared" si="180"/>
        <v>17</v>
      </c>
      <c r="R493" s="35">
        <f t="shared" si="167"/>
        <v>5.6666666666666671E-2</v>
      </c>
      <c r="S493" s="35">
        <f t="shared" si="168"/>
        <v>5.333333333333333E-2</v>
      </c>
      <c r="T493" s="35">
        <f t="shared" si="169"/>
        <v>5.6666666666666671E-2</v>
      </c>
      <c r="U493" s="35">
        <f t="shared" si="164"/>
        <v>3.3816425120772986E-2</v>
      </c>
      <c r="V493" s="35">
        <f t="shared" ref="V493:AA502" si="181">1-200/(200+ROUND((1+VLOOKUP($F493,role_property_weight,getpos(V$2),FALSE))*VLOOKUP($E493,role_grow,getpos(V$2),FALSE)*$G493*10*VLOOKUP($C493,weapon_grow1,5,FALSE),0))</f>
        <v>3.3816425120772986E-2</v>
      </c>
      <c r="W493" s="35">
        <f t="shared" si="181"/>
        <v>0.18367346938775508</v>
      </c>
      <c r="X493" s="35">
        <f t="shared" si="181"/>
        <v>3.3816425120772986E-2</v>
      </c>
      <c r="Y493" s="35">
        <f t="shared" si="181"/>
        <v>3.3816425120772986E-2</v>
      </c>
      <c r="Z493" s="35">
        <f t="shared" si="181"/>
        <v>3.3816425120772986E-2</v>
      </c>
      <c r="AA493" s="35">
        <f t="shared" si="181"/>
        <v>3.3816425120772986E-2</v>
      </c>
    </row>
    <row r="494" spans="2:27" x14ac:dyDescent="0.2">
      <c r="B494" s="2">
        <v>492</v>
      </c>
      <c r="C494" s="2" t="str">
        <f t="shared" si="179"/>
        <v>a</v>
      </c>
      <c r="D494" s="29" t="s">
        <v>31</v>
      </c>
      <c r="E494" s="29" t="s">
        <v>219</v>
      </c>
      <c r="F494" s="2" t="s">
        <v>225</v>
      </c>
      <c r="G494" s="2">
        <f t="shared" si="172"/>
        <v>4</v>
      </c>
      <c r="H494" s="2" t="str">
        <f t="shared" si="162"/>
        <v>冷却</v>
      </c>
      <c r="I494" s="38">
        <f t="shared" si="165"/>
        <v>0.29818181818181816</v>
      </c>
      <c r="J494" s="33">
        <f t="shared" si="166"/>
        <v>90</v>
      </c>
      <c r="K494" s="33">
        <f t="shared" si="180"/>
        <v>62</v>
      </c>
      <c r="L494" s="33">
        <f t="shared" si="180"/>
        <v>10</v>
      </c>
      <c r="M494" s="33">
        <f t="shared" si="180"/>
        <v>47</v>
      </c>
      <c r="N494" s="33">
        <f t="shared" si="163"/>
        <v>36</v>
      </c>
      <c r="O494" s="33">
        <f t="shared" si="180"/>
        <v>39</v>
      </c>
      <c r="P494" s="33">
        <f t="shared" si="180"/>
        <v>21</v>
      </c>
      <c r="Q494" s="33">
        <f t="shared" si="180"/>
        <v>23</v>
      </c>
      <c r="R494" s="35">
        <f t="shared" si="167"/>
        <v>7.6666666666666675E-2</v>
      </c>
      <c r="S494" s="35">
        <f t="shared" si="168"/>
        <v>7.0000000000000007E-2</v>
      </c>
      <c r="T494" s="35">
        <f t="shared" si="169"/>
        <v>7.6666666666666675E-2</v>
      </c>
      <c r="U494" s="35">
        <f t="shared" si="164"/>
        <v>4.7619047619047672E-2</v>
      </c>
      <c r="V494" s="35">
        <f t="shared" si="181"/>
        <v>4.7619047619047672E-2</v>
      </c>
      <c r="W494" s="35">
        <f t="shared" si="181"/>
        <v>0.23076923076923073</v>
      </c>
      <c r="X494" s="35">
        <f t="shared" si="181"/>
        <v>4.7619047619047672E-2</v>
      </c>
      <c r="Y494" s="35">
        <f t="shared" si="181"/>
        <v>4.7619047619047672E-2</v>
      </c>
      <c r="Z494" s="35">
        <f t="shared" si="181"/>
        <v>4.7619047619047672E-2</v>
      </c>
      <c r="AA494" s="35">
        <f t="shared" si="181"/>
        <v>4.7619047619047672E-2</v>
      </c>
    </row>
    <row r="495" spans="2:27" x14ac:dyDescent="0.2">
      <c r="B495" s="2">
        <v>493</v>
      </c>
      <c r="C495" s="2" t="str">
        <f t="shared" si="179"/>
        <v>a</v>
      </c>
      <c r="D495" s="29" t="s">
        <v>31</v>
      </c>
      <c r="E495" s="29" t="s">
        <v>219</v>
      </c>
      <c r="F495" s="2" t="s">
        <v>225</v>
      </c>
      <c r="G495" s="2">
        <f t="shared" si="172"/>
        <v>5</v>
      </c>
      <c r="H495" s="2" t="str">
        <f t="shared" si="162"/>
        <v>冷却</v>
      </c>
      <c r="I495" s="38">
        <f t="shared" si="165"/>
        <v>0.37545454545454549</v>
      </c>
      <c r="J495" s="33">
        <f t="shared" si="166"/>
        <v>113</v>
      </c>
      <c r="K495" s="33">
        <f t="shared" si="180"/>
        <v>78</v>
      </c>
      <c r="L495" s="33">
        <f t="shared" si="180"/>
        <v>13</v>
      </c>
      <c r="M495" s="33">
        <f t="shared" si="180"/>
        <v>59</v>
      </c>
      <c r="N495" s="33">
        <f t="shared" si="163"/>
        <v>45</v>
      </c>
      <c r="O495" s="33">
        <f t="shared" si="180"/>
        <v>49</v>
      </c>
      <c r="P495" s="33">
        <f t="shared" si="180"/>
        <v>27</v>
      </c>
      <c r="Q495" s="33">
        <f t="shared" si="180"/>
        <v>29</v>
      </c>
      <c r="R495" s="35">
        <f t="shared" si="167"/>
        <v>9.6666666666666665E-2</v>
      </c>
      <c r="S495" s="35">
        <f t="shared" si="168"/>
        <v>0.09</v>
      </c>
      <c r="T495" s="35">
        <f t="shared" si="169"/>
        <v>9.6666666666666665E-2</v>
      </c>
      <c r="U495" s="35">
        <f t="shared" si="164"/>
        <v>5.6603773584905648E-2</v>
      </c>
      <c r="V495" s="35">
        <f t="shared" si="181"/>
        <v>5.6603773584905648E-2</v>
      </c>
      <c r="W495" s="35">
        <f t="shared" si="181"/>
        <v>0.27007299270072993</v>
      </c>
      <c r="X495" s="35">
        <f t="shared" si="181"/>
        <v>5.6603773584905648E-2</v>
      </c>
      <c r="Y495" s="35">
        <f t="shared" si="181"/>
        <v>5.6603773584905648E-2</v>
      </c>
      <c r="Z495" s="35">
        <f t="shared" si="181"/>
        <v>5.6603773584905648E-2</v>
      </c>
      <c r="AA495" s="35">
        <f t="shared" si="181"/>
        <v>5.6603773584905648E-2</v>
      </c>
    </row>
    <row r="496" spans="2:27" x14ac:dyDescent="0.2">
      <c r="B496" s="2">
        <v>494</v>
      </c>
      <c r="C496" s="2" t="str">
        <f t="shared" si="179"/>
        <v>a</v>
      </c>
      <c r="D496" s="29" t="s">
        <v>31</v>
      </c>
      <c r="E496" s="29" t="s">
        <v>219</v>
      </c>
      <c r="F496" s="2" t="s">
        <v>225</v>
      </c>
      <c r="G496" s="2">
        <f t="shared" si="172"/>
        <v>6</v>
      </c>
      <c r="H496" s="2" t="str">
        <f t="shared" si="162"/>
        <v>冷却</v>
      </c>
      <c r="I496" s="38">
        <f t="shared" si="165"/>
        <v>0.45</v>
      </c>
      <c r="J496" s="33">
        <f t="shared" si="166"/>
        <v>135</v>
      </c>
      <c r="K496" s="33">
        <f t="shared" si="180"/>
        <v>93</v>
      </c>
      <c r="L496" s="33">
        <f t="shared" si="180"/>
        <v>16</v>
      </c>
      <c r="M496" s="33">
        <f t="shared" si="180"/>
        <v>71</v>
      </c>
      <c r="N496" s="33">
        <f t="shared" si="163"/>
        <v>54</v>
      </c>
      <c r="O496" s="33">
        <f t="shared" si="180"/>
        <v>59</v>
      </c>
      <c r="P496" s="33">
        <f t="shared" si="180"/>
        <v>32</v>
      </c>
      <c r="Q496" s="33">
        <f t="shared" si="180"/>
        <v>35</v>
      </c>
      <c r="R496" s="35">
        <f t="shared" si="167"/>
        <v>0.11666666666666665</v>
      </c>
      <c r="S496" s="35">
        <f t="shared" si="168"/>
        <v>0.10666666666666666</v>
      </c>
      <c r="T496" s="35">
        <f t="shared" si="169"/>
        <v>0.11666666666666665</v>
      </c>
      <c r="U496" s="35">
        <f t="shared" si="164"/>
        <v>6.9767441860465129E-2</v>
      </c>
      <c r="V496" s="35">
        <f t="shared" si="181"/>
        <v>6.9767441860465129E-2</v>
      </c>
      <c r="W496" s="35">
        <f t="shared" si="181"/>
        <v>0.30795847750865057</v>
      </c>
      <c r="X496" s="35">
        <f t="shared" si="181"/>
        <v>6.9767441860465129E-2</v>
      </c>
      <c r="Y496" s="35">
        <f t="shared" si="181"/>
        <v>6.9767441860465129E-2</v>
      </c>
      <c r="Z496" s="35">
        <f t="shared" si="181"/>
        <v>6.9767441860465129E-2</v>
      </c>
      <c r="AA496" s="35">
        <f t="shared" si="181"/>
        <v>6.9767441860465129E-2</v>
      </c>
    </row>
    <row r="497" spans="2:27" x14ac:dyDescent="0.2">
      <c r="B497" s="2">
        <v>495</v>
      </c>
      <c r="C497" s="2" t="str">
        <f t="shared" si="179"/>
        <v>a</v>
      </c>
      <c r="D497" s="29" t="s">
        <v>31</v>
      </c>
      <c r="E497" s="29" t="s">
        <v>219</v>
      </c>
      <c r="F497" s="2" t="s">
        <v>225</v>
      </c>
      <c r="G497" s="2">
        <f t="shared" si="172"/>
        <v>7</v>
      </c>
      <c r="H497" s="2" t="str">
        <f t="shared" si="162"/>
        <v>冷却</v>
      </c>
      <c r="I497" s="38">
        <f t="shared" si="165"/>
        <v>0.52636363636363637</v>
      </c>
      <c r="J497" s="33">
        <f t="shared" si="166"/>
        <v>158</v>
      </c>
      <c r="K497" s="33">
        <f t="shared" si="180"/>
        <v>109</v>
      </c>
      <c r="L497" s="33">
        <f t="shared" si="180"/>
        <v>18</v>
      </c>
      <c r="M497" s="33">
        <f t="shared" si="180"/>
        <v>83</v>
      </c>
      <c r="N497" s="33">
        <f t="shared" si="163"/>
        <v>63</v>
      </c>
      <c r="O497" s="33">
        <f t="shared" si="180"/>
        <v>69</v>
      </c>
      <c r="P497" s="33">
        <f t="shared" si="180"/>
        <v>38</v>
      </c>
      <c r="Q497" s="33">
        <f t="shared" si="180"/>
        <v>41</v>
      </c>
      <c r="R497" s="35">
        <f t="shared" si="167"/>
        <v>0.13666666666666666</v>
      </c>
      <c r="S497" s="35">
        <f t="shared" si="168"/>
        <v>0.12666666666666665</v>
      </c>
      <c r="T497" s="35">
        <f t="shared" si="169"/>
        <v>0.13666666666666666</v>
      </c>
      <c r="U497" s="35">
        <f t="shared" si="164"/>
        <v>7.8341013824884786E-2</v>
      </c>
      <c r="V497" s="35">
        <f t="shared" si="181"/>
        <v>7.8341013824884786E-2</v>
      </c>
      <c r="W497" s="35">
        <f t="shared" si="181"/>
        <v>0.34210526315789469</v>
      </c>
      <c r="X497" s="35">
        <f t="shared" si="181"/>
        <v>7.8341013824884786E-2</v>
      </c>
      <c r="Y497" s="35">
        <f t="shared" si="181"/>
        <v>7.8341013824884786E-2</v>
      </c>
      <c r="Z497" s="35">
        <f t="shared" si="181"/>
        <v>7.8341013824884786E-2</v>
      </c>
      <c r="AA497" s="35">
        <f t="shared" si="181"/>
        <v>7.8341013824884786E-2</v>
      </c>
    </row>
    <row r="498" spans="2:27" x14ac:dyDescent="0.2">
      <c r="B498" s="2">
        <v>496</v>
      </c>
      <c r="C498" s="2" t="str">
        <f t="shared" si="179"/>
        <v>a</v>
      </c>
      <c r="D498" s="29" t="s">
        <v>31</v>
      </c>
      <c r="E498" s="29" t="s">
        <v>219</v>
      </c>
      <c r="F498" s="2" t="s">
        <v>225</v>
      </c>
      <c r="G498" s="2">
        <f t="shared" si="172"/>
        <v>8</v>
      </c>
      <c r="H498" s="2" t="str">
        <f t="shared" si="162"/>
        <v>冷却</v>
      </c>
      <c r="I498" s="38">
        <f t="shared" si="165"/>
        <v>0.60181818181818181</v>
      </c>
      <c r="J498" s="33">
        <f t="shared" si="166"/>
        <v>181</v>
      </c>
      <c r="K498" s="33">
        <f t="shared" si="180"/>
        <v>124</v>
      </c>
      <c r="L498" s="33">
        <f t="shared" si="180"/>
        <v>21</v>
      </c>
      <c r="M498" s="33">
        <f t="shared" si="180"/>
        <v>95</v>
      </c>
      <c r="N498" s="33">
        <f t="shared" si="163"/>
        <v>72</v>
      </c>
      <c r="O498" s="33">
        <f t="shared" si="180"/>
        <v>79</v>
      </c>
      <c r="P498" s="33">
        <f t="shared" si="180"/>
        <v>43</v>
      </c>
      <c r="Q498" s="33">
        <f t="shared" si="180"/>
        <v>47</v>
      </c>
      <c r="R498" s="35">
        <f t="shared" si="167"/>
        <v>0.15666666666666665</v>
      </c>
      <c r="S498" s="35">
        <f t="shared" si="168"/>
        <v>0.14333333333333334</v>
      </c>
      <c r="T498" s="35">
        <f t="shared" si="169"/>
        <v>0.15666666666666665</v>
      </c>
      <c r="U498" s="35">
        <f t="shared" si="164"/>
        <v>9.0909090909090939E-2</v>
      </c>
      <c r="V498" s="35">
        <f t="shared" si="181"/>
        <v>9.0909090909090939E-2</v>
      </c>
      <c r="W498" s="35">
        <f t="shared" si="181"/>
        <v>0.37304075235109713</v>
      </c>
      <c r="X498" s="35">
        <f t="shared" si="181"/>
        <v>9.0909090909090939E-2</v>
      </c>
      <c r="Y498" s="35">
        <f t="shared" si="181"/>
        <v>9.0909090909090939E-2</v>
      </c>
      <c r="Z498" s="35">
        <f t="shared" si="181"/>
        <v>9.0909090909090939E-2</v>
      </c>
      <c r="AA498" s="35">
        <f t="shared" si="181"/>
        <v>9.0909090909090939E-2</v>
      </c>
    </row>
    <row r="499" spans="2:27" x14ac:dyDescent="0.2">
      <c r="B499" s="2">
        <v>497</v>
      </c>
      <c r="C499" s="2" t="str">
        <f t="shared" si="179"/>
        <v>b</v>
      </c>
      <c r="D499" s="29" t="s">
        <v>166</v>
      </c>
      <c r="E499" s="29" t="s">
        <v>219</v>
      </c>
      <c r="F499" s="2" t="s">
        <v>225</v>
      </c>
      <c r="G499" s="2">
        <f t="shared" si="172"/>
        <v>1</v>
      </c>
      <c r="H499" s="2" t="str">
        <f t="shared" si="162"/>
        <v>冷却</v>
      </c>
      <c r="I499" s="38">
        <f t="shared" si="165"/>
        <v>0.1</v>
      </c>
      <c r="J499" s="33">
        <f t="shared" si="166"/>
        <v>24</v>
      </c>
      <c r="K499" s="33">
        <f t="shared" si="180"/>
        <v>19</v>
      </c>
      <c r="L499" s="33">
        <f t="shared" si="180"/>
        <v>3</v>
      </c>
      <c r="M499" s="33">
        <f t="shared" si="180"/>
        <v>14</v>
      </c>
      <c r="N499" s="33">
        <f t="shared" si="163"/>
        <v>12</v>
      </c>
      <c r="O499" s="33">
        <f t="shared" si="180"/>
        <v>12</v>
      </c>
      <c r="P499" s="33">
        <f t="shared" si="180"/>
        <v>6</v>
      </c>
      <c r="Q499" s="33">
        <f t="shared" si="180"/>
        <v>7</v>
      </c>
      <c r="R499" s="35">
        <f t="shared" si="167"/>
        <v>2.3333333333333334E-2</v>
      </c>
      <c r="S499" s="35">
        <f t="shared" si="168"/>
        <v>0.02</v>
      </c>
      <c r="T499" s="35">
        <f t="shared" si="169"/>
        <v>2.3333333333333334E-2</v>
      </c>
      <c r="U499" s="35">
        <f t="shared" si="164"/>
        <v>1.4778325123152691E-2</v>
      </c>
      <c r="V499" s="35">
        <f t="shared" si="181"/>
        <v>1.4778325123152691E-2</v>
      </c>
      <c r="W499" s="35">
        <f t="shared" si="181"/>
        <v>8.6757990867579959E-2</v>
      </c>
      <c r="X499" s="35">
        <f t="shared" si="181"/>
        <v>1.4778325123152691E-2</v>
      </c>
      <c r="Y499" s="35">
        <f t="shared" si="181"/>
        <v>1.4778325123152691E-2</v>
      </c>
      <c r="Z499" s="35">
        <f t="shared" si="181"/>
        <v>1.4778325123152691E-2</v>
      </c>
      <c r="AA499" s="35">
        <f t="shared" si="181"/>
        <v>1.4778325123152691E-2</v>
      </c>
    </row>
    <row r="500" spans="2:27" x14ac:dyDescent="0.2">
      <c r="B500" s="2">
        <v>498</v>
      </c>
      <c r="C500" s="2" t="str">
        <f t="shared" si="179"/>
        <v>b</v>
      </c>
      <c r="D500" s="29" t="s">
        <v>167</v>
      </c>
      <c r="E500" s="29" t="s">
        <v>219</v>
      </c>
      <c r="F500" s="2" t="s">
        <v>225</v>
      </c>
      <c r="G500" s="2">
        <f t="shared" si="172"/>
        <v>2</v>
      </c>
      <c r="H500" s="2" t="str">
        <f t="shared" si="162"/>
        <v>冷却</v>
      </c>
      <c r="I500" s="38">
        <f t="shared" si="165"/>
        <v>0.17818181818181816</v>
      </c>
      <c r="J500" s="33">
        <f t="shared" si="166"/>
        <v>48</v>
      </c>
      <c r="K500" s="33">
        <f t="shared" si="180"/>
        <v>39</v>
      </c>
      <c r="L500" s="33">
        <f t="shared" si="180"/>
        <v>6</v>
      </c>
      <c r="M500" s="33">
        <f t="shared" si="180"/>
        <v>29</v>
      </c>
      <c r="N500" s="33">
        <f t="shared" si="163"/>
        <v>23</v>
      </c>
      <c r="O500" s="33">
        <f t="shared" si="180"/>
        <v>24</v>
      </c>
      <c r="P500" s="33">
        <f t="shared" si="180"/>
        <v>13</v>
      </c>
      <c r="Q500" s="33">
        <f t="shared" si="180"/>
        <v>14</v>
      </c>
      <c r="R500" s="35">
        <f t="shared" si="167"/>
        <v>4.6666666666666669E-2</v>
      </c>
      <c r="S500" s="35">
        <f t="shared" si="168"/>
        <v>4.3333333333333328E-2</v>
      </c>
      <c r="T500" s="35">
        <f t="shared" si="169"/>
        <v>4.6666666666666669E-2</v>
      </c>
      <c r="U500" s="35">
        <f t="shared" si="164"/>
        <v>2.9126213592232997E-2</v>
      </c>
      <c r="V500" s="35">
        <f t="shared" si="181"/>
        <v>2.9126213592232997E-2</v>
      </c>
      <c r="W500" s="35">
        <f t="shared" si="181"/>
        <v>0.15611814345991559</v>
      </c>
      <c r="X500" s="35">
        <f t="shared" si="181"/>
        <v>2.9126213592232997E-2</v>
      </c>
      <c r="Y500" s="35">
        <f t="shared" si="181"/>
        <v>2.9126213592232997E-2</v>
      </c>
      <c r="Z500" s="35">
        <f t="shared" si="181"/>
        <v>2.9126213592232997E-2</v>
      </c>
      <c r="AA500" s="35">
        <f t="shared" si="181"/>
        <v>2.9126213592232997E-2</v>
      </c>
    </row>
    <row r="501" spans="2:27" x14ac:dyDescent="0.2">
      <c r="B501" s="2">
        <v>499</v>
      </c>
      <c r="C501" s="2" t="str">
        <f t="shared" si="179"/>
        <v>b</v>
      </c>
      <c r="D501" s="29" t="s">
        <v>166</v>
      </c>
      <c r="E501" s="29" t="s">
        <v>219</v>
      </c>
      <c r="F501" s="2" t="s">
        <v>225</v>
      </c>
      <c r="G501" s="2">
        <f t="shared" si="172"/>
        <v>3</v>
      </c>
      <c r="H501" s="2" t="str">
        <f t="shared" si="162"/>
        <v>冷却</v>
      </c>
      <c r="I501" s="38">
        <f t="shared" si="165"/>
        <v>0.27090909090909088</v>
      </c>
      <c r="J501" s="33">
        <f t="shared" si="166"/>
        <v>73</v>
      </c>
      <c r="K501" s="33">
        <f t="shared" si="180"/>
        <v>58</v>
      </c>
      <c r="L501" s="33">
        <f t="shared" si="180"/>
        <v>10</v>
      </c>
      <c r="M501" s="33">
        <f t="shared" si="180"/>
        <v>44</v>
      </c>
      <c r="N501" s="33">
        <f t="shared" si="163"/>
        <v>34</v>
      </c>
      <c r="O501" s="33">
        <f t="shared" si="180"/>
        <v>37</v>
      </c>
      <c r="P501" s="33">
        <f t="shared" si="180"/>
        <v>20</v>
      </c>
      <c r="Q501" s="33">
        <f t="shared" si="180"/>
        <v>22</v>
      </c>
      <c r="R501" s="35">
        <f t="shared" si="167"/>
        <v>7.3333333333333334E-2</v>
      </c>
      <c r="S501" s="35">
        <f t="shared" si="168"/>
        <v>6.6666666666666666E-2</v>
      </c>
      <c r="T501" s="35">
        <f t="shared" si="169"/>
        <v>7.3333333333333334E-2</v>
      </c>
      <c r="U501" s="35">
        <f t="shared" si="164"/>
        <v>4.3062200956937802E-2</v>
      </c>
      <c r="V501" s="35">
        <f t="shared" si="181"/>
        <v>4.3062200956937802E-2</v>
      </c>
      <c r="W501" s="35">
        <f t="shared" si="181"/>
        <v>0.21875</v>
      </c>
      <c r="X501" s="35">
        <f t="shared" si="181"/>
        <v>4.3062200956937802E-2</v>
      </c>
      <c r="Y501" s="35">
        <f t="shared" si="181"/>
        <v>4.3062200956937802E-2</v>
      </c>
      <c r="Z501" s="35">
        <f t="shared" si="181"/>
        <v>4.3062200956937802E-2</v>
      </c>
      <c r="AA501" s="35">
        <f t="shared" si="181"/>
        <v>4.3062200956937802E-2</v>
      </c>
    </row>
    <row r="502" spans="2:27" x14ac:dyDescent="0.2">
      <c r="B502" s="2">
        <v>500</v>
      </c>
      <c r="C502" s="2" t="str">
        <f t="shared" si="179"/>
        <v>b</v>
      </c>
      <c r="D502" s="29" t="s">
        <v>140</v>
      </c>
      <c r="E502" s="29" t="s">
        <v>219</v>
      </c>
      <c r="F502" s="2" t="s">
        <v>225</v>
      </c>
      <c r="G502" s="2">
        <f t="shared" si="172"/>
        <v>4</v>
      </c>
      <c r="H502" s="2" t="str">
        <f t="shared" si="162"/>
        <v>冷却</v>
      </c>
      <c r="I502" s="38">
        <f t="shared" si="165"/>
        <v>0.36090909090909096</v>
      </c>
      <c r="J502" s="33">
        <f t="shared" si="166"/>
        <v>97</v>
      </c>
      <c r="K502" s="33">
        <f t="shared" si="180"/>
        <v>78</v>
      </c>
      <c r="L502" s="33">
        <f t="shared" si="180"/>
        <v>13</v>
      </c>
      <c r="M502" s="33">
        <f t="shared" si="180"/>
        <v>59</v>
      </c>
      <c r="N502" s="33">
        <f t="shared" si="163"/>
        <v>45</v>
      </c>
      <c r="O502" s="33">
        <f t="shared" si="180"/>
        <v>49</v>
      </c>
      <c r="P502" s="33">
        <f t="shared" si="180"/>
        <v>27</v>
      </c>
      <c r="Q502" s="33">
        <f t="shared" si="180"/>
        <v>29</v>
      </c>
      <c r="R502" s="35">
        <f t="shared" si="167"/>
        <v>9.6666666666666665E-2</v>
      </c>
      <c r="S502" s="35">
        <f t="shared" si="168"/>
        <v>0.09</v>
      </c>
      <c r="T502" s="35">
        <f t="shared" si="169"/>
        <v>9.6666666666666665E-2</v>
      </c>
      <c r="U502" s="35">
        <f t="shared" si="164"/>
        <v>5.6603773584905648E-2</v>
      </c>
      <c r="V502" s="35">
        <f t="shared" si="181"/>
        <v>5.6603773584905648E-2</v>
      </c>
      <c r="W502" s="35">
        <f t="shared" si="181"/>
        <v>0.27272727272727271</v>
      </c>
      <c r="X502" s="35">
        <f t="shared" si="181"/>
        <v>5.6603773584905648E-2</v>
      </c>
      <c r="Y502" s="35">
        <f t="shared" si="181"/>
        <v>5.6603773584905648E-2</v>
      </c>
      <c r="Z502" s="35">
        <f t="shared" si="181"/>
        <v>5.6603773584905648E-2</v>
      </c>
      <c r="AA502" s="35">
        <f t="shared" si="181"/>
        <v>5.6603773584905648E-2</v>
      </c>
    </row>
    <row r="503" spans="2:27" x14ac:dyDescent="0.2">
      <c r="B503" s="2">
        <v>501</v>
      </c>
      <c r="C503" s="2" t="str">
        <f t="shared" si="179"/>
        <v>b</v>
      </c>
      <c r="D503" s="29" t="s">
        <v>167</v>
      </c>
      <c r="E503" s="29" t="s">
        <v>219</v>
      </c>
      <c r="F503" s="2" t="s">
        <v>225</v>
      </c>
      <c r="G503" s="2">
        <f t="shared" si="172"/>
        <v>5</v>
      </c>
      <c r="H503" s="2" t="str">
        <f t="shared" si="162"/>
        <v>冷却</v>
      </c>
      <c r="I503" s="38">
        <f t="shared" si="165"/>
        <v>0.45363636363636367</v>
      </c>
      <c r="J503" s="33">
        <f t="shared" si="166"/>
        <v>121</v>
      </c>
      <c r="K503" s="33">
        <f t="shared" ref="K503:Q512" si="182">INT((1+VLOOKUP($F503,role_property_weight,getpos(K$2),FALSE))*(1+VLOOKUP($F503,weapon_property_weight,getpos(K$2),FALSE))*VLOOKUP($E503,role_grow,getpos(K$2),FALSE)*$G503*10*VLOOKUP($C503,weapon_grow1,5,FALSE))</f>
        <v>98</v>
      </c>
      <c r="L503" s="33">
        <f t="shared" si="182"/>
        <v>16</v>
      </c>
      <c r="M503" s="33">
        <f t="shared" si="182"/>
        <v>74</v>
      </c>
      <c r="N503" s="33">
        <f t="shared" si="163"/>
        <v>57</v>
      </c>
      <c r="O503" s="33">
        <f t="shared" si="182"/>
        <v>62</v>
      </c>
      <c r="P503" s="33">
        <f t="shared" si="182"/>
        <v>34</v>
      </c>
      <c r="Q503" s="33">
        <f t="shared" si="182"/>
        <v>37</v>
      </c>
      <c r="R503" s="35">
        <f t="shared" si="167"/>
        <v>0.12333333333333334</v>
      </c>
      <c r="S503" s="35">
        <f t="shared" si="168"/>
        <v>0.11333333333333334</v>
      </c>
      <c r="T503" s="35">
        <f t="shared" si="169"/>
        <v>0.12333333333333334</v>
      </c>
      <c r="U503" s="35">
        <f t="shared" si="164"/>
        <v>7.407407407407407E-2</v>
      </c>
      <c r="V503" s="35">
        <f t="shared" ref="V503:AA512" si="183">1-200/(200+ROUND((1+VLOOKUP($F503,role_property_weight,getpos(V$2),FALSE))*VLOOKUP($E503,role_grow,getpos(V$2),FALSE)*$G503*10*VLOOKUP($C503,weapon_grow1,5,FALSE),0))</f>
        <v>7.407407407407407E-2</v>
      </c>
      <c r="W503" s="35">
        <f t="shared" si="183"/>
        <v>0.31972789115646261</v>
      </c>
      <c r="X503" s="35">
        <f t="shared" si="183"/>
        <v>7.407407407407407E-2</v>
      </c>
      <c r="Y503" s="35">
        <f t="shared" si="183"/>
        <v>7.407407407407407E-2</v>
      </c>
      <c r="Z503" s="35">
        <f t="shared" si="183"/>
        <v>7.407407407407407E-2</v>
      </c>
      <c r="AA503" s="35">
        <f t="shared" si="183"/>
        <v>7.407407407407407E-2</v>
      </c>
    </row>
    <row r="504" spans="2:27" x14ac:dyDescent="0.2">
      <c r="B504" s="2">
        <v>502</v>
      </c>
      <c r="C504" s="2" t="str">
        <f t="shared" si="179"/>
        <v>b</v>
      </c>
      <c r="D504" s="29" t="s">
        <v>140</v>
      </c>
      <c r="E504" s="29" t="s">
        <v>219</v>
      </c>
      <c r="F504" s="2" t="s">
        <v>225</v>
      </c>
      <c r="G504" s="2">
        <f t="shared" si="172"/>
        <v>6</v>
      </c>
      <c r="H504" s="2" t="str">
        <f t="shared" si="162"/>
        <v>冷却</v>
      </c>
      <c r="I504" s="38">
        <f t="shared" si="165"/>
        <v>0.54454545454545455</v>
      </c>
      <c r="J504" s="33">
        <f t="shared" si="166"/>
        <v>146</v>
      </c>
      <c r="K504" s="33">
        <f t="shared" si="182"/>
        <v>117</v>
      </c>
      <c r="L504" s="33">
        <f t="shared" si="182"/>
        <v>20</v>
      </c>
      <c r="M504" s="33">
        <f t="shared" si="182"/>
        <v>89</v>
      </c>
      <c r="N504" s="33">
        <f t="shared" si="163"/>
        <v>68</v>
      </c>
      <c r="O504" s="33">
        <f t="shared" si="182"/>
        <v>74</v>
      </c>
      <c r="P504" s="33">
        <f t="shared" si="182"/>
        <v>41</v>
      </c>
      <c r="Q504" s="33">
        <f t="shared" si="182"/>
        <v>44</v>
      </c>
      <c r="R504" s="35">
        <f t="shared" si="167"/>
        <v>0.14666666666666667</v>
      </c>
      <c r="S504" s="35">
        <f t="shared" si="168"/>
        <v>0.13666666666666666</v>
      </c>
      <c r="T504" s="35">
        <f t="shared" si="169"/>
        <v>0.14666666666666667</v>
      </c>
      <c r="U504" s="35">
        <f t="shared" si="164"/>
        <v>8.6757990867579959E-2</v>
      </c>
      <c r="V504" s="35">
        <f t="shared" si="183"/>
        <v>8.6757990867579959E-2</v>
      </c>
      <c r="W504" s="35">
        <f t="shared" si="183"/>
        <v>0.35897435897435892</v>
      </c>
      <c r="X504" s="35">
        <f t="shared" si="183"/>
        <v>8.6757990867579959E-2</v>
      </c>
      <c r="Y504" s="35">
        <f t="shared" si="183"/>
        <v>8.6757990867579959E-2</v>
      </c>
      <c r="Z504" s="35">
        <f t="shared" si="183"/>
        <v>8.6757990867579959E-2</v>
      </c>
      <c r="AA504" s="35">
        <f t="shared" si="183"/>
        <v>8.6757990867579959E-2</v>
      </c>
    </row>
    <row r="505" spans="2:27" x14ac:dyDescent="0.2">
      <c r="B505" s="2">
        <v>503</v>
      </c>
      <c r="C505" s="2" t="str">
        <f t="shared" si="179"/>
        <v>b</v>
      </c>
      <c r="D505" s="29" t="s">
        <v>140</v>
      </c>
      <c r="E505" s="29" t="s">
        <v>219</v>
      </c>
      <c r="F505" s="2" t="s">
        <v>225</v>
      </c>
      <c r="G505" s="2">
        <f t="shared" si="172"/>
        <v>7</v>
      </c>
      <c r="H505" s="2" t="str">
        <f t="shared" si="162"/>
        <v>冷却</v>
      </c>
      <c r="I505" s="38">
        <f t="shared" si="165"/>
        <v>0.63636363636363635</v>
      </c>
      <c r="J505" s="33">
        <f t="shared" si="166"/>
        <v>170</v>
      </c>
      <c r="K505" s="33">
        <f t="shared" si="182"/>
        <v>137</v>
      </c>
      <c r="L505" s="33">
        <f t="shared" si="182"/>
        <v>23</v>
      </c>
      <c r="M505" s="33">
        <f t="shared" si="182"/>
        <v>104</v>
      </c>
      <c r="N505" s="33">
        <f t="shared" si="163"/>
        <v>79</v>
      </c>
      <c r="O505" s="33">
        <f t="shared" si="182"/>
        <v>87</v>
      </c>
      <c r="P505" s="33">
        <f t="shared" si="182"/>
        <v>48</v>
      </c>
      <c r="Q505" s="33">
        <f t="shared" si="182"/>
        <v>52</v>
      </c>
      <c r="R505" s="35">
        <f t="shared" si="167"/>
        <v>0.17333333333333331</v>
      </c>
      <c r="S505" s="35">
        <f t="shared" si="168"/>
        <v>0.16</v>
      </c>
      <c r="T505" s="35">
        <f t="shared" si="169"/>
        <v>0.17333333333333331</v>
      </c>
      <c r="U505" s="35">
        <f t="shared" si="164"/>
        <v>9.9099099099099086E-2</v>
      </c>
      <c r="V505" s="35">
        <f t="shared" si="183"/>
        <v>9.9099099099099086E-2</v>
      </c>
      <c r="W505" s="35">
        <f t="shared" si="183"/>
        <v>0.39577039274924475</v>
      </c>
      <c r="X505" s="35">
        <f t="shared" si="183"/>
        <v>9.9099099099099086E-2</v>
      </c>
      <c r="Y505" s="35">
        <f t="shared" si="183"/>
        <v>9.9099099099099086E-2</v>
      </c>
      <c r="Z505" s="35">
        <f t="shared" si="183"/>
        <v>9.9099099099099086E-2</v>
      </c>
      <c r="AA505" s="35">
        <f t="shared" si="183"/>
        <v>9.9099099099099086E-2</v>
      </c>
    </row>
    <row r="506" spans="2:27" x14ac:dyDescent="0.2">
      <c r="B506" s="2">
        <v>504</v>
      </c>
      <c r="C506" s="2" t="str">
        <f t="shared" si="179"/>
        <v>b</v>
      </c>
      <c r="D506" s="29" t="s">
        <v>168</v>
      </c>
      <c r="E506" s="29" t="s">
        <v>219</v>
      </c>
      <c r="F506" s="2" t="s">
        <v>225</v>
      </c>
      <c r="G506" s="2">
        <f t="shared" si="172"/>
        <v>8</v>
      </c>
      <c r="H506" s="2" t="str">
        <f t="shared" si="162"/>
        <v>冷却</v>
      </c>
      <c r="I506" s="38">
        <f t="shared" si="165"/>
        <v>0.72636363636363643</v>
      </c>
      <c r="J506" s="33">
        <f t="shared" si="166"/>
        <v>195</v>
      </c>
      <c r="K506" s="33">
        <f t="shared" si="182"/>
        <v>157</v>
      </c>
      <c r="L506" s="33">
        <f t="shared" si="182"/>
        <v>26</v>
      </c>
      <c r="M506" s="33">
        <f t="shared" si="182"/>
        <v>119</v>
      </c>
      <c r="N506" s="33">
        <f t="shared" si="163"/>
        <v>90</v>
      </c>
      <c r="O506" s="33">
        <f t="shared" si="182"/>
        <v>99</v>
      </c>
      <c r="P506" s="33">
        <f t="shared" si="182"/>
        <v>54</v>
      </c>
      <c r="Q506" s="33">
        <f t="shared" si="182"/>
        <v>59</v>
      </c>
      <c r="R506" s="35">
        <f t="shared" si="167"/>
        <v>0.19666666666666668</v>
      </c>
      <c r="S506" s="35">
        <f t="shared" si="168"/>
        <v>0.18</v>
      </c>
      <c r="T506" s="35">
        <f t="shared" si="169"/>
        <v>0.19666666666666668</v>
      </c>
      <c r="U506" s="35">
        <f t="shared" si="164"/>
        <v>0.11111111111111116</v>
      </c>
      <c r="V506" s="35">
        <f t="shared" si="183"/>
        <v>0.11111111111111116</v>
      </c>
      <c r="W506" s="35">
        <f t="shared" si="183"/>
        <v>0.4285714285714286</v>
      </c>
      <c r="X506" s="35">
        <f t="shared" si="183"/>
        <v>0.11111111111111116</v>
      </c>
      <c r="Y506" s="35">
        <f t="shared" si="183"/>
        <v>0.11111111111111116</v>
      </c>
      <c r="Z506" s="35">
        <f t="shared" si="183"/>
        <v>0.11111111111111116</v>
      </c>
      <c r="AA506" s="35">
        <f t="shared" si="183"/>
        <v>0.11111111111111116</v>
      </c>
    </row>
    <row r="507" spans="2:27" x14ac:dyDescent="0.2">
      <c r="B507" s="2">
        <v>505</v>
      </c>
      <c r="C507" s="2" t="str">
        <f t="shared" si="179"/>
        <v>c</v>
      </c>
      <c r="D507" s="29" t="s">
        <v>168</v>
      </c>
      <c r="E507" s="29" t="s">
        <v>219</v>
      </c>
      <c r="F507" s="2" t="s">
        <v>225</v>
      </c>
      <c r="G507" s="2">
        <f t="shared" si="172"/>
        <v>1</v>
      </c>
      <c r="H507" s="2" t="str">
        <f t="shared" si="162"/>
        <v>--</v>
      </c>
      <c r="I507" s="38">
        <f t="shared" si="165"/>
        <v>0</v>
      </c>
      <c r="J507" s="33">
        <f t="shared" si="166"/>
        <v>30</v>
      </c>
      <c r="K507" s="33">
        <f t="shared" si="182"/>
        <v>0</v>
      </c>
      <c r="L507" s="33">
        <f t="shared" si="182"/>
        <v>0</v>
      </c>
      <c r="M507" s="33">
        <f t="shared" si="182"/>
        <v>0</v>
      </c>
      <c r="N507" s="33">
        <f t="shared" si="163"/>
        <v>0</v>
      </c>
      <c r="O507" s="33">
        <f t="shared" si="182"/>
        <v>0</v>
      </c>
      <c r="P507" s="33">
        <f t="shared" si="182"/>
        <v>0</v>
      </c>
      <c r="Q507" s="33">
        <f t="shared" si="182"/>
        <v>0</v>
      </c>
      <c r="R507" s="35">
        <f t="shared" si="167"/>
        <v>0</v>
      </c>
      <c r="S507" s="35">
        <f t="shared" si="168"/>
        <v>0</v>
      </c>
      <c r="T507" s="35">
        <f t="shared" si="169"/>
        <v>0</v>
      </c>
      <c r="U507" s="35">
        <f t="shared" si="164"/>
        <v>0</v>
      </c>
      <c r="V507" s="35">
        <f t="shared" si="183"/>
        <v>0</v>
      </c>
      <c r="W507" s="35">
        <f t="shared" si="183"/>
        <v>0</v>
      </c>
      <c r="X507" s="35">
        <f t="shared" si="183"/>
        <v>0</v>
      </c>
      <c r="Y507" s="35">
        <f t="shared" si="183"/>
        <v>0</v>
      </c>
      <c r="Z507" s="35">
        <f t="shared" si="183"/>
        <v>0</v>
      </c>
      <c r="AA507" s="35">
        <f t="shared" si="183"/>
        <v>0</v>
      </c>
    </row>
    <row r="508" spans="2:27" x14ac:dyDescent="0.2">
      <c r="B508" s="2">
        <v>506</v>
      </c>
      <c r="C508" s="2" t="str">
        <f t="shared" si="179"/>
        <v>c</v>
      </c>
      <c r="D508" s="29" t="s">
        <v>140</v>
      </c>
      <c r="E508" s="29" t="s">
        <v>219</v>
      </c>
      <c r="F508" s="2" t="s">
        <v>225</v>
      </c>
      <c r="G508" s="2">
        <f t="shared" si="172"/>
        <v>2</v>
      </c>
      <c r="H508" s="2" t="str">
        <f t="shared" si="162"/>
        <v>--</v>
      </c>
      <c r="I508" s="38">
        <f t="shared" si="165"/>
        <v>0</v>
      </c>
      <c r="J508" s="33">
        <f t="shared" si="166"/>
        <v>61</v>
      </c>
      <c r="K508" s="33">
        <f t="shared" si="182"/>
        <v>0</v>
      </c>
      <c r="L508" s="33">
        <f t="shared" si="182"/>
        <v>0</v>
      </c>
      <c r="M508" s="33">
        <f t="shared" si="182"/>
        <v>0</v>
      </c>
      <c r="N508" s="33">
        <f t="shared" si="163"/>
        <v>0</v>
      </c>
      <c r="O508" s="33">
        <f t="shared" si="182"/>
        <v>0</v>
      </c>
      <c r="P508" s="33">
        <f t="shared" si="182"/>
        <v>0</v>
      </c>
      <c r="Q508" s="33">
        <f t="shared" si="182"/>
        <v>0</v>
      </c>
      <c r="R508" s="35">
        <f t="shared" si="167"/>
        <v>0</v>
      </c>
      <c r="S508" s="35">
        <f t="shared" si="168"/>
        <v>0</v>
      </c>
      <c r="T508" s="35">
        <f t="shared" si="169"/>
        <v>0</v>
      </c>
      <c r="U508" s="35">
        <f t="shared" si="164"/>
        <v>0</v>
      </c>
      <c r="V508" s="35">
        <f t="shared" si="183"/>
        <v>0</v>
      </c>
      <c r="W508" s="35">
        <f t="shared" si="183"/>
        <v>0</v>
      </c>
      <c r="X508" s="35">
        <f t="shared" si="183"/>
        <v>0</v>
      </c>
      <c r="Y508" s="35">
        <f t="shared" si="183"/>
        <v>0</v>
      </c>
      <c r="Z508" s="35">
        <f t="shared" si="183"/>
        <v>0</v>
      </c>
      <c r="AA508" s="35">
        <f t="shared" si="183"/>
        <v>0</v>
      </c>
    </row>
    <row r="509" spans="2:27" x14ac:dyDescent="0.2">
      <c r="B509" s="2">
        <v>507</v>
      </c>
      <c r="C509" s="2" t="str">
        <f t="shared" si="179"/>
        <v>c</v>
      </c>
      <c r="D509" s="29" t="s">
        <v>140</v>
      </c>
      <c r="E509" s="29" t="s">
        <v>219</v>
      </c>
      <c r="F509" s="2" t="s">
        <v>225</v>
      </c>
      <c r="G509" s="2">
        <f t="shared" si="172"/>
        <v>3</v>
      </c>
      <c r="H509" s="2" t="str">
        <f t="shared" si="162"/>
        <v>--</v>
      </c>
      <c r="I509" s="38">
        <f t="shared" si="165"/>
        <v>0</v>
      </c>
      <c r="J509" s="33">
        <f t="shared" si="166"/>
        <v>92</v>
      </c>
      <c r="K509" s="33">
        <f t="shared" si="182"/>
        <v>0</v>
      </c>
      <c r="L509" s="33">
        <f t="shared" si="182"/>
        <v>0</v>
      </c>
      <c r="M509" s="33">
        <f t="shared" si="182"/>
        <v>0</v>
      </c>
      <c r="N509" s="33">
        <f t="shared" si="163"/>
        <v>0</v>
      </c>
      <c r="O509" s="33">
        <f t="shared" si="182"/>
        <v>0</v>
      </c>
      <c r="P509" s="33">
        <f t="shared" si="182"/>
        <v>0</v>
      </c>
      <c r="Q509" s="33">
        <f t="shared" si="182"/>
        <v>0</v>
      </c>
      <c r="R509" s="35">
        <f t="shared" si="167"/>
        <v>0</v>
      </c>
      <c r="S509" s="35">
        <f t="shared" si="168"/>
        <v>0</v>
      </c>
      <c r="T509" s="35">
        <f t="shared" si="169"/>
        <v>0</v>
      </c>
      <c r="U509" s="35">
        <f t="shared" si="164"/>
        <v>0</v>
      </c>
      <c r="V509" s="35">
        <f t="shared" si="183"/>
        <v>0</v>
      </c>
      <c r="W509" s="35">
        <f t="shared" si="183"/>
        <v>0</v>
      </c>
      <c r="X509" s="35">
        <f t="shared" si="183"/>
        <v>0</v>
      </c>
      <c r="Y509" s="35">
        <f t="shared" si="183"/>
        <v>0</v>
      </c>
      <c r="Z509" s="35">
        <f t="shared" si="183"/>
        <v>0</v>
      </c>
      <c r="AA509" s="35">
        <f t="shared" si="183"/>
        <v>0</v>
      </c>
    </row>
    <row r="510" spans="2:27" x14ac:dyDescent="0.2">
      <c r="B510" s="2">
        <v>508</v>
      </c>
      <c r="C510" s="2" t="str">
        <f t="shared" si="179"/>
        <v>c</v>
      </c>
      <c r="D510" s="29" t="s">
        <v>128</v>
      </c>
      <c r="E510" s="29" t="s">
        <v>219</v>
      </c>
      <c r="F510" s="2" t="s">
        <v>225</v>
      </c>
      <c r="G510" s="2">
        <f t="shared" si="172"/>
        <v>4</v>
      </c>
      <c r="H510" s="2" t="str">
        <f t="shared" si="162"/>
        <v>--</v>
      </c>
      <c r="I510" s="38">
        <f t="shared" si="165"/>
        <v>0</v>
      </c>
      <c r="J510" s="33">
        <f t="shared" si="166"/>
        <v>123</v>
      </c>
      <c r="K510" s="33">
        <f t="shared" si="182"/>
        <v>0</v>
      </c>
      <c r="L510" s="33">
        <f t="shared" si="182"/>
        <v>0</v>
      </c>
      <c r="M510" s="33">
        <f t="shared" si="182"/>
        <v>0</v>
      </c>
      <c r="N510" s="33">
        <f t="shared" si="163"/>
        <v>0</v>
      </c>
      <c r="O510" s="33">
        <f t="shared" si="182"/>
        <v>0</v>
      </c>
      <c r="P510" s="33">
        <f t="shared" si="182"/>
        <v>0</v>
      </c>
      <c r="Q510" s="33">
        <f t="shared" si="182"/>
        <v>0</v>
      </c>
      <c r="R510" s="35">
        <f t="shared" si="167"/>
        <v>0</v>
      </c>
      <c r="S510" s="35">
        <f t="shared" si="168"/>
        <v>0</v>
      </c>
      <c r="T510" s="35">
        <f t="shared" si="169"/>
        <v>0</v>
      </c>
      <c r="U510" s="35">
        <f t="shared" si="164"/>
        <v>0</v>
      </c>
      <c r="V510" s="35">
        <f t="shared" si="183"/>
        <v>0</v>
      </c>
      <c r="W510" s="35">
        <f t="shared" si="183"/>
        <v>0</v>
      </c>
      <c r="X510" s="35">
        <f t="shared" si="183"/>
        <v>0</v>
      </c>
      <c r="Y510" s="35">
        <f t="shared" si="183"/>
        <v>0</v>
      </c>
      <c r="Z510" s="35">
        <f t="shared" si="183"/>
        <v>0</v>
      </c>
      <c r="AA510" s="35">
        <f t="shared" si="183"/>
        <v>0</v>
      </c>
    </row>
    <row r="511" spans="2:27" x14ac:dyDescent="0.2">
      <c r="B511" s="2">
        <v>509</v>
      </c>
      <c r="C511" s="2" t="str">
        <f t="shared" si="179"/>
        <v>c</v>
      </c>
      <c r="D511" s="29" t="s">
        <v>140</v>
      </c>
      <c r="E511" s="29" t="s">
        <v>219</v>
      </c>
      <c r="F511" s="2" t="s">
        <v>225</v>
      </c>
      <c r="G511" s="2">
        <f t="shared" si="172"/>
        <v>5</v>
      </c>
      <c r="H511" s="2" t="str">
        <f t="shared" si="162"/>
        <v>--</v>
      </c>
      <c r="I511" s="38">
        <f t="shared" si="165"/>
        <v>0</v>
      </c>
      <c r="J511" s="33">
        <f t="shared" si="166"/>
        <v>153</v>
      </c>
      <c r="K511" s="33">
        <f t="shared" si="182"/>
        <v>0</v>
      </c>
      <c r="L511" s="33">
        <f t="shared" si="182"/>
        <v>0</v>
      </c>
      <c r="M511" s="33">
        <f t="shared" si="182"/>
        <v>0</v>
      </c>
      <c r="N511" s="33">
        <f t="shared" si="163"/>
        <v>0</v>
      </c>
      <c r="O511" s="33">
        <f t="shared" si="182"/>
        <v>0</v>
      </c>
      <c r="P511" s="33">
        <f t="shared" si="182"/>
        <v>0</v>
      </c>
      <c r="Q511" s="33">
        <f t="shared" si="182"/>
        <v>0</v>
      </c>
      <c r="R511" s="35">
        <f t="shared" si="167"/>
        <v>0</v>
      </c>
      <c r="S511" s="35">
        <f t="shared" si="168"/>
        <v>0</v>
      </c>
      <c r="T511" s="35">
        <f t="shared" si="169"/>
        <v>0</v>
      </c>
      <c r="U511" s="35">
        <f t="shared" si="164"/>
        <v>0</v>
      </c>
      <c r="V511" s="35">
        <f t="shared" si="183"/>
        <v>0</v>
      </c>
      <c r="W511" s="35">
        <f t="shared" si="183"/>
        <v>0</v>
      </c>
      <c r="X511" s="35">
        <f t="shared" si="183"/>
        <v>0</v>
      </c>
      <c r="Y511" s="35">
        <f t="shared" si="183"/>
        <v>0</v>
      </c>
      <c r="Z511" s="35">
        <f t="shared" si="183"/>
        <v>0</v>
      </c>
      <c r="AA511" s="35">
        <f t="shared" si="183"/>
        <v>0</v>
      </c>
    </row>
    <row r="512" spans="2:27" x14ac:dyDescent="0.2">
      <c r="B512" s="2">
        <v>510</v>
      </c>
      <c r="C512" s="2" t="str">
        <f t="shared" si="179"/>
        <v>c</v>
      </c>
      <c r="D512" s="29" t="s">
        <v>140</v>
      </c>
      <c r="E512" s="29" t="s">
        <v>219</v>
      </c>
      <c r="F512" s="2" t="s">
        <v>225</v>
      </c>
      <c r="G512" s="2">
        <f t="shared" si="172"/>
        <v>6</v>
      </c>
      <c r="H512" s="2" t="str">
        <f t="shared" si="162"/>
        <v>--</v>
      </c>
      <c r="I512" s="38">
        <f t="shared" si="165"/>
        <v>0</v>
      </c>
      <c r="J512" s="33">
        <f t="shared" si="166"/>
        <v>184</v>
      </c>
      <c r="K512" s="33">
        <f t="shared" si="182"/>
        <v>0</v>
      </c>
      <c r="L512" s="33">
        <f t="shared" si="182"/>
        <v>0</v>
      </c>
      <c r="M512" s="33">
        <f t="shared" si="182"/>
        <v>0</v>
      </c>
      <c r="N512" s="33">
        <f t="shared" si="163"/>
        <v>0</v>
      </c>
      <c r="O512" s="33">
        <f t="shared" si="182"/>
        <v>0</v>
      </c>
      <c r="P512" s="33">
        <f t="shared" si="182"/>
        <v>0</v>
      </c>
      <c r="Q512" s="33">
        <f t="shared" si="182"/>
        <v>0</v>
      </c>
      <c r="R512" s="35">
        <f t="shared" si="167"/>
        <v>0</v>
      </c>
      <c r="S512" s="35">
        <f t="shared" si="168"/>
        <v>0</v>
      </c>
      <c r="T512" s="35">
        <f t="shared" si="169"/>
        <v>0</v>
      </c>
      <c r="U512" s="35">
        <f t="shared" si="164"/>
        <v>0</v>
      </c>
      <c r="V512" s="35">
        <f t="shared" si="183"/>
        <v>0</v>
      </c>
      <c r="W512" s="35">
        <f t="shared" si="183"/>
        <v>0</v>
      </c>
      <c r="X512" s="35">
        <f t="shared" si="183"/>
        <v>0</v>
      </c>
      <c r="Y512" s="35">
        <f t="shared" si="183"/>
        <v>0</v>
      </c>
      <c r="Z512" s="35">
        <f t="shared" si="183"/>
        <v>0</v>
      </c>
      <c r="AA512" s="35">
        <f t="shared" si="183"/>
        <v>0</v>
      </c>
    </row>
    <row r="513" spans="2:27" x14ac:dyDescent="0.2">
      <c r="B513" s="2">
        <v>511</v>
      </c>
      <c r="C513" s="2" t="str">
        <f t="shared" si="179"/>
        <v>c</v>
      </c>
      <c r="D513" s="29" t="s">
        <v>149</v>
      </c>
      <c r="E513" s="29" t="s">
        <v>219</v>
      </c>
      <c r="F513" s="2" t="s">
        <v>225</v>
      </c>
      <c r="G513" s="2">
        <f t="shared" si="172"/>
        <v>7</v>
      </c>
      <c r="H513" s="2" t="str">
        <f t="shared" si="162"/>
        <v>--</v>
      </c>
      <c r="I513" s="38">
        <f t="shared" si="165"/>
        <v>0</v>
      </c>
      <c r="J513" s="33">
        <f t="shared" si="166"/>
        <v>215</v>
      </c>
      <c r="K513" s="33">
        <f t="shared" ref="K513:Q522" si="184">INT((1+VLOOKUP($F513,role_property_weight,getpos(K$2),FALSE))*(1+VLOOKUP($F513,weapon_property_weight,getpos(K$2),FALSE))*VLOOKUP($E513,role_grow,getpos(K$2),FALSE)*$G513*10*VLOOKUP($C513,weapon_grow1,5,FALSE))</f>
        <v>0</v>
      </c>
      <c r="L513" s="33">
        <f t="shared" si="184"/>
        <v>0</v>
      </c>
      <c r="M513" s="33">
        <f t="shared" si="184"/>
        <v>0</v>
      </c>
      <c r="N513" s="33">
        <f t="shared" si="163"/>
        <v>0</v>
      </c>
      <c r="O513" s="33">
        <f t="shared" si="184"/>
        <v>0</v>
      </c>
      <c r="P513" s="33">
        <f t="shared" si="184"/>
        <v>0</v>
      </c>
      <c r="Q513" s="33">
        <f t="shared" si="184"/>
        <v>0</v>
      </c>
      <c r="R513" s="35">
        <f t="shared" si="167"/>
        <v>0</v>
      </c>
      <c r="S513" s="35">
        <f t="shared" si="168"/>
        <v>0</v>
      </c>
      <c r="T513" s="35">
        <f t="shared" si="169"/>
        <v>0</v>
      </c>
      <c r="U513" s="35">
        <f t="shared" si="164"/>
        <v>0</v>
      </c>
      <c r="V513" s="35">
        <f t="shared" ref="V513:AA522" si="185">1-200/(200+ROUND((1+VLOOKUP($F513,role_property_weight,getpos(V$2),FALSE))*VLOOKUP($E513,role_grow,getpos(V$2),FALSE)*$G513*10*VLOOKUP($C513,weapon_grow1,5,FALSE),0))</f>
        <v>0</v>
      </c>
      <c r="W513" s="35">
        <f t="shared" si="185"/>
        <v>0</v>
      </c>
      <c r="X513" s="35">
        <f t="shared" si="185"/>
        <v>0</v>
      </c>
      <c r="Y513" s="35">
        <f t="shared" si="185"/>
        <v>0</v>
      </c>
      <c r="Z513" s="35">
        <f t="shared" si="185"/>
        <v>0</v>
      </c>
      <c r="AA513" s="35">
        <f t="shared" si="185"/>
        <v>0</v>
      </c>
    </row>
    <row r="514" spans="2:27" x14ac:dyDescent="0.2">
      <c r="B514" s="2">
        <v>512</v>
      </c>
      <c r="C514" s="2" t="str">
        <f t="shared" si="179"/>
        <v>c</v>
      </c>
      <c r="D514" s="29" t="s">
        <v>149</v>
      </c>
      <c r="E514" s="29" t="s">
        <v>219</v>
      </c>
      <c r="F514" s="2" t="s">
        <v>225</v>
      </c>
      <c r="G514" s="2">
        <f t="shared" si="172"/>
        <v>8</v>
      </c>
      <c r="H514" s="2" t="str">
        <f t="shared" si="162"/>
        <v>--</v>
      </c>
      <c r="I514" s="38">
        <f t="shared" si="165"/>
        <v>0</v>
      </c>
      <c r="J514" s="33">
        <f t="shared" si="166"/>
        <v>246</v>
      </c>
      <c r="K514" s="33">
        <f t="shared" si="184"/>
        <v>0</v>
      </c>
      <c r="L514" s="33">
        <f t="shared" si="184"/>
        <v>0</v>
      </c>
      <c r="M514" s="33">
        <f t="shared" si="184"/>
        <v>0</v>
      </c>
      <c r="N514" s="33">
        <f t="shared" si="163"/>
        <v>0</v>
      </c>
      <c r="O514" s="33">
        <f t="shared" si="184"/>
        <v>0</v>
      </c>
      <c r="P514" s="33">
        <f t="shared" si="184"/>
        <v>0</v>
      </c>
      <c r="Q514" s="33">
        <f t="shared" si="184"/>
        <v>0</v>
      </c>
      <c r="R514" s="35">
        <f t="shared" si="167"/>
        <v>0</v>
      </c>
      <c r="S514" s="35">
        <f t="shared" si="168"/>
        <v>0</v>
      </c>
      <c r="T514" s="35">
        <f t="shared" si="169"/>
        <v>0</v>
      </c>
      <c r="U514" s="35">
        <f t="shared" si="164"/>
        <v>0</v>
      </c>
      <c r="V514" s="35">
        <f t="shared" si="185"/>
        <v>0</v>
      </c>
      <c r="W514" s="35">
        <f t="shared" si="185"/>
        <v>0</v>
      </c>
      <c r="X514" s="35">
        <f t="shared" si="185"/>
        <v>0</v>
      </c>
      <c r="Y514" s="35">
        <f t="shared" si="185"/>
        <v>0</v>
      </c>
      <c r="Z514" s="35">
        <f t="shared" si="185"/>
        <v>0</v>
      </c>
      <c r="AA514" s="35">
        <f t="shared" si="185"/>
        <v>0</v>
      </c>
    </row>
    <row r="515" spans="2:27" x14ac:dyDescent="0.2">
      <c r="B515" s="2">
        <v>513</v>
      </c>
      <c r="C515" s="2" t="str">
        <f t="shared" si="179"/>
        <v>s</v>
      </c>
      <c r="D515" s="29" t="s">
        <v>150</v>
      </c>
      <c r="E515" s="29" t="s">
        <v>219</v>
      </c>
      <c r="F515" s="2" t="s">
        <v>226</v>
      </c>
      <c r="G515" s="2">
        <f t="shared" si="172"/>
        <v>1</v>
      </c>
      <c r="H515" s="2" t="str">
        <f t="shared" ref="H515:H578" si="186">IF(C515="c","--",VLOOKUP(F515,role_property_weight,17,FALSE))</f>
        <v>物理</v>
      </c>
      <c r="I515" s="38">
        <f t="shared" si="165"/>
        <v>0.1</v>
      </c>
      <c r="J515" s="33">
        <f t="shared" si="166"/>
        <v>20</v>
      </c>
      <c r="K515" s="33">
        <f t="shared" si="184"/>
        <v>11</v>
      </c>
      <c r="L515" s="33">
        <f t="shared" si="184"/>
        <v>2</v>
      </c>
      <c r="M515" s="33">
        <f t="shared" si="184"/>
        <v>8</v>
      </c>
      <c r="N515" s="33">
        <f t="shared" ref="N515:N578" si="187">ROUNDUP((1+VLOOKUP($F515,role_property_weight,getpos(N$2),FALSE))*(1+VLOOKUP($F515,weapon_property_weight,getpos(N$2),FALSE))*VLOOKUP($E515,role_grow,getpos(N$2),FALSE)*$G515*10*VLOOKUP($C515,weapon_grow1,5,FALSE),0)</f>
        <v>19</v>
      </c>
      <c r="O515" s="33">
        <f t="shared" si="184"/>
        <v>9</v>
      </c>
      <c r="P515" s="33">
        <f t="shared" si="184"/>
        <v>4</v>
      </c>
      <c r="Q515" s="33">
        <f t="shared" si="184"/>
        <v>5</v>
      </c>
      <c r="R515" s="35">
        <f t="shared" si="167"/>
        <v>1.6666666666666666E-2</v>
      </c>
      <c r="S515" s="35">
        <f t="shared" si="168"/>
        <v>1.3333333333333332E-2</v>
      </c>
      <c r="T515" s="35">
        <f t="shared" si="169"/>
        <v>1.6666666666666666E-2</v>
      </c>
      <c r="U515" s="35">
        <f t="shared" ref="U515:U578" si="188">1-200/(200+ROUND((1+VLOOKUP($F515,role_property_weight,getpos(U$2),FALSE))*VLOOKUP($E515,role_grow,getpos(U$2),FALSE)*$G515*10*VLOOKUP($C515,weapon_grow1,5,FALSE),0))</f>
        <v>2.4390243902439046E-2</v>
      </c>
      <c r="V515" s="35">
        <f t="shared" si="185"/>
        <v>9.9009900990099098E-3</v>
      </c>
      <c r="W515" s="35">
        <f t="shared" si="185"/>
        <v>9.9009900990099098E-3</v>
      </c>
      <c r="X515" s="35">
        <f t="shared" si="185"/>
        <v>9.9009900990099098E-3</v>
      </c>
      <c r="Y515" s="35">
        <f t="shared" si="185"/>
        <v>9.9009900990099098E-3</v>
      </c>
      <c r="Z515" s="35">
        <f t="shared" si="185"/>
        <v>9.9009900990099098E-3</v>
      </c>
      <c r="AA515" s="35">
        <f t="shared" si="185"/>
        <v>9.9009900990099098E-3</v>
      </c>
    </row>
    <row r="516" spans="2:27" x14ac:dyDescent="0.2">
      <c r="B516" s="2">
        <v>514</v>
      </c>
      <c r="C516" s="2" t="str">
        <f t="shared" si="179"/>
        <v>s</v>
      </c>
      <c r="D516" s="29" t="s">
        <v>168</v>
      </c>
      <c r="E516" s="29" t="s">
        <v>219</v>
      </c>
      <c r="F516" s="2" t="s">
        <v>226</v>
      </c>
      <c r="G516" s="2">
        <f t="shared" si="172"/>
        <v>2</v>
      </c>
      <c r="H516" s="2" t="str">
        <f t="shared" si="186"/>
        <v>物理</v>
      </c>
      <c r="I516" s="38">
        <f t="shared" ref="I516:I579" si="189">IF(H516="--",0,IF((SUM(J516:Q516)/11)%&lt;10%,10%,(SUM(J516:Q516)/11)%))</f>
        <v>0.14636363636363636</v>
      </c>
      <c r="J516" s="33">
        <f t="shared" ref="J516:J579" si="190">INT((1+VLOOKUP($F516,role_property_weight,getpos(J$2),FALSE))*(1+VLOOKUP(F516,weapon_property_weight,getpos(J$2),FALSE))*VLOOKUP($E516,role_grow,getpos(J$2),FALSE)*$G516*10*VLOOKUP($C516,weapon_grow1,4,FALSE))</f>
        <v>41</v>
      </c>
      <c r="K516" s="33">
        <f t="shared" si="184"/>
        <v>23</v>
      </c>
      <c r="L516" s="33">
        <f t="shared" si="184"/>
        <v>5</v>
      </c>
      <c r="M516" s="33">
        <f t="shared" si="184"/>
        <v>17</v>
      </c>
      <c r="N516" s="33">
        <f t="shared" si="187"/>
        <v>38</v>
      </c>
      <c r="O516" s="33">
        <f t="shared" si="184"/>
        <v>18</v>
      </c>
      <c r="P516" s="33">
        <f t="shared" si="184"/>
        <v>8</v>
      </c>
      <c r="Q516" s="33">
        <f t="shared" si="184"/>
        <v>11</v>
      </c>
      <c r="R516" s="35">
        <f t="shared" ref="R516:R579" si="191">(Q516/3)%</f>
        <v>3.6666666666666667E-2</v>
      </c>
      <c r="S516" s="35">
        <f t="shared" ref="S516:S579" si="192">(P516/3)%</f>
        <v>2.6666666666666665E-2</v>
      </c>
      <c r="T516" s="35">
        <f t="shared" ref="T516:T579" si="193">(Q516/3)%</f>
        <v>3.6666666666666667E-2</v>
      </c>
      <c r="U516" s="35">
        <f t="shared" si="188"/>
        <v>4.3062200956937802E-2</v>
      </c>
      <c r="V516" s="35">
        <f t="shared" si="185"/>
        <v>2.4390243902439046E-2</v>
      </c>
      <c r="W516" s="35">
        <f t="shared" si="185"/>
        <v>2.4390243902439046E-2</v>
      </c>
      <c r="X516" s="35">
        <f t="shared" si="185"/>
        <v>2.4390243902439046E-2</v>
      </c>
      <c r="Y516" s="35">
        <f t="shared" si="185"/>
        <v>2.4390243902439046E-2</v>
      </c>
      <c r="Z516" s="35">
        <f t="shared" si="185"/>
        <v>2.4390243902439046E-2</v>
      </c>
      <c r="AA516" s="35">
        <f t="shared" si="185"/>
        <v>2.4390243902439046E-2</v>
      </c>
    </row>
    <row r="517" spans="2:27" x14ac:dyDescent="0.2">
      <c r="B517" s="2">
        <v>515</v>
      </c>
      <c r="C517" s="2" t="str">
        <f t="shared" si="179"/>
        <v>s</v>
      </c>
      <c r="D517" s="29" t="s">
        <v>31</v>
      </c>
      <c r="E517" s="29" t="s">
        <v>219</v>
      </c>
      <c r="F517" s="2" t="s">
        <v>226</v>
      </c>
      <c r="G517" s="2">
        <f t="shared" si="172"/>
        <v>3</v>
      </c>
      <c r="H517" s="2" t="str">
        <f t="shared" si="186"/>
        <v>物理</v>
      </c>
      <c r="I517" s="38">
        <f t="shared" si="189"/>
        <v>0.22272727272727275</v>
      </c>
      <c r="J517" s="33">
        <f t="shared" si="190"/>
        <v>61</v>
      </c>
      <c r="K517" s="33">
        <f t="shared" si="184"/>
        <v>35</v>
      </c>
      <c r="L517" s="33">
        <f t="shared" si="184"/>
        <v>8</v>
      </c>
      <c r="M517" s="33">
        <f t="shared" si="184"/>
        <v>26</v>
      </c>
      <c r="N517" s="33">
        <f t="shared" si="187"/>
        <v>57</v>
      </c>
      <c r="O517" s="33">
        <f t="shared" si="184"/>
        <v>28</v>
      </c>
      <c r="P517" s="33">
        <f t="shared" si="184"/>
        <v>13</v>
      </c>
      <c r="Q517" s="33">
        <f t="shared" si="184"/>
        <v>17</v>
      </c>
      <c r="R517" s="35">
        <f t="shared" si="191"/>
        <v>5.6666666666666671E-2</v>
      </c>
      <c r="S517" s="35">
        <f t="shared" si="192"/>
        <v>4.3333333333333328E-2</v>
      </c>
      <c r="T517" s="35">
        <f t="shared" si="193"/>
        <v>5.6666666666666671E-2</v>
      </c>
      <c r="U517" s="35">
        <f t="shared" si="188"/>
        <v>6.5420560747663559E-2</v>
      </c>
      <c r="V517" s="35">
        <f t="shared" si="185"/>
        <v>3.3816425120772986E-2</v>
      </c>
      <c r="W517" s="35">
        <f t="shared" si="185"/>
        <v>3.3816425120772986E-2</v>
      </c>
      <c r="X517" s="35">
        <f t="shared" si="185"/>
        <v>3.3816425120772986E-2</v>
      </c>
      <c r="Y517" s="35">
        <f t="shared" si="185"/>
        <v>3.3816425120772986E-2</v>
      </c>
      <c r="Z517" s="35">
        <f t="shared" si="185"/>
        <v>3.3816425120772986E-2</v>
      </c>
      <c r="AA517" s="35">
        <f t="shared" si="185"/>
        <v>3.3816425120772986E-2</v>
      </c>
    </row>
    <row r="518" spans="2:27" x14ac:dyDescent="0.2">
      <c r="B518" s="2">
        <v>516</v>
      </c>
      <c r="C518" s="2" t="str">
        <f t="shared" si="179"/>
        <v>s</v>
      </c>
      <c r="D518" s="29" t="s">
        <v>31</v>
      </c>
      <c r="E518" s="29" t="s">
        <v>219</v>
      </c>
      <c r="F518" s="2" t="s">
        <v>226</v>
      </c>
      <c r="G518" s="2">
        <f t="shared" si="172"/>
        <v>4</v>
      </c>
      <c r="H518" s="2" t="str">
        <f t="shared" si="186"/>
        <v>物理</v>
      </c>
      <c r="I518" s="38">
        <f t="shared" si="189"/>
        <v>0.29636363636363638</v>
      </c>
      <c r="J518" s="33">
        <f t="shared" si="190"/>
        <v>82</v>
      </c>
      <c r="K518" s="33">
        <f t="shared" si="184"/>
        <v>47</v>
      </c>
      <c r="L518" s="33">
        <f t="shared" si="184"/>
        <v>10</v>
      </c>
      <c r="M518" s="33">
        <f t="shared" si="184"/>
        <v>35</v>
      </c>
      <c r="N518" s="33">
        <f t="shared" si="187"/>
        <v>76</v>
      </c>
      <c r="O518" s="33">
        <f t="shared" si="184"/>
        <v>37</v>
      </c>
      <c r="P518" s="33">
        <f t="shared" si="184"/>
        <v>17</v>
      </c>
      <c r="Q518" s="33">
        <f t="shared" si="184"/>
        <v>22</v>
      </c>
      <c r="R518" s="35">
        <f t="shared" si="191"/>
        <v>7.3333333333333334E-2</v>
      </c>
      <c r="S518" s="35">
        <f t="shared" si="192"/>
        <v>5.6666666666666671E-2</v>
      </c>
      <c r="T518" s="35">
        <f t="shared" si="193"/>
        <v>7.3333333333333334E-2</v>
      </c>
      <c r="U518" s="35">
        <f t="shared" si="188"/>
        <v>8.6757990867579959E-2</v>
      </c>
      <c r="V518" s="35">
        <f t="shared" si="185"/>
        <v>4.3062200956937802E-2</v>
      </c>
      <c r="W518" s="35">
        <f t="shared" si="185"/>
        <v>4.3062200956937802E-2</v>
      </c>
      <c r="X518" s="35">
        <f t="shared" si="185"/>
        <v>4.3062200956937802E-2</v>
      </c>
      <c r="Y518" s="35">
        <f t="shared" si="185"/>
        <v>4.3062200956937802E-2</v>
      </c>
      <c r="Z518" s="35">
        <f t="shared" si="185"/>
        <v>4.3062200956937802E-2</v>
      </c>
      <c r="AA518" s="35">
        <f t="shared" si="185"/>
        <v>4.3062200956937802E-2</v>
      </c>
    </row>
    <row r="519" spans="2:27" x14ac:dyDescent="0.2">
      <c r="B519" s="2">
        <v>517</v>
      </c>
      <c r="C519" s="2" t="str">
        <f t="shared" si="179"/>
        <v>s</v>
      </c>
      <c r="D519" s="29" t="s">
        <v>31</v>
      </c>
      <c r="E519" s="29" t="s">
        <v>219</v>
      </c>
      <c r="F519" s="2" t="s">
        <v>226</v>
      </c>
      <c r="G519" s="2">
        <f t="shared" si="172"/>
        <v>5</v>
      </c>
      <c r="H519" s="2" t="str">
        <f t="shared" si="186"/>
        <v>物理</v>
      </c>
      <c r="I519" s="38">
        <f t="shared" si="189"/>
        <v>0.37181818181818183</v>
      </c>
      <c r="J519" s="33">
        <f t="shared" si="190"/>
        <v>102</v>
      </c>
      <c r="K519" s="33">
        <f t="shared" si="184"/>
        <v>58</v>
      </c>
      <c r="L519" s="33">
        <f t="shared" si="184"/>
        <v>13</v>
      </c>
      <c r="M519" s="33">
        <f t="shared" si="184"/>
        <v>44</v>
      </c>
      <c r="N519" s="33">
        <f t="shared" si="187"/>
        <v>95</v>
      </c>
      <c r="O519" s="33">
        <f t="shared" si="184"/>
        <v>47</v>
      </c>
      <c r="P519" s="33">
        <f t="shared" si="184"/>
        <v>22</v>
      </c>
      <c r="Q519" s="33">
        <f t="shared" si="184"/>
        <v>28</v>
      </c>
      <c r="R519" s="35">
        <f t="shared" si="191"/>
        <v>9.3333333333333338E-2</v>
      </c>
      <c r="S519" s="35">
        <f t="shared" si="192"/>
        <v>7.3333333333333334E-2</v>
      </c>
      <c r="T519" s="35">
        <f t="shared" si="193"/>
        <v>9.3333333333333338E-2</v>
      </c>
      <c r="U519" s="35">
        <f t="shared" si="188"/>
        <v>0.1071428571428571</v>
      </c>
      <c r="V519" s="35">
        <f t="shared" si="185"/>
        <v>5.6603773584905648E-2</v>
      </c>
      <c r="W519" s="35">
        <f t="shared" si="185"/>
        <v>5.6603773584905648E-2</v>
      </c>
      <c r="X519" s="35">
        <f t="shared" si="185"/>
        <v>5.6603773584905648E-2</v>
      </c>
      <c r="Y519" s="35">
        <f t="shared" si="185"/>
        <v>5.6603773584905648E-2</v>
      </c>
      <c r="Z519" s="35">
        <f t="shared" si="185"/>
        <v>5.6603773584905648E-2</v>
      </c>
      <c r="AA519" s="35">
        <f t="shared" si="185"/>
        <v>5.6603773584905648E-2</v>
      </c>
    </row>
    <row r="520" spans="2:27" x14ac:dyDescent="0.2">
      <c r="B520" s="2">
        <v>518</v>
      </c>
      <c r="C520" s="2" t="str">
        <f t="shared" si="179"/>
        <v>s</v>
      </c>
      <c r="D520" s="29" t="s">
        <v>31</v>
      </c>
      <c r="E520" s="29" t="s">
        <v>219</v>
      </c>
      <c r="F520" s="2" t="s">
        <v>226</v>
      </c>
      <c r="G520" s="2">
        <f t="shared" si="172"/>
        <v>6</v>
      </c>
      <c r="H520" s="2" t="str">
        <f t="shared" si="186"/>
        <v>物理</v>
      </c>
      <c r="I520" s="38">
        <f t="shared" si="189"/>
        <v>0.44636363636363635</v>
      </c>
      <c r="J520" s="33">
        <f t="shared" si="190"/>
        <v>123</v>
      </c>
      <c r="K520" s="33">
        <f t="shared" si="184"/>
        <v>70</v>
      </c>
      <c r="L520" s="33">
        <f t="shared" si="184"/>
        <v>16</v>
      </c>
      <c r="M520" s="33">
        <f t="shared" si="184"/>
        <v>53</v>
      </c>
      <c r="N520" s="33">
        <f t="shared" si="187"/>
        <v>113</v>
      </c>
      <c r="O520" s="33">
        <f t="shared" si="184"/>
        <v>56</v>
      </c>
      <c r="P520" s="33">
        <f t="shared" si="184"/>
        <v>26</v>
      </c>
      <c r="Q520" s="33">
        <f t="shared" si="184"/>
        <v>34</v>
      </c>
      <c r="R520" s="35">
        <f t="shared" si="191"/>
        <v>0.11333333333333334</v>
      </c>
      <c r="S520" s="35">
        <f t="shared" si="192"/>
        <v>8.6666666666666656E-2</v>
      </c>
      <c r="T520" s="35">
        <f t="shared" si="193"/>
        <v>0.11333333333333334</v>
      </c>
      <c r="U520" s="35">
        <f t="shared" si="188"/>
        <v>0.1228070175438597</v>
      </c>
      <c r="V520" s="35">
        <f t="shared" si="185"/>
        <v>6.5420560747663559E-2</v>
      </c>
      <c r="W520" s="35">
        <f t="shared" si="185"/>
        <v>6.5420560747663559E-2</v>
      </c>
      <c r="X520" s="35">
        <f t="shared" si="185"/>
        <v>6.5420560747663559E-2</v>
      </c>
      <c r="Y520" s="35">
        <f t="shared" si="185"/>
        <v>6.5420560747663559E-2</v>
      </c>
      <c r="Z520" s="35">
        <f t="shared" si="185"/>
        <v>6.5420560747663559E-2</v>
      </c>
      <c r="AA520" s="35">
        <f t="shared" si="185"/>
        <v>6.5420560747663559E-2</v>
      </c>
    </row>
    <row r="521" spans="2:27" x14ac:dyDescent="0.2">
      <c r="B521" s="2">
        <v>519</v>
      </c>
      <c r="C521" s="2" t="str">
        <f t="shared" si="179"/>
        <v>s</v>
      </c>
      <c r="D521" s="29" t="s">
        <v>134</v>
      </c>
      <c r="E521" s="29" t="s">
        <v>219</v>
      </c>
      <c r="F521" s="2" t="s">
        <v>226</v>
      </c>
      <c r="G521" s="2">
        <f t="shared" si="172"/>
        <v>7</v>
      </c>
      <c r="H521" s="2" t="str">
        <f t="shared" si="186"/>
        <v>物理</v>
      </c>
      <c r="I521" s="38">
        <f t="shared" si="189"/>
        <v>0.52</v>
      </c>
      <c r="J521" s="33">
        <f t="shared" si="190"/>
        <v>143</v>
      </c>
      <c r="K521" s="33">
        <f t="shared" si="184"/>
        <v>82</v>
      </c>
      <c r="L521" s="33">
        <f t="shared" si="184"/>
        <v>18</v>
      </c>
      <c r="M521" s="33">
        <f t="shared" si="184"/>
        <v>62</v>
      </c>
      <c r="N521" s="33">
        <f t="shared" si="187"/>
        <v>132</v>
      </c>
      <c r="O521" s="33">
        <f t="shared" si="184"/>
        <v>65</v>
      </c>
      <c r="P521" s="33">
        <f t="shared" si="184"/>
        <v>31</v>
      </c>
      <c r="Q521" s="33">
        <f t="shared" si="184"/>
        <v>39</v>
      </c>
      <c r="R521" s="35">
        <f t="shared" si="191"/>
        <v>0.13</v>
      </c>
      <c r="S521" s="35">
        <f t="shared" si="192"/>
        <v>0.10333333333333333</v>
      </c>
      <c r="T521" s="35">
        <f t="shared" si="193"/>
        <v>0.13</v>
      </c>
      <c r="U521" s="35">
        <f t="shared" si="188"/>
        <v>0.14163090128755362</v>
      </c>
      <c r="V521" s="35">
        <f t="shared" si="185"/>
        <v>7.407407407407407E-2</v>
      </c>
      <c r="W521" s="35">
        <f t="shared" si="185"/>
        <v>7.407407407407407E-2</v>
      </c>
      <c r="X521" s="35">
        <f t="shared" si="185"/>
        <v>7.407407407407407E-2</v>
      </c>
      <c r="Y521" s="35">
        <f t="shared" si="185"/>
        <v>7.407407407407407E-2</v>
      </c>
      <c r="Z521" s="35">
        <f t="shared" si="185"/>
        <v>7.407407407407407E-2</v>
      </c>
      <c r="AA521" s="35">
        <f t="shared" si="185"/>
        <v>7.407407407407407E-2</v>
      </c>
    </row>
    <row r="522" spans="2:27" x14ac:dyDescent="0.2">
      <c r="B522" s="2">
        <v>520</v>
      </c>
      <c r="C522" s="2" t="str">
        <f t="shared" si="179"/>
        <v>s</v>
      </c>
      <c r="D522" s="29" t="s">
        <v>31</v>
      </c>
      <c r="E522" s="29" t="s">
        <v>219</v>
      </c>
      <c r="F522" s="2" t="s">
        <v>226</v>
      </c>
      <c r="G522" s="2">
        <f t="shared" si="172"/>
        <v>8</v>
      </c>
      <c r="H522" s="2" t="str">
        <f t="shared" si="186"/>
        <v>物理</v>
      </c>
      <c r="I522" s="38">
        <f t="shared" si="189"/>
        <v>0.59636363636363632</v>
      </c>
      <c r="J522" s="33">
        <f t="shared" si="190"/>
        <v>164</v>
      </c>
      <c r="K522" s="33">
        <f t="shared" si="184"/>
        <v>94</v>
      </c>
      <c r="L522" s="33">
        <f t="shared" si="184"/>
        <v>21</v>
      </c>
      <c r="M522" s="33">
        <f t="shared" si="184"/>
        <v>71</v>
      </c>
      <c r="N522" s="33">
        <f t="shared" si="187"/>
        <v>151</v>
      </c>
      <c r="O522" s="33">
        <f t="shared" si="184"/>
        <v>75</v>
      </c>
      <c r="P522" s="33">
        <f t="shared" si="184"/>
        <v>35</v>
      </c>
      <c r="Q522" s="33">
        <f t="shared" si="184"/>
        <v>45</v>
      </c>
      <c r="R522" s="35">
        <f t="shared" si="191"/>
        <v>0.15</v>
      </c>
      <c r="S522" s="35">
        <f t="shared" si="192"/>
        <v>0.11666666666666665</v>
      </c>
      <c r="T522" s="35">
        <f t="shared" si="193"/>
        <v>0.15</v>
      </c>
      <c r="U522" s="35">
        <f t="shared" si="188"/>
        <v>0.15966386554621848</v>
      </c>
      <c r="V522" s="35">
        <f t="shared" si="185"/>
        <v>8.6757990867579959E-2</v>
      </c>
      <c r="W522" s="35">
        <f t="shared" si="185"/>
        <v>8.6757990867579959E-2</v>
      </c>
      <c r="X522" s="35">
        <f t="shared" si="185"/>
        <v>8.6757990867579959E-2</v>
      </c>
      <c r="Y522" s="35">
        <f t="shared" si="185"/>
        <v>8.6757990867579959E-2</v>
      </c>
      <c r="Z522" s="35">
        <f t="shared" si="185"/>
        <v>8.6757990867579959E-2</v>
      </c>
      <c r="AA522" s="35">
        <f t="shared" si="185"/>
        <v>8.6757990867579959E-2</v>
      </c>
    </row>
    <row r="523" spans="2:27" x14ac:dyDescent="0.2">
      <c r="B523" s="2">
        <v>521</v>
      </c>
      <c r="C523" s="2" t="str">
        <f t="shared" si="179"/>
        <v>a</v>
      </c>
      <c r="D523" s="29" t="s">
        <v>31</v>
      </c>
      <c r="E523" s="29" t="s">
        <v>219</v>
      </c>
      <c r="F523" s="2" t="s">
        <v>226</v>
      </c>
      <c r="G523" s="2">
        <f t="shared" si="172"/>
        <v>1</v>
      </c>
      <c r="H523" s="2" t="str">
        <f t="shared" si="186"/>
        <v>物理</v>
      </c>
      <c r="I523" s="38">
        <f t="shared" si="189"/>
        <v>0.1</v>
      </c>
      <c r="J523" s="33">
        <f t="shared" si="190"/>
        <v>15</v>
      </c>
      <c r="K523" s="33">
        <f t="shared" ref="K523:Q532" si="194">INT((1+VLOOKUP($F523,role_property_weight,getpos(K$2),FALSE))*(1+VLOOKUP($F523,weapon_property_weight,getpos(K$2),FALSE))*VLOOKUP($E523,role_grow,getpos(K$2),FALSE)*$G523*10*VLOOKUP($C523,weapon_grow1,5,FALSE))</f>
        <v>12</v>
      </c>
      <c r="L523" s="33">
        <f t="shared" si="194"/>
        <v>2</v>
      </c>
      <c r="M523" s="33">
        <f t="shared" si="194"/>
        <v>9</v>
      </c>
      <c r="N523" s="33">
        <f t="shared" si="187"/>
        <v>20</v>
      </c>
      <c r="O523" s="33">
        <f t="shared" si="194"/>
        <v>9</v>
      </c>
      <c r="P523" s="33">
        <f t="shared" si="194"/>
        <v>4</v>
      </c>
      <c r="Q523" s="33">
        <f t="shared" si="194"/>
        <v>5</v>
      </c>
      <c r="R523" s="35">
        <f t="shared" si="191"/>
        <v>1.6666666666666666E-2</v>
      </c>
      <c r="S523" s="35">
        <f t="shared" si="192"/>
        <v>1.3333333333333332E-2</v>
      </c>
      <c r="T523" s="35">
        <f t="shared" si="193"/>
        <v>1.6666666666666666E-2</v>
      </c>
      <c r="U523" s="35">
        <f t="shared" si="188"/>
        <v>2.4390243902439046E-2</v>
      </c>
      <c r="V523" s="35">
        <f t="shared" ref="V523:AA532" si="195">1-200/(200+ROUND((1+VLOOKUP($F523,role_property_weight,getpos(V$2),FALSE))*VLOOKUP($E523,role_grow,getpos(V$2),FALSE)*$G523*10*VLOOKUP($C523,weapon_grow1,5,FALSE),0))</f>
        <v>9.9009900990099098E-3</v>
      </c>
      <c r="W523" s="35">
        <f t="shared" si="195"/>
        <v>9.9009900990099098E-3</v>
      </c>
      <c r="X523" s="35">
        <f t="shared" si="195"/>
        <v>9.9009900990099098E-3</v>
      </c>
      <c r="Y523" s="35">
        <f t="shared" si="195"/>
        <v>9.9009900990099098E-3</v>
      </c>
      <c r="Z523" s="35">
        <f t="shared" si="195"/>
        <v>9.9009900990099098E-3</v>
      </c>
      <c r="AA523" s="35">
        <f t="shared" si="195"/>
        <v>9.9009900990099098E-3</v>
      </c>
    </row>
    <row r="524" spans="2:27" x14ac:dyDescent="0.2">
      <c r="B524" s="2">
        <v>522</v>
      </c>
      <c r="C524" s="2" t="str">
        <f t="shared" si="179"/>
        <v>a</v>
      </c>
      <c r="D524" s="29" t="s">
        <v>31</v>
      </c>
      <c r="E524" s="29" t="s">
        <v>219</v>
      </c>
      <c r="F524" s="2" t="s">
        <v>226</v>
      </c>
      <c r="G524" s="2">
        <f t="shared" ref="G524:G587" si="196">G516</f>
        <v>2</v>
      </c>
      <c r="H524" s="2" t="str">
        <f t="shared" si="186"/>
        <v>物理</v>
      </c>
      <c r="I524" s="38">
        <f t="shared" si="189"/>
        <v>0.14272727272727273</v>
      </c>
      <c r="J524" s="33">
        <f t="shared" si="190"/>
        <v>31</v>
      </c>
      <c r="K524" s="33">
        <f t="shared" si="194"/>
        <v>24</v>
      </c>
      <c r="L524" s="33">
        <f t="shared" si="194"/>
        <v>5</v>
      </c>
      <c r="M524" s="33">
        <f t="shared" si="194"/>
        <v>18</v>
      </c>
      <c r="N524" s="33">
        <f t="shared" si="187"/>
        <v>40</v>
      </c>
      <c r="O524" s="33">
        <f t="shared" si="194"/>
        <v>19</v>
      </c>
      <c r="P524" s="33">
        <f t="shared" si="194"/>
        <v>9</v>
      </c>
      <c r="Q524" s="33">
        <f t="shared" si="194"/>
        <v>11</v>
      </c>
      <c r="R524" s="35">
        <f t="shared" si="191"/>
        <v>3.6666666666666667E-2</v>
      </c>
      <c r="S524" s="35">
        <f t="shared" si="192"/>
        <v>0.03</v>
      </c>
      <c r="T524" s="35">
        <f t="shared" si="193"/>
        <v>3.6666666666666667E-2</v>
      </c>
      <c r="U524" s="35">
        <f t="shared" si="188"/>
        <v>4.7619047619047672E-2</v>
      </c>
      <c r="V524" s="35">
        <f t="shared" si="195"/>
        <v>2.4390243902439046E-2</v>
      </c>
      <c r="W524" s="35">
        <f t="shared" si="195"/>
        <v>2.4390243902439046E-2</v>
      </c>
      <c r="X524" s="35">
        <f t="shared" si="195"/>
        <v>2.4390243902439046E-2</v>
      </c>
      <c r="Y524" s="35">
        <f t="shared" si="195"/>
        <v>2.4390243902439046E-2</v>
      </c>
      <c r="Z524" s="35">
        <f t="shared" si="195"/>
        <v>2.4390243902439046E-2</v>
      </c>
      <c r="AA524" s="35">
        <f t="shared" si="195"/>
        <v>2.4390243902439046E-2</v>
      </c>
    </row>
    <row r="525" spans="2:27" x14ac:dyDescent="0.2">
      <c r="B525" s="2">
        <v>523</v>
      </c>
      <c r="C525" s="2" t="str">
        <f t="shared" si="179"/>
        <v>a</v>
      </c>
      <c r="D525" s="29" t="s">
        <v>31</v>
      </c>
      <c r="E525" s="29" t="s">
        <v>219</v>
      </c>
      <c r="F525" s="2" t="s">
        <v>226</v>
      </c>
      <c r="G525" s="2">
        <f t="shared" si="196"/>
        <v>3</v>
      </c>
      <c r="H525" s="2" t="str">
        <f t="shared" si="186"/>
        <v>物理</v>
      </c>
      <c r="I525" s="38">
        <f t="shared" si="189"/>
        <v>0.21818181818181817</v>
      </c>
      <c r="J525" s="33">
        <f t="shared" si="190"/>
        <v>47</v>
      </c>
      <c r="K525" s="33">
        <f t="shared" si="194"/>
        <v>37</v>
      </c>
      <c r="L525" s="33">
        <f t="shared" si="194"/>
        <v>8</v>
      </c>
      <c r="M525" s="33">
        <f t="shared" si="194"/>
        <v>28</v>
      </c>
      <c r="N525" s="33">
        <f t="shared" si="187"/>
        <v>60</v>
      </c>
      <c r="O525" s="33">
        <f t="shared" si="194"/>
        <v>29</v>
      </c>
      <c r="P525" s="33">
        <f t="shared" si="194"/>
        <v>14</v>
      </c>
      <c r="Q525" s="33">
        <f t="shared" si="194"/>
        <v>17</v>
      </c>
      <c r="R525" s="35">
        <f t="shared" si="191"/>
        <v>5.6666666666666671E-2</v>
      </c>
      <c r="S525" s="35">
        <f t="shared" si="192"/>
        <v>4.6666666666666669E-2</v>
      </c>
      <c r="T525" s="35">
        <f t="shared" si="193"/>
        <v>5.6666666666666671E-2</v>
      </c>
      <c r="U525" s="35">
        <f t="shared" si="188"/>
        <v>6.9767441860465129E-2</v>
      </c>
      <c r="V525" s="35">
        <f t="shared" si="195"/>
        <v>3.3816425120772986E-2</v>
      </c>
      <c r="W525" s="35">
        <f t="shared" si="195"/>
        <v>3.3816425120772986E-2</v>
      </c>
      <c r="X525" s="35">
        <f t="shared" si="195"/>
        <v>3.3816425120772986E-2</v>
      </c>
      <c r="Y525" s="35">
        <f t="shared" si="195"/>
        <v>3.3816425120772986E-2</v>
      </c>
      <c r="Z525" s="35">
        <f t="shared" si="195"/>
        <v>3.3816425120772986E-2</v>
      </c>
      <c r="AA525" s="35">
        <f t="shared" si="195"/>
        <v>3.3816425120772986E-2</v>
      </c>
    </row>
    <row r="526" spans="2:27" x14ac:dyDescent="0.2">
      <c r="B526" s="2">
        <v>524</v>
      </c>
      <c r="C526" s="2" t="str">
        <f t="shared" si="179"/>
        <v>a</v>
      </c>
      <c r="D526" s="29" t="s">
        <v>31</v>
      </c>
      <c r="E526" s="29" t="s">
        <v>219</v>
      </c>
      <c r="F526" s="2" t="s">
        <v>226</v>
      </c>
      <c r="G526" s="2">
        <f t="shared" si="196"/>
        <v>4</v>
      </c>
      <c r="H526" s="2" t="str">
        <f t="shared" si="186"/>
        <v>物理</v>
      </c>
      <c r="I526" s="38">
        <f t="shared" si="189"/>
        <v>0.28999999999999998</v>
      </c>
      <c r="J526" s="33">
        <f t="shared" si="190"/>
        <v>62</v>
      </c>
      <c r="K526" s="33">
        <f t="shared" si="194"/>
        <v>49</v>
      </c>
      <c r="L526" s="33">
        <f t="shared" si="194"/>
        <v>11</v>
      </c>
      <c r="M526" s="33">
        <f t="shared" si="194"/>
        <v>37</v>
      </c>
      <c r="N526" s="33">
        <f t="shared" si="187"/>
        <v>80</v>
      </c>
      <c r="O526" s="33">
        <f t="shared" si="194"/>
        <v>39</v>
      </c>
      <c r="P526" s="33">
        <f t="shared" si="194"/>
        <v>18</v>
      </c>
      <c r="Q526" s="33">
        <f t="shared" si="194"/>
        <v>23</v>
      </c>
      <c r="R526" s="35">
        <f t="shared" si="191"/>
        <v>7.6666666666666675E-2</v>
      </c>
      <c r="S526" s="35">
        <f t="shared" si="192"/>
        <v>0.06</v>
      </c>
      <c r="T526" s="35">
        <f t="shared" si="193"/>
        <v>7.6666666666666675E-2</v>
      </c>
      <c r="U526" s="35">
        <f t="shared" si="188"/>
        <v>9.0909090909090939E-2</v>
      </c>
      <c r="V526" s="35">
        <f t="shared" si="195"/>
        <v>4.7619047619047672E-2</v>
      </c>
      <c r="W526" s="35">
        <f t="shared" si="195"/>
        <v>4.7619047619047672E-2</v>
      </c>
      <c r="X526" s="35">
        <f t="shared" si="195"/>
        <v>4.7619047619047672E-2</v>
      </c>
      <c r="Y526" s="35">
        <f t="shared" si="195"/>
        <v>4.7619047619047672E-2</v>
      </c>
      <c r="Z526" s="35">
        <f t="shared" si="195"/>
        <v>4.7619047619047672E-2</v>
      </c>
      <c r="AA526" s="35">
        <f t="shared" si="195"/>
        <v>4.7619047619047672E-2</v>
      </c>
    </row>
    <row r="527" spans="2:27" x14ac:dyDescent="0.2">
      <c r="B527" s="2">
        <v>525</v>
      </c>
      <c r="C527" s="2" t="str">
        <f t="shared" si="179"/>
        <v>a</v>
      </c>
      <c r="D527" s="29" t="s">
        <v>31</v>
      </c>
      <c r="E527" s="29" t="s">
        <v>219</v>
      </c>
      <c r="F527" s="2" t="s">
        <v>226</v>
      </c>
      <c r="G527" s="2">
        <f t="shared" si="196"/>
        <v>5</v>
      </c>
      <c r="H527" s="2" t="str">
        <f t="shared" si="186"/>
        <v>物理</v>
      </c>
      <c r="I527" s="38">
        <f t="shared" si="189"/>
        <v>0.36454545454545451</v>
      </c>
      <c r="J527" s="33">
        <f t="shared" si="190"/>
        <v>78</v>
      </c>
      <c r="K527" s="33">
        <f t="shared" si="194"/>
        <v>62</v>
      </c>
      <c r="L527" s="33">
        <f t="shared" si="194"/>
        <v>14</v>
      </c>
      <c r="M527" s="33">
        <f t="shared" si="194"/>
        <v>46</v>
      </c>
      <c r="N527" s="33">
        <f t="shared" si="187"/>
        <v>100</v>
      </c>
      <c r="O527" s="33">
        <f t="shared" si="194"/>
        <v>49</v>
      </c>
      <c r="P527" s="33">
        <f t="shared" si="194"/>
        <v>23</v>
      </c>
      <c r="Q527" s="33">
        <f t="shared" si="194"/>
        <v>29</v>
      </c>
      <c r="R527" s="35">
        <f t="shared" si="191"/>
        <v>9.6666666666666665E-2</v>
      </c>
      <c r="S527" s="35">
        <f t="shared" si="192"/>
        <v>7.6666666666666675E-2</v>
      </c>
      <c r="T527" s="35">
        <f t="shared" si="193"/>
        <v>9.6666666666666665E-2</v>
      </c>
      <c r="U527" s="35">
        <f t="shared" si="188"/>
        <v>0.11111111111111116</v>
      </c>
      <c r="V527" s="35">
        <f t="shared" si="195"/>
        <v>5.6603773584905648E-2</v>
      </c>
      <c r="W527" s="35">
        <f t="shared" si="195"/>
        <v>5.6603773584905648E-2</v>
      </c>
      <c r="X527" s="35">
        <f t="shared" si="195"/>
        <v>5.6603773584905648E-2</v>
      </c>
      <c r="Y527" s="35">
        <f t="shared" si="195"/>
        <v>5.6603773584905648E-2</v>
      </c>
      <c r="Z527" s="35">
        <f t="shared" si="195"/>
        <v>5.6603773584905648E-2</v>
      </c>
      <c r="AA527" s="35">
        <f t="shared" si="195"/>
        <v>5.6603773584905648E-2</v>
      </c>
    </row>
    <row r="528" spans="2:27" x14ac:dyDescent="0.2">
      <c r="B528" s="2">
        <v>526</v>
      </c>
      <c r="C528" s="2" t="str">
        <f t="shared" si="179"/>
        <v>a</v>
      </c>
      <c r="D528" s="29" t="s">
        <v>31</v>
      </c>
      <c r="E528" s="29" t="s">
        <v>219</v>
      </c>
      <c r="F528" s="2" t="s">
        <v>226</v>
      </c>
      <c r="G528" s="2">
        <f t="shared" si="196"/>
        <v>6</v>
      </c>
      <c r="H528" s="2" t="str">
        <f t="shared" si="186"/>
        <v>物理</v>
      </c>
      <c r="I528" s="38">
        <f t="shared" si="189"/>
        <v>0.43818181818181823</v>
      </c>
      <c r="J528" s="33">
        <f t="shared" si="190"/>
        <v>94</v>
      </c>
      <c r="K528" s="33">
        <f t="shared" si="194"/>
        <v>74</v>
      </c>
      <c r="L528" s="33">
        <f t="shared" si="194"/>
        <v>16</v>
      </c>
      <c r="M528" s="33">
        <f t="shared" si="194"/>
        <v>56</v>
      </c>
      <c r="N528" s="33">
        <f t="shared" si="187"/>
        <v>120</v>
      </c>
      <c r="O528" s="33">
        <f t="shared" si="194"/>
        <v>59</v>
      </c>
      <c r="P528" s="33">
        <f t="shared" si="194"/>
        <v>28</v>
      </c>
      <c r="Q528" s="33">
        <f t="shared" si="194"/>
        <v>35</v>
      </c>
      <c r="R528" s="35">
        <f t="shared" si="191"/>
        <v>0.11666666666666665</v>
      </c>
      <c r="S528" s="35">
        <f t="shared" si="192"/>
        <v>9.3333333333333338E-2</v>
      </c>
      <c r="T528" s="35">
        <f t="shared" si="193"/>
        <v>0.11666666666666665</v>
      </c>
      <c r="U528" s="35">
        <f t="shared" si="188"/>
        <v>0.13043478260869568</v>
      </c>
      <c r="V528" s="35">
        <f t="shared" si="195"/>
        <v>6.9767441860465129E-2</v>
      </c>
      <c r="W528" s="35">
        <f t="shared" si="195"/>
        <v>6.9767441860465129E-2</v>
      </c>
      <c r="X528" s="35">
        <f t="shared" si="195"/>
        <v>6.9767441860465129E-2</v>
      </c>
      <c r="Y528" s="35">
        <f t="shared" si="195"/>
        <v>6.9767441860465129E-2</v>
      </c>
      <c r="Z528" s="35">
        <f t="shared" si="195"/>
        <v>6.9767441860465129E-2</v>
      </c>
      <c r="AA528" s="35">
        <f t="shared" si="195"/>
        <v>6.9767441860465129E-2</v>
      </c>
    </row>
    <row r="529" spans="2:27" x14ac:dyDescent="0.2">
      <c r="B529" s="2">
        <v>527</v>
      </c>
      <c r="C529" s="2" t="str">
        <f t="shared" si="179"/>
        <v>a</v>
      </c>
      <c r="D529" s="29" t="s">
        <v>31</v>
      </c>
      <c r="E529" s="29" t="s">
        <v>219</v>
      </c>
      <c r="F529" s="2" t="s">
        <v>226</v>
      </c>
      <c r="G529" s="2">
        <f t="shared" si="196"/>
        <v>7</v>
      </c>
      <c r="H529" s="2" t="str">
        <f t="shared" si="186"/>
        <v>物理</v>
      </c>
      <c r="I529" s="38">
        <f t="shared" si="189"/>
        <v>0.51</v>
      </c>
      <c r="J529" s="33">
        <f t="shared" si="190"/>
        <v>110</v>
      </c>
      <c r="K529" s="33">
        <f t="shared" si="194"/>
        <v>86</v>
      </c>
      <c r="L529" s="33">
        <f t="shared" si="194"/>
        <v>19</v>
      </c>
      <c r="M529" s="33">
        <f t="shared" si="194"/>
        <v>65</v>
      </c>
      <c r="N529" s="33">
        <f t="shared" si="187"/>
        <v>139</v>
      </c>
      <c r="O529" s="33">
        <f t="shared" si="194"/>
        <v>69</v>
      </c>
      <c r="P529" s="33">
        <f t="shared" si="194"/>
        <v>32</v>
      </c>
      <c r="Q529" s="33">
        <f t="shared" si="194"/>
        <v>41</v>
      </c>
      <c r="R529" s="35">
        <f t="shared" si="191"/>
        <v>0.13666666666666666</v>
      </c>
      <c r="S529" s="35">
        <f t="shared" si="192"/>
        <v>0.10666666666666666</v>
      </c>
      <c r="T529" s="35">
        <f t="shared" si="193"/>
        <v>0.13666666666666666</v>
      </c>
      <c r="U529" s="35">
        <f t="shared" si="188"/>
        <v>0.14893617021276595</v>
      </c>
      <c r="V529" s="35">
        <f t="shared" si="195"/>
        <v>7.8341013824884786E-2</v>
      </c>
      <c r="W529" s="35">
        <f t="shared" si="195"/>
        <v>7.8341013824884786E-2</v>
      </c>
      <c r="X529" s="35">
        <f t="shared" si="195"/>
        <v>7.8341013824884786E-2</v>
      </c>
      <c r="Y529" s="35">
        <f t="shared" si="195"/>
        <v>7.8341013824884786E-2</v>
      </c>
      <c r="Z529" s="35">
        <f t="shared" si="195"/>
        <v>7.8341013824884786E-2</v>
      </c>
      <c r="AA529" s="35">
        <f t="shared" si="195"/>
        <v>7.8341013824884786E-2</v>
      </c>
    </row>
    <row r="530" spans="2:27" x14ac:dyDescent="0.2">
      <c r="B530" s="2">
        <v>528</v>
      </c>
      <c r="C530" s="2" t="str">
        <f t="shared" si="179"/>
        <v>a</v>
      </c>
      <c r="D530" s="29" t="s">
        <v>31</v>
      </c>
      <c r="E530" s="29" t="s">
        <v>219</v>
      </c>
      <c r="F530" s="2" t="s">
        <v>226</v>
      </c>
      <c r="G530" s="2">
        <f t="shared" si="196"/>
        <v>8</v>
      </c>
      <c r="H530" s="2" t="str">
        <f t="shared" si="186"/>
        <v>物理</v>
      </c>
      <c r="I530" s="38">
        <f t="shared" si="189"/>
        <v>0.58363636363636362</v>
      </c>
      <c r="J530" s="33">
        <f t="shared" si="190"/>
        <v>125</v>
      </c>
      <c r="K530" s="33">
        <f t="shared" si="194"/>
        <v>99</v>
      </c>
      <c r="L530" s="33">
        <f t="shared" si="194"/>
        <v>22</v>
      </c>
      <c r="M530" s="33">
        <f t="shared" si="194"/>
        <v>74</v>
      </c>
      <c r="N530" s="33">
        <f t="shared" si="187"/>
        <v>159</v>
      </c>
      <c r="O530" s="33">
        <f t="shared" si="194"/>
        <v>79</v>
      </c>
      <c r="P530" s="33">
        <f t="shared" si="194"/>
        <v>37</v>
      </c>
      <c r="Q530" s="33">
        <f t="shared" si="194"/>
        <v>47</v>
      </c>
      <c r="R530" s="35">
        <f t="shared" si="191"/>
        <v>0.15666666666666665</v>
      </c>
      <c r="S530" s="35">
        <f t="shared" si="192"/>
        <v>0.12333333333333334</v>
      </c>
      <c r="T530" s="35">
        <f t="shared" si="193"/>
        <v>0.15666666666666665</v>
      </c>
      <c r="U530" s="35">
        <f t="shared" si="188"/>
        <v>0.16666666666666663</v>
      </c>
      <c r="V530" s="35">
        <f t="shared" si="195"/>
        <v>9.0909090909090939E-2</v>
      </c>
      <c r="W530" s="35">
        <f t="shared" si="195"/>
        <v>9.0909090909090939E-2</v>
      </c>
      <c r="X530" s="35">
        <f t="shared" si="195"/>
        <v>9.0909090909090939E-2</v>
      </c>
      <c r="Y530" s="35">
        <f t="shared" si="195"/>
        <v>9.0909090909090939E-2</v>
      </c>
      <c r="Z530" s="35">
        <f t="shared" si="195"/>
        <v>9.0909090909090939E-2</v>
      </c>
      <c r="AA530" s="35">
        <f t="shared" si="195"/>
        <v>9.0909090909090939E-2</v>
      </c>
    </row>
    <row r="531" spans="2:27" x14ac:dyDescent="0.2">
      <c r="B531" s="2">
        <v>529</v>
      </c>
      <c r="C531" s="2" t="str">
        <f t="shared" si="179"/>
        <v>b</v>
      </c>
      <c r="D531" s="29" t="s">
        <v>31</v>
      </c>
      <c r="E531" s="29" t="s">
        <v>219</v>
      </c>
      <c r="F531" s="2" t="s">
        <v>226</v>
      </c>
      <c r="G531" s="2">
        <f t="shared" si="196"/>
        <v>1</v>
      </c>
      <c r="H531" s="2" t="str">
        <f t="shared" si="186"/>
        <v>物理</v>
      </c>
      <c r="I531" s="38">
        <f t="shared" si="189"/>
        <v>0.1</v>
      </c>
      <c r="J531" s="33">
        <f t="shared" si="190"/>
        <v>16</v>
      </c>
      <c r="K531" s="33">
        <f t="shared" si="194"/>
        <v>15</v>
      </c>
      <c r="L531" s="33">
        <f t="shared" si="194"/>
        <v>3</v>
      </c>
      <c r="M531" s="33">
        <f t="shared" si="194"/>
        <v>11</v>
      </c>
      <c r="N531" s="33">
        <f t="shared" si="187"/>
        <v>25</v>
      </c>
      <c r="O531" s="33">
        <f t="shared" si="194"/>
        <v>12</v>
      </c>
      <c r="P531" s="33">
        <f t="shared" si="194"/>
        <v>5</v>
      </c>
      <c r="Q531" s="33">
        <f t="shared" si="194"/>
        <v>7</v>
      </c>
      <c r="R531" s="35">
        <f t="shared" si="191"/>
        <v>2.3333333333333334E-2</v>
      </c>
      <c r="S531" s="35">
        <f t="shared" si="192"/>
        <v>1.6666666666666666E-2</v>
      </c>
      <c r="T531" s="35">
        <f t="shared" si="193"/>
        <v>2.3333333333333334E-2</v>
      </c>
      <c r="U531" s="35">
        <f t="shared" si="188"/>
        <v>2.9126213592232997E-2</v>
      </c>
      <c r="V531" s="35">
        <f t="shared" si="195"/>
        <v>1.4778325123152691E-2</v>
      </c>
      <c r="W531" s="35">
        <f t="shared" si="195"/>
        <v>1.4778325123152691E-2</v>
      </c>
      <c r="X531" s="35">
        <f t="shared" si="195"/>
        <v>1.4778325123152691E-2</v>
      </c>
      <c r="Y531" s="35">
        <f t="shared" si="195"/>
        <v>1.4778325123152691E-2</v>
      </c>
      <c r="Z531" s="35">
        <f t="shared" si="195"/>
        <v>1.4778325123152691E-2</v>
      </c>
      <c r="AA531" s="35">
        <f t="shared" si="195"/>
        <v>1.4778325123152691E-2</v>
      </c>
    </row>
    <row r="532" spans="2:27" x14ac:dyDescent="0.2">
      <c r="B532" s="2">
        <v>530</v>
      </c>
      <c r="C532" s="2" t="str">
        <f t="shared" si="179"/>
        <v>b</v>
      </c>
      <c r="D532" s="29" t="s">
        <v>31</v>
      </c>
      <c r="E532" s="29" t="s">
        <v>219</v>
      </c>
      <c r="F532" s="2" t="s">
        <v>226</v>
      </c>
      <c r="G532" s="2">
        <f t="shared" si="196"/>
        <v>2</v>
      </c>
      <c r="H532" s="2" t="str">
        <f t="shared" si="186"/>
        <v>物理</v>
      </c>
      <c r="I532" s="38">
        <f t="shared" si="189"/>
        <v>0.17636363636363636</v>
      </c>
      <c r="J532" s="33">
        <f t="shared" si="190"/>
        <v>33</v>
      </c>
      <c r="K532" s="33">
        <f t="shared" si="194"/>
        <v>31</v>
      </c>
      <c r="L532" s="33">
        <f t="shared" si="194"/>
        <v>7</v>
      </c>
      <c r="M532" s="33">
        <f t="shared" si="194"/>
        <v>23</v>
      </c>
      <c r="N532" s="33">
        <f t="shared" si="187"/>
        <v>50</v>
      </c>
      <c r="O532" s="33">
        <f t="shared" si="194"/>
        <v>24</v>
      </c>
      <c r="P532" s="33">
        <f t="shared" si="194"/>
        <v>11</v>
      </c>
      <c r="Q532" s="33">
        <f t="shared" si="194"/>
        <v>15</v>
      </c>
      <c r="R532" s="35">
        <f t="shared" si="191"/>
        <v>0.05</v>
      </c>
      <c r="S532" s="35">
        <f t="shared" si="192"/>
        <v>3.6666666666666667E-2</v>
      </c>
      <c r="T532" s="35">
        <f t="shared" si="193"/>
        <v>0.05</v>
      </c>
      <c r="U532" s="35">
        <f t="shared" si="188"/>
        <v>5.6603773584905648E-2</v>
      </c>
      <c r="V532" s="35">
        <f t="shared" si="195"/>
        <v>2.9126213592232997E-2</v>
      </c>
      <c r="W532" s="35">
        <f t="shared" si="195"/>
        <v>2.9126213592232997E-2</v>
      </c>
      <c r="X532" s="35">
        <f t="shared" si="195"/>
        <v>2.9126213592232997E-2</v>
      </c>
      <c r="Y532" s="35">
        <f t="shared" si="195"/>
        <v>2.9126213592232997E-2</v>
      </c>
      <c r="Z532" s="35">
        <f t="shared" si="195"/>
        <v>2.9126213592232997E-2</v>
      </c>
      <c r="AA532" s="35">
        <f t="shared" si="195"/>
        <v>2.9126213592232997E-2</v>
      </c>
    </row>
    <row r="533" spans="2:27" x14ac:dyDescent="0.2">
      <c r="B533" s="2">
        <v>531</v>
      </c>
      <c r="C533" s="2" t="str">
        <f t="shared" si="179"/>
        <v>b</v>
      </c>
      <c r="D533" s="29" t="s">
        <v>31</v>
      </c>
      <c r="E533" s="29" t="s">
        <v>219</v>
      </c>
      <c r="F533" s="2" t="s">
        <v>226</v>
      </c>
      <c r="G533" s="2">
        <f t="shared" si="196"/>
        <v>3</v>
      </c>
      <c r="H533" s="2" t="str">
        <f t="shared" si="186"/>
        <v>物理</v>
      </c>
      <c r="I533" s="38">
        <f t="shared" si="189"/>
        <v>0.26545454545454544</v>
      </c>
      <c r="J533" s="33">
        <f t="shared" si="190"/>
        <v>50</v>
      </c>
      <c r="K533" s="33">
        <f t="shared" ref="K533:Q542" si="197">INT((1+VLOOKUP($F533,role_property_weight,getpos(K$2),FALSE))*(1+VLOOKUP($F533,weapon_property_weight,getpos(K$2),FALSE))*VLOOKUP($E533,role_grow,getpos(K$2),FALSE)*$G533*10*VLOOKUP($C533,weapon_grow1,5,FALSE))</f>
        <v>46</v>
      </c>
      <c r="L533" s="33">
        <f t="shared" si="197"/>
        <v>10</v>
      </c>
      <c r="M533" s="33">
        <f t="shared" si="197"/>
        <v>35</v>
      </c>
      <c r="N533" s="33">
        <f t="shared" si="187"/>
        <v>75</v>
      </c>
      <c r="O533" s="33">
        <f t="shared" si="197"/>
        <v>37</v>
      </c>
      <c r="P533" s="33">
        <f t="shared" si="197"/>
        <v>17</v>
      </c>
      <c r="Q533" s="33">
        <f t="shared" si="197"/>
        <v>22</v>
      </c>
      <c r="R533" s="35">
        <f t="shared" si="191"/>
        <v>7.3333333333333334E-2</v>
      </c>
      <c r="S533" s="35">
        <f t="shared" si="192"/>
        <v>5.6666666666666671E-2</v>
      </c>
      <c r="T533" s="35">
        <f t="shared" si="193"/>
        <v>7.3333333333333334E-2</v>
      </c>
      <c r="U533" s="35">
        <f t="shared" si="188"/>
        <v>8.6757990867579959E-2</v>
      </c>
      <c r="V533" s="35">
        <f t="shared" ref="V533:AA542" si="198">1-200/(200+ROUND((1+VLOOKUP($F533,role_property_weight,getpos(V$2),FALSE))*VLOOKUP($E533,role_grow,getpos(V$2),FALSE)*$G533*10*VLOOKUP($C533,weapon_grow1,5,FALSE),0))</f>
        <v>4.3062200956937802E-2</v>
      </c>
      <c r="W533" s="35">
        <f t="shared" si="198"/>
        <v>4.3062200956937802E-2</v>
      </c>
      <c r="X533" s="35">
        <f t="shared" si="198"/>
        <v>4.3062200956937802E-2</v>
      </c>
      <c r="Y533" s="35">
        <f t="shared" si="198"/>
        <v>4.3062200956937802E-2</v>
      </c>
      <c r="Z533" s="35">
        <f t="shared" si="198"/>
        <v>4.3062200956937802E-2</v>
      </c>
      <c r="AA533" s="35">
        <f t="shared" si="198"/>
        <v>4.3062200956937802E-2</v>
      </c>
    </row>
    <row r="534" spans="2:27" x14ac:dyDescent="0.2">
      <c r="B534" s="2">
        <v>532</v>
      </c>
      <c r="C534" s="2" t="str">
        <f t="shared" si="179"/>
        <v>b</v>
      </c>
      <c r="D534" s="29" t="s">
        <v>31</v>
      </c>
      <c r="E534" s="29" t="s">
        <v>219</v>
      </c>
      <c r="F534" s="2" t="s">
        <v>226</v>
      </c>
      <c r="G534" s="2">
        <f t="shared" si="196"/>
        <v>4</v>
      </c>
      <c r="H534" s="2" t="str">
        <f t="shared" si="186"/>
        <v>物理</v>
      </c>
      <c r="I534" s="38">
        <f t="shared" si="189"/>
        <v>0.35636363636363633</v>
      </c>
      <c r="J534" s="33">
        <f t="shared" si="190"/>
        <v>67</v>
      </c>
      <c r="K534" s="33">
        <f t="shared" si="197"/>
        <v>62</v>
      </c>
      <c r="L534" s="33">
        <f t="shared" si="197"/>
        <v>14</v>
      </c>
      <c r="M534" s="33">
        <f t="shared" si="197"/>
        <v>47</v>
      </c>
      <c r="N534" s="33">
        <f t="shared" si="187"/>
        <v>100</v>
      </c>
      <c r="O534" s="33">
        <f t="shared" si="197"/>
        <v>49</v>
      </c>
      <c r="P534" s="33">
        <f t="shared" si="197"/>
        <v>23</v>
      </c>
      <c r="Q534" s="33">
        <f t="shared" si="197"/>
        <v>30</v>
      </c>
      <c r="R534" s="35">
        <f t="shared" si="191"/>
        <v>0.1</v>
      </c>
      <c r="S534" s="35">
        <f t="shared" si="192"/>
        <v>7.6666666666666675E-2</v>
      </c>
      <c r="T534" s="35">
        <f t="shared" si="193"/>
        <v>0.1</v>
      </c>
      <c r="U534" s="35">
        <f t="shared" si="188"/>
        <v>0.11111111111111116</v>
      </c>
      <c r="V534" s="35">
        <f t="shared" si="198"/>
        <v>5.6603773584905648E-2</v>
      </c>
      <c r="W534" s="35">
        <f t="shared" si="198"/>
        <v>5.6603773584905648E-2</v>
      </c>
      <c r="X534" s="35">
        <f t="shared" si="198"/>
        <v>5.6603773584905648E-2</v>
      </c>
      <c r="Y534" s="35">
        <f t="shared" si="198"/>
        <v>5.6603773584905648E-2</v>
      </c>
      <c r="Z534" s="35">
        <f t="shared" si="198"/>
        <v>5.6603773584905648E-2</v>
      </c>
      <c r="AA534" s="35">
        <f t="shared" si="198"/>
        <v>5.6603773584905648E-2</v>
      </c>
    </row>
    <row r="535" spans="2:27" x14ac:dyDescent="0.2">
      <c r="B535" s="2">
        <v>533</v>
      </c>
      <c r="C535" s="2" t="str">
        <f t="shared" si="179"/>
        <v>b</v>
      </c>
      <c r="D535" s="29" t="s">
        <v>31</v>
      </c>
      <c r="E535" s="29" t="s">
        <v>219</v>
      </c>
      <c r="F535" s="2" t="s">
        <v>226</v>
      </c>
      <c r="G535" s="2">
        <f t="shared" si="196"/>
        <v>5</v>
      </c>
      <c r="H535" s="2" t="str">
        <f t="shared" si="186"/>
        <v>物理</v>
      </c>
      <c r="I535" s="38">
        <f t="shared" si="189"/>
        <v>0.44545454545454549</v>
      </c>
      <c r="J535" s="33">
        <f t="shared" si="190"/>
        <v>84</v>
      </c>
      <c r="K535" s="33">
        <f t="shared" si="197"/>
        <v>78</v>
      </c>
      <c r="L535" s="33">
        <f t="shared" si="197"/>
        <v>17</v>
      </c>
      <c r="M535" s="33">
        <f t="shared" si="197"/>
        <v>58</v>
      </c>
      <c r="N535" s="33">
        <f t="shared" si="187"/>
        <v>125</v>
      </c>
      <c r="O535" s="33">
        <f t="shared" si="197"/>
        <v>62</v>
      </c>
      <c r="P535" s="33">
        <f t="shared" si="197"/>
        <v>29</v>
      </c>
      <c r="Q535" s="33">
        <f t="shared" si="197"/>
        <v>37</v>
      </c>
      <c r="R535" s="35">
        <f t="shared" si="191"/>
        <v>0.12333333333333334</v>
      </c>
      <c r="S535" s="35">
        <f t="shared" si="192"/>
        <v>9.6666666666666665E-2</v>
      </c>
      <c r="T535" s="35">
        <f t="shared" si="193"/>
        <v>0.12333333333333334</v>
      </c>
      <c r="U535" s="35">
        <f t="shared" si="188"/>
        <v>0.13419913419913421</v>
      </c>
      <c r="V535" s="35">
        <f t="shared" si="198"/>
        <v>7.407407407407407E-2</v>
      </c>
      <c r="W535" s="35">
        <f t="shared" si="198"/>
        <v>7.407407407407407E-2</v>
      </c>
      <c r="X535" s="35">
        <f t="shared" si="198"/>
        <v>7.407407407407407E-2</v>
      </c>
      <c r="Y535" s="35">
        <f t="shared" si="198"/>
        <v>7.407407407407407E-2</v>
      </c>
      <c r="Z535" s="35">
        <f t="shared" si="198"/>
        <v>7.407407407407407E-2</v>
      </c>
      <c r="AA535" s="35">
        <f t="shared" si="198"/>
        <v>7.407407407407407E-2</v>
      </c>
    </row>
    <row r="536" spans="2:27" x14ac:dyDescent="0.2">
      <c r="B536" s="2">
        <v>534</v>
      </c>
      <c r="C536" s="2" t="str">
        <f t="shared" si="179"/>
        <v>b</v>
      </c>
      <c r="D536" s="29" t="s">
        <v>31</v>
      </c>
      <c r="E536" s="29" t="s">
        <v>219</v>
      </c>
      <c r="F536" s="2" t="s">
        <v>226</v>
      </c>
      <c r="G536" s="2">
        <f t="shared" si="196"/>
        <v>6</v>
      </c>
      <c r="H536" s="2" t="str">
        <f t="shared" si="186"/>
        <v>物理</v>
      </c>
      <c r="I536" s="38">
        <f t="shared" si="189"/>
        <v>0.53545454545454552</v>
      </c>
      <c r="J536" s="33">
        <f t="shared" si="190"/>
        <v>101</v>
      </c>
      <c r="K536" s="33">
        <f t="shared" si="197"/>
        <v>93</v>
      </c>
      <c r="L536" s="33">
        <f t="shared" si="197"/>
        <v>21</v>
      </c>
      <c r="M536" s="33">
        <f t="shared" si="197"/>
        <v>70</v>
      </c>
      <c r="N536" s="33">
        <f t="shared" si="187"/>
        <v>150</v>
      </c>
      <c r="O536" s="33">
        <f t="shared" si="197"/>
        <v>74</v>
      </c>
      <c r="P536" s="33">
        <f t="shared" si="197"/>
        <v>35</v>
      </c>
      <c r="Q536" s="33">
        <f t="shared" si="197"/>
        <v>45</v>
      </c>
      <c r="R536" s="35">
        <f t="shared" si="191"/>
        <v>0.15</v>
      </c>
      <c r="S536" s="35">
        <f t="shared" si="192"/>
        <v>0.11666666666666665</v>
      </c>
      <c r="T536" s="35">
        <f t="shared" si="193"/>
        <v>0.15</v>
      </c>
      <c r="U536" s="35">
        <f t="shared" si="188"/>
        <v>0.15611814345991559</v>
      </c>
      <c r="V536" s="35">
        <f t="shared" si="198"/>
        <v>8.6757990867579959E-2</v>
      </c>
      <c r="W536" s="35">
        <f t="shared" si="198"/>
        <v>8.6757990867579959E-2</v>
      </c>
      <c r="X536" s="35">
        <f t="shared" si="198"/>
        <v>8.6757990867579959E-2</v>
      </c>
      <c r="Y536" s="35">
        <f t="shared" si="198"/>
        <v>8.6757990867579959E-2</v>
      </c>
      <c r="Z536" s="35">
        <f t="shared" si="198"/>
        <v>8.6757990867579959E-2</v>
      </c>
      <c r="AA536" s="35">
        <f t="shared" si="198"/>
        <v>8.6757990867579959E-2</v>
      </c>
    </row>
    <row r="537" spans="2:27" x14ac:dyDescent="0.2">
      <c r="B537" s="2">
        <v>535</v>
      </c>
      <c r="C537" s="2" t="str">
        <f t="shared" si="179"/>
        <v>b</v>
      </c>
      <c r="D537" s="29" t="s">
        <v>31</v>
      </c>
      <c r="E537" s="29" t="s">
        <v>219</v>
      </c>
      <c r="F537" s="2" t="s">
        <v>226</v>
      </c>
      <c r="G537" s="2">
        <f t="shared" si="196"/>
        <v>7</v>
      </c>
      <c r="H537" s="2" t="str">
        <f t="shared" si="186"/>
        <v>物理</v>
      </c>
      <c r="I537" s="38">
        <f t="shared" si="189"/>
        <v>0.62545454545454549</v>
      </c>
      <c r="J537" s="33">
        <f t="shared" si="190"/>
        <v>118</v>
      </c>
      <c r="K537" s="33">
        <f t="shared" si="197"/>
        <v>109</v>
      </c>
      <c r="L537" s="33">
        <f t="shared" si="197"/>
        <v>24</v>
      </c>
      <c r="M537" s="33">
        <f t="shared" si="197"/>
        <v>82</v>
      </c>
      <c r="N537" s="33">
        <f t="shared" si="187"/>
        <v>175</v>
      </c>
      <c r="O537" s="33">
        <f t="shared" si="197"/>
        <v>87</v>
      </c>
      <c r="P537" s="33">
        <f t="shared" si="197"/>
        <v>41</v>
      </c>
      <c r="Q537" s="33">
        <f t="shared" si="197"/>
        <v>52</v>
      </c>
      <c r="R537" s="35">
        <f t="shared" si="191"/>
        <v>0.17333333333333331</v>
      </c>
      <c r="S537" s="35">
        <f t="shared" si="192"/>
        <v>0.13666666666666666</v>
      </c>
      <c r="T537" s="35">
        <f t="shared" si="193"/>
        <v>0.17333333333333331</v>
      </c>
      <c r="U537" s="35">
        <f t="shared" si="188"/>
        <v>0.18032786885245899</v>
      </c>
      <c r="V537" s="35">
        <f t="shared" si="198"/>
        <v>9.9099099099099086E-2</v>
      </c>
      <c r="W537" s="35">
        <f t="shared" si="198"/>
        <v>9.9099099099099086E-2</v>
      </c>
      <c r="X537" s="35">
        <f t="shared" si="198"/>
        <v>9.9099099099099086E-2</v>
      </c>
      <c r="Y537" s="35">
        <f t="shared" si="198"/>
        <v>9.9099099099099086E-2</v>
      </c>
      <c r="Z537" s="35">
        <f t="shared" si="198"/>
        <v>9.9099099099099086E-2</v>
      </c>
      <c r="AA537" s="35">
        <f t="shared" si="198"/>
        <v>9.9099099099099086E-2</v>
      </c>
    </row>
    <row r="538" spans="2:27" x14ac:dyDescent="0.2">
      <c r="B538" s="2">
        <v>536</v>
      </c>
      <c r="C538" s="2" t="str">
        <f t="shared" si="179"/>
        <v>b</v>
      </c>
      <c r="D538" s="29" t="s">
        <v>31</v>
      </c>
      <c r="E538" s="29" t="s">
        <v>219</v>
      </c>
      <c r="F538" s="2" t="s">
        <v>226</v>
      </c>
      <c r="G538" s="2">
        <f t="shared" si="196"/>
        <v>8</v>
      </c>
      <c r="H538" s="2" t="str">
        <f t="shared" si="186"/>
        <v>物理</v>
      </c>
      <c r="I538" s="38">
        <f t="shared" si="189"/>
        <v>0.71545454545454545</v>
      </c>
      <c r="J538" s="33">
        <f t="shared" si="190"/>
        <v>135</v>
      </c>
      <c r="K538" s="33">
        <f t="shared" si="197"/>
        <v>124</v>
      </c>
      <c r="L538" s="33">
        <f t="shared" si="197"/>
        <v>28</v>
      </c>
      <c r="M538" s="33">
        <f t="shared" si="197"/>
        <v>94</v>
      </c>
      <c r="N538" s="33">
        <f t="shared" si="187"/>
        <v>200</v>
      </c>
      <c r="O538" s="33">
        <f t="shared" si="197"/>
        <v>99</v>
      </c>
      <c r="P538" s="33">
        <f t="shared" si="197"/>
        <v>47</v>
      </c>
      <c r="Q538" s="33">
        <f t="shared" si="197"/>
        <v>60</v>
      </c>
      <c r="R538" s="35">
        <f t="shared" si="191"/>
        <v>0.2</v>
      </c>
      <c r="S538" s="35">
        <f t="shared" si="192"/>
        <v>0.15666666666666665</v>
      </c>
      <c r="T538" s="35">
        <f t="shared" si="193"/>
        <v>0.2</v>
      </c>
      <c r="U538" s="35">
        <f t="shared" si="188"/>
        <v>0.19999999999999996</v>
      </c>
      <c r="V538" s="35">
        <f t="shared" si="198"/>
        <v>0.11111111111111116</v>
      </c>
      <c r="W538" s="35">
        <f t="shared" si="198"/>
        <v>0.11111111111111116</v>
      </c>
      <c r="X538" s="35">
        <f t="shared" si="198"/>
        <v>0.11111111111111116</v>
      </c>
      <c r="Y538" s="35">
        <f t="shared" si="198"/>
        <v>0.11111111111111116</v>
      </c>
      <c r="Z538" s="35">
        <f t="shared" si="198"/>
        <v>0.11111111111111116</v>
      </c>
      <c r="AA538" s="35">
        <f t="shared" si="198"/>
        <v>0.11111111111111116</v>
      </c>
    </row>
    <row r="539" spans="2:27" x14ac:dyDescent="0.2">
      <c r="B539" s="2">
        <v>537</v>
      </c>
      <c r="C539" s="2" t="str">
        <f t="shared" si="179"/>
        <v>c</v>
      </c>
      <c r="D539" s="29" t="s">
        <v>31</v>
      </c>
      <c r="E539" s="29" t="s">
        <v>219</v>
      </c>
      <c r="F539" s="2" t="s">
        <v>226</v>
      </c>
      <c r="G539" s="2">
        <f t="shared" si="196"/>
        <v>1</v>
      </c>
      <c r="H539" s="2" t="str">
        <f t="shared" si="186"/>
        <v>--</v>
      </c>
      <c r="I539" s="38">
        <f t="shared" si="189"/>
        <v>0</v>
      </c>
      <c r="J539" s="33">
        <f t="shared" si="190"/>
        <v>21</v>
      </c>
      <c r="K539" s="33">
        <f t="shared" si="197"/>
        <v>0</v>
      </c>
      <c r="L539" s="33">
        <f t="shared" si="197"/>
        <v>0</v>
      </c>
      <c r="M539" s="33">
        <f t="shared" si="197"/>
        <v>0</v>
      </c>
      <c r="N539" s="33">
        <f t="shared" si="187"/>
        <v>0</v>
      </c>
      <c r="O539" s="33">
        <f t="shared" si="197"/>
        <v>0</v>
      </c>
      <c r="P539" s="33">
        <f t="shared" si="197"/>
        <v>0</v>
      </c>
      <c r="Q539" s="33">
        <f t="shared" si="197"/>
        <v>0</v>
      </c>
      <c r="R539" s="35">
        <f t="shared" si="191"/>
        <v>0</v>
      </c>
      <c r="S539" s="35">
        <f t="shared" si="192"/>
        <v>0</v>
      </c>
      <c r="T539" s="35">
        <f t="shared" si="193"/>
        <v>0</v>
      </c>
      <c r="U539" s="35">
        <f t="shared" si="188"/>
        <v>0</v>
      </c>
      <c r="V539" s="35">
        <f t="shared" si="198"/>
        <v>0</v>
      </c>
      <c r="W539" s="35">
        <f t="shared" si="198"/>
        <v>0</v>
      </c>
      <c r="X539" s="35">
        <f t="shared" si="198"/>
        <v>0</v>
      </c>
      <c r="Y539" s="35">
        <f t="shared" si="198"/>
        <v>0</v>
      </c>
      <c r="Z539" s="35">
        <f t="shared" si="198"/>
        <v>0</v>
      </c>
      <c r="AA539" s="35">
        <f t="shared" si="198"/>
        <v>0</v>
      </c>
    </row>
    <row r="540" spans="2:27" x14ac:dyDescent="0.2">
      <c r="B540" s="2">
        <v>538</v>
      </c>
      <c r="C540" s="2" t="str">
        <f t="shared" si="179"/>
        <v>c</v>
      </c>
      <c r="D540" s="29" t="s">
        <v>31</v>
      </c>
      <c r="E540" s="29" t="s">
        <v>219</v>
      </c>
      <c r="F540" s="2" t="s">
        <v>226</v>
      </c>
      <c r="G540" s="2">
        <f t="shared" si="196"/>
        <v>2</v>
      </c>
      <c r="H540" s="2" t="str">
        <f t="shared" si="186"/>
        <v>--</v>
      </c>
      <c r="I540" s="38">
        <f t="shared" si="189"/>
        <v>0</v>
      </c>
      <c r="J540" s="33">
        <f t="shared" si="190"/>
        <v>42</v>
      </c>
      <c r="K540" s="33">
        <f t="shared" si="197"/>
        <v>0</v>
      </c>
      <c r="L540" s="33">
        <f t="shared" si="197"/>
        <v>0</v>
      </c>
      <c r="M540" s="33">
        <f t="shared" si="197"/>
        <v>0</v>
      </c>
      <c r="N540" s="33">
        <f t="shared" si="187"/>
        <v>0</v>
      </c>
      <c r="O540" s="33">
        <f t="shared" si="197"/>
        <v>0</v>
      </c>
      <c r="P540" s="33">
        <f t="shared" si="197"/>
        <v>0</v>
      </c>
      <c r="Q540" s="33">
        <f t="shared" si="197"/>
        <v>0</v>
      </c>
      <c r="R540" s="35">
        <f t="shared" si="191"/>
        <v>0</v>
      </c>
      <c r="S540" s="35">
        <f t="shared" si="192"/>
        <v>0</v>
      </c>
      <c r="T540" s="35">
        <f t="shared" si="193"/>
        <v>0</v>
      </c>
      <c r="U540" s="35">
        <f t="shared" si="188"/>
        <v>0</v>
      </c>
      <c r="V540" s="35">
        <f t="shared" si="198"/>
        <v>0</v>
      </c>
      <c r="W540" s="35">
        <f t="shared" si="198"/>
        <v>0</v>
      </c>
      <c r="X540" s="35">
        <f t="shared" si="198"/>
        <v>0</v>
      </c>
      <c r="Y540" s="35">
        <f t="shared" si="198"/>
        <v>0</v>
      </c>
      <c r="Z540" s="35">
        <f t="shared" si="198"/>
        <v>0</v>
      </c>
      <c r="AA540" s="35">
        <f t="shared" si="198"/>
        <v>0</v>
      </c>
    </row>
    <row r="541" spans="2:27" x14ac:dyDescent="0.2">
      <c r="B541" s="2">
        <v>539</v>
      </c>
      <c r="C541" s="2" t="str">
        <f t="shared" si="179"/>
        <v>c</v>
      </c>
      <c r="D541" s="29" t="s">
        <v>31</v>
      </c>
      <c r="E541" s="29" t="s">
        <v>219</v>
      </c>
      <c r="F541" s="2" t="s">
        <v>226</v>
      </c>
      <c r="G541" s="2">
        <f t="shared" si="196"/>
        <v>3</v>
      </c>
      <c r="H541" s="2" t="str">
        <f t="shared" si="186"/>
        <v>--</v>
      </c>
      <c r="I541" s="38">
        <f t="shared" si="189"/>
        <v>0</v>
      </c>
      <c r="J541" s="33">
        <f t="shared" si="190"/>
        <v>64</v>
      </c>
      <c r="K541" s="33">
        <f t="shared" si="197"/>
        <v>0</v>
      </c>
      <c r="L541" s="33">
        <f t="shared" si="197"/>
        <v>0</v>
      </c>
      <c r="M541" s="33">
        <f t="shared" si="197"/>
        <v>0</v>
      </c>
      <c r="N541" s="33">
        <f t="shared" si="187"/>
        <v>0</v>
      </c>
      <c r="O541" s="33">
        <f t="shared" si="197"/>
        <v>0</v>
      </c>
      <c r="P541" s="33">
        <f t="shared" si="197"/>
        <v>0</v>
      </c>
      <c r="Q541" s="33">
        <f t="shared" si="197"/>
        <v>0</v>
      </c>
      <c r="R541" s="35">
        <f t="shared" si="191"/>
        <v>0</v>
      </c>
      <c r="S541" s="35">
        <f t="shared" si="192"/>
        <v>0</v>
      </c>
      <c r="T541" s="35">
        <f t="shared" si="193"/>
        <v>0</v>
      </c>
      <c r="U541" s="35">
        <f t="shared" si="188"/>
        <v>0</v>
      </c>
      <c r="V541" s="35">
        <f t="shared" si="198"/>
        <v>0</v>
      </c>
      <c r="W541" s="35">
        <f t="shared" si="198"/>
        <v>0</v>
      </c>
      <c r="X541" s="35">
        <f t="shared" si="198"/>
        <v>0</v>
      </c>
      <c r="Y541" s="35">
        <f t="shared" si="198"/>
        <v>0</v>
      </c>
      <c r="Z541" s="35">
        <f t="shared" si="198"/>
        <v>0</v>
      </c>
      <c r="AA541" s="35">
        <f t="shared" si="198"/>
        <v>0</v>
      </c>
    </row>
    <row r="542" spans="2:27" x14ac:dyDescent="0.2">
      <c r="B542" s="2">
        <v>540</v>
      </c>
      <c r="C542" s="2" t="str">
        <f t="shared" si="179"/>
        <v>c</v>
      </c>
      <c r="D542" s="29" t="s">
        <v>31</v>
      </c>
      <c r="E542" s="29" t="s">
        <v>219</v>
      </c>
      <c r="F542" s="2" t="s">
        <v>226</v>
      </c>
      <c r="G542" s="2">
        <f t="shared" si="196"/>
        <v>4</v>
      </c>
      <c r="H542" s="2" t="str">
        <f t="shared" si="186"/>
        <v>--</v>
      </c>
      <c r="I542" s="38">
        <f t="shared" si="189"/>
        <v>0</v>
      </c>
      <c r="J542" s="33">
        <f t="shared" si="190"/>
        <v>85</v>
      </c>
      <c r="K542" s="33">
        <f t="shared" si="197"/>
        <v>0</v>
      </c>
      <c r="L542" s="33">
        <f t="shared" si="197"/>
        <v>0</v>
      </c>
      <c r="M542" s="33">
        <f t="shared" si="197"/>
        <v>0</v>
      </c>
      <c r="N542" s="33">
        <f t="shared" si="187"/>
        <v>0</v>
      </c>
      <c r="O542" s="33">
        <f t="shared" si="197"/>
        <v>0</v>
      </c>
      <c r="P542" s="33">
        <f t="shared" si="197"/>
        <v>0</v>
      </c>
      <c r="Q542" s="33">
        <f t="shared" si="197"/>
        <v>0</v>
      </c>
      <c r="R542" s="35">
        <f t="shared" si="191"/>
        <v>0</v>
      </c>
      <c r="S542" s="35">
        <f t="shared" si="192"/>
        <v>0</v>
      </c>
      <c r="T542" s="35">
        <f t="shared" si="193"/>
        <v>0</v>
      </c>
      <c r="U542" s="35">
        <f t="shared" si="188"/>
        <v>0</v>
      </c>
      <c r="V542" s="35">
        <f t="shared" si="198"/>
        <v>0</v>
      </c>
      <c r="W542" s="35">
        <f t="shared" si="198"/>
        <v>0</v>
      </c>
      <c r="X542" s="35">
        <f t="shared" si="198"/>
        <v>0</v>
      </c>
      <c r="Y542" s="35">
        <f t="shared" si="198"/>
        <v>0</v>
      </c>
      <c r="Z542" s="35">
        <f t="shared" si="198"/>
        <v>0</v>
      </c>
      <c r="AA542" s="35">
        <f t="shared" si="198"/>
        <v>0</v>
      </c>
    </row>
    <row r="543" spans="2:27" x14ac:dyDescent="0.2">
      <c r="B543" s="2">
        <v>541</v>
      </c>
      <c r="C543" s="2" t="str">
        <f t="shared" si="179"/>
        <v>c</v>
      </c>
      <c r="D543" s="29" t="s">
        <v>31</v>
      </c>
      <c r="E543" s="29" t="s">
        <v>219</v>
      </c>
      <c r="F543" s="2" t="s">
        <v>226</v>
      </c>
      <c r="G543" s="2">
        <f t="shared" si="196"/>
        <v>5</v>
      </c>
      <c r="H543" s="2" t="str">
        <f t="shared" si="186"/>
        <v>--</v>
      </c>
      <c r="I543" s="38">
        <f t="shared" si="189"/>
        <v>0</v>
      </c>
      <c r="J543" s="33">
        <f t="shared" si="190"/>
        <v>106</v>
      </c>
      <c r="K543" s="33">
        <f t="shared" ref="K543:Q552" si="199">INT((1+VLOOKUP($F543,role_property_weight,getpos(K$2),FALSE))*(1+VLOOKUP($F543,weapon_property_weight,getpos(K$2),FALSE))*VLOOKUP($E543,role_grow,getpos(K$2),FALSE)*$G543*10*VLOOKUP($C543,weapon_grow1,5,FALSE))</f>
        <v>0</v>
      </c>
      <c r="L543" s="33">
        <f t="shared" si="199"/>
        <v>0</v>
      </c>
      <c r="M543" s="33">
        <f t="shared" si="199"/>
        <v>0</v>
      </c>
      <c r="N543" s="33">
        <f t="shared" si="187"/>
        <v>0</v>
      </c>
      <c r="O543" s="33">
        <f t="shared" si="199"/>
        <v>0</v>
      </c>
      <c r="P543" s="33">
        <f t="shared" si="199"/>
        <v>0</v>
      </c>
      <c r="Q543" s="33">
        <f t="shared" si="199"/>
        <v>0</v>
      </c>
      <c r="R543" s="35">
        <f t="shared" si="191"/>
        <v>0</v>
      </c>
      <c r="S543" s="35">
        <f t="shared" si="192"/>
        <v>0</v>
      </c>
      <c r="T543" s="35">
        <f t="shared" si="193"/>
        <v>0</v>
      </c>
      <c r="U543" s="35">
        <f t="shared" si="188"/>
        <v>0</v>
      </c>
      <c r="V543" s="35">
        <f t="shared" ref="V543:AA552" si="200">1-200/(200+ROUND((1+VLOOKUP($F543,role_property_weight,getpos(V$2),FALSE))*VLOOKUP($E543,role_grow,getpos(V$2),FALSE)*$G543*10*VLOOKUP($C543,weapon_grow1,5,FALSE),0))</f>
        <v>0</v>
      </c>
      <c r="W543" s="35">
        <f t="shared" si="200"/>
        <v>0</v>
      </c>
      <c r="X543" s="35">
        <f t="shared" si="200"/>
        <v>0</v>
      </c>
      <c r="Y543" s="35">
        <f t="shared" si="200"/>
        <v>0</v>
      </c>
      <c r="Z543" s="35">
        <f t="shared" si="200"/>
        <v>0</v>
      </c>
      <c r="AA543" s="35">
        <f t="shared" si="200"/>
        <v>0</v>
      </c>
    </row>
    <row r="544" spans="2:27" x14ac:dyDescent="0.2">
      <c r="B544" s="2">
        <v>542</v>
      </c>
      <c r="C544" s="2" t="str">
        <f t="shared" si="179"/>
        <v>c</v>
      </c>
      <c r="D544" s="29" t="s">
        <v>31</v>
      </c>
      <c r="E544" s="29" t="s">
        <v>219</v>
      </c>
      <c r="F544" s="2" t="s">
        <v>226</v>
      </c>
      <c r="G544" s="2">
        <f t="shared" si="196"/>
        <v>6</v>
      </c>
      <c r="H544" s="2" t="str">
        <f t="shared" si="186"/>
        <v>--</v>
      </c>
      <c r="I544" s="38">
        <f t="shared" si="189"/>
        <v>0</v>
      </c>
      <c r="J544" s="33">
        <f t="shared" si="190"/>
        <v>128</v>
      </c>
      <c r="K544" s="33">
        <f t="shared" si="199"/>
        <v>0</v>
      </c>
      <c r="L544" s="33">
        <f t="shared" si="199"/>
        <v>0</v>
      </c>
      <c r="M544" s="33">
        <f t="shared" si="199"/>
        <v>0</v>
      </c>
      <c r="N544" s="33">
        <f t="shared" si="187"/>
        <v>0</v>
      </c>
      <c r="O544" s="33">
        <f t="shared" si="199"/>
        <v>0</v>
      </c>
      <c r="P544" s="33">
        <f t="shared" si="199"/>
        <v>0</v>
      </c>
      <c r="Q544" s="33">
        <f t="shared" si="199"/>
        <v>0</v>
      </c>
      <c r="R544" s="35">
        <f t="shared" si="191"/>
        <v>0</v>
      </c>
      <c r="S544" s="35">
        <f t="shared" si="192"/>
        <v>0</v>
      </c>
      <c r="T544" s="35">
        <f t="shared" si="193"/>
        <v>0</v>
      </c>
      <c r="U544" s="35">
        <f t="shared" si="188"/>
        <v>0</v>
      </c>
      <c r="V544" s="35">
        <f t="shared" si="200"/>
        <v>0</v>
      </c>
      <c r="W544" s="35">
        <f t="shared" si="200"/>
        <v>0</v>
      </c>
      <c r="X544" s="35">
        <f t="shared" si="200"/>
        <v>0</v>
      </c>
      <c r="Y544" s="35">
        <f t="shared" si="200"/>
        <v>0</v>
      </c>
      <c r="Z544" s="35">
        <f t="shared" si="200"/>
        <v>0</v>
      </c>
      <c r="AA544" s="35">
        <f t="shared" si="200"/>
        <v>0</v>
      </c>
    </row>
    <row r="545" spans="2:27" x14ac:dyDescent="0.2">
      <c r="B545" s="2">
        <v>543</v>
      </c>
      <c r="C545" s="2" t="str">
        <f t="shared" si="179"/>
        <v>c</v>
      </c>
      <c r="D545" s="29" t="s">
        <v>31</v>
      </c>
      <c r="E545" s="29" t="s">
        <v>219</v>
      </c>
      <c r="F545" s="2" t="s">
        <v>226</v>
      </c>
      <c r="G545" s="2">
        <f t="shared" si="196"/>
        <v>7</v>
      </c>
      <c r="H545" s="2" t="str">
        <f t="shared" si="186"/>
        <v>--</v>
      </c>
      <c r="I545" s="38">
        <f t="shared" si="189"/>
        <v>0</v>
      </c>
      <c r="J545" s="33">
        <f t="shared" si="190"/>
        <v>149</v>
      </c>
      <c r="K545" s="33">
        <f t="shared" si="199"/>
        <v>0</v>
      </c>
      <c r="L545" s="33">
        <f t="shared" si="199"/>
        <v>0</v>
      </c>
      <c r="M545" s="33">
        <f t="shared" si="199"/>
        <v>0</v>
      </c>
      <c r="N545" s="33">
        <f t="shared" si="187"/>
        <v>0</v>
      </c>
      <c r="O545" s="33">
        <f t="shared" si="199"/>
        <v>0</v>
      </c>
      <c r="P545" s="33">
        <f t="shared" si="199"/>
        <v>0</v>
      </c>
      <c r="Q545" s="33">
        <f t="shared" si="199"/>
        <v>0</v>
      </c>
      <c r="R545" s="35">
        <f t="shared" si="191"/>
        <v>0</v>
      </c>
      <c r="S545" s="35">
        <f t="shared" si="192"/>
        <v>0</v>
      </c>
      <c r="T545" s="35">
        <f t="shared" si="193"/>
        <v>0</v>
      </c>
      <c r="U545" s="35">
        <f t="shared" si="188"/>
        <v>0</v>
      </c>
      <c r="V545" s="35">
        <f t="shared" si="200"/>
        <v>0</v>
      </c>
      <c r="W545" s="35">
        <f t="shared" si="200"/>
        <v>0</v>
      </c>
      <c r="X545" s="35">
        <f t="shared" si="200"/>
        <v>0</v>
      </c>
      <c r="Y545" s="35">
        <f t="shared" si="200"/>
        <v>0</v>
      </c>
      <c r="Z545" s="35">
        <f t="shared" si="200"/>
        <v>0</v>
      </c>
      <c r="AA545" s="35">
        <f t="shared" si="200"/>
        <v>0</v>
      </c>
    </row>
    <row r="546" spans="2:27" x14ac:dyDescent="0.2">
      <c r="B546" s="2">
        <v>544</v>
      </c>
      <c r="C546" s="2" t="str">
        <f t="shared" si="179"/>
        <v>c</v>
      </c>
      <c r="D546" s="29" t="s">
        <v>31</v>
      </c>
      <c r="E546" s="29" t="s">
        <v>219</v>
      </c>
      <c r="F546" s="2" t="s">
        <v>226</v>
      </c>
      <c r="G546" s="2">
        <f t="shared" si="196"/>
        <v>8</v>
      </c>
      <c r="H546" s="2" t="str">
        <f t="shared" si="186"/>
        <v>--</v>
      </c>
      <c r="I546" s="38">
        <f t="shared" si="189"/>
        <v>0</v>
      </c>
      <c r="J546" s="33">
        <f t="shared" si="190"/>
        <v>170</v>
      </c>
      <c r="K546" s="33">
        <f t="shared" si="199"/>
        <v>0</v>
      </c>
      <c r="L546" s="33">
        <f t="shared" si="199"/>
        <v>0</v>
      </c>
      <c r="M546" s="33">
        <f t="shared" si="199"/>
        <v>0</v>
      </c>
      <c r="N546" s="33">
        <f t="shared" si="187"/>
        <v>0</v>
      </c>
      <c r="O546" s="33">
        <f t="shared" si="199"/>
        <v>0</v>
      </c>
      <c r="P546" s="33">
        <f t="shared" si="199"/>
        <v>0</v>
      </c>
      <c r="Q546" s="33">
        <f t="shared" si="199"/>
        <v>0</v>
      </c>
      <c r="R546" s="35">
        <f t="shared" si="191"/>
        <v>0</v>
      </c>
      <c r="S546" s="35">
        <f t="shared" si="192"/>
        <v>0</v>
      </c>
      <c r="T546" s="35">
        <f t="shared" si="193"/>
        <v>0</v>
      </c>
      <c r="U546" s="35">
        <f t="shared" si="188"/>
        <v>0</v>
      </c>
      <c r="V546" s="35">
        <f t="shared" si="200"/>
        <v>0</v>
      </c>
      <c r="W546" s="35">
        <f t="shared" si="200"/>
        <v>0</v>
      </c>
      <c r="X546" s="35">
        <f t="shared" si="200"/>
        <v>0</v>
      </c>
      <c r="Y546" s="35">
        <f t="shared" si="200"/>
        <v>0</v>
      </c>
      <c r="Z546" s="35">
        <f t="shared" si="200"/>
        <v>0</v>
      </c>
      <c r="AA546" s="35">
        <f t="shared" si="200"/>
        <v>0</v>
      </c>
    </row>
    <row r="547" spans="2:27" x14ac:dyDescent="0.2">
      <c r="B547" s="2">
        <v>545</v>
      </c>
      <c r="C547" s="2" t="str">
        <f t="shared" si="179"/>
        <v>s</v>
      </c>
      <c r="D547" s="29" t="s">
        <v>31</v>
      </c>
      <c r="E547" s="29" t="s">
        <v>219</v>
      </c>
      <c r="F547" s="2" t="s">
        <v>184</v>
      </c>
      <c r="G547" s="2">
        <f t="shared" si="196"/>
        <v>1</v>
      </c>
      <c r="H547" s="2" t="str">
        <f t="shared" si="186"/>
        <v>电击</v>
      </c>
      <c r="I547" s="38">
        <f t="shared" si="189"/>
        <v>0.1</v>
      </c>
      <c r="J547" s="33">
        <f t="shared" si="190"/>
        <v>19</v>
      </c>
      <c r="K547" s="33">
        <f t="shared" si="199"/>
        <v>14</v>
      </c>
      <c r="L547" s="33">
        <f t="shared" si="199"/>
        <v>3</v>
      </c>
      <c r="M547" s="33">
        <f t="shared" si="199"/>
        <v>8</v>
      </c>
      <c r="N547" s="33">
        <f t="shared" si="187"/>
        <v>31</v>
      </c>
      <c r="O547" s="33">
        <f t="shared" si="199"/>
        <v>10</v>
      </c>
      <c r="P547" s="33">
        <f t="shared" si="199"/>
        <v>5</v>
      </c>
      <c r="Q547" s="33">
        <f t="shared" si="199"/>
        <v>4</v>
      </c>
      <c r="R547" s="35">
        <f t="shared" si="191"/>
        <v>1.3333333333333332E-2</v>
      </c>
      <c r="S547" s="35">
        <f t="shared" si="192"/>
        <v>1.6666666666666666E-2</v>
      </c>
      <c r="T547" s="35">
        <f t="shared" si="193"/>
        <v>1.3333333333333332E-2</v>
      </c>
      <c r="U547" s="35">
        <f t="shared" si="188"/>
        <v>9.9009900990099098E-3</v>
      </c>
      <c r="V547" s="35">
        <f t="shared" si="200"/>
        <v>9.9009900990099098E-3</v>
      </c>
      <c r="W547" s="35">
        <f t="shared" si="200"/>
        <v>9.9009900990099098E-3</v>
      </c>
      <c r="X547" s="35">
        <f t="shared" si="200"/>
        <v>9.9009900990099098E-3</v>
      </c>
      <c r="Y547" s="35">
        <f t="shared" si="200"/>
        <v>9.9009900990099098E-3</v>
      </c>
      <c r="Z547" s="35">
        <f t="shared" si="200"/>
        <v>9.9009900990099098E-3</v>
      </c>
      <c r="AA547" s="35">
        <f t="shared" si="200"/>
        <v>6.5420560747663559E-2</v>
      </c>
    </row>
    <row r="548" spans="2:27" x14ac:dyDescent="0.2">
      <c r="B548" s="2">
        <v>546</v>
      </c>
      <c r="C548" s="2" t="str">
        <f t="shared" ref="C548:C611" si="201">C516</f>
        <v>s</v>
      </c>
      <c r="D548" s="29" t="s">
        <v>31</v>
      </c>
      <c r="E548" s="29" t="s">
        <v>219</v>
      </c>
      <c r="F548" s="2" t="s">
        <v>184</v>
      </c>
      <c r="G548" s="2">
        <f t="shared" si="196"/>
        <v>2</v>
      </c>
      <c r="H548" s="2" t="str">
        <f t="shared" si="186"/>
        <v>电击</v>
      </c>
      <c r="I548" s="38">
        <f t="shared" si="189"/>
        <v>0.17272727272727273</v>
      </c>
      <c r="J548" s="33">
        <f t="shared" si="190"/>
        <v>39</v>
      </c>
      <c r="K548" s="33">
        <f t="shared" si="199"/>
        <v>28</v>
      </c>
      <c r="L548" s="33">
        <f t="shared" si="199"/>
        <v>6</v>
      </c>
      <c r="M548" s="33">
        <f t="shared" si="199"/>
        <v>16</v>
      </c>
      <c r="N548" s="33">
        <f t="shared" si="187"/>
        <v>62</v>
      </c>
      <c r="O548" s="33">
        <f t="shared" si="199"/>
        <v>20</v>
      </c>
      <c r="P548" s="33">
        <f t="shared" si="199"/>
        <v>10</v>
      </c>
      <c r="Q548" s="33">
        <f t="shared" si="199"/>
        <v>9</v>
      </c>
      <c r="R548" s="35">
        <f t="shared" si="191"/>
        <v>0.03</v>
      </c>
      <c r="S548" s="35">
        <f t="shared" si="192"/>
        <v>3.3333333333333333E-2</v>
      </c>
      <c r="T548" s="35">
        <f t="shared" si="193"/>
        <v>0.03</v>
      </c>
      <c r="U548" s="35">
        <f t="shared" si="188"/>
        <v>2.4390243902439046E-2</v>
      </c>
      <c r="V548" s="35">
        <f t="shared" si="200"/>
        <v>2.4390243902439046E-2</v>
      </c>
      <c r="W548" s="35">
        <f t="shared" si="200"/>
        <v>2.4390243902439046E-2</v>
      </c>
      <c r="X548" s="35">
        <f t="shared" si="200"/>
        <v>2.4390243902439046E-2</v>
      </c>
      <c r="Y548" s="35">
        <f t="shared" si="200"/>
        <v>2.4390243902439046E-2</v>
      </c>
      <c r="Z548" s="35">
        <f t="shared" si="200"/>
        <v>2.4390243902439046E-2</v>
      </c>
      <c r="AA548" s="35">
        <f t="shared" si="200"/>
        <v>0.1228070175438597</v>
      </c>
    </row>
    <row r="549" spans="2:27" x14ac:dyDescent="0.2">
      <c r="B549" s="2">
        <v>547</v>
      </c>
      <c r="C549" s="2" t="str">
        <f t="shared" si="201"/>
        <v>s</v>
      </c>
      <c r="D549" s="29" t="s">
        <v>31</v>
      </c>
      <c r="E549" s="29" t="s">
        <v>219</v>
      </c>
      <c r="F549" s="2" t="s">
        <v>184</v>
      </c>
      <c r="G549" s="2">
        <f t="shared" si="196"/>
        <v>3</v>
      </c>
      <c r="H549" s="2" t="str">
        <f t="shared" si="186"/>
        <v>电击</v>
      </c>
      <c r="I549" s="38">
        <f t="shared" si="189"/>
        <v>0.26272727272727275</v>
      </c>
      <c r="J549" s="33">
        <f t="shared" si="190"/>
        <v>59</v>
      </c>
      <c r="K549" s="33">
        <f t="shared" si="199"/>
        <v>42</v>
      </c>
      <c r="L549" s="33">
        <f t="shared" si="199"/>
        <v>10</v>
      </c>
      <c r="M549" s="33">
        <f t="shared" si="199"/>
        <v>25</v>
      </c>
      <c r="N549" s="33">
        <f t="shared" si="187"/>
        <v>92</v>
      </c>
      <c r="O549" s="33">
        <f t="shared" si="199"/>
        <v>31</v>
      </c>
      <c r="P549" s="33">
        <f t="shared" si="199"/>
        <v>16</v>
      </c>
      <c r="Q549" s="33">
        <f t="shared" si="199"/>
        <v>14</v>
      </c>
      <c r="R549" s="35">
        <f t="shared" si="191"/>
        <v>4.6666666666666669E-2</v>
      </c>
      <c r="S549" s="35">
        <f t="shared" si="192"/>
        <v>5.333333333333333E-2</v>
      </c>
      <c r="T549" s="35">
        <f t="shared" si="193"/>
        <v>4.6666666666666669E-2</v>
      </c>
      <c r="U549" s="35">
        <f t="shared" si="188"/>
        <v>3.3816425120772986E-2</v>
      </c>
      <c r="V549" s="35">
        <f t="shared" si="200"/>
        <v>3.3816425120772986E-2</v>
      </c>
      <c r="W549" s="35">
        <f t="shared" si="200"/>
        <v>3.3816425120772986E-2</v>
      </c>
      <c r="X549" s="35">
        <f t="shared" si="200"/>
        <v>3.3816425120772986E-2</v>
      </c>
      <c r="Y549" s="35">
        <f t="shared" si="200"/>
        <v>3.3816425120772986E-2</v>
      </c>
      <c r="Z549" s="35">
        <f t="shared" si="200"/>
        <v>3.3816425120772986E-2</v>
      </c>
      <c r="AA549" s="35">
        <f t="shared" si="200"/>
        <v>0.17355371900826444</v>
      </c>
    </row>
    <row r="550" spans="2:27" x14ac:dyDescent="0.2">
      <c r="B550" s="2">
        <v>548</v>
      </c>
      <c r="C550" s="2" t="str">
        <f t="shared" si="201"/>
        <v>s</v>
      </c>
      <c r="D550" s="29" t="s">
        <v>31</v>
      </c>
      <c r="E550" s="29" t="s">
        <v>219</v>
      </c>
      <c r="F550" s="2" t="s">
        <v>184</v>
      </c>
      <c r="G550" s="2">
        <f t="shared" si="196"/>
        <v>4</v>
      </c>
      <c r="H550" s="2" t="str">
        <f t="shared" si="186"/>
        <v>电击</v>
      </c>
      <c r="I550" s="38">
        <f t="shared" si="189"/>
        <v>0.34909090909090906</v>
      </c>
      <c r="J550" s="33">
        <f t="shared" si="190"/>
        <v>79</v>
      </c>
      <c r="K550" s="33">
        <f t="shared" si="199"/>
        <v>56</v>
      </c>
      <c r="L550" s="33">
        <f t="shared" si="199"/>
        <v>13</v>
      </c>
      <c r="M550" s="33">
        <f t="shared" si="199"/>
        <v>33</v>
      </c>
      <c r="N550" s="33">
        <f t="shared" si="187"/>
        <v>123</v>
      </c>
      <c r="O550" s="33">
        <f t="shared" si="199"/>
        <v>41</v>
      </c>
      <c r="P550" s="33">
        <f t="shared" si="199"/>
        <v>21</v>
      </c>
      <c r="Q550" s="33">
        <f t="shared" si="199"/>
        <v>18</v>
      </c>
      <c r="R550" s="35">
        <f t="shared" si="191"/>
        <v>0.06</v>
      </c>
      <c r="S550" s="35">
        <f t="shared" si="192"/>
        <v>7.0000000000000007E-2</v>
      </c>
      <c r="T550" s="35">
        <f t="shared" si="193"/>
        <v>0.06</v>
      </c>
      <c r="U550" s="35">
        <f t="shared" si="188"/>
        <v>4.3062200956937802E-2</v>
      </c>
      <c r="V550" s="35">
        <f t="shared" si="200"/>
        <v>4.3062200956937802E-2</v>
      </c>
      <c r="W550" s="35">
        <f t="shared" si="200"/>
        <v>4.3062200956937802E-2</v>
      </c>
      <c r="X550" s="35">
        <f t="shared" si="200"/>
        <v>4.3062200956937802E-2</v>
      </c>
      <c r="Y550" s="35">
        <f t="shared" si="200"/>
        <v>4.3062200956937802E-2</v>
      </c>
      <c r="Z550" s="35">
        <f t="shared" si="200"/>
        <v>4.3062200956937802E-2</v>
      </c>
      <c r="AA550" s="35">
        <f t="shared" si="200"/>
        <v>0.21875</v>
      </c>
    </row>
    <row r="551" spans="2:27" x14ac:dyDescent="0.2">
      <c r="B551" s="2">
        <v>549</v>
      </c>
      <c r="C551" s="2" t="str">
        <f t="shared" si="201"/>
        <v>s</v>
      </c>
      <c r="D551" s="29" t="s">
        <v>31</v>
      </c>
      <c r="E551" s="29" t="s">
        <v>219</v>
      </c>
      <c r="F551" s="2" t="s">
        <v>184</v>
      </c>
      <c r="G551" s="2">
        <f t="shared" si="196"/>
        <v>5</v>
      </c>
      <c r="H551" s="2" t="str">
        <f t="shared" si="186"/>
        <v>电击</v>
      </c>
      <c r="I551" s="38">
        <f t="shared" si="189"/>
        <v>0.43727272727272726</v>
      </c>
      <c r="J551" s="33">
        <f t="shared" si="190"/>
        <v>99</v>
      </c>
      <c r="K551" s="33">
        <f t="shared" si="199"/>
        <v>70</v>
      </c>
      <c r="L551" s="33">
        <f t="shared" si="199"/>
        <v>16</v>
      </c>
      <c r="M551" s="33">
        <f t="shared" si="199"/>
        <v>42</v>
      </c>
      <c r="N551" s="33">
        <f t="shared" si="187"/>
        <v>153</v>
      </c>
      <c r="O551" s="33">
        <f t="shared" si="199"/>
        <v>51</v>
      </c>
      <c r="P551" s="33">
        <f t="shared" si="199"/>
        <v>27</v>
      </c>
      <c r="Q551" s="33">
        <f t="shared" si="199"/>
        <v>23</v>
      </c>
      <c r="R551" s="35">
        <f t="shared" si="191"/>
        <v>7.6666666666666675E-2</v>
      </c>
      <c r="S551" s="35">
        <f t="shared" si="192"/>
        <v>0.09</v>
      </c>
      <c r="T551" s="35">
        <f t="shared" si="193"/>
        <v>7.6666666666666675E-2</v>
      </c>
      <c r="U551" s="35">
        <f t="shared" si="188"/>
        <v>5.6603773584905648E-2</v>
      </c>
      <c r="V551" s="35">
        <f t="shared" si="200"/>
        <v>5.6603773584905648E-2</v>
      </c>
      <c r="W551" s="35">
        <f t="shared" si="200"/>
        <v>5.6603773584905648E-2</v>
      </c>
      <c r="X551" s="35">
        <f t="shared" si="200"/>
        <v>5.6603773584905648E-2</v>
      </c>
      <c r="Y551" s="35">
        <f t="shared" si="200"/>
        <v>5.6603773584905648E-2</v>
      </c>
      <c r="Z551" s="35">
        <f t="shared" si="200"/>
        <v>5.6603773584905648E-2</v>
      </c>
      <c r="AA551" s="35">
        <f t="shared" si="200"/>
        <v>0.26199261992619927</v>
      </c>
    </row>
    <row r="552" spans="2:27" x14ac:dyDescent="0.2">
      <c r="B552" s="2">
        <v>550</v>
      </c>
      <c r="C552" s="2" t="str">
        <f t="shared" si="201"/>
        <v>s</v>
      </c>
      <c r="D552" s="29" t="s">
        <v>31</v>
      </c>
      <c r="E552" s="29" t="s">
        <v>219</v>
      </c>
      <c r="F552" s="2" t="s">
        <v>184</v>
      </c>
      <c r="G552" s="2">
        <f t="shared" si="196"/>
        <v>6</v>
      </c>
      <c r="H552" s="2" t="str">
        <f t="shared" si="186"/>
        <v>电击</v>
      </c>
      <c r="I552" s="38">
        <f t="shared" si="189"/>
        <v>0.52545454545454551</v>
      </c>
      <c r="J552" s="33">
        <f t="shared" si="190"/>
        <v>118</v>
      </c>
      <c r="K552" s="33">
        <f t="shared" si="199"/>
        <v>84</v>
      </c>
      <c r="L552" s="33">
        <f t="shared" si="199"/>
        <v>20</v>
      </c>
      <c r="M552" s="33">
        <f t="shared" si="199"/>
        <v>50</v>
      </c>
      <c r="N552" s="33">
        <f t="shared" si="187"/>
        <v>184</v>
      </c>
      <c r="O552" s="33">
        <f t="shared" si="199"/>
        <v>62</v>
      </c>
      <c r="P552" s="33">
        <f t="shared" si="199"/>
        <v>32</v>
      </c>
      <c r="Q552" s="33">
        <f t="shared" si="199"/>
        <v>28</v>
      </c>
      <c r="R552" s="35">
        <f t="shared" si="191"/>
        <v>9.3333333333333338E-2</v>
      </c>
      <c r="S552" s="35">
        <f t="shared" si="192"/>
        <v>0.10666666666666666</v>
      </c>
      <c r="T552" s="35">
        <f t="shared" si="193"/>
        <v>9.3333333333333338E-2</v>
      </c>
      <c r="U552" s="35">
        <f t="shared" si="188"/>
        <v>6.5420560747663559E-2</v>
      </c>
      <c r="V552" s="35">
        <f t="shared" si="200"/>
        <v>6.5420560747663559E-2</v>
      </c>
      <c r="W552" s="35">
        <f t="shared" si="200"/>
        <v>6.5420560747663559E-2</v>
      </c>
      <c r="X552" s="35">
        <f t="shared" si="200"/>
        <v>6.5420560747663559E-2</v>
      </c>
      <c r="Y552" s="35">
        <f t="shared" si="200"/>
        <v>6.5420560747663559E-2</v>
      </c>
      <c r="Z552" s="35">
        <f t="shared" si="200"/>
        <v>6.5420560747663559E-2</v>
      </c>
      <c r="AA552" s="35">
        <f t="shared" si="200"/>
        <v>0.29824561403508776</v>
      </c>
    </row>
    <row r="553" spans="2:27" x14ac:dyDescent="0.2">
      <c r="B553" s="2">
        <v>551</v>
      </c>
      <c r="C553" s="2" t="str">
        <f t="shared" si="201"/>
        <v>s</v>
      </c>
      <c r="D553" s="29" t="s">
        <v>31</v>
      </c>
      <c r="E553" s="29" t="s">
        <v>219</v>
      </c>
      <c r="F553" s="2" t="s">
        <v>184</v>
      </c>
      <c r="G553" s="2">
        <f t="shared" si="196"/>
        <v>7</v>
      </c>
      <c r="H553" s="2" t="str">
        <f t="shared" si="186"/>
        <v>电击</v>
      </c>
      <c r="I553" s="38">
        <f t="shared" si="189"/>
        <v>0.61272727272727279</v>
      </c>
      <c r="J553" s="33">
        <f t="shared" si="190"/>
        <v>138</v>
      </c>
      <c r="K553" s="33">
        <f t="shared" ref="K553:Q562" si="202">INT((1+VLOOKUP($F553,role_property_weight,getpos(K$2),FALSE))*(1+VLOOKUP($F553,weapon_property_weight,getpos(K$2),FALSE))*VLOOKUP($E553,role_grow,getpos(K$2),FALSE)*$G553*10*VLOOKUP($C553,weapon_grow1,5,FALSE))</f>
        <v>98</v>
      </c>
      <c r="L553" s="33">
        <f t="shared" si="202"/>
        <v>23</v>
      </c>
      <c r="M553" s="33">
        <f t="shared" si="202"/>
        <v>59</v>
      </c>
      <c r="N553" s="33">
        <f t="shared" si="187"/>
        <v>215</v>
      </c>
      <c r="O553" s="33">
        <f t="shared" si="202"/>
        <v>72</v>
      </c>
      <c r="P553" s="33">
        <f t="shared" si="202"/>
        <v>37</v>
      </c>
      <c r="Q553" s="33">
        <f t="shared" si="202"/>
        <v>32</v>
      </c>
      <c r="R553" s="35">
        <f t="shared" si="191"/>
        <v>0.10666666666666666</v>
      </c>
      <c r="S553" s="35">
        <f t="shared" si="192"/>
        <v>0.12333333333333334</v>
      </c>
      <c r="T553" s="35">
        <f t="shared" si="193"/>
        <v>0.10666666666666666</v>
      </c>
      <c r="U553" s="35">
        <f t="shared" si="188"/>
        <v>7.407407407407407E-2</v>
      </c>
      <c r="V553" s="35">
        <f t="shared" ref="V553:AA562" si="203">1-200/(200+ROUND((1+VLOOKUP($F553,role_property_weight,getpos(V$2),FALSE))*VLOOKUP($E553,role_grow,getpos(V$2),FALSE)*$G553*10*VLOOKUP($C553,weapon_grow1,5,FALSE),0))</f>
        <v>7.407407407407407E-2</v>
      </c>
      <c r="W553" s="35">
        <f t="shared" si="203"/>
        <v>7.407407407407407E-2</v>
      </c>
      <c r="X553" s="35">
        <f t="shared" si="203"/>
        <v>7.407407407407407E-2</v>
      </c>
      <c r="Y553" s="35">
        <f t="shared" si="203"/>
        <v>7.407407407407407E-2</v>
      </c>
      <c r="Z553" s="35">
        <f t="shared" si="203"/>
        <v>7.407407407407407E-2</v>
      </c>
      <c r="AA553" s="35">
        <f t="shared" si="203"/>
        <v>0.33110367892976589</v>
      </c>
    </row>
    <row r="554" spans="2:27" x14ac:dyDescent="0.2">
      <c r="B554" s="2">
        <v>552</v>
      </c>
      <c r="C554" s="2" t="str">
        <f t="shared" si="201"/>
        <v>s</v>
      </c>
      <c r="D554" s="29" t="s">
        <v>31</v>
      </c>
      <c r="E554" s="29" t="s">
        <v>219</v>
      </c>
      <c r="F554" s="2" t="s">
        <v>184</v>
      </c>
      <c r="G554" s="2">
        <f t="shared" si="196"/>
        <v>8</v>
      </c>
      <c r="H554" s="2" t="str">
        <f t="shared" si="186"/>
        <v>电击</v>
      </c>
      <c r="I554" s="38">
        <f t="shared" si="189"/>
        <v>0.70090909090909093</v>
      </c>
      <c r="J554" s="33">
        <f t="shared" si="190"/>
        <v>158</v>
      </c>
      <c r="K554" s="33">
        <f t="shared" si="202"/>
        <v>112</v>
      </c>
      <c r="L554" s="33">
        <f t="shared" si="202"/>
        <v>27</v>
      </c>
      <c r="M554" s="33">
        <f t="shared" si="202"/>
        <v>67</v>
      </c>
      <c r="N554" s="33">
        <f t="shared" si="187"/>
        <v>245</v>
      </c>
      <c r="O554" s="33">
        <f t="shared" si="202"/>
        <v>82</v>
      </c>
      <c r="P554" s="33">
        <f t="shared" si="202"/>
        <v>43</v>
      </c>
      <c r="Q554" s="33">
        <f t="shared" si="202"/>
        <v>37</v>
      </c>
      <c r="R554" s="35">
        <f t="shared" si="191"/>
        <v>0.12333333333333334</v>
      </c>
      <c r="S554" s="35">
        <f t="shared" si="192"/>
        <v>0.14333333333333334</v>
      </c>
      <c r="T554" s="35">
        <f t="shared" si="193"/>
        <v>0.12333333333333334</v>
      </c>
      <c r="U554" s="35">
        <f t="shared" si="188"/>
        <v>8.6757990867579959E-2</v>
      </c>
      <c r="V554" s="35">
        <f t="shared" si="203"/>
        <v>8.6757990867579959E-2</v>
      </c>
      <c r="W554" s="35">
        <f t="shared" si="203"/>
        <v>8.6757990867579959E-2</v>
      </c>
      <c r="X554" s="35">
        <f t="shared" si="203"/>
        <v>8.6757990867579959E-2</v>
      </c>
      <c r="Y554" s="35">
        <f t="shared" si="203"/>
        <v>8.6757990867579959E-2</v>
      </c>
      <c r="Z554" s="35">
        <f t="shared" si="203"/>
        <v>8.6757990867579959E-2</v>
      </c>
      <c r="AA554" s="35">
        <f t="shared" si="203"/>
        <v>0.36102236421725242</v>
      </c>
    </row>
    <row r="555" spans="2:27" x14ac:dyDescent="0.2">
      <c r="B555" s="2">
        <v>553</v>
      </c>
      <c r="C555" s="2" t="str">
        <f t="shared" si="201"/>
        <v>a</v>
      </c>
      <c r="D555" s="29" t="s">
        <v>31</v>
      </c>
      <c r="E555" s="29" t="s">
        <v>219</v>
      </c>
      <c r="F555" s="2" t="s">
        <v>184</v>
      </c>
      <c r="G555" s="2">
        <f t="shared" si="196"/>
        <v>1</v>
      </c>
      <c r="H555" s="2" t="str">
        <f t="shared" si="186"/>
        <v>电击</v>
      </c>
      <c r="I555" s="38">
        <f t="shared" si="189"/>
        <v>0.1</v>
      </c>
      <c r="J555" s="33">
        <f t="shared" si="190"/>
        <v>15</v>
      </c>
      <c r="K555" s="33">
        <f t="shared" si="202"/>
        <v>14</v>
      </c>
      <c r="L555" s="33">
        <f t="shared" si="202"/>
        <v>3</v>
      </c>
      <c r="M555" s="33">
        <f t="shared" si="202"/>
        <v>8</v>
      </c>
      <c r="N555" s="33">
        <f t="shared" si="187"/>
        <v>33</v>
      </c>
      <c r="O555" s="33">
        <f t="shared" si="202"/>
        <v>10</v>
      </c>
      <c r="P555" s="33">
        <f t="shared" si="202"/>
        <v>5</v>
      </c>
      <c r="Q555" s="33">
        <f t="shared" si="202"/>
        <v>4</v>
      </c>
      <c r="R555" s="35">
        <f t="shared" si="191"/>
        <v>1.3333333333333332E-2</v>
      </c>
      <c r="S555" s="35">
        <f t="shared" si="192"/>
        <v>1.6666666666666666E-2</v>
      </c>
      <c r="T555" s="35">
        <f t="shared" si="193"/>
        <v>1.3333333333333332E-2</v>
      </c>
      <c r="U555" s="35">
        <f t="shared" si="188"/>
        <v>9.9009900990099098E-3</v>
      </c>
      <c r="V555" s="35">
        <f t="shared" si="203"/>
        <v>9.9009900990099098E-3</v>
      </c>
      <c r="W555" s="35">
        <f t="shared" si="203"/>
        <v>9.9009900990099098E-3</v>
      </c>
      <c r="X555" s="35">
        <f t="shared" si="203"/>
        <v>9.9009900990099098E-3</v>
      </c>
      <c r="Y555" s="35">
        <f t="shared" si="203"/>
        <v>9.9009900990099098E-3</v>
      </c>
      <c r="Z555" s="35">
        <f t="shared" si="203"/>
        <v>9.9009900990099098E-3</v>
      </c>
      <c r="AA555" s="35">
        <f t="shared" si="203"/>
        <v>6.9767441860465129E-2</v>
      </c>
    </row>
    <row r="556" spans="2:27" x14ac:dyDescent="0.2">
      <c r="B556" s="2">
        <v>554</v>
      </c>
      <c r="C556" s="2" t="str">
        <f t="shared" si="201"/>
        <v>a</v>
      </c>
      <c r="D556" s="29" t="s">
        <v>31</v>
      </c>
      <c r="E556" s="29" t="s">
        <v>219</v>
      </c>
      <c r="F556" s="2" t="s">
        <v>184</v>
      </c>
      <c r="G556" s="2">
        <f t="shared" si="196"/>
        <v>2</v>
      </c>
      <c r="H556" s="2" t="str">
        <f t="shared" si="186"/>
        <v>电击</v>
      </c>
      <c r="I556" s="38">
        <f t="shared" si="189"/>
        <v>0.17181818181818184</v>
      </c>
      <c r="J556" s="33">
        <f t="shared" si="190"/>
        <v>30</v>
      </c>
      <c r="K556" s="33">
        <f t="shared" si="202"/>
        <v>29</v>
      </c>
      <c r="L556" s="33">
        <f t="shared" si="202"/>
        <v>7</v>
      </c>
      <c r="M556" s="33">
        <f t="shared" si="202"/>
        <v>17</v>
      </c>
      <c r="N556" s="33">
        <f t="shared" si="187"/>
        <v>65</v>
      </c>
      <c r="O556" s="33">
        <f t="shared" si="202"/>
        <v>21</v>
      </c>
      <c r="P556" s="33">
        <f t="shared" si="202"/>
        <v>11</v>
      </c>
      <c r="Q556" s="33">
        <f t="shared" si="202"/>
        <v>9</v>
      </c>
      <c r="R556" s="35">
        <f t="shared" si="191"/>
        <v>0.03</v>
      </c>
      <c r="S556" s="35">
        <f t="shared" si="192"/>
        <v>3.6666666666666667E-2</v>
      </c>
      <c r="T556" s="35">
        <f t="shared" si="193"/>
        <v>0.03</v>
      </c>
      <c r="U556" s="35">
        <f t="shared" si="188"/>
        <v>2.4390243902439046E-2</v>
      </c>
      <c r="V556" s="35">
        <f t="shared" si="203"/>
        <v>2.4390243902439046E-2</v>
      </c>
      <c r="W556" s="35">
        <f t="shared" si="203"/>
        <v>2.4390243902439046E-2</v>
      </c>
      <c r="X556" s="35">
        <f t="shared" si="203"/>
        <v>2.4390243902439046E-2</v>
      </c>
      <c r="Y556" s="35">
        <f t="shared" si="203"/>
        <v>2.4390243902439046E-2</v>
      </c>
      <c r="Z556" s="35">
        <f t="shared" si="203"/>
        <v>2.4390243902439046E-2</v>
      </c>
      <c r="AA556" s="35">
        <f t="shared" si="203"/>
        <v>0.13043478260869568</v>
      </c>
    </row>
    <row r="557" spans="2:27" x14ac:dyDescent="0.2">
      <c r="B557" s="2">
        <v>555</v>
      </c>
      <c r="C557" s="2" t="str">
        <f t="shared" si="201"/>
        <v>a</v>
      </c>
      <c r="D557" s="29" t="s">
        <v>31</v>
      </c>
      <c r="E557" s="29" t="s">
        <v>219</v>
      </c>
      <c r="F557" s="2" t="s">
        <v>184</v>
      </c>
      <c r="G557" s="2">
        <f t="shared" si="196"/>
        <v>3</v>
      </c>
      <c r="H557" s="2" t="str">
        <f t="shared" si="186"/>
        <v>电击</v>
      </c>
      <c r="I557" s="38">
        <f t="shared" si="189"/>
        <v>0.25909090909090909</v>
      </c>
      <c r="J557" s="33">
        <f t="shared" si="190"/>
        <v>45</v>
      </c>
      <c r="K557" s="33">
        <f t="shared" si="202"/>
        <v>44</v>
      </c>
      <c r="L557" s="33">
        <f t="shared" si="202"/>
        <v>10</v>
      </c>
      <c r="M557" s="33">
        <f t="shared" si="202"/>
        <v>26</v>
      </c>
      <c r="N557" s="33">
        <f t="shared" si="187"/>
        <v>97</v>
      </c>
      <c r="O557" s="33">
        <f t="shared" si="202"/>
        <v>32</v>
      </c>
      <c r="P557" s="33">
        <f t="shared" si="202"/>
        <v>17</v>
      </c>
      <c r="Q557" s="33">
        <f t="shared" si="202"/>
        <v>14</v>
      </c>
      <c r="R557" s="35">
        <f t="shared" si="191"/>
        <v>4.6666666666666669E-2</v>
      </c>
      <c r="S557" s="35">
        <f t="shared" si="192"/>
        <v>5.6666666666666671E-2</v>
      </c>
      <c r="T557" s="35">
        <f t="shared" si="193"/>
        <v>4.6666666666666669E-2</v>
      </c>
      <c r="U557" s="35">
        <f t="shared" si="188"/>
        <v>3.3816425120772986E-2</v>
      </c>
      <c r="V557" s="35">
        <f t="shared" si="203"/>
        <v>3.3816425120772986E-2</v>
      </c>
      <c r="W557" s="35">
        <f t="shared" si="203"/>
        <v>3.3816425120772986E-2</v>
      </c>
      <c r="X557" s="35">
        <f t="shared" si="203"/>
        <v>3.3816425120772986E-2</v>
      </c>
      <c r="Y557" s="35">
        <f t="shared" si="203"/>
        <v>3.3816425120772986E-2</v>
      </c>
      <c r="Z557" s="35">
        <f t="shared" si="203"/>
        <v>3.3816425120772986E-2</v>
      </c>
      <c r="AA557" s="35">
        <f t="shared" si="203"/>
        <v>0.18367346938775508</v>
      </c>
    </row>
    <row r="558" spans="2:27" x14ac:dyDescent="0.2">
      <c r="B558" s="2">
        <v>556</v>
      </c>
      <c r="C558" s="2" t="str">
        <f t="shared" si="201"/>
        <v>a</v>
      </c>
      <c r="D558" s="29" t="s">
        <v>31</v>
      </c>
      <c r="E558" s="29" t="s">
        <v>219</v>
      </c>
      <c r="F558" s="2" t="s">
        <v>184</v>
      </c>
      <c r="G558" s="2">
        <f t="shared" si="196"/>
        <v>4</v>
      </c>
      <c r="H558" s="2" t="str">
        <f t="shared" si="186"/>
        <v>电击</v>
      </c>
      <c r="I558" s="38">
        <f t="shared" si="189"/>
        <v>0.34636363636363632</v>
      </c>
      <c r="J558" s="33">
        <f t="shared" si="190"/>
        <v>60</v>
      </c>
      <c r="K558" s="33">
        <f t="shared" si="202"/>
        <v>59</v>
      </c>
      <c r="L558" s="33">
        <f t="shared" si="202"/>
        <v>14</v>
      </c>
      <c r="M558" s="33">
        <f t="shared" si="202"/>
        <v>35</v>
      </c>
      <c r="N558" s="33">
        <f t="shared" si="187"/>
        <v>129</v>
      </c>
      <c r="O558" s="33">
        <f t="shared" si="202"/>
        <v>43</v>
      </c>
      <c r="P558" s="33">
        <f t="shared" si="202"/>
        <v>22</v>
      </c>
      <c r="Q558" s="33">
        <f t="shared" si="202"/>
        <v>19</v>
      </c>
      <c r="R558" s="35">
        <f t="shared" si="191"/>
        <v>6.3333333333333325E-2</v>
      </c>
      <c r="S558" s="35">
        <f t="shared" si="192"/>
        <v>7.3333333333333334E-2</v>
      </c>
      <c r="T558" s="35">
        <f t="shared" si="193"/>
        <v>6.3333333333333325E-2</v>
      </c>
      <c r="U558" s="35">
        <f t="shared" si="188"/>
        <v>4.7619047619047672E-2</v>
      </c>
      <c r="V558" s="35">
        <f t="shared" si="203"/>
        <v>4.7619047619047672E-2</v>
      </c>
      <c r="W558" s="35">
        <f t="shared" si="203"/>
        <v>4.7619047619047672E-2</v>
      </c>
      <c r="X558" s="35">
        <f t="shared" si="203"/>
        <v>4.7619047619047672E-2</v>
      </c>
      <c r="Y558" s="35">
        <f t="shared" si="203"/>
        <v>4.7619047619047672E-2</v>
      </c>
      <c r="Z558" s="35">
        <f t="shared" si="203"/>
        <v>4.7619047619047672E-2</v>
      </c>
      <c r="AA558" s="35">
        <f t="shared" si="203"/>
        <v>0.23076923076923073</v>
      </c>
    </row>
    <row r="559" spans="2:27" x14ac:dyDescent="0.2">
      <c r="B559" s="2">
        <v>557</v>
      </c>
      <c r="C559" s="2" t="str">
        <f t="shared" si="201"/>
        <v>a</v>
      </c>
      <c r="D559" s="29" t="s">
        <v>31</v>
      </c>
      <c r="E559" s="29" t="s">
        <v>219</v>
      </c>
      <c r="F559" s="2" t="s">
        <v>184</v>
      </c>
      <c r="G559" s="2">
        <f t="shared" si="196"/>
        <v>5</v>
      </c>
      <c r="H559" s="2" t="str">
        <f t="shared" si="186"/>
        <v>电击</v>
      </c>
      <c r="I559" s="38">
        <f t="shared" si="189"/>
        <v>0.43454545454545451</v>
      </c>
      <c r="J559" s="33">
        <f t="shared" si="190"/>
        <v>75</v>
      </c>
      <c r="K559" s="33">
        <f t="shared" si="202"/>
        <v>74</v>
      </c>
      <c r="L559" s="33">
        <f t="shared" si="202"/>
        <v>17</v>
      </c>
      <c r="M559" s="33">
        <f t="shared" si="202"/>
        <v>44</v>
      </c>
      <c r="N559" s="33">
        <f t="shared" si="187"/>
        <v>162</v>
      </c>
      <c r="O559" s="33">
        <f t="shared" si="202"/>
        <v>54</v>
      </c>
      <c r="P559" s="33">
        <f t="shared" si="202"/>
        <v>28</v>
      </c>
      <c r="Q559" s="33">
        <f t="shared" si="202"/>
        <v>24</v>
      </c>
      <c r="R559" s="35">
        <f t="shared" si="191"/>
        <v>0.08</v>
      </c>
      <c r="S559" s="35">
        <f t="shared" si="192"/>
        <v>9.3333333333333338E-2</v>
      </c>
      <c r="T559" s="35">
        <f t="shared" si="193"/>
        <v>0.08</v>
      </c>
      <c r="U559" s="35">
        <f t="shared" si="188"/>
        <v>5.6603773584905648E-2</v>
      </c>
      <c r="V559" s="35">
        <f t="shared" si="203"/>
        <v>5.6603773584905648E-2</v>
      </c>
      <c r="W559" s="35">
        <f t="shared" si="203"/>
        <v>5.6603773584905648E-2</v>
      </c>
      <c r="X559" s="35">
        <f t="shared" si="203"/>
        <v>5.6603773584905648E-2</v>
      </c>
      <c r="Y559" s="35">
        <f t="shared" si="203"/>
        <v>5.6603773584905648E-2</v>
      </c>
      <c r="Z559" s="35">
        <f t="shared" si="203"/>
        <v>5.6603773584905648E-2</v>
      </c>
      <c r="AA559" s="35">
        <f t="shared" si="203"/>
        <v>0.27007299270072993</v>
      </c>
    </row>
    <row r="560" spans="2:27" x14ac:dyDescent="0.2">
      <c r="B560" s="2">
        <v>558</v>
      </c>
      <c r="C560" s="2" t="str">
        <f t="shared" si="201"/>
        <v>a</v>
      </c>
      <c r="D560" s="29" t="s">
        <v>31</v>
      </c>
      <c r="E560" s="29" t="s">
        <v>219</v>
      </c>
      <c r="F560" s="2" t="s">
        <v>184</v>
      </c>
      <c r="G560" s="2">
        <f t="shared" si="196"/>
        <v>6</v>
      </c>
      <c r="H560" s="2" t="str">
        <f t="shared" si="186"/>
        <v>电击</v>
      </c>
      <c r="I560" s="38">
        <f t="shared" si="189"/>
        <v>0.52272727272727271</v>
      </c>
      <c r="J560" s="33">
        <f t="shared" si="190"/>
        <v>90</v>
      </c>
      <c r="K560" s="33">
        <f t="shared" si="202"/>
        <v>89</v>
      </c>
      <c r="L560" s="33">
        <f t="shared" si="202"/>
        <v>21</v>
      </c>
      <c r="M560" s="33">
        <f t="shared" si="202"/>
        <v>53</v>
      </c>
      <c r="N560" s="33">
        <f t="shared" si="187"/>
        <v>194</v>
      </c>
      <c r="O560" s="33">
        <f t="shared" si="202"/>
        <v>65</v>
      </c>
      <c r="P560" s="33">
        <f t="shared" si="202"/>
        <v>34</v>
      </c>
      <c r="Q560" s="33">
        <f t="shared" si="202"/>
        <v>29</v>
      </c>
      <c r="R560" s="35">
        <f t="shared" si="191"/>
        <v>9.6666666666666665E-2</v>
      </c>
      <c r="S560" s="35">
        <f t="shared" si="192"/>
        <v>0.11333333333333334</v>
      </c>
      <c r="T560" s="35">
        <f t="shared" si="193"/>
        <v>9.6666666666666665E-2</v>
      </c>
      <c r="U560" s="35">
        <f t="shared" si="188"/>
        <v>6.9767441860465129E-2</v>
      </c>
      <c r="V560" s="35">
        <f t="shared" si="203"/>
        <v>6.9767441860465129E-2</v>
      </c>
      <c r="W560" s="35">
        <f t="shared" si="203"/>
        <v>6.9767441860465129E-2</v>
      </c>
      <c r="X560" s="35">
        <f t="shared" si="203"/>
        <v>6.9767441860465129E-2</v>
      </c>
      <c r="Y560" s="35">
        <f t="shared" si="203"/>
        <v>6.9767441860465129E-2</v>
      </c>
      <c r="Z560" s="35">
        <f t="shared" si="203"/>
        <v>6.9767441860465129E-2</v>
      </c>
      <c r="AA560" s="35">
        <f t="shared" si="203"/>
        <v>0.30795847750865057</v>
      </c>
    </row>
    <row r="561" spans="2:27" x14ac:dyDescent="0.2">
      <c r="B561" s="2">
        <v>559</v>
      </c>
      <c r="C561" s="2" t="str">
        <f t="shared" si="201"/>
        <v>a</v>
      </c>
      <c r="D561" s="29" t="s">
        <v>31</v>
      </c>
      <c r="E561" s="29" t="s">
        <v>219</v>
      </c>
      <c r="F561" s="2" t="s">
        <v>184</v>
      </c>
      <c r="G561" s="2">
        <f t="shared" si="196"/>
        <v>7</v>
      </c>
      <c r="H561" s="2" t="str">
        <f t="shared" si="186"/>
        <v>电击</v>
      </c>
      <c r="I561" s="38">
        <f t="shared" si="189"/>
        <v>0.61</v>
      </c>
      <c r="J561" s="33">
        <f t="shared" si="190"/>
        <v>106</v>
      </c>
      <c r="K561" s="33">
        <f t="shared" si="202"/>
        <v>104</v>
      </c>
      <c r="L561" s="33">
        <f t="shared" si="202"/>
        <v>24</v>
      </c>
      <c r="M561" s="33">
        <f t="shared" si="202"/>
        <v>62</v>
      </c>
      <c r="N561" s="33">
        <f t="shared" si="187"/>
        <v>226</v>
      </c>
      <c r="O561" s="33">
        <f t="shared" si="202"/>
        <v>76</v>
      </c>
      <c r="P561" s="33">
        <f t="shared" si="202"/>
        <v>39</v>
      </c>
      <c r="Q561" s="33">
        <f t="shared" si="202"/>
        <v>34</v>
      </c>
      <c r="R561" s="35">
        <f t="shared" si="191"/>
        <v>0.11333333333333334</v>
      </c>
      <c r="S561" s="35">
        <f t="shared" si="192"/>
        <v>0.13</v>
      </c>
      <c r="T561" s="35">
        <f t="shared" si="193"/>
        <v>0.11333333333333334</v>
      </c>
      <c r="U561" s="35">
        <f t="shared" si="188"/>
        <v>7.8341013824884786E-2</v>
      </c>
      <c r="V561" s="35">
        <f t="shared" si="203"/>
        <v>7.8341013824884786E-2</v>
      </c>
      <c r="W561" s="35">
        <f t="shared" si="203"/>
        <v>7.8341013824884786E-2</v>
      </c>
      <c r="X561" s="35">
        <f t="shared" si="203"/>
        <v>7.8341013824884786E-2</v>
      </c>
      <c r="Y561" s="35">
        <f t="shared" si="203"/>
        <v>7.8341013824884786E-2</v>
      </c>
      <c r="Z561" s="35">
        <f t="shared" si="203"/>
        <v>7.8341013824884786E-2</v>
      </c>
      <c r="AA561" s="35">
        <f t="shared" si="203"/>
        <v>0.34210526315789469</v>
      </c>
    </row>
    <row r="562" spans="2:27" x14ac:dyDescent="0.2">
      <c r="B562" s="2">
        <v>560</v>
      </c>
      <c r="C562" s="2" t="str">
        <f t="shared" si="201"/>
        <v>a</v>
      </c>
      <c r="D562" s="29" t="s">
        <v>31</v>
      </c>
      <c r="E562" s="29" t="s">
        <v>219</v>
      </c>
      <c r="F562" s="2" t="s">
        <v>184</v>
      </c>
      <c r="G562" s="2">
        <f t="shared" si="196"/>
        <v>8</v>
      </c>
      <c r="H562" s="2" t="str">
        <f t="shared" si="186"/>
        <v>电击</v>
      </c>
      <c r="I562" s="38">
        <f t="shared" si="189"/>
        <v>0.69818181818181813</v>
      </c>
      <c r="J562" s="33">
        <f t="shared" si="190"/>
        <v>121</v>
      </c>
      <c r="K562" s="33">
        <f t="shared" si="202"/>
        <v>119</v>
      </c>
      <c r="L562" s="33">
        <f t="shared" si="202"/>
        <v>28</v>
      </c>
      <c r="M562" s="33">
        <f t="shared" si="202"/>
        <v>71</v>
      </c>
      <c r="N562" s="33">
        <f t="shared" si="187"/>
        <v>258</v>
      </c>
      <c r="O562" s="33">
        <f t="shared" si="202"/>
        <v>87</v>
      </c>
      <c r="P562" s="33">
        <f t="shared" si="202"/>
        <v>45</v>
      </c>
      <c r="Q562" s="33">
        <f t="shared" si="202"/>
        <v>39</v>
      </c>
      <c r="R562" s="35">
        <f t="shared" si="191"/>
        <v>0.13</v>
      </c>
      <c r="S562" s="35">
        <f t="shared" si="192"/>
        <v>0.15</v>
      </c>
      <c r="T562" s="35">
        <f t="shared" si="193"/>
        <v>0.13</v>
      </c>
      <c r="U562" s="35">
        <f t="shared" si="188"/>
        <v>9.0909090909090939E-2</v>
      </c>
      <c r="V562" s="35">
        <f t="shared" si="203"/>
        <v>9.0909090909090939E-2</v>
      </c>
      <c r="W562" s="35">
        <f t="shared" si="203"/>
        <v>9.0909090909090939E-2</v>
      </c>
      <c r="X562" s="35">
        <f t="shared" si="203"/>
        <v>9.0909090909090939E-2</v>
      </c>
      <c r="Y562" s="35">
        <f t="shared" si="203"/>
        <v>9.0909090909090939E-2</v>
      </c>
      <c r="Z562" s="35">
        <f t="shared" si="203"/>
        <v>9.0909090909090939E-2</v>
      </c>
      <c r="AA562" s="35">
        <f t="shared" si="203"/>
        <v>0.37304075235109713</v>
      </c>
    </row>
    <row r="563" spans="2:27" x14ac:dyDescent="0.2">
      <c r="B563" s="2">
        <v>561</v>
      </c>
      <c r="C563" s="2" t="str">
        <f t="shared" si="201"/>
        <v>b</v>
      </c>
      <c r="D563" s="29" t="s">
        <v>31</v>
      </c>
      <c r="E563" s="29" t="s">
        <v>219</v>
      </c>
      <c r="F563" s="2" t="s">
        <v>184</v>
      </c>
      <c r="G563" s="2">
        <f t="shared" si="196"/>
        <v>1</v>
      </c>
      <c r="H563" s="2" t="str">
        <f t="shared" si="186"/>
        <v>电击</v>
      </c>
      <c r="I563" s="38">
        <f t="shared" si="189"/>
        <v>0.10545454545454545</v>
      </c>
      <c r="J563" s="33">
        <f t="shared" si="190"/>
        <v>16</v>
      </c>
      <c r="K563" s="33">
        <f t="shared" ref="K563:Q572" si="204">INT((1+VLOOKUP($F563,role_property_weight,getpos(K$2),FALSE))*(1+VLOOKUP($F563,weapon_property_weight,getpos(K$2),FALSE))*VLOOKUP($E563,role_grow,getpos(K$2),FALSE)*$G563*10*VLOOKUP($C563,weapon_grow1,5,FALSE))</f>
        <v>18</v>
      </c>
      <c r="L563" s="33">
        <f t="shared" si="204"/>
        <v>4</v>
      </c>
      <c r="M563" s="33">
        <f t="shared" si="204"/>
        <v>11</v>
      </c>
      <c r="N563" s="33">
        <f t="shared" si="187"/>
        <v>41</v>
      </c>
      <c r="O563" s="33">
        <f t="shared" si="204"/>
        <v>13</v>
      </c>
      <c r="P563" s="33">
        <f t="shared" si="204"/>
        <v>7</v>
      </c>
      <c r="Q563" s="33">
        <f t="shared" si="204"/>
        <v>6</v>
      </c>
      <c r="R563" s="35">
        <f t="shared" si="191"/>
        <v>0.02</v>
      </c>
      <c r="S563" s="35">
        <f t="shared" si="192"/>
        <v>2.3333333333333334E-2</v>
      </c>
      <c r="T563" s="35">
        <f t="shared" si="193"/>
        <v>0.02</v>
      </c>
      <c r="U563" s="35">
        <f t="shared" si="188"/>
        <v>1.4778325123152691E-2</v>
      </c>
      <c r="V563" s="35">
        <f t="shared" ref="V563:AA572" si="205">1-200/(200+ROUND((1+VLOOKUP($F563,role_property_weight,getpos(V$2),FALSE))*VLOOKUP($E563,role_grow,getpos(V$2),FALSE)*$G563*10*VLOOKUP($C563,weapon_grow1,5,FALSE),0))</f>
        <v>1.4778325123152691E-2</v>
      </c>
      <c r="W563" s="35">
        <f t="shared" si="205"/>
        <v>1.4778325123152691E-2</v>
      </c>
      <c r="X563" s="35">
        <f t="shared" si="205"/>
        <v>1.4778325123152691E-2</v>
      </c>
      <c r="Y563" s="35">
        <f t="shared" si="205"/>
        <v>1.4778325123152691E-2</v>
      </c>
      <c r="Z563" s="35">
        <f t="shared" si="205"/>
        <v>1.4778325123152691E-2</v>
      </c>
      <c r="AA563" s="35">
        <f t="shared" si="205"/>
        <v>8.6757990867579959E-2</v>
      </c>
    </row>
    <row r="564" spans="2:27" x14ac:dyDescent="0.2">
      <c r="B564" s="2">
        <v>562</v>
      </c>
      <c r="C564" s="2" t="str">
        <f t="shared" si="201"/>
        <v>b</v>
      </c>
      <c r="D564" s="29" t="s">
        <v>31</v>
      </c>
      <c r="E564" s="29" t="s">
        <v>219</v>
      </c>
      <c r="F564" s="2" t="s">
        <v>184</v>
      </c>
      <c r="G564" s="2">
        <f t="shared" si="196"/>
        <v>2</v>
      </c>
      <c r="H564" s="2" t="str">
        <f t="shared" si="186"/>
        <v>电击</v>
      </c>
      <c r="I564" s="38">
        <f t="shared" si="189"/>
        <v>0.21272727272727274</v>
      </c>
      <c r="J564" s="33">
        <f t="shared" si="190"/>
        <v>32</v>
      </c>
      <c r="K564" s="33">
        <f t="shared" si="204"/>
        <v>37</v>
      </c>
      <c r="L564" s="33">
        <f t="shared" si="204"/>
        <v>8</v>
      </c>
      <c r="M564" s="33">
        <f t="shared" si="204"/>
        <v>22</v>
      </c>
      <c r="N564" s="33">
        <f t="shared" si="187"/>
        <v>82</v>
      </c>
      <c r="O564" s="33">
        <f t="shared" si="204"/>
        <v>27</v>
      </c>
      <c r="P564" s="33">
        <f t="shared" si="204"/>
        <v>14</v>
      </c>
      <c r="Q564" s="33">
        <f t="shared" si="204"/>
        <v>12</v>
      </c>
      <c r="R564" s="35">
        <f t="shared" si="191"/>
        <v>0.04</v>
      </c>
      <c r="S564" s="35">
        <f t="shared" si="192"/>
        <v>4.6666666666666669E-2</v>
      </c>
      <c r="T564" s="35">
        <f t="shared" si="193"/>
        <v>0.04</v>
      </c>
      <c r="U564" s="35">
        <f t="shared" si="188"/>
        <v>2.9126213592232997E-2</v>
      </c>
      <c r="V564" s="35">
        <f t="shared" si="205"/>
        <v>2.9126213592232997E-2</v>
      </c>
      <c r="W564" s="35">
        <f t="shared" si="205"/>
        <v>2.9126213592232997E-2</v>
      </c>
      <c r="X564" s="35">
        <f t="shared" si="205"/>
        <v>2.9126213592232997E-2</v>
      </c>
      <c r="Y564" s="35">
        <f t="shared" si="205"/>
        <v>2.9126213592232997E-2</v>
      </c>
      <c r="Z564" s="35">
        <f t="shared" si="205"/>
        <v>2.9126213592232997E-2</v>
      </c>
      <c r="AA564" s="35">
        <f t="shared" si="205"/>
        <v>0.15611814345991559</v>
      </c>
    </row>
    <row r="565" spans="2:27" x14ac:dyDescent="0.2">
      <c r="B565" s="2">
        <v>563</v>
      </c>
      <c r="C565" s="2" t="str">
        <f t="shared" si="201"/>
        <v>b</v>
      </c>
      <c r="D565" s="29" t="s">
        <v>31</v>
      </c>
      <c r="E565" s="29" t="s">
        <v>219</v>
      </c>
      <c r="F565" s="2" t="s">
        <v>184</v>
      </c>
      <c r="G565" s="2">
        <f t="shared" si="196"/>
        <v>3</v>
      </c>
      <c r="H565" s="2" t="str">
        <f t="shared" si="186"/>
        <v>电击</v>
      </c>
      <c r="I565" s="38">
        <f t="shared" si="189"/>
        <v>0.32</v>
      </c>
      <c r="J565" s="33">
        <f t="shared" si="190"/>
        <v>48</v>
      </c>
      <c r="K565" s="33">
        <f t="shared" si="204"/>
        <v>56</v>
      </c>
      <c r="L565" s="33">
        <f t="shared" si="204"/>
        <v>13</v>
      </c>
      <c r="M565" s="33">
        <f t="shared" si="204"/>
        <v>33</v>
      </c>
      <c r="N565" s="33">
        <f t="shared" si="187"/>
        <v>122</v>
      </c>
      <c r="O565" s="33">
        <f t="shared" si="204"/>
        <v>41</v>
      </c>
      <c r="P565" s="33">
        <f t="shared" si="204"/>
        <v>21</v>
      </c>
      <c r="Q565" s="33">
        <f t="shared" si="204"/>
        <v>18</v>
      </c>
      <c r="R565" s="35">
        <f t="shared" si="191"/>
        <v>0.06</v>
      </c>
      <c r="S565" s="35">
        <f t="shared" si="192"/>
        <v>7.0000000000000007E-2</v>
      </c>
      <c r="T565" s="35">
        <f t="shared" si="193"/>
        <v>0.06</v>
      </c>
      <c r="U565" s="35">
        <f t="shared" si="188"/>
        <v>4.3062200956937802E-2</v>
      </c>
      <c r="V565" s="35">
        <f t="shared" si="205"/>
        <v>4.3062200956937802E-2</v>
      </c>
      <c r="W565" s="35">
        <f t="shared" si="205"/>
        <v>4.3062200956937802E-2</v>
      </c>
      <c r="X565" s="35">
        <f t="shared" si="205"/>
        <v>4.3062200956937802E-2</v>
      </c>
      <c r="Y565" s="35">
        <f t="shared" si="205"/>
        <v>4.3062200956937802E-2</v>
      </c>
      <c r="Z565" s="35">
        <f t="shared" si="205"/>
        <v>4.3062200956937802E-2</v>
      </c>
      <c r="AA565" s="35">
        <f t="shared" si="205"/>
        <v>0.21875</v>
      </c>
    </row>
    <row r="566" spans="2:27" x14ac:dyDescent="0.2">
      <c r="B566" s="2">
        <v>564</v>
      </c>
      <c r="C566" s="2" t="str">
        <f t="shared" si="201"/>
        <v>b</v>
      </c>
      <c r="D566" s="29" t="s">
        <v>31</v>
      </c>
      <c r="E566" s="29" t="s">
        <v>219</v>
      </c>
      <c r="F566" s="2" t="s">
        <v>184</v>
      </c>
      <c r="G566" s="2">
        <f t="shared" si="196"/>
        <v>4</v>
      </c>
      <c r="H566" s="2" t="str">
        <f t="shared" si="186"/>
        <v>电击</v>
      </c>
      <c r="I566" s="38">
        <f t="shared" si="189"/>
        <v>0.42636363636363633</v>
      </c>
      <c r="J566" s="33">
        <f t="shared" si="190"/>
        <v>65</v>
      </c>
      <c r="K566" s="33">
        <f t="shared" si="204"/>
        <v>74</v>
      </c>
      <c r="L566" s="33">
        <f t="shared" si="204"/>
        <v>17</v>
      </c>
      <c r="M566" s="33">
        <f t="shared" si="204"/>
        <v>44</v>
      </c>
      <c r="N566" s="33">
        <f t="shared" si="187"/>
        <v>163</v>
      </c>
      <c r="O566" s="33">
        <f t="shared" si="204"/>
        <v>54</v>
      </c>
      <c r="P566" s="33">
        <f t="shared" si="204"/>
        <v>28</v>
      </c>
      <c r="Q566" s="33">
        <f t="shared" si="204"/>
        <v>24</v>
      </c>
      <c r="R566" s="35">
        <f t="shared" si="191"/>
        <v>0.08</v>
      </c>
      <c r="S566" s="35">
        <f t="shared" si="192"/>
        <v>9.3333333333333338E-2</v>
      </c>
      <c r="T566" s="35">
        <f t="shared" si="193"/>
        <v>0.08</v>
      </c>
      <c r="U566" s="35">
        <f t="shared" si="188"/>
        <v>5.6603773584905648E-2</v>
      </c>
      <c r="V566" s="35">
        <f t="shared" si="205"/>
        <v>5.6603773584905648E-2</v>
      </c>
      <c r="W566" s="35">
        <f t="shared" si="205"/>
        <v>5.6603773584905648E-2</v>
      </c>
      <c r="X566" s="35">
        <f t="shared" si="205"/>
        <v>5.6603773584905648E-2</v>
      </c>
      <c r="Y566" s="35">
        <f t="shared" si="205"/>
        <v>5.6603773584905648E-2</v>
      </c>
      <c r="Z566" s="35">
        <f t="shared" si="205"/>
        <v>5.6603773584905648E-2</v>
      </c>
      <c r="AA566" s="35">
        <f t="shared" si="205"/>
        <v>0.27272727272727271</v>
      </c>
    </row>
    <row r="567" spans="2:27" x14ac:dyDescent="0.2">
      <c r="B567" s="2">
        <v>565</v>
      </c>
      <c r="C567" s="2" t="str">
        <f t="shared" si="201"/>
        <v>b</v>
      </c>
      <c r="D567" s="29" t="s">
        <v>31</v>
      </c>
      <c r="E567" s="29" t="s">
        <v>219</v>
      </c>
      <c r="F567" s="2" t="s">
        <v>184</v>
      </c>
      <c r="G567" s="2">
        <f t="shared" si="196"/>
        <v>5</v>
      </c>
      <c r="H567" s="2" t="str">
        <f t="shared" si="186"/>
        <v>电击</v>
      </c>
      <c r="I567" s="38">
        <f t="shared" si="189"/>
        <v>0.53545454545454552</v>
      </c>
      <c r="J567" s="33">
        <f t="shared" si="190"/>
        <v>81</v>
      </c>
      <c r="K567" s="33">
        <f t="shared" si="204"/>
        <v>93</v>
      </c>
      <c r="L567" s="33">
        <f t="shared" si="204"/>
        <v>22</v>
      </c>
      <c r="M567" s="33">
        <f t="shared" si="204"/>
        <v>56</v>
      </c>
      <c r="N567" s="33">
        <f t="shared" si="187"/>
        <v>203</v>
      </c>
      <c r="O567" s="33">
        <f t="shared" si="204"/>
        <v>68</v>
      </c>
      <c r="P567" s="33">
        <f t="shared" si="204"/>
        <v>35</v>
      </c>
      <c r="Q567" s="33">
        <f t="shared" si="204"/>
        <v>31</v>
      </c>
      <c r="R567" s="35">
        <f t="shared" si="191"/>
        <v>0.10333333333333333</v>
      </c>
      <c r="S567" s="35">
        <f t="shared" si="192"/>
        <v>0.11666666666666665</v>
      </c>
      <c r="T567" s="35">
        <f t="shared" si="193"/>
        <v>0.10333333333333333</v>
      </c>
      <c r="U567" s="35">
        <f t="shared" si="188"/>
        <v>7.407407407407407E-2</v>
      </c>
      <c r="V567" s="35">
        <f t="shared" si="205"/>
        <v>7.407407407407407E-2</v>
      </c>
      <c r="W567" s="35">
        <f t="shared" si="205"/>
        <v>7.407407407407407E-2</v>
      </c>
      <c r="X567" s="35">
        <f t="shared" si="205"/>
        <v>7.407407407407407E-2</v>
      </c>
      <c r="Y567" s="35">
        <f t="shared" si="205"/>
        <v>7.407407407407407E-2</v>
      </c>
      <c r="Z567" s="35">
        <f t="shared" si="205"/>
        <v>7.407407407407407E-2</v>
      </c>
      <c r="AA567" s="35">
        <f t="shared" si="205"/>
        <v>0.31972789115646261</v>
      </c>
    </row>
    <row r="568" spans="2:27" x14ac:dyDescent="0.2">
      <c r="B568" s="2">
        <v>566</v>
      </c>
      <c r="C568" s="2" t="str">
        <f t="shared" si="201"/>
        <v>b</v>
      </c>
      <c r="D568" s="29" t="s">
        <v>31</v>
      </c>
      <c r="E568" s="29" t="s">
        <v>219</v>
      </c>
      <c r="F568" s="2" t="s">
        <v>184</v>
      </c>
      <c r="G568" s="2">
        <f t="shared" si="196"/>
        <v>6</v>
      </c>
      <c r="H568" s="2" t="str">
        <f t="shared" si="186"/>
        <v>电击</v>
      </c>
      <c r="I568" s="38">
        <f t="shared" si="189"/>
        <v>0.64363636363636356</v>
      </c>
      <c r="J568" s="33">
        <f t="shared" si="190"/>
        <v>97</v>
      </c>
      <c r="K568" s="33">
        <f t="shared" si="204"/>
        <v>112</v>
      </c>
      <c r="L568" s="33">
        <f t="shared" si="204"/>
        <v>26</v>
      </c>
      <c r="M568" s="33">
        <f t="shared" si="204"/>
        <v>67</v>
      </c>
      <c r="N568" s="33">
        <f t="shared" si="187"/>
        <v>244</v>
      </c>
      <c r="O568" s="33">
        <f t="shared" si="204"/>
        <v>82</v>
      </c>
      <c r="P568" s="33">
        <f t="shared" si="204"/>
        <v>43</v>
      </c>
      <c r="Q568" s="33">
        <f t="shared" si="204"/>
        <v>37</v>
      </c>
      <c r="R568" s="35">
        <f t="shared" si="191"/>
        <v>0.12333333333333334</v>
      </c>
      <c r="S568" s="35">
        <f t="shared" si="192"/>
        <v>0.14333333333333334</v>
      </c>
      <c r="T568" s="35">
        <f t="shared" si="193"/>
        <v>0.12333333333333334</v>
      </c>
      <c r="U568" s="35">
        <f t="shared" si="188"/>
        <v>8.6757990867579959E-2</v>
      </c>
      <c r="V568" s="35">
        <f t="shared" si="205"/>
        <v>8.6757990867579959E-2</v>
      </c>
      <c r="W568" s="35">
        <f t="shared" si="205"/>
        <v>8.6757990867579959E-2</v>
      </c>
      <c r="X568" s="35">
        <f t="shared" si="205"/>
        <v>8.6757990867579959E-2</v>
      </c>
      <c r="Y568" s="35">
        <f t="shared" si="205"/>
        <v>8.6757990867579959E-2</v>
      </c>
      <c r="Z568" s="35">
        <f t="shared" si="205"/>
        <v>8.6757990867579959E-2</v>
      </c>
      <c r="AA568" s="35">
        <f t="shared" si="205"/>
        <v>0.35897435897435892</v>
      </c>
    </row>
    <row r="569" spans="2:27" x14ac:dyDescent="0.2">
      <c r="B569" s="2">
        <v>567</v>
      </c>
      <c r="C569" s="2" t="str">
        <f t="shared" si="201"/>
        <v>b</v>
      </c>
      <c r="D569" s="29" t="s">
        <v>31</v>
      </c>
      <c r="E569" s="29" t="s">
        <v>219</v>
      </c>
      <c r="F569" s="2" t="s">
        <v>184</v>
      </c>
      <c r="G569" s="2">
        <f t="shared" si="196"/>
        <v>7</v>
      </c>
      <c r="H569" s="2" t="str">
        <f t="shared" si="186"/>
        <v>电击</v>
      </c>
      <c r="I569" s="38">
        <f t="shared" si="189"/>
        <v>0.75181818181818183</v>
      </c>
      <c r="J569" s="33">
        <f t="shared" si="190"/>
        <v>114</v>
      </c>
      <c r="K569" s="33">
        <f t="shared" si="204"/>
        <v>131</v>
      </c>
      <c r="L569" s="33">
        <f t="shared" si="204"/>
        <v>31</v>
      </c>
      <c r="M569" s="33">
        <f t="shared" si="204"/>
        <v>78</v>
      </c>
      <c r="N569" s="33">
        <f t="shared" si="187"/>
        <v>284</v>
      </c>
      <c r="O569" s="33">
        <f t="shared" si="204"/>
        <v>96</v>
      </c>
      <c r="P569" s="33">
        <f t="shared" si="204"/>
        <v>50</v>
      </c>
      <c r="Q569" s="33">
        <f t="shared" si="204"/>
        <v>43</v>
      </c>
      <c r="R569" s="35">
        <f t="shared" si="191"/>
        <v>0.14333333333333334</v>
      </c>
      <c r="S569" s="35">
        <f t="shared" si="192"/>
        <v>0.16666666666666669</v>
      </c>
      <c r="T569" s="35">
        <f t="shared" si="193"/>
        <v>0.14333333333333334</v>
      </c>
      <c r="U569" s="35">
        <f t="shared" si="188"/>
        <v>9.9099099099099086E-2</v>
      </c>
      <c r="V569" s="35">
        <f t="shared" si="205"/>
        <v>9.9099099099099086E-2</v>
      </c>
      <c r="W569" s="35">
        <f t="shared" si="205"/>
        <v>9.9099099099099086E-2</v>
      </c>
      <c r="X569" s="35">
        <f t="shared" si="205"/>
        <v>9.9099099099099086E-2</v>
      </c>
      <c r="Y569" s="35">
        <f t="shared" si="205"/>
        <v>9.9099099099099086E-2</v>
      </c>
      <c r="Z569" s="35">
        <f t="shared" si="205"/>
        <v>9.9099099099099086E-2</v>
      </c>
      <c r="AA569" s="35">
        <f t="shared" si="205"/>
        <v>0.39577039274924475</v>
      </c>
    </row>
    <row r="570" spans="2:27" x14ac:dyDescent="0.2">
      <c r="B570" s="2">
        <v>568</v>
      </c>
      <c r="C570" s="2" t="str">
        <f t="shared" si="201"/>
        <v>b</v>
      </c>
      <c r="D570" s="29" t="s">
        <v>31</v>
      </c>
      <c r="E570" s="29" t="s">
        <v>219</v>
      </c>
      <c r="F570" s="2" t="s">
        <v>184</v>
      </c>
      <c r="G570" s="2">
        <f t="shared" si="196"/>
        <v>8</v>
      </c>
      <c r="H570" s="2" t="str">
        <f t="shared" si="186"/>
        <v>电击</v>
      </c>
      <c r="I570" s="38">
        <f t="shared" si="189"/>
        <v>0.8572727272727273</v>
      </c>
      <c r="J570" s="33">
        <f t="shared" si="190"/>
        <v>130</v>
      </c>
      <c r="K570" s="33">
        <f t="shared" si="204"/>
        <v>149</v>
      </c>
      <c r="L570" s="33">
        <f t="shared" si="204"/>
        <v>35</v>
      </c>
      <c r="M570" s="33">
        <f t="shared" si="204"/>
        <v>89</v>
      </c>
      <c r="N570" s="33">
        <f t="shared" si="187"/>
        <v>325</v>
      </c>
      <c r="O570" s="33">
        <f t="shared" si="204"/>
        <v>109</v>
      </c>
      <c r="P570" s="33">
        <f t="shared" si="204"/>
        <v>57</v>
      </c>
      <c r="Q570" s="33">
        <f t="shared" si="204"/>
        <v>49</v>
      </c>
      <c r="R570" s="35">
        <f t="shared" si="191"/>
        <v>0.16333333333333333</v>
      </c>
      <c r="S570" s="35">
        <f t="shared" si="192"/>
        <v>0.19</v>
      </c>
      <c r="T570" s="35">
        <f t="shared" si="193"/>
        <v>0.16333333333333333</v>
      </c>
      <c r="U570" s="35">
        <f t="shared" si="188"/>
        <v>0.11111111111111116</v>
      </c>
      <c r="V570" s="35">
        <f t="shared" si="205"/>
        <v>0.11111111111111116</v>
      </c>
      <c r="W570" s="35">
        <f t="shared" si="205"/>
        <v>0.11111111111111116</v>
      </c>
      <c r="X570" s="35">
        <f t="shared" si="205"/>
        <v>0.11111111111111116</v>
      </c>
      <c r="Y570" s="35">
        <f t="shared" si="205"/>
        <v>0.11111111111111116</v>
      </c>
      <c r="Z570" s="35">
        <f t="shared" si="205"/>
        <v>0.11111111111111116</v>
      </c>
      <c r="AA570" s="35">
        <f t="shared" si="205"/>
        <v>0.4285714285714286</v>
      </c>
    </row>
    <row r="571" spans="2:27" x14ac:dyDescent="0.2">
      <c r="B571" s="2">
        <v>569</v>
      </c>
      <c r="C571" s="2" t="str">
        <f t="shared" si="201"/>
        <v>c</v>
      </c>
      <c r="D571" s="29" t="s">
        <v>31</v>
      </c>
      <c r="E571" s="29" t="s">
        <v>219</v>
      </c>
      <c r="F571" s="2" t="s">
        <v>184</v>
      </c>
      <c r="G571" s="2">
        <f t="shared" si="196"/>
        <v>1</v>
      </c>
      <c r="H571" s="2" t="str">
        <f t="shared" si="186"/>
        <v>--</v>
      </c>
      <c r="I571" s="38">
        <f t="shared" si="189"/>
        <v>0</v>
      </c>
      <c r="J571" s="33">
        <f t="shared" si="190"/>
        <v>20</v>
      </c>
      <c r="K571" s="33">
        <f t="shared" si="204"/>
        <v>0</v>
      </c>
      <c r="L571" s="33">
        <f t="shared" si="204"/>
        <v>0</v>
      </c>
      <c r="M571" s="33">
        <f t="shared" si="204"/>
        <v>0</v>
      </c>
      <c r="N571" s="33">
        <f t="shared" si="187"/>
        <v>0</v>
      </c>
      <c r="O571" s="33">
        <f t="shared" si="204"/>
        <v>0</v>
      </c>
      <c r="P571" s="33">
        <f t="shared" si="204"/>
        <v>0</v>
      </c>
      <c r="Q571" s="33">
        <f t="shared" si="204"/>
        <v>0</v>
      </c>
      <c r="R571" s="35">
        <f t="shared" si="191"/>
        <v>0</v>
      </c>
      <c r="S571" s="35">
        <f t="shared" si="192"/>
        <v>0</v>
      </c>
      <c r="T571" s="35">
        <f t="shared" si="193"/>
        <v>0</v>
      </c>
      <c r="U571" s="35">
        <f t="shared" si="188"/>
        <v>0</v>
      </c>
      <c r="V571" s="35">
        <f t="shared" si="205"/>
        <v>0</v>
      </c>
      <c r="W571" s="35">
        <f t="shared" si="205"/>
        <v>0</v>
      </c>
      <c r="X571" s="35">
        <f t="shared" si="205"/>
        <v>0</v>
      </c>
      <c r="Y571" s="35">
        <f t="shared" si="205"/>
        <v>0</v>
      </c>
      <c r="Z571" s="35">
        <f t="shared" si="205"/>
        <v>0</v>
      </c>
      <c r="AA571" s="35">
        <f t="shared" si="205"/>
        <v>0</v>
      </c>
    </row>
    <row r="572" spans="2:27" x14ac:dyDescent="0.2">
      <c r="B572" s="2">
        <v>570</v>
      </c>
      <c r="C572" s="2" t="str">
        <f t="shared" si="201"/>
        <v>c</v>
      </c>
      <c r="D572" s="29" t="s">
        <v>31</v>
      </c>
      <c r="E572" s="29" t="s">
        <v>219</v>
      </c>
      <c r="F572" s="2" t="s">
        <v>184</v>
      </c>
      <c r="G572" s="2">
        <f t="shared" si="196"/>
        <v>2</v>
      </c>
      <c r="H572" s="2" t="str">
        <f t="shared" si="186"/>
        <v>--</v>
      </c>
      <c r="I572" s="38">
        <f t="shared" si="189"/>
        <v>0</v>
      </c>
      <c r="J572" s="33">
        <f t="shared" si="190"/>
        <v>41</v>
      </c>
      <c r="K572" s="33">
        <f t="shared" si="204"/>
        <v>0</v>
      </c>
      <c r="L572" s="33">
        <f t="shared" si="204"/>
        <v>0</v>
      </c>
      <c r="M572" s="33">
        <f t="shared" si="204"/>
        <v>0</v>
      </c>
      <c r="N572" s="33">
        <f t="shared" si="187"/>
        <v>0</v>
      </c>
      <c r="O572" s="33">
        <f t="shared" si="204"/>
        <v>0</v>
      </c>
      <c r="P572" s="33">
        <f t="shared" si="204"/>
        <v>0</v>
      </c>
      <c r="Q572" s="33">
        <f t="shared" si="204"/>
        <v>0</v>
      </c>
      <c r="R572" s="35">
        <f t="shared" si="191"/>
        <v>0</v>
      </c>
      <c r="S572" s="35">
        <f t="shared" si="192"/>
        <v>0</v>
      </c>
      <c r="T572" s="35">
        <f t="shared" si="193"/>
        <v>0</v>
      </c>
      <c r="U572" s="35">
        <f t="shared" si="188"/>
        <v>0</v>
      </c>
      <c r="V572" s="35">
        <f t="shared" si="205"/>
        <v>0</v>
      </c>
      <c r="W572" s="35">
        <f t="shared" si="205"/>
        <v>0</v>
      </c>
      <c r="X572" s="35">
        <f t="shared" si="205"/>
        <v>0</v>
      </c>
      <c r="Y572" s="35">
        <f t="shared" si="205"/>
        <v>0</v>
      </c>
      <c r="Z572" s="35">
        <f t="shared" si="205"/>
        <v>0</v>
      </c>
      <c r="AA572" s="35">
        <f t="shared" si="205"/>
        <v>0</v>
      </c>
    </row>
    <row r="573" spans="2:27" x14ac:dyDescent="0.2">
      <c r="B573" s="2">
        <v>571</v>
      </c>
      <c r="C573" s="2" t="str">
        <f t="shared" si="201"/>
        <v>c</v>
      </c>
      <c r="D573" s="29" t="s">
        <v>31</v>
      </c>
      <c r="E573" s="29" t="s">
        <v>219</v>
      </c>
      <c r="F573" s="2" t="s">
        <v>184</v>
      </c>
      <c r="G573" s="2">
        <f t="shared" si="196"/>
        <v>3</v>
      </c>
      <c r="H573" s="2" t="str">
        <f t="shared" si="186"/>
        <v>--</v>
      </c>
      <c r="I573" s="38">
        <f t="shared" si="189"/>
        <v>0</v>
      </c>
      <c r="J573" s="33">
        <f t="shared" si="190"/>
        <v>61</v>
      </c>
      <c r="K573" s="33">
        <f t="shared" ref="K573:Q582" si="206">INT((1+VLOOKUP($F573,role_property_weight,getpos(K$2),FALSE))*(1+VLOOKUP($F573,weapon_property_weight,getpos(K$2),FALSE))*VLOOKUP($E573,role_grow,getpos(K$2),FALSE)*$G573*10*VLOOKUP($C573,weapon_grow1,5,FALSE))</f>
        <v>0</v>
      </c>
      <c r="L573" s="33">
        <f t="shared" si="206"/>
        <v>0</v>
      </c>
      <c r="M573" s="33">
        <f t="shared" si="206"/>
        <v>0</v>
      </c>
      <c r="N573" s="33">
        <f t="shared" si="187"/>
        <v>0</v>
      </c>
      <c r="O573" s="33">
        <f t="shared" si="206"/>
        <v>0</v>
      </c>
      <c r="P573" s="33">
        <f t="shared" si="206"/>
        <v>0</v>
      </c>
      <c r="Q573" s="33">
        <f t="shared" si="206"/>
        <v>0</v>
      </c>
      <c r="R573" s="35">
        <f t="shared" si="191"/>
        <v>0</v>
      </c>
      <c r="S573" s="35">
        <f t="shared" si="192"/>
        <v>0</v>
      </c>
      <c r="T573" s="35">
        <f t="shared" si="193"/>
        <v>0</v>
      </c>
      <c r="U573" s="35">
        <f t="shared" si="188"/>
        <v>0</v>
      </c>
      <c r="V573" s="35">
        <f t="shared" ref="V573:AA582" si="207">1-200/(200+ROUND((1+VLOOKUP($F573,role_property_weight,getpos(V$2),FALSE))*VLOOKUP($E573,role_grow,getpos(V$2),FALSE)*$G573*10*VLOOKUP($C573,weapon_grow1,5,FALSE),0))</f>
        <v>0</v>
      </c>
      <c r="W573" s="35">
        <f t="shared" si="207"/>
        <v>0</v>
      </c>
      <c r="X573" s="35">
        <f t="shared" si="207"/>
        <v>0</v>
      </c>
      <c r="Y573" s="35">
        <f t="shared" si="207"/>
        <v>0</v>
      </c>
      <c r="Z573" s="35">
        <f t="shared" si="207"/>
        <v>0</v>
      </c>
      <c r="AA573" s="35">
        <f t="shared" si="207"/>
        <v>0</v>
      </c>
    </row>
    <row r="574" spans="2:27" x14ac:dyDescent="0.2">
      <c r="B574" s="2">
        <v>572</v>
      </c>
      <c r="C574" s="2" t="str">
        <f t="shared" si="201"/>
        <v>c</v>
      </c>
      <c r="D574" s="29" t="s">
        <v>31</v>
      </c>
      <c r="E574" s="29" t="s">
        <v>219</v>
      </c>
      <c r="F574" s="2" t="s">
        <v>184</v>
      </c>
      <c r="G574" s="2">
        <f t="shared" si="196"/>
        <v>4</v>
      </c>
      <c r="H574" s="2" t="str">
        <f t="shared" si="186"/>
        <v>--</v>
      </c>
      <c r="I574" s="38">
        <f t="shared" si="189"/>
        <v>0</v>
      </c>
      <c r="J574" s="33">
        <f t="shared" si="190"/>
        <v>82</v>
      </c>
      <c r="K574" s="33">
        <f t="shared" si="206"/>
        <v>0</v>
      </c>
      <c r="L574" s="33">
        <f t="shared" si="206"/>
        <v>0</v>
      </c>
      <c r="M574" s="33">
        <f t="shared" si="206"/>
        <v>0</v>
      </c>
      <c r="N574" s="33">
        <f t="shared" si="187"/>
        <v>0</v>
      </c>
      <c r="O574" s="33">
        <f t="shared" si="206"/>
        <v>0</v>
      </c>
      <c r="P574" s="33">
        <f t="shared" si="206"/>
        <v>0</v>
      </c>
      <c r="Q574" s="33">
        <f t="shared" si="206"/>
        <v>0</v>
      </c>
      <c r="R574" s="35">
        <f t="shared" si="191"/>
        <v>0</v>
      </c>
      <c r="S574" s="35">
        <f t="shared" si="192"/>
        <v>0</v>
      </c>
      <c r="T574" s="35">
        <f t="shared" si="193"/>
        <v>0</v>
      </c>
      <c r="U574" s="35">
        <f t="shared" si="188"/>
        <v>0</v>
      </c>
      <c r="V574" s="35">
        <f t="shared" si="207"/>
        <v>0</v>
      </c>
      <c r="W574" s="35">
        <f t="shared" si="207"/>
        <v>0</v>
      </c>
      <c r="X574" s="35">
        <f t="shared" si="207"/>
        <v>0</v>
      </c>
      <c r="Y574" s="35">
        <f t="shared" si="207"/>
        <v>0</v>
      </c>
      <c r="Z574" s="35">
        <f t="shared" si="207"/>
        <v>0</v>
      </c>
      <c r="AA574" s="35">
        <f t="shared" si="207"/>
        <v>0</v>
      </c>
    </row>
    <row r="575" spans="2:27" x14ac:dyDescent="0.2">
      <c r="B575" s="2">
        <v>573</v>
      </c>
      <c r="C575" s="2" t="str">
        <f t="shared" si="201"/>
        <v>c</v>
      </c>
      <c r="D575" s="29" t="s">
        <v>31</v>
      </c>
      <c r="E575" s="29" t="s">
        <v>219</v>
      </c>
      <c r="F575" s="2" t="s">
        <v>184</v>
      </c>
      <c r="G575" s="2">
        <f t="shared" si="196"/>
        <v>5</v>
      </c>
      <c r="H575" s="2" t="str">
        <f t="shared" si="186"/>
        <v>--</v>
      </c>
      <c r="I575" s="38">
        <f t="shared" si="189"/>
        <v>0</v>
      </c>
      <c r="J575" s="33">
        <f t="shared" si="190"/>
        <v>103</v>
      </c>
      <c r="K575" s="33">
        <f t="shared" si="206"/>
        <v>0</v>
      </c>
      <c r="L575" s="33">
        <f t="shared" si="206"/>
        <v>0</v>
      </c>
      <c r="M575" s="33">
        <f t="shared" si="206"/>
        <v>0</v>
      </c>
      <c r="N575" s="33">
        <f t="shared" si="187"/>
        <v>0</v>
      </c>
      <c r="O575" s="33">
        <f t="shared" si="206"/>
        <v>0</v>
      </c>
      <c r="P575" s="33">
        <f t="shared" si="206"/>
        <v>0</v>
      </c>
      <c r="Q575" s="33">
        <f t="shared" si="206"/>
        <v>0</v>
      </c>
      <c r="R575" s="35">
        <f t="shared" si="191"/>
        <v>0</v>
      </c>
      <c r="S575" s="35">
        <f t="shared" si="192"/>
        <v>0</v>
      </c>
      <c r="T575" s="35">
        <f t="shared" si="193"/>
        <v>0</v>
      </c>
      <c r="U575" s="35">
        <f t="shared" si="188"/>
        <v>0</v>
      </c>
      <c r="V575" s="35">
        <f t="shared" si="207"/>
        <v>0</v>
      </c>
      <c r="W575" s="35">
        <f t="shared" si="207"/>
        <v>0</v>
      </c>
      <c r="X575" s="35">
        <f t="shared" si="207"/>
        <v>0</v>
      </c>
      <c r="Y575" s="35">
        <f t="shared" si="207"/>
        <v>0</v>
      </c>
      <c r="Z575" s="35">
        <f t="shared" si="207"/>
        <v>0</v>
      </c>
      <c r="AA575" s="35">
        <f t="shared" si="207"/>
        <v>0</v>
      </c>
    </row>
    <row r="576" spans="2:27" x14ac:dyDescent="0.2">
      <c r="B576" s="2">
        <v>574</v>
      </c>
      <c r="C576" s="2" t="str">
        <f t="shared" si="201"/>
        <v>c</v>
      </c>
      <c r="D576" s="29" t="s">
        <v>31</v>
      </c>
      <c r="E576" s="29" t="s">
        <v>219</v>
      </c>
      <c r="F576" s="2" t="s">
        <v>184</v>
      </c>
      <c r="G576" s="2">
        <f t="shared" si="196"/>
        <v>6</v>
      </c>
      <c r="H576" s="2" t="str">
        <f t="shared" si="186"/>
        <v>--</v>
      </c>
      <c r="I576" s="38">
        <f t="shared" si="189"/>
        <v>0</v>
      </c>
      <c r="J576" s="33">
        <f t="shared" si="190"/>
        <v>123</v>
      </c>
      <c r="K576" s="33">
        <f t="shared" si="206"/>
        <v>0</v>
      </c>
      <c r="L576" s="33">
        <f t="shared" si="206"/>
        <v>0</v>
      </c>
      <c r="M576" s="33">
        <f t="shared" si="206"/>
        <v>0</v>
      </c>
      <c r="N576" s="33">
        <f t="shared" si="187"/>
        <v>0</v>
      </c>
      <c r="O576" s="33">
        <f t="shared" si="206"/>
        <v>0</v>
      </c>
      <c r="P576" s="33">
        <f t="shared" si="206"/>
        <v>0</v>
      </c>
      <c r="Q576" s="33">
        <f t="shared" si="206"/>
        <v>0</v>
      </c>
      <c r="R576" s="35">
        <f t="shared" si="191"/>
        <v>0</v>
      </c>
      <c r="S576" s="35">
        <f t="shared" si="192"/>
        <v>0</v>
      </c>
      <c r="T576" s="35">
        <f t="shared" si="193"/>
        <v>0</v>
      </c>
      <c r="U576" s="35">
        <f t="shared" si="188"/>
        <v>0</v>
      </c>
      <c r="V576" s="35">
        <f t="shared" si="207"/>
        <v>0</v>
      </c>
      <c r="W576" s="35">
        <f t="shared" si="207"/>
        <v>0</v>
      </c>
      <c r="X576" s="35">
        <f t="shared" si="207"/>
        <v>0</v>
      </c>
      <c r="Y576" s="35">
        <f t="shared" si="207"/>
        <v>0</v>
      </c>
      <c r="Z576" s="35">
        <f t="shared" si="207"/>
        <v>0</v>
      </c>
      <c r="AA576" s="35">
        <f t="shared" si="207"/>
        <v>0</v>
      </c>
    </row>
    <row r="577" spans="2:27" x14ac:dyDescent="0.2">
      <c r="B577" s="2">
        <v>575</v>
      </c>
      <c r="C577" s="2" t="str">
        <f t="shared" si="201"/>
        <v>c</v>
      </c>
      <c r="D577" s="29" t="s">
        <v>31</v>
      </c>
      <c r="E577" s="29" t="s">
        <v>219</v>
      </c>
      <c r="F577" s="2" t="s">
        <v>184</v>
      </c>
      <c r="G577" s="2">
        <f t="shared" si="196"/>
        <v>7</v>
      </c>
      <c r="H577" s="2" t="str">
        <f t="shared" si="186"/>
        <v>--</v>
      </c>
      <c r="I577" s="38">
        <f t="shared" si="189"/>
        <v>0</v>
      </c>
      <c r="J577" s="33">
        <f t="shared" si="190"/>
        <v>144</v>
      </c>
      <c r="K577" s="33">
        <f t="shared" si="206"/>
        <v>0</v>
      </c>
      <c r="L577" s="33">
        <f t="shared" si="206"/>
        <v>0</v>
      </c>
      <c r="M577" s="33">
        <f t="shared" si="206"/>
        <v>0</v>
      </c>
      <c r="N577" s="33">
        <f t="shared" si="187"/>
        <v>0</v>
      </c>
      <c r="O577" s="33">
        <f t="shared" si="206"/>
        <v>0</v>
      </c>
      <c r="P577" s="33">
        <f t="shared" si="206"/>
        <v>0</v>
      </c>
      <c r="Q577" s="33">
        <f t="shared" si="206"/>
        <v>0</v>
      </c>
      <c r="R577" s="35">
        <f t="shared" si="191"/>
        <v>0</v>
      </c>
      <c r="S577" s="35">
        <f t="shared" si="192"/>
        <v>0</v>
      </c>
      <c r="T577" s="35">
        <f t="shared" si="193"/>
        <v>0</v>
      </c>
      <c r="U577" s="35">
        <f t="shared" si="188"/>
        <v>0</v>
      </c>
      <c r="V577" s="35">
        <f t="shared" si="207"/>
        <v>0</v>
      </c>
      <c r="W577" s="35">
        <f t="shared" si="207"/>
        <v>0</v>
      </c>
      <c r="X577" s="35">
        <f t="shared" si="207"/>
        <v>0</v>
      </c>
      <c r="Y577" s="35">
        <f t="shared" si="207"/>
        <v>0</v>
      </c>
      <c r="Z577" s="35">
        <f t="shared" si="207"/>
        <v>0</v>
      </c>
      <c r="AA577" s="35">
        <f t="shared" si="207"/>
        <v>0</v>
      </c>
    </row>
    <row r="578" spans="2:27" x14ac:dyDescent="0.2">
      <c r="B578" s="2">
        <v>576</v>
      </c>
      <c r="C578" s="2" t="str">
        <f t="shared" si="201"/>
        <v>c</v>
      </c>
      <c r="D578" s="29" t="s">
        <v>31</v>
      </c>
      <c r="E578" s="29" t="s">
        <v>219</v>
      </c>
      <c r="F578" s="2" t="s">
        <v>184</v>
      </c>
      <c r="G578" s="2">
        <f t="shared" si="196"/>
        <v>8</v>
      </c>
      <c r="H578" s="2" t="str">
        <f t="shared" si="186"/>
        <v>--</v>
      </c>
      <c r="I578" s="38">
        <f t="shared" si="189"/>
        <v>0</v>
      </c>
      <c r="J578" s="33">
        <f t="shared" si="190"/>
        <v>164</v>
      </c>
      <c r="K578" s="33">
        <f t="shared" si="206"/>
        <v>0</v>
      </c>
      <c r="L578" s="33">
        <f t="shared" si="206"/>
        <v>0</v>
      </c>
      <c r="M578" s="33">
        <f t="shared" si="206"/>
        <v>0</v>
      </c>
      <c r="N578" s="33">
        <f t="shared" si="187"/>
        <v>0</v>
      </c>
      <c r="O578" s="33">
        <f t="shared" si="206"/>
        <v>0</v>
      </c>
      <c r="P578" s="33">
        <f t="shared" si="206"/>
        <v>0</v>
      </c>
      <c r="Q578" s="33">
        <f t="shared" si="206"/>
        <v>0</v>
      </c>
      <c r="R578" s="35">
        <f t="shared" si="191"/>
        <v>0</v>
      </c>
      <c r="S578" s="35">
        <f t="shared" si="192"/>
        <v>0</v>
      </c>
      <c r="T578" s="35">
        <f t="shared" si="193"/>
        <v>0</v>
      </c>
      <c r="U578" s="35">
        <f t="shared" si="188"/>
        <v>0</v>
      </c>
      <c r="V578" s="35">
        <f t="shared" si="207"/>
        <v>0</v>
      </c>
      <c r="W578" s="35">
        <f t="shared" si="207"/>
        <v>0</v>
      </c>
      <c r="X578" s="35">
        <f t="shared" si="207"/>
        <v>0</v>
      </c>
      <c r="Y578" s="35">
        <f t="shared" si="207"/>
        <v>0</v>
      </c>
      <c r="Z578" s="35">
        <f t="shared" si="207"/>
        <v>0</v>
      </c>
      <c r="AA578" s="35">
        <f t="shared" si="207"/>
        <v>0</v>
      </c>
    </row>
    <row r="579" spans="2:27" x14ac:dyDescent="0.2">
      <c r="B579" s="2">
        <v>577</v>
      </c>
      <c r="C579" s="2" t="str">
        <f t="shared" si="201"/>
        <v>s</v>
      </c>
      <c r="D579" s="29" t="s">
        <v>31</v>
      </c>
      <c r="E579" s="29" t="s">
        <v>227</v>
      </c>
      <c r="F579" s="2" t="s">
        <v>228</v>
      </c>
      <c r="G579" s="2">
        <f t="shared" si="196"/>
        <v>1</v>
      </c>
      <c r="H579" s="2" t="str">
        <f t="shared" ref="H579:H642" si="208">IF(C579="c","--",VLOOKUP(F579,role_property_weight,17,FALSE))</f>
        <v>神圣</v>
      </c>
      <c r="I579" s="38">
        <f t="shared" si="189"/>
        <v>0.1</v>
      </c>
      <c r="J579" s="33">
        <f t="shared" si="190"/>
        <v>38</v>
      </c>
      <c r="K579" s="33">
        <f t="shared" si="206"/>
        <v>20</v>
      </c>
      <c r="L579" s="33">
        <f t="shared" si="206"/>
        <v>3</v>
      </c>
      <c r="M579" s="33">
        <f t="shared" si="206"/>
        <v>13</v>
      </c>
      <c r="N579" s="33">
        <f t="shared" ref="N579:N642" si="209">ROUNDUP((1+VLOOKUP($F579,role_property_weight,getpos(N$2),FALSE))*(1+VLOOKUP($F579,weapon_property_weight,getpos(N$2),FALSE))*VLOOKUP($E579,role_grow,getpos(N$2),FALSE)*$G579*10*VLOOKUP($C579,weapon_grow1,5,FALSE),0)</f>
        <v>12</v>
      </c>
      <c r="O579" s="33">
        <f t="shared" si="206"/>
        <v>11</v>
      </c>
      <c r="P579" s="33">
        <f t="shared" si="206"/>
        <v>6</v>
      </c>
      <c r="Q579" s="33">
        <f t="shared" si="206"/>
        <v>5</v>
      </c>
      <c r="R579" s="35">
        <f t="shared" si="191"/>
        <v>1.6666666666666666E-2</v>
      </c>
      <c r="S579" s="35">
        <f t="shared" si="192"/>
        <v>0.02</v>
      </c>
      <c r="T579" s="35">
        <f t="shared" si="193"/>
        <v>1.6666666666666666E-2</v>
      </c>
      <c r="U579" s="35">
        <f t="shared" ref="U579:U642" si="210">1-200/(200+ROUND((1+VLOOKUP($F579,role_property_weight,getpos(U$2),FALSE))*VLOOKUP($E579,role_grow,getpos(U$2),FALSE)*$G579*10*VLOOKUP($C579,weapon_grow1,5,FALSE),0))</f>
        <v>1.4778325123152691E-2</v>
      </c>
      <c r="V579" s="35">
        <f t="shared" si="207"/>
        <v>1.4778325123152691E-2</v>
      </c>
      <c r="W579" s="35">
        <f t="shared" si="207"/>
        <v>1.4778325123152691E-2</v>
      </c>
      <c r="X579" s="35">
        <f t="shared" si="207"/>
        <v>1.4778325123152691E-2</v>
      </c>
      <c r="Y579" s="35">
        <f t="shared" si="207"/>
        <v>7.8341013824884786E-2</v>
      </c>
      <c r="Z579" s="35">
        <f t="shared" si="207"/>
        <v>1.4778325123152691E-2</v>
      </c>
      <c r="AA579" s="35">
        <f t="shared" si="207"/>
        <v>1.4778325123152691E-2</v>
      </c>
    </row>
    <row r="580" spans="2:27" x14ac:dyDescent="0.2">
      <c r="B580" s="2">
        <v>578</v>
      </c>
      <c r="C580" s="2" t="str">
        <f t="shared" si="201"/>
        <v>s</v>
      </c>
      <c r="D580" s="29" t="s">
        <v>31</v>
      </c>
      <c r="E580" s="29" t="s">
        <v>227</v>
      </c>
      <c r="F580" s="2" t="s">
        <v>228</v>
      </c>
      <c r="G580" s="2">
        <f t="shared" si="196"/>
        <v>2</v>
      </c>
      <c r="H580" s="2" t="str">
        <f t="shared" si="208"/>
        <v>神圣</v>
      </c>
      <c r="I580" s="38">
        <f t="shared" ref="I580:I642" si="211">IF(H580="--",0,IF((SUM(J580:Q580)/11)%&lt;10%,10%,(SUM(J580:Q580)/11)%))</f>
        <v>0.19818181818181815</v>
      </c>
      <c r="J580" s="33">
        <f t="shared" ref="J580:J642" si="212">INT((1+VLOOKUP($F580,role_property_weight,getpos(J$2),FALSE))*(1+VLOOKUP(F580,weapon_property_weight,getpos(J$2),FALSE))*VLOOKUP($E580,role_grow,getpos(J$2),FALSE)*$G580*10*VLOOKUP($C580,weapon_grow1,4,FALSE))</f>
        <v>77</v>
      </c>
      <c r="K580" s="33">
        <f t="shared" si="206"/>
        <v>40</v>
      </c>
      <c r="L580" s="33">
        <f t="shared" si="206"/>
        <v>6</v>
      </c>
      <c r="M580" s="33">
        <f t="shared" si="206"/>
        <v>26</v>
      </c>
      <c r="N580" s="33">
        <f t="shared" si="209"/>
        <v>23</v>
      </c>
      <c r="O580" s="33">
        <f t="shared" si="206"/>
        <v>22</v>
      </c>
      <c r="P580" s="33">
        <f t="shared" si="206"/>
        <v>13</v>
      </c>
      <c r="Q580" s="33">
        <f t="shared" si="206"/>
        <v>11</v>
      </c>
      <c r="R580" s="35">
        <f t="shared" ref="R580:R642" si="213">(Q580/3)%</f>
        <v>3.6666666666666667E-2</v>
      </c>
      <c r="S580" s="35">
        <f t="shared" ref="S580:S642" si="214">(P580/3)%</f>
        <v>4.3333333333333328E-2</v>
      </c>
      <c r="T580" s="35">
        <f t="shared" ref="T580:T642" si="215">(Q580/3)%</f>
        <v>3.6666666666666667E-2</v>
      </c>
      <c r="U580" s="35">
        <f t="shared" si="210"/>
        <v>2.9126213592232997E-2</v>
      </c>
      <c r="V580" s="35">
        <f t="shared" si="207"/>
        <v>2.9126213592232997E-2</v>
      </c>
      <c r="W580" s="35">
        <f t="shared" si="207"/>
        <v>2.9126213592232997E-2</v>
      </c>
      <c r="X580" s="35">
        <f t="shared" si="207"/>
        <v>2.9126213592232997E-2</v>
      </c>
      <c r="Y580" s="35">
        <f t="shared" si="207"/>
        <v>0.14529914529914534</v>
      </c>
      <c r="Z580" s="35">
        <f t="shared" si="207"/>
        <v>2.9126213592232997E-2</v>
      </c>
      <c r="AA580" s="35">
        <f t="shared" si="207"/>
        <v>2.9126213592232997E-2</v>
      </c>
    </row>
    <row r="581" spans="2:27" x14ac:dyDescent="0.2">
      <c r="B581" s="2">
        <v>579</v>
      </c>
      <c r="C581" s="2" t="str">
        <f t="shared" si="201"/>
        <v>s</v>
      </c>
      <c r="D581" s="29" t="s">
        <v>31</v>
      </c>
      <c r="E581" s="29" t="s">
        <v>227</v>
      </c>
      <c r="F581" s="2" t="s">
        <v>228</v>
      </c>
      <c r="G581" s="2">
        <f t="shared" si="196"/>
        <v>3</v>
      </c>
      <c r="H581" s="2" t="str">
        <f t="shared" si="208"/>
        <v>神圣</v>
      </c>
      <c r="I581" s="38">
        <f t="shared" si="211"/>
        <v>0.29636363636363638</v>
      </c>
      <c r="J581" s="33">
        <f t="shared" si="212"/>
        <v>115</v>
      </c>
      <c r="K581" s="33">
        <f t="shared" si="206"/>
        <v>60</v>
      </c>
      <c r="L581" s="33">
        <f t="shared" si="206"/>
        <v>9</v>
      </c>
      <c r="M581" s="33">
        <f t="shared" si="206"/>
        <v>39</v>
      </c>
      <c r="N581" s="33">
        <f t="shared" si="209"/>
        <v>34</v>
      </c>
      <c r="O581" s="33">
        <f t="shared" si="206"/>
        <v>33</v>
      </c>
      <c r="P581" s="33">
        <f t="shared" si="206"/>
        <v>19</v>
      </c>
      <c r="Q581" s="33">
        <f t="shared" si="206"/>
        <v>17</v>
      </c>
      <c r="R581" s="35">
        <f t="shared" si="213"/>
        <v>5.6666666666666671E-2</v>
      </c>
      <c r="S581" s="35">
        <f t="shared" si="214"/>
        <v>6.3333333333333325E-2</v>
      </c>
      <c r="T581" s="35">
        <f t="shared" si="215"/>
        <v>5.6666666666666671E-2</v>
      </c>
      <c r="U581" s="35">
        <f t="shared" si="210"/>
        <v>3.8461538461538436E-2</v>
      </c>
      <c r="V581" s="35">
        <f t="shared" si="207"/>
        <v>3.8461538461538436E-2</v>
      </c>
      <c r="W581" s="35">
        <f t="shared" si="207"/>
        <v>3.8461538461538436E-2</v>
      </c>
      <c r="X581" s="35">
        <f t="shared" si="207"/>
        <v>3.8461538461538436E-2</v>
      </c>
      <c r="Y581" s="35">
        <f t="shared" si="207"/>
        <v>0.20318725099601598</v>
      </c>
      <c r="Z581" s="35">
        <f t="shared" si="207"/>
        <v>3.8461538461538436E-2</v>
      </c>
      <c r="AA581" s="35">
        <f t="shared" si="207"/>
        <v>3.8461538461538436E-2</v>
      </c>
    </row>
    <row r="582" spans="2:27" x14ac:dyDescent="0.2">
      <c r="B582" s="2">
        <v>580</v>
      </c>
      <c r="C582" s="2" t="str">
        <f t="shared" si="201"/>
        <v>s</v>
      </c>
      <c r="D582" s="29" t="s">
        <v>31</v>
      </c>
      <c r="E582" s="29" t="s">
        <v>227</v>
      </c>
      <c r="F582" s="2" t="s">
        <v>228</v>
      </c>
      <c r="G582" s="2">
        <f t="shared" si="196"/>
        <v>4</v>
      </c>
      <c r="H582" s="2" t="str">
        <f t="shared" si="208"/>
        <v>神圣</v>
      </c>
      <c r="I582" s="38">
        <f t="shared" si="211"/>
        <v>0.39818181818181819</v>
      </c>
      <c r="J582" s="33">
        <f t="shared" si="212"/>
        <v>154</v>
      </c>
      <c r="K582" s="33">
        <f t="shared" si="206"/>
        <v>80</v>
      </c>
      <c r="L582" s="33">
        <f t="shared" si="206"/>
        <v>12</v>
      </c>
      <c r="M582" s="33">
        <f t="shared" si="206"/>
        <v>52</v>
      </c>
      <c r="N582" s="33">
        <f t="shared" si="209"/>
        <v>46</v>
      </c>
      <c r="O582" s="33">
        <f t="shared" si="206"/>
        <v>45</v>
      </c>
      <c r="P582" s="33">
        <f t="shared" si="206"/>
        <v>26</v>
      </c>
      <c r="Q582" s="33">
        <f t="shared" si="206"/>
        <v>23</v>
      </c>
      <c r="R582" s="35">
        <f t="shared" si="213"/>
        <v>7.6666666666666675E-2</v>
      </c>
      <c r="S582" s="35">
        <f t="shared" si="214"/>
        <v>8.6666666666666656E-2</v>
      </c>
      <c r="T582" s="35">
        <f t="shared" si="215"/>
        <v>7.6666666666666675E-2</v>
      </c>
      <c r="U582" s="35">
        <f t="shared" si="210"/>
        <v>5.2132701421800931E-2</v>
      </c>
      <c r="V582" s="35">
        <f t="shared" si="207"/>
        <v>5.2132701421800931E-2</v>
      </c>
      <c r="W582" s="35">
        <f t="shared" si="207"/>
        <v>5.2132701421800931E-2</v>
      </c>
      <c r="X582" s="35">
        <f t="shared" si="207"/>
        <v>5.2132701421800931E-2</v>
      </c>
      <c r="Y582" s="35">
        <f t="shared" si="207"/>
        <v>0.25373134328358204</v>
      </c>
      <c r="Z582" s="35">
        <f t="shared" si="207"/>
        <v>5.2132701421800931E-2</v>
      </c>
      <c r="AA582" s="35">
        <f t="shared" si="207"/>
        <v>5.2132701421800931E-2</v>
      </c>
    </row>
    <row r="583" spans="2:27" x14ac:dyDescent="0.2">
      <c r="B583" s="2">
        <v>581</v>
      </c>
      <c r="C583" s="2" t="str">
        <f t="shared" si="201"/>
        <v>s</v>
      </c>
      <c r="D583" s="29" t="s">
        <v>31</v>
      </c>
      <c r="E583" s="29" t="s">
        <v>227</v>
      </c>
      <c r="F583" s="2" t="s">
        <v>228</v>
      </c>
      <c r="G583" s="2">
        <f t="shared" si="196"/>
        <v>5</v>
      </c>
      <c r="H583" s="2" t="str">
        <f t="shared" si="208"/>
        <v>神圣</v>
      </c>
      <c r="I583" s="38">
        <f t="shared" si="211"/>
        <v>0.49727272727272726</v>
      </c>
      <c r="J583" s="33">
        <f t="shared" si="212"/>
        <v>192</v>
      </c>
      <c r="K583" s="33">
        <f t="shared" ref="K583:Q592" si="216">INT((1+VLOOKUP($F583,role_property_weight,getpos(K$2),FALSE))*(1+VLOOKUP($F583,weapon_property_weight,getpos(K$2),FALSE))*VLOOKUP($E583,role_grow,getpos(K$2),FALSE)*$G583*10*VLOOKUP($C583,weapon_grow1,5,FALSE))</f>
        <v>100</v>
      </c>
      <c r="L583" s="33">
        <f t="shared" si="216"/>
        <v>16</v>
      </c>
      <c r="M583" s="33">
        <f t="shared" si="216"/>
        <v>65</v>
      </c>
      <c r="N583" s="33">
        <f t="shared" si="209"/>
        <v>57</v>
      </c>
      <c r="O583" s="33">
        <f t="shared" si="216"/>
        <v>56</v>
      </c>
      <c r="P583" s="33">
        <f t="shared" si="216"/>
        <v>32</v>
      </c>
      <c r="Q583" s="33">
        <f t="shared" si="216"/>
        <v>29</v>
      </c>
      <c r="R583" s="35">
        <f t="shared" si="213"/>
        <v>9.6666666666666665E-2</v>
      </c>
      <c r="S583" s="35">
        <f t="shared" si="214"/>
        <v>0.10666666666666666</v>
      </c>
      <c r="T583" s="35">
        <f t="shared" si="215"/>
        <v>9.6666666666666665E-2</v>
      </c>
      <c r="U583" s="35">
        <f t="shared" si="210"/>
        <v>6.5420560747663559E-2</v>
      </c>
      <c r="V583" s="35">
        <f t="shared" ref="V583:AA592" si="217">1-200/(200+ROUND((1+VLOOKUP($F583,role_property_weight,getpos(V$2),FALSE))*VLOOKUP($E583,role_grow,getpos(V$2),FALSE)*$G583*10*VLOOKUP($C583,weapon_grow1,5,FALSE),0))</f>
        <v>6.5420560747663559E-2</v>
      </c>
      <c r="W583" s="35">
        <f t="shared" si="217"/>
        <v>6.5420560747663559E-2</v>
      </c>
      <c r="X583" s="35">
        <f t="shared" si="217"/>
        <v>6.5420560747663559E-2</v>
      </c>
      <c r="Y583" s="35">
        <f t="shared" si="217"/>
        <v>0.29824561403508776</v>
      </c>
      <c r="Z583" s="35">
        <f t="shared" si="217"/>
        <v>6.5420560747663559E-2</v>
      </c>
      <c r="AA583" s="35">
        <f t="shared" si="217"/>
        <v>6.5420560747663559E-2</v>
      </c>
    </row>
    <row r="584" spans="2:27" x14ac:dyDescent="0.2">
      <c r="B584" s="2">
        <v>582</v>
      </c>
      <c r="C584" s="2" t="str">
        <f t="shared" si="201"/>
        <v>s</v>
      </c>
      <c r="D584" s="29" t="s">
        <v>31</v>
      </c>
      <c r="E584" s="29" t="s">
        <v>227</v>
      </c>
      <c r="F584" s="2" t="s">
        <v>228</v>
      </c>
      <c r="G584" s="2">
        <f t="shared" si="196"/>
        <v>6</v>
      </c>
      <c r="H584" s="2" t="str">
        <f t="shared" si="208"/>
        <v>神圣</v>
      </c>
      <c r="I584" s="38">
        <f t="shared" si="211"/>
        <v>0.59818181818181815</v>
      </c>
      <c r="J584" s="33">
        <f t="shared" si="212"/>
        <v>231</v>
      </c>
      <c r="K584" s="33">
        <f t="shared" si="216"/>
        <v>121</v>
      </c>
      <c r="L584" s="33">
        <f t="shared" si="216"/>
        <v>19</v>
      </c>
      <c r="M584" s="33">
        <f t="shared" si="216"/>
        <v>78</v>
      </c>
      <c r="N584" s="33">
        <f t="shared" si="209"/>
        <v>68</v>
      </c>
      <c r="O584" s="33">
        <f t="shared" si="216"/>
        <v>67</v>
      </c>
      <c r="P584" s="33">
        <f t="shared" si="216"/>
        <v>39</v>
      </c>
      <c r="Q584" s="33">
        <f t="shared" si="216"/>
        <v>35</v>
      </c>
      <c r="R584" s="35">
        <f t="shared" si="213"/>
        <v>0.11666666666666665</v>
      </c>
      <c r="S584" s="35">
        <f t="shared" si="214"/>
        <v>0.13</v>
      </c>
      <c r="T584" s="35">
        <f t="shared" si="215"/>
        <v>0.11666666666666665</v>
      </c>
      <c r="U584" s="35">
        <f t="shared" si="210"/>
        <v>7.8341013824884786E-2</v>
      </c>
      <c r="V584" s="35">
        <f t="shared" si="217"/>
        <v>7.8341013824884786E-2</v>
      </c>
      <c r="W584" s="35">
        <f t="shared" si="217"/>
        <v>7.8341013824884786E-2</v>
      </c>
      <c r="X584" s="35">
        <f t="shared" si="217"/>
        <v>7.8341013824884786E-2</v>
      </c>
      <c r="Y584" s="35">
        <f t="shared" si="217"/>
        <v>0.33774834437086088</v>
      </c>
      <c r="Z584" s="35">
        <f t="shared" si="217"/>
        <v>7.8341013824884786E-2</v>
      </c>
      <c r="AA584" s="35">
        <f t="shared" si="217"/>
        <v>7.8341013824884786E-2</v>
      </c>
    </row>
    <row r="585" spans="2:27" x14ac:dyDescent="0.2">
      <c r="B585" s="2">
        <v>583</v>
      </c>
      <c r="C585" s="2" t="str">
        <f t="shared" si="201"/>
        <v>s</v>
      </c>
      <c r="D585" s="29" t="s">
        <v>128</v>
      </c>
      <c r="E585" s="29" t="s">
        <v>227</v>
      </c>
      <c r="F585" s="2" t="s">
        <v>228</v>
      </c>
      <c r="G585" s="2">
        <f t="shared" si="196"/>
        <v>7</v>
      </c>
      <c r="H585" s="2" t="str">
        <f t="shared" si="208"/>
        <v>神圣</v>
      </c>
      <c r="I585" s="38">
        <f t="shared" si="211"/>
        <v>0.69818181818181813</v>
      </c>
      <c r="J585" s="33">
        <f t="shared" si="212"/>
        <v>269</v>
      </c>
      <c r="K585" s="33">
        <f t="shared" si="216"/>
        <v>141</v>
      </c>
      <c r="L585" s="33">
        <f t="shared" si="216"/>
        <v>22</v>
      </c>
      <c r="M585" s="33">
        <f t="shared" si="216"/>
        <v>91</v>
      </c>
      <c r="N585" s="33">
        <f t="shared" si="209"/>
        <v>80</v>
      </c>
      <c r="O585" s="33">
        <f t="shared" si="216"/>
        <v>79</v>
      </c>
      <c r="P585" s="33">
        <f t="shared" si="216"/>
        <v>45</v>
      </c>
      <c r="Q585" s="33">
        <f t="shared" si="216"/>
        <v>41</v>
      </c>
      <c r="R585" s="35">
        <f t="shared" si="213"/>
        <v>0.13666666666666666</v>
      </c>
      <c r="S585" s="35">
        <f t="shared" si="214"/>
        <v>0.15</v>
      </c>
      <c r="T585" s="35">
        <f t="shared" si="215"/>
        <v>0.13666666666666666</v>
      </c>
      <c r="U585" s="35">
        <f t="shared" si="210"/>
        <v>9.0909090909090939E-2</v>
      </c>
      <c r="V585" s="35">
        <f t="shared" si="217"/>
        <v>9.0909090909090939E-2</v>
      </c>
      <c r="W585" s="35">
        <f t="shared" si="217"/>
        <v>9.0909090909090939E-2</v>
      </c>
      <c r="X585" s="35">
        <f t="shared" si="217"/>
        <v>9.0909090909090939E-2</v>
      </c>
      <c r="Y585" s="35">
        <f t="shared" si="217"/>
        <v>0.37304075235109713</v>
      </c>
      <c r="Z585" s="35">
        <f t="shared" si="217"/>
        <v>9.0909090909090939E-2</v>
      </c>
      <c r="AA585" s="35">
        <f t="shared" si="217"/>
        <v>9.0909090909090939E-2</v>
      </c>
    </row>
    <row r="586" spans="2:27" x14ac:dyDescent="0.2">
      <c r="B586" s="2">
        <v>584</v>
      </c>
      <c r="C586" s="2" t="str">
        <f t="shared" si="201"/>
        <v>s</v>
      </c>
      <c r="D586" s="29" t="s">
        <v>31</v>
      </c>
      <c r="E586" s="29" t="s">
        <v>227</v>
      </c>
      <c r="F586" s="2" t="s">
        <v>228</v>
      </c>
      <c r="G586" s="2">
        <f t="shared" si="196"/>
        <v>8</v>
      </c>
      <c r="H586" s="2" t="str">
        <f t="shared" si="208"/>
        <v>神圣</v>
      </c>
      <c r="I586" s="38">
        <f t="shared" si="211"/>
        <v>0.7981818181818181</v>
      </c>
      <c r="J586" s="33">
        <f t="shared" si="212"/>
        <v>308</v>
      </c>
      <c r="K586" s="33">
        <f t="shared" si="216"/>
        <v>161</v>
      </c>
      <c r="L586" s="33">
        <f t="shared" si="216"/>
        <v>25</v>
      </c>
      <c r="M586" s="33">
        <f t="shared" si="216"/>
        <v>104</v>
      </c>
      <c r="N586" s="33">
        <f t="shared" si="209"/>
        <v>91</v>
      </c>
      <c r="O586" s="33">
        <f t="shared" si="216"/>
        <v>90</v>
      </c>
      <c r="P586" s="33">
        <f t="shared" si="216"/>
        <v>52</v>
      </c>
      <c r="Q586" s="33">
        <f t="shared" si="216"/>
        <v>47</v>
      </c>
      <c r="R586" s="35">
        <f t="shared" si="213"/>
        <v>0.15666666666666665</v>
      </c>
      <c r="S586" s="35">
        <f t="shared" si="214"/>
        <v>0.17333333333333331</v>
      </c>
      <c r="T586" s="35">
        <f t="shared" si="215"/>
        <v>0.15666666666666665</v>
      </c>
      <c r="U586" s="35">
        <f t="shared" si="210"/>
        <v>0.10313901345291476</v>
      </c>
      <c r="V586" s="35">
        <f t="shared" si="217"/>
        <v>0.10313901345291476</v>
      </c>
      <c r="W586" s="35">
        <f t="shared" si="217"/>
        <v>0.10313901345291476</v>
      </c>
      <c r="X586" s="35">
        <f t="shared" si="217"/>
        <v>0.10313901345291476</v>
      </c>
      <c r="Y586" s="35">
        <f t="shared" si="217"/>
        <v>0.40298507462686572</v>
      </c>
      <c r="Z586" s="35">
        <f t="shared" si="217"/>
        <v>0.10313901345291476</v>
      </c>
      <c r="AA586" s="35">
        <f t="shared" si="217"/>
        <v>0.10313901345291476</v>
      </c>
    </row>
    <row r="587" spans="2:27" x14ac:dyDescent="0.2">
      <c r="B587" s="2">
        <v>585</v>
      </c>
      <c r="C587" s="2" t="str">
        <f t="shared" si="201"/>
        <v>a</v>
      </c>
      <c r="D587" s="29" t="s">
        <v>31</v>
      </c>
      <c r="E587" s="29" t="s">
        <v>227</v>
      </c>
      <c r="F587" s="2" t="s">
        <v>228</v>
      </c>
      <c r="G587" s="2">
        <f t="shared" si="196"/>
        <v>1</v>
      </c>
      <c r="H587" s="2" t="str">
        <f t="shared" si="208"/>
        <v>神圣</v>
      </c>
      <c r="I587" s="38">
        <f t="shared" si="211"/>
        <v>0.1</v>
      </c>
      <c r="J587" s="33">
        <f t="shared" si="212"/>
        <v>29</v>
      </c>
      <c r="K587" s="33">
        <f t="shared" si="216"/>
        <v>21</v>
      </c>
      <c r="L587" s="33">
        <f t="shared" si="216"/>
        <v>3</v>
      </c>
      <c r="M587" s="33">
        <f t="shared" si="216"/>
        <v>13</v>
      </c>
      <c r="N587" s="33">
        <f t="shared" si="209"/>
        <v>12</v>
      </c>
      <c r="O587" s="33">
        <f t="shared" si="216"/>
        <v>11</v>
      </c>
      <c r="P587" s="33">
        <f t="shared" si="216"/>
        <v>6</v>
      </c>
      <c r="Q587" s="33">
        <f t="shared" si="216"/>
        <v>6</v>
      </c>
      <c r="R587" s="35">
        <f t="shared" si="213"/>
        <v>0.02</v>
      </c>
      <c r="S587" s="35">
        <f t="shared" si="214"/>
        <v>0.02</v>
      </c>
      <c r="T587" s="35">
        <f t="shared" si="215"/>
        <v>0.02</v>
      </c>
      <c r="U587" s="35">
        <f t="shared" si="210"/>
        <v>1.4778325123152691E-2</v>
      </c>
      <c r="V587" s="35">
        <f t="shared" si="217"/>
        <v>1.4778325123152691E-2</v>
      </c>
      <c r="W587" s="35">
        <f t="shared" si="217"/>
        <v>1.4778325123152691E-2</v>
      </c>
      <c r="X587" s="35">
        <f t="shared" si="217"/>
        <v>1.4778325123152691E-2</v>
      </c>
      <c r="Y587" s="35">
        <f t="shared" si="217"/>
        <v>8.256880733944949E-2</v>
      </c>
      <c r="Z587" s="35">
        <f t="shared" si="217"/>
        <v>1.4778325123152691E-2</v>
      </c>
      <c r="AA587" s="35">
        <f t="shared" si="217"/>
        <v>1.4778325123152691E-2</v>
      </c>
    </row>
    <row r="588" spans="2:27" x14ac:dyDescent="0.2">
      <c r="B588" s="2">
        <v>586</v>
      </c>
      <c r="C588" s="2" t="str">
        <f t="shared" si="201"/>
        <v>a</v>
      </c>
      <c r="D588" s="29" t="s">
        <v>10</v>
      </c>
      <c r="E588" s="29" t="s">
        <v>227</v>
      </c>
      <c r="F588" s="2" t="s">
        <v>228</v>
      </c>
      <c r="G588" s="2">
        <f t="shared" ref="G588:G642" si="218">G580</f>
        <v>2</v>
      </c>
      <c r="H588" s="2" t="str">
        <f t="shared" si="208"/>
        <v>神圣</v>
      </c>
      <c r="I588" s="38">
        <f t="shared" si="211"/>
        <v>0.18636363636363637</v>
      </c>
      <c r="J588" s="33">
        <f t="shared" si="212"/>
        <v>58</v>
      </c>
      <c r="K588" s="33">
        <f t="shared" si="216"/>
        <v>42</v>
      </c>
      <c r="L588" s="33">
        <f t="shared" si="216"/>
        <v>6</v>
      </c>
      <c r="M588" s="33">
        <f t="shared" si="216"/>
        <v>27</v>
      </c>
      <c r="N588" s="33">
        <f t="shared" si="209"/>
        <v>24</v>
      </c>
      <c r="O588" s="33">
        <f t="shared" si="216"/>
        <v>23</v>
      </c>
      <c r="P588" s="33">
        <f t="shared" si="216"/>
        <v>13</v>
      </c>
      <c r="Q588" s="33">
        <f t="shared" si="216"/>
        <v>12</v>
      </c>
      <c r="R588" s="35">
        <f t="shared" si="213"/>
        <v>0.04</v>
      </c>
      <c r="S588" s="35">
        <f t="shared" si="214"/>
        <v>4.3333333333333328E-2</v>
      </c>
      <c r="T588" s="35">
        <f t="shared" si="215"/>
        <v>0.04</v>
      </c>
      <c r="U588" s="35">
        <f t="shared" si="210"/>
        <v>2.9126213592232997E-2</v>
      </c>
      <c r="V588" s="35">
        <f t="shared" si="217"/>
        <v>2.9126213592232997E-2</v>
      </c>
      <c r="W588" s="35">
        <f t="shared" si="217"/>
        <v>2.9126213592232997E-2</v>
      </c>
      <c r="X588" s="35">
        <f t="shared" si="217"/>
        <v>2.9126213592232997E-2</v>
      </c>
      <c r="Y588" s="35">
        <f t="shared" si="217"/>
        <v>0.15254237288135597</v>
      </c>
      <c r="Z588" s="35">
        <f t="shared" si="217"/>
        <v>2.9126213592232997E-2</v>
      </c>
      <c r="AA588" s="35">
        <f t="shared" si="217"/>
        <v>2.9126213592232997E-2</v>
      </c>
    </row>
    <row r="589" spans="2:27" x14ac:dyDescent="0.2">
      <c r="B589" s="2">
        <v>587</v>
      </c>
      <c r="C589" s="2" t="str">
        <f t="shared" si="201"/>
        <v>a</v>
      </c>
      <c r="D589" s="29" t="s">
        <v>168</v>
      </c>
      <c r="E589" s="29" t="s">
        <v>227</v>
      </c>
      <c r="F589" s="2" t="s">
        <v>228</v>
      </c>
      <c r="G589" s="2">
        <f t="shared" si="218"/>
        <v>3</v>
      </c>
      <c r="H589" s="2" t="str">
        <f t="shared" si="208"/>
        <v>神圣</v>
      </c>
      <c r="I589" s="38">
        <f t="shared" si="211"/>
        <v>0.28272727272727272</v>
      </c>
      <c r="J589" s="33">
        <f t="shared" si="212"/>
        <v>88</v>
      </c>
      <c r="K589" s="33">
        <f t="shared" si="216"/>
        <v>63</v>
      </c>
      <c r="L589" s="33">
        <f t="shared" si="216"/>
        <v>10</v>
      </c>
      <c r="M589" s="33">
        <f t="shared" si="216"/>
        <v>41</v>
      </c>
      <c r="N589" s="33">
        <f t="shared" si="209"/>
        <v>36</v>
      </c>
      <c r="O589" s="33">
        <f t="shared" si="216"/>
        <v>35</v>
      </c>
      <c r="P589" s="33">
        <f t="shared" si="216"/>
        <v>20</v>
      </c>
      <c r="Q589" s="33">
        <f t="shared" si="216"/>
        <v>18</v>
      </c>
      <c r="R589" s="35">
        <f t="shared" si="213"/>
        <v>0.06</v>
      </c>
      <c r="S589" s="35">
        <f t="shared" si="214"/>
        <v>6.6666666666666666E-2</v>
      </c>
      <c r="T589" s="35">
        <f t="shared" si="215"/>
        <v>0.06</v>
      </c>
      <c r="U589" s="35">
        <f t="shared" si="210"/>
        <v>4.3062200956937802E-2</v>
      </c>
      <c r="V589" s="35">
        <f t="shared" si="217"/>
        <v>4.3062200956937802E-2</v>
      </c>
      <c r="W589" s="35">
        <f t="shared" si="217"/>
        <v>4.3062200956937802E-2</v>
      </c>
      <c r="X589" s="35">
        <f t="shared" si="217"/>
        <v>4.3062200956937802E-2</v>
      </c>
      <c r="Y589" s="35">
        <f t="shared" si="217"/>
        <v>0.21259842519685035</v>
      </c>
      <c r="Z589" s="35">
        <f t="shared" si="217"/>
        <v>4.3062200956937802E-2</v>
      </c>
      <c r="AA589" s="35">
        <f t="shared" si="217"/>
        <v>4.3062200956937802E-2</v>
      </c>
    </row>
    <row r="590" spans="2:27" x14ac:dyDescent="0.2">
      <c r="B590" s="2">
        <v>588</v>
      </c>
      <c r="C590" s="2" t="str">
        <f t="shared" si="201"/>
        <v>a</v>
      </c>
      <c r="D590" s="29" t="s">
        <v>128</v>
      </c>
      <c r="E590" s="29" t="s">
        <v>227</v>
      </c>
      <c r="F590" s="2" t="s">
        <v>228</v>
      </c>
      <c r="G590" s="2">
        <f t="shared" si="218"/>
        <v>4</v>
      </c>
      <c r="H590" s="2" t="str">
        <f t="shared" si="208"/>
        <v>神圣</v>
      </c>
      <c r="I590" s="38">
        <f t="shared" si="211"/>
        <v>0.37727272727272726</v>
      </c>
      <c r="J590" s="33">
        <f t="shared" si="212"/>
        <v>117</v>
      </c>
      <c r="K590" s="33">
        <f t="shared" si="216"/>
        <v>85</v>
      </c>
      <c r="L590" s="33">
        <f t="shared" si="216"/>
        <v>13</v>
      </c>
      <c r="M590" s="33">
        <f t="shared" si="216"/>
        <v>54</v>
      </c>
      <c r="N590" s="33">
        <f t="shared" si="209"/>
        <v>48</v>
      </c>
      <c r="O590" s="33">
        <f t="shared" si="216"/>
        <v>47</v>
      </c>
      <c r="P590" s="33">
        <f t="shared" si="216"/>
        <v>27</v>
      </c>
      <c r="Q590" s="33">
        <f t="shared" si="216"/>
        <v>24</v>
      </c>
      <c r="R590" s="35">
        <f t="shared" si="213"/>
        <v>0.08</v>
      </c>
      <c r="S590" s="35">
        <f t="shared" si="214"/>
        <v>0.09</v>
      </c>
      <c r="T590" s="35">
        <f t="shared" si="215"/>
        <v>0.08</v>
      </c>
      <c r="U590" s="35">
        <f t="shared" si="210"/>
        <v>5.6603773584905648E-2</v>
      </c>
      <c r="V590" s="35">
        <f t="shared" si="217"/>
        <v>5.6603773584905648E-2</v>
      </c>
      <c r="W590" s="35">
        <f t="shared" si="217"/>
        <v>5.6603773584905648E-2</v>
      </c>
      <c r="X590" s="35">
        <f t="shared" si="217"/>
        <v>5.6603773584905648E-2</v>
      </c>
      <c r="Y590" s="35">
        <f t="shared" si="217"/>
        <v>0.26199261992619927</v>
      </c>
      <c r="Z590" s="35">
        <f t="shared" si="217"/>
        <v>5.6603773584905648E-2</v>
      </c>
      <c r="AA590" s="35">
        <f t="shared" si="217"/>
        <v>5.6603773584905648E-2</v>
      </c>
    </row>
    <row r="591" spans="2:27" x14ac:dyDescent="0.2">
      <c r="B591" s="2">
        <v>589</v>
      </c>
      <c r="C591" s="2" t="str">
        <f t="shared" si="201"/>
        <v>a</v>
      </c>
      <c r="D591" s="29" t="s">
        <v>31</v>
      </c>
      <c r="E591" s="29" t="s">
        <v>227</v>
      </c>
      <c r="F591" s="2" t="s">
        <v>228</v>
      </c>
      <c r="G591" s="2">
        <f t="shared" si="218"/>
        <v>5</v>
      </c>
      <c r="H591" s="2" t="str">
        <f t="shared" si="208"/>
        <v>神圣</v>
      </c>
      <c r="I591" s="38">
        <f t="shared" si="211"/>
        <v>0.47363636363636369</v>
      </c>
      <c r="J591" s="33">
        <f t="shared" si="212"/>
        <v>147</v>
      </c>
      <c r="K591" s="33">
        <f t="shared" si="216"/>
        <v>106</v>
      </c>
      <c r="L591" s="33">
        <f t="shared" si="216"/>
        <v>16</v>
      </c>
      <c r="M591" s="33">
        <f t="shared" si="216"/>
        <v>68</v>
      </c>
      <c r="N591" s="33">
        <f t="shared" si="209"/>
        <v>60</v>
      </c>
      <c r="O591" s="33">
        <f t="shared" si="216"/>
        <v>59</v>
      </c>
      <c r="P591" s="33">
        <f t="shared" si="216"/>
        <v>34</v>
      </c>
      <c r="Q591" s="33">
        <f t="shared" si="216"/>
        <v>31</v>
      </c>
      <c r="R591" s="35">
        <f t="shared" si="213"/>
        <v>0.10333333333333333</v>
      </c>
      <c r="S591" s="35">
        <f t="shared" si="214"/>
        <v>0.11333333333333334</v>
      </c>
      <c r="T591" s="35">
        <f t="shared" si="215"/>
        <v>0.10333333333333333</v>
      </c>
      <c r="U591" s="35">
        <f t="shared" si="210"/>
        <v>6.9767441860465129E-2</v>
      </c>
      <c r="V591" s="35">
        <f t="shared" si="217"/>
        <v>6.9767441860465129E-2</v>
      </c>
      <c r="W591" s="35">
        <f t="shared" si="217"/>
        <v>6.9767441860465129E-2</v>
      </c>
      <c r="X591" s="35">
        <f t="shared" si="217"/>
        <v>6.9767441860465129E-2</v>
      </c>
      <c r="Y591" s="35">
        <f t="shared" si="217"/>
        <v>0.30795847750865057</v>
      </c>
      <c r="Z591" s="35">
        <f t="shared" si="217"/>
        <v>6.9767441860465129E-2</v>
      </c>
      <c r="AA591" s="35">
        <f t="shared" si="217"/>
        <v>6.9767441860465129E-2</v>
      </c>
    </row>
    <row r="592" spans="2:27" x14ac:dyDescent="0.2">
      <c r="B592" s="2">
        <v>590</v>
      </c>
      <c r="C592" s="2" t="str">
        <f t="shared" si="201"/>
        <v>a</v>
      </c>
      <c r="D592" s="29" t="s">
        <v>31</v>
      </c>
      <c r="E592" s="29" t="s">
        <v>227</v>
      </c>
      <c r="F592" s="2" t="s">
        <v>228</v>
      </c>
      <c r="G592" s="2">
        <f t="shared" si="218"/>
        <v>6</v>
      </c>
      <c r="H592" s="2" t="str">
        <f t="shared" si="208"/>
        <v>神圣</v>
      </c>
      <c r="I592" s="38">
        <f t="shared" si="211"/>
        <v>0.56909090909090909</v>
      </c>
      <c r="J592" s="33">
        <f t="shared" si="212"/>
        <v>176</v>
      </c>
      <c r="K592" s="33">
        <f t="shared" si="216"/>
        <v>127</v>
      </c>
      <c r="L592" s="33">
        <f t="shared" si="216"/>
        <v>20</v>
      </c>
      <c r="M592" s="33">
        <f t="shared" si="216"/>
        <v>82</v>
      </c>
      <c r="N592" s="33">
        <f t="shared" si="209"/>
        <v>72</v>
      </c>
      <c r="O592" s="33">
        <f t="shared" si="216"/>
        <v>71</v>
      </c>
      <c r="P592" s="33">
        <f t="shared" si="216"/>
        <v>41</v>
      </c>
      <c r="Q592" s="33">
        <f t="shared" si="216"/>
        <v>37</v>
      </c>
      <c r="R592" s="35">
        <f t="shared" si="213"/>
        <v>0.12333333333333334</v>
      </c>
      <c r="S592" s="35">
        <f t="shared" si="214"/>
        <v>0.13666666666666666</v>
      </c>
      <c r="T592" s="35">
        <f t="shared" si="215"/>
        <v>0.12333333333333334</v>
      </c>
      <c r="U592" s="35">
        <f t="shared" si="210"/>
        <v>8.256880733944949E-2</v>
      </c>
      <c r="V592" s="35">
        <f t="shared" si="217"/>
        <v>8.256880733944949E-2</v>
      </c>
      <c r="W592" s="35">
        <f t="shared" si="217"/>
        <v>8.256880733944949E-2</v>
      </c>
      <c r="X592" s="35">
        <f t="shared" si="217"/>
        <v>8.256880733944949E-2</v>
      </c>
      <c r="Y592" s="35">
        <f t="shared" si="217"/>
        <v>0.34853420195439744</v>
      </c>
      <c r="Z592" s="35">
        <f t="shared" si="217"/>
        <v>8.256880733944949E-2</v>
      </c>
      <c r="AA592" s="35">
        <f t="shared" si="217"/>
        <v>8.256880733944949E-2</v>
      </c>
    </row>
    <row r="593" spans="2:27" x14ac:dyDescent="0.2">
      <c r="B593" s="2">
        <v>591</v>
      </c>
      <c r="C593" s="2" t="str">
        <f t="shared" si="201"/>
        <v>a</v>
      </c>
      <c r="D593" s="29" t="s">
        <v>31</v>
      </c>
      <c r="E593" s="29" t="s">
        <v>227</v>
      </c>
      <c r="F593" s="2" t="s">
        <v>228</v>
      </c>
      <c r="G593" s="2">
        <f t="shared" si="218"/>
        <v>7</v>
      </c>
      <c r="H593" s="2" t="str">
        <f t="shared" si="208"/>
        <v>神圣</v>
      </c>
      <c r="I593" s="38">
        <f t="shared" si="211"/>
        <v>0.66454545454545455</v>
      </c>
      <c r="J593" s="33">
        <f t="shared" si="212"/>
        <v>206</v>
      </c>
      <c r="K593" s="33">
        <f t="shared" ref="K593:Q602" si="219">INT((1+VLOOKUP($F593,role_property_weight,getpos(K$2),FALSE))*(1+VLOOKUP($F593,weapon_property_weight,getpos(K$2),FALSE))*VLOOKUP($E593,role_grow,getpos(K$2),FALSE)*$G593*10*VLOOKUP($C593,weapon_grow1,5,FALSE))</f>
        <v>148</v>
      </c>
      <c r="L593" s="33">
        <f t="shared" si="219"/>
        <v>23</v>
      </c>
      <c r="M593" s="33">
        <f t="shared" si="219"/>
        <v>96</v>
      </c>
      <c r="N593" s="33">
        <f t="shared" si="209"/>
        <v>84</v>
      </c>
      <c r="O593" s="33">
        <f t="shared" si="219"/>
        <v>83</v>
      </c>
      <c r="P593" s="33">
        <f t="shared" si="219"/>
        <v>48</v>
      </c>
      <c r="Q593" s="33">
        <f t="shared" si="219"/>
        <v>43</v>
      </c>
      <c r="R593" s="35">
        <f t="shared" si="213"/>
        <v>0.14333333333333334</v>
      </c>
      <c r="S593" s="35">
        <f t="shared" si="214"/>
        <v>0.16</v>
      </c>
      <c r="T593" s="35">
        <f t="shared" si="215"/>
        <v>0.14333333333333334</v>
      </c>
      <c r="U593" s="35">
        <f t="shared" si="210"/>
        <v>9.5022624434389136E-2</v>
      </c>
      <c r="V593" s="35">
        <f t="shared" ref="V593:AA602" si="220">1-200/(200+ROUND((1+VLOOKUP($F593,role_property_weight,getpos(V$2),FALSE))*VLOOKUP($E593,role_grow,getpos(V$2),FALSE)*$G593*10*VLOOKUP($C593,weapon_grow1,5,FALSE),0))</f>
        <v>9.5022624434389136E-2</v>
      </c>
      <c r="W593" s="35">
        <f t="shared" si="220"/>
        <v>9.5022624434389136E-2</v>
      </c>
      <c r="X593" s="35">
        <f t="shared" si="220"/>
        <v>9.5022624434389136E-2</v>
      </c>
      <c r="Y593" s="35">
        <f t="shared" si="220"/>
        <v>0.38461538461538458</v>
      </c>
      <c r="Z593" s="35">
        <f t="shared" si="220"/>
        <v>9.5022624434389136E-2</v>
      </c>
      <c r="AA593" s="35">
        <f t="shared" si="220"/>
        <v>9.5022624434389136E-2</v>
      </c>
    </row>
    <row r="594" spans="2:27" x14ac:dyDescent="0.2">
      <c r="B594" s="2">
        <v>592</v>
      </c>
      <c r="C594" s="2" t="str">
        <f t="shared" si="201"/>
        <v>a</v>
      </c>
      <c r="D594" s="29" t="s">
        <v>31</v>
      </c>
      <c r="E594" s="29" t="s">
        <v>227</v>
      </c>
      <c r="F594" s="2" t="s">
        <v>228</v>
      </c>
      <c r="G594" s="2">
        <f t="shared" si="218"/>
        <v>8</v>
      </c>
      <c r="H594" s="2" t="str">
        <f t="shared" si="208"/>
        <v>神圣</v>
      </c>
      <c r="I594" s="38">
        <f t="shared" si="211"/>
        <v>0.75818181818181818</v>
      </c>
      <c r="J594" s="33">
        <f t="shared" si="212"/>
        <v>235</v>
      </c>
      <c r="K594" s="33">
        <f t="shared" si="219"/>
        <v>170</v>
      </c>
      <c r="L594" s="33">
        <f t="shared" si="219"/>
        <v>26</v>
      </c>
      <c r="M594" s="33">
        <f t="shared" si="219"/>
        <v>109</v>
      </c>
      <c r="N594" s="33">
        <f t="shared" si="209"/>
        <v>96</v>
      </c>
      <c r="O594" s="33">
        <f t="shared" si="219"/>
        <v>95</v>
      </c>
      <c r="P594" s="33">
        <f t="shared" si="219"/>
        <v>54</v>
      </c>
      <c r="Q594" s="33">
        <f t="shared" si="219"/>
        <v>49</v>
      </c>
      <c r="R594" s="35">
        <f t="shared" si="213"/>
        <v>0.16333333333333333</v>
      </c>
      <c r="S594" s="35">
        <f t="shared" si="214"/>
        <v>0.18</v>
      </c>
      <c r="T594" s="35">
        <f t="shared" si="215"/>
        <v>0.16333333333333333</v>
      </c>
      <c r="U594" s="35">
        <f t="shared" si="210"/>
        <v>0.1071428571428571</v>
      </c>
      <c r="V594" s="35">
        <f t="shared" si="220"/>
        <v>0.1071428571428571</v>
      </c>
      <c r="W594" s="35">
        <f t="shared" si="220"/>
        <v>0.1071428571428571</v>
      </c>
      <c r="X594" s="35">
        <f t="shared" si="220"/>
        <v>0.1071428571428571</v>
      </c>
      <c r="Y594" s="35">
        <f t="shared" si="220"/>
        <v>0.41690962099125362</v>
      </c>
      <c r="Z594" s="35">
        <f t="shared" si="220"/>
        <v>0.1071428571428571</v>
      </c>
      <c r="AA594" s="35">
        <f t="shared" si="220"/>
        <v>0.1071428571428571</v>
      </c>
    </row>
    <row r="595" spans="2:27" x14ac:dyDescent="0.2">
      <c r="B595" s="2">
        <v>593</v>
      </c>
      <c r="C595" s="2" t="str">
        <f t="shared" si="201"/>
        <v>b</v>
      </c>
      <c r="D595" s="29" t="s">
        <v>31</v>
      </c>
      <c r="E595" s="29" t="s">
        <v>227</v>
      </c>
      <c r="F595" s="2" t="s">
        <v>228</v>
      </c>
      <c r="G595" s="2">
        <f t="shared" si="218"/>
        <v>1</v>
      </c>
      <c r="H595" s="2" t="str">
        <f t="shared" si="208"/>
        <v>神圣</v>
      </c>
      <c r="I595" s="38">
        <f t="shared" si="211"/>
        <v>0.11090909090909092</v>
      </c>
      <c r="J595" s="33">
        <f t="shared" si="212"/>
        <v>31</v>
      </c>
      <c r="K595" s="33">
        <f t="shared" si="219"/>
        <v>26</v>
      </c>
      <c r="L595" s="33">
        <f t="shared" si="219"/>
        <v>4</v>
      </c>
      <c r="M595" s="33">
        <f t="shared" si="219"/>
        <v>17</v>
      </c>
      <c r="N595" s="33">
        <f t="shared" si="209"/>
        <v>15</v>
      </c>
      <c r="O595" s="33">
        <f t="shared" si="219"/>
        <v>14</v>
      </c>
      <c r="P595" s="33">
        <f t="shared" si="219"/>
        <v>8</v>
      </c>
      <c r="Q595" s="33">
        <f t="shared" si="219"/>
        <v>7</v>
      </c>
      <c r="R595" s="35">
        <f t="shared" si="213"/>
        <v>2.3333333333333334E-2</v>
      </c>
      <c r="S595" s="35">
        <f t="shared" si="214"/>
        <v>2.6666666666666665E-2</v>
      </c>
      <c r="T595" s="35">
        <f t="shared" si="215"/>
        <v>2.3333333333333334E-2</v>
      </c>
      <c r="U595" s="35">
        <f t="shared" si="210"/>
        <v>1.9607843137254943E-2</v>
      </c>
      <c r="V595" s="35">
        <f t="shared" si="220"/>
        <v>1.9607843137254943E-2</v>
      </c>
      <c r="W595" s="35">
        <f t="shared" si="220"/>
        <v>1.9607843137254943E-2</v>
      </c>
      <c r="X595" s="35">
        <f t="shared" si="220"/>
        <v>1.9607843137254943E-2</v>
      </c>
      <c r="Y595" s="35">
        <f t="shared" si="220"/>
        <v>9.9099099099099086E-2</v>
      </c>
      <c r="Z595" s="35">
        <f t="shared" si="220"/>
        <v>1.9607843137254943E-2</v>
      </c>
      <c r="AA595" s="35">
        <f t="shared" si="220"/>
        <v>1.9607843137254943E-2</v>
      </c>
    </row>
    <row r="596" spans="2:27" x14ac:dyDescent="0.2">
      <c r="B596" s="2">
        <v>594</v>
      </c>
      <c r="C596" s="2" t="str">
        <f t="shared" si="201"/>
        <v>b</v>
      </c>
      <c r="D596" s="29" t="s">
        <v>128</v>
      </c>
      <c r="E596" s="29" t="s">
        <v>227</v>
      </c>
      <c r="F596" s="2" t="s">
        <v>228</v>
      </c>
      <c r="G596" s="2">
        <f t="shared" si="218"/>
        <v>2</v>
      </c>
      <c r="H596" s="2" t="str">
        <f t="shared" si="208"/>
        <v>神圣</v>
      </c>
      <c r="I596" s="38">
        <f t="shared" si="211"/>
        <v>0.22636363636363638</v>
      </c>
      <c r="J596" s="33">
        <f t="shared" si="212"/>
        <v>63</v>
      </c>
      <c r="K596" s="33">
        <f t="shared" si="219"/>
        <v>53</v>
      </c>
      <c r="L596" s="33">
        <f t="shared" si="219"/>
        <v>8</v>
      </c>
      <c r="M596" s="33">
        <f t="shared" si="219"/>
        <v>34</v>
      </c>
      <c r="N596" s="33">
        <f t="shared" si="209"/>
        <v>30</v>
      </c>
      <c r="O596" s="33">
        <f t="shared" si="219"/>
        <v>29</v>
      </c>
      <c r="P596" s="33">
        <f t="shared" si="219"/>
        <v>17</v>
      </c>
      <c r="Q596" s="33">
        <f t="shared" si="219"/>
        <v>15</v>
      </c>
      <c r="R596" s="35">
        <f t="shared" si="213"/>
        <v>0.05</v>
      </c>
      <c r="S596" s="35">
        <f t="shared" si="214"/>
        <v>5.6666666666666671E-2</v>
      </c>
      <c r="T596" s="35">
        <f t="shared" si="215"/>
        <v>0.05</v>
      </c>
      <c r="U596" s="35">
        <f t="shared" si="210"/>
        <v>3.3816425120772986E-2</v>
      </c>
      <c r="V596" s="35">
        <f t="shared" si="220"/>
        <v>3.3816425120772986E-2</v>
      </c>
      <c r="W596" s="35">
        <f t="shared" si="220"/>
        <v>3.3816425120772986E-2</v>
      </c>
      <c r="X596" s="35">
        <f t="shared" si="220"/>
        <v>3.3816425120772986E-2</v>
      </c>
      <c r="Y596" s="35">
        <f t="shared" si="220"/>
        <v>0.18367346938775508</v>
      </c>
      <c r="Z596" s="35">
        <f t="shared" si="220"/>
        <v>3.3816425120772986E-2</v>
      </c>
      <c r="AA596" s="35">
        <f t="shared" si="220"/>
        <v>3.3816425120772986E-2</v>
      </c>
    </row>
    <row r="597" spans="2:27" x14ac:dyDescent="0.2">
      <c r="B597" s="2">
        <v>595</v>
      </c>
      <c r="C597" s="2" t="str">
        <f t="shared" si="201"/>
        <v>b</v>
      </c>
      <c r="D597" s="29" t="s">
        <v>31</v>
      </c>
      <c r="E597" s="29" t="s">
        <v>227</v>
      </c>
      <c r="F597" s="2" t="s">
        <v>228</v>
      </c>
      <c r="G597" s="2">
        <f t="shared" si="218"/>
        <v>3</v>
      </c>
      <c r="H597" s="2" t="str">
        <f t="shared" si="208"/>
        <v>神圣</v>
      </c>
      <c r="I597" s="38">
        <f t="shared" si="211"/>
        <v>0.34090909090909094</v>
      </c>
      <c r="J597" s="33">
        <f t="shared" si="212"/>
        <v>95</v>
      </c>
      <c r="K597" s="33">
        <f t="shared" si="219"/>
        <v>80</v>
      </c>
      <c r="L597" s="33">
        <f t="shared" si="219"/>
        <v>12</v>
      </c>
      <c r="M597" s="33">
        <f t="shared" si="219"/>
        <v>51</v>
      </c>
      <c r="N597" s="33">
        <f t="shared" si="209"/>
        <v>45</v>
      </c>
      <c r="O597" s="33">
        <f t="shared" si="219"/>
        <v>44</v>
      </c>
      <c r="P597" s="33">
        <f t="shared" si="219"/>
        <v>25</v>
      </c>
      <c r="Q597" s="33">
        <f t="shared" si="219"/>
        <v>23</v>
      </c>
      <c r="R597" s="35">
        <f t="shared" si="213"/>
        <v>7.6666666666666675E-2</v>
      </c>
      <c r="S597" s="35">
        <f t="shared" si="214"/>
        <v>8.3333333333333343E-2</v>
      </c>
      <c r="T597" s="35">
        <f t="shared" si="215"/>
        <v>7.6666666666666675E-2</v>
      </c>
      <c r="U597" s="35">
        <f t="shared" si="210"/>
        <v>5.2132701421800931E-2</v>
      </c>
      <c r="V597" s="35">
        <f t="shared" si="220"/>
        <v>5.2132701421800931E-2</v>
      </c>
      <c r="W597" s="35">
        <f t="shared" si="220"/>
        <v>5.2132701421800931E-2</v>
      </c>
      <c r="X597" s="35">
        <f t="shared" si="220"/>
        <v>5.2132701421800931E-2</v>
      </c>
      <c r="Y597" s="35">
        <f t="shared" si="220"/>
        <v>0.25093632958801493</v>
      </c>
      <c r="Z597" s="35">
        <f t="shared" si="220"/>
        <v>5.2132701421800931E-2</v>
      </c>
      <c r="AA597" s="35">
        <f t="shared" si="220"/>
        <v>5.2132701421800931E-2</v>
      </c>
    </row>
    <row r="598" spans="2:27" x14ac:dyDescent="0.2">
      <c r="B598" s="2">
        <v>596</v>
      </c>
      <c r="C598" s="2" t="str">
        <f t="shared" si="201"/>
        <v>b</v>
      </c>
      <c r="D598" s="29" t="s">
        <v>166</v>
      </c>
      <c r="E598" s="29" t="s">
        <v>227</v>
      </c>
      <c r="F598" s="2" t="s">
        <v>228</v>
      </c>
      <c r="G598" s="2">
        <f t="shared" si="218"/>
        <v>4</v>
      </c>
      <c r="H598" s="2" t="str">
        <f t="shared" si="208"/>
        <v>神圣</v>
      </c>
      <c r="I598" s="38">
        <f t="shared" si="211"/>
        <v>0.45727272727272728</v>
      </c>
      <c r="J598" s="33">
        <f t="shared" si="212"/>
        <v>127</v>
      </c>
      <c r="K598" s="33">
        <f t="shared" si="219"/>
        <v>107</v>
      </c>
      <c r="L598" s="33">
        <f t="shared" si="219"/>
        <v>16</v>
      </c>
      <c r="M598" s="33">
        <f t="shared" si="219"/>
        <v>69</v>
      </c>
      <c r="N598" s="33">
        <f t="shared" si="209"/>
        <v>60</v>
      </c>
      <c r="O598" s="33">
        <f t="shared" si="219"/>
        <v>59</v>
      </c>
      <c r="P598" s="33">
        <f t="shared" si="219"/>
        <v>34</v>
      </c>
      <c r="Q598" s="33">
        <f t="shared" si="219"/>
        <v>31</v>
      </c>
      <c r="R598" s="35">
        <f t="shared" si="213"/>
        <v>0.10333333333333333</v>
      </c>
      <c r="S598" s="35">
        <f t="shared" si="214"/>
        <v>0.11333333333333334</v>
      </c>
      <c r="T598" s="35">
        <f t="shared" si="215"/>
        <v>0.10333333333333333</v>
      </c>
      <c r="U598" s="35">
        <f t="shared" si="210"/>
        <v>6.9767441860465129E-2</v>
      </c>
      <c r="V598" s="35">
        <f t="shared" si="220"/>
        <v>6.9767441860465129E-2</v>
      </c>
      <c r="W598" s="35">
        <f t="shared" si="220"/>
        <v>6.9767441860465129E-2</v>
      </c>
      <c r="X598" s="35">
        <f t="shared" si="220"/>
        <v>6.9767441860465129E-2</v>
      </c>
      <c r="Y598" s="35">
        <f t="shared" si="220"/>
        <v>0.31034482758620685</v>
      </c>
      <c r="Z598" s="35">
        <f t="shared" si="220"/>
        <v>6.9767441860465129E-2</v>
      </c>
      <c r="AA598" s="35">
        <f t="shared" si="220"/>
        <v>6.9767441860465129E-2</v>
      </c>
    </row>
    <row r="599" spans="2:27" x14ac:dyDescent="0.2">
      <c r="B599" s="2">
        <v>597</v>
      </c>
      <c r="C599" s="2" t="str">
        <f t="shared" si="201"/>
        <v>b</v>
      </c>
      <c r="D599" s="29" t="s">
        <v>128</v>
      </c>
      <c r="E599" s="29" t="s">
        <v>227</v>
      </c>
      <c r="F599" s="2" t="s">
        <v>228</v>
      </c>
      <c r="G599" s="2">
        <f t="shared" si="218"/>
        <v>5</v>
      </c>
      <c r="H599" s="2" t="str">
        <f t="shared" si="208"/>
        <v>神圣</v>
      </c>
      <c r="I599" s="38">
        <f t="shared" si="211"/>
        <v>0.57181818181818178</v>
      </c>
      <c r="J599" s="33">
        <f t="shared" si="212"/>
        <v>158</v>
      </c>
      <c r="K599" s="33">
        <f t="shared" si="219"/>
        <v>133</v>
      </c>
      <c r="L599" s="33">
        <f t="shared" si="219"/>
        <v>21</v>
      </c>
      <c r="M599" s="33">
        <f t="shared" si="219"/>
        <v>86</v>
      </c>
      <c r="N599" s="33">
        <f t="shared" si="209"/>
        <v>75</v>
      </c>
      <c r="O599" s="33">
        <f t="shared" si="219"/>
        <v>74</v>
      </c>
      <c r="P599" s="33">
        <f t="shared" si="219"/>
        <v>43</v>
      </c>
      <c r="Q599" s="33">
        <f t="shared" si="219"/>
        <v>39</v>
      </c>
      <c r="R599" s="35">
        <f t="shared" si="213"/>
        <v>0.13</v>
      </c>
      <c r="S599" s="35">
        <f t="shared" si="214"/>
        <v>0.14333333333333334</v>
      </c>
      <c r="T599" s="35">
        <f t="shared" si="215"/>
        <v>0.13</v>
      </c>
      <c r="U599" s="35">
        <f t="shared" si="210"/>
        <v>8.6757990867579959E-2</v>
      </c>
      <c r="V599" s="35">
        <f t="shared" si="220"/>
        <v>8.6757990867579959E-2</v>
      </c>
      <c r="W599" s="35">
        <f t="shared" si="220"/>
        <v>8.6757990867579959E-2</v>
      </c>
      <c r="X599" s="35">
        <f t="shared" si="220"/>
        <v>8.6757990867579959E-2</v>
      </c>
      <c r="Y599" s="35">
        <f t="shared" si="220"/>
        <v>0.35897435897435892</v>
      </c>
      <c r="Z599" s="35">
        <f t="shared" si="220"/>
        <v>8.6757990867579959E-2</v>
      </c>
      <c r="AA599" s="35">
        <f t="shared" si="220"/>
        <v>8.6757990867579959E-2</v>
      </c>
    </row>
    <row r="600" spans="2:27" x14ac:dyDescent="0.2">
      <c r="B600" s="2">
        <v>598</v>
      </c>
      <c r="C600" s="2" t="str">
        <f t="shared" si="201"/>
        <v>b</v>
      </c>
      <c r="D600" s="29" t="s">
        <v>31</v>
      </c>
      <c r="E600" s="29" t="s">
        <v>227</v>
      </c>
      <c r="F600" s="2" t="s">
        <v>228</v>
      </c>
      <c r="G600" s="2">
        <f t="shared" si="218"/>
        <v>6</v>
      </c>
      <c r="H600" s="2" t="str">
        <f t="shared" si="208"/>
        <v>神圣</v>
      </c>
      <c r="I600" s="38">
        <f t="shared" si="211"/>
        <v>0.6863636363636364</v>
      </c>
      <c r="J600" s="33">
        <f t="shared" si="212"/>
        <v>190</v>
      </c>
      <c r="K600" s="33">
        <f t="shared" si="219"/>
        <v>160</v>
      </c>
      <c r="L600" s="33">
        <f t="shared" si="219"/>
        <v>25</v>
      </c>
      <c r="M600" s="33">
        <f t="shared" si="219"/>
        <v>103</v>
      </c>
      <c r="N600" s="33">
        <f t="shared" si="209"/>
        <v>90</v>
      </c>
      <c r="O600" s="33">
        <f t="shared" si="219"/>
        <v>89</v>
      </c>
      <c r="P600" s="33">
        <f t="shared" si="219"/>
        <v>51</v>
      </c>
      <c r="Q600" s="33">
        <f t="shared" si="219"/>
        <v>47</v>
      </c>
      <c r="R600" s="35">
        <f t="shared" si="213"/>
        <v>0.15666666666666665</v>
      </c>
      <c r="S600" s="35">
        <f t="shared" si="214"/>
        <v>0.17</v>
      </c>
      <c r="T600" s="35">
        <f t="shared" si="215"/>
        <v>0.15666666666666665</v>
      </c>
      <c r="U600" s="35">
        <f t="shared" si="210"/>
        <v>9.9099099099099086E-2</v>
      </c>
      <c r="V600" s="35">
        <f t="shared" si="220"/>
        <v>9.9099099099099086E-2</v>
      </c>
      <c r="W600" s="35">
        <f t="shared" si="220"/>
        <v>9.9099099099099086E-2</v>
      </c>
      <c r="X600" s="35">
        <f t="shared" si="220"/>
        <v>9.9099099099099086E-2</v>
      </c>
      <c r="Y600" s="35">
        <f t="shared" si="220"/>
        <v>0.40298507462686572</v>
      </c>
      <c r="Z600" s="35">
        <f t="shared" si="220"/>
        <v>9.9099099099099086E-2</v>
      </c>
      <c r="AA600" s="35">
        <f t="shared" si="220"/>
        <v>9.9099099099099086E-2</v>
      </c>
    </row>
    <row r="601" spans="2:27" x14ac:dyDescent="0.2">
      <c r="B601" s="2">
        <v>599</v>
      </c>
      <c r="C601" s="2" t="str">
        <f t="shared" si="201"/>
        <v>b</v>
      </c>
      <c r="D601" s="29" t="s">
        <v>140</v>
      </c>
      <c r="E601" s="29" t="s">
        <v>227</v>
      </c>
      <c r="F601" s="2" t="s">
        <v>228</v>
      </c>
      <c r="G601" s="2">
        <f t="shared" si="218"/>
        <v>7</v>
      </c>
      <c r="H601" s="2" t="str">
        <f t="shared" si="208"/>
        <v>神圣</v>
      </c>
      <c r="I601" s="38">
        <f t="shared" si="211"/>
        <v>0.80272727272727262</v>
      </c>
      <c r="J601" s="33">
        <f t="shared" si="212"/>
        <v>222</v>
      </c>
      <c r="K601" s="33">
        <f t="shared" si="219"/>
        <v>187</v>
      </c>
      <c r="L601" s="33">
        <f t="shared" si="219"/>
        <v>29</v>
      </c>
      <c r="M601" s="33">
        <f t="shared" si="219"/>
        <v>121</v>
      </c>
      <c r="N601" s="33">
        <f t="shared" si="209"/>
        <v>105</v>
      </c>
      <c r="O601" s="33">
        <f t="shared" si="219"/>
        <v>104</v>
      </c>
      <c r="P601" s="33">
        <f t="shared" si="219"/>
        <v>60</v>
      </c>
      <c r="Q601" s="33">
        <f t="shared" si="219"/>
        <v>55</v>
      </c>
      <c r="R601" s="35">
        <f t="shared" si="213"/>
        <v>0.18333333333333332</v>
      </c>
      <c r="S601" s="35">
        <f t="shared" si="214"/>
        <v>0.2</v>
      </c>
      <c r="T601" s="35">
        <f t="shared" si="215"/>
        <v>0.18333333333333332</v>
      </c>
      <c r="U601" s="35">
        <f t="shared" si="210"/>
        <v>0.11504424778761058</v>
      </c>
      <c r="V601" s="35">
        <f t="shared" si="220"/>
        <v>0.11504424778761058</v>
      </c>
      <c r="W601" s="35">
        <f t="shared" si="220"/>
        <v>0.11504424778761058</v>
      </c>
      <c r="X601" s="35">
        <f t="shared" si="220"/>
        <v>0.11504424778761058</v>
      </c>
      <c r="Y601" s="35">
        <f t="shared" si="220"/>
        <v>0.43977591036414565</v>
      </c>
      <c r="Z601" s="35">
        <f t="shared" si="220"/>
        <v>0.11504424778761058</v>
      </c>
      <c r="AA601" s="35">
        <f t="shared" si="220"/>
        <v>0.11504424778761058</v>
      </c>
    </row>
    <row r="602" spans="2:27" x14ac:dyDescent="0.2">
      <c r="B602" s="2">
        <v>600</v>
      </c>
      <c r="C602" s="2" t="str">
        <f t="shared" si="201"/>
        <v>b</v>
      </c>
      <c r="D602" s="29" t="s">
        <v>10</v>
      </c>
      <c r="E602" s="29" t="s">
        <v>227</v>
      </c>
      <c r="F602" s="2" t="s">
        <v>228</v>
      </c>
      <c r="G602" s="2">
        <f t="shared" si="218"/>
        <v>8</v>
      </c>
      <c r="H602" s="2" t="str">
        <f t="shared" si="208"/>
        <v>神圣</v>
      </c>
      <c r="I602" s="38">
        <f t="shared" si="211"/>
        <v>0.91727272727272735</v>
      </c>
      <c r="J602" s="33">
        <f t="shared" si="212"/>
        <v>254</v>
      </c>
      <c r="K602" s="33">
        <f t="shared" si="219"/>
        <v>214</v>
      </c>
      <c r="L602" s="33">
        <f t="shared" si="219"/>
        <v>33</v>
      </c>
      <c r="M602" s="33">
        <f t="shared" si="219"/>
        <v>138</v>
      </c>
      <c r="N602" s="33">
        <f t="shared" si="209"/>
        <v>120</v>
      </c>
      <c r="O602" s="33">
        <f t="shared" si="219"/>
        <v>119</v>
      </c>
      <c r="P602" s="33">
        <f t="shared" si="219"/>
        <v>69</v>
      </c>
      <c r="Q602" s="33">
        <f t="shared" si="219"/>
        <v>62</v>
      </c>
      <c r="R602" s="35">
        <f t="shared" si="213"/>
        <v>0.20666666666666667</v>
      </c>
      <c r="S602" s="35">
        <f t="shared" si="214"/>
        <v>0.23</v>
      </c>
      <c r="T602" s="35">
        <f t="shared" si="215"/>
        <v>0.20666666666666667</v>
      </c>
      <c r="U602" s="35">
        <f t="shared" si="210"/>
        <v>0.13043478260869568</v>
      </c>
      <c r="V602" s="35">
        <f t="shared" si="220"/>
        <v>0.13043478260869568</v>
      </c>
      <c r="W602" s="35">
        <f t="shared" si="220"/>
        <v>0.13043478260869568</v>
      </c>
      <c r="X602" s="35">
        <f t="shared" si="220"/>
        <v>0.13043478260869568</v>
      </c>
      <c r="Y602" s="35">
        <f t="shared" si="220"/>
        <v>0.47368421052631582</v>
      </c>
      <c r="Z602" s="35">
        <f t="shared" si="220"/>
        <v>0.13043478260869568</v>
      </c>
      <c r="AA602" s="35">
        <f t="shared" si="220"/>
        <v>0.13043478260869568</v>
      </c>
    </row>
    <row r="603" spans="2:27" x14ac:dyDescent="0.2">
      <c r="B603" s="2">
        <v>601</v>
      </c>
      <c r="C603" s="2" t="str">
        <f t="shared" si="201"/>
        <v>c</v>
      </c>
      <c r="D603" s="29" t="s">
        <v>31</v>
      </c>
      <c r="E603" s="29" t="s">
        <v>227</v>
      </c>
      <c r="F603" s="2" t="s">
        <v>228</v>
      </c>
      <c r="G603" s="2">
        <f t="shared" si="218"/>
        <v>1</v>
      </c>
      <c r="H603" s="2" t="str">
        <f t="shared" si="208"/>
        <v>--</v>
      </c>
      <c r="I603" s="38">
        <f t="shared" si="211"/>
        <v>0</v>
      </c>
      <c r="J603" s="33">
        <f t="shared" si="212"/>
        <v>40</v>
      </c>
      <c r="K603" s="33">
        <f t="shared" ref="K603:Q612" si="221">INT((1+VLOOKUP($F603,role_property_weight,getpos(K$2),FALSE))*(1+VLOOKUP($F603,weapon_property_weight,getpos(K$2),FALSE))*VLOOKUP($E603,role_grow,getpos(K$2),FALSE)*$G603*10*VLOOKUP($C603,weapon_grow1,5,FALSE))</f>
        <v>0</v>
      </c>
      <c r="L603" s="33">
        <f t="shared" si="221"/>
        <v>0</v>
      </c>
      <c r="M603" s="33">
        <f t="shared" si="221"/>
        <v>0</v>
      </c>
      <c r="N603" s="33">
        <f t="shared" si="209"/>
        <v>0</v>
      </c>
      <c r="O603" s="33">
        <f t="shared" si="221"/>
        <v>0</v>
      </c>
      <c r="P603" s="33">
        <f t="shared" si="221"/>
        <v>0</v>
      </c>
      <c r="Q603" s="33">
        <f t="shared" si="221"/>
        <v>0</v>
      </c>
      <c r="R603" s="35">
        <f t="shared" si="213"/>
        <v>0</v>
      </c>
      <c r="S603" s="35">
        <f t="shared" si="214"/>
        <v>0</v>
      </c>
      <c r="T603" s="35">
        <f t="shared" si="215"/>
        <v>0</v>
      </c>
      <c r="U603" s="35">
        <f t="shared" si="210"/>
        <v>0</v>
      </c>
      <c r="V603" s="35">
        <f t="shared" ref="V603:AA612" si="222">1-200/(200+ROUND((1+VLOOKUP($F603,role_property_weight,getpos(V$2),FALSE))*VLOOKUP($E603,role_grow,getpos(V$2),FALSE)*$G603*10*VLOOKUP($C603,weapon_grow1,5,FALSE),0))</f>
        <v>0</v>
      </c>
      <c r="W603" s="35">
        <f t="shared" si="222"/>
        <v>0</v>
      </c>
      <c r="X603" s="35">
        <f t="shared" si="222"/>
        <v>0</v>
      </c>
      <c r="Y603" s="35">
        <f t="shared" si="222"/>
        <v>0</v>
      </c>
      <c r="Z603" s="35">
        <f t="shared" si="222"/>
        <v>0</v>
      </c>
      <c r="AA603" s="35">
        <f t="shared" si="222"/>
        <v>0</v>
      </c>
    </row>
    <row r="604" spans="2:27" x14ac:dyDescent="0.2">
      <c r="B604" s="2">
        <v>602</v>
      </c>
      <c r="C604" s="2" t="str">
        <f t="shared" si="201"/>
        <v>c</v>
      </c>
      <c r="D604" s="29" t="s">
        <v>166</v>
      </c>
      <c r="E604" s="29" t="s">
        <v>227</v>
      </c>
      <c r="F604" s="2" t="s">
        <v>228</v>
      </c>
      <c r="G604" s="2">
        <f t="shared" si="218"/>
        <v>2</v>
      </c>
      <c r="H604" s="2" t="str">
        <f t="shared" si="208"/>
        <v>--</v>
      </c>
      <c r="I604" s="38">
        <f t="shared" si="211"/>
        <v>0</v>
      </c>
      <c r="J604" s="33">
        <f t="shared" si="212"/>
        <v>80</v>
      </c>
      <c r="K604" s="33">
        <f t="shared" si="221"/>
        <v>0</v>
      </c>
      <c r="L604" s="33">
        <f t="shared" si="221"/>
        <v>0</v>
      </c>
      <c r="M604" s="33">
        <f t="shared" si="221"/>
        <v>0</v>
      </c>
      <c r="N604" s="33">
        <f t="shared" si="209"/>
        <v>0</v>
      </c>
      <c r="O604" s="33">
        <f t="shared" si="221"/>
        <v>0</v>
      </c>
      <c r="P604" s="33">
        <f t="shared" si="221"/>
        <v>0</v>
      </c>
      <c r="Q604" s="33">
        <f t="shared" si="221"/>
        <v>0</v>
      </c>
      <c r="R604" s="35">
        <f t="shared" si="213"/>
        <v>0</v>
      </c>
      <c r="S604" s="35">
        <f t="shared" si="214"/>
        <v>0</v>
      </c>
      <c r="T604" s="35">
        <f t="shared" si="215"/>
        <v>0</v>
      </c>
      <c r="U604" s="35">
        <f t="shared" si="210"/>
        <v>0</v>
      </c>
      <c r="V604" s="35">
        <f t="shared" si="222"/>
        <v>0</v>
      </c>
      <c r="W604" s="35">
        <f t="shared" si="222"/>
        <v>0</v>
      </c>
      <c r="X604" s="35">
        <f t="shared" si="222"/>
        <v>0</v>
      </c>
      <c r="Y604" s="35">
        <f t="shared" si="222"/>
        <v>0</v>
      </c>
      <c r="Z604" s="35">
        <f t="shared" si="222"/>
        <v>0</v>
      </c>
      <c r="AA604" s="35">
        <f t="shared" si="222"/>
        <v>0</v>
      </c>
    </row>
    <row r="605" spans="2:27" x14ac:dyDescent="0.2">
      <c r="B605" s="2">
        <v>603</v>
      </c>
      <c r="C605" s="2" t="str">
        <f t="shared" si="201"/>
        <v>c</v>
      </c>
      <c r="D605" s="29" t="s">
        <v>128</v>
      </c>
      <c r="E605" s="29" t="s">
        <v>227</v>
      </c>
      <c r="F605" s="2" t="s">
        <v>228</v>
      </c>
      <c r="G605" s="2">
        <f t="shared" si="218"/>
        <v>3</v>
      </c>
      <c r="H605" s="2" t="str">
        <f t="shared" si="208"/>
        <v>--</v>
      </c>
      <c r="I605" s="38">
        <f t="shared" si="211"/>
        <v>0</v>
      </c>
      <c r="J605" s="33">
        <f t="shared" si="212"/>
        <v>120</v>
      </c>
      <c r="K605" s="33">
        <f t="shared" si="221"/>
        <v>0</v>
      </c>
      <c r="L605" s="33">
        <f t="shared" si="221"/>
        <v>0</v>
      </c>
      <c r="M605" s="33">
        <f t="shared" si="221"/>
        <v>0</v>
      </c>
      <c r="N605" s="33">
        <f t="shared" si="209"/>
        <v>0</v>
      </c>
      <c r="O605" s="33">
        <f t="shared" si="221"/>
        <v>0</v>
      </c>
      <c r="P605" s="33">
        <f t="shared" si="221"/>
        <v>0</v>
      </c>
      <c r="Q605" s="33">
        <f t="shared" si="221"/>
        <v>0</v>
      </c>
      <c r="R605" s="35">
        <f t="shared" si="213"/>
        <v>0</v>
      </c>
      <c r="S605" s="35">
        <f t="shared" si="214"/>
        <v>0</v>
      </c>
      <c r="T605" s="35">
        <f t="shared" si="215"/>
        <v>0</v>
      </c>
      <c r="U605" s="35">
        <f t="shared" si="210"/>
        <v>0</v>
      </c>
      <c r="V605" s="35">
        <f t="shared" si="222"/>
        <v>0</v>
      </c>
      <c r="W605" s="35">
        <f t="shared" si="222"/>
        <v>0</v>
      </c>
      <c r="X605" s="35">
        <f t="shared" si="222"/>
        <v>0</v>
      </c>
      <c r="Y605" s="35">
        <f t="shared" si="222"/>
        <v>0</v>
      </c>
      <c r="Z605" s="35">
        <f t="shared" si="222"/>
        <v>0</v>
      </c>
      <c r="AA605" s="35">
        <f t="shared" si="222"/>
        <v>0</v>
      </c>
    </row>
    <row r="606" spans="2:27" x14ac:dyDescent="0.2">
      <c r="B606" s="2">
        <v>604</v>
      </c>
      <c r="C606" s="2" t="str">
        <f t="shared" si="201"/>
        <v>c</v>
      </c>
      <c r="D606" s="29" t="s">
        <v>31</v>
      </c>
      <c r="E606" s="29" t="s">
        <v>227</v>
      </c>
      <c r="F606" s="2" t="s">
        <v>228</v>
      </c>
      <c r="G606" s="2">
        <f t="shared" si="218"/>
        <v>4</v>
      </c>
      <c r="H606" s="2" t="str">
        <f t="shared" si="208"/>
        <v>--</v>
      </c>
      <c r="I606" s="38">
        <f t="shared" si="211"/>
        <v>0</v>
      </c>
      <c r="J606" s="33">
        <f t="shared" si="212"/>
        <v>160</v>
      </c>
      <c r="K606" s="33">
        <f t="shared" si="221"/>
        <v>0</v>
      </c>
      <c r="L606" s="33">
        <f t="shared" si="221"/>
        <v>0</v>
      </c>
      <c r="M606" s="33">
        <f t="shared" si="221"/>
        <v>0</v>
      </c>
      <c r="N606" s="33">
        <f t="shared" si="209"/>
        <v>0</v>
      </c>
      <c r="O606" s="33">
        <f t="shared" si="221"/>
        <v>0</v>
      </c>
      <c r="P606" s="33">
        <f t="shared" si="221"/>
        <v>0</v>
      </c>
      <c r="Q606" s="33">
        <f t="shared" si="221"/>
        <v>0</v>
      </c>
      <c r="R606" s="35">
        <f t="shared" si="213"/>
        <v>0</v>
      </c>
      <c r="S606" s="35">
        <f t="shared" si="214"/>
        <v>0</v>
      </c>
      <c r="T606" s="35">
        <f t="shared" si="215"/>
        <v>0</v>
      </c>
      <c r="U606" s="35">
        <f t="shared" si="210"/>
        <v>0</v>
      </c>
      <c r="V606" s="35">
        <f t="shared" si="222"/>
        <v>0</v>
      </c>
      <c r="W606" s="35">
        <f t="shared" si="222"/>
        <v>0</v>
      </c>
      <c r="X606" s="35">
        <f t="shared" si="222"/>
        <v>0</v>
      </c>
      <c r="Y606" s="35">
        <f t="shared" si="222"/>
        <v>0</v>
      </c>
      <c r="Z606" s="35">
        <f t="shared" si="222"/>
        <v>0</v>
      </c>
      <c r="AA606" s="35">
        <f t="shared" si="222"/>
        <v>0</v>
      </c>
    </row>
    <row r="607" spans="2:27" x14ac:dyDescent="0.2">
      <c r="B607" s="2">
        <v>605</v>
      </c>
      <c r="C607" s="2" t="str">
        <f t="shared" si="201"/>
        <v>c</v>
      </c>
      <c r="D607" s="29" t="s">
        <v>1</v>
      </c>
      <c r="E607" s="29" t="s">
        <v>227</v>
      </c>
      <c r="F607" s="2" t="s">
        <v>228</v>
      </c>
      <c r="G607" s="2">
        <f t="shared" si="218"/>
        <v>5</v>
      </c>
      <c r="H607" s="2" t="str">
        <f t="shared" si="208"/>
        <v>--</v>
      </c>
      <c r="I607" s="38">
        <f t="shared" si="211"/>
        <v>0</v>
      </c>
      <c r="J607" s="33">
        <f t="shared" si="212"/>
        <v>200</v>
      </c>
      <c r="K607" s="33">
        <f t="shared" si="221"/>
        <v>0</v>
      </c>
      <c r="L607" s="33">
        <f t="shared" si="221"/>
        <v>0</v>
      </c>
      <c r="M607" s="33">
        <f t="shared" si="221"/>
        <v>0</v>
      </c>
      <c r="N607" s="33">
        <f t="shared" si="209"/>
        <v>0</v>
      </c>
      <c r="O607" s="33">
        <f t="shared" si="221"/>
        <v>0</v>
      </c>
      <c r="P607" s="33">
        <f t="shared" si="221"/>
        <v>0</v>
      </c>
      <c r="Q607" s="33">
        <f t="shared" si="221"/>
        <v>0</v>
      </c>
      <c r="R607" s="35">
        <f t="shared" si="213"/>
        <v>0</v>
      </c>
      <c r="S607" s="35">
        <f t="shared" si="214"/>
        <v>0</v>
      </c>
      <c r="T607" s="35">
        <f t="shared" si="215"/>
        <v>0</v>
      </c>
      <c r="U607" s="35">
        <f t="shared" si="210"/>
        <v>0</v>
      </c>
      <c r="V607" s="35">
        <f t="shared" si="222"/>
        <v>0</v>
      </c>
      <c r="W607" s="35">
        <f t="shared" si="222"/>
        <v>0</v>
      </c>
      <c r="X607" s="35">
        <f t="shared" si="222"/>
        <v>0</v>
      </c>
      <c r="Y607" s="35">
        <f t="shared" si="222"/>
        <v>0</v>
      </c>
      <c r="Z607" s="35">
        <f t="shared" si="222"/>
        <v>0</v>
      </c>
      <c r="AA607" s="35">
        <f t="shared" si="222"/>
        <v>0</v>
      </c>
    </row>
    <row r="608" spans="2:27" x14ac:dyDescent="0.2">
      <c r="B608" s="2">
        <v>606</v>
      </c>
      <c r="C608" s="2" t="str">
        <f t="shared" si="201"/>
        <v>c</v>
      </c>
      <c r="D608" s="29" t="s">
        <v>128</v>
      </c>
      <c r="E608" s="29" t="s">
        <v>227</v>
      </c>
      <c r="F608" s="2" t="s">
        <v>228</v>
      </c>
      <c r="G608" s="2">
        <f t="shared" si="218"/>
        <v>6</v>
      </c>
      <c r="H608" s="2" t="str">
        <f t="shared" si="208"/>
        <v>--</v>
      </c>
      <c r="I608" s="38">
        <f t="shared" si="211"/>
        <v>0</v>
      </c>
      <c r="J608" s="33">
        <f t="shared" si="212"/>
        <v>240</v>
      </c>
      <c r="K608" s="33">
        <f t="shared" si="221"/>
        <v>0</v>
      </c>
      <c r="L608" s="33">
        <f t="shared" si="221"/>
        <v>0</v>
      </c>
      <c r="M608" s="33">
        <f t="shared" si="221"/>
        <v>0</v>
      </c>
      <c r="N608" s="33">
        <f t="shared" si="209"/>
        <v>0</v>
      </c>
      <c r="O608" s="33">
        <f t="shared" si="221"/>
        <v>0</v>
      </c>
      <c r="P608" s="33">
        <f t="shared" si="221"/>
        <v>0</v>
      </c>
      <c r="Q608" s="33">
        <f t="shared" si="221"/>
        <v>0</v>
      </c>
      <c r="R608" s="35">
        <f t="shared" si="213"/>
        <v>0</v>
      </c>
      <c r="S608" s="35">
        <f t="shared" si="214"/>
        <v>0</v>
      </c>
      <c r="T608" s="35">
        <f t="shared" si="215"/>
        <v>0</v>
      </c>
      <c r="U608" s="35">
        <f t="shared" si="210"/>
        <v>0</v>
      </c>
      <c r="V608" s="35">
        <f t="shared" si="222"/>
        <v>0</v>
      </c>
      <c r="W608" s="35">
        <f t="shared" si="222"/>
        <v>0</v>
      </c>
      <c r="X608" s="35">
        <f t="shared" si="222"/>
        <v>0</v>
      </c>
      <c r="Y608" s="35">
        <f t="shared" si="222"/>
        <v>0</v>
      </c>
      <c r="Z608" s="35">
        <f t="shared" si="222"/>
        <v>0</v>
      </c>
      <c r="AA608" s="35">
        <f t="shared" si="222"/>
        <v>0</v>
      </c>
    </row>
    <row r="609" spans="2:27" x14ac:dyDescent="0.2">
      <c r="B609" s="2">
        <v>607</v>
      </c>
      <c r="C609" s="2" t="str">
        <f t="shared" si="201"/>
        <v>c</v>
      </c>
      <c r="D609" s="29" t="s">
        <v>169</v>
      </c>
      <c r="E609" s="29" t="s">
        <v>227</v>
      </c>
      <c r="F609" s="2" t="s">
        <v>228</v>
      </c>
      <c r="G609" s="2">
        <f t="shared" si="218"/>
        <v>7</v>
      </c>
      <c r="H609" s="2" t="str">
        <f t="shared" si="208"/>
        <v>--</v>
      </c>
      <c r="I609" s="38">
        <f t="shared" si="211"/>
        <v>0</v>
      </c>
      <c r="J609" s="33">
        <f t="shared" si="212"/>
        <v>280</v>
      </c>
      <c r="K609" s="33">
        <f t="shared" si="221"/>
        <v>0</v>
      </c>
      <c r="L609" s="33">
        <f t="shared" si="221"/>
        <v>0</v>
      </c>
      <c r="M609" s="33">
        <f t="shared" si="221"/>
        <v>0</v>
      </c>
      <c r="N609" s="33">
        <f t="shared" si="209"/>
        <v>0</v>
      </c>
      <c r="O609" s="33">
        <f t="shared" si="221"/>
        <v>0</v>
      </c>
      <c r="P609" s="33">
        <f t="shared" si="221"/>
        <v>0</v>
      </c>
      <c r="Q609" s="33">
        <f t="shared" si="221"/>
        <v>0</v>
      </c>
      <c r="R609" s="35">
        <f t="shared" si="213"/>
        <v>0</v>
      </c>
      <c r="S609" s="35">
        <f t="shared" si="214"/>
        <v>0</v>
      </c>
      <c r="T609" s="35">
        <f t="shared" si="215"/>
        <v>0</v>
      </c>
      <c r="U609" s="35">
        <f t="shared" si="210"/>
        <v>0</v>
      </c>
      <c r="V609" s="35">
        <f t="shared" si="222"/>
        <v>0</v>
      </c>
      <c r="W609" s="35">
        <f t="shared" si="222"/>
        <v>0</v>
      </c>
      <c r="X609" s="35">
        <f t="shared" si="222"/>
        <v>0</v>
      </c>
      <c r="Y609" s="35">
        <f t="shared" si="222"/>
        <v>0</v>
      </c>
      <c r="Z609" s="35">
        <f t="shared" si="222"/>
        <v>0</v>
      </c>
      <c r="AA609" s="35">
        <f t="shared" si="222"/>
        <v>0</v>
      </c>
    </row>
    <row r="610" spans="2:27" x14ac:dyDescent="0.2">
      <c r="B610" s="2">
        <v>608</v>
      </c>
      <c r="C610" s="2" t="str">
        <f t="shared" si="201"/>
        <v>c</v>
      </c>
      <c r="D610" s="29" t="s">
        <v>10</v>
      </c>
      <c r="E610" s="29" t="s">
        <v>227</v>
      </c>
      <c r="F610" s="2" t="s">
        <v>228</v>
      </c>
      <c r="G610" s="2">
        <f t="shared" si="218"/>
        <v>8</v>
      </c>
      <c r="H610" s="2" t="str">
        <f t="shared" si="208"/>
        <v>--</v>
      </c>
      <c r="I610" s="38">
        <f t="shared" si="211"/>
        <v>0</v>
      </c>
      <c r="J610" s="33">
        <f t="shared" si="212"/>
        <v>320</v>
      </c>
      <c r="K610" s="33">
        <f t="shared" si="221"/>
        <v>0</v>
      </c>
      <c r="L610" s="33">
        <f t="shared" si="221"/>
        <v>0</v>
      </c>
      <c r="M610" s="33">
        <f t="shared" si="221"/>
        <v>0</v>
      </c>
      <c r="N610" s="33">
        <f t="shared" si="209"/>
        <v>0</v>
      </c>
      <c r="O610" s="33">
        <f t="shared" si="221"/>
        <v>0</v>
      </c>
      <c r="P610" s="33">
        <f t="shared" si="221"/>
        <v>0</v>
      </c>
      <c r="Q610" s="33">
        <f t="shared" si="221"/>
        <v>0</v>
      </c>
      <c r="R610" s="35">
        <f t="shared" si="213"/>
        <v>0</v>
      </c>
      <c r="S610" s="35">
        <f t="shared" si="214"/>
        <v>0</v>
      </c>
      <c r="T610" s="35">
        <f t="shared" si="215"/>
        <v>0</v>
      </c>
      <c r="U610" s="35">
        <f t="shared" si="210"/>
        <v>0</v>
      </c>
      <c r="V610" s="35">
        <f t="shared" si="222"/>
        <v>0</v>
      </c>
      <c r="W610" s="35">
        <f t="shared" si="222"/>
        <v>0</v>
      </c>
      <c r="X610" s="35">
        <f t="shared" si="222"/>
        <v>0</v>
      </c>
      <c r="Y610" s="35">
        <f t="shared" si="222"/>
        <v>0</v>
      </c>
      <c r="Z610" s="35">
        <f t="shared" si="222"/>
        <v>0</v>
      </c>
      <c r="AA610" s="35">
        <f t="shared" si="222"/>
        <v>0</v>
      </c>
    </row>
    <row r="611" spans="2:27" x14ac:dyDescent="0.2">
      <c r="B611" s="2">
        <v>609</v>
      </c>
      <c r="C611" s="2" t="str">
        <f t="shared" si="201"/>
        <v>s</v>
      </c>
      <c r="D611" s="29" t="s">
        <v>170</v>
      </c>
      <c r="E611" s="29" t="s">
        <v>227</v>
      </c>
      <c r="F611" s="2" t="s">
        <v>229</v>
      </c>
      <c r="G611" s="2">
        <f t="shared" si="218"/>
        <v>1</v>
      </c>
      <c r="H611" s="2" t="str">
        <f t="shared" si="208"/>
        <v>地脉</v>
      </c>
      <c r="I611" s="38">
        <f t="shared" si="211"/>
        <v>0.1</v>
      </c>
      <c r="J611" s="33">
        <f t="shared" si="212"/>
        <v>33</v>
      </c>
      <c r="K611" s="33">
        <f t="shared" si="221"/>
        <v>19</v>
      </c>
      <c r="L611" s="33">
        <f t="shared" si="221"/>
        <v>3</v>
      </c>
      <c r="M611" s="33">
        <f t="shared" si="221"/>
        <v>11</v>
      </c>
      <c r="N611" s="33">
        <f t="shared" si="209"/>
        <v>19</v>
      </c>
      <c r="O611" s="33">
        <f t="shared" si="221"/>
        <v>11</v>
      </c>
      <c r="P611" s="33">
        <f t="shared" si="221"/>
        <v>5</v>
      </c>
      <c r="Q611" s="33">
        <f t="shared" si="221"/>
        <v>6</v>
      </c>
      <c r="R611" s="35">
        <f t="shared" si="213"/>
        <v>0.02</v>
      </c>
      <c r="S611" s="35">
        <f t="shared" si="214"/>
        <v>1.6666666666666666E-2</v>
      </c>
      <c r="T611" s="35">
        <f t="shared" si="215"/>
        <v>0.02</v>
      </c>
      <c r="U611" s="35">
        <f t="shared" si="210"/>
        <v>1.4778325123152691E-2</v>
      </c>
      <c r="V611" s="35">
        <f t="shared" si="222"/>
        <v>7.8341013824884786E-2</v>
      </c>
      <c r="W611" s="35">
        <f t="shared" si="222"/>
        <v>1.4778325123152691E-2</v>
      </c>
      <c r="X611" s="35">
        <f t="shared" si="222"/>
        <v>1.4778325123152691E-2</v>
      </c>
      <c r="Y611" s="35">
        <f t="shared" si="222"/>
        <v>1.4778325123152691E-2</v>
      </c>
      <c r="Z611" s="35">
        <f t="shared" si="222"/>
        <v>1.4778325123152691E-2</v>
      </c>
      <c r="AA611" s="35">
        <f t="shared" si="222"/>
        <v>1.4778325123152691E-2</v>
      </c>
    </row>
    <row r="612" spans="2:27" x14ac:dyDescent="0.2">
      <c r="B612" s="2">
        <v>610</v>
      </c>
      <c r="C612" s="2" t="str">
        <f t="shared" ref="C612:C642" si="223">C580</f>
        <v>s</v>
      </c>
      <c r="D612" s="29" t="s">
        <v>170</v>
      </c>
      <c r="E612" s="29" t="s">
        <v>227</v>
      </c>
      <c r="F612" s="2" t="s">
        <v>229</v>
      </c>
      <c r="G612" s="2">
        <f t="shared" si="218"/>
        <v>2</v>
      </c>
      <c r="H612" s="2" t="str">
        <f t="shared" si="208"/>
        <v>地脉</v>
      </c>
      <c r="I612" s="38">
        <f t="shared" si="211"/>
        <v>0.1990909090909091</v>
      </c>
      <c r="J612" s="33">
        <f t="shared" si="212"/>
        <v>67</v>
      </c>
      <c r="K612" s="33">
        <f t="shared" si="221"/>
        <v>38</v>
      </c>
      <c r="L612" s="33">
        <f t="shared" si="221"/>
        <v>7</v>
      </c>
      <c r="M612" s="33">
        <f t="shared" si="221"/>
        <v>23</v>
      </c>
      <c r="N612" s="33">
        <f t="shared" si="209"/>
        <v>38</v>
      </c>
      <c r="O612" s="33">
        <f t="shared" si="221"/>
        <v>22</v>
      </c>
      <c r="P612" s="33">
        <f t="shared" si="221"/>
        <v>11</v>
      </c>
      <c r="Q612" s="33">
        <f t="shared" si="221"/>
        <v>13</v>
      </c>
      <c r="R612" s="35">
        <f t="shared" si="213"/>
        <v>4.3333333333333328E-2</v>
      </c>
      <c r="S612" s="35">
        <f t="shared" si="214"/>
        <v>3.6666666666666667E-2</v>
      </c>
      <c r="T612" s="35">
        <f t="shared" si="215"/>
        <v>4.3333333333333328E-2</v>
      </c>
      <c r="U612" s="35">
        <f t="shared" si="210"/>
        <v>2.9126213592232997E-2</v>
      </c>
      <c r="V612" s="35">
        <f t="shared" si="222"/>
        <v>0.14529914529914534</v>
      </c>
      <c r="W612" s="35">
        <f t="shared" si="222"/>
        <v>2.9126213592232997E-2</v>
      </c>
      <c r="X612" s="35">
        <f t="shared" si="222"/>
        <v>2.9126213592232997E-2</v>
      </c>
      <c r="Y612" s="35">
        <f t="shared" si="222"/>
        <v>2.9126213592232997E-2</v>
      </c>
      <c r="Z612" s="35">
        <f t="shared" si="222"/>
        <v>2.9126213592232997E-2</v>
      </c>
      <c r="AA612" s="35">
        <f t="shared" si="222"/>
        <v>2.9126213592232997E-2</v>
      </c>
    </row>
    <row r="613" spans="2:27" x14ac:dyDescent="0.2">
      <c r="B613" s="2">
        <v>611</v>
      </c>
      <c r="C613" s="2" t="str">
        <f t="shared" si="223"/>
        <v>s</v>
      </c>
      <c r="D613" s="29" t="s">
        <v>138</v>
      </c>
      <c r="E613" s="29" t="s">
        <v>227</v>
      </c>
      <c r="F613" s="2" t="s">
        <v>229</v>
      </c>
      <c r="G613" s="2">
        <f t="shared" si="218"/>
        <v>3</v>
      </c>
      <c r="H613" s="2" t="str">
        <f t="shared" si="208"/>
        <v>地脉</v>
      </c>
      <c r="I613" s="38">
        <f t="shared" si="211"/>
        <v>0.3</v>
      </c>
      <c r="J613" s="33">
        <f t="shared" si="212"/>
        <v>101</v>
      </c>
      <c r="K613" s="33">
        <f t="shared" ref="K613:Q622" si="224">INT((1+VLOOKUP($F613,role_property_weight,getpos(K$2),FALSE))*(1+VLOOKUP($F613,weapon_property_weight,getpos(K$2),FALSE))*VLOOKUP($E613,role_grow,getpos(K$2),FALSE)*$G613*10*VLOOKUP($C613,weapon_grow1,5,FALSE))</f>
        <v>58</v>
      </c>
      <c r="L613" s="33">
        <f t="shared" si="224"/>
        <v>11</v>
      </c>
      <c r="M613" s="33">
        <f t="shared" si="224"/>
        <v>35</v>
      </c>
      <c r="N613" s="33">
        <f t="shared" si="209"/>
        <v>56</v>
      </c>
      <c r="O613" s="33">
        <f t="shared" si="224"/>
        <v>33</v>
      </c>
      <c r="P613" s="33">
        <f t="shared" si="224"/>
        <v>17</v>
      </c>
      <c r="Q613" s="33">
        <f t="shared" si="224"/>
        <v>19</v>
      </c>
      <c r="R613" s="35">
        <f t="shared" si="213"/>
        <v>6.3333333333333325E-2</v>
      </c>
      <c r="S613" s="35">
        <f t="shared" si="214"/>
        <v>5.6666666666666671E-2</v>
      </c>
      <c r="T613" s="35">
        <f t="shared" si="215"/>
        <v>6.3333333333333325E-2</v>
      </c>
      <c r="U613" s="35">
        <f t="shared" si="210"/>
        <v>3.8461538461538436E-2</v>
      </c>
      <c r="V613" s="35">
        <f t="shared" ref="V613:AA622" si="225">1-200/(200+ROUND((1+VLOOKUP($F613,role_property_weight,getpos(V$2),FALSE))*VLOOKUP($E613,role_grow,getpos(V$2),FALSE)*$G613*10*VLOOKUP($C613,weapon_grow1,5,FALSE),0))</f>
        <v>0.20318725099601598</v>
      </c>
      <c r="W613" s="35">
        <f t="shared" si="225"/>
        <v>3.8461538461538436E-2</v>
      </c>
      <c r="X613" s="35">
        <f t="shared" si="225"/>
        <v>3.8461538461538436E-2</v>
      </c>
      <c r="Y613" s="35">
        <f t="shared" si="225"/>
        <v>3.8461538461538436E-2</v>
      </c>
      <c r="Z613" s="35">
        <f t="shared" si="225"/>
        <v>3.8461538461538436E-2</v>
      </c>
      <c r="AA613" s="35">
        <f t="shared" si="225"/>
        <v>3.8461538461538436E-2</v>
      </c>
    </row>
    <row r="614" spans="2:27" x14ac:dyDescent="0.2">
      <c r="B614" s="2">
        <v>612</v>
      </c>
      <c r="C614" s="2" t="str">
        <f t="shared" si="223"/>
        <v>s</v>
      </c>
      <c r="D614" s="29" t="s">
        <v>170</v>
      </c>
      <c r="E614" s="29" t="s">
        <v>227</v>
      </c>
      <c r="F614" s="2" t="s">
        <v>229</v>
      </c>
      <c r="G614" s="2">
        <f t="shared" si="218"/>
        <v>4</v>
      </c>
      <c r="H614" s="2" t="str">
        <f t="shared" si="208"/>
        <v>地脉</v>
      </c>
      <c r="I614" s="38">
        <f t="shared" si="211"/>
        <v>0.40272727272727271</v>
      </c>
      <c r="J614" s="33">
        <f t="shared" si="212"/>
        <v>135</v>
      </c>
      <c r="K614" s="33">
        <f t="shared" si="224"/>
        <v>77</v>
      </c>
      <c r="L614" s="33">
        <f t="shared" si="224"/>
        <v>15</v>
      </c>
      <c r="M614" s="33">
        <f t="shared" si="224"/>
        <v>47</v>
      </c>
      <c r="N614" s="33">
        <f t="shared" si="209"/>
        <v>75</v>
      </c>
      <c r="O614" s="33">
        <f t="shared" si="224"/>
        <v>45</v>
      </c>
      <c r="P614" s="33">
        <f t="shared" si="224"/>
        <v>23</v>
      </c>
      <c r="Q614" s="33">
        <f t="shared" si="224"/>
        <v>26</v>
      </c>
      <c r="R614" s="35">
        <f t="shared" si="213"/>
        <v>8.6666666666666656E-2</v>
      </c>
      <c r="S614" s="35">
        <f t="shared" si="214"/>
        <v>7.6666666666666675E-2</v>
      </c>
      <c r="T614" s="35">
        <f t="shared" si="215"/>
        <v>8.6666666666666656E-2</v>
      </c>
      <c r="U614" s="35">
        <f t="shared" si="210"/>
        <v>5.2132701421800931E-2</v>
      </c>
      <c r="V614" s="35">
        <f t="shared" si="225"/>
        <v>0.25373134328358204</v>
      </c>
      <c r="W614" s="35">
        <f t="shared" si="225"/>
        <v>5.2132701421800931E-2</v>
      </c>
      <c r="X614" s="35">
        <f t="shared" si="225"/>
        <v>5.2132701421800931E-2</v>
      </c>
      <c r="Y614" s="35">
        <f t="shared" si="225"/>
        <v>5.2132701421800931E-2</v>
      </c>
      <c r="Z614" s="35">
        <f t="shared" si="225"/>
        <v>5.2132701421800931E-2</v>
      </c>
      <c r="AA614" s="35">
        <f t="shared" si="225"/>
        <v>5.2132701421800931E-2</v>
      </c>
    </row>
    <row r="615" spans="2:27" x14ac:dyDescent="0.2">
      <c r="B615" s="2">
        <v>613</v>
      </c>
      <c r="C615" s="2" t="str">
        <f t="shared" si="223"/>
        <v>s</v>
      </c>
      <c r="D615" s="29" t="s">
        <v>170</v>
      </c>
      <c r="E615" s="29" t="s">
        <v>227</v>
      </c>
      <c r="F615" s="2" t="s">
        <v>229</v>
      </c>
      <c r="G615" s="2">
        <f t="shared" si="218"/>
        <v>5</v>
      </c>
      <c r="H615" s="2" t="str">
        <f t="shared" si="208"/>
        <v>地脉</v>
      </c>
      <c r="I615" s="38">
        <f t="shared" si="211"/>
        <v>0.50454545454545452</v>
      </c>
      <c r="J615" s="33">
        <f t="shared" si="212"/>
        <v>169</v>
      </c>
      <c r="K615" s="33">
        <f t="shared" si="224"/>
        <v>97</v>
      </c>
      <c r="L615" s="33">
        <f t="shared" si="224"/>
        <v>19</v>
      </c>
      <c r="M615" s="33">
        <f t="shared" si="224"/>
        <v>59</v>
      </c>
      <c r="N615" s="33">
        <f t="shared" si="209"/>
        <v>94</v>
      </c>
      <c r="O615" s="33">
        <f t="shared" si="224"/>
        <v>56</v>
      </c>
      <c r="P615" s="33">
        <f t="shared" si="224"/>
        <v>29</v>
      </c>
      <c r="Q615" s="33">
        <f t="shared" si="224"/>
        <v>32</v>
      </c>
      <c r="R615" s="35">
        <f t="shared" si="213"/>
        <v>0.10666666666666666</v>
      </c>
      <c r="S615" s="35">
        <f t="shared" si="214"/>
        <v>9.6666666666666665E-2</v>
      </c>
      <c r="T615" s="35">
        <f t="shared" si="215"/>
        <v>0.10666666666666666</v>
      </c>
      <c r="U615" s="35">
        <f t="shared" si="210"/>
        <v>6.5420560747663559E-2</v>
      </c>
      <c r="V615" s="35">
        <f t="shared" si="225"/>
        <v>0.29824561403508776</v>
      </c>
      <c r="W615" s="35">
        <f t="shared" si="225"/>
        <v>6.5420560747663559E-2</v>
      </c>
      <c r="X615" s="35">
        <f t="shared" si="225"/>
        <v>6.5420560747663559E-2</v>
      </c>
      <c r="Y615" s="35">
        <f t="shared" si="225"/>
        <v>6.5420560747663559E-2</v>
      </c>
      <c r="Z615" s="35">
        <f t="shared" si="225"/>
        <v>6.5420560747663559E-2</v>
      </c>
      <c r="AA615" s="35">
        <f t="shared" si="225"/>
        <v>6.5420560747663559E-2</v>
      </c>
    </row>
    <row r="616" spans="2:27" x14ac:dyDescent="0.2">
      <c r="B616" s="2">
        <v>614</v>
      </c>
      <c r="C616" s="2" t="str">
        <f t="shared" si="223"/>
        <v>s</v>
      </c>
      <c r="D616" s="29" t="s">
        <v>166</v>
      </c>
      <c r="E616" s="29" t="s">
        <v>227</v>
      </c>
      <c r="F616" s="2" t="s">
        <v>229</v>
      </c>
      <c r="G616" s="2">
        <f t="shared" si="218"/>
        <v>6</v>
      </c>
      <c r="H616" s="2" t="str">
        <f t="shared" si="208"/>
        <v>地脉</v>
      </c>
      <c r="I616" s="38">
        <f t="shared" si="211"/>
        <v>0.60545454545454547</v>
      </c>
      <c r="J616" s="33">
        <f t="shared" si="212"/>
        <v>203</v>
      </c>
      <c r="K616" s="33">
        <f t="shared" si="224"/>
        <v>116</v>
      </c>
      <c r="L616" s="33">
        <f t="shared" si="224"/>
        <v>23</v>
      </c>
      <c r="M616" s="33">
        <f t="shared" si="224"/>
        <v>71</v>
      </c>
      <c r="N616" s="33">
        <f t="shared" si="209"/>
        <v>112</v>
      </c>
      <c r="O616" s="33">
        <f t="shared" si="224"/>
        <v>67</v>
      </c>
      <c r="P616" s="33">
        <f t="shared" si="224"/>
        <v>35</v>
      </c>
      <c r="Q616" s="33">
        <f t="shared" si="224"/>
        <v>39</v>
      </c>
      <c r="R616" s="35">
        <f t="shared" si="213"/>
        <v>0.13</v>
      </c>
      <c r="S616" s="35">
        <f t="shared" si="214"/>
        <v>0.11666666666666665</v>
      </c>
      <c r="T616" s="35">
        <f t="shared" si="215"/>
        <v>0.13</v>
      </c>
      <c r="U616" s="35">
        <f t="shared" si="210"/>
        <v>7.8341013824884786E-2</v>
      </c>
      <c r="V616" s="35">
        <f t="shared" si="225"/>
        <v>0.33774834437086088</v>
      </c>
      <c r="W616" s="35">
        <f t="shared" si="225"/>
        <v>7.8341013824884786E-2</v>
      </c>
      <c r="X616" s="35">
        <f t="shared" si="225"/>
        <v>7.8341013824884786E-2</v>
      </c>
      <c r="Y616" s="35">
        <f t="shared" si="225"/>
        <v>7.8341013824884786E-2</v>
      </c>
      <c r="Z616" s="35">
        <f t="shared" si="225"/>
        <v>7.8341013824884786E-2</v>
      </c>
      <c r="AA616" s="35">
        <f t="shared" si="225"/>
        <v>7.8341013824884786E-2</v>
      </c>
    </row>
    <row r="617" spans="2:27" x14ac:dyDescent="0.2">
      <c r="B617" s="2">
        <v>615</v>
      </c>
      <c r="C617" s="2" t="str">
        <f t="shared" si="223"/>
        <v>s</v>
      </c>
      <c r="D617" s="29" t="s">
        <v>10</v>
      </c>
      <c r="E617" s="29" t="s">
        <v>227</v>
      </c>
      <c r="F617" s="2" t="s">
        <v>229</v>
      </c>
      <c r="G617" s="2">
        <f t="shared" si="218"/>
        <v>7</v>
      </c>
      <c r="H617" s="2" t="str">
        <f t="shared" si="208"/>
        <v>地脉</v>
      </c>
      <c r="I617" s="38">
        <f t="shared" si="211"/>
        <v>0.70636363636363642</v>
      </c>
      <c r="J617" s="33">
        <f t="shared" si="212"/>
        <v>237</v>
      </c>
      <c r="K617" s="33">
        <f t="shared" si="224"/>
        <v>135</v>
      </c>
      <c r="L617" s="33">
        <f t="shared" si="224"/>
        <v>27</v>
      </c>
      <c r="M617" s="33">
        <f t="shared" si="224"/>
        <v>82</v>
      </c>
      <c r="N617" s="33">
        <f t="shared" si="209"/>
        <v>131</v>
      </c>
      <c r="O617" s="33">
        <f t="shared" si="224"/>
        <v>79</v>
      </c>
      <c r="P617" s="33">
        <f t="shared" si="224"/>
        <v>41</v>
      </c>
      <c r="Q617" s="33">
        <f t="shared" si="224"/>
        <v>45</v>
      </c>
      <c r="R617" s="35">
        <f t="shared" si="213"/>
        <v>0.15</v>
      </c>
      <c r="S617" s="35">
        <f t="shared" si="214"/>
        <v>0.13666666666666666</v>
      </c>
      <c r="T617" s="35">
        <f t="shared" si="215"/>
        <v>0.15</v>
      </c>
      <c r="U617" s="35">
        <f t="shared" si="210"/>
        <v>9.0909090909090939E-2</v>
      </c>
      <c r="V617" s="35">
        <f t="shared" si="225"/>
        <v>0.37304075235109713</v>
      </c>
      <c r="W617" s="35">
        <f t="shared" si="225"/>
        <v>9.0909090909090939E-2</v>
      </c>
      <c r="X617" s="35">
        <f t="shared" si="225"/>
        <v>9.0909090909090939E-2</v>
      </c>
      <c r="Y617" s="35">
        <f t="shared" si="225"/>
        <v>9.0909090909090939E-2</v>
      </c>
      <c r="Z617" s="35">
        <f t="shared" si="225"/>
        <v>9.0909090909090939E-2</v>
      </c>
      <c r="AA617" s="35">
        <f t="shared" si="225"/>
        <v>9.0909090909090939E-2</v>
      </c>
    </row>
    <row r="618" spans="2:27" x14ac:dyDescent="0.2">
      <c r="B618" s="2">
        <v>616</v>
      </c>
      <c r="C618" s="2" t="str">
        <f t="shared" si="223"/>
        <v>s</v>
      </c>
      <c r="D618" s="29" t="s">
        <v>171</v>
      </c>
      <c r="E618" s="29" t="s">
        <v>227</v>
      </c>
      <c r="F618" s="2" t="s">
        <v>229</v>
      </c>
      <c r="G618" s="2">
        <f t="shared" si="218"/>
        <v>8</v>
      </c>
      <c r="H618" s="2" t="str">
        <f t="shared" si="208"/>
        <v>地脉</v>
      </c>
      <c r="I618" s="38">
        <f t="shared" si="211"/>
        <v>0.80909090909090908</v>
      </c>
      <c r="J618" s="33">
        <f t="shared" si="212"/>
        <v>271</v>
      </c>
      <c r="K618" s="33">
        <f t="shared" si="224"/>
        <v>155</v>
      </c>
      <c r="L618" s="33">
        <f t="shared" si="224"/>
        <v>31</v>
      </c>
      <c r="M618" s="33">
        <f t="shared" si="224"/>
        <v>94</v>
      </c>
      <c r="N618" s="33">
        <f t="shared" si="209"/>
        <v>150</v>
      </c>
      <c r="O618" s="33">
        <f t="shared" si="224"/>
        <v>90</v>
      </c>
      <c r="P618" s="33">
        <f t="shared" si="224"/>
        <v>47</v>
      </c>
      <c r="Q618" s="33">
        <f t="shared" si="224"/>
        <v>52</v>
      </c>
      <c r="R618" s="35">
        <f t="shared" si="213"/>
        <v>0.17333333333333331</v>
      </c>
      <c r="S618" s="35">
        <f t="shared" si="214"/>
        <v>0.15666666666666665</v>
      </c>
      <c r="T618" s="35">
        <f t="shared" si="215"/>
        <v>0.17333333333333331</v>
      </c>
      <c r="U618" s="35">
        <f t="shared" si="210"/>
        <v>0.10313901345291476</v>
      </c>
      <c r="V618" s="35">
        <f t="shared" si="225"/>
        <v>0.40298507462686572</v>
      </c>
      <c r="W618" s="35">
        <f t="shared" si="225"/>
        <v>0.10313901345291476</v>
      </c>
      <c r="X618" s="35">
        <f t="shared" si="225"/>
        <v>0.10313901345291476</v>
      </c>
      <c r="Y618" s="35">
        <f t="shared" si="225"/>
        <v>0.10313901345291476</v>
      </c>
      <c r="Z618" s="35">
        <f t="shared" si="225"/>
        <v>0.10313901345291476</v>
      </c>
      <c r="AA618" s="35">
        <f t="shared" si="225"/>
        <v>0.10313901345291476</v>
      </c>
    </row>
    <row r="619" spans="2:27" x14ac:dyDescent="0.2">
      <c r="B619" s="2">
        <v>617</v>
      </c>
      <c r="C619" s="2" t="str">
        <f t="shared" si="223"/>
        <v>a</v>
      </c>
      <c r="D619" s="29" t="s">
        <v>171</v>
      </c>
      <c r="E619" s="29" t="s">
        <v>227</v>
      </c>
      <c r="F619" s="2" t="s">
        <v>229</v>
      </c>
      <c r="G619" s="2">
        <f t="shared" si="218"/>
        <v>1</v>
      </c>
      <c r="H619" s="2" t="str">
        <f t="shared" si="208"/>
        <v>地脉</v>
      </c>
      <c r="I619" s="38">
        <f t="shared" si="211"/>
        <v>0.1</v>
      </c>
      <c r="J619" s="33">
        <f t="shared" si="212"/>
        <v>25</v>
      </c>
      <c r="K619" s="33">
        <f t="shared" si="224"/>
        <v>20</v>
      </c>
      <c r="L619" s="33">
        <f t="shared" si="224"/>
        <v>4</v>
      </c>
      <c r="M619" s="33">
        <f t="shared" si="224"/>
        <v>12</v>
      </c>
      <c r="N619" s="33">
        <f t="shared" si="209"/>
        <v>20</v>
      </c>
      <c r="O619" s="33">
        <f t="shared" si="224"/>
        <v>11</v>
      </c>
      <c r="P619" s="33">
        <f t="shared" si="224"/>
        <v>6</v>
      </c>
      <c r="Q619" s="33">
        <f t="shared" si="224"/>
        <v>6</v>
      </c>
      <c r="R619" s="35">
        <f t="shared" si="213"/>
        <v>0.02</v>
      </c>
      <c r="S619" s="35">
        <f t="shared" si="214"/>
        <v>0.02</v>
      </c>
      <c r="T619" s="35">
        <f t="shared" si="215"/>
        <v>0.02</v>
      </c>
      <c r="U619" s="35">
        <f t="shared" si="210"/>
        <v>1.4778325123152691E-2</v>
      </c>
      <c r="V619" s="35">
        <f t="shared" si="225"/>
        <v>8.256880733944949E-2</v>
      </c>
      <c r="W619" s="35">
        <f t="shared" si="225"/>
        <v>1.4778325123152691E-2</v>
      </c>
      <c r="X619" s="35">
        <f t="shared" si="225"/>
        <v>1.4778325123152691E-2</v>
      </c>
      <c r="Y619" s="35">
        <f t="shared" si="225"/>
        <v>1.4778325123152691E-2</v>
      </c>
      <c r="Z619" s="35">
        <f t="shared" si="225"/>
        <v>1.4778325123152691E-2</v>
      </c>
      <c r="AA619" s="35">
        <f t="shared" si="225"/>
        <v>1.4778325123152691E-2</v>
      </c>
    </row>
    <row r="620" spans="2:27" x14ac:dyDescent="0.2">
      <c r="B620" s="2">
        <v>618</v>
      </c>
      <c r="C620" s="2" t="str">
        <f t="shared" si="223"/>
        <v>a</v>
      </c>
      <c r="D620" s="29" t="s">
        <v>171</v>
      </c>
      <c r="E620" s="29" t="s">
        <v>227</v>
      </c>
      <c r="F620" s="2" t="s">
        <v>229</v>
      </c>
      <c r="G620" s="2">
        <f t="shared" si="218"/>
        <v>2</v>
      </c>
      <c r="H620" s="2" t="str">
        <f t="shared" si="208"/>
        <v>地脉</v>
      </c>
      <c r="I620" s="38">
        <f t="shared" si="211"/>
        <v>0.19181818181818183</v>
      </c>
      <c r="J620" s="33">
        <f t="shared" si="212"/>
        <v>51</v>
      </c>
      <c r="K620" s="33">
        <f t="shared" si="224"/>
        <v>40</v>
      </c>
      <c r="L620" s="33">
        <f t="shared" si="224"/>
        <v>8</v>
      </c>
      <c r="M620" s="33">
        <f t="shared" si="224"/>
        <v>24</v>
      </c>
      <c r="N620" s="33">
        <f t="shared" si="209"/>
        <v>40</v>
      </c>
      <c r="O620" s="33">
        <f t="shared" si="224"/>
        <v>23</v>
      </c>
      <c r="P620" s="33">
        <f t="shared" si="224"/>
        <v>12</v>
      </c>
      <c r="Q620" s="33">
        <f t="shared" si="224"/>
        <v>13</v>
      </c>
      <c r="R620" s="35">
        <f t="shared" si="213"/>
        <v>4.3333333333333328E-2</v>
      </c>
      <c r="S620" s="35">
        <f t="shared" si="214"/>
        <v>0.04</v>
      </c>
      <c r="T620" s="35">
        <f t="shared" si="215"/>
        <v>4.3333333333333328E-2</v>
      </c>
      <c r="U620" s="35">
        <f t="shared" si="210"/>
        <v>2.9126213592232997E-2</v>
      </c>
      <c r="V620" s="35">
        <f t="shared" si="225"/>
        <v>0.15254237288135597</v>
      </c>
      <c r="W620" s="35">
        <f t="shared" si="225"/>
        <v>2.9126213592232997E-2</v>
      </c>
      <c r="X620" s="35">
        <f t="shared" si="225"/>
        <v>2.9126213592232997E-2</v>
      </c>
      <c r="Y620" s="35">
        <f t="shared" si="225"/>
        <v>2.9126213592232997E-2</v>
      </c>
      <c r="Z620" s="35">
        <f t="shared" si="225"/>
        <v>2.9126213592232997E-2</v>
      </c>
      <c r="AA620" s="35">
        <f t="shared" si="225"/>
        <v>2.9126213592232997E-2</v>
      </c>
    </row>
    <row r="621" spans="2:27" x14ac:dyDescent="0.2">
      <c r="B621" s="2">
        <v>619</v>
      </c>
      <c r="C621" s="2" t="str">
        <f t="shared" si="223"/>
        <v>a</v>
      </c>
      <c r="D621" s="29" t="s">
        <v>150</v>
      </c>
      <c r="E621" s="29" t="s">
        <v>227</v>
      </c>
      <c r="F621" s="2" t="s">
        <v>229</v>
      </c>
      <c r="G621" s="2">
        <f t="shared" si="218"/>
        <v>3</v>
      </c>
      <c r="H621" s="2" t="str">
        <f t="shared" si="208"/>
        <v>地脉</v>
      </c>
      <c r="I621" s="38">
        <f t="shared" si="211"/>
        <v>0.28999999999999998</v>
      </c>
      <c r="J621" s="33">
        <f t="shared" si="212"/>
        <v>77</v>
      </c>
      <c r="K621" s="33">
        <f t="shared" si="224"/>
        <v>61</v>
      </c>
      <c r="L621" s="33">
        <f t="shared" si="224"/>
        <v>12</v>
      </c>
      <c r="M621" s="33">
        <f t="shared" si="224"/>
        <v>37</v>
      </c>
      <c r="N621" s="33">
        <f t="shared" si="209"/>
        <v>59</v>
      </c>
      <c r="O621" s="33">
        <f t="shared" si="224"/>
        <v>35</v>
      </c>
      <c r="P621" s="33">
        <f t="shared" si="224"/>
        <v>18</v>
      </c>
      <c r="Q621" s="33">
        <f t="shared" si="224"/>
        <v>20</v>
      </c>
      <c r="R621" s="35">
        <f t="shared" si="213"/>
        <v>6.6666666666666666E-2</v>
      </c>
      <c r="S621" s="35">
        <f t="shared" si="214"/>
        <v>0.06</v>
      </c>
      <c r="T621" s="35">
        <f t="shared" si="215"/>
        <v>6.6666666666666666E-2</v>
      </c>
      <c r="U621" s="35">
        <f t="shared" si="210"/>
        <v>4.3062200956937802E-2</v>
      </c>
      <c r="V621" s="35">
        <f t="shared" si="225"/>
        <v>0.21259842519685035</v>
      </c>
      <c r="W621" s="35">
        <f t="shared" si="225"/>
        <v>4.3062200956937802E-2</v>
      </c>
      <c r="X621" s="35">
        <f t="shared" si="225"/>
        <v>4.3062200956937802E-2</v>
      </c>
      <c r="Y621" s="35">
        <f t="shared" si="225"/>
        <v>4.3062200956937802E-2</v>
      </c>
      <c r="Z621" s="35">
        <f t="shared" si="225"/>
        <v>4.3062200956937802E-2</v>
      </c>
      <c r="AA621" s="35">
        <f t="shared" si="225"/>
        <v>4.3062200956937802E-2</v>
      </c>
    </row>
    <row r="622" spans="2:27" x14ac:dyDescent="0.2">
      <c r="B622" s="2">
        <v>620</v>
      </c>
      <c r="C622" s="2" t="str">
        <f t="shared" si="223"/>
        <v>a</v>
      </c>
      <c r="D622" s="29" t="s">
        <v>10</v>
      </c>
      <c r="E622" s="29" t="s">
        <v>227</v>
      </c>
      <c r="F622" s="2" t="s">
        <v>229</v>
      </c>
      <c r="G622" s="2">
        <f t="shared" si="218"/>
        <v>4</v>
      </c>
      <c r="H622" s="2" t="str">
        <f t="shared" si="208"/>
        <v>地脉</v>
      </c>
      <c r="I622" s="38">
        <f t="shared" si="211"/>
        <v>0.38727272727272727</v>
      </c>
      <c r="J622" s="33">
        <f t="shared" si="212"/>
        <v>103</v>
      </c>
      <c r="K622" s="33">
        <f t="shared" si="224"/>
        <v>81</v>
      </c>
      <c r="L622" s="33">
        <f t="shared" si="224"/>
        <v>16</v>
      </c>
      <c r="M622" s="33">
        <f t="shared" si="224"/>
        <v>49</v>
      </c>
      <c r="N622" s="33">
        <f t="shared" si="209"/>
        <v>79</v>
      </c>
      <c r="O622" s="33">
        <f t="shared" si="224"/>
        <v>47</v>
      </c>
      <c r="P622" s="33">
        <f t="shared" si="224"/>
        <v>24</v>
      </c>
      <c r="Q622" s="33">
        <f t="shared" si="224"/>
        <v>27</v>
      </c>
      <c r="R622" s="35">
        <f t="shared" si="213"/>
        <v>0.09</v>
      </c>
      <c r="S622" s="35">
        <f t="shared" si="214"/>
        <v>0.08</v>
      </c>
      <c r="T622" s="35">
        <f t="shared" si="215"/>
        <v>0.09</v>
      </c>
      <c r="U622" s="35">
        <f t="shared" si="210"/>
        <v>5.6603773584905648E-2</v>
      </c>
      <c r="V622" s="35">
        <f t="shared" si="225"/>
        <v>0.26199261992619927</v>
      </c>
      <c r="W622" s="35">
        <f t="shared" si="225"/>
        <v>5.6603773584905648E-2</v>
      </c>
      <c r="X622" s="35">
        <f t="shared" si="225"/>
        <v>5.6603773584905648E-2</v>
      </c>
      <c r="Y622" s="35">
        <f t="shared" si="225"/>
        <v>5.6603773584905648E-2</v>
      </c>
      <c r="Z622" s="35">
        <f t="shared" si="225"/>
        <v>5.6603773584905648E-2</v>
      </c>
      <c r="AA622" s="35">
        <f t="shared" si="225"/>
        <v>5.6603773584905648E-2</v>
      </c>
    </row>
    <row r="623" spans="2:27" x14ac:dyDescent="0.2">
      <c r="B623" s="2">
        <v>621</v>
      </c>
      <c r="C623" s="2" t="str">
        <f t="shared" si="223"/>
        <v>a</v>
      </c>
      <c r="D623" s="29" t="s">
        <v>171</v>
      </c>
      <c r="E623" s="29" t="s">
        <v>227</v>
      </c>
      <c r="F623" s="2" t="s">
        <v>229</v>
      </c>
      <c r="G623" s="2">
        <f t="shared" si="218"/>
        <v>5</v>
      </c>
      <c r="H623" s="2" t="str">
        <f t="shared" si="208"/>
        <v>地脉</v>
      </c>
      <c r="I623" s="38">
        <f t="shared" si="211"/>
        <v>0.48727272727272725</v>
      </c>
      <c r="J623" s="33">
        <f t="shared" si="212"/>
        <v>129</v>
      </c>
      <c r="K623" s="33">
        <f t="shared" ref="K623:Q632" si="226">INT((1+VLOOKUP($F623,role_property_weight,getpos(K$2),FALSE))*(1+VLOOKUP($F623,weapon_property_weight,getpos(K$2),FALSE))*VLOOKUP($E623,role_grow,getpos(K$2),FALSE)*$G623*10*VLOOKUP($C623,weapon_grow1,5,FALSE))</f>
        <v>102</v>
      </c>
      <c r="L623" s="33">
        <f t="shared" si="226"/>
        <v>20</v>
      </c>
      <c r="M623" s="33">
        <f t="shared" si="226"/>
        <v>62</v>
      </c>
      <c r="N623" s="33">
        <f t="shared" si="209"/>
        <v>99</v>
      </c>
      <c r="O623" s="33">
        <f t="shared" si="226"/>
        <v>59</v>
      </c>
      <c r="P623" s="33">
        <f t="shared" si="226"/>
        <v>31</v>
      </c>
      <c r="Q623" s="33">
        <f t="shared" si="226"/>
        <v>34</v>
      </c>
      <c r="R623" s="35">
        <f t="shared" si="213"/>
        <v>0.11333333333333334</v>
      </c>
      <c r="S623" s="35">
        <f t="shared" si="214"/>
        <v>0.10333333333333333</v>
      </c>
      <c r="T623" s="35">
        <f t="shared" si="215"/>
        <v>0.11333333333333334</v>
      </c>
      <c r="U623" s="35">
        <f t="shared" si="210"/>
        <v>6.9767441860465129E-2</v>
      </c>
      <c r="V623" s="35">
        <f t="shared" ref="V623:AA632" si="227">1-200/(200+ROUND((1+VLOOKUP($F623,role_property_weight,getpos(V$2),FALSE))*VLOOKUP($E623,role_grow,getpos(V$2),FALSE)*$G623*10*VLOOKUP($C623,weapon_grow1,5,FALSE),0))</f>
        <v>0.30795847750865057</v>
      </c>
      <c r="W623" s="35">
        <f t="shared" si="227"/>
        <v>6.9767441860465129E-2</v>
      </c>
      <c r="X623" s="35">
        <f t="shared" si="227"/>
        <v>6.9767441860465129E-2</v>
      </c>
      <c r="Y623" s="35">
        <f t="shared" si="227"/>
        <v>6.9767441860465129E-2</v>
      </c>
      <c r="Z623" s="35">
        <f t="shared" si="227"/>
        <v>6.9767441860465129E-2</v>
      </c>
      <c r="AA623" s="35">
        <f t="shared" si="227"/>
        <v>6.9767441860465129E-2</v>
      </c>
    </row>
    <row r="624" spans="2:27" x14ac:dyDescent="0.2">
      <c r="B624" s="2">
        <v>622</v>
      </c>
      <c r="C624" s="2" t="str">
        <f t="shared" si="223"/>
        <v>a</v>
      </c>
      <c r="D624" s="29" t="s">
        <v>166</v>
      </c>
      <c r="E624" s="29" t="s">
        <v>227</v>
      </c>
      <c r="F624" s="2" t="s">
        <v>229</v>
      </c>
      <c r="G624" s="2">
        <f t="shared" si="218"/>
        <v>6</v>
      </c>
      <c r="H624" s="2" t="str">
        <f t="shared" si="208"/>
        <v>地脉</v>
      </c>
      <c r="I624" s="38">
        <f t="shared" si="211"/>
        <v>0.58363636363636362</v>
      </c>
      <c r="J624" s="33">
        <f t="shared" si="212"/>
        <v>155</v>
      </c>
      <c r="K624" s="33">
        <f t="shared" si="226"/>
        <v>122</v>
      </c>
      <c r="L624" s="33">
        <f t="shared" si="226"/>
        <v>24</v>
      </c>
      <c r="M624" s="33">
        <f t="shared" si="226"/>
        <v>74</v>
      </c>
      <c r="N624" s="33">
        <f t="shared" si="209"/>
        <v>118</v>
      </c>
      <c r="O624" s="33">
        <f t="shared" si="226"/>
        <v>71</v>
      </c>
      <c r="P624" s="33">
        <f t="shared" si="226"/>
        <v>37</v>
      </c>
      <c r="Q624" s="33">
        <f t="shared" si="226"/>
        <v>41</v>
      </c>
      <c r="R624" s="35">
        <f t="shared" si="213"/>
        <v>0.13666666666666666</v>
      </c>
      <c r="S624" s="35">
        <f t="shared" si="214"/>
        <v>0.12333333333333334</v>
      </c>
      <c r="T624" s="35">
        <f t="shared" si="215"/>
        <v>0.13666666666666666</v>
      </c>
      <c r="U624" s="35">
        <f t="shared" si="210"/>
        <v>8.256880733944949E-2</v>
      </c>
      <c r="V624" s="35">
        <f t="shared" si="227"/>
        <v>0.34853420195439744</v>
      </c>
      <c r="W624" s="35">
        <f t="shared" si="227"/>
        <v>8.256880733944949E-2</v>
      </c>
      <c r="X624" s="35">
        <f t="shared" si="227"/>
        <v>8.256880733944949E-2</v>
      </c>
      <c r="Y624" s="35">
        <f t="shared" si="227"/>
        <v>8.256880733944949E-2</v>
      </c>
      <c r="Z624" s="35">
        <f t="shared" si="227"/>
        <v>8.256880733944949E-2</v>
      </c>
      <c r="AA624" s="35">
        <f t="shared" si="227"/>
        <v>8.256880733944949E-2</v>
      </c>
    </row>
    <row r="625" spans="2:27" x14ac:dyDescent="0.2">
      <c r="B625" s="2">
        <v>623</v>
      </c>
      <c r="C625" s="2" t="str">
        <f t="shared" si="223"/>
        <v>a</v>
      </c>
      <c r="D625" s="29" t="s">
        <v>171</v>
      </c>
      <c r="E625" s="29" t="s">
        <v>227</v>
      </c>
      <c r="F625" s="2" t="s">
        <v>229</v>
      </c>
      <c r="G625" s="2">
        <f t="shared" si="218"/>
        <v>7</v>
      </c>
      <c r="H625" s="2" t="str">
        <f t="shared" si="208"/>
        <v>地脉</v>
      </c>
      <c r="I625" s="38">
        <f t="shared" si="211"/>
        <v>0.68272727272727263</v>
      </c>
      <c r="J625" s="33">
        <f t="shared" si="212"/>
        <v>181</v>
      </c>
      <c r="K625" s="33">
        <f t="shared" si="226"/>
        <v>143</v>
      </c>
      <c r="L625" s="33">
        <f t="shared" si="226"/>
        <v>28</v>
      </c>
      <c r="M625" s="33">
        <f t="shared" si="226"/>
        <v>87</v>
      </c>
      <c r="N625" s="33">
        <f t="shared" si="209"/>
        <v>138</v>
      </c>
      <c r="O625" s="33">
        <f t="shared" si="226"/>
        <v>83</v>
      </c>
      <c r="P625" s="33">
        <f t="shared" si="226"/>
        <v>43</v>
      </c>
      <c r="Q625" s="33">
        <f t="shared" si="226"/>
        <v>48</v>
      </c>
      <c r="R625" s="35">
        <f t="shared" si="213"/>
        <v>0.16</v>
      </c>
      <c r="S625" s="35">
        <f t="shared" si="214"/>
        <v>0.14333333333333334</v>
      </c>
      <c r="T625" s="35">
        <f t="shared" si="215"/>
        <v>0.16</v>
      </c>
      <c r="U625" s="35">
        <f t="shared" si="210"/>
        <v>9.5022624434389136E-2</v>
      </c>
      <c r="V625" s="35">
        <f t="shared" si="227"/>
        <v>0.38461538461538458</v>
      </c>
      <c r="W625" s="35">
        <f t="shared" si="227"/>
        <v>9.5022624434389136E-2</v>
      </c>
      <c r="X625" s="35">
        <f t="shared" si="227"/>
        <v>9.5022624434389136E-2</v>
      </c>
      <c r="Y625" s="35">
        <f t="shared" si="227"/>
        <v>9.5022624434389136E-2</v>
      </c>
      <c r="Z625" s="35">
        <f t="shared" si="227"/>
        <v>9.5022624434389136E-2</v>
      </c>
      <c r="AA625" s="35">
        <f t="shared" si="227"/>
        <v>9.5022624434389136E-2</v>
      </c>
    </row>
    <row r="626" spans="2:27" x14ac:dyDescent="0.2">
      <c r="B626" s="2">
        <v>624</v>
      </c>
      <c r="C626" s="2" t="str">
        <f t="shared" si="223"/>
        <v>a</v>
      </c>
      <c r="D626" s="29" t="s">
        <v>171</v>
      </c>
      <c r="E626" s="29" t="s">
        <v>227</v>
      </c>
      <c r="F626" s="2" t="s">
        <v>229</v>
      </c>
      <c r="G626" s="2">
        <f t="shared" si="218"/>
        <v>8</v>
      </c>
      <c r="H626" s="2" t="str">
        <f t="shared" si="208"/>
        <v>地脉</v>
      </c>
      <c r="I626" s="38">
        <f t="shared" si="211"/>
        <v>0.77909090909090906</v>
      </c>
      <c r="J626" s="33">
        <f t="shared" si="212"/>
        <v>207</v>
      </c>
      <c r="K626" s="33">
        <f t="shared" si="226"/>
        <v>163</v>
      </c>
      <c r="L626" s="33">
        <f t="shared" si="226"/>
        <v>32</v>
      </c>
      <c r="M626" s="33">
        <f t="shared" si="226"/>
        <v>99</v>
      </c>
      <c r="N626" s="33">
        <f t="shared" si="209"/>
        <v>158</v>
      </c>
      <c r="O626" s="33">
        <f t="shared" si="226"/>
        <v>95</v>
      </c>
      <c r="P626" s="33">
        <f t="shared" si="226"/>
        <v>49</v>
      </c>
      <c r="Q626" s="33">
        <f t="shared" si="226"/>
        <v>54</v>
      </c>
      <c r="R626" s="35">
        <f t="shared" si="213"/>
        <v>0.18</v>
      </c>
      <c r="S626" s="35">
        <f t="shared" si="214"/>
        <v>0.16333333333333333</v>
      </c>
      <c r="T626" s="35">
        <f t="shared" si="215"/>
        <v>0.18</v>
      </c>
      <c r="U626" s="35">
        <f t="shared" si="210"/>
        <v>0.1071428571428571</v>
      </c>
      <c r="V626" s="35">
        <f t="shared" si="227"/>
        <v>0.41690962099125362</v>
      </c>
      <c r="W626" s="35">
        <f t="shared" si="227"/>
        <v>0.1071428571428571</v>
      </c>
      <c r="X626" s="35">
        <f t="shared" si="227"/>
        <v>0.1071428571428571</v>
      </c>
      <c r="Y626" s="35">
        <f t="shared" si="227"/>
        <v>0.1071428571428571</v>
      </c>
      <c r="Z626" s="35">
        <f t="shared" si="227"/>
        <v>0.1071428571428571</v>
      </c>
      <c r="AA626" s="35">
        <f t="shared" si="227"/>
        <v>0.1071428571428571</v>
      </c>
    </row>
    <row r="627" spans="2:27" x14ac:dyDescent="0.2">
      <c r="B627" s="2">
        <v>625</v>
      </c>
      <c r="C627" s="2" t="str">
        <f t="shared" si="223"/>
        <v>b</v>
      </c>
      <c r="D627" s="29" t="s">
        <v>10</v>
      </c>
      <c r="E627" s="29" t="s">
        <v>227</v>
      </c>
      <c r="F627" s="2" t="s">
        <v>229</v>
      </c>
      <c r="G627" s="2">
        <f t="shared" si="218"/>
        <v>1</v>
      </c>
      <c r="H627" s="2" t="str">
        <f t="shared" si="208"/>
        <v>地脉</v>
      </c>
      <c r="I627" s="38">
        <f t="shared" si="211"/>
        <v>0.11454545454545455</v>
      </c>
      <c r="J627" s="33">
        <f t="shared" si="212"/>
        <v>27</v>
      </c>
      <c r="K627" s="33">
        <f t="shared" si="226"/>
        <v>25</v>
      </c>
      <c r="L627" s="33">
        <f t="shared" si="226"/>
        <v>5</v>
      </c>
      <c r="M627" s="33">
        <f t="shared" si="226"/>
        <v>15</v>
      </c>
      <c r="N627" s="33">
        <f t="shared" si="209"/>
        <v>25</v>
      </c>
      <c r="O627" s="33">
        <f t="shared" si="226"/>
        <v>14</v>
      </c>
      <c r="P627" s="33">
        <f t="shared" si="226"/>
        <v>7</v>
      </c>
      <c r="Q627" s="33">
        <f t="shared" si="226"/>
        <v>8</v>
      </c>
      <c r="R627" s="35">
        <f t="shared" si="213"/>
        <v>2.6666666666666665E-2</v>
      </c>
      <c r="S627" s="35">
        <f t="shared" si="214"/>
        <v>2.3333333333333334E-2</v>
      </c>
      <c r="T627" s="35">
        <f t="shared" si="215"/>
        <v>2.6666666666666665E-2</v>
      </c>
      <c r="U627" s="35">
        <f t="shared" si="210"/>
        <v>1.9607843137254943E-2</v>
      </c>
      <c r="V627" s="35">
        <f t="shared" si="227"/>
        <v>9.9099099099099086E-2</v>
      </c>
      <c r="W627" s="35">
        <f t="shared" si="227"/>
        <v>1.9607843137254943E-2</v>
      </c>
      <c r="X627" s="35">
        <f t="shared" si="227"/>
        <v>1.9607843137254943E-2</v>
      </c>
      <c r="Y627" s="35">
        <f t="shared" si="227"/>
        <v>1.9607843137254943E-2</v>
      </c>
      <c r="Z627" s="35">
        <f t="shared" si="227"/>
        <v>1.9607843137254943E-2</v>
      </c>
      <c r="AA627" s="35">
        <f t="shared" si="227"/>
        <v>1.9607843137254943E-2</v>
      </c>
    </row>
    <row r="628" spans="2:27" x14ac:dyDescent="0.2">
      <c r="B628" s="2">
        <v>626</v>
      </c>
      <c r="C628" s="2" t="str">
        <f t="shared" si="223"/>
        <v>b</v>
      </c>
      <c r="D628" s="29" t="s">
        <v>171</v>
      </c>
      <c r="E628" s="29" t="s">
        <v>227</v>
      </c>
      <c r="F628" s="2" t="s">
        <v>229</v>
      </c>
      <c r="G628" s="2">
        <f t="shared" si="218"/>
        <v>2</v>
      </c>
      <c r="H628" s="2" t="str">
        <f t="shared" si="208"/>
        <v>地脉</v>
      </c>
      <c r="I628" s="38">
        <f t="shared" si="211"/>
        <v>0.23454545454545453</v>
      </c>
      <c r="J628" s="33">
        <f t="shared" si="212"/>
        <v>55</v>
      </c>
      <c r="K628" s="33">
        <f t="shared" si="226"/>
        <v>51</v>
      </c>
      <c r="L628" s="33">
        <f t="shared" si="226"/>
        <v>10</v>
      </c>
      <c r="M628" s="33">
        <f t="shared" si="226"/>
        <v>31</v>
      </c>
      <c r="N628" s="33">
        <f t="shared" si="209"/>
        <v>50</v>
      </c>
      <c r="O628" s="33">
        <f t="shared" si="226"/>
        <v>29</v>
      </c>
      <c r="P628" s="33">
        <f t="shared" si="226"/>
        <v>15</v>
      </c>
      <c r="Q628" s="33">
        <f t="shared" si="226"/>
        <v>17</v>
      </c>
      <c r="R628" s="35">
        <f t="shared" si="213"/>
        <v>5.6666666666666671E-2</v>
      </c>
      <c r="S628" s="35">
        <f t="shared" si="214"/>
        <v>0.05</v>
      </c>
      <c r="T628" s="35">
        <f t="shared" si="215"/>
        <v>5.6666666666666671E-2</v>
      </c>
      <c r="U628" s="35">
        <f t="shared" si="210"/>
        <v>3.3816425120772986E-2</v>
      </c>
      <c r="V628" s="35">
        <f t="shared" si="227"/>
        <v>0.18367346938775508</v>
      </c>
      <c r="W628" s="35">
        <f t="shared" si="227"/>
        <v>3.3816425120772986E-2</v>
      </c>
      <c r="X628" s="35">
        <f t="shared" si="227"/>
        <v>3.3816425120772986E-2</v>
      </c>
      <c r="Y628" s="35">
        <f t="shared" si="227"/>
        <v>3.3816425120772986E-2</v>
      </c>
      <c r="Z628" s="35">
        <f t="shared" si="227"/>
        <v>3.3816425120772986E-2</v>
      </c>
      <c r="AA628" s="35">
        <f t="shared" si="227"/>
        <v>3.3816425120772986E-2</v>
      </c>
    </row>
    <row r="629" spans="2:27" x14ac:dyDescent="0.2">
      <c r="B629" s="2">
        <v>627</v>
      </c>
      <c r="C629" s="2" t="str">
        <f t="shared" si="223"/>
        <v>b</v>
      </c>
      <c r="D629" s="29" t="s">
        <v>156</v>
      </c>
      <c r="E629" s="29" t="s">
        <v>227</v>
      </c>
      <c r="F629" s="2" t="s">
        <v>229</v>
      </c>
      <c r="G629" s="2">
        <f t="shared" si="218"/>
        <v>3</v>
      </c>
      <c r="H629" s="2" t="str">
        <f t="shared" si="208"/>
        <v>地脉</v>
      </c>
      <c r="I629" s="38">
        <f t="shared" si="211"/>
        <v>0.35363636363636369</v>
      </c>
      <c r="J629" s="33">
        <f t="shared" si="212"/>
        <v>83</v>
      </c>
      <c r="K629" s="33">
        <f t="shared" si="226"/>
        <v>77</v>
      </c>
      <c r="L629" s="33">
        <f t="shared" si="226"/>
        <v>15</v>
      </c>
      <c r="M629" s="33">
        <f t="shared" si="226"/>
        <v>47</v>
      </c>
      <c r="N629" s="33">
        <f t="shared" si="209"/>
        <v>75</v>
      </c>
      <c r="O629" s="33">
        <f t="shared" si="226"/>
        <v>44</v>
      </c>
      <c r="P629" s="33">
        <f t="shared" si="226"/>
        <v>23</v>
      </c>
      <c r="Q629" s="33">
        <f t="shared" si="226"/>
        <v>25</v>
      </c>
      <c r="R629" s="35">
        <f t="shared" si="213"/>
        <v>8.3333333333333343E-2</v>
      </c>
      <c r="S629" s="35">
        <f t="shared" si="214"/>
        <v>7.6666666666666675E-2</v>
      </c>
      <c r="T629" s="35">
        <f t="shared" si="215"/>
        <v>8.3333333333333343E-2</v>
      </c>
      <c r="U629" s="35">
        <f t="shared" si="210"/>
        <v>5.2132701421800931E-2</v>
      </c>
      <c r="V629" s="35">
        <f t="shared" si="227"/>
        <v>0.25093632958801493</v>
      </c>
      <c r="W629" s="35">
        <f t="shared" si="227"/>
        <v>5.2132701421800931E-2</v>
      </c>
      <c r="X629" s="35">
        <f t="shared" si="227"/>
        <v>5.2132701421800931E-2</v>
      </c>
      <c r="Y629" s="35">
        <f t="shared" si="227"/>
        <v>5.2132701421800931E-2</v>
      </c>
      <c r="Z629" s="35">
        <f t="shared" si="227"/>
        <v>5.2132701421800931E-2</v>
      </c>
      <c r="AA629" s="35">
        <f t="shared" si="227"/>
        <v>5.2132701421800931E-2</v>
      </c>
    </row>
    <row r="630" spans="2:27" x14ac:dyDescent="0.2">
      <c r="B630" s="2">
        <v>628</v>
      </c>
      <c r="C630" s="2" t="str">
        <f t="shared" si="223"/>
        <v>b</v>
      </c>
      <c r="D630" s="29" t="s">
        <v>171</v>
      </c>
      <c r="E630" s="29" t="s">
        <v>227</v>
      </c>
      <c r="F630" s="2" t="s">
        <v>229</v>
      </c>
      <c r="G630" s="2">
        <f t="shared" si="218"/>
        <v>4</v>
      </c>
      <c r="H630" s="2" t="str">
        <f t="shared" si="208"/>
        <v>地脉</v>
      </c>
      <c r="I630" s="38">
        <f t="shared" si="211"/>
        <v>0.47090909090909094</v>
      </c>
      <c r="J630" s="33">
        <f t="shared" si="212"/>
        <v>111</v>
      </c>
      <c r="K630" s="33">
        <f t="shared" si="226"/>
        <v>102</v>
      </c>
      <c r="L630" s="33">
        <f t="shared" si="226"/>
        <v>20</v>
      </c>
      <c r="M630" s="33">
        <f t="shared" si="226"/>
        <v>62</v>
      </c>
      <c r="N630" s="33">
        <f t="shared" si="209"/>
        <v>99</v>
      </c>
      <c r="O630" s="33">
        <f t="shared" si="226"/>
        <v>59</v>
      </c>
      <c r="P630" s="33">
        <f t="shared" si="226"/>
        <v>31</v>
      </c>
      <c r="Q630" s="33">
        <f t="shared" si="226"/>
        <v>34</v>
      </c>
      <c r="R630" s="35">
        <f t="shared" si="213"/>
        <v>0.11333333333333334</v>
      </c>
      <c r="S630" s="35">
        <f t="shared" si="214"/>
        <v>0.10333333333333333</v>
      </c>
      <c r="T630" s="35">
        <f t="shared" si="215"/>
        <v>0.11333333333333334</v>
      </c>
      <c r="U630" s="35">
        <f t="shared" si="210"/>
        <v>6.9767441860465129E-2</v>
      </c>
      <c r="V630" s="35">
        <f t="shared" si="227"/>
        <v>0.31034482758620685</v>
      </c>
      <c r="W630" s="35">
        <f t="shared" si="227"/>
        <v>6.9767441860465129E-2</v>
      </c>
      <c r="X630" s="35">
        <f t="shared" si="227"/>
        <v>6.9767441860465129E-2</v>
      </c>
      <c r="Y630" s="35">
        <f t="shared" si="227"/>
        <v>6.9767441860465129E-2</v>
      </c>
      <c r="Z630" s="35">
        <f t="shared" si="227"/>
        <v>6.9767441860465129E-2</v>
      </c>
      <c r="AA630" s="35">
        <f t="shared" si="227"/>
        <v>6.9767441860465129E-2</v>
      </c>
    </row>
    <row r="631" spans="2:27" x14ac:dyDescent="0.2">
      <c r="B631" s="2">
        <v>629</v>
      </c>
      <c r="C631" s="2" t="str">
        <f t="shared" si="223"/>
        <v>b</v>
      </c>
      <c r="D631" s="29" t="s">
        <v>171</v>
      </c>
      <c r="E631" s="29" t="s">
        <v>227</v>
      </c>
      <c r="F631" s="2" t="s">
        <v>229</v>
      </c>
      <c r="G631" s="2">
        <f t="shared" si="218"/>
        <v>5</v>
      </c>
      <c r="H631" s="2" t="str">
        <f t="shared" si="208"/>
        <v>地脉</v>
      </c>
      <c r="I631" s="38">
        <f t="shared" si="211"/>
        <v>0.59090909090909094</v>
      </c>
      <c r="J631" s="33">
        <f t="shared" si="212"/>
        <v>139</v>
      </c>
      <c r="K631" s="33">
        <f t="shared" si="226"/>
        <v>128</v>
      </c>
      <c r="L631" s="33">
        <f t="shared" si="226"/>
        <v>25</v>
      </c>
      <c r="M631" s="33">
        <f t="shared" si="226"/>
        <v>78</v>
      </c>
      <c r="N631" s="33">
        <f t="shared" si="209"/>
        <v>124</v>
      </c>
      <c r="O631" s="33">
        <f t="shared" si="226"/>
        <v>74</v>
      </c>
      <c r="P631" s="33">
        <f t="shared" si="226"/>
        <v>39</v>
      </c>
      <c r="Q631" s="33">
        <f t="shared" si="226"/>
        <v>43</v>
      </c>
      <c r="R631" s="35">
        <f t="shared" si="213"/>
        <v>0.14333333333333334</v>
      </c>
      <c r="S631" s="35">
        <f t="shared" si="214"/>
        <v>0.13</v>
      </c>
      <c r="T631" s="35">
        <f t="shared" si="215"/>
        <v>0.14333333333333334</v>
      </c>
      <c r="U631" s="35">
        <f t="shared" si="210"/>
        <v>8.6757990867579959E-2</v>
      </c>
      <c r="V631" s="35">
        <f t="shared" si="227"/>
        <v>0.35897435897435892</v>
      </c>
      <c r="W631" s="35">
        <f t="shared" si="227"/>
        <v>8.6757990867579959E-2</v>
      </c>
      <c r="X631" s="35">
        <f t="shared" si="227"/>
        <v>8.6757990867579959E-2</v>
      </c>
      <c r="Y631" s="35">
        <f t="shared" si="227"/>
        <v>8.6757990867579959E-2</v>
      </c>
      <c r="Z631" s="35">
        <f t="shared" si="227"/>
        <v>8.6757990867579959E-2</v>
      </c>
      <c r="AA631" s="35">
        <f t="shared" si="227"/>
        <v>8.6757990867579959E-2</v>
      </c>
    </row>
    <row r="632" spans="2:27" x14ac:dyDescent="0.2">
      <c r="B632" s="2">
        <v>630</v>
      </c>
      <c r="C632" s="2" t="str">
        <f t="shared" si="223"/>
        <v>b</v>
      </c>
      <c r="D632" s="29" t="s">
        <v>166</v>
      </c>
      <c r="E632" s="29" t="s">
        <v>227</v>
      </c>
      <c r="F632" s="2" t="s">
        <v>229</v>
      </c>
      <c r="G632" s="2">
        <f t="shared" si="218"/>
        <v>6</v>
      </c>
      <c r="H632" s="2" t="str">
        <f t="shared" si="208"/>
        <v>地脉</v>
      </c>
      <c r="I632" s="38">
        <f t="shared" si="211"/>
        <v>0.71090909090909093</v>
      </c>
      <c r="J632" s="33">
        <f t="shared" si="212"/>
        <v>167</v>
      </c>
      <c r="K632" s="33">
        <f t="shared" si="226"/>
        <v>154</v>
      </c>
      <c r="L632" s="33">
        <f t="shared" si="226"/>
        <v>31</v>
      </c>
      <c r="M632" s="33">
        <f t="shared" si="226"/>
        <v>94</v>
      </c>
      <c r="N632" s="33">
        <f t="shared" si="209"/>
        <v>149</v>
      </c>
      <c r="O632" s="33">
        <f t="shared" si="226"/>
        <v>89</v>
      </c>
      <c r="P632" s="33">
        <f t="shared" si="226"/>
        <v>47</v>
      </c>
      <c r="Q632" s="33">
        <f t="shared" si="226"/>
        <v>51</v>
      </c>
      <c r="R632" s="35">
        <f t="shared" si="213"/>
        <v>0.17</v>
      </c>
      <c r="S632" s="35">
        <f t="shared" si="214"/>
        <v>0.15666666666666665</v>
      </c>
      <c r="T632" s="35">
        <f t="shared" si="215"/>
        <v>0.17</v>
      </c>
      <c r="U632" s="35">
        <f t="shared" si="210"/>
        <v>9.9099099099099086E-2</v>
      </c>
      <c r="V632" s="35">
        <f t="shared" si="227"/>
        <v>0.40298507462686572</v>
      </c>
      <c r="W632" s="35">
        <f t="shared" si="227"/>
        <v>9.9099099099099086E-2</v>
      </c>
      <c r="X632" s="35">
        <f t="shared" si="227"/>
        <v>9.9099099099099086E-2</v>
      </c>
      <c r="Y632" s="35">
        <f t="shared" si="227"/>
        <v>9.9099099099099086E-2</v>
      </c>
      <c r="Z632" s="35">
        <f t="shared" si="227"/>
        <v>9.9099099099099086E-2</v>
      </c>
      <c r="AA632" s="35">
        <f t="shared" si="227"/>
        <v>9.9099099099099086E-2</v>
      </c>
    </row>
    <row r="633" spans="2:27" x14ac:dyDescent="0.2">
      <c r="B633" s="2">
        <v>631</v>
      </c>
      <c r="C633" s="2" t="str">
        <f t="shared" si="223"/>
        <v>b</v>
      </c>
      <c r="D633" s="29" t="s">
        <v>10</v>
      </c>
      <c r="E633" s="29" t="s">
        <v>227</v>
      </c>
      <c r="F633" s="2" t="s">
        <v>229</v>
      </c>
      <c r="G633" s="2">
        <f t="shared" si="218"/>
        <v>7</v>
      </c>
      <c r="H633" s="2" t="str">
        <f t="shared" si="208"/>
        <v>地脉</v>
      </c>
      <c r="I633" s="38">
        <f t="shared" si="211"/>
        <v>0.83</v>
      </c>
      <c r="J633" s="33">
        <f t="shared" si="212"/>
        <v>195</v>
      </c>
      <c r="K633" s="33">
        <f t="shared" ref="K633:Q642" si="228">INT((1+VLOOKUP($F633,role_property_weight,getpos(K$2),FALSE))*(1+VLOOKUP($F633,weapon_property_weight,getpos(K$2),FALSE))*VLOOKUP($E633,role_grow,getpos(K$2),FALSE)*$G633*10*VLOOKUP($C633,weapon_grow1,5,FALSE))</f>
        <v>180</v>
      </c>
      <c r="L633" s="33">
        <f t="shared" si="228"/>
        <v>36</v>
      </c>
      <c r="M633" s="33">
        <f t="shared" si="228"/>
        <v>110</v>
      </c>
      <c r="N633" s="33">
        <f t="shared" si="209"/>
        <v>173</v>
      </c>
      <c r="O633" s="33">
        <f t="shared" si="228"/>
        <v>104</v>
      </c>
      <c r="P633" s="33">
        <f t="shared" si="228"/>
        <v>55</v>
      </c>
      <c r="Q633" s="33">
        <f t="shared" si="228"/>
        <v>60</v>
      </c>
      <c r="R633" s="35">
        <f t="shared" si="213"/>
        <v>0.2</v>
      </c>
      <c r="S633" s="35">
        <f t="shared" si="214"/>
        <v>0.18333333333333332</v>
      </c>
      <c r="T633" s="35">
        <f t="shared" si="215"/>
        <v>0.2</v>
      </c>
      <c r="U633" s="35">
        <f t="shared" si="210"/>
        <v>0.11504424778761058</v>
      </c>
      <c r="V633" s="35">
        <f t="shared" ref="V633:AA642" si="229">1-200/(200+ROUND((1+VLOOKUP($F633,role_property_weight,getpos(V$2),FALSE))*VLOOKUP($E633,role_grow,getpos(V$2),FALSE)*$G633*10*VLOOKUP($C633,weapon_grow1,5,FALSE),0))</f>
        <v>0.43977591036414565</v>
      </c>
      <c r="W633" s="35">
        <f t="shared" si="229"/>
        <v>0.11504424778761058</v>
      </c>
      <c r="X633" s="35">
        <f t="shared" si="229"/>
        <v>0.11504424778761058</v>
      </c>
      <c r="Y633" s="35">
        <f t="shared" si="229"/>
        <v>0.11504424778761058</v>
      </c>
      <c r="Z633" s="35">
        <f t="shared" si="229"/>
        <v>0.11504424778761058</v>
      </c>
      <c r="AA633" s="35">
        <f t="shared" si="229"/>
        <v>0.11504424778761058</v>
      </c>
    </row>
    <row r="634" spans="2:27" x14ac:dyDescent="0.2">
      <c r="B634" s="2">
        <v>632</v>
      </c>
      <c r="C634" s="2" t="str">
        <f t="shared" si="223"/>
        <v>b</v>
      </c>
      <c r="D634" s="29" t="s">
        <v>171</v>
      </c>
      <c r="E634" s="29" t="s">
        <v>227</v>
      </c>
      <c r="F634" s="2" t="s">
        <v>229</v>
      </c>
      <c r="G634" s="2">
        <f t="shared" si="218"/>
        <v>8</v>
      </c>
      <c r="H634" s="2" t="str">
        <f t="shared" si="208"/>
        <v>地脉</v>
      </c>
      <c r="I634" s="38">
        <f t="shared" si="211"/>
        <v>0.94727272727272738</v>
      </c>
      <c r="J634" s="33">
        <f t="shared" si="212"/>
        <v>223</v>
      </c>
      <c r="K634" s="33">
        <f t="shared" si="228"/>
        <v>205</v>
      </c>
      <c r="L634" s="33">
        <f t="shared" si="228"/>
        <v>41</v>
      </c>
      <c r="M634" s="33">
        <f t="shared" si="228"/>
        <v>125</v>
      </c>
      <c r="N634" s="33">
        <f t="shared" si="209"/>
        <v>198</v>
      </c>
      <c r="O634" s="33">
        <f t="shared" si="228"/>
        <v>119</v>
      </c>
      <c r="P634" s="33">
        <f t="shared" si="228"/>
        <v>62</v>
      </c>
      <c r="Q634" s="33">
        <f t="shared" si="228"/>
        <v>69</v>
      </c>
      <c r="R634" s="35">
        <f t="shared" si="213"/>
        <v>0.23</v>
      </c>
      <c r="S634" s="35">
        <f t="shared" si="214"/>
        <v>0.20666666666666667</v>
      </c>
      <c r="T634" s="35">
        <f t="shared" si="215"/>
        <v>0.23</v>
      </c>
      <c r="U634" s="35">
        <f t="shared" si="210"/>
        <v>0.13043478260869568</v>
      </c>
      <c r="V634" s="35">
        <f t="shared" si="229"/>
        <v>0.47368421052631582</v>
      </c>
      <c r="W634" s="35">
        <f t="shared" si="229"/>
        <v>0.13043478260869568</v>
      </c>
      <c r="X634" s="35">
        <f t="shared" si="229"/>
        <v>0.13043478260869568</v>
      </c>
      <c r="Y634" s="35">
        <f t="shared" si="229"/>
        <v>0.13043478260869568</v>
      </c>
      <c r="Z634" s="35">
        <f t="shared" si="229"/>
        <v>0.13043478260869568</v>
      </c>
      <c r="AA634" s="35">
        <f t="shared" si="229"/>
        <v>0.13043478260869568</v>
      </c>
    </row>
    <row r="635" spans="2:27" x14ac:dyDescent="0.2">
      <c r="B635" s="2">
        <v>633</v>
      </c>
      <c r="C635" s="2" t="str">
        <f t="shared" si="223"/>
        <v>c</v>
      </c>
      <c r="D635" s="29" t="s">
        <v>171</v>
      </c>
      <c r="E635" s="29" t="s">
        <v>227</v>
      </c>
      <c r="F635" s="2" t="s">
        <v>229</v>
      </c>
      <c r="G635" s="2">
        <f t="shared" si="218"/>
        <v>1</v>
      </c>
      <c r="H635" s="2" t="str">
        <f t="shared" si="208"/>
        <v>--</v>
      </c>
      <c r="I635" s="38">
        <f t="shared" si="211"/>
        <v>0</v>
      </c>
      <c r="J635" s="33">
        <f t="shared" si="212"/>
        <v>35</v>
      </c>
      <c r="K635" s="33">
        <f t="shared" si="228"/>
        <v>0</v>
      </c>
      <c r="L635" s="33">
        <f t="shared" si="228"/>
        <v>0</v>
      </c>
      <c r="M635" s="33">
        <f t="shared" si="228"/>
        <v>0</v>
      </c>
      <c r="N635" s="33">
        <f t="shared" si="209"/>
        <v>0</v>
      </c>
      <c r="O635" s="33">
        <f t="shared" si="228"/>
        <v>0</v>
      </c>
      <c r="P635" s="33">
        <f t="shared" si="228"/>
        <v>0</v>
      </c>
      <c r="Q635" s="33">
        <f t="shared" si="228"/>
        <v>0</v>
      </c>
      <c r="R635" s="35">
        <f t="shared" si="213"/>
        <v>0</v>
      </c>
      <c r="S635" s="35">
        <f t="shared" si="214"/>
        <v>0</v>
      </c>
      <c r="T635" s="35">
        <f t="shared" si="215"/>
        <v>0</v>
      </c>
      <c r="U635" s="35">
        <f t="shared" si="210"/>
        <v>0</v>
      </c>
      <c r="V635" s="35">
        <f t="shared" si="229"/>
        <v>0</v>
      </c>
      <c r="W635" s="35">
        <f t="shared" si="229"/>
        <v>0</v>
      </c>
      <c r="X635" s="35">
        <f t="shared" si="229"/>
        <v>0</v>
      </c>
      <c r="Y635" s="35">
        <f t="shared" si="229"/>
        <v>0</v>
      </c>
      <c r="Z635" s="35">
        <f t="shared" si="229"/>
        <v>0</v>
      </c>
      <c r="AA635" s="35">
        <f t="shared" si="229"/>
        <v>0</v>
      </c>
    </row>
    <row r="636" spans="2:27" x14ac:dyDescent="0.2">
      <c r="B636" s="2">
        <v>634</v>
      </c>
      <c r="C636" s="2" t="str">
        <f t="shared" si="223"/>
        <v>c</v>
      </c>
      <c r="D636" s="29" t="s">
        <v>171</v>
      </c>
      <c r="E636" s="29" t="s">
        <v>227</v>
      </c>
      <c r="F636" s="2" t="s">
        <v>229</v>
      </c>
      <c r="G636" s="2">
        <f t="shared" si="218"/>
        <v>2</v>
      </c>
      <c r="H636" s="2" t="str">
        <f t="shared" si="208"/>
        <v>--</v>
      </c>
      <c r="I636" s="38">
        <f t="shared" si="211"/>
        <v>0</v>
      </c>
      <c r="J636" s="33">
        <f t="shared" si="212"/>
        <v>70</v>
      </c>
      <c r="K636" s="33">
        <f t="shared" si="228"/>
        <v>0</v>
      </c>
      <c r="L636" s="33">
        <f t="shared" si="228"/>
        <v>0</v>
      </c>
      <c r="M636" s="33">
        <f t="shared" si="228"/>
        <v>0</v>
      </c>
      <c r="N636" s="33">
        <f t="shared" si="209"/>
        <v>0</v>
      </c>
      <c r="O636" s="33">
        <f t="shared" si="228"/>
        <v>0</v>
      </c>
      <c r="P636" s="33">
        <f t="shared" si="228"/>
        <v>0</v>
      </c>
      <c r="Q636" s="33">
        <f t="shared" si="228"/>
        <v>0</v>
      </c>
      <c r="R636" s="35">
        <f t="shared" si="213"/>
        <v>0</v>
      </c>
      <c r="S636" s="35">
        <f t="shared" si="214"/>
        <v>0</v>
      </c>
      <c r="T636" s="35">
        <f t="shared" si="215"/>
        <v>0</v>
      </c>
      <c r="U636" s="35">
        <f t="shared" si="210"/>
        <v>0</v>
      </c>
      <c r="V636" s="35">
        <f t="shared" si="229"/>
        <v>0</v>
      </c>
      <c r="W636" s="35">
        <f t="shared" si="229"/>
        <v>0</v>
      </c>
      <c r="X636" s="35">
        <f t="shared" si="229"/>
        <v>0</v>
      </c>
      <c r="Y636" s="35">
        <f t="shared" si="229"/>
        <v>0</v>
      </c>
      <c r="Z636" s="35">
        <f t="shared" si="229"/>
        <v>0</v>
      </c>
      <c r="AA636" s="35">
        <f t="shared" si="229"/>
        <v>0</v>
      </c>
    </row>
    <row r="637" spans="2:27" x14ac:dyDescent="0.2">
      <c r="B637" s="2">
        <v>635</v>
      </c>
      <c r="C637" s="2" t="str">
        <f t="shared" si="223"/>
        <v>c</v>
      </c>
      <c r="D637" s="29" t="s">
        <v>150</v>
      </c>
      <c r="E637" s="29" t="s">
        <v>227</v>
      </c>
      <c r="F637" s="2" t="s">
        <v>229</v>
      </c>
      <c r="G637" s="2">
        <f t="shared" si="218"/>
        <v>3</v>
      </c>
      <c r="H637" s="2" t="str">
        <f t="shared" si="208"/>
        <v>--</v>
      </c>
      <c r="I637" s="38">
        <f t="shared" si="211"/>
        <v>0</v>
      </c>
      <c r="J637" s="33">
        <f t="shared" si="212"/>
        <v>105</v>
      </c>
      <c r="K637" s="33">
        <f t="shared" si="228"/>
        <v>0</v>
      </c>
      <c r="L637" s="33">
        <f t="shared" si="228"/>
        <v>0</v>
      </c>
      <c r="M637" s="33">
        <f t="shared" si="228"/>
        <v>0</v>
      </c>
      <c r="N637" s="33">
        <f t="shared" si="209"/>
        <v>0</v>
      </c>
      <c r="O637" s="33">
        <f t="shared" si="228"/>
        <v>0</v>
      </c>
      <c r="P637" s="33">
        <f t="shared" si="228"/>
        <v>0</v>
      </c>
      <c r="Q637" s="33">
        <f t="shared" si="228"/>
        <v>0</v>
      </c>
      <c r="R637" s="35">
        <f t="shared" si="213"/>
        <v>0</v>
      </c>
      <c r="S637" s="35">
        <f t="shared" si="214"/>
        <v>0</v>
      </c>
      <c r="T637" s="35">
        <f t="shared" si="215"/>
        <v>0</v>
      </c>
      <c r="U637" s="35">
        <f t="shared" si="210"/>
        <v>0</v>
      </c>
      <c r="V637" s="35">
        <f t="shared" si="229"/>
        <v>0</v>
      </c>
      <c r="W637" s="35">
        <f t="shared" si="229"/>
        <v>0</v>
      </c>
      <c r="X637" s="35">
        <f t="shared" si="229"/>
        <v>0</v>
      </c>
      <c r="Y637" s="35">
        <f t="shared" si="229"/>
        <v>0</v>
      </c>
      <c r="Z637" s="35">
        <f t="shared" si="229"/>
        <v>0</v>
      </c>
      <c r="AA637" s="35">
        <f t="shared" si="229"/>
        <v>0</v>
      </c>
    </row>
    <row r="638" spans="2:27" x14ac:dyDescent="0.2">
      <c r="B638" s="2">
        <v>636</v>
      </c>
      <c r="C638" s="2" t="str">
        <f t="shared" si="223"/>
        <v>c</v>
      </c>
      <c r="D638" s="29" t="s">
        <v>10</v>
      </c>
      <c r="E638" s="29" t="s">
        <v>227</v>
      </c>
      <c r="F638" s="2" t="s">
        <v>229</v>
      </c>
      <c r="G638" s="2">
        <f t="shared" si="218"/>
        <v>4</v>
      </c>
      <c r="H638" s="2" t="str">
        <f t="shared" si="208"/>
        <v>--</v>
      </c>
      <c r="I638" s="38">
        <f t="shared" si="211"/>
        <v>0</v>
      </c>
      <c r="J638" s="33">
        <f t="shared" si="212"/>
        <v>141</v>
      </c>
      <c r="K638" s="33">
        <f t="shared" si="228"/>
        <v>0</v>
      </c>
      <c r="L638" s="33">
        <f t="shared" si="228"/>
        <v>0</v>
      </c>
      <c r="M638" s="33">
        <f t="shared" si="228"/>
        <v>0</v>
      </c>
      <c r="N638" s="33">
        <f t="shared" si="209"/>
        <v>0</v>
      </c>
      <c r="O638" s="33">
        <f t="shared" si="228"/>
        <v>0</v>
      </c>
      <c r="P638" s="33">
        <f t="shared" si="228"/>
        <v>0</v>
      </c>
      <c r="Q638" s="33">
        <f t="shared" si="228"/>
        <v>0</v>
      </c>
      <c r="R638" s="35">
        <f t="shared" si="213"/>
        <v>0</v>
      </c>
      <c r="S638" s="35">
        <f t="shared" si="214"/>
        <v>0</v>
      </c>
      <c r="T638" s="35">
        <f t="shared" si="215"/>
        <v>0</v>
      </c>
      <c r="U638" s="35">
        <f t="shared" si="210"/>
        <v>0</v>
      </c>
      <c r="V638" s="35">
        <f t="shared" si="229"/>
        <v>0</v>
      </c>
      <c r="W638" s="35">
        <f t="shared" si="229"/>
        <v>0</v>
      </c>
      <c r="X638" s="35">
        <f t="shared" si="229"/>
        <v>0</v>
      </c>
      <c r="Y638" s="35">
        <f t="shared" si="229"/>
        <v>0</v>
      </c>
      <c r="Z638" s="35">
        <f t="shared" si="229"/>
        <v>0</v>
      </c>
      <c r="AA638" s="35">
        <f t="shared" si="229"/>
        <v>0</v>
      </c>
    </row>
    <row r="639" spans="2:27" x14ac:dyDescent="0.2">
      <c r="B639" s="2">
        <v>637</v>
      </c>
      <c r="C639" s="2" t="str">
        <f t="shared" si="223"/>
        <v>c</v>
      </c>
      <c r="D639" s="29" t="s">
        <v>172</v>
      </c>
      <c r="E639" s="29" t="s">
        <v>227</v>
      </c>
      <c r="F639" s="2" t="s">
        <v>229</v>
      </c>
      <c r="G639" s="2">
        <f t="shared" si="218"/>
        <v>5</v>
      </c>
      <c r="H639" s="2" t="str">
        <f t="shared" si="208"/>
        <v>--</v>
      </c>
      <c r="I639" s="38">
        <f t="shared" si="211"/>
        <v>0</v>
      </c>
      <c r="J639" s="33">
        <f t="shared" si="212"/>
        <v>176</v>
      </c>
      <c r="K639" s="33">
        <f t="shared" si="228"/>
        <v>0</v>
      </c>
      <c r="L639" s="33">
        <f t="shared" si="228"/>
        <v>0</v>
      </c>
      <c r="M639" s="33">
        <f t="shared" si="228"/>
        <v>0</v>
      </c>
      <c r="N639" s="33">
        <f t="shared" si="209"/>
        <v>0</v>
      </c>
      <c r="O639" s="33">
        <f t="shared" si="228"/>
        <v>0</v>
      </c>
      <c r="P639" s="33">
        <f t="shared" si="228"/>
        <v>0</v>
      </c>
      <c r="Q639" s="33">
        <f t="shared" si="228"/>
        <v>0</v>
      </c>
      <c r="R639" s="35">
        <f t="shared" si="213"/>
        <v>0</v>
      </c>
      <c r="S639" s="35">
        <f t="shared" si="214"/>
        <v>0</v>
      </c>
      <c r="T639" s="35">
        <f t="shared" si="215"/>
        <v>0</v>
      </c>
      <c r="U639" s="35">
        <f t="shared" si="210"/>
        <v>0</v>
      </c>
      <c r="V639" s="35">
        <f t="shared" si="229"/>
        <v>0</v>
      </c>
      <c r="W639" s="35">
        <f t="shared" si="229"/>
        <v>0</v>
      </c>
      <c r="X639" s="35">
        <f t="shared" si="229"/>
        <v>0</v>
      </c>
      <c r="Y639" s="35">
        <f t="shared" si="229"/>
        <v>0</v>
      </c>
      <c r="Z639" s="35">
        <f t="shared" si="229"/>
        <v>0</v>
      </c>
      <c r="AA639" s="35">
        <f t="shared" si="229"/>
        <v>0</v>
      </c>
    </row>
    <row r="640" spans="2:27" x14ac:dyDescent="0.2">
      <c r="B640" s="2">
        <v>638</v>
      </c>
      <c r="C640" s="2" t="str">
        <f t="shared" si="223"/>
        <v>c</v>
      </c>
      <c r="D640" s="29" t="s">
        <v>167</v>
      </c>
      <c r="E640" s="29" t="s">
        <v>227</v>
      </c>
      <c r="F640" s="2" t="s">
        <v>229</v>
      </c>
      <c r="G640" s="2">
        <f t="shared" si="218"/>
        <v>6</v>
      </c>
      <c r="H640" s="2" t="str">
        <f t="shared" si="208"/>
        <v>--</v>
      </c>
      <c r="I640" s="38">
        <f t="shared" si="211"/>
        <v>0</v>
      </c>
      <c r="J640" s="33">
        <f t="shared" si="212"/>
        <v>211</v>
      </c>
      <c r="K640" s="33">
        <f t="shared" si="228"/>
        <v>0</v>
      </c>
      <c r="L640" s="33">
        <f t="shared" si="228"/>
        <v>0</v>
      </c>
      <c r="M640" s="33">
        <f t="shared" si="228"/>
        <v>0</v>
      </c>
      <c r="N640" s="33">
        <f t="shared" si="209"/>
        <v>0</v>
      </c>
      <c r="O640" s="33">
        <f t="shared" si="228"/>
        <v>0</v>
      </c>
      <c r="P640" s="33">
        <f t="shared" si="228"/>
        <v>0</v>
      </c>
      <c r="Q640" s="33">
        <f t="shared" si="228"/>
        <v>0</v>
      </c>
      <c r="R640" s="35">
        <f t="shared" si="213"/>
        <v>0</v>
      </c>
      <c r="S640" s="35">
        <f t="shared" si="214"/>
        <v>0</v>
      </c>
      <c r="T640" s="35">
        <f t="shared" si="215"/>
        <v>0</v>
      </c>
      <c r="U640" s="35">
        <f t="shared" si="210"/>
        <v>0</v>
      </c>
      <c r="V640" s="35">
        <f t="shared" si="229"/>
        <v>0</v>
      </c>
      <c r="W640" s="35">
        <f t="shared" si="229"/>
        <v>0</v>
      </c>
      <c r="X640" s="35">
        <f t="shared" si="229"/>
        <v>0</v>
      </c>
      <c r="Y640" s="35">
        <f t="shared" si="229"/>
        <v>0</v>
      </c>
      <c r="Z640" s="35">
        <f t="shared" si="229"/>
        <v>0</v>
      </c>
      <c r="AA640" s="35">
        <f t="shared" si="229"/>
        <v>0</v>
      </c>
    </row>
    <row r="641" spans="2:27" x14ac:dyDescent="0.2">
      <c r="B641" s="2">
        <v>639</v>
      </c>
      <c r="C641" s="2" t="str">
        <f t="shared" si="223"/>
        <v>c</v>
      </c>
      <c r="D641" s="29" t="s">
        <v>140</v>
      </c>
      <c r="E641" s="29" t="s">
        <v>227</v>
      </c>
      <c r="F641" s="2" t="s">
        <v>229</v>
      </c>
      <c r="G641" s="2">
        <f t="shared" si="218"/>
        <v>7</v>
      </c>
      <c r="H641" s="2" t="str">
        <f t="shared" si="208"/>
        <v>--</v>
      </c>
      <c r="I641" s="38">
        <f t="shared" si="211"/>
        <v>0</v>
      </c>
      <c r="J641" s="33">
        <f t="shared" si="212"/>
        <v>246</v>
      </c>
      <c r="K641" s="33">
        <f t="shared" si="228"/>
        <v>0</v>
      </c>
      <c r="L641" s="33">
        <f t="shared" si="228"/>
        <v>0</v>
      </c>
      <c r="M641" s="33">
        <f t="shared" si="228"/>
        <v>0</v>
      </c>
      <c r="N641" s="33">
        <f t="shared" si="209"/>
        <v>0</v>
      </c>
      <c r="O641" s="33">
        <f t="shared" si="228"/>
        <v>0</v>
      </c>
      <c r="P641" s="33">
        <f t="shared" si="228"/>
        <v>0</v>
      </c>
      <c r="Q641" s="33">
        <f t="shared" si="228"/>
        <v>0</v>
      </c>
      <c r="R641" s="35">
        <f t="shared" si="213"/>
        <v>0</v>
      </c>
      <c r="S641" s="35">
        <f t="shared" si="214"/>
        <v>0</v>
      </c>
      <c r="T641" s="35">
        <f t="shared" si="215"/>
        <v>0</v>
      </c>
      <c r="U641" s="35">
        <f t="shared" si="210"/>
        <v>0</v>
      </c>
      <c r="V641" s="35">
        <f t="shared" si="229"/>
        <v>0</v>
      </c>
      <c r="W641" s="35">
        <f t="shared" si="229"/>
        <v>0</v>
      </c>
      <c r="X641" s="35">
        <f t="shared" si="229"/>
        <v>0</v>
      </c>
      <c r="Y641" s="35">
        <f t="shared" si="229"/>
        <v>0</v>
      </c>
      <c r="Z641" s="35">
        <f t="shared" si="229"/>
        <v>0</v>
      </c>
      <c r="AA641" s="35">
        <f t="shared" si="229"/>
        <v>0</v>
      </c>
    </row>
    <row r="642" spans="2:27" x14ac:dyDescent="0.2">
      <c r="B642" s="2">
        <v>640</v>
      </c>
      <c r="C642" s="2" t="str">
        <f t="shared" si="223"/>
        <v>c</v>
      </c>
      <c r="D642" s="29" t="s">
        <v>140</v>
      </c>
      <c r="E642" s="29" t="s">
        <v>227</v>
      </c>
      <c r="F642" s="2" t="s">
        <v>229</v>
      </c>
      <c r="G642" s="2">
        <f t="shared" si="218"/>
        <v>8</v>
      </c>
      <c r="H642" s="2" t="str">
        <f t="shared" si="208"/>
        <v>--</v>
      </c>
      <c r="I642" s="38">
        <f t="shared" si="211"/>
        <v>0</v>
      </c>
      <c r="J642" s="33">
        <f t="shared" si="212"/>
        <v>282</v>
      </c>
      <c r="K642" s="33">
        <f t="shared" si="228"/>
        <v>0</v>
      </c>
      <c r="L642" s="33">
        <f t="shared" si="228"/>
        <v>0</v>
      </c>
      <c r="M642" s="33">
        <f t="shared" si="228"/>
        <v>0</v>
      </c>
      <c r="N642" s="33">
        <f t="shared" si="209"/>
        <v>0</v>
      </c>
      <c r="O642" s="33">
        <f t="shared" si="228"/>
        <v>0</v>
      </c>
      <c r="P642" s="33">
        <f t="shared" si="228"/>
        <v>0</v>
      </c>
      <c r="Q642" s="33">
        <f t="shared" si="228"/>
        <v>0</v>
      </c>
      <c r="R642" s="35">
        <f t="shared" si="213"/>
        <v>0</v>
      </c>
      <c r="S642" s="35">
        <f t="shared" si="214"/>
        <v>0</v>
      </c>
      <c r="T642" s="35">
        <f t="shared" si="215"/>
        <v>0</v>
      </c>
      <c r="U642" s="35">
        <f t="shared" si="210"/>
        <v>0</v>
      </c>
      <c r="V642" s="35">
        <f t="shared" si="229"/>
        <v>0</v>
      </c>
      <c r="W642" s="35">
        <f t="shared" si="229"/>
        <v>0</v>
      </c>
      <c r="X642" s="35">
        <f t="shared" si="229"/>
        <v>0</v>
      </c>
      <c r="Y642" s="35">
        <f t="shared" si="229"/>
        <v>0</v>
      </c>
      <c r="Z642" s="35">
        <f t="shared" si="229"/>
        <v>0</v>
      </c>
      <c r="AA642" s="35">
        <f t="shared" si="229"/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B642"/>
  <sheetViews>
    <sheetView workbookViewId="0">
      <pane ySplit="2" topLeftCell="A3" activePane="bottomLeft" state="frozen"/>
      <selection pane="bottomLeft" activeCell="J1" sqref="J1"/>
    </sheetView>
  </sheetViews>
  <sheetFormatPr defaultRowHeight="12.75" x14ac:dyDescent="0.2"/>
  <cols>
    <col min="1" max="3" width="9" style="32"/>
    <col min="4" max="4" width="4.875" style="32" customWidth="1"/>
    <col min="5" max="8" width="9" style="32"/>
    <col min="9" max="9" width="9" style="36"/>
    <col min="10" max="17" width="9" style="32"/>
    <col min="18" max="27" width="9" style="36"/>
    <col min="28" max="28" width="19.25" style="32" bestFit="1" customWidth="1"/>
    <col min="29" max="16384" width="9" style="32"/>
  </cols>
  <sheetData>
    <row r="1" spans="2:28" x14ac:dyDescent="0.2">
      <c r="J1" s="32">
        <f t="shared" ref="J1:R1" si="0">MAX(J3:J642)</f>
        <v>227</v>
      </c>
      <c r="K1" s="32">
        <f t="shared" si="0"/>
        <v>329</v>
      </c>
      <c r="L1" s="32">
        <f t="shared" si="0"/>
        <v>60</v>
      </c>
      <c r="M1" s="32">
        <f t="shared" si="0"/>
        <v>230</v>
      </c>
      <c r="N1" s="32">
        <f t="shared" si="0"/>
        <v>202</v>
      </c>
      <c r="O1" s="32">
        <f t="shared" si="0"/>
        <v>199</v>
      </c>
      <c r="P1" s="36">
        <f t="shared" si="0"/>
        <v>101</v>
      </c>
      <c r="Q1" s="36">
        <f t="shared" si="0"/>
        <v>101</v>
      </c>
      <c r="R1" s="36">
        <f t="shared" si="0"/>
        <v>0.20199999999999999</v>
      </c>
      <c r="S1" s="36">
        <f>MAX(S3:S642)</f>
        <v>0.20199999999999999</v>
      </c>
      <c r="T1" s="36">
        <f>MAX(T3:T642)</f>
        <v>0.12625</v>
      </c>
      <c r="U1" s="36">
        <f>MAX(U3:U642)</f>
        <v>0.27797833935018046</v>
      </c>
      <c r="V1" s="36">
        <f t="shared" ref="V1:AA1" si="1">MAX(V3:V642)</f>
        <v>0.57983193277310918</v>
      </c>
      <c r="W1" s="36">
        <f t="shared" si="1"/>
        <v>0.53488372093023262</v>
      </c>
      <c r="X1" s="36">
        <f t="shared" si="1"/>
        <v>0.53488372093023262</v>
      </c>
      <c r="Y1" s="36">
        <f t="shared" si="1"/>
        <v>0.57983193277310918</v>
      </c>
      <c r="Z1" s="36">
        <f t="shared" si="1"/>
        <v>0.53488372093023262</v>
      </c>
      <c r="AA1" s="36">
        <f t="shared" si="1"/>
        <v>0.53488372093023262</v>
      </c>
    </row>
    <row r="2" spans="2:28" x14ac:dyDescent="0.2">
      <c r="B2" s="30" t="s">
        <v>230</v>
      </c>
      <c r="C2" s="30" t="s">
        <v>186</v>
      </c>
      <c r="D2" s="30" t="s">
        <v>187</v>
      </c>
      <c r="E2" s="30" t="s">
        <v>188</v>
      </c>
      <c r="F2" s="30" t="s">
        <v>189</v>
      </c>
      <c r="G2" s="30" t="s">
        <v>190</v>
      </c>
      <c r="H2" s="30" t="s">
        <v>191</v>
      </c>
      <c r="I2" s="34" t="s">
        <v>192</v>
      </c>
      <c r="J2" s="31" t="s">
        <v>231</v>
      </c>
      <c r="K2" s="30" t="s">
        <v>43</v>
      </c>
      <c r="L2" s="30" t="s">
        <v>12</v>
      </c>
      <c r="M2" s="31" t="s">
        <v>232</v>
      </c>
      <c r="N2" s="30" t="s">
        <v>195</v>
      </c>
      <c r="O2" s="30" t="s">
        <v>196</v>
      </c>
      <c r="P2" s="30" t="s">
        <v>197</v>
      </c>
      <c r="Q2" s="30" t="s">
        <v>198</v>
      </c>
      <c r="R2" s="34" t="s">
        <v>199</v>
      </c>
      <c r="S2" s="34" t="s">
        <v>200</v>
      </c>
      <c r="T2" s="34" t="s">
        <v>201</v>
      </c>
      <c r="U2" s="37" t="s">
        <v>202</v>
      </c>
      <c r="V2" s="37" t="s">
        <v>203</v>
      </c>
      <c r="W2" s="37" t="s">
        <v>204</v>
      </c>
      <c r="X2" s="37" t="s">
        <v>205</v>
      </c>
      <c r="Y2" s="37" t="s">
        <v>206</v>
      </c>
      <c r="Z2" s="37" t="s">
        <v>207</v>
      </c>
      <c r="AA2" s="37" t="s">
        <v>208</v>
      </c>
    </row>
    <row r="3" spans="2:28" x14ac:dyDescent="0.2">
      <c r="B3" s="2">
        <v>1</v>
      </c>
      <c r="C3" s="2" t="s">
        <v>113</v>
      </c>
      <c r="D3" s="29" t="s">
        <v>1</v>
      </c>
      <c r="E3" s="29" t="s">
        <v>209</v>
      </c>
      <c r="F3" s="2" t="s">
        <v>210</v>
      </c>
      <c r="G3" s="2">
        <v>1</v>
      </c>
      <c r="H3" s="2" t="str">
        <f t="shared" ref="H3:H66" si="2">IF(C3="c","--",VLOOKUP(F3,role_property_weight,17,FALSE))</f>
        <v>地脉</v>
      </c>
      <c r="I3" s="38">
        <f>IF(H3="--",0,IF((SUM(J3:Q3)/35)%&lt;8%,8%,(SUM(J3:Q3)/35)%))</f>
        <v>0.08</v>
      </c>
      <c r="J3" s="33">
        <f t="shared" ref="J3:J12" si="3">INT((1+VLOOKUP($F3,role_property_weight,getpos(J$2),FALSE))*(1+VLOOKUP($F3,drop_property_weight,getpos(J$2),FALSE))*VLOOKUP($E3,role_grow,getpos(J$2),FALSE)*$G3*10*VLOOKUP($C3,drop_grow1,4,FALSE))</f>
        <v>16</v>
      </c>
      <c r="K3" s="33">
        <f t="shared" ref="K3:Q12" si="4">INT((1+VLOOKUP($F3,role_property_weight,getpos(K$2),FALSE))*(1+VLOOKUP($F3,drop_property_weight,getpos(K$2),FALSE))*VLOOKUP($E3,role_grow,getpos(K$2),FALSE)*$G3*10*VLOOKUP($C3,drop_grow1,5,FALSE))</f>
        <v>17</v>
      </c>
      <c r="L3" s="33">
        <f t="shared" si="4"/>
        <v>1</v>
      </c>
      <c r="M3" s="33">
        <f t="shared" si="4"/>
        <v>10</v>
      </c>
      <c r="N3" s="33">
        <f t="shared" si="4"/>
        <v>1</v>
      </c>
      <c r="O3" s="33">
        <f t="shared" si="4"/>
        <v>6</v>
      </c>
      <c r="P3" s="33">
        <f t="shared" si="4"/>
        <v>2</v>
      </c>
      <c r="Q3" s="33">
        <f t="shared" si="4"/>
        <v>4</v>
      </c>
      <c r="R3" s="35">
        <f>(Q3/5)%</f>
        <v>8.0000000000000002E-3</v>
      </c>
      <c r="S3" s="35">
        <f>(P3/5)%</f>
        <v>4.0000000000000001E-3</v>
      </c>
      <c r="T3" s="35">
        <f>(Q3/8)%</f>
        <v>5.0000000000000001E-3</v>
      </c>
      <c r="U3" s="35">
        <f t="shared" ref="U3:AA12" si="5">1-200/(200+ROUND((1+VLOOKUP($F3,role_property_weight,getpos(U$2),FALSE))*VLOOKUP($E3,role_grow,getpos(U$2),FALSE)*$G3*10*VLOOKUP($C3,drop_grow1,5,FALSE),0))</f>
        <v>9.9009900990099098E-3</v>
      </c>
      <c r="V3" s="35">
        <f t="shared" si="5"/>
        <v>6.5420560747663559E-2</v>
      </c>
      <c r="W3" s="35">
        <f t="shared" si="5"/>
        <v>9.9009900990099098E-3</v>
      </c>
      <c r="X3" s="35">
        <f t="shared" si="5"/>
        <v>9.9009900990099098E-3</v>
      </c>
      <c r="Y3" s="35">
        <f t="shared" si="5"/>
        <v>9.9009900990099098E-3</v>
      </c>
      <c r="Z3" s="35">
        <f t="shared" si="5"/>
        <v>9.9009900990099098E-3</v>
      </c>
      <c r="AA3" s="35">
        <f t="shared" si="5"/>
        <v>9.9009900990099098E-3</v>
      </c>
      <c r="AB3" s="36"/>
    </row>
    <row r="4" spans="2:28" x14ac:dyDescent="0.2">
      <c r="B4" s="2">
        <v>2</v>
      </c>
      <c r="C4" s="2" t="s">
        <v>113</v>
      </c>
      <c r="D4" s="29" t="s">
        <v>1</v>
      </c>
      <c r="E4" s="29" t="s">
        <v>209</v>
      </c>
      <c r="F4" s="2" t="s">
        <v>210</v>
      </c>
      <c r="G4" s="2">
        <v>2</v>
      </c>
      <c r="H4" s="2" t="str">
        <f t="shared" si="2"/>
        <v>地脉</v>
      </c>
      <c r="I4" s="38">
        <f t="shared" ref="I4:I67" si="6">IF(H4="--",0,IF((SUM(J4:Q4)/35)%&lt;8%,8%,(SUM(J4:Q4)/35)%))</f>
        <v>0.08</v>
      </c>
      <c r="J4" s="33">
        <f t="shared" si="3"/>
        <v>32</v>
      </c>
      <c r="K4" s="33">
        <f t="shared" si="4"/>
        <v>34</v>
      </c>
      <c r="L4" s="33">
        <f t="shared" si="4"/>
        <v>2</v>
      </c>
      <c r="M4" s="33">
        <f t="shared" si="4"/>
        <v>21</v>
      </c>
      <c r="N4" s="33">
        <f t="shared" si="4"/>
        <v>3</v>
      </c>
      <c r="O4" s="33">
        <f t="shared" si="4"/>
        <v>13</v>
      </c>
      <c r="P4" s="33">
        <f t="shared" si="4"/>
        <v>5</v>
      </c>
      <c r="Q4" s="33">
        <f t="shared" si="4"/>
        <v>8</v>
      </c>
      <c r="R4" s="35">
        <f t="shared" ref="R4:R67" si="7">(Q4/5)%</f>
        <v>1.6E-2</v>
      </c>
      <c r="S4" s="35">
        <f t="shared" ref="S4:S67" si="8">(P4/5)%</f>
        <v>0.01</v>
      </c>
      <c r="T4" s="35">
        <f t="shared" ref="T4:T67" si="9">(Q4/8)%</f>
        <v>0.01</v>
      </c>
      <c r="U4" s="35">
        <f t="shared" si="5"/>
        <v>2.4390243902439046E-2</v>
      </c>
      <c r="V4" s="35">
        <f t="shared" si="5"/>
        <v>0.1266375545851528</v>
      </c>
      <c r="W4" s="35">
        <f t="shared" si="5"/>
        <v>2.4390243902439046E-2</v>
      </c>
      <c r="X4" s="35">
        <f t="shared" si="5"/>
        <v>2.4390243902439046E-2</v>
      </c>
      <c r="Y4" s="35">
        <f t="shared" si="5"/>
        <v>2.4390243902439046E-2</v>
      </c>
      <c r="Z4" s="35">
        <f t="shared" si="5"/>
        <v>2.4390243902439046E-2</v>
      </c>
      <c r="AA4" s="35">
        <f t="shared" si="5"/>
        <v>2.4390243902439046E-2</v>
      </c>
    </row>
    <row r="5" spans="2:28" x14ac:dyDescent="0.2">
      <c r="B5" s="2">
        <v>3</v>
      </c>
      <c r="C5" s="2" t="s">
        <v>113</v>
      </c>
      <c r="D5" s="29" t="s">
        <v>1</v>
      </c>
      <c r="E5" s="29" t="s">
        <v>209</v>
      </c>
      <c r="F5" s="2" t="s">
        <v>210</v>
      </c>
      <c r="G5" s="2">
        <v>3</v>
      </c>
      <c r="H5" s="2" t="str">
        <f t="shared" si="2"/>
        <v>地脉</v>
      </c>
      <c r="I5" s="38">
        <f t="shared" si="6"/>
        <v>0.08</v>
      </c>
      <c r="J5" s="33">
        <f t="shared" si="3"/>
        <v>48</v>
      </c>
      <c r="K5" s="33">
        <f t="shared" si="4"/>
        <v>51</v>
      </c>
      <c r="L5" s="33">
        <f t="shared" si="4"/>
        <v>3</v>
      </c>
      <c r="M5" s="33">
        <f t="shared" si="4"/>
        <v>31</v>
      </c>
      <c r="N5" s="33">
        <f t="shared" si="4"/>
        <v>5</v>
      </c>
      <c r="O5" s="33">
        <f t="shared" si="4"/>
        <v>20</v>
      </c>
      <c r="P5" s="33">
        <f t="shared" si="4"/>
        <v>8</v>
      </c>
      <c r="Q5" s="33">
        <f t="shared" si="4"/>
        <v>12</v>
      </c>
      <c r="R5" s="35">
        <f t="shared" si="7"/>
        <v>2.4E-2</v>
      </c>
      <c r="S5" s="35">
        <f t="shared" si="8"/>
        <v>1.6E-2</v>
      </c>
      <c r="T5" s="35">
        <f t="shared" si="9"/>
        <v>1.4999999999999999E-2</v>
      </c>
      <c r="U5" s="35">
        <f t="shared" si="5"/>
        <v>3.3816425120772986E-2</v>
      </c>
      <c r="V5" s="35">
        <f t="shared" si="5"/>
        <v>0.17695473251028804</v>
      </c>
      <c r="W5" s="35">
        <f t="shared" si="5"/>
        <v>3.3816425120772986E-2</v>
      </c>
      <c r="X5" s="35">
        <f t="shared" si="5"/>
        <v>3.3816425120772986E-2</v>
      </c>
      <c r="Y5" s="35">
        <f t="shared" si="5"/>
        <v>3.3816425120772986E-2</v>
      </c>
      <c r="Z5" s="35">
        <f t="shared" si="5"/>
        <v>3.3816425120772986E-2</v>
      </c>
      <c r="AA5" s="35">
        <f t="shared" si="5"/>
        <v>3.3816425120772986E-2</v>
      </c>
    </row>
    <row r="6" spans="2:28" x14ac:dyDescent="0.2">
      <c r="B6" s="2">
        <v>4</v>
      </c>
      <c r="C6" s="2" t="s">
        <v>113</v>
      </c>
      <c r="D6" s="29" t="s">
        <v>1</v>
      </c>
      <c r="E6" s="29" t="s">
        <v>209</v>
      </c>
      <c r="F6" s="2" t="s">
        <v>210</v>
      </c>
      <c r="G6" s="2">
        <v>4</v>
      </c>
      <c r="H6" s="2" t="str">
        <f t="shared" si="2"/>
        <v>地脉</v>
      </c>
      <c r="I6" s="38">
        <f t="shared" si="6"/>
        <v>0.08</v>
      </c>
      <c r="J6" s="33">
        <f t="shared" si="3"/>
        <v>64</v>
      </c>
      <c r="K6" s="33">
        <f t="shared" si="4"/>
        <v>68</v>
      </c>
      <c r="L6" s="33">
        <f t="shared" si="4"/>
        <v>4</v>
      </c>
      <c r="M6" s="33">
        <f t="shared" si="4"/>
        <v>42</v>
      </c>
      <c r="N6" s="33">
        <f t="shared" si="4"/>
        <v>7</v>
      </c>
      <c r="O6" s="33">
        <f t="shared" si="4"/>
        <v>26</v>
      </c>
      <c r="P6" s="33">
        <f t="shared" si="4"/>
        <v>11</v>
      </c>
      <c r="Q6" s="33">
        <f t="shared" si="4"/>
        <v>17</v>
      </c>
      <c r="R6" s="35">
        <f t="shared" si="7"/>
        <v>3.4000000000000002E-2</v>
      </c>
      <c r="S6" s="35">
        <f t="shared" si="8"/>
        <v>2.2000000000000002E-2</v>
      </c>
      <c r="T6" s="35">
        <f t="shared" si="9"/>
        <v>2.1250000000000002E-2</v>
      </c>
      <c r="U6" s="35">
        <f t="shared" si="5"/>
        <v>4.7619047619047672E-2</v>
      </c>
      <c r="V6" s="35">
        <f t="shared" si="5"/>
        <v>0.22480620155038755</v>
      </c>
      <c r="W6" s="35">
        <f t="shared" si="5"/>
        <v>4.7619047619047672E-2</v>
      </c>
      <c r="X6" s="35">
        <f t="shared" si="5"/>
        <v>4.7619047619047672E-2</v>
      </c>
      <c r="Y6" s="35">
        <f t="shared" si="5"/>
        <v>4.7619047619047672E-2</v>
      </c>
      <c r="Z6" s="35">
        <f t="shared" si="5"/>
        <v>4.7619047619047672E-2</v>
      </c>
      <c r="AA6" s="35">
        <f t="shared" si="5"/>
        <v>4.7619047619047672E-2</v>
      </c>
    </row>
    <row r="7" spans="2:28" x14ac:dyDescent="0.2">
      <c r="B7" s="2">
        <v>5</v>
      </c>
      <c r="C7" s="2" t="s">
        <v>113</v>
      </c>
      <c r="D7" s="29" t="s">
        <v>1</v>
      </c>
      <c r="E7" s="29" t="s">
        <v>209</v>
      </c>
      <c r="F7" s="2" t="s">
        <v>210</v>
      </c>
      <c r="G7" s="2">
        <v>5</v>
      </c>
      <c r="H7" s="2" t="str">
        <f t="shared" si="2"/>
        <v>地脉</v>
      </c>
      <c r="I7" s="38">
        <f t="shared" si="6"/>
        <v>8.5428571428571423E-2</v>
      </c>
      <c r="J7" s="33">
        <f t="shared" si="3"/>
        <v>80</v>
      </c>
      <c r="K7" s="33">
        <f t="shared" si="4"/>
        <v>85</v>
      </c>
      <c r="L7" s="33">
        <f t="shared" si="4"/>
        <v>5</v>
      </c>
      <c r="M7" s="33">
        <f t="shared" si="4"/>
        <v>52</v>
      </c>
      <c r="N7" s="33">
        <f t="shared" si="4"/>
        <v>9</v>
      </c>
      <c r="O7" s="33">
        <f t="shared" si="4"/>
        <v>33</v>
      </c>
      <c r="P7" s="33">
        <f t="shared" si="4"/>
        <v>14</v>
      </c>
      <c r="Q7" s="33">
        <f t="shared" si="4"/>
        <v>21</v>
      </c>
      <c r="R7" s="35">
        <f t="shared" si="7"/>
        <v>4.2000000000000003E-2</v>
      </c>
      <c r="S7" s="35">
        <f t="shared" si="8"/>
        <v>2.7999999999999997E-2</v>
      </c>
      <c r="T7" s="35">
        <f t="shared" si="9"/>
        <v>2.6249999999999999E-2</v>
      </c>
      <c r="U7" s="35">
        <f t="shared" si="5"/>
        <v>5.6603773584905648E-2</v>
      </c>
      <c r="V7" s="35">
        <f t="shared" si="5"/>
        <v>0.26470588235294112</v>
      </c>
      <c r="W7" s="35">
        <f t="shared" si="5"/>
        <v>5.6603773584905648E-2</v>
      </c>
      <c r="X7" s="35">
        <f t="shared" si="5"/>
        <v>5.6603773584905648E-2</v>
      </c>
      <c r="Y7" s="35">
        <f t="shared" si="5"/>
        <v>5.6603773584905648E-2</v>
      </c>
      <c r="Z7" s="35">
        <f t="shared" si="5"/>
        <v>5.6603773584905648E-2</v>
      </c>
      <c r="AA7" s="35">
        <f t="shared" si="5"/>
        <v>5.6603773584905648E-2</v>
      </c>
      <c r="AB7" s="42">
        <f>V1*2+武器表!V1</f>
        <v>1.6333480760725343</v>
      </c>
    </row>
    <row r="8" spans="2:28" x14ac:dyDescent="0.2">
      <c r="B8" s="2">
        <v>6</v>
      </c>
      <c r="C8" s="2" t="s">
        <v>113</v>
      </c>
      <c r="D8" s="29" t="s">
        <v>1</v>
      </c>
      <c r="E8" s="29" t="s">
        <v>209</v>
      </c>
      <c r="F8" s="2" t="s">
        <v>210</v>
      </c>
      <c r="G8" s="2">
        <v>6</v>
      </c>
      <c r="H8" s="2" t="str">
        <f t="shared" si="2"/>
        <v>地脉</v>
      </c>
      <c r="I8" s="38">
        <f t="shared" si="6"/>
        <v>0.10285714285714287</v>
      </c>
      <c r="J8" s="33">
        <f t="shared" si="3"/>
        <v>96</v>
      </c>
      <c r="K8" s="33">
        <f t="shared" si="4"/>
        <v>102</v>
      </c>
      <c r="L8" s="33">
        <f t="shared" si="4"/>
        <v>6</v>
      </c>
      <c r="M8" s="33">
        <f t="shared" si="4"/>
        <v>63</v>
      </c>
      <c r="N8" s="33">
        <f t="shared" si="4"/>
        <v>11</v>
      </c>
      <c r="O8" s="33">
        <f t="shared" si="4"/>
        <v>40</v>
      </c>
      <c r="P8" s="33">
        <f t="shared" si="4"/>
        <v>17</v>
      </c>
      <c r="Q8" s="33">
        <f t="shared" si="4"/>
        <v>25</v>
      </c>
      <c r="R8" s="35">
        <f t="shared" si="7"/>
        <v>0.05</v>
      </c>
      <c r="S8" s="35">
        <f t="shared" si="8"/>
        <v>3.4000000000000002E-2</v>
      </c>
      <c r="T8" s="35">
        <f t="shared" si="9"/>
        <v>3.125E-2</v>
      </c>
      <c r="U8" s="35">
        <f t="shared" si="5"/>
        <v>6.5420560747663559E-2</v>
      </c>
      <c r="V8" s="35">
        <f t="shared" si="5"/>
        <v>0.30069930069930073</v>
      </c>
      <c r="W8" s="35">
        <f t="shared" si="5"/>
        <v>6.5420560747663559E-2</v>
      </c>
      <c r="X8" s="35">
        <f t="shared" si="5"/>
        <v>6.5420560747663559E-2</v>
      </c>
      <c r="Y8" s="35">
        <f t="shared" si="5"/>
        <v>6.5420560747663559E-2</v>
      </c>
      <c r="Z8" s="35">
        <f t="shared" si="5"/>
        <v>6.5420560747663559E-2</v>
      </c>
      <c r="AA8" s="35">
        <f t="shared" si="5"/>
        <v>6.5420560747663559E-2</v>
      </c>
    </row>
    <row r="9" spans="2:28" x14ac:dyDescent="0.2">
      <c r="B9" s="2">
        <v>7</v>
      </c>
      <c r="C9" s="2" t="s">
        <v>113</v>
      </c>
      <c r="D9" s="29" t="s">
        <v>1</v>
      </c>
      <c r="E9" s="29" t="s">
        <v>209</v>
      </c>
      <c r="F9" s="2" t="s">
        <v>210</v>
      </c>
      <c r="G9" s="2">
        <v>7</v>
      </c>
      <c r="H9" s="2" t="str">
        <f t="shared" si="2"/>
        <v>地脉</v>
      </c>
      <c r="I9" s="38">
        <f t="shared" si="6"/>
        <v>0.12085714285714286</v>
      </c>
      <c r="J9" s="33">
        <f t="shared" si="3"/>
        <v>112</v>
      </c>
      <c r="K9" s="33">
        <f t="shared" si="4"/>
        <v>120</v>
      </c>
      <c r="L9" s="33">
        <f t="shared" si="4"/>
        <v>8</v>
      </c>
      <c r="M9" s="33">
        <f t="shared" si="4"/>
        <v>73</v>
      </c>
      <c r="N9" s="33">
        <f t="shared" si="4"/>
        <v>13</v>
      </c>
      <c r="O9" s="33">
        <f t="shared" si="4"/>
        <v>47</v>
      </c>
      <c r="P9" s="33">
        <f t="shared" si="4"/>
        <v>20</v>
      </c>
      <c r="Q9" s="33">
        <f t="shared" si="4"/>
        <v>30</v>
      </c>
      <c r="R9" s="35">
        <f t="shared" si="7"/>
        <v>0.06</v>
      </c>
      <c r="S9" s="35">
        <f t="shared" si="8"/>
        <v>0.04</v>
      </c>
      <c r="T9" s="35">
        <f t="shared" si="9"/>
        <v>3.7499999999999999E-2</v>
      </c>
      <c r="U9" s="35">
        <f t="shared" si="5"/>
        <v>7.8341013824884786E-2</v>
      </c>
      <c r="V9" s="35">
        <f t="shared" si="5"/>
        <v>0.33554817275747506</v>
      </c>
      <c r="W9" s="35">
        <f t="shared" si="5"/>
        <v>7.8341013824884786E-2</v>
      </c>
      <c r="X9" s="35">
        <f t="shared" si="5"/>
        <v>7.8341013824884786E-2</v>
      </c>
      <c r="Y9" s="35">
        <f t="shared" si="5"/>
        <v>7.8341013824884786E-2</v>
      </c>
      <c r="Z9" s="35">
        <f t="shared" si="5"/>
        <v>7.8341013824884786E-2</v>
      </c>
      <c r="AA9" s="35">
        <f t="shared" si="5"/>
        <v>7.8341013824884786E-2</v>
      </c>
    </row>
    <row r="10" spans="2:28" x14ac:dyDescent="0.2">
      <c r="B10" s="2">
        <v>8</v>
      </c>
      <c r="C10" s="2" t="s">
        <v>113</v>
      </c>
      <c r="D10" s="29" t="s">
        <v>1</v>
      </c>
      <c r="E10" s="29" t="s">
        <v>209</v>
      </c>
      <c r="F10" s="2" t="s">
        <v>210</v>
      </c>
      <c r="G10" s="2">
        <v>8</v>
      </c>
      <c r="H10" s="2" t="str">
        <f t="shared" si="2"/>
        <v>地脉</v>
      </c>
      <c r="I10" s="38">
        <f t="shared" si="6"/>
        <v>0.13800000000000001</v>
      </c>
      <c r="J10" s="33">
        <f t="shared" si="3"/>
        <v>128</v>
      </c>
      <c r="K10" s="33">
        <f t="shared" si="4"/>
        <v>137</v>
      </c>
      <c r="L10" s="33">
        <f t="shared" si="4"/>
        <v>9</v>
      </c>
      <c r="M10" s="33">
        <f t="shared" si="4"/>
        <v>84</v>
      </c>
      <c r="N10" s="33">
        <f t="shared" si="4"/>
        <v>15</v>
      </c>
      <c r="O10" s="33">
        <f t="shared" si="4"/>
        <v>53</v>
      </c>
      <c r="P10" s="33">
        <f t="shared" si="4"/>
        <v>23</v>
      </c>
      <c r="Q10" s="33">
        <f t="shared" si="4"/>
        <v>34</v>
      </c>
      <c r="R10" s="35">
        <f t="shared" si="7"/>
        <v>6.8000000000000005E-2</v>
      </c>
      <c r="S10" s="35">
        <f t="shared" si="8"/>
        <v>4.5999999999999999E-2</v>
      </c>
      <c r="T10" s="35">
        <f t="shared" si="9"/>
        <v>4.2500000000000003E-2</v>
      </c>
      <c r="U10" s="35">
        <f t="shared" si="5"/>
        <v>8.6757990867579959E-2</v>
      </c>
      <c r="V10" s="35">
        <f t="shared" si="5"/>
        <v>0.36507936507936511</v>
      </c>
      <c r="W10" s="35">
        <f t="shared" si="5"/>
        <v>8.6757990867579959E-2</v>
      </c>
      <c r="X10" s="35">
        <f t="shared" si="5"/>
        <v>8.6757990867579959E-2</v>
      </c>
      <c r="Y10" s="35">
        <f t="shared" si="5"/>
        <v>8.6757990867579959E-2</v>
      </c>
      <c r="Z10" s="35">
        <f t="shared" si="5"/>
        <v>8.6757990867579959E-2</v>
      </c>
      <c r="AA10" s="35">
        <f t="shared" si="5"/>
        <v>8.6757990867579959E-2</v>
      </c>
      <c r="AB10" s="42"/>
    </row>
    <row r="11" spans="2:28" x14ac:dyDescent="0.2">
      <c r="B11" s="2">
        <v>9</v>
      </c>
      <c r="C11" s="2" t="s">
        <v>114</v>
      </c>
      <c r="D11" s="29" t="s">
        <v>1</v>
      </c>
      <c r="E11" s="29" t="s">
        <v>209</v>
      </c>
      <c r="F11" s="2" t="s">
        <v>210</v>
      </c>
      <c r="G11" s="2">
        <f>G3</f>
        <v>1</v>
      </c>
      <c r="H11" s="2" t="str">
        <f t="shared" si="2"/>
        <v>地脉</v>
      </c>
      <c r="I11" s="38">
        <f t="shared" si="6"/>
        <v>0.08</v>
      </c>
      <c r="J11" s="33">
        <f t="shared" si="3"/>
        <v>12</v>
      </c>
      <c r="K11" s="33">
        <f t="shared" si="4"/>
        <v>19</v>
      </c>
      <c r="L11" s="33">
        <f t="shared" si="4"/>
        <v>1</v>
      </c>
      <c r="M11" s="33">
        <f t="shared" si="4"/>
        <v>11</v>
      </c>
      <c r="N11" s="33">
        <f t="shared" si="4"/>
        <v>2</v>
      </c>
      <c r="O11" s="33">
        <f t="shared" si="4"/>
        <v>7</v>
      </c>
      <c r="P11" s="33">
        <f t="shared" si="4"/>
        <v>3</v>
      </c>
      <c r="Q11" s="33">
        <f t="shared" si="4"/>
        <v>4</v>
      </c>
      <c r="R11" s="35">
        <f t="shared" si="7"/>
        <v>8.0000000000000002E-3</v>
      </c>
      <c r="S11" s="35">
        <f t="shared" si="8"/>
        <v>6.0000000000000001E-3</v>
      </c>
      <c r="T11" s="35">
        <f t="shared" si="9"/>
        <v>5.0000000000000001E-3</v>
      </c>
      <c r="U11" s="35">
        <f t="shared" si="5"/>
        <v>1.4778325123152691E-2</v>
      </c>
      <c r="V11" s="35">
        <f t="shared" si="5"/>
        <v>7.407407407407407E-2</v>
      </c>
      <c r="W11" s="35">
        <f t="shared" si="5"/>
        <v>1.4778325123152691E-2</v>
      </c>
      <c r="X11" s="35">
        <f t="shared" si="5"/>
        <v>1.4778325123152691E-2</v>
      </c>
      <c r="Y11" s="35">
        <f t="shared" si="5"/>
        <v>1.4778325123152691E-2</v>
      </c>
      <c r="Z11" s="35">
        <f t="shared" si="5"/>
        <v>1.4778325123152691E-2</v>
      </c>
      <c r="AA11" s="35">
        <f t="shared" si="5"/>
        <v>1.4778325123152691E-2</v>
      </c>
    </row>
    <row r="12" spans="2:28" x14ac:dyDescent="0.2">
      <c r="B12" s="2">
        <v>10</v>
      </c>
      <c r="C12" s="2" t="s">
        <v>114</v>
      </c>
      <c r="D12" s="29" t="s">
        <v>1</v>
      </c>
      <c r="E12" s="29" t="s">
        <v>209</v>
      </c>
      <c r="F12" s="2" t="s">
        <v>210</v>
      </c>
      <c r="G12" s="2">
        <f t="shared" ref="G12:G75" si="10">G4</f>
        <v>2</v>
      </c>
      <c r="H12" s="2" t="str">
        <f t="shared" si="2"/>
        <v>地脉</v>
      </c>
      <c r="I12" s="38">
        <f t="shared" si="6"/>
        <v>0.08</v>
      </c>
      <c r="J12" s="33">
        <f t="shared" si="3"/>
        <v>24</v>
      </c>
      <c r="K12" s="33">
        <f t="shared" si="4"/>
        <v>38</v>
      </c>
      <c r="L12" s="33">
        <f t="shared" si="4"/>
        <v>2</v>
      </c>
      <c r="M12" s="33">
        <f t="shared" si="4"/>
        <v>23</v>
      </c>
      <c r="N12" s="33">
        <f t="shared" si="4"/>
        <v>4</v>
      </c>
      <c r="O12" s="33">
        <f t="shared" si="4"/>
        <v>14</v>
      </c>
      <c r="P12" s="33">
        <f t="shared" si="4"/>
        <v>6</v>
      </c>
      <c r="Q12" s="33">
        <f t="shared" si="4"/>
        <v>9</v>
      </c>
      <c r="R12" s="35">
        <f t="shared" si="7"/>
        <v>1.8000000000000002E-2</v>
      </c>
      <c r="S12" s="35">
        <f t="shared" si="8"/>
        <v>1.2E-2</v>
      </c>
      <c r="T12" s="35">
        <f t="shared" si="9"/>
        <v>1.125E-2</v>
      </c>
      <c r="U12" s="35">
        <f t="shared" si="5"/>
        <v>2.4390243902439046E-2</v>
      </c>
      <c r="V12" s="35">
        <f t="shared" si="5"/>
        <v>0.13793103448275867</v>
      </c>
      <c r="W12" s="35">
        <f t="shared" si="5"/>
        <v>2.4390243902439046E-2</v>
      </c>
      <c r="X12" s="35">
        <f t="shared" si="5"/>
        <v>2.4390243902439046E-2</v>
      </c>
      <c r="Y12" s="35">
        <f t="shared" si="5"/>
        <v>2.4390243902439046E-2</v>
      </c>
      <c r="Z12" s="35">
        <f t="shared" si="5"/>
        <v>2.4390243902439046E-2</v>
      </c>
      <c r="AA12" s="35">
        <f t="shared" si="5"/>
        <v>2.4390243902439046E-2</v>
      </c>
    </row>
    <row r="13" spans="2:28" x14ac:dyDescent="0.2">
      <c r="B13" s="2">
        <v>11</v>
      </c>
      <c r="C13" s="2" t="s">
        <v>114</v>
      </c>
      <c r="D13" s="29" t="s">
        <v>1</v>
      </c>
      <c r="E13" s="29" t="s">
        <v>209</v>
      </c>
      <c r="F13" s="2" t="s">
        <v>210</v>
      </c>
      <c r="G13" s="2">
        <f t="shared" si="10"/>
        <v>3</v>
      </c>
      <c r="H13" s="2" t="str">
        <f t="shared" si="2"/>
        <v>地脉</v>
      </c>
      <c r="I13" s="38">
        <f t="shared" si="6"/>
        <v>0.08</v>
      </c>
      <c r="J13" s="33">
        <f t="shared" ref="J13:J22" si="11">INT((1+VLOOKUP($F13,role_property_weight,getpos(J$2),FALSE))*(1+VLOOKUP($F13,drop_property_weight,getpos(J$2),FALSE))*VLOOKUP($E13,role_grow,getpos(J$2),FALSE)*$G13*10*VLOOKUP($C13,drop_grow1,4,FALSE))</f>
        <v>36</v>
      </c>
      <c r="K13" s="33">
        <f t="shared" ref="K13:Q22" si="12">INT((1+VLOOKUP($F13,role_property_weight,getpos(K$2),FALSE))*(1+VLOOKUP($F13,drop_property_weight,getpos(K$2),FALSE))*VLOOKUP($E13,role_grow,getpos(K$2),FALSE)*$G13*10*VLOOKUP($C13,drop_grow1,5,FALSE))</f>
        <v>57</v>
      </c>
      <c r="L13" s="33">
        <f t="shared" si="12"/>
        <v>3</v>
      </c>
      <c r="M13" s="33">
        <f t="shared" si="12"/>
        <v>35</v>
      </c>
      <c r="N13" s="33">
        <f t="shared" si="12"/>
        <v>6</v>
      </c>
      <c r="O13" s="33">
        <f t="shared" si="12"/>
        <v>22</v>
      </c>
      <c r="P13" s="33">
        <f t="shared" si="12"/>
        <v>9</v>
      </c>
      <c r="Q13" s="33">
        <f t="shared" si="12"/>
        <v>14</v>
      </c>
      <c r="R13" s="35">
        <f t="shared" si="7"/>
        <v>2.7999999999999997E-2</v>
      </c>
      <c r="S13" s="35">
        <f t="shared" si="8"/>
        <v>1.8000000000000002E-2</v>
      </c>
      <c r="T13" s="35">
        <f t="shared" si="9"/>
        <v>1.7500000000000002E-2</v>
      </c>
      <c r="U13" s="35">
        <f t="shared" ref="U13:AA22" si="13">1-200/(200+ROUND((1+VLOOKUP($F13,role_property_weight,getpos(U$2),FALSE))*VLOOKUP($E13,role_grow,getpos(U$2),FALSE)*$G13*10*VLOOKUP($C13,drop_grow1,5,FALSE),0))</f>
        <v>3.8461538461538436E-2</v>
      </c>
      <c r="V13" s="35">
        <f t="shared" si="13"/>
        <v>0.19354838709677424</v>
      </c>
      <c r="W13" s="35">
        <f t="shared" si="13"/>
        <v>3.8461538461538436E-2</v>
      </c>
      <c r="X13" s="35">
        <f t="shared" si="13"/>
        <v>3.8461538461538436E-2</v>
      </c>
      <c r="Y13" s="35">
        <f t="shared" si="13"/>
        <v>3.8461538461538436E-2</v>
      </c>
      <c r="Z13" s="35">
        <f t="shared" si="13"/>
        <v>3.8461538461538436E-2</v>
      </c>
      <c r="AA13" s="35">
        <f t="shared" si="13"/>
        <v>3.8461538461538436E-2</v>
      </c>
    </row>
    <row r="14" spans="2:28" x14ac:dyDescent="0.2">
      <c r="B14" s="2">
        <v>12</v>
      </c>
      <c r="C14" s="2" t="s">
        <v>114</v>
      </c>
      <c r="D14" s="29" t="s">
        <v>1</v>
      </c>
      <c r="E14" s="29" t="s">
        <v>209</v>
      </c>
      <c r="F14" s="2" t="s">
        <v>210</v>
      </c>
      <c r="G14" s="2">
        <f t="shared" si="10"/>
        <v>4</v>
      </c>
      <c r="H14" s="2" t="str">
        <f t="shared" si="2"/>
        <v>地脉</v>
      </c>
      <c r="I14" s="38">
        <f t="shared" si="6"/>
        <v>0.08</v>
      </c>
      <c r="J14" s="33">
        <f t="shared" si="11"/>
        <v>48</v>
      </c>
      <c r="K14" s="33">
        <f t="shared" si="12"/>
        <v>76</v>
      </c>
      <c r="L14" s="33">
        <f t="shared" si="12"/>
        <v>5</v>
      </c>
      <c r="M14" s="33">
        <f t="shared" si="12"/>
        <v>46</v>
      </c>
      <c r="N14" s="33">
        <f t="shared" si="12"/>
        <v>8</v>
      </c>
      <c r="O14" s="33">
        <f t="shared" si="12"/>
        <v>29</v>
      </c>
      <c r="P14" s="33">
        <f t="shared" si="12"/>
        <v>12</v>
      </c>
      <c r="Q14" s="33">
        <f t="shared" si="12"/>
        <v>19</v>
      </c>
      <c r="R14" s="35">
        <f t="shared" si="7"/>
        <v>3.7999999999999999E-2</v>
      </c>
      <c r="S14" s="35">
        <f t="shared" si="8"/>
        <v>2.4E-2</v>
      </c>
      <c r="T14" s="35">
        <f t="shared" si="9"/>
        <v>2.375E-2</v>
      </c>
      <c r="U14" s="35">
        <f t="shared" si="13"/>
        <v>5.2132701421800931E-2</v>
      </c>
      <c r="V14" s="35">
        <f t="shared" si="13"/>
        <v>0.24242424242424243</v>
      </c>
      <c r="W14" s="35">
        <f t="shared" si="13"/>
        <v>5.2132701421800931E-2</v>
      </c>
      <c r="X14" s="35">
        <f t="shared" si="13"/>
        <v>5.2132701421800931E-2</v>
      </c>
      <c r="Y14" s="35">
        <f t="shared" si="13"/>
        <v>5.2132701421800931E-2</v>
      </c>
      <c r="Z14" s="35">
        <f t="shared" si="13"/>
        <v>5.2132701421800931E-2</v>
      </c>
      <c r="AA14" s="35">
        <f t="shared" si="13"/>
        <v>5.2132701421800931E-2</v>
      </c>
    </row>
    <row r="15" spans="2:28" x14ac:dyDescent="0.2">
      <c r="B15" s="2">
        <v>13</v>
      </c>
      <c r="C15" s="2" t="s">
        <v>114</v>
      </c>
      <c r="D15" s="29" t="s">
        <v>1</v>
      </c>
      <c r="E15" s="29" t="s">
        <v>209</v>
      </c>
      <c r="F15" s="2" t="s">
        <v>210</v>
      </c>
      <c r="G15" s="2">
        <f t="shared" si="10"/>
        <v>5</v>
      </c>
      <c r="H15" s="2" t="str">
        <f t="shared" si="2"/>
        <v>地脉</v>
      </c>
      <c r="I15" s="38">
        <f t="shared" si="6"/>
        <v>8.7428571428571425E-2</v>
      </c>
      <c r="J15" s="33">
        <f t="shared" si="11"/>
        <v>60</v>
      </c>
      <c r="K15" s="33">
        <f t="shared" si="12"/>
        <v>95</v>
      </c>
      <c r="L15" s="33">
        <f t="shared" si="12"/>
        <v>6</v>
      </c>
      <c r="M15" s="33">
        <f t="shared" si="12"/>
        <v>58</v>
      </c>
      <c r="N15" s="33">
        <f t="shared" si="12"/>
        <v>10</v>
      </c>
      <c r="O15" s="33">
        <f t="shared" si="12"/>
        <v>37</v>
      </c>
      <c r="P15" s="33">
        <f t="shared" si="12"/>
        <v>16</v>
      </c>
      <c r="Q15" s="33">
        <f t="shared" si="12"/>
        <v>24</v>
      </c>
      <c r="R15" s="35">
        <f t="shared" si="7"/>
        <v>4.8000000000000001E-2</v>
      </c>
      <c r="S15" s="35">
        <f t="shared" si="8"/>
        <v>3.2000000000000001E-2</v>
      </c>
      <c r="T15" s="35">
        <f t="shared" si="9"/>
        <v>0.03</v>
      </c>
      <c r="U15" s="35">
        <f t="shared" si="13"/>
        <v>6.1032863849765251E-2</v>
      </c>
      <c r="V15" s="35">
        <f t="shared" si="13"/>
        <v>0.2857142857142857</v>
      </c>
      <c r="W15" s="35">
        <f t="shared" si="13"/>
        <v>6.1032863849765251E-2</v>
      </c>
      <c r="X15" s="35">
        <f t="shared" si="13"/>
        <v>6.1032863849765251E-2</v>
      </c>
      <c r="Y15" s="35">
        <f t="shared" si="13"/>
        <v>6.1032863849765251E-2</v>
      </c>
      <c r="Z15" s="35">
        <f t="shared" si="13"/>
        <v>6.1032863849765251E-2</v>
      </c>
      <c r="AA15" s="35">
        <f t="shared" si="13"/>
        <v>6.1032863849765251E-2</v>
      </c>
    </row>
    <row r="16" spans="2:28" x14ac:dyDescent="0.2">
      <c r="B16" s="2">
        <v>14</v>
      </c>
      <c r="C16" s="2" t="s">
        <v>114</v>
      </c>
      <c r="D16" s="29" t="s">
        <v>1</v>
      </c>
      <c r="E16" s="29" t="s">
        <v>209</v>
      </c>
      <c r="F16" s="2" t="s">
        <v>210</v>
      </c>
      <c r="G16" s="2">
        <f t="shared" si="10"/>
        <v>6</v>
      </c>
      <c r="H16" s="2" t="str">
        <f t="shared" si="2"/>
        <v>地脉</v>
      </c>
      <c r="I16" s="38">
        <f t="shared" si="6"/>
        <v>0.10457142857142858</v>
      </c>
      <c r="J16" s="33">
        <f t="shared" si="11"/>
        <v>72</v>
      </c>
      <c r="K16" s="33">
        <f t="shared" si="12"/>
        <v>114</v>
      </c>
      <c r="L16" s="33">
        <f t="shared" si="12"/>
        <v>7</v>
      </c>
      <c r="M16" s="33">
        <f t="shared" si="12"/>
        <v>70</v>
      </c>
      <c r="N16" s="33">
        <f t="shared" si="12"/>
        <v>12</v>
      </c>
      <c r="O16" s="33">
        <f t="shared" si="12"/>
        <v>44</v>
      </c>
      <c r="P16" s="33">
        <f t="shared" si="12"/>
        <v>19</v>
      </c>
      <c r="Q16" s="33">
        <f t="shared" si="12"/>
        <v>28</v>
      </c>
      <c r="R16" s="35">
        <f t="shared" si="7"/>
        <v>5.5999999999999994E-2</v>
      </c>
      <c r="S16" s="35">
        <f t="shared" si="8"/>
        <v>3.7999999999999999E-2</v>
      </c>
      <c r="T16" s="35">
        <f t="shared" si="9"/>
        <v>3.5000000000000003E-2</v>
      </c>
      <c r="U16" s="35">
        <f t="shared" si="13"/>
        <v>7.407407407407407E-2</v>
      </c>
      <c r="V16" s="35">
        <f t="shared" si="13"/>
        <v>0.32432432432432434</v>
      </c>
      <c r="W16" s="35">
        <f t="shared" si="13"/>
        <v>7.407407407407407E-2</v>
      </c>
      <c r="X16" s="35">
        <f t="shared" si="13"/>
        <v>7.407407407407407E-2</v>
      </c>
      <c r="Y16" s="35">
        <f t="shared" si="13"/>
        <v>7.407407407407407E-2</v>
      </c>
      <c r="Z16" s="35">
        <f t="shared" si="13"/>
        <v>7.407407407407407E-2</v>
      </c>
      <c r="AA16" s="35">
        <f t="shared" si="13"/>
        <v>7.407407407407407E-2</v>
      </c>
    </row>
    <row r="17" spans="2:27" x14ac:dyDescent="0.2">
      <c r="B17" s="2">
        <v>15</v>
      </c>
      <c r="C17" s="2" t="s">
        <v>114</v>
      </c>
      <c r="D17" s="29" t="s">
        <v>1</v>
      </c>
      <c r="E17" s="29" t="s">
        <v>209</v>
      </c>
      <c r="F17" s="2" t="s">
        <v>210</v>
      </c>
      <c r="G17" s="2">
        <f t="shared" si="10"/>
        <v>7</v>
      </c>
      <c r="H17" s="2" t="str">
        <f t="shared" si="2"/>
        <v>地脉</v>
      </c>
      <c r="I17" s="38">
        <f t="shared" si="6"/>
        <v>0.12228571428571428</v>
      </c>
      <c r="J17" s="33">
        <f t="shared" si="11"/>
        <v>84</v>
      </c>
      <c r="K17" s="33">
        <f t="shared" si="12"/>
        <v>133</v>
      </c>
      <c r="L17" s="33">
        <f t="shared" si="12"/>
        <v>8</v>
      </c>
      <c r="M17" s="33">
        <f t="shared" si="12"/>
        <v>82</v>
      </c>
      <c r="N17" s="33">
        <f t="shared" si="12"/>
        <v>14</v>
      </c>
      <c r="O17" s="33">
        <f t="shared" si="12"/>
        <v>52</v>
      </c>
      <c r="P17" s="33">
        <f t="shared" si="12"/>
        <v>22</v>
      </c>
      <c r="Q17" s="33">
        <f t="shared" si="12"/>
        <v>33</v>
      </c>
      <c r="R17" s="35">
        <f t="shared" si="7"/>
        <v>6.6000000000000003E-2</v>
      </c>
      <c r="S17" s="35">
        <f t="shared" si="8"/>
        <v>4.4000000000000004E-2</v>
      </c>
      <c r="T17" s="35">
        <f t="shared" si="9"/>
        <v>4.1250000000000002E-2</v>
      </c>
      <c r="U17" s="35">
        <f t="shared" si="13"/>
        <v>8.6757990867579959E-2</v>
      </c>
      <c r="V17" s="35">
        <f t="shared" si="13"/>
        <v>0.35897435897435892</v>
      </c>
      <c r="W17" s="35">
        <f t="shared" si="13"/>
        <v>8.6757990867579959E-2</v>
      </c>
      <c r="X17" s="35">
        <f t="shared" si="13"/>
        <v>8.6757990867579959E-2</v>
      </c>
      <c r="Y17" s="35">
        <f t="shared" si="13"/>
        <v>8.6757990867579959E-2</v>
      </c>
      <c r="Z17" s="35">
        <f t="shared" si="13"/>
        <v>8.6757990867579959E-2</v>
      </c>
      <c r="AA17" s="35">
        <f t="shared" si="13"/>
        <v>8.6757990867579959E-2</v>
      </c>
    </row>
    <row r="18" spans="2:27" x14ac:dyDescent="0.2">
      <c r="B18" s="2">
        <v>16</v>
      </c>
      <c r="C18" s="2" t="s">
        <v>114</v>
      </c>
      <c r="D18" s="29" t="s">
        <v>1</v>
      </c>
      <c r="E18" s="29" t="s">
        <v>209</v>
      </c>
      <c r="F18" s="2" t="s">
        <v>210</v>
      </c>
      <c r="G18" s="2">
        <f t="shared" si="10"/>
        <v>8</v>
      </c>
      <c r="H18" s="2" t="str">
        <f t="shared" si="2"/>
        <v>地脉</v>
      </c>
      <c r="I18" s="38">
        <f t="shared" si="6"/>
        <v>0.14000000000000001</v>
      </c>
      <c r="J18" s="33">
        <f t="shared" si="11"/>
        <v>96</v>
      </c>
      <c r="K18" s="33">
        <f t="shared" si="12"/>
        <v>152</v>
      </c>
      <c r="L18" s="33">
        <f t="shared" si="12"/>
        <v>10</v>
      </c>
      <c r="M18" s="33">
        <f t="shared" si="12"/>
        <v>93</v>
      </c>
      <c r="N18" s="33">
        <f t="shared" si="12"/>
        <v>17</v>
      </c>
      <c r="O18" s="33">
        <f t="shared" si="12"/>
        <v>59</v>
      </c>
      <c r="P18" s="33">
        <f t="shared" si="12"/>
        <v>25</v>
      </c>
      <c r="Q18" s="33">
        <f t="shared" si="12"/>
        <v>38</v>
      </c>
      <c r="R18" s="35">
        <f t="shared" si="7"/>
        <v>7.5999999999999998E-2</v>
      </c>
      <c r="S18" s="35">
        <f t="shared" si="8"/>
        <v>0.05</v>
      </c>
      <c r="T18" s="35">
        <f t="shared" si="9"/>
        <v>4.7500000000000001E-2</v>
      </c>
      <c r="U18" s="35">
        <f t="shared" si="13"/>
        <v>9.5022624434389136E-2</v>
      </c>
      <c r="V18" s="35">
        <f t="shared" si="13"/>
        <v>0.3902439024390244</v>
      </c>
      <c r="W18" s="35">
        <f t="shared" si="13"/>
        <v>9.5022624434389136E-2</v>
      </c>
      <c r="X18" s="35">
        <f t="shared" si="13"/>
        <v>9.5022624434389136E-2</v>
      </c>
      <c r="Y18" s="35">
        <f t="shared" si="13"/>
        <v>9.5022624434389136E-2</v>
      </c>
      <c r="Z18" s="35">
        <f t="shared" si="13"/>
        <v>9.5022624434389136E-2</v>
      </c>
      <c r="AA18" s="35">
        <f t="shared" si="13"/>
        <v>9.5022624434389136E-2</v>
      </c>
    </row>
    <row r="19" spans="2:27" x14ac:dyDescent="0.2">
      <c r="B19" s="2">
        <v>17</v>
      </c>
      <c r="C19" s="2" t="s">
        <v>115</v>
      </c>
      <c r="D19" s="29" t="s">
        <v>1</v>
      </c>
      <c r="E19" s="29" t="s">
        <v>209</v>
      </c>
      <c r="F19" s="2" t="s">
        <v>210</v>
      </c>
      <c r="G19" s="2">
        <f t="shared" si="10"/>
        <v>1</v>
      </c>
      <c r="H19" s="2" t="str">
        <f t="shared" si="2"/>
        <v>地脉</v>
      </c>
      <c r="I19" s="38">
        <f t="shared" si="6"/>
        <v>0.08</v>
      </c>
      <c r="J19" s="33">
        <f t="shared" si="11"/>
        <v>14</v>
      </c>
      <c r="K19" s="33">
        <f t="shared" si="12"/>
        <v>28</v>
      </c>
      <c r="L19" s="33">
        <f t="shared" si="12"/>
        <v>1</v>
      </c>
      <c r="M19" s="33">
        <f t="shared" si="12"/>
        <v>17</v>
      </c>
      <c r="N19" s="33">
        <f t="shared" si="12"/>
        <v>3</v>
      </c>
      <c r="O19" s="33">
        <f t="shared" si="12"/>
        <v>11</v>
      </c>
      <c r="P19" s="33">
        <f t="shared" si="12"/>
        <v>4</v>
      </c>
      <c r="Q19" s="33">
        <f t="shared" si="12"/>
        <v>7</v>
      </c>
      <c r="R19" s="35">
        <f t="shared" si="7"/>
        <v>1.3999999999999999E-2</v>
      </c>
      <c r="S19" s="35">
        <f t="shared" si="8"/>
        <v>8.0000000000000002E-3</v>
      </c>
      <c r="T19" s="35">
        <f t="shared" si="9"/>
        <v>8.7500000000000008E-3</v>
      </c>
      <c r="U19" s="35">
        <f t="shared" si="13"/>
        <v>1.9607843137254943E-2</v>
      </c>
      <c r="V19" s="35">
        <f t="shared" si="13"/>
        <v>0.1071428571428571</v>
      </c>
      <c r="W19" s="35">
        <f t="shared" si="13"/>
        <v>1.9607843137254943E-2</v>
      </c>
      <c r="X19" s="35">
        <f t="shared" si="13"/>
        <v>1.9607843137254943E-2</v>
      </c>
      <c r="Y19" s="35">
        <f t="shared" si="13"/>
        <v>1.9607843137254943E-2</v>
      </c>
      <c r="Z19" s="35">
        <f t="shared" si="13"/>
        <v>1.9607843137254943E-2</v>
      </c>
      <c r="AA19" s="35">
        <f t="shared" si="13"/>
        <v>1.9607843137254943E-2</v>
      </c>
    </row>
    <row r="20" spans="2:27" x14ac:dyDescent="0.2">
      <c r="B20" s="2">
        <v>18</v>
      </c>
      <c r="C20" s="2" t="s">
        <v>115</v>
      </c>
      <c r="D20" s="29" t="s">
        <v>1</v>
      </c>
      <c r="E20" s="29" t="s">
        <v>209</v>
      </c>
      <c r="F20" s="2" t="s">
        <v>210</v>
      </c>
      <c r="G20" s="2">
        <f t="shared" si="10"/>
        <v>2</v>
      </c>
      <c r="H20" s="2" t="str">
        <f t="shared" si="2"/>
        <v>地脉</v>
      </c>
      <c r="I20" s="38">
        <f t="shared" si="6"/>
        <v>0.08</v>
      </c>
      <c r="J20" s="33">
        <f t="shared" si="11"/>
        <v>28</v>
      </c>
      <c r="K20" s="33">
        <f t="shared" si="12"/>
        <v>57</v>
      </c>
      <c r="L20" s="33">
        <f t="shared" si="12"/>
        <v>3</v>
      </c>
      <c r="M20" s="33">
        <f t="shared" si="12"/>
        <v>35</v>
      </c>
      <c r="N20" s="33">
        <f t="shared" si="12"/>
        <v>6</v>
      </c>
      <c r="O20" s="33">
        <f t="shared" si="12"/>
        <v>22</v>
      </c>
      <c r="P20" s="33">
        <f t="shared" si="12"/>
        <v>9</v>
      </c>
      <c r="Q20" s="33">
        <f t="shared" si="12"/>
        <v>14</v>
      </c>
      <c r="R20" s="35">
        <f t="shared" si="7"/>
        <v>2.7999999999999997E-2</v>
      </c>
      <c r="S20" s="35">
        <f t="shared" si="8"/>
        <v>1.8000000000000002E-2</v>
      </c>
      <c r="T20" s="35">
        <f t="shared" si="9"/>
        <v>1.7500000000000002E-2</v>
      </c>
      <c r="U20" s="35">
        <f t="shared" si="13"/>
        <v>3.8461538461538436E-2</v>
      </c>
      <c r="V20" s="35">
        <f t="shared" si="13"/>
        <v>0.19354838709677424</v>
      </c>
      <c r="W20" s="35">
        <f t="shared" si="13"/>
        <v>3.8461538461538436E-2</v>
      </c>
      <c r="X20" s="35">
        <f t="shared" si="13"/>
        <v>3.8461538461538436E-2</v>
      </c>
      <c r="Y20" s="35">
        <f t="shared" si="13"/>
        <v>3.8461538461538436E-2</v>
      </c>
      <c r="Z20" s="35">
        <f t="shared" si="13"/>
        <v>3.8461538461538436E-2</v>
      </c>
      <c r="AA20" s="35">
        <f t="shared" si="13"/>
        <v>3.8461538461538436E-2</v>
      </c>
    </row>
    <row r="21" spans="2:27" x14ac:dyDescent="0.2">
      <c r="B21" s="2">
        <v>19</v>
      </c>
      <c r="C21" s="2" t="s">
        <v>115</v>
      </c>
      <c r="D21" s="29" t="s">
        <v>1</v>
      </c>
      <c r="E21" s="29" t="s">
        <v>209</v>
      </c>
      <c r="F21" s="2" t="s">
        <v>210</v>
      </c>
      <c r="G21" s="2">
        <f t="shared" si="10"/>
        <v>3</v>
      </c>
      <c r="H21" s="2" t="str">
        <f t="shared" si="2"/>
        <v>地脉</v>
      </c>
      <c r="I21" s="38">
        <f t="shared" si="6"/>
        <v>0.08</v>
      </c>
      <c r="J21" s="33">
        <f t="shared" si="11"/>
        <v>42</v>
      </c>
      <c r="K21" s="33">
        <f t="shared" si="12"/>
        <v>85</v>
      </c>
      <c r="L21" s="33">
        <f t="shared" si="12"/>
        <v>5</v>
      </c>
      <c r="M21" s="33">
        <f t="shared" si="12"/>
        <v>52</v>
      </c>
      <c r="N21" s="33">
        <f t="shared" si="12"/>
        <v>9</v>
      </c>
      <c r="O21" s="33">
        <f t="shared" si="12"/>
        <v>33</v>
      </c>
      <c r="P21" s="33">
        <f t="shared" si="12"/>
        <v>14</v>
      </c>
      <c r="Q21" s="33">
        <f t="shared" si="12"/>
        <v>21</v>
      </c>
      <c r="R21" s="35">
        <f t="shared" si="7"/>
        <v>4.2000000000000003E-2</v>
      </c>
      <c r="S21" s="35">
        <f t="shared" si="8"/>
        <v>2.7999999999999997E-2</v>
      </c>
      <c r="T21" s="35">
        <f t="shared" si="9"/>
        <v>2.6249999999999999E-2</v>
      </c>
      <c r="U21" s="35">
        <f t="shared" si="13"/>
        <v>5.6603773584905648E-2</v>
      </c>
      <c r="V21" s="35">
        <f t="shared" si="13"/>
        <v>0.26470588235294112</v>
      </c>
      <c r="W21" s="35">
        <f t="shared" si="13"/>
        <v>5.6603773584905648E-2</v>
      </c>
      <c r="X21" s="35">
        <f t="shared" si="13"/>
        <v>5.6603773584905648E-2</v>
      </c>
      <c r="Y21" s="35">
        <f t="shared" si="13"/>
        <v>5.6603773584905648E-2</v>
      </c>
      <c r="Z21" s="35">
        <f t="shared" si="13"/>
        <v>5.6603773584905648E-2</v>
      </c>
      <c r="AA21" s="35">
        <f t="shared" si="13"/>
        <v>5.6603773584905648E-2</v>
      </c>
    </row>
    <row r="22" spans="2:27" x14ac:dyDescent="0.2">
      <c r="B22" s="2">
        <v>20</v>
      </c>
      <c r="C22" s="2" t="s">
        <v>115</v>
      </c>
      <c r="D22" s="29" t="s">
        <v>1</v>
      </c>
      <c r="E22" s="29" t="s">
        <v>209</v>
      </c>
      <c r="F22" s="2" t="s">
        <v>210</v>
      </c>
      <c r="G22" s="2">
        <f t="shared" si="10"/>
        <v>4</v>
      </c>
      <c r="H22" s="2" t="str">
        <f t="shared" si="2"/>
        <v>地脉</v>
      </c>
      <c r="I22" s="38">
        <f t="shared" si="6"/>
        <v>0.1</v>
      </c>
      <c r="J22" s="33">
        <f t="shared" si="11"/>
        <v>56</v>
      </c>
      <c r="K22" s="33">
        <f t="shared" si="12"/>
        <v>114</v>
      </c>
      <c r="L22" s="33">
        <f t="shared" si="12"/>
        <v>7</v>
      </c>
      <c r="M22" s="33">
        <f t="shared" si="12"/>
        <v>70</v>
      </c>
      <c r="N22" s="33">
        <f t="shared" si="12"/>
        <v>12</v>
      </c>
      <c r="O22" s="33">
        <f t="shared" si="12"/>
        <v>44</v>
      </c>
      <c r="P22" s="33">
        <f t="shared" si="12"/>
        <v>19</v>
      </c>
      <c r="Q22" s="33">
        <f t="shared" si="12"/>
        <v>28</v>
      </c>
      <c r="R22" s="35">
        <f t="shared" si="7"/>
        <v>5.5999999999999994E-2</v>
      </c>
      <c r="S22" s="35">
        <f t="shared" si="8"/>
        <v>3.7999999999999999E-2</v>
      </c>
      <c r="T22" s="35">
        <f t="shared" si="9"/>
        <v>3.5000000000000003E-2</v>
      </c>
      <c r="U22" s="35">
        <f t="shared" si="13"/>
        <v>7.407407407407407E-2</v>
      </c>
      <c r="V22" s="35">
        <f t="shared" si="13"/>
        <v>0.32432432432432434</v>
      </c>
      <c r="W22" s="35">
        <f t="shared" si="13"/>
        <v>7.407407407407407E-2</v>
      </c>
      <c r="X22" s="35">
        <f t="shared" si="13"/>
        <v>7.407407407407407E-2</v>
      </c>
      <c r="Y22" s="35">
        <f t="shared" si="13"/>
        <v>7.407407407407407E-2</v>
      </c>
      <c r="Z22" s="35">
        <f t="shared" si="13"/>
        <v>7.407407407407407E-2</v>
      </c>
      <c r="AA22" s="35">
        <f t="shared" si="13"/>
        <v>7.407407407407407E-2</v>
      </c>
    </row>
    <row r="23" spans="2:27" x14ac:dyDescent="0.2">
      <c r="B23" s="2">
        <v>21</v>
      </c>
      <c r="C23" s="2" t="s">
        <v>115</v>
      </c>
      <c r="D23" s="29" t="s">
        <v>1</v>
      </c>
      <c r="E23" s="29" t="s">
        <v>209</v>
      </c>
      <c r="F23" s="2" t="s">
        <v>210</v>
      </c>
      <c r="G23" s="2">
        <f t="shared" si="10"/>
        <v>5</v>
      </c>
      <c r="H23" s="2" t="str">
        <f t="shared" si="2"/>
        <v>地脉</v>
      </c>
      <c r="I23" s="38">
        <f t="shared" si="6"/>
        <v>0.12628571428571428</v>
      </c>
      <c r="J23" s="33">
        <f t="shared" ref="J23:J32" si="14">INT((1+VLOOKUP($F23,role_property_weight,getpos(J$2),FALSE))*(1+VLOOKUP($F23,drop_property_weight,getpos(J$2),FALSE))*VLOOKUP($E23,role_grow,getpos(J$2),FALSE)*$G23*10*VLOOKUP($C23,drop_grow1,4,FALSE))</f>
        <v>70</v>
      </c>
      <c r="K23" s="33">
        <f t="shared" ref="K23:Q32" si="15">INT((1+VLOOKUP($F23,role_property_weight,getpos(K$2),FALSE))*(1+VLOOKUP($F23,drop_property_weight,getpos(K$2),FALSE))*VLOOKUP($E23,role_grow,getpos(K$2),FALSE)*$G23*10*VLOOKUP($C23,drop_grow1,5,FALSE))</f>
        <v>143</v>
      </c>
      <c r="L23" s="33">
        <f t="shared" si="15"/>
        <v>9</v>
      </c>
      <c r="M23" s="33">
        <f t="shared" si="15"/>
        <v>88</v>
      </c>
      <c r="N23" s="33">
        <f t="shared" si="15"/>
        <v>16</v>
      </c>
      <c r="O23" s="33">
        <f t="shared" si="15"/>
        <v>56</v>
      </c>
      <c r="P23" s="33">
        <f t="shared" si="15"/>
        <v>24</v>
      </c>
      <c r="Q23" s="33">
        <f t="shared" si="15"/>
        <v>36</v>
      </c>
      <c r="R23" s="35">
        <f t="shared" si="7"/>
        <v>7.2000000000000008E-2</v>
      </c>
      <c r="S23" s="35">
        <f t="shared" si="8"/>
        <v>4.8000000000000001E-2</v>
      </c>
      <c r="T23" s="35">
        <f t="shared" si="9"/>
        <v>4.4999999999999998E-2</v>
      </c>
      <c r="U23" s="35">
        <f t="shared" ref="U23:AA32" si="16">1-200/(200+ROUND((1+VLOOKUP($F23,role_property_weight,getpos(U$2),FALSE))*VLOOKUP($E23,role_grow,getpos(U$2),FALSE)*$G23*10*VLOOKUP($C23,drop_grow1,5,FALSE),0))</f>
        <v>9.0909090909090939E-2</v>
      </c>
      <c r="V23" s="35">
        <f t="shared" si="16"/>
        <v>0.375</v>
      </c>
      <c r="W23" s="35">
        <f t="shared" si="16"/>
        <v>9.0909090909090939E-2</v>
      </c>
      <c r="X23" s="35">
        <f t="shared" si="16"/>
        <v>9.0909090909090939E-2</v>
      </c>
      <c r="Y23" s="35">
        <f t="shared" si="16"/>
        <v>9.0909090909090939E-2</v>
      </c>
      <c r="Z23" s="35">
        <f t="shared" si="16"/>
        <v>9.0909090909090939E-2</v>
      </c>
      <c r="AA23" s="35">
        <f t="shared" si="16"/>
        <v>9.0909090909090939E-2</v>
      </c>
    </row>
    <row r="24" spans="2:27" x14ac:dyDescent="0.2">
      <c r="B24" s="2">
        <v>22</v>
      </c>
      <c r="C24" s="2" t="s">
        <v>115</v>
      </c>
      <c r="D24" s="29" t="s">
        <v>1</v>
      </c>
      <c r="E24" s="29" t="s">
        <v>209</v>
      </c>
      <c r="F24" s="2" t="s">
        <v>210</v>
      </c>
      <c r="G24" s="2">
        <f t="shared" si="10"/>
        <v>6</v>
      </c>
      <c r="H24" s="2" t="str">
        <f t="shared" si="2"/>
        <v>地脉</v>
      </c>
      <c r="I24" s="38">
        <f t="shared" si="6"/>
        <v>0.15085714285714286</v>
      </c>
      <c r="J24" s="33">
        <f t="shared" si="14"/>
        <v>84</v>
      </c>
      <c r="K24" s="33">
        <f t="shared" si="15"/>
        <v>171</v>
      </c>
      <c r="L24" s="33">
        <f t="shared" si="15"/>
        <v>11</v>
      </c>
      <c r="M24" s="33">
        <f t="shared" si="15"/>
        <v>105</v>
      </c>
      <c r="N24" s="33">
        <f t="shared" si="15"/>
        <v>19</v>
      </c>
      <c r="O24" s="33">
        <f t="shared" si="15"/>
        <v>67</v>
      </c>
      <c r="P24" s="33">
        <f t="shared" si="15"/>
        <v>28</v>
      </c>
      <c r="Q24" s="33">
        <f t="shared" si="15"/>
        <v>43</v>
      </c>
      <c r="R24" s="35">
        <f t="shared" si="7"/>
        <v>8.5999999999999993E-2</v>
      </c>
      <c r="S24" s="35">
        <f t="shared" si="8"/>
        <v>5.5999999999999994E-2</v>
      </c>
      <c r="T24" s="35">
        <f t="shared" si="9"/>
        <v>5.3749999999999999E-2</v>
      </c>
      <c r="U24" s="35">
        <f t="shared" si="16"/>
        <v>0.1071428571428571</v>
      </c>
      <c r="V24" s="35">
        <f t="shared" si="16"/>
        <v>0.41860465116279066</v>
      </c>
      <c r="W24" s="35">
        <f t="shared" si="16"/>
        <v>0.1071428571428571</v>
      </c>
      <c r="X24" s="35">
        <f t="shared" si="16"/>
        <v>0.1071428571428571</v>
      </c>
      <c r="Y24" s="35">
        <f t="shared" si="16"/>
        <v>0.1071428571428571</v>
      </c>
      <c r="Z24" s="35">
        <f t="shared" si="16"/>
        <v>0.1071428571428571</v>
      </c>
      <c r="AA24" s="35">
        <f t="shared" si="16"/>
        <v>0.1071428571428571</v>
      </c>
    </row>
    <row r="25" spans="2:27" x14ac:dyDescent="0.2">
      <c r="B25" s="2">
        <v>23</v>
      </c>
      <c r="C25" s="2" t="s">
        <v>115</v>
      </c>
      <c r="D25" s="29" t="s">
        <v>1</v>
      </c>
      <c r="E25" s="29" t="s">
        <v>209</v>
      </c>
      <c r="F25" s="2" t="s">
        <v>210</v>
      </c>
      <c r="G25" s="2">
        <f t="shared" si="10"/>
        <v>7</v>
      </c>
      <c r="H25" s="2" t="str">
        <f t="shared" si="2"/>
        <v>地脉</v>
      </c>
      <c r="I25" s="38">
        <f t="shared" si="6"/>
        <v>0.1762857142857143</v>
      </c>
      <c r="J25" s="33">
        <f t="shared" si="14"/>
        <v>98</v>
      </c>
      <c r="K25" s="33">
        <f t="shared" si="15"/>
        <v>200</v>
      </c>
      <c r="L25" s="33">
        <f t="shared" si="15"/>
        <v>13</v>
      </c>
      <c r="M25" s="33">
        <f t="shared" si="15"/>
        <v>123</v>
      </c>
      <c r="N25" s="33">
        <f t="shared" si="15"/>
        <v>22</v>
      </c>
      <c r="O25" s="33">
        <f t="shared" si="15"/>
        <v>78</v>
      </c>
      <c r="P25" s="33">
        <f t="shared" si="15"/>
        <v>33</v>
      </c>
      <c r="Q25" s="33">
        <f t="shared" si="15"/>
        <v>50</v>
      </c>
      <c r="R25" s="35">
        <f t="shared" si="7"/>
        <v>0.1</v>
      </c>
      <c r="S25" s="35">
        <f t="shared" si="8"/>
        <v>6.6000000000000003E-2</v>
      </c>
      <c r="T25" s="35">
        <f t="shared" si="9"/>
        <v>6.25E-2</v>
      </c>
      <c r="U25" s="35">
        <f t="shared" si="16"/>
        <v>0.1228070175438597</v>
      </c>
      <c r="V25" s="35">
        <f t="shared" si="16"/>
        <v>0.45652173913043481</v>
      </c>
      <c r="W25" s="35">
        <f t="shared" si="16"/>
        <v>0.1228070175438597</v>
      </c>
      <c r="X25" s="35">
        <f t="shared" si="16"/>
        <v>0.1228070175438597</v>
      </c>
      <c r="Y25" s="35">
        <f t="shared" si="16"/>
        <v>0.1228070175438597</v>
      </c>
      <c r="Z25" s="35">
        <f t="shared" si="16"/>
        <v>0.1228070175438597</v>
      </c>
      <c r="AA25" s="35">
        <f t="shared" si="16"/>
        <v>0.1228070175438597</v>
      </c>
    </row>
    <row r="26" spans="2:27" x14ac:dyDescent="0.2">
      <c r="B26" s="2">
        <v>24</v>
      </c>
      <c r="C26" s="2" t="s">
        <v>115</v>
      </c>
      <c r="D26" s="29" t="s">
        <v>1</v>
      </c>
      <c r="E26" s="29" t="s">
        <v>209</v>
      </c>
      <c r="F26" s="2" t="s">
        <v>210</v>
      </c>
      <c r="G26" s="2">
        <f t="shared" si="10"/>
        <v>8</v>
      </c>
      <c r="H26" s="2" t="str">
        <f t="shared" si="2"/>
        <v>地脉</v>
      </c>
      <c r="I26" s="38">
        <f t="shared" si="6"/>
        <v>0.20114285714285715</v>
      </c>
      <c r="J26" s="33">
        <f t="shared" si="14"/>
        <v>112</v>
      </c>
      <c r="K26" s="33">
        <f t="shared" si="15"/>
        <v>228</v>
      </c>
      <c r="L26" s="33">
        <f t="shared" si="15"/>
        <v>15</v>
      </c>
      <c r="M26" s="33">
        <f t="shared" si="15"/>
        <v>140</v>
      </c>
      <c r="N26" s="33">
        <f t="shared" si="15"/>
        <v>25</v>
      </c>
      <c r="O26" s="33">
        <f t="shared" si="15"/>
        <v>89</v>
      </c>
      <c r="P26" s="33">
        <f t="shared" si="15"/>
        <v>38</v>
      </c>
      <c r="Q26" s="33">
        <f t="shared" si="15"/>
        <v>57</v>
      </c>
      <c r="R26" s="35">
        <f t="shared" si="7"/>
        <v>0.114</v>
      </c>
      <c r="S26" s="35">
        <f t="shared" si="8"/>
        <v>7.5999999999999998E-2</v>
      </c>
      <c r="T26" s="35">
        <f t="shared" si="9"/>
        <v>7.1249999999999994E-2</v>
      </c>
      <c r="U26" s="35">
        <f t="shared" si="16"/>
        <v>0.13793103448275867</v>
      </c>
      <c r="V26" s="35">
        <f t="shared" si="16"/>
        <v>0.48979591836734693</v>
      </c>
      <c r="W26" s="35">
        <f t="shared" si="16"/>
        <v>0.13793103448275867</v>
      </c>
      <c r="X26" s="35">
        <f t="shared" si="16"/>
        <v>0.13793103448275867</v>
      </c>
      <c r="Y26" s="35">
        <f t="shared" si="16"/>
        <v>0.13793103448275867</v>
      </c>
      <c r="Z26" s="35">
        <f t="shared" si="16"/>
        <v>0.13793103448275867</v>
      </c>
      <c r="AA26" s="35">
        <f t="shared" si="16"/>
        <v>0.13793103448275867</v>
      </c>
    </row>
    <row r="27" spans="2:27" x14ac:dyDescent="0.2">
      <c r="B27" s="2">
        <v>25</v>
      </c>
      <c r="C27" s="2" t="s">
        <v>116</v>
      </c>
      <c r="D27" s="29" t="s">
        <v>1</v>
      </c>
      <c r="E27" s="29" t="s">
        <v>209</v>
      </c>
      <c r="F27" s="2" t="s">
        <v>210</v>
      </c>
      <c r="G27" s="2">
        <f t="shared" si="10"/>
        <v>1</v>
      </c>
      <c r="H27" s="2" t="str">
        <f t="shared" si="2"/>
        <v>--</v>
      </c>
      <c r="I27" s="38">
        <f t="shared" si="6"/>
        <v>0</v>
      </c>
      <c r="J27" s="33">
        <f t="shared" si="14"/>
        <v>18</v>
      </c>
      <c r="K27" s="33">
        <f t="shared" si="15"/>
        <v>0</v>
      </c>
      <c r="L27" s="33">
        <f t="shared" si="15"/>
        <v>0</v>
      </c>
      <c r="M27" s="33">
        <f t="shared" si="15"/>
        <v>0</v>
      </c>
      <c r="N27" s="33">
        <f t="shared" si="15"/>
        <v>0</v>
      </c>
      <c r="O27" s="33">
        <f t="shared" si="15"/>
        <v>0</v>
      </c>
      <c r="P27" s="33">
        <f t="shared" si="15"/>
        <v>0</v>
      </c>
      <c r="Q27" s="33">
        <f t="shared" si="15"/>
        <v>0</v>
      </c>
      <c r="R27" s="35">
        <f t="shared" si="7"/>
        <v>0</v>
      </c>
      <c r="S27" s="35">
        <f t="shared" si="8"/>
        <v>0</v>
      </c>
      <c r="T27" s="35">
        <f t="shared" si="9"/>
        <v>0</v>
      </c>
      <c r="U27" s="35">
        <f t="shared" si="16"/>
        <v>0</v>
      </c>
      <c r="V27" s="35">
        <f t="shared" si="16"/>
        <v>0</v>
      </c>
      <c r="W27" s="35">
        <f t="shared" si="16"/>
        <v>0</v>
      </c>
      <c r="X27" s="35">
        <f t="shared" si="16"/>
        <v>0</v>
      </c>
      <c r="Y27" s="35">
        <f t="shared" si="16"/>
        <v>0</v>
      </c>
      <c r="Z27" s="35">
        <f t="shared" si="16"/>
        <v>0</v>
      </c>
      <c r="AA27" s="35">
        <f t="shared" si="16"/>
        <v>0</v>
      </c>
    </row>
    <row r="28" spans="2:27" x14ac:dyDescent="0.2">
      <c r="B28" s="2">
        <v>26</v>
      </c>
      <c r="C28" s="2" t="s">
        <v>116</v>
      </c>
      <c r="D28" s="29" t="s">
        <v>1</v>
      </c>
      <c r="E28" s="29" t="s">
        <v>209</v>
      </c>
      <c r="F28" s="2" t="s">
        <v>210</v>
      </c>
      <c r="G28" s="2">
        <f t="shared" si="10"/>
        <v>2</v>
      </c>
      <c r="H28" s="2" t="str">
        <f t="shared" si="2"/>
        <v>--</v>
      </c>
      <c r="I28" s="38">
        <f t="shared" si="6"/>
        <v>0</v>
      </c>
      <c r="J28" s="33">
        <f t="shared" si="14"/>
        <v>37</v>
      </c>
      <c r="K28" s="33">
        <f t="shared" si="15"/>
        <v>0</v>
      </c>
      <c r="L28" s="33">
        <f t="shared" si="15"/>
        <v>0</v>
      </c>
      <c r="M28" s="33">
        <f t="shared" si="15"/>
        <v>0</v>
      </c>
      <c r="N28" s="33">
        <f t="shared" si="15"/>
        <v>0</v>
      </c>
      <c r="O28" s="33">
        <f t="shared" si="15"/>
        <v>0</v>
      </c>
      <c r="P28" s="33">
        <f t="shared" si="15"/>
        <v>0</v>
      </c>
      <c r="Q28" s="33">
        <f t="shared" si="15"/>
        <v>0</v>
      </c>
      <c r="R28" s="35">
        <f t="shared" si="7"/>
        <v>0</v>
      </c>
      <c r="S28" s="35">
        <f t="shared" si="8"/>
        <v>0</v>
      </c>
      <c r="T28" s="35">
        <f t="shared" si="9"/>
        <v>0</v>
      </c>
      <c r="U28" s="35">
        <f t="shared" si="16"/>
        <v>0</v>
      </c>
      <c r="V28" s="35">
        <f t="shared" si="16"/>
        <v>0</v>
      </c>
      <c r="W28" s="35">
        <f t="shared" si="16"/>
        <v>0</v>
      </c>
      <c r="X28" s="35">
        <f t="shared" si="16"/>
        <v>0</v>
      </c>
      <c r="Y28" s="35">
        <f t="shared" si="16"/>
        <v>0</v>
      </c>
      <c r="Z28" s="35">
        <f t="shared" si="16"/>
        <v>0</v>
      </c>
      <c r="AA28" s="35">
        <f t="shared" si="16"/>
        <v>0</v>
      </c>
    </row>
    <row r="29" spans="2:27" x14ac:dyDescent="0.2">
      <c r="B29" s="2">
        <v>27</v>
      </c>
      <c r="C29" s="2" t="s">
        <v>116</v>
      </c>
      <c r="D29" s="29" t="s">
        <v>1</v>
      </c>
      <c r="E29" s="29" t="s">
        <v>209</v>
      </c>
      <c r="F29" s="2" t="s">
        <v>210</v>
      </c>
      <c r="G29" s="2">
        <f t="shared" si="10"/>
        <v>3</v>
      </c>
      <c r="H29" s="2" t="str">
        <f t="shared" si="2"/>
        <v>--</v>
      </c>
      <c r="I29" s="38">
        <f t="shared" si="6"/>
        <v>0</v>
      </c>
      <c r="J29" s="33">
        <f t="shared" si="14"/>
        <v>56</v>
      </c>
      <c r="K29" s="33">
        <f t="shared" si="15"/>
        <v>0</v>
      </c>
      <c r="L29" s="33">
        <f t="shared" si="15"/>
        <v>0</v>
      </c>
      <c r="M29" s="33">
        <f t="shared" si="15"/>
        <v>0</v>
      </c>
      <c r="N29" s="33">
        <f t="shared" si="15"/>
        <v>0</v>
      </c>
      <c r="O29" s="33">
        <f t="shared" si="15"/>
        <v>0</v>
      </c>
      <c r="P29" s="33">
        <f t="shared" si="15"/>
        <v>0</v>
      </c>
      <c r="Q29" s="33">
        <f t="shared" si="15"/>
        <v>0</v>
      </c>
      <c r="R29" s="35">
        <f t="shared" si="7"/>
        <v>0</v>
      </c>
      <c r="S29" s="35">
        <f t="shared" si="8"/>
        <v>0</v>
      </c>
      <c r="T29" s="35">
        <f t="shared" si="9"/>
        <v>0</v>
      </c>
      <c r="U29" s="35">
        <f t="shared" si="16"/>
        <v>0</v>
      </c>
      <c r="V29" s="35">
        <f t="shared" si="16"/>
        <v>0</v>
      </c>
      <c r="W29" s="35">
        <f t="shared" si="16"/>
        <v>0</v>
      </c>
      <c r="X29" s="35">
        <f t="shared" si="16"/>
        <v>0</v>
      </c>
      <c r="Y29" s="35">
        <f t="shared" si="16"/>
        <v>0</v>
      </c>
      <c r="Z29" s="35">
        <f t="shared" si="16"/>
        <v>0</v>
      </c>
      <c r="AA29" s="35">
        <f t="shared" si="16"/>
        <v>0</v>
      </c>
    </row>
    <row r="30" spans="2:27" x14ac:dyDescent="0.2">
      <c r="B30" s="2">
        <v>28</v>
      </c>
      <c r="C30" s="2" t="s">
        <v>116</v>
      </c>
      <c r="D30" s="29" t="s">
        <v>1</v>
      </c>
      <c r="E30" s="29" t="s">
        <v>209</v>
      </c>
      <c r="F30" s="2" t="s">
        <v>210</v>
      </c>
      <c r="G30" s="2">
        <f t="shared" si="10"/>
        <v>4</v>
      </c>
      <c r="H30" s="2" t="str">
        <f t="shared" si="2"/>
        <v>--</v>
      </c>
      <c r="I30" s="38">
        <f t="shared" si="6"/>
        <v>0</v>
      </c>
      <c r="J30" s="33">
        <f t="shared" si="14"/>
        <v>75</v>
      </c>
      <c r="K30" s="33">
        <f t="shared" si="15"/>
        <v>0</v>
      </c>
      <c r="L30" s="33">
        <f t="shared" si="15"/>
        <v>0</v>
      </c>
      <c r="M30" s="33">
        <f t="shared" si="15"/>
        <v>0</v>
      </c>
      <c r="N30" s="33">
        <f t="shared" si="15"/>
        <v>0</v>
      </c>
      <c r="O30" s="33">
        <f t="shared" si="15"/>
        <v>0</v>
      </c>
      <c r="P30" s="33">
        <f t="shared" si="15"/>
        <v>0</v>
      </c>
      <c r="Q30" s="33">
        <f t="shared" si="15"/>
        <v>0</v>
      </c>
      <c r="R30" s="35">
        <f t="shared" si="7"/>
        <v>0</v>
      </c>
      <c r="S30" s="35">
        <f t="shared" si="8"/>
        <v>0</v>
      </c>
      <c r="T30" s="35">
        <f t="shared" si="9"/>
        <v>0</v>
      </c>
      <c r="U30" s="35">
        <f t="shared" si="16"/>
        <v>0</v>
      </c>
      <c r="V30" s="35">
        <f t="shared" si="16"/>
        <v>0</v>
      </c>
      <c r="W30" s="35">
        <f t="shared" si="16"/>
        <v>0</v>
      </c>
      <c r="X30" s="35">
        <f t="shared" si="16"/>
        <v>0</v>
      </c>
      <c r="Y30" s="35">
        <f t="shared" si="16"/>
        <v>0</v>
      </c>
      <c r="Z30" s="35">
        <f t="shared" si="16"/>
        <v>0</v>
      </c>
      <c r="AA30" s="35">
        <f t="shared" si="16"/>
        <v>0</v>
      </c>
    </row>
    <row r="31" spans="2:27" x14ac:dyDescent="0.2">
      <c r="B31" s="2">
        <v>29</v>
      </c>
      <c r="C31" s="2" t="s">
        <v>116</v>
      </c>
      <c r="D31" s="29" t="s">
        <v>1</v>
      </c>
      <c r="E31" s="29" t="s">
        <v>209</v>
      </c>
      <c r="F31" s="2" t="s">
        <v>210</v>
      </c>
      <c r="G31" s="2">
        <f t="shared" si="10"/>
        <v>5</v>
      </c>
      <c r="H31" s="2" t="str">
        <f t="shared" si="2"/>
        <v>--</v>
      </c>
      <c r="I31" s="38">
        <f t="shared" si="6"/>
        <v>0</v>
      </c>
      <c r="J31" s="33">
        <f t="shared" si="14"/>
        <v>94</v>
      </c>
      <c r="K31" s="33">
        <f t="shared" si="15"/>
        <v>0</v>
      </c>
      <c r="L31" s="33">
        <f t="shared" si="15"/>
        <v>0</v>
      </c>
      <c r="M31" s="33">
        <f t="shared" si="15"/>
        <v>0</v>
      </c>
      <c r="N31" s="33">
        <f t="shared" si="15"/>
        <v>0</v>
      </c>
      <c r="O31" s="33">
        <f t="shared" si="15"/>
        <v>0</v>
      </c>
      <c r="P31" s="33">
        <f t="shared" si="15"/>
        <v>0</v>
      </c>
      <c r="Q31" s="33">
        <f t="shared" si="15"/>
        <v>0</v>
      </c>
      <c r="R31" s="35">
        <f t="shared" si="7"/>
        <v>0</v>
      </c>
      <c r="S31" s="35">
        <f t="shared" si="8"/>
        <v>0</v>
      </c>
      <c r="T31" s="35">
        <f t="shared" si="9"/>
        <v>0</v>
      </c>
      <c r="U31" s="35">
        <f t="shared" si="16"/>
        <v>0</v>
      </c>
      <c r="V31" s="35">
        <f t="shared" si="16"/>
        <v>0</v>
      </c>
      <c r="W31" s="35">
        <f t="shared" si="16"/>
        <v>0</v>
      </c>
      <c r="X31" s="35">
        <f t="shared" si="16"/>
        <v>0</v>
      </c>
      <c r="Y31" s="35">
        <f t="shared" si="16"/>
        <v>0</v>
      </c>
      <c r="Z31" s="35">
        <f t="shared" si="16"/>
        <v>0</v>
      </c>
      <c r="AA31" s="35">
        <f t="shared" si="16"/>
        <v>0</v>
      </c>
    </row>
    <row r="32" spans="2:27" x14ac:dyDescent="0.2">
      <c r="B32" s="2">
        <v>30</v>
      </c>
      <c r="C32" s="2" t="s">
        <v>116</v>
      </c>
      <c r="D32" s="29" t="s">
        <v>1</v>
      </c>
      <c r="E32" s="29" t="s">
        <v>209</v>
      </c>
      <c r="F32" s="2" t="s">
        <v>210</v>
      </c>
      <c r="G32" s="2">
        <f t="shared" si="10"/>
        <v>6</v>
      </c>
      <c r="H32" s="2" t="str">
        <f t="shared" si="2"/>
        <v>--</v>
      </c>
      <c r="I32" s="38">
        <f t="shared" si="6"/>
        <v>0</v>
      </c>
      <c r="J32" s="33">
        <f t="shared" si="14"/>
        <v>112</v>
      </c>
      <c r="K32" s="33">
        <f t="shared" si="15"/>
        <v>0</v>
      </c>
      <c r="L32" s="33">
        <f t="shared" si="15"/>
        <v>0</v>
      </c>
      <c r="M32" s="33">
        <f t="shared" si="15"/>
        <v>0</v>
      </c>
      <c r="N32" s="33">
        <f t="shared" si="15"/>
        <v>0</v>
      </c>
      <c r="O32" s="33">
        <f t="shared" si="15"/>
        <v>0</v>
      </c>
      <c r="P32" s="33">
        <f t="shared" si="15"/>
        <v>0</v>
      </c>
      <c r="Q32" s="33">
        <f t="shared" si="15"/>
        <v>0</v>
      </c>
      <c r="R32" s="35">
        <f t="shared" si="7"/>
        <v>0</v>
      </c>
      <c r="S32" s="35">
        <f t="shared" si="8"/>
        <v>0</v>
      </c>
      <c r="T32" s="35">
        <f t="shared" si="9"/>
        <v>0</v>
      </c>
      <c r="U32" s="35">
        <f t="shared" si="16"/>
        <v>0</v>
      </c>
      <c r="V32" s="35">
        <f t="shared" si="16"/>
        <v>0</v>
      </c>
      <c r="W32" s="35">
        <f t="shared" si="16"/>
        <v>0</v>
      </c>
      <c r="X32" s="35">
        <f t="shared" si="16"/>
        <v>0</v>
      </c>
      <c r="Y32" s="35">
        <f t="shared" si="16"/>
        <v>0</v>
      </c>
      <c r="Z32" s="35">
        <f t="shared" si="16"/>
        <v>0</v>
      </c>
      <c r="AA32" s="35">
        <f t="shared" si="16"/>
        <v>0</v>
      </c>
    </row>
    <row r="33" spans="2:27" x14ac:dyDescent="0.2">
      <c r="B33" s="2">
        <v>31</v>
      </c>
      <c r="C33" s="2" t="s">
        <v>116</v>
      </c>
      <c r="D33" s="29" t="s">
        <v>1</v>
      </c>
      <c r="E33" s="29" t="s">
        <v>209</v>
      </c>
      <c r="F33" s="2" t="s">
        <v>210</v>
      </c>
      <c r="G33" s="2">
        <f t="shared" si="10"/>
        <v>7</v>
      </c>
      <c r="H33" s="2" t="str">
        <f t="shared" si="2"/>
        <v>--</v>
      </c>
      <c r="I33" s="38">
        <f t="shared" si="6"/>
        <v>0</v>
      </c>
      <c r="J33" s="33">
        <f t="shared" ref="J33:J42" si="17">INT((1+VLOOKUP($F33,role_property_weight,getpos(J$2),FALSE))*(1+VLOOKUP($F33,drop_property_weight,getpos(J$2),FALSE))*VLOOKUP($E33,role_grow,getpos(J$2),FALSE)*$G33*10*VLOOKUP($C33,drop_grow1,4,FALSE))</f>
        <v>131</v>
      </c>
      <c r="K33" s="33">
        <f t="shared" ref="K33:Q42" si="18">INT((1+VLOOKUP($F33,role_property_weight,getpos(K$2),FALSE))*(1+VLOOKUP($F33,drop_property_weight,getpos(K$2),FALSE))*VLOOKUP($E33,role_grow,getpos(K$2),FALSE)*$G33*10*VLOOKUP($C33,drop_grow1,5,FALSE))</f>
        <v>0</v>
      </c>
      <c r="L33" s="33">
        <f t="shared" si="18"/>
        <v>0</v>
      </c>
      <c r="M33" s="33">
        <f t="shared" si="18"/>
        <v>0</v>
      </c>
      <c r="N33" s="33">
        <f t="shared" si="18"/>
        <v>0</v>
      </c>
      <c r="O33" s="33">
        <f t="shared" si="18"/>
        <v>0</v>
      </c>
      <c r="P33" s="33">
        <f t="shared" si="18"/>
        <v>0</v>
      </c>
      <c r="Q33" s="33">
        <f t="shared" si="18"/>
        <v>0</v>
      </c>
      <c r="R33" s="35">
        <f t="shared" si="7"/>
        <v>0</v>
      </c>
      <c r="S33" s="35">
        <f t="shared" si="8"/>
        <v>0</v>
      </c>
      <c r="T33" s="35">
        <f t="shared" si="9"/>
        <v>0</v>
      </c>
      <c r="U33" s="35">
        <f t="shared" ref="U33:AA42" si="19">1-200/(200+ROUND((1+VLOOKUP($F33,role_property_weight,getpos(U$2),FALSE))*VLOOKUP($E33,role_grow,getpos(U$2),FALSE)*$G33*10*VLOOKUP($C33,drop_grow1,5,FALSE),0))</f>
        <v>0</v>
      </c>
      <c r="V33" s="35">
        <f t="shared" si="19"/>
        <v>0</v>
      </c>
      <c r="W33" s="35">
        <f t="shared" si="19"/>
        <v>0</v>
      </c>
      <c r="X33" s="35">
        <f t="shared" si="19"/>
        <v>0</v>
      </c>
      <c r="Y33" s="35">
        <f t="shared" si="19"/>
        <v>0</v>
      </c>
      <c r="Z33" s="35">
        <f t="shared" si="19"/>
        <v>0</v>
      </c>
      <c r="AA33" s="35">
        <f t="shared" si="19"/>
        <v>0</v>
      </c>
    </row>
    <row r="34" spans="2:27" x14ac:dyDescent="0.2">
      <c r="B34" s="2">
        <v>32</v>
      </c>
      <c r="C34" s="2" t="s">
        <v>116</v>
      </c>
      <c r="D34" s="29" t="s">
        <v>1</v>
      </c>
      <c r="E34" s="29" t="s">
        <v>209</v>
      </c>
      <c r="F34" s="2" t="s">
        <v>210</v>
      </c>
      <c r="G34" s="2">
        <f t="shared" si="10"/>
        <v>8</v>
      </c>
      <c r="H34" s="2" t="str">
        <f t="shared" si="2"/>
        <v>--</v>
      </c>
      <c r="I34" s="38">
        <f t="shared" si="6"/>
        <v>0</v>
      </c>
      <c r="J34" s="33">
        <f t="shared" si="17"/>
        <v>150</v>
      </c>
      <c r="K34" s="33">
        <f t="shared" si="18"/>
        <v>0</v>
      </c>
      <c r="L34" s="33">
        <f t="shared" si="18"/>
        <v>0</v>
      </c>
      <c r="M34" s="33">
        <f t="shared" si="18"/>
        <v>0</v>
      </c>
      <c r="N34" s="33">
        <f t="shared" si="18"/>
        <v>0</v>
      </c>
      <c r="O34" s="33">
        <f t="shared" si="18"/>
        <v>0</v>
      </c>
      <c r="P34" s="33">
        <f t="shared" si="18"/>
        <v>0</v>
      </c>
      <c r="Q34" s="33">
        <f t="shared" si="18"/>
        <v>0</v>
      </c>
      <c r="R34" s="35">
        <f t="shared" si="7"/>
        <v>0</v>
      </c>
      <c r="S34" s="35">
        <f t="shared" si="8"/>
        <v>0</v>
      </c>
      <c r="T34" s="35">
        <f t="shared" si="9"/>
        <v>0</v>
      </c>
      <c r="U34" s="35">
        <f t="shared" si="19"/>
        <v>0</v>
      </c>
      <c r="V34" s="35">
        <f t="shared" si="19"/>
        <v>0</v>
      </c>
      <c r="W34" s="35">
        <f t="shared" si="19"/>
        <v>0</v>
      </c>
      <c r="X34" s="35">
        <f t="shared" si="19"/>
        <v>0</v>
      </c>
      <c r="Y34" s="35">
        <f t="shared" si="19"/>
        <v>0</v>
      </c>
      <c r="Z34" s="35">
        <f t="shared" si="19"/>
        <v>0</v>
      </c>
      <c r="AA34" s="35">
        <f t="shared" si="19"/>
        <v>0</v>
      </c>
    </row>
    <row r="35" spans="2:27" x14ac:dyDescent="0.2">
      <c r="B35" s="2">
        <v>33</v>
      </c>
      <c r="C35" s="2" t="str">
        <f>C3</f>
        <v>s</v>
      </c>
      <c r="D35" s="29" t="s">
        <v>1</v>
      </c>
      <c r="E35" s="29" t="s">
        <v>209</v>
      </c>
      <c r="F35" s="2" t="s">
        <v>211</v>
      </c>
      <c r="G35" s="2">
        <f t="shared" si="10"/>
        <v>1</v>
      </c>
      <c r="H35" s="2" t="str">
        <f t="shared" si="2"/>
        <v>物理</v>
      </c>
      <c r="I35" s="38">
        <f t="shared" si="6"/>
        <v>0.08</v>
      </c>
      <c r="J35" s="33">
        <f t="shared" si="17"/>
        <v>14</v>
      </c>
      <c r="K35" s="33">
        <f t="shared" si="18"/>
        <v>15</v>
      </c>
      <c r="L35" s="33">
        <f t="shared" si="18"/>
        <v>1</v>
      </c>
      <c r="M35" s="33">
        <f t="shared" si="18"/>
        <v>10</v>
      </c>
      <c r="N35" s="33">
        <f t="shared" si="18"/>
        <v>4</v>
      </c>
      <c r="O35" s="33">
        <f t="shared" si="18"/>
        <v>6</v>
      </c>
      <c r="P35" s="33">
        <f t="shared" si="18"/>
        <v>5</v>
      </c>
      <c r="Q35" s="33">
        <f t="shared" si="18"/>
        <v>4</v>
      </c>
      <c r="R35" s="35">
        <f t="shared" si="7"/>
        <v>8.0000000000000002E-3</v>
      </c>
      <c r="S35" s="35">
        <f t="shared" si="8"/>
        <v>0.01</v>
      </c>
      <c r="T35" s="35">
        <f t="shared" si="9"/>
        <v>5.0000000000000001E-3</v>
      </c>
      <c r="U35" s="35">
        <f t="shared" si="19"/>
        <v>2.4390243902439046E-2</v>
      </c>
      <c r="V35" s="35">
        <f t="shared" si="19"/>
        <v>9.9009900990099098E-3</v>
      </c>
      <c r="W35" s="35">
        <f t="shared" si="19"/>
        <v>9.9009900990099098E-3</v>
      </c>
      <c r="X35" s="35">
        <f t="shared" si="19"/>
        <v>9.9009900990099098E-3</v>
      </c>
      <c r="Y35" s="35">
        <f t="shared" si="19"/>
        <v>9.9009900990099098E-3</v>
      </c>
      <c r="Z35" s="35">
        <f t="shared" si="19"/>
        <v>9.9009900990099098E-3</v>
      </c>
      <c r="AA35" s="35">
        <f t="shared" si="19"/>
        <v>9.9009900990099098E-3</v>
      </c>
    </row>
    <row r="36" spans="2:27" x14ac:dyDescent="0.2">
      <c r="B36" s="2">
        <v>34</v>
      </c>
      <c r="C36" s="2" t="str">
        <f t="shared" ref="C36:C99" si="20">C4</f>
        <v>s</v>
      </c>
      <c r="D36" s="29" t="s">
        <v>1</v>
      </c>
      <c r="E36" s="29" t="s">
        <v>209</v>
      </c>
      <c r="F36" s="2" t="s">
        <v>211</v>
      </c>
      <c r="G36" s="2">
        <f t="shared" si="10"/>
        <v>2</v>
      </c>
      <c r="H36" s="2" t="str">
        <f t="shared" si="2"/>
        <v>物理</v>
      </c>
      <c r="I36" s="38">
        <f t="shared" si="6"/>
        <v>0.08</v>
      </c>
      <c r="J36" s="33">
        <f t="shared" si="17"/>
        <v>28</v>
      </c>
      <c r="K36" s="33">
        <f t="shared" si="18"/>
        <v>31</v>
      </c>
      <c r="L36" s="33">
        <f t="shared" si="18"/>
        <v>2</v>
      </c>
      <c r="M36" s="33">
        <f t="shared" si="18"/>
        <v>21</v>
      </c>
      <c r="N36" s="33">
        <f t="shared" si="18"/>
        <v>9</v>
      </c>
      <c r="O36" s="33">
        <f t="shared" si="18"/>
        <v>13</v>
      </c>
      <c r="P36" s="33">
        <f t="shared" si="18"/>
        <v>11</v>
      </c>
      <c r="Q36" s="33">
        <f t="shared" si="18"/>
        <v>9</v>
      </c>
      <c r="R36" s="35">
        <f t="shared" si="7"/>
        <v>1.8000000000000002E-2</v>
      </c>
      <c r="S36" s="35">
        <f t="shared" si="8"/>
        <v>2.2000000000000002E-2</v>
      </c>
      <c r="T36" s="35">
        <f t="shared" si="9"/>
        <v>1.125E-2</v>
      </c>
      <c r="U36" s="35">
        <f t="shared" si="19"/>
        <v>4.7619047619047672E-2</v>
      </c>
      <c r="V36" s="35">
        <f t="shared" si="19"/>
        <v>2.4390243902439046E-2</v>
      </c>
      <c r="W36" s="35">
        <f t="shared" si="19"/>
        <v>2.4390243902439046E-2</v>
      </c>
      <c r="X36" s="35">
        <f t="shared" si="19"/>
        <v>2.4390243902439046E-2</v>
      </c>
      <c r="Y36" s="35">
        <f t="shared" si="19"/>
        <v>2.4390243902439046E-2</v>
      </c>
      <c r="Z36" s="35">
        <f t="shared" si="19"/>
        <v>2.4390243902439046E-2</v>
      </c>
      <c r="AA36" s="35">
        <f t="shared" si="19"/>
        <v>2.4390243902439046E-2</v>
      </c>
    </row>
    <row r="37" spans="2:27" x14ac:dyDescent="0.2">
      <c r="B37" s="2">
        <v>35</v>
      </c>
      <c r="C37" s="2" t="str">
        <f t="shared" si="20"/>
        <v>s</v>
      </c>
      <c r="D37" s="29" t="s">
        <v>1</v>
      </c>
      <c r="E37" s="29" t="s">
        <v>209</v>
      </c>
      <c r="F37" s="2" t="s">
        <v>211</v>
      </c>
      <c r="G37" s="2">
        <f t="shared" si="10"/>
        <v>3</v>
      </c>
      <c r="H37" s="2" t="str">
        <f t="shared" si="2"/>
        <v>物理</v>
      </c>
      <c r="I37" s="38">
        <f t="shared" si="6"/>
        <v>0.08</v>
      </c>
      <c r="J37" s="33">
        <f t="shared" si="17"/>
        <v>43</v>
      </c>
      <c r="K37" s="33">
        <f t="shared" si="18"/>
        <v>46</v>
      </c>
      <c r="L37" s="33">
        <f t="shared" si="18"/>
        <v>4</v>
      </c>
      <c r="M37" s="33">
        <f t="shared" si="18"/>
        <v>31</v>
      </c>
      <c r="N37" s="33">
        <f t="shared" si="18"/>
        <v>14</v>
      </c>
      <c r="O37" s="33">
        <f t="shared" si="18"/>
        <v>20</v>
      </c>
      <c r="P37" s="33">
        <f t="shared" si="18"/>
        <v>16</v>
      </c>
      <c r="Q37" s="33">
        <f t="shared" si="18"/>
        <v>14</v>
      </c>
      <c r="R37" s="35">
        <f t="shared" si="7"/>
        <v>2.7999999999999997E-2</v>
      </c>
      <c r="S37" s="35">
        <f t="shared" si="8"/>
        <v>3.2000000000000001E-2</v>
      </c>
      <c r="T37" s="35">
        <f t="shared" si="9"/>
        <v>1.7500000000000002E-2</v>
      </c>
      <c r="U37" s="35">
        <f t="shared" si="19"/>
        <v>6.5420560747663559E-2</v>
      </c>
      <c r="V37" s="35">
        <f t="shared" si="19"/>
        <v>3.3816425120772986E-2</v>
      </c>
      <c r="W37" s="35">
        <f t="shared" si="19"/>
        <v>3.3816425120772986E-2</v>
      </c>
      <c r="X37" s="35">
        <f t="shared" si="19"/>
        <v>3.3816425120772986E-2</v>
      </c>
      <c r="Y37" s="35">
        <f t="shared" si="19"/>
        <v>3.3816425120772986E-2</v>
      </c>
      <c r="Z37" s="35">
        <f t="shared" si="19"/>
        <v>3.3816425120772986E-2</v>
      </c>
      <c r="AA37" s="35">
        <f t="shared" si="19"/>
        <v>3.3816425120772986E-2</v>
      </c>
    </row>
    <row r="38" spans="2:27" x14ac:dyDescent="0.2">
      <c r="B38" s="2">
        <v>36</v>
      </c>
      <c r="C38" s="2" t="str">
        <f t="shared" si="20"/>
        <v>s</v>
      </c>
      <c r="D38" s="29" t="s">
        <v>1</v>
      </c>
      <c r="E38" s="29" t="s">
        <v>209</v>
      </c>
      <c r="F38" s="2" t="s">
        <v>211</v>
      </c>
      <c r="G38" s="2">
        <f t="shared" si="10"/>
        <v>4</v>
      </c>
      <c r="H38" s="2" t="str">
        <f t="shared" si="2"/>
        <v>物理</v>
      </c>
      <c r="I38" s="38">
        <f t="shared" si="6"/>
        <v>0.08</v>
      </c>
      <c r="J38" s="33">
        <f t="shared" si="17"/>
        <v>57</v>
      </c>
      <c r="K38" s="33">
        <f t="shared" si="18"/>
        <v>62</v>
      </c>
      <c r="L38" s="33">
        <f t="shared" si="18"/>
        <v>5</v>
      </c>
      <c r="M38" s="33">
        <f t="shared" si="18"/>
        <v>42</v>
      </c>
      <c r="N38" s="33">
        <f t="shared" si="18"/>
        <v>19</v>
      </c>
      <c r="O38" s="33">
        <f t="shared" si="18"/>
        <v>26</v>
      </c>
      <c r="P38" s="33">
        <f t="shared" si="18"/>
        <v>22</v>
      </c>
      <c r="Q38" s="33">
        <f t="shared" si="18"/>
        <v>19</v>
      </c>
      <c r="R38" s="35">
        <f t="shared" si="7"/>
        <v>3.7999999999999999E-2</v>
      </c>
      <c r="S38" s="35">
        <f t="shared" si="8"/>
        <v>4.4000000000000004E-2</v>
      </c>
      <c r="T38" s="35">
        <f t="shared" si="9"/>
        <v>2.375E-2</v>
      </c>
      <c r="U38" s="35">
        <f t="shared" si="19"/>
        <v>8.6757990867579959E-2</v>
      </c>
      <c r="V38" s="35">
        <f t="shared" si="19"/>
        <v>4.7619047619047672E-2</v>
      </c>
      <c r="W38" s="35">
        <f t="shared" si="19"/>
        <v>4.7619047619047672E-2</v>
      </c>
      <c r="X38" s="35">
        <f t="shared" si="19"/>
        <v>4.7619047619047672E-2</v>
      </c>
      <c r="Y38" s="35">
        <f t="shared" si="19"/>
        <v>4.7619047619047672E-2</v>
      </c>
      <c r="Z38" s="35">
        <f t="shared" si="19"/>
        <v>4.7619047619047672E-2</v>
      </c>
      <c r="AA38" s="35">
        <f t="shared" si="19"/>
        <v>4.7619047619047672E-2</v>
      </c>
    </row>
    <row r="39" spans="2:27" x14ac:dyDescent="0.2">
      <c r="B39" s="2">
        <v>37</v>
      </c>
      <c r="C39" s="2" t="str">
        <f t="shared" si="20"/>
        <v>s</v>
      </c>
      <c r="D39" s="29" t="s">
        <v>1</v>
      </c>
      <c r="E39" s="29" t="s">
        <v>209</v>
      </c>
      <c r="F39" s="2" t="s">
        <v>211</v>
      </c>
      <c r="G39" s="2">
        <f t="shared" si="10"/>
        <v>5</v>
      </c>
      <c r="H39" s="2" t="str">
        <f t="shared" si="2"/>
        <v>物理</v>
      </c>
      <c r="I39" s="38">
        <f t="shared" si="6"/>
        <v>9.0571428571428567E-2</v>
      </c>
      <c r="J39" s="33">
        <f t="shared" si="17"/>
        <v>72</v>
      </c>
      <c r="K39" s="33">
        <f t="shared" si="18"/>
        <v>78</v>
      </c>
      <c r="L39" s="33">
        <f t="shared" si="18"/>
        <v>7</v>
      </c>
      <c r="M39" s="33">
        <f t="shared" si="18"/>
        <v>52</v>
      </c>
      <c r="N39" s="33">
        <f t="shared" si="18"/>
        <v>24</v>
      </c>
      <c r="O39" s="33">
        <f t="shared" si="18"/>
        <v>33</v>
      </c>
      <c r="P39" s="33">
        <f t="shared" si="18"/>
        <v>27</v>
      </c>
      <c r="Q39" s="33">
        <f t="shared" si="18"/>
        <v>24</v>
      </c>
      <c r="R39" s="35">
        <f t="shared" si="7"/>
        <v>4.8000000000000001E-2</v>
      </c>
      <c r="S39" s="35">
        <f t="shared" si="8"/>
        <v>5.4000000000000006E-2</v>
      </c>
      <c r="T39" s="35">
        <f t="shared" si="9"/>
        <v>0.03</v>
      </c>
      <c r="U39" s="35">
        <f t="shared" si="19"/>
        <v>0.1071428571428571</v>
      </c>
      <c r="V39" s="35">
        <f t="shared" si="19"/>
        <v>5.6603773584905648E-2</v>
      </c>
      <c r="W39" s="35">
        <f t="shared" si="19"/>
        <v>5.6603773584905648E-2</v>
      </c>
      <c r="X39" s="35">
        <f t="shared" si="19"/>
        <v>5.6603773584905648E-2</v>
      </c>
      <c r="Y39" s="35">
        <f t="shared" si="19"/>
        <v>5.6603773584905648E-2</v>
      </c>
      <c r="Z39" s="35">
        <f t="shared" si="19"/>
        <v>5.6603773584905648E-2</v>
      </c>
      <c r="AA39" s="35">
        <f t="shared" si="19"/>
        <v>5.6603773584905648E-2</v>
      </c>
    </row>
    <row r="40" spans="2:27" x14ac:dyDescent="0.2">
      <c r="B40" s="2">
        <v>38</v>
      </c>
      <c r="C40" s="2" t="str">
        <f t="shared" si="20"/>
        <v>s</v>
      </c>
      <c r="D40" s="29" t="s">
        <v>1</v>
      </c>
      <c r="E40" s="29" t="s">
        <v>209</v>
      </c>
      <c r="F40" s="2" t="s">
        <v>211</v>
      </c>
      <c r="G40" s="2">
        <f t="shared" si="10"/>
        <v>6</v>
      </c>
      <c r="H40" s="2" t="str">
        <f t="shared" si="2"/>
        <v>物理</v>
      </c>
      <c r="I40" s="38">
        <f t="shared" si="6"/>
        <v>0.10828571428571429</v>
      </c>
      <c r="J40" s="33">
        <f t="shared" si="17"/>
        <v>86</v>
      </c>
      <c r="K40" s="33">
        <f t="shared" si="18"/>
        <v>93</v>
      </c>
      <c r="L40" s="33">
        <f t="shared" si="18"/>
        <v>8</v>
      </c>
      <c r="M40" s="33">
        <f t="shared" si="18"/>
        <v>63</v>
      </c>
      <c r="N40" s="33">
        <f t="shared" si="18"/>
        <v>28</v>
      </c>
      <c r="O40" s="33">
        <f t="shared" si="18"/>
        <v>40</v>
      </c>
      <c r="P40" s="33">
        <f t="shared" si="18"/>
        <v>33</v>
      </c>
      <c r="Q40" s="33">
        <f t="shared" si="18"/>
        <v>28</v>
      </c>
      <c r="R40" s="35">
        <f t="shared" si="7"/>
        <v>5.5999999999999994E-2</v>
      </c>
      <c r="S40" s="35">
        <f t="shared" si="8"/>
        <v>6.6000000000000003E-2</v>
      </c>
      <c r="T40" s="35">
        <f t="shared" si="9"/>
        <v>3.5000000000000003E-2</v>
      </c>
      <c r="U40" s="35">
        <f t="shared" si="19"/>
        <v>0.1266375545851528</v>
      </c>
      <c r="V40" s="35">
        <f t="shared" si="19"/>
        <v>6.5420560747663559E-2</v>
      </c>
      <c r="W40" s="35">
        <f t="shared" si="19"/>
        <v>6.5420560747663559E-2</v>
      </c>
      <c r="X40" s="35">
        <f t="shared" si="19"/>
        <v>6.5420560747663559E-2</v>
      </c>
      <c r="Y40" s="35">
        <f t="shared" si="19"/>
        <v>6.5420560747663559E-2</v>
      </c>
      <c r="Z40" s="35">
        <f t="shared" si="19"/>
        <v>6.5420560747663559E-2</v>
      </c>
      <c r="AA40" s="35">
        <f t="shared" si="19"/>
        <v>6.5420560747663559E-2</v>
      </c>
    </row>
    <row r="41" spans="2:27" x14ac:dyDescent="0.2">
      <c r="B41" s="2">
        <v>39</v>
      </c>
      <c r="C41" s="2" t="str">
        <f t="shared" si="20"/>
        <v>s</v>
      </c>
      <c r="D41" s="29" t="s">
        <v>1</v>
      </c>
      <c r="E41" s="29" t="s">
        <v>209</v>
      </c>
      <c r="F41" s="2" t="s">
        <v>211</v>
      </c>
      <c r="G41" s="2">
        <f t="shared" si="10"/>
        <v>7</v>
      </c>
      <c r="H41" s="2" t="str">
        <f t="shared" si="2"/>
        <v>物理</v>
      </c>
      <c r="I41" s="38">
        <f t="shared" si="6"/>
        <v>0.12657142857142856</v>
      </c>
      <c r="J41" s="33">
        <f t="shared" si="17"/>
        <v>100</v>
      </c>
      <c r="K41" s="33">
        <f t="shared" si="18"/>
        <v>109</v>
      </c>
      <c r="L41" s="33">
        <f t="shared" si="18"/>
        <v>10</v>
      </c>
      <c r="M41" s="33">
        <f t="shared" si="18"/>
        <v>73</v>
      </c>
      <c r="N41" s="33">
        <f t="shared" si="18"/>
        <v>33</v>
      </c>
      <c r="O41" s="33">
        <f t="shared" si="18"/>
        <v>47</v>
      </c>
      <c r="P41" s="33">
        <f t="shared" si="18"/>
        <v>38</v>
      </c>
      <c r="Q41" s="33">
        <f t="shared" si="18"/>
        <v>33</v>
      </c>
      <c r="R41" s="35">
        <f t="shared" si="7"/>
        <v>6.6000000000000003E-2</v>
      </c>
      <c r="S41" s="35">
        <f t="shared" si="8"/>
        <v>7.5999999999999998E-2</v>
      </c>
      <c r="T41" s="35">
        <f t="shared" si="9"/>
        <v>4.1250000000000002E-2</v>
      </c>
      <c r="U41" s="35">
        <f t="shared" si="19"/>
        <v>0.14529914529914534</v>
      </c>
      <c r="V41" s="35">
        <f t="shared" si="19"/>
        <v>7.8341013824884786E-2</v>
      </c>
      <c r="W41" s="35">
        <f t="shared" si="19"/>
        <v>7.8341013824884786E-2</v>
      </c>
      <c r="X41" s="35">
        <f t="shared" si="19"/>
        <v>7.8341013824884786E-2</v>
      </c>
      <c r="Y41" s="35">
        <f t="shared" si="19"/>
        <v>7.8341013824884786E-2</v>
      </c>
      <c r="Z41" s="35">
        <f t="shared" si="19"/>
        <v>7.8341013824884786E-2</v>
      </c>
      <c r="AA41" s="35">
        <f t="shared" si="19"/>
        <v>7.8341013824884786E-2</v>
      </c>
    </row>
    <row r="42" spans="2:27" x14ac:dyDescent="0.2">
      <c r="B42" s="2">
        <v>40</v>
      </c>
      <c r="C42" s="2" t="str">
        <f t="shared" si="20"/>
        <v>s</v>
      </c>
      <c r="D42" s="29" t="s">
        <v>1</v>
      </c>
      <c r="E42" s="29" t="s">
        <v>209</v>
      </c>
      <c r="F42" s="2" t="s">
        <v>211</v>
      </c>
      <c r="G42" s="2">
        <f t="shared" si="10"/>
        <v>8</v>
      </c>
      <c r="H42" s="2" t="str">
        <f t="shared" si="2"/>
        <v>物理</v>
      </c>
      <c r="I42" s="38">
        <f t="shared" si="6"/>
        <v>0.14485714285714285</v>
      </c>
      <c r="J42" s="33">
        <f t="shared" si="17"/>
        <v>115</v>
      </c>
      <c r="K42" s="33">
        <f t="shared" si="18"/>
        <v>124</v>
      </c>
      <c r="L42" s="33">
        <f t="shared" si="18"/>
        <v>11</v>
      </c>
      <c r="M42" s="33">
        <f t="shared" si="18"/>
        <v>84</v>
      </c>
      <c r="N42" s="33">
        <f t="shared" si="18"/>
        <v>38</v>
      </c>
      <c r="O42" s="33">
        <f t="shared" si="18"/>
        <v>53</v>
      </c>
      <c r="P42" s="33">
        <f t="shared" si="18"/>
        <v>44</v>
      </c>
      <c r="Q42" s="33">
        <f t="shared" si="18"/>
        <v>38</v>
      </c>
      <c r="R42" s="35">
        <f t="shared" si="7"/>
        <v>7.5999999999999998E-2</v>
      </c>
      <c r="S42" s="35">
        <f t="shared" si="8"/>
        <v>8.8000000000000009E-2</v>
      </c>
      <c r="T42" s="35">
        <f t="shared" si="9"/>
        <v>4.7500000000000001E-2</v>
      </c>
      <c r="U42" s="35">
        <f t="shared" si="19"/>
        <v>0.15966386554621848</v>
      </c>
      <c r="V42" s="35">
        <f t="shared" si="19"/>
        <v>8.6757990867579959E-2</v>
      </c>
      <c r="W42" s="35">
        <f t="shared" si="19"/>
        <v>8.6757990867579959E-2</v>
      </c>
      <c r="X42" s="35">
        <f t="shared" si="19"/>
        <v>8.6757990867579959E-2</v>
      </c>
      <c r="Y42" s="35">
        <f t="shared" si="19"/>
        <v>8.6757990867579959E-2</v>
      </c>
      <c r="Z42" s="35">
        <f t="shared" si="19"/>
        <v>8.6757990867579959E-2</v>
      </c>
      <c r="AA42" s="35">
        <f t="shared" si="19"/>
        <v>8.6757990867579959E-2</v>
      </c>
    </row>
    <row r="43" spans="2:27" x14ac:dyDescent="0.2">
      <c r="B43" s="2">
        <v>41</v>
      </c>
      <c r="C43" s="2" t="str">
        <f t="shared" si="20"/>
        <v>a</v>
      </c>
      <c r="D43" s="29" t="s">
        <v>1</v>
      </c>
      <c r="E43" s="29" t="s">
        <v>209</v>
      </c>
      <c r="F43" s="2" t="s">
        <v>211</v>
      </c>
      <c r="G43" s="2">
        <f t="shared" si="10"/>
        <v>1</v>
      </c>
      <c r="H43" s="2" t="str">
        <f t="shared" si="2"/>
        <v>物理</v>
      </c>
      <c r="I43" s="38">
        <f t="shared" si="6"/>
        <v>0.08</v>
      </c>
      <c r="J43" s="33">
        <f t="shared" ref="J43:J52" si="21">INT((1+VLOOKUP($F43,role_property_weight,getpos(J$2),FALSE))*(1+VLOOKUP($F43,drop_property_weight,getpos(J$2),FALSE))*VLOOKUP($E43,role_grow,getpos(J$2),FALSE)*$G43*10*VLOOKUP($C43,drop_grow1,4,FALSE))</f>
        <v>10</v>
      </c>
      <c r="K43" s="33">
        <f t="shared" ref="K43:Q52" si="22">INT((1+VLOOKUP($F43,role_property_weight,getpos(K$2),FALSE))*(1+VLOOKUP($F43,drop_property_weight,getpos(K$2),FALSE))*VLOOKUP($E43,role_grow,getpos(K$2),FALSE)*$G43*10*VLOOKUP($C43,drop_grow1,5,FALSE))</f>
        <v>17</v>
      </c>
      <c r="L43" s="33">
        <f t="shared" si="22"/>
        <v>1</v>
      </c>
      <c r="M43" s="33">
        <f t="shared" si="22"/>
        <v>11</v>
      </c>
      <c r="N43" s="33">
        <f t="shared" si="22"/>
        <v>5</v>
      </c>
      <c r="O43" s="33">
        <f t="shared" si="22"/>
        <v>7</v>
      </c>
      <c r="P43" s="33">
        <f t="shared" si="22"/>
        <v>6</v>
      </c>
      <c r="Q43" s="33">
        <f t="shared" si="22"/>
        <v>5</v>
      </c>
      <c r="R43" s="35">
        <f t="shared" si="7"/>
        <v>0.01</v>
      </c>
      <c r="S43" s="35">
        <f t="shared" si="8"/>
        <v>1.2E-2</v>
      </c>
      <c r="T43" s="35">
        <f t="shared" si="9"/>
        <v>6.2500000000000003E-3</v>
      </c>
      <c r="U43" s="35">
        <f t="shared" ref="U43:AA52" si="23">1-200/(200+ROUND((1+VLOOKUP($F43,role_property_weight,getpos(U$2),FALSE))*VLOOKUP($E43,role_grow,getpos(U$2),FALSE)*$G43*10*VLOOKUP($C43,drop_grow1,5,FALSE),0))</f>
        <v>2.4390243902439046E-2</v>
      </c>
      <c r="V43" s="35">
        <f t="shared" si="23"/>
        <v>1.4778325123152691E-2</v>
      </c>
      <c r="W43" s="35">
        <f t="shared" si="23"/>
        <v>1.4778325123152691E-2</v>
      </c>
      <c r="X43" s="35">
        <f t="shared" si="23"/>
        <v>1.4778325123152691E-2</v>
      </c>
      <c r="Y43" s="35">
        <f t="shared" si="23"/>
        <v>1.4778325123152691E-2</v>
      </c>
      <c r="Z43" s="35">
        <f t="shared" si="23"/>
        <v>1.4778325123152691E-2</v>
      </c>
      <c r="AA43" s="35">
        <f t="shared" si="23"/>
        <v>1.4778325123152691E-2</v>
      </c>
    </row>
    <row r="44" spans="2:27" x14ac:dyDescent="0.2">
      <c r="B44" s="2">
        <v>42</v>
      </c>
      <c r="C44" s="2" t="str">
        <f t="shared" si="20"/>
        <v>a</v>
      </c>
      <c r="D44" s="29" t="s">
        <v>1</v>
      </c>
      <c r="E44" s="29" t="s">
        <v>209</v>
      </c>
      <c r="F44" s="2" t="s">
        <v>211</v>
      </c>
      <c r="G44" s="2">
        <f t="shared" si="10"/>
        <v>2</v>
      </c>
      <c r="H44" s="2" t="str">
        <f t="shared" si="2"/>
        <v>物理</v>
      </c>
      <c r="I44" s="38">
        <f t="shared" si="6"/>
        <v>0.08</v>
      </c>
      <c r="J44" s="33">
        <f t="shared" si="21"/>
        <v>21</v>
      </c>
      <c r="K44" s="33">
        <f t="shared" si="22"/>
        <v>34</v>
      </c>
      <c r="L44" s="33">
        <f t="shared" si="22"/>
        <v>3</v>
      </c>
      <c r="M44" s="33">
        <f t="shared" si="22"/>
        <v>23</v>
      </c>
      <c r="N44" s="33">
        <f t="shared" si="22"/>
        <v>10</v>
      </c>
      <c r="O44" s="33">
        <f t="shared" si="22"/>
        <v>14</v>
      </c>
      <c r="P44" s="33">
        <f t="shared" si="22"/>
        <v>12</v>
      </c>
      <c r="Q44" s="33">
        <f t="shared" si="22"/>
        <v>10</v>
      </c>
      <c r="R44" s="35">
        <f t="shared" si="7"/>
        <v>0.02</v>
      </c>
      <c r="S44" s="35">
        <f t="shared" si="8"/>
        <v>2.4E-2</v>
      </c>
      <c r="T44" s="35">
        <f t="shared" si="9"/>
        <v>1.2500000000000001E-2</v>
      </c>
      <c r="U44" s="35">
        <f t="shared" si="23"/>
        <v>5.2132701421800931E-2</v>
      </c>
      <c r="V44" s="35">
        <f t="shared" si="23"/>
        <v>2.4390243902439046E-2</v>
      </c>
      <c r="W44" s="35">
        <f t="shared" si="23"/>
        <v>2.4390243902439046E-2</v>
      </c>
      <c r="X44" s="35">
        <f t="shared" si="23"/>
        <v>2.4390243902439046E-2</v>
      </c>
      <c r="Y44" s="35">
        <f t="shared" si="23"/>
        <v>2.4390243902439046E-2</v>
      </c>
      <c r="Z44" s="35">
        <f t="shared" si="23"/>
        <v>2.4390243902439046E-2</v>
      </c>
      <c r="AA44" s="35">
        <f t="shared" si="23"/>
        <v>2.4390243902439046E-2</v>
      </c>
    </row>
    <row r="45" spans="2:27" x14ac:dyDescent="0.2">
      <c r="B45" s="2">
        <v>43</v>
      </c>
      <c r="C45" s="2" t="str">
        <f t="shared" si="20"/>
        <v>a</v>
      </c>
      <c r="D45" s="29" t="s">
        <v>1</v>
      </c>
      <c r="E45" s="29" t="s">
        <v>209</v>
      </c>
      <c r="F45" s="2" t="s">
        <v>211</v>
      </c>
      <c r="G45" s="2">
        <f t="shared" si="10"/>
        <v>3</v>
      </c>
      <c r="H45" s="2" t="str">
        <f t="shared" si="2"/>
        <v>物理</v>
      </c>
      <c r="I45" s="38">
        <f t="shared" si="6"/>
        <v>0.08</v>
      </c>
      <c r="J45" s="33">
        <f t="shared" si="21"/>
        <v>32</v>
      </c>
      <c r="K45" s="33">
        <f t="shared" si="22"/>
        <v>52</v>
      </c>
      <c r="L45" s="33">
        <f t="shared" si="22"/>
        <v>4</v>
      </c>
      <c r="M45" s="33">
        <f t="shared" si="22"/>
        <v>35</v>
      </c>
      <c r="N45" s="33">
        <f t="shared" si="22"/>
        <v>16</v>
      </c>
      <c r="O45" s="33">
        <f t="shared" si="22"/>
        <v>22</v>
      </c>
      <c r="P45" s="33">
        <f t="shared" si="22"/>
        <v>18</v>
      </c>
      <c r="Q45" s="33">
        <f t="shared" si="22"/>
        <v>16</v>
      </c>
      <c r="R45" s="35">
        <f t="shared" si="7"/>
        <v>3.2000000000000001E-2</v>
      </c>
      <c r="S45" s="35">
        <f t="shared" si="8"/>
        <v>3.6000000000000004E-2</v>
      </c>
      <c r="T45" s="35">
        <f t="shared" si="9"/>
        <v>0.02</v>
      </c>
      <c r="U45" s="35">
        <f t="shared" si="23"/>
        <v>7.407407407407407E-2</v>
      </c>
      <c r="V45" s="35">
        <f t="shared" si="23"/>
        <v>3.8461538461538436E-2</v>
      </c>
      <c r="W45" s="35">
        <f t="shared" si="23"/>
        <v>3.8461538461538436E-2</v>
      </c>
      <c r="X45" s="35">
        <f t="shared" si="23"/>
        <v>3.8461538461538436E-2</v>
      </c>
      <c r="Y45" s="35">
        <f t="shared" si="23"/>
        <v>3.8461538461538436E-2</v>
      </c>
      <c r="Z45" s="35">
        <f t="shared" si="23"/>
        <v>3.8461538461538436E-2</v>
      </c>
      <c r="AA45" s="35">
        <f t="shared" si="23"/>
        <v>3.8461538461538436E-2</v>
      </c>
    </row>
    <row r="46" spans="2:27" x14ac:dyDescent="0.2">
      <c r="B46" s="2">
        <v>44</v>
      </c>
      <c r="C46" s="2" t="str">
        <f t="shared" si="20"/>
        <v>a</v>
      </c>
      <c r="D46" s="29" t="s">
        <v>1</v>
      </c>
      <c r="E46" s="29" t="s">
        <v>209</v>
      </c>
      <c r="F46" s="2" t="s">
        <v>211</v>
      </c>
      <c r="G46" s="2">
        <f t="shared" si="10"/>
        <v>4</v>
      </c>
      <c r="H46" s="2" t="str">
        <f t="shared" si="2"/>
        <v>物理</v>
      </c>
      <c r="I46" s="38">
        <f t="shared" si="6"/>
        <v>0.08</v>
      </c>
      <c r="J46" s="33">
        <f t="shared" si="21"/>
        <v>43</v>
      </c>
      <c r="K46" s="33">
        <f t="shared" si="22"/>
        <v>69</v>
      </c>
      <c r="L46" s="33">
        <f t="shared" si="22"/>
        <v>6</v>
      </c>
      <c r="M46" s="33">
        <f t="shared" si="22"/>
        <v>46</v>
      </c>
      <c r="N46" s="33">
        <f t="shared" si="22"/>
        <v>21</v>
      </c>
      <c r="O46" s="33">
        <f t="shared" si="22"/>
        <v>29</v>
      </c>
      <c r="P46" s="33">
        <f t="shared" si="22"/>
        <v>24</v>
      </c>
      <c r="Q46" s="33">
        <f t="shared" si="22"/>
        <v>21</v>
      </c>
      <c r="R46" s="35">
        <f t="shared" si="7"/>
        <v>4.2000000000000003E-2</v>
      </c>
      <c r="S46" s="35">
        <f t="shared" si="8"/>
        <v>4.8000000000000001E-2</v>
      </c>
      <c r="T46" s="35">
        <f t="shared" si="9"/>
        <v>2.6249999999999999E-2</v>
      </c>
      <c r="U46" s="35">
        <f t="shared" si="23"/>
        <v>9.5022624434389136E-2</v>
      </c>
      <c r="V46" s="35">
        <f t="shared" si="23"/>
        <v>5.2132701421800931E-2</v>
      </c>
      <c r="W46" s="35">
        <f t="shared" si="23"/>
        <v>5.2132701421800931E-2</v>
      </c>
      <c r="X46" s="35">
        <f t="shared" si="23"/>
        <v>5.2132701421800931E-2</v>
      </c>
      <c r="Y46" s="35">
        <f t="shared" si="23"/>
        <v>5.2132701421800931E-2</v>
      </c>
      <c r="Z46" s="35">
        <f t="shared" si="23"/>
        <v>5.2132701421800931E-2</v>
      </c>
      <c r="AA46" s="35">
        <f t="shared" si="23"/>
        <v>5.2132701421800931E-2</v>
      </c>
    </row>
    <row r="47" spans="2:27" x14ac:dyDescent="0.2">
      <c r="B47" s="2">
        <v>45</v>
      </c>
      <c r="C47" s="2" t="str">
        <f t="shared" si="20"/>
        <v>a</v>
      </c>
      <c r="D47" s="29" t="s">
        <v>1</v>
      </c>
      <c r="E47" s="29" t="s">
        <v>209</v>
      </c>
      <c r="F47" s="2" t="s">
        <v>211</v>
      </c>
      <c r="G47" s="2">
        <f t="shared" si="10"/>
        <v>5</v>
      </c>
      <c r="H47" s="2" t="str">
        <f t="shared" si="2"/>
        <v>物理</v>
      </c>
      <c r="I47" s="38">
        <f t="shared" si="6"/>
        <v>9.285714285714286E-2</v>
      </c>
      <c r="J47" s="33">
        <f t="shared" si="21"/>
        <v>54</v>
      </c>
      <c r="K47" s="33">
        <f t="shared" si="22"/>
        <v>86</v>
      </c>
      <c r="L47" s="33">
        <f t="shared" si="22"/>
        <v>8</v>
      </c>
      <c r="M47" s="33">
        <f t="shared" si="22"/>
        <v>58</v>
      </c>
      <c r="N47" s="33">
        <f t="shared" si="22"/>
        <v>26</v>
      </c>
      <c r="O47" s="33">
        <f t="shared" si="22"/>
        <v>37</v>
      </c>
      <c r="P47" s="33">
        <f t="shared" si="22"/>
        <v>30</v>
      </c>
      <c r="Q47" s="33">
        <f t="shared" si="22"/>
        <v>26</v>
      </c>
      <c r="R47" s="35">
        <f t="shared" si="7"/>
        <v>5.2000000000000005E-2</v>
      </c>
      <c r="S47" s="35">
        <f t="shared" si="8"/>
        <v>0.06</v>
      </c>
      <c r="T47" s="35">
        <f t="shared" si="9"/>
        <v>3.2500000000000001E-2</v>
      </c>
      <c r="U47" s="35">
        <f t="shared" si="23"/>
        <v>0.11894273127753308</v>
      </c>
      <c r="V47" s="35">
        <f t="shared" si="23"/>
        <v>6.1032863849765251E-2</v>
      </c>
      <c r="W47" s="35">
        <f t="shared" si="23"/>
        <v>6.1032863849765251E-2</v>
      </c>
      <c r="X47" s="35">
        <f t="shared" si="23"/>
        <v>6.1032863849765251E-2</v>
      </c>
      <c r="Y47" s="35">
        <f t="shared" si="23"/>
        <v>6.1032863849765251E-2</v>
      </c>
      <c r="Z47" s="35">
        <f t="shared" si="23"/>
        <v>6.1032863849765251E-2</v>
      </c>
      <c r="AA47" s="35">
        <f t="shared" si="23"/>
        <v>6.1032863849765251E-2</v>
      </c>
    </row>
    <row r="48" spans="2:27" x14ac:dyDescent="0.2">
      <c r="B48" s="2">
        <v>46</v>
      </c>
      <c r="C48" s="2" t="str">
        <f t="shared" si="20"/>
        <v>a</v>
      </c>
      <c r="D48" s="29" t="s">
        <v>1</v>
      </c>
      <c r="E48" s="29" t="s">
        <v>209</v>
      </c>
      <c r="F48" s="2" t="s">
        <v>211</v>
      </c>
      <c r="G48" s="2">
        <f t="shared" si="10"/>
        <v>6</v>
      </c>
      <c r="H48" s="2" t="str">
        <f t="shared" si="2"/>
        <v>物理</v>
      </c>
      <c r="I48" s="38">
        <f t="shared" si="6"/>
        <v>0.11171428571428571</v>
      </c>
      <c r="J48" s="33">
        <f t="shared" si="21"/>
        <v>64</v>
      </c>
      <c r="K48" s="33">
        <f t="shared" si="22"/>
        <v>104</v>
      </c>
      <c r="L48" s="33">
        <f t="shared" si="22"/>
        <v>9</v>
      </c>
      <c r="M48" s="33">
        <f t="shared" si="22"/>
        <v>70</v>
      </c>
      <c r="N48" s="33">
        <f t="shared" si="22"/>
        <v>32</v>
      </c>
      <c r="O48" s="33">
        <f t="shared" si="22"/>
        <v>44</v>
      </c>
      <c r="P48" s="33">
        <f t="shared" si="22"/>
        <v>36</v>
      </c>
      <c r="Q48" s="33">
        <f t="shared" si="22"/>
        <v>32</v>
      </c>
      <c r="R48" s="35">
        <f t="shared" si="7"/>
        <v>6.4000000000000001E-2</v>
      </c>
      <c r="S48" s="35">
        <f t="shared" si="8"/>
        <v>7.2000000000000008E-2</v>
      </c>
      <c r="T48" s="35">
        <f t="shared" si="9"/>
        <v>0.04</v>
      </c>
      <c r="U48" s="35">
        <f t="shared" si="23"/>
        <v>0.13793103448275867</v>
      </c>
      <c r="V48" s="35">
        <f t="shared" si="23"/>
        <v>7.407407407407407E-2</v>
      </c>
      <c r="W48" s="35">
        <f t="shared" si="23"/>
        <v>7.407407407407407E-2</v>
      </c>
      <c r="X48" s="35">
        <f t="shared" si="23"/>
        <v>7.407407407407407E-2</v>
      </c>
      <c r="Y48" s="35">
        <f t="shared" si="23"/>
        <v>7.407407407407407E-2</v>
      </c>
      <c r="Z48" s="35">
        <f t="shared" si="23"/>
        <v>7.407407407407407E-2</v>
      </c>
      <c r="AA48" s="35">
        <f t="shared" si="23"/>
        <v>7.407407407407407E-2</v>
      </c>
    </row>
    <row r="49" spans="2:27" x14ac:dyDescent="0.2">
      <c r="B49" s="2">
        <v>47</v>
      </c>
      <c r="C49" s="2" t="str">
        <f t="shared" si="20"/>
        <v>a</v>
      </c>
      <c r="D49" s="29" t="s">
        <v>1</v>
      </c>
      <c r="E49" s="29" t="s">
        <v>209</v>
      </c>
      <c r="F49" s="2" t="s">
        <v>211</v>
      </c>
      <c r="G49" s="2">
        <f t="shared" si="10"/>
        <v>7</v>
      </c>
      <c r="H49" s="2" t="str">
        <f t="shared" si="2"/>
        <v>物理</v>
      </c>
      <c r="I49" s="38">
        <f t="shared" si="6"/>
        <v>0.13057142857142856</v>
      </c>
      <c r="J49" s="33">
        <f t="shared" si="21"/>
        <v>75</v>
      </c>
      <c r="K49" s="33">
        <f t="shared" si="22"/>
        <v>121</v>
      </c>
      <c r="L49" s="33">
        <f t="shared" si="22"/>
        <v>11</v>
      </c>
      <c r="M49" s="33">
        <f t="shared" si="22"/>
        <v>82</v>
      </c>
      <c r="N49" s="33">
        <f t="shared" si="22"/>
        <v>37</v>
      </c>
      <c r="O49" s="33">
        <f t="shared" si="22"/>
        <v>52</v>
      </c>
      <c r="P49" s="33">
        <f t="shared" si="22"/>
        <v>42</v>
      </c>
      <c r="Q49" s="33">
        <f t="shared" si="22"/>
        <v>37</v>
      </c>
      <c r="R49" s="35">
        <f t="shared" si="7"/>
        <v>7.400000000000001E-2</v>
      </c>
      <c r="S49" s="35">
        <f t="shared" si="8"/>
        <v>8.4000000000000005E-2</v>
      </c>
      <c r="T49" s="35">
        <f t="shared" si="9"/>
        <v>4.6249999999999999E-2</v>
      </c>
      <c r="U49" s="35">
        <f t="shared" si="23"/>
        <v>0.15611814345991559</v>
      </c>
      <c r="V49" s="35">
        <f t="shared" si="23"/>
        <v>8.6757990867579959E-2</v>
      </c>
      <c r="W49" s="35">
        <f t="shared" si="23"/>
        <v>8.6757990867579959E-2</v>
      </c>
      <c r="X49" s="35">
        <f t="shared" si="23"/>
        <v>8.6757990867579959E-2</v>
      </c>
      <c r="Y49" s="35">
        <f t="shared" si="23"/>
        <v>8.6757990867579959E-2</v>
      </c>
      <c r="Z49" s="35">
        <f t="shared" si="23"/>
        <v>8.6757990867579959E-2</v>
      </c>
      <c r="AA49" s="35">
        <f t="shared" si="23"/>
        <v>8.6757990867579959E-2</v>
      </c>
    </row>
    <row r="50" spans="2:27" x14ac:dyDescent="0.2">
      <c r="B50" s="2">
        <v>48</v>
      </c>
      <c r="C50" s="2" t="str">
        <f t="shared" si="20"/>
        <v>a</v>
      </c>
      <c r="D50" s="29" t="s">
        <v>1</v>
      </c>
      <c r="E50" s="29" t="s">
        <v>209</v>
      </c>
      <c r="F50" s="2" t="s">
        <v>211</v>
      </c>
      <c r="G50" s="2">
        <f t="shared" si="10"/>
        <v>8</v>
      </c>
      <c r="H50" s="2" t="str">
        <f t="shared" si="2"/>
        <v>物理</v>
      </c>
      <c r="I50" s="38">
        <f t="shared" si="6"/>
        <v>0.14885714285714285</v>
      </c>
      <c r="J50" s="33">
        <f t="shared" si="21"/>
        <v>86</v>
      </c>
      <c r="K50" s="33">
        <f t="shared" si="22"/>
        <v>138</v>
      </c>
      <c r="L50" s="33">
        <f t="shared" si="22"/>
        <v>12</v>
      </c>
      <c r="M50" s="33">
        <f t="shared" si="22"/>
        <v>93</v>
      </c>
      <c r="N50" s="33">
        <f t="shared" si="22"/>
        <v>42</v>
      </c>
      <c r="O50" s="33">
        <f t="shared" si="22"/>
        <v>59</v>
      </c>
      <c r="P50" s="33">
        <f t="shared" si="22"/>
        <v>49</v>
      </c>
      <c r="Q50" s="33">
        <f t="shared" si="22"/>
        <v>42</v>
      </c>
      <c r="R50" s="35">
        <f t="shared" si="7"/>
        <v>8.4000000000000005E-2</v>
      </c>
      <c r="S50" s="35">
        <f t="shared" si="8"/>
        <v>9.8000000000000004E-2</v>
      </c>
      <c r="T50" s="35">
        <f t="shared" si="9"/>
        <v>5.2499999999999998E-2</v>
      </c>
      <c r="U50" s="35">
        <f t="shared" si="23"/>
        <v>0.17695473251028804</v>
      </c>
      <c r="V50" s="35">
        <f t="shared" si="23"/>
        <v>9.5022624434389136E-2</v>
      </c>
      <c r="W50" s="35">
        <f t="shared" si="23"/>
        <v>9.5022624434389136E-2</v>
      </c>
      <c r="X50" s="35">
        <f t="shared" si="23"/>
        <v>9.5022624434389136E-2</v>
      </c>
      <c r="Y50" s="35">
        <f t="shared" si="23"/>
        <v>9.5022624434389136E-2</v>
      </c>
      <c r="Z50" s="35">
        <f t="shared" si="23"/>
        <v>9.5022624434389136E-2</v>
      </c>
      <c r="AA50" s="35">
        <f t="shared" si="23"/>
        <v>9.5022624434389136E-2</v>
      </c>
    </row>
    <row r="51" spans="2:27" x14ac:dyDescent="0.2">
      <c r="B51" s="2">
        <v>49</v>
      </c>
      <c r="C51" s="2" t="str">
        <f t="shared" si="20"/>
        <v>b</v>
      </c>
      <c r="D51" s="29" t="s">
        <v>1</v>
      </c>
      <c r="E51" s="29" t="s">
        <v>209</v>
      </c>
      <c r="F51" s="2" t="s">
        <v>211</v>
      </c>
      <c r="G51" s="2">
        <f t="shared" si="10"/>
        <v>1</v>
      </c>
      <c r="H51" s="2" t="str">
        <f t="shared" si="2"/>
        <v>物理</v>
      </c>
      <c r="I51" s="38">
        <f t="shared" si="6"/>
        <v>0.08</v>
      </c>
      <c r="J51" s="33">
        <f t="shared" si="21"/>
        <v>12</v>
      </c>
      <c r="K51" s="33">
        <f t="shared" si="22"/>
        <v>26</v>
      </c>
      <c r="L51" s="33">
        <f t="shared" si="22"/>
        <v>2</v>
      </c>
      <c r="M51" s="33">
        <f t="shared" si="22"/>
        <v>17</v>
      </c>
      <c r="N51" s="33">
        <f t="shared" si="22"/>
        <v>8</v>
      </c>
      <c r="O51" s="33">
        <f t="shared" si="22"/>
        <v>11</v>
      </c>
      <c r="P51" s="33">
        <f t="shared" si="22"/>
        <v>9</v>
      </c>
      <c r="Q51" s="33">
        <f t="shared" si="22"/>
        <v>8</v>
      </c>
      <c r="R51" s="35">
        <f t="shared" si="7"/>
        <v>1.6E-2</v>
      </c>
      <c r="S51" s="35">
        <f t="shared" si="8"/>
        <v>1.8000000000000002E-2</v>
      </c>
      <c r="T51" s="35">
        <f t="shared" si="9"/>
        <v>0.01</v>
      </c>
      <c r="U51" s="35">
        <f t="shared" si="23"/>
        <v>3.8461538461538436E-2</v>
      </c>
      <c r="V51" s="35">
        <f t="shared" si="23"/>
        <v>1.9607843137254943E-2</v>
      </c>
      <c r="W51" s="35">
        <f t="shared" si="23"/>
        <v>1.9607843137254943E-2</v>
      </c>
      <c r="X51" s="35">
        <f t="shared" si="23"/>
        <v>1.9607843137254943E-2</v>
      </c>
      <c r="Y51" s="35">
        <f t="shared" si="23"/>
        <v>1.9607843137254943E-2</v>
      </c>
      <c r="Z51" s="35">
        <f t="shared" si="23"/>
        <v>1.9607843137254943E-2</v>
      </c>
      <c r="AA51" s="35">
        <f t="shared" si="23"/>
        <v>1.9607843137254943E-2</v>
      </c>
    </row>
    <row r="52" spans="2:27" x14ac:dyDescent="0.2">
      <c r="B52" s="2">
        <v>50</v>
      </c>
      <c r="C52" s="2" t="str">
        <f t="shared" si="20"/>
        <v>b</v>
      </c>
      <c r="D52" s="29" t="s">
        <v>1</v>
      </c>
      <c r="E52" s="29" t="s">
        <v>209</v>
      </c>
      <c r="F52" s="2" t="s">
        <v>211</v>
      </c>
      <c r="G52" s="2">
        <f t="shared" si="10"/>
        <v>2</v>
      </c>
      <c r="H52" s="2" t="str">
        <f t="shared" si="2"/>
        <v>物理</v>
      </c>
      <c r="I52" s="38">
        <f t="shared" si="6"/>
        <v>0.08</v>
      </c>
      <c r="J52" s="33">
        <f t="shared" si="21"/>
        <v>25</v>
      </c>
      <c r="K52" s="33">
        <f t="shared" si="22"/>
        <v>52</v>
      </c>
      <c r="L52" s="33">
        <f t="shared" si="22"/>
        <v>4</v>
      </c>
      <c r="M52" s="33">
        <f t="shared" si="22"/>
        <v>35</v>
      </c>
      <c r="N52" s="33">
        <f t="shared" si="22"/>
        <v>16</v>
      </c>
      <c r="O52" s="33">
        <f t="shared" si="22"/>
        <v>22</v>
      </c>
      <c r="P52" s="33">
        <f t="shared" si="22"/>
        <v>18</v>
      </c>
      <c r="Q52" s="33">
        <f t="shared" si="22"/>
        <v>16</v>
      </c>
      <c r="R52" s="35">
        <f t="shared" si="7"/>
        <v>3.2000000000000001E-2</v>
      </c>
      <c r="S52" s="35">
        <f t="shared" si="8"/>
        <v>3.6000000000000004E-2</v>
      </c>
      <c r="T52" s="35">
        <f t="shared" si="9"/>
        <v>0.02</v>
      </c>
      <c r="U52" s="35">
        <f t="shared" si="23"/>
        <v>7.407407407407407E-2</v>
      </c>
      <c r="V52" s="35">
        <f t="shared" si="23"/>
        <v>3.8461538461538436E-2</v>
      </c>
      <c r="W52" s="35">
        <f t="shared" si="23"/>
        <v>3.8461538461538436E-2</v>
      </c>
      <c r="X52" s="35">
        <f t="shared" si="23"/>
        <v>3.8461538461538436E-2</v>
      </c>
      <c r="Y52" s="35">
        <f t="shared" si="23"/>
        <v>3.8461538461538436E-2</v>
      </c>
      <c r="Z52" s="35">
        <f t="shared" si="23"/>
        <v>3.8461538461538436E-2</v>
      </c>
      <c r="AA52" s="35">
        <f t="shared" si="23"/>
        <v>3.8461538461538436E-2</v>
      </c>
    </row>
    <row r="53" spans="2:27" x14ac:dyDescent="0.2">
      <c r="B53" s="2">
        <v>51</v>
      </c>
      <c r="C53" s="2" t="str">
        <f t="shared" si="20"/>
        <v>b</v>
      </c>
      <c r="D53" s="29" t="s">
        <v>1</v>
      </c>
      <c r="E53" s="29" t="s">
        <v>209</v>
      </c>
      <c r="F53" s="2" t="s">
        <v>211</v>
      </c>
      <c r="G53" s="2">
        <f t="shared" si="10"/>
        <v>3</v>
      </c>
      <c r="H53" s="2" t="str">
        <f t="shared" si="2"/>
        <v>物理</v>
      </c>
      <c r="I53" s="38">
        <f t="shared" si="6"/>
        <v>8.0571428571428572E-2</v>
      </c>
      <c r="J53" s="33">
        <f t="shared" ref="J53:J62" si="24">INT((1+VLOOKUP($F53,role_property_weight,getpos(J$2),FALSE))*(1+VLOOKUP($F53,drop_property_weight,getpos(J$2),FALSE))*VLOOKUP($E53,role_grow,getpos(J$2),FALSE)*$G53*10*VLOOKUP($C53,drop_grow1,4,FALSE))</f>
        <v>37</v>
      </c>
      <c r="K53" s="33">
        <f t="shared" ref="K53:Q62" si="25">INT((1+VLOOKUP($F53,role_property_weight,getpos(K$2),FALSE))*(1+VLOOKUP($F53,drop_property_weight,getpos(K$2),FALSE))*VLOOKUP($E53,role_grow,getpos(K$2),FALSE)*$G53*10*VLOOKUP($C53,drop_grow1,5,FALSE))</f>
        <v>78</v>
      </c>
      <c r="L53" s="33">
        <f t="shared" si="25"/>
        <v>7</v>
      </c>
      <c r="M53" s="33">
        <f t="shared" si="25"/>
        <v>52</v>
      </c>
      <c r="N53" s="33">
        <f t="shared" si="25"/>
        <v>24</v>
      </c>
      <c r="O53" s="33">
        <f t="shared" si="25"/>
        <v>33</v>
      </c>
      <c r="P53" s="33">
        <f t="shared" si="25"/>
        <v>27</v>
      </c>
      <c r="Q53" s="33">
        <f t="shared" si="25"/>
        <v>24</v>
      </c>
      <c r="R53" s="35">
        <f t="shared" si="7"/>
        <v>4.8000000000000001E-2</v>
      </c>
      <c r="S53" s="35">
        <f t="shared" si="8"/>
        <v>5.4000000000000006E-2</v>
      </c>
      <c r="T53" s="35">
        <f t="shared" si="9"/>
        <v>0.03</v>
      </c>
      <c r="U53" s="35">
        <f t="shared" ref="U53:AA62" si="26">1-200/(200+ROUND((1+VLOOKUP($F53,role_property_weight,getpos(U$2),FALSE))*VLOOKUP($E53,role_grow,getpos(U$2),FALSE)*$G53*10*VLOOKUP($C53,drop_grow1,5,FALSE),0))</f>
        <v>0.1071428571428571</v>
      </c>
      <c r="V53" s="35">
        <f t="shared" si="26"/>
        <v>5.6603773584905648E-2</v>
      </c>
      <c r="W53" s="35">
        <f t="shared" si="26"/>
        <v>5.6603773584905648E-2</v>
      </c>
      <c r="X53" s="35">
        <f t="shared" si="26"/>
        <v>5.6603773584905648E-2</v>
      </c>
      <c r="Y53" s="35">
        <f t="shared" si="26"/>
        <v>5.6603773584905648E-2</v>
      </c>
      <c r="Z53" s="35">
        <f t="shared" si="26"/>
        <v>5.6603773584905648E-2</v>
      </c>
      <c r="AA53" s="35">
        <f t="shared" si="26"/>
        <v>5.6603773584905648E-2</v>
      </c>
    </row>
    <row r="54" spans="2:27" x14ac:dyDescent="0.2">
      <c r="B54" s="2">
        <v>52</v>
      </c>
      <c r="C54" s="2" t="str">
        <f t="shared" si="20"/>
        <v>b</v>
      </c>
      <c r="D54" s="29" t="s">
        <v>1</v>
      </c>
      <c r="E54" s="29" t="s">
        <v>209</v>
      </c>
      <c r="F54" s="2" t="s">
        <v>211</v>
      </c>
      <c r="G54" s="2">
        <f t="shared" si="10"/>
        <v>4</v>
      </c>
      <c r="H54" s="2" t="str">
        <f t="shared" si="2"/>
        <v>物理</v>
      </c>
      <c r="I54" s="38">
        <f t="shared" si="6"/>
        <v>0.10771428571428572</v>
      </c>
      <c r="J54" s="33">
        <f t="shared" si="24"/>
        <v>50</v>
      </c>
      <c r="K54" s="33">
        <f t="shared" si="25"/>
        <v>104</v>
      </c>
      <c r="L54" s="33">
        <f t="shared" si="25"/>
        <v>9</v>
      </c>
      <c r="M54" s="33">
        <f t="shared" si="25"/>
        <v>70</v>
      </c>
      <c r="N54" s="33">
        <f t="shared" si="25"/>
        <v>32</v>
      </c>
      <c r="O54" s="33">
        <f t="shared" si="25"/>
        <v>44</v>
      </c>
      <c r="P54" s="33">
        <f t="shared" si="25"/>
        <v>36</v>
      </c>
      <c r="Q54" s="33">
        <f t="shared" si="25"/>
        <v>32</v>
      </c>
      <c r="R54" s="35">
        <f t="shared" si="7"/>
        <v>6.4000000000000001E-2</v>
      </c>
      <c r="S54" s="35">
        <f t="shared" si="8"/>
        <v>7.2000000000000008E-2</v>
      </c>
      <c r="T54" s="35">
        <f t="shared" si="9"/>
        <v>0.04</v>
      </c>
      <c r="U54" s="35">
        <f t="shared" si="26"/>
        <v>0.13793103448275867</v>
      </c>
      <c r="V54" s="35">
        <f t="shared" si="26"/>
        <v>7.407407407407407E-2</v>
      </c>
      <c r="W54" s="35">
        <f t="shared" si="26"/>
        <v>7.407407407407407E-2</v>
      </c>
      <c r="X54" s="35">
        <f t="shared" si="26"/>
        <v>7.407407407407407E-2</v>
      </c>
      <c r="Y54" s="35">
        <f t="shared" si="26"/>
        <v>7.407407407407407E-2</v>
      </c>
      <c r="Z54" s="35">
        <f t="shared" si="26"/>
        <v>7.407407407407407E-2</v>
      </c>
      <c r="AA54" s="35">
        <f t="shared" si="26"/>
        <v>7.407407407407407E-2</v>
      </c>
    </row>
    <row r="55" spans="2:27" x14ac:dyDescent="0.2">
      <c r="B55" s="2">
        <v>53</v>
      </c>
      <c r="C55" s="2" t="str">
        <f t="shared" si="20"/>
        <v>b</v>
      </c>
      <c r="D55" s="29" t="s">
        <v>1</v>
      </c>
      <c r="E55" s="29" t="s">
        <v>209</v>
      </c>
      <c r="F55" s="2" t="s">
        <v>211</v>
      </c>
      <c r="G55" s="2">
        <f t="shared" si="10"/>
        <v>5</v>
      </c>
      <c r="H55" s="2" t="str">
        <f t="shared" si="2"/>
        <v>物理</v>
      </c>
      <c r="I55" s="38">
        <f t="shared" si="6"/>
        <v>0.1357142857142857</v>
      </c>
      <c r="J55" s="33">
        <f t="shared" si="24"/>
        <v>63</v>
      </c>
      <c r="K55" s="33">
        <f t="shared" si="25"/>
        <v>130</v>
      </c>
      <c r="L55" s="33">
        <f t="shared" si="25"/>
        <v>12</v>
      </c>
      <c r="M55" s="33">
        <f t="shared" si="25"/>
        <v>88</v>
      </c>
      <c r="N55" s="33">
        <f t="shared" si="25"/>
        <v>40</v>
      </c>
      <c r="O55" s="33">
        <f t="shared" si="25"/>
        <v>56</v>
      </c>
      <c r="P55" s="33">
        <f t="shared" si="25"/>
        <v>46</v>
      </c>
      <c r="Q55" s="33">
        <f t="shared" si="25"/>
        <v>40</v>
      </c>
      <c r="R55" s="35">
        <f t="shared" si="7"/>
        <v>0.08</v>
      </c>
      <c r="S55" s="35">
        <f t="shared" si="8"/>
        <v>9.1999999999999998E-2</v>
      </c>
      <c r="T55" s="35">
        <f t="shared" si="9"/>
        <v>0.05</v>
      </c>
      <c r="U55" s="35">
        <f t="shared" si="26"/>
        <v>0.16666666666666663</v>
      </c>
      <c r="V55" s="35">
        <f t="shared" si="26"/>
        <v>9.0909090909090939E-2</v>
      </c>
      <c r="W55" s="35">
        <f t="shared" si="26"/>
        <v>9.0909090909090939E-2</v>
      </c>
      <c r="X55" s="35">
        <f t="shared" si="26"/>
        <v>9.0909090909090939E-2</v>
      </c>
      <c r="Y55" s="35">
        <f t="shared" si="26"/>
        <v>9.0909090909090939E-2</v>
      </c>
      <c r="Z55" s="35">
        <f t="shared" si="26"/>
        <v>9.0909090909090939E-2</v>
      </c>
      <c r="AA55" s="35">
        <f t="shared" si="26"/>
        <v>9.0909090909090939E-2</v>
      </c>
    </row>
    <row r="56" spans="2:27" x14ac:dyDescent="0.2">
      <c r="B56" s="2">
        <v>54</v>
      </c>
      <c r="C56" s="2" t="str">
        <f t="shared" si="20"/>
        <v>b</v>
      </c>
      <c r="D56" s="29" t="s">
        <v>1</v>
      </c>
      <c r="E56" s="29" t="s">
        <v>209</v>
      </c>
      <c r="F56" s="2" t="s">
        <v>211</v>
      </c>
      <c r="G56" s="2">
        <f t="shared" si="10"/>
        <v>6</v>
      </c>
      <c r="H56" s="2" t="str">
        <f t="shared" si="2"/>
        <v>物理</v>
      </c>
      <c r="I56" s="38">
        <f t="shared" si="6"/>
        <v>0.16228571428571428</v>
      </c>
      <c r="J56" s="33">
        <f t="shared" si="24"/>
        <v>75</v>
      </c>
      <c r="K56" s="33">
        <f t="shared" si="25"/>
        <v>156</v>
      </c>
      <c r="L56" s="33">
        <f t="shared" si="25"/>
        <v>14</v>
      </c>
      <c r="M56" s="33">
        <f t="shared" si="25"/>
        <v>105</v>
      </c>
      <c r="N56" s="33">
        <f t="shared" si="25"/>
        <v>48</v>
      </c>
      <c r="O56" s="33">
        <f t="shared" si="25"/>
        <v>67</v>
      </c>
      <c r="P56" s="33">
        <f t="shared" si="25"/>
        <v>55</v>
      </c>
      <c r="Q56" s="33">
        <f t="shared" si="25"/>
        <v>48</v>
      </c>
      <c r="R56" s="35">
        <f t="shared" si="7"/>
        <v>9.6000000000000002E-2</v>
      </c>
      <c r="S56" s="35">
        <f t="shared" si="8"/>
        <v>0.11</v>
      </c>
      <c r="T56" s="35">
        <f t="shared" si="9"/>
        <v>0.06</v>
      </c>
      <c r="U56" s="35">
        <f t="shared" si="26"/>
        <v>0.19354838709677424</v>
      </c>
      <c r="V56" s="35">
        <f t="shared" si="26"/>
        <v>0.1071428571428571</v>
      </c>
      <c r="W56" s="35">
        <f t="shared" si="26"/>
        <v>0.1071428571428571</v>
      </c>
      <c r="X56" s="35">
        <f t="shared" si="26"/>
        <v>0.1071428571428571</v>
      </c>
      <c r="Y56" s="35">
        <f t="shared" si="26"/>
        <v>0.1071428571428571</v>
      </c>
      <c r="Z56" s="35">
        <f t="shared" si="26"/>
        <v>0.1071428571428571</v>
      </c>
      <c r="AA56" s="35">
        <f t="shared" si="26"/>
        <v>0.1071428571428571</v>
      </c>
    </row>
    <row r="57" spans="2:27" x14ac:dyDescent="0.2">
      <c r="B57" s="2">
        <v>55</v>
      </c>
      <c r="C57" s="2" t="str">
        <f t="shared" si="20"/>
        <v>b</v>
      </c>
      <c r="D57" s="29" t="s">
        <v>1</v>
      </c>
      <c r="E57" s="29" t="s">
        <v>209</v>
      </c>
      <c r="F57" s="2" t="s">
        <v>211</v>
      </c>
      <c r="G57" s="2">
        <f t="shared" si="10"/>
        <v>7</v>
      </c>
      <c r="H57" s="2" t="str">
        <f t="shared" si="2"/>
        <v>物理</v>
      </c>
      <c r="I57" s="38">
        <f t="shared" si="6"/>
        <v>0.18942857142857142</v>
      </c>
      <c r="J57" s="33">
        <f t="shared" si="24"/>
        <v>88</v>
      </c>
      <c r="K57" s="33">
        <f t="shared" si="25"/>
        <v>182</v>
      </c>
      <c r="L57" s="33">
        <f t="shared" si="25"/>
        <v>16</v>
      </c>
      <c r="M57" s="33">
        <f t="shared" si="25"/>
        <v>123</v>
      </c>
      <c r="N57" s="33">
        <f t="shared" si="25"/>
        <v>56</v>
      </c>
      <c r="O57" s="33">
        <f t="shared" si="25"/>
        <v>78</v>
      </c>
      <c r="P57" s="33">
        <f t="shared" si="25"/>
        <v>64</v>
      </c>
      <c r="Q57" s="33">
        <f t="shared" si="25"/>
        <v>56</v>
      </c>
      <c r="R57" s="35">
        <f t="shared" si="7"/>
        <v>0.11199999999999999</v>
      </c>
      <c r="S57" s="35">
        <f t="shared" si="8"/>
        <v>0.128</v>
      </c>
      <c r="T57" s="35">
        <f t="shared" si="9"/>
        <v>7.0000000000000007E-2</v>
      </c>
      <c r="U57" s="35">
        <f t="shared" si="26"/>
        <v>0.21875</v>
      </c>
      <c r="V57" s="35">
        <f t="shared" si="26"/>
        <v>0.1228070175438597</v>
      </c>
      <c r="W57" s="35">
        <f t="shared" si="26"/>
        <v>0.1228070175438597</v>
      </c>
      <c r="X57" s="35">
        <f t="shared" si="26"/>
        <v>0.1228070175438597</v>
      </c>
      <c r="Y57" s="35">
        <f t="shared" si="26"/>
        <v>0.1228070175438597</v>
      </c>
      <c r="Z57" s="35">
        <f t="shared" si="26"/>
        <v>0.1228070175438597</v>
      </c>
      <c r="AA57" s="35">
        <f t="shared" si="26"/>
        <v>0.1228070175438597</v>
      </c>
    </row>
    <row r="58" spans="2:27" x14ac:dyDescent="0.2">
      <c r="B58" s="2">
        <v>56</v>
      </c>
      <c r="C58" s="2" t="str">
        <f t="shared" si="20"/>
        <v>b</v>
      </c>
      <c r="D58" s="29" t="s">
        <v>1</v>
      </c>
      <c r="E58" s="29" t="s">
        <v>209</v>
      </c>
      <c r="F58" s="2" t="s">
        <v>211</v>
      </c>
      <c r="G58" s="2">
        <f t="shared" si="10"/>
        <v>8</v>
      </c>
      <c r="H58" s="2" t="str">
        <f t="shared" si="2"/>
        <v>物理</v>
      </c>
      <c r="I58" s="38">
        <f t="shared" si="6"/>
        <v>0.2162857142857143</v>
      </c>
      <c r="J58" s="33">
        <f t="shared" si="24"/>
        <v>100</v>
      </c>
      <c r="K58" s="33">
        <f t="shared" si="25"/>
        <v>208</v>
      </c>
      <c r="L58" s="33">
        <f t="shared" si="25"/>
        <v>19</v>
      </c>
      <c r="M58" s="33">
        <f t="shared" si="25"/>
        <v>140</v>
      </c>
      <c r="N58" s="33">
        <f t="shared" si="25"/>
        <v>64</v>
      </c>
      <c r="O58" s="33">
        <f t="shared" si="25"/>
        <v>89</v>
      </c>
      <c r="P58" s="33">
        <f t="shared" si="25"/>
        <v>73</v>
      </c>
      <c r="Q58" s="33">
        <f t="shared" si="25"/>
        <v>64</v>
      </c>
      <c r="R58" s="35">
        <f t="shared" si="7"/>
        <v>0.128</v>
      </c>
      <c r="S58" s="35">
        <f t="shared" si="8"/>
        <v>0.14599999999999999</v>
      </c>
      <c r="T58" s="35">
        <f t="shared" si="9"/>
        <v>0.08</v>
      </c>
      <c r="U58" s="35">
        <f t="shared" si="26"/>
        <v>0.24242424242424243</v>
      </c>
      <c r="V58" s="35">
        <f t="shared" si="26"/>
        <v>0.13793103448275867</v>
      </c>
      <c r="W58" s="35">
        <f t="shared" si="26"/>
        <v>0.13793103448275867</v>
      </c>
      <c r="X58" s="35">
        <f t="shared" si="26"/>
        <v>0.13793103448275867</v>
      </c>
      <c r="Y58" s="35">
        <f t="shared" si="26"/>
        <v>0.13793103448275867</v>
      </c>
      <c r="Z58" s="35">
        <f t="shared" si="26"/>
        <v>0.13793103448275867</v>
      </c>
      <c r="AA58" s="35">
        <f t="shared" si="26"/>
        <v>0.13793103448275867</v>
      </c>
    </row>
    <row r="59" spans="2:27" x14ac:dyDescent="0.2">
      <c r="B59" s="2">
        <v>57</v>
      </c>
      <c r="C59" s="2" t="str">
        <f t="shared" si="20"/>
        <v>c</v>
      </c>
      <c r="D59" s="29" t="s">
        <v>1</v>
      </c>
      <c r="E59" s="29" t="s">
        <v>209</v>
      </c>
      <c r="F59" s="2" t="s">
        <v>211</v>
      </c>
      <c r="G59" s="2">
        <f t="shared" si="10"/>
        <v>1</v>
      </c>
      <c r="H59" s="2" t="str">
        <f t="shared" si="2"/>
        <v>--</v>
      </c>
      <c r="I59" s="38">
        <f t="shared" si="6"/>
        <v>0</v>
      </c>
      <c r="J59" s="33">
        <f t="shared" si="24"/>
        <v>16</v>
      </c>
      <c r="K59" s="33">
        <f t="shared" si="25"/>
        <v>0</v>
      </c>
      <c r="L59" s="33">
        <f t="shared" si="25"/>
        <v>0</v>
      </c>
      <c r="M59" s="33">
        <f t="shared" si="25"/>
        <v>0</v>
      </c>
      <c r="N59" s="33">
        <f t="shared" si="25"/>
        <v>0</v>
      </c>
      <c r="O59" s="33">
        <f t="shared" si="25"/>
        <v>0</v>
      </c>
      <c r="P59" s="33">
        <f t="shared" si="25"/>
        <v>0</v>
      </c>
      <c r="Q59" s="33">
        <f t="shared" si="25"/>
        <v>0</v>
      </c>
      <c r="R59" s="35">
        <f t="shared" si="7"/>
        <v>0</v>
      </c>
      <c r="S59" s="35">
        <f t="shared" si="8"/>
        <v>0</v>
      </c>
      <c r="T59" s="35">
        <f t="shared" si="9"/>
        <v>0</v>
      </c>
      <c r="U59" s="35">
        <f t="shared" si="26"/>
        <v>0</v>
      </c>
      <c r="V59" s="35">
        <f t="shared" si="26"/>
        <v>0</v>
      </c>
      <c r="W59" s="35">
        <f t="shared" si="26"/>
        <v>0</v>
      </c>
      <c r="X59" s="35">
        <f t="shared" si="26"/>
        <v>0</v>
      </c>
      <c r="Y59" s="35">
        <f t="shared" si="26"/>
        <v>0</v>
      </c>
      <c r="Z59" s="35">
        <f t="shared" si="26"/>
        <v>0</v>
      </c>
      <c r="AA59" s="35">
        <f t="shared" si="26"/>
        <v>0</v>
      </c>
    </row>
    <row r="60" spans="2:27" x14ac:dyDescent="0.2">
      <c r="B60" s="2">
        <v>58</v>
      </c>
      <c r="C60" s="2" t="str">
        <f t="shared" si="20"/>
        <v>c</v>
      </c>
      <c r="D60" s="29" t="s">
        <v>1</v>
      </c>
      <c r="E60" s="29" t="s">
        <v>209</v>
      </c>
      <c r="F60" s="2" t="s">
        <v>211</v>
      </c>
      <c r="G60" s="2">
        <f t="shared" si="10"/>
        <v>2</v>
      </c>
      <c r="H60" s="2" t="str">
        <f t="shared" si="2"/>
        <v>--</v>
      </c>
      <c r="I60" s="38">
        <f t="shared" si="6"/>
        <v>0</v>
      </c>
      <c r="J60" s="33">
        <f t="shared" si="24"/>
        <v>33</v>
      </c>
      <c r="K60" s="33">
        <f t="shared" si="25"/>
        <v>0</v>
      </c>
      <c r="L60" s="33">
        <f t="shared" si="25"/>
        <v>0</v>
      </c>
      <c r="M60" s="33">
        <f t="shared" si="25"/>
        <v>0</v>
      </c>
      <c r="N60" s="33">
        <f t="shared" si="25"/>
        <v>0</v>
      </c>
      <c r="O60" s="33">
        <f t="shared" si="25"/>
        <v>0</v>
      </c>
      <c r="P60" s="33">
        <f t="shared" si="25"/>
        <v>0</v>
      </c>
      <c r="Q60" s="33">
        <f t="shared" si="25"/>
        <v>0</v>
      </c>
      <c r="R60" s="35">
        <f t="shared" si="7"/>
        <v>0</v>
      </c>
      <c r="S60" s="35">
        <f t="shared" si="8"/>
        <v>0</v>
      </c>
      <c r="T60" s="35">
        <f t="shared" si="9"/>
        <v>0</v>
      </c>
      <c r="U60" s="35">
        <f t="shared" si="26"/>
        <v>0</v>
      </c>
      <c r="V60" s="35">
        <f t="shared" si="26"/>
        <v>0</v>
      </c>
      <c r="W60" s="35">
        <f t="shared" si="26"/>
        <v>0</v>
      </c>
      <c r="X60" s="35">
        <f t="shared" si="26"/>
        <v>0</v>
      </c>
      <c r="Y60" s="35">
        <f t="shared" si="26"/>
        <v>0</v>
      </c>
      <c r="Z60" s="35">
        <f t="shared" si="26"/>
        <v>0</v>
      </c>
      <c r="AA60" s="35">
        <f t="shared" si="26"/>
        <v>0</v>
      </c>
    </row>
    <row r="61" spans="2:27" x14ac:dyDescent="0.2">
      <c r="B61" s="2">
        <v>59</v>
      </c>
      <c r="C61" s="2" t="str">
        <f t="shared" si="20"/>
        <v>c</v>
      </c>
      <c r="D61" s="29" t="s">
        <v>1</v>
      </c>
      <c r="E61" s="29" t="s">
        <v>209</v>
      </c>
      <c r="F61" s="2" t="s">
        <v>211</v>
      </c>
      <c r="G61" s="2">
        <f t="shared" si="10"/>
        <v>3</v>
      </c>
      <c r="H61" s="2" t="str">
        <f t="shared" si="2"/>
        <v>--</v>
      </c>
      <c r="I61" s="38">
        <f t="shared" si="6"/>
        <v>0</v>
      </c>
      <c r="J61" s="33">
        <f t="shared" si="24"/>
        <v>50</v>
      </c>
      <c r="K61" s="33">
        <f t="shared" si="25"/>
        <v>0</v>
      </c>
      <c r="L61" s="33">
        <f t="shared" si="25"/>
        <v>0</v>
      </c>
      <c r="M61" s="33">
        <f t="shared" si="25"/>
        <v>0</v>
      </c>
      <c r="N61" s="33">
        <f t="shared" si="25"/>
        <v>0</v>
      </c>
      <c r="O61" s="33">
        <f t="shared" si="25"/>
        <v>0</v>
      </c>
      <c r="P61" s="33">
        <f t="shared" si="25"/>
        <v>0</v>
      </c>
      <c r="Q61" s="33">
        <f t="shared" si="25"/>
        <v>0</v>
      </c>
      <c r="R61" s="35">
        <f t="shared" si="7"/>
        <v>0</v>
      </c>
      <c r="S61" s="35">
        <f t="shared" si="8"/>
        <v>0</v>
      </c>
      <c r="T61" s="35">
        <f t="shared" si="9"/>
        <v>0</v>
      </c>
      <c r="U61" s="35">
        <f t="shared" si="26"/>
        <v>0</v>
      </c>
      <c r="V61" s="35">
        <f t="shared" si="26"/>
        <v>0</v>
      </c>
      <c r="W61" s="35">
        <f t="shared" si="26"/>
        <v>0</v>
      </c>
      <c r="X61" s="35">
        <f t="shared" si="26"/>
        <v>0</v>
      </c>
      <c r="Y61" s="35">
        <f t="shared" si="26"/>
        <v>0</v>
      </c>
      <c r="Z61" s="35">
        <f t="shared" si="26"/>
        <v>0</v>
      </c>
      <c r="AA61" s="35">
        <f t="shared" si="26"/>
        <v>0</v>
      </c>
    </row>
    <row r="62" spans="2:27" x14ac:dyDescent="0.2">
      <c r="B62" s="2">
        <v>60</v>
      </c>
      <c r="C62" s="2" t="str">
        <f t="shared" si="20"/>
        <v>c</v>
      </c>
      <c r="D62" s="29" t="s">
        <v>1</v>
      </c>
      <c r="E62" s="29" t="s">
        <v>209</v>
      </c>
      <c r="F62" s="2" t="s">
        <v>211</v>
      </c>
      <c r="G62" s="2">
        <f t="shared" si="10"/>
        <v>4</v>
      </c>
      <c r="H62" s="2" t="str">
        <f t="shared" si="2"/>
        <v>--</v>
      </c>
      <c r="I62" s="38">
        <f t="shared" si="6"/>
        <v>0</v>
      </c>
      <c r="J62" s="33">
        <f t="shared" si="24"/>
        <v>67</v>
      </c>
      <c r="K62" s="33">
        <f t="shared" si="25"/>
        <v>0</v>
      </c>
      <c r="L62" s="33">
        <f t="shared" si="25"/>
        <v>0</v>
      </c>
      <c r="M62" s="33">
        <f t="shared" si="25"/>
        <v>0</v>
      </c>
      <c r="N62" s="33">
        <f t="shared" si="25"/>
        <v>0</v>
      </c>
      <c r="O62" s="33">
        <f t="shared" si="25"/>
        <v>0</v>
      </c>
      <c r="P62" s="33">
        <f t="shared" si="25"/>
        <v>0</v>
      </c>
      <c r="Q62" s="33">
        <f t="shared" si="25"/>
        <v>0</v>
      </c>
      <c r="R62" s="35">
        <f t="shared" si="7"/>
        <v>0</v>
      </c>
      <c r="S62" s="35">
        <f t="shared" si="8"/>
        <v>0</v>
      </c>
      <c r="T62" s="35">
        <f t="shared" si="9"/>
        <v>0</v>
      </c>
      <c r="U62" s="35">
        <f t="shared" si="26"/>
        <v>0</v>
      </c>
      <c r="V62" s="35">
        <f t="shared" si="26"/>
        <v>0</v>
      </c>
      <c r="W62" s="35">
        <f t="shared" si="26"/>
        <v>0</v>
      </c>
      <c r="X62" s="35">
        <f t="shared" si="26"/>
        <v>0</v>
      </c>
      <c r="Y62" s="35">
        <f t="shared" si="26"/>
        <v>0</v>
      </c>
      <c r="Z62" s="35">
        <f t="shared" si="26"/>
        <v>0</v>
      </c>
      <c r="AA62" s="35">
        <f t="shared" si="26"/>
        <v>0</v>
      </c>
    </row>
    <row r="63" spans="2:27" x14ac:dyDescent="0.2">
      <c r="B63" s="2">
        <v>61</v>
      </c>
      <c r="C63" s="2" t="str">
        <f t="shared" si="20"/>
        <v>c</v>
      </c>
      <c r="D63" s="29" t="s">
        <v>1</v>
      </c>
      <c r="E63" s="29" t="s">
        <v>209</v>
      </c>
      <c r="F63" s="2" t="s">
        <v>211</v>
      </c>
      <c r="G63" s="2">
        <f t="shared" si="10"/>
        <v>5</v>
      </c>
      <c r="H63" s="2" t="str">
        <f t="shared" si="2"/>
        <v>--</v>
      </c>
      <c r="I63" s="38">
        <f t="shared" si="6"/>
        <v>0</v>
      </c>
      <c r="J63" s="33">
        <f t="shared" ref="J63:J72" si="27">INT((1+VLOOKUP($F63,role_property_weight,getpos(J$2),FALSE))*(1+VLOOKUP($F63,drop_property_weight,getpos(J$2),FALSE))*VLOOKUP($E63,role_grow,getpos(J$2),FALSE)*$G63*10*VLOOKUP($C63,drop_grow1,4,FALSE))</f>
        <v>84</v>
      </c>
      <c r="K63" s="33">
        <f t="shared" ref="K63:Q72" si="28">INT((1+VLOOKUP($F63,role_property_weight,getpos(K$2),FALSE))*(1+VLOOKUP($F63,drop_property_weight,getpos(K$2),FALSE))*VLOOKUP($E63,role_grow,getpos(K$2),FALSE)*$G63*10*VLOOKUP($C63,drop_grow1,5,FALSE))</f>
        <v>0</v>
      </c>
      <c r="L63" s="33">
        <f t="shared" si="28"/>
        <v>0</v>
      </c>
      <c r="M63" s="33">
        <f t="shared" si="28"/>
        <v>0</v>
      </c>
      <c r="N63" s="33">
        <f t="shared" si="28"/>
        <v>0</v>
      </c>
      <c r="O63" s="33">
        <f t="shared" si="28"/>
        <v>0</v>
      </c>
      <c r="P63" s="33">
        <f t="shared" si="28"/>
        <v>0</v>
      </c>
      <c r="Q63" s="33">
        <f t="shared" si="28"/>
        <v>0</v>
      </c>
      <c r="R63" s="35">
        <f t="shared" si="7"/>
        <v>0</v>
      </c>
      <c r="S63" s="35">
        <f t="shared" si="8"/>
        <v>0</v>
      </c>
      <c r="T63" s="35">
        <f t="shared" si="9"/>
        <v>0</v>
      </c>
      <c r="U63" s="35">
        <f t="shared" ref="U63:AA72" si="29">1-200/(200+ROUND((1+VLOOKUP($F63,role_property_weight,getpos(U$2),FALSE))*VLOOKUP($E63,role_grow,getpos(U$2),FALSE)*$G63*10*VLOOKUP($C63,drop_grow1,5,FALSE),0))</f>
        <v>0</v>
      </c>
      <c r="V63" s="35">
        <f t="shared" si="29"/>
        <v>0</v>
      </c>
      <c r="W63" s="35">
        <f t="shared" si="29"/>
        <v>0</v>
      </c>
      <c r="X63" s="35">
        <f t="shared" si="29"/>
        <v>0</v>
      </c>
      <c r="Y63" s="35">
        <f t="shared" si="29"/>
        <v>0</v>
      </c>
      <c r="Z63" s="35">
        <f t="shared" si="29"/>
        <v>0</v>
      </c>
      <c r="AA63" s="35">
        <f t="shared" si="29"/>
        <v>0</v>
      </c>
    </row>
    <row r="64" spans="2:27" x14ac:dyDescent="0.2">
      <c r="B64" s="2">
        <v>62</v>
      </c>
      <c r="C64" s="2" t="str">
        <f t="shared" si="20"/>
        <v>c</v>
      </c>
      <c r="D64" s="29" t="s">
        <v>1</v>
      </c>
      <c r="E64" s="29" t="s">
        <v>209</v>
      </c>
      <c r="F64" s="2" t="s">
        <v>211</v>
      </c>
      <c r="G64" s="2">
        <f t="shared" si="10"/>
        <v>6</v>
      </c>
      <c r="H64" s="2" t="str">
        <f t="shared" si="2"/>
        <v>--</v>
      </c>
      <c r="I64" s="38">
        <f t="shared" si="6"/>
        <v>0</v>
      </c>
      <c r="J64" s="33">
        <f t="shared" si="27"/>
        <v>101</v>
      </c>
      <c r="K64" s="33">
        <f t="shared" si="28"/>
        <v>0</v>
      </c>
      <c r="L64" s="33">
        <f t="shared" si="28"/>
        <v>0</v>
      </c>
      <c r="M64" s="33">
        <f t="shared" si="28"/>
        <v>0</v>
      </c>
      <c r="N64" s="33">
        <f t="shared" si="28"/>
        <v>0</v>
      </c>
      <c r="O64" s="33">
        <f t="shared" si="28"/>
        <v>0</v>
      </c>
      <c r="P64" s="33">
        <f t="shared" si="28"/>
        <v>0</v>
      </c>
      <c r="Q64" s="33">
        <f t="shared" si="28"/>
        <v>0</v>
      </c>
      <c r="R64" s="35">
        <f t="shared" si="7"/>
        <v>0</v>
      </c>
      <c r="S64" s="35">
        <f t="shared" si="8"/>
        <v>0</v>
      </c>
      <c r="T64" s="35">
        <f t="shared" si="9"/>
        <v>0</v>
      </c>
      <c r="U64" s="35">
        <f t="shared" si="29"/>
        <v>0</v>
      </c>
      <c r="V64" s="35">
        <f t="shared" si="29"/>
        <v>0</v>
      </c>
      <c r="W64" s="35">
        <f t="shared" si="29"/>
        <v>0</v>
      </c>
      <c r="X64" s="35">
        <f t="shared" si="29"/>
        <v>0</v>
      </c>
      <c r="Y64" s="35">
        <f t="shared" si="29"/>
        <v>0</v>
      </c>
      <c r="Z64" s="35">
        <f t="shared" si="29"/>
        <v>0</v>
      </c>
      <c r="AA64" s="35">
        <f t="shared" si="29"/>
        <v>0</v>
      </c>
    </row>
    <row r="65" spans="2:27" x14ac:dyDescent="0.2">
      <c r="B65" s="2">
        <v>63</v>
      </c>
      <c r="C65" s="2" t="str">
        <f t="shared" si="20"/>
        <v>c</v>
      </c>
      <c r="D65" s="29" t="s">
        <v>1</v>
      </c>
      <c r="E65" s="29" t="s">
        <v>209</v>
      </c>
      <c r="F65" s="2" t="s">
        <v>211</v>
      </c>
      <c r="G65" s="2">
        <f t="shared" si="10"/>
        <v>7</v>
      </c>
      <c r="H65" s="2" t="str">
        <f t="shared" si="2"/>
        <v>--</v>
      </c>
      <c r="I65" s="38">
        <f t="shared" si="6"/>
        <v>0</v>
      </c>
      <c r="J65" s="33">
        <f t="shared" si="27"/>
        <v>118</v>
      </c>
      <c r="K65" s="33">
        <f t="shared" si="28"/>
        <v>0</v>
      </c>
      <c r="L65" s="33">
        <f t="shared" si="28"/>
        <v>0</v>
      </c>
      <c r="M65" s="33">
        <f t="shared" si="28"/>
        <v>0</v>
      </c>
      <c r="N65" s="33">
        <f t="shared" si="28"/>
        <v>0</v>
      </c>
      <c r="O65" s="33">
        <f t="shared" si="28"/>
        <v>0</v>
      </c>
      <c r="P65" s="33">
        <f t="shared" si="28"/>
        <v>0</v>
      </c>
      <c r="Q65" s="33">
        <f t="shared" si="28"/>
        <v>0</v>
      </c>
      <c r="R65" s="35">
        <f t="shared" si="7"/>
        <v>0</v>
      </c>
      <c r="S65" s="35">
        <f t="shared" si="8"/>
        <v>0</v>
      </c>
      <c r="T65" s="35">
        <f t="shared" si="9"/>
        <v>0</v>
      </c>
      <c r="U65" s="35">
        <f t="shared" si="29"/>
        <v>0</v>
      </c>
      <c r="V65" s="35">
        <f t="shared" si="29"/>
        <v>0</v>
      </c>
      <c r="W65" s="35">
        <f t="shared" si="29"/>
        <v>0</v>
      </c>
      <c r="X65" s="35">
        <f t="shared" si="29"/>
        <v>0</v>
      </c>
      <c r="Y65" s="35">
        <f t="shared" si="29"/>
        <v>0</v>
      </c>
      <c r="Z65" s="35">
        <f t="shared" si="29"/>
        <v>0</v>
      </c>
      <c r="AA65" s="35">
        <f t="shared" si="29"/>
        <v>0</v>
      </c>
    </row>
    <row r="66" spans="2:27" x14ac:dyDescent="0.2">
      <c r="B66" s="2">
        <v>64</v>
      </c>
      <c r="C66" s="2" t="str">
        <f t="shared" si="20"/>
        <v>c</v>
      </c>
      <c r="D66" s="29" t="s">
        <v>1</v>
      </c>
      <c r="E66" s="29" t="s">
        <v>209</v>
      </c>
      <c r="F66" s="2" t="s">
        <v>211</v>
      </c>
      <c r="G66" s="2">
        <f t="shared" si="10"/>
        <v>8</v>
      </c>
      <c r="H66" s="2" t="str">
        <f t="shared" si="2"/>
        <v>--</v>
      </c>
      <c r="I66" s="38">
        <f t="shared" si="6"/>
        <v>0</v>
      </c>
      <c r="J66" s="33">
        <f t="shared" si="27"/>
        <v>135</v>
      </c>
      <c r="K66" s="33">
        <f t="shared" si="28"/>
        <v>0</v>
      </c>
      <c r="L66" s="33">
        <f t="shared" si="28"/>
        <v>0</v>
      </c>
      <c r="M66" s="33">
        <f t="shared" si="28"/>
        <v>0</v>
      </c>
      <c r="N66" s="33">
        <f t="shared" si="28"/>
        <v>0</v>
      </c>
      <c r="O66" s="33">
        <f t="shared" si="28"/>
        <v>0</v>
      </c>
      <c r="P66" s="33">
        <f t="shared" si="28"/>
        <v>0</v>
      </c>
      <c r="Q66" s="33">
        <f t="shared" si="28"/>
        <v>0</v>
      </c>
      <c r="R66" s="35">
        <f t="shared" si="7"/>
        <v>0</v>
      </c>
      <c r="S66" s="35">
        <f t="shared" si="8"/>
        <v>0</v>
      </c>
      <c r="T66" s="35">
        <f t="shared" si="9"/>
        <v>0</v>
      </c>
      <c r="U66" s="35">
        <f t="shared" si="29"/>
        <v>0</v>
      </c>
      <c r="V66" s="35">
        <f t="shared" si="29"/>
        <v>0</v>
      </c>
      <c r="W66" s="35">
        <f t="shared" si="29"/>
        <v>0</v>
      </c>
      <c r="X66" s="35">
        <f t="shared" si="29"/>
        <v>0</v>
      </c>
      <c r="Y66" s="35">
        <f t="shared" si="29"/>
        <v>0</v>
      </c>
      <c r="Z66" s="35">
        <f t="shared" si="29"/>
        <v>0</v>
      </c>
      <c r="AA66" s="35">
        <f t="shared" si="29"/>
        <v>0</v>
      </c>
    </row>
    <row r="67" spans="2:27" x14ac:dyDescent="0.2">
      <c r="B67" s="2">
        <v>65</v>
      </c>
      <c r="C67" s="2" t="str">
        <f t="shared" si="20"/>
        <v>s</v>
      </c>
      <c r="D67" s="29" t="s">
        <v>1</v>
      </c>
      <c r="E67" s="29" t="s">
        <v>209</v>
      </c>
      <c r="F67" s="2" t="s">
        <v>212</v>
      </c>
      <c r="G67" s="2">
        <f t="shared" si="10"/>
        <v>1</v>
      </c>
      <c r="H67" s="2" t="str">
        <f t="shared" ref="H67:H130" si="30">IF(C67="c","--",VLOOKUP(F67,role_property_weight,17,FALSE))</f>
        <v>电击</v>
      </c>
      <c r="I67" s="38">
        <f t="shared" si="6"/>
        <v>0.08</v>
      </c>
      <c r="J67" s="33">
        <f t="shared" si="27"/>
        <v>12</v>
      </c>
      <c r="K67" s="33">
        <f t="shared" si="28"/>
        <v>9</v>
      </c>
      <c r="L67" s="33">
        <f t="shared" si="28"/>
        <v>3</v>
      </c>
      <c r="M67" s="33">
        <f t="shared" si="28"/>
        <v>5</v>
      </c>
      <c r="N67" s="33">
        <f t="shared" si="28"/>
        <v>12</v>
      </c>
      <c r="O67" s="33">
        <f t="shared" si="28"/>
        <v>11</v>
      </c>
      <c r="P67" s="33">
        <f t="shared" si="28"/>
        <v>5</v>
      </c>
      <c r="Q67" s="33">
        <f t="shared" si="28"/>
        <v>5</v>
      </c>
      <c r="R67" s="35">
        <f t="shared" si="7"/>
        <v>0.01</v>
      </c>
      <c r="S67" s="35">
        <f t="shared" si="8"/>
        <v>0.01</v>
      </c>
      <c r="T67" s="35">
        <f t="shared" si="9"/>
        <v>6.2500000000000003E-3</v>
      </c>
      <c r="U67" s="35">
        <f t="shared" si="29"/>
        <v>9.9009900990099098E-3</v>
      </c>
      <c r="V67" s="35">
        <f t="shared" si="29"/>
        <v>9.9009900990099098E-3</v>
      </c>
      <c r="W67" s="35">
        <f t="shared" si="29"/>
        <v>9.9009900990099098E-3</v>
      </c>
      <c r="X67" s="35">
        <f t="shared" si="29"/>
        <v>9.9009900990099098E-3</v>
      </c>
      <c r="Y67" s="35">
        <f t="shared" si="29"/>
        <v>9.9009900990099098E-3</v>
      </c>
      <c r="Z67" s="35">
        <f t="shared" si="29"/>
        <v>9.9009900990099098E-3</v>
      </c>
      <c r="AA67" s="35">
        <f t="shared" si="29"/>
        <v>6.5420560747663559E-2</v>
      </c>
    </row>
    <row r="68" spans="2:27" x14ac:dyDescent="0.2">
      <c r="B68" s="2">
        <v>66</v>
      </c>
      <c r="C68" s="2" t="str">
        <f t="shared" si="20"/>
        <v>s</v>
      </c>
      <c r="D68" s="29" t="s">
        <v>1</v>
      </c>
      <c r="E68" s="29" t="s">
        <v>209</v>
      </c>
      <c r="F68" s="2" t="s">
        <v>212</v>
      </c>
      <c r="G68" s="2">
        <f t="shared" si="10"/>
        <v>2</v>
      </c>
      <c r="H68" s="2" t="str">
        <f t="shared" si="30"/>
        <v>电击</v>
      </c>
      <c r="I68" s="38">
        <f t="shared" ref="I68:I131" si="31">IF(H68="--",0,IF((SUM(J68:Q68)/35)%&lt;8%,8%,(SUM(J68:Q68)/35)%))</f>
        <v>0.08</v>
      </c>
      <c r="J68" s="33">
        <f t="shared" si="27"/>
        <v>25</v>
      </c>
      <c r="K68" s="33">
        <f t="shared" si="28"/>
        <v>18</v>
      </c>
      <c r="L68" s="33">
        <f t="shared" si="28"/>
        <v>6</v>
      </c>
      <c r="M68" s="33">
        <f t="shared" si="28"/>
        <v>11</v>
      </c>
      <c r="N68" s="33">
        <f t="shared" si="28"/>
        <v>24</v>
      </c>
      <c r="O68" s="33">
        <f t="shared" si="28"/>
        <v>23</v>
      </c>
      <c r="P68" s="33">
        <f t="shared" si="28"/>
        <v>11</v>
      </c>
      <c r="Q68" s="33">
        <f t="shared" si="28"/>
        <v>11</v>
      </c>
      <c r="R68" s="35">
        <f t="shared" ref="R68:R131" si="32">(Q68/5)%</f>
        <v>2.2000000000000002E-2</v>
      </c>
      <c r="S68" s="35">
        <f t="shared" ref="S68:S131" si="33">(P68/5)%</f>
        <v>2.2000000000000002E-2</v>
      </c>
      <c r="T68" s="35">
        <f t="shared" ref="T68:T131" si="34">(Q68/8)%</f>
        <v>1.375E-2</v>
      </c>
      <c r="U68" s="35">
        <f t="shared" si="29"/>
        <v>2.4390243902439046E-2</v>
      </c>
      <c r="V68" s="35">
        <f t="shared" si="29"/>
        <v>2.4390243902439046E-2</v>
      </c>
      <c r="W68" s="35">
        <f t="shared" si="29"/>
        <v>2.4390243902439046E-2</v>
      </c>
      <c r="X68" s="35">
        <f t="shared" si="29"/>
        <v>2.4390243902439046E-2</v>
      </c>
      <c r="Y68" s="35">
        <f t="shared" si="29"/>
        <v>2.4390243902439046E-2</v>
      </c>
      <c r="Z68" s="35">
        <f t="shared" si="29"/>
        <v>2.4390243902439046E-2</v>
      </c>
      <c r="AA68" s="35">
        <f t="shared" si="29"/>
        <v>0.1266375545851528</v>
      </c>
    </row>
    <row r="69" spans="2:27" x14ac:dyDescent="0.2">
      <c r="B69" s="2">
        <v>67</v>
      </c>
      <c r="C69" s="2" t="str">
        <f t="shared" si="20"/>
        <v>s</v>
      </c>
      <c r="D69" s="29" t="s">
        <v>1</v>
      </c>
      <c r="E69" s="29" t="s">
        <v>209</v>
      </c>
      <c r="F69" s="2" t="s">
        <v>212</v>
      </c>
      <c r="G69" s="2">
        <f t="shared" si="10"/>
        <v>3</v>
      </c>
      <c r="H69" s="2" t="str">
        <f t="shared" si="30"/>
        <v>电击</v>
      </c>
      <c r="I69" s="38">
        <f t="shared" si="31"/>
        <v>0.08</v>
      </c>
      <c r="J69" s="33">
        <f t="shared" si="27"/>
        <v>38</v>
      </c>
      <c r="K69" s="33">
        <f t="shared" si="28"/>
        <v>28</v>
      </c>
      <c r="L69" s="33">
        <f t="shared" si="28"/>
        <v>9</v>
      </c>
      <c r="M69" s="33">
        <f t="shared" si="28"/>
        <v>17</v>
      </c>
      <c r="N69" s="33">
        <f t="shared" si="28"/>
        <v>37</v>
      </c>
      <c r="O69" s="33">
        <f t="shared" si="28"/>
        <v>34</v>
      </c>
      <c r="P69" s="33">
        <f t="shared" si="28"/>
        <v>17</v>
      </c>
      <c r="Q69" s="33">
        <f t="shared" si="28"/>
        <v>17</v>
      </c>
      <c r="R69" s="35">
        <f t="shared" si="32"/>
        <v>3.4000000000000002E-2</v>
      </c>
      <c r="S69" s="35">
        <f t="shared" si="33"/>
        <v>3.4000000000000002E-2</v>
      </c>
      <c r="T69" s="35">
        <f t="shared" si="34"/>
        <v>2.1250000000000002E-2</v>
      </c>
      <c r="U69" s="35">
        <f t="shared" si="29"/>
        <v>3.3816425120772986E-2</v>
      </c>
      <c r="V69" s="35">
        <f t="shared" si="29"/>
        <v>3.3816425120772986E-2</v>
      </c>
      <c r="W69" s="35">
        <f t="shared" si="29"/>
        <v>3.3816425120772986E-2</v>
      </c>
      <c r="X69" s="35">
        <f t="shared" si="29"/>
        <v>3.3816425120772986E-2</v>
      </c>
      <c r="Y69" s="35">
        <f t="shared" si="29"/>
        <v>3.3816425120772986E-2</v>
      </c>
      <c r="Z69" s="35">
        <f t="shared" si="29"/>
        <v>3.3816425120772986E-2</v>
      </c>
      <c r="AA69" s="35">
        <f t="shared" si="29"/>
        <v>0.17695473251028804</v>
      </c>
    </row>
    <row r="70" spans="2:27" x14ac:dyDescent="0.2">
      <c r="B70" s="2">
        <v>68</v>
      </c>
      <c r="C70" s="2" t="str">
        <f t="shared" si="20"/>
        <v>s</v>
      </c>
      <c r="D70" s="29" t="s">
        <v>1</v>
      </c>
      <c r="E70" s="29" t="s">
        <v>209</v>
      </c>
      <c r="F70" s="2" t="s">
        <v>212</v>
      </c>
      <c r="G70" s="2">
        <f t="shared" si="10"/>
        <v>4</v>
      </c>
      <c r="H70" s="2" t="str">
        <f t="shared" si="30"/>
        <v>电击</v>
      </c>
      <c r="I70" s="38">
        <f t="shared" si="31"/>
        <v>0.08</v>
      </c>
      <c r="J70" s="33">
        <f t="shared" si="27"/>
        <v>51</v>
      </c>
      <c r="K70" s="33">
        <f t="shared" si="28"/>
        <v>37</v>
      </c>
      <c r="L70" s="33">
        <f t="shared" si="28"/>
        <v>12</v>
      </c>
      <c r="M70" s="33">
        <f t="shared" si="28"/>
        <v>23</v>
      </c>
      <c r="N70" s="33">
        <f t="shared" si="28"/>
        <v>49</v>
      </c>
      <c r="O70" s="33">
        <f t="shared" si="28"/>
        <v>46</v>
      </c>
      <c r="P70" s="33">
        <f t="shared" si="28"/>
        <v>23</v>
      </c>
      <c r="Q70" s="33">
        <f t="shared" si="28"/>
        <v>23</v>
      </c>
      <c r="R70" s="35">
        <f t="shared" si="32"/>
        <v>4.5999999999999999E-2</v>
      </c>
      <c r="S70" s="35">
        <f t="shared" si="33"/>
        <v>4.5999999999999999E-2</v>
      </c>
      <c r="T70" s="35">
        <f t="shared" si="34"/>
        <v>2.8750000000000001E-2</v>
      </c>
      <c r="U70" s="35">
        <f t="shared" si="29"/>
        <v>4.7619047619047672E-2</v>
      </c>
      <c r="V70" s="35">
        <f t="shared" si="29"/>
        <v>4.7619047619047672E-2</v>
      </c>
      <c r="W70" s="35">
        <f t="shared" si="29"/>
        <v>4.7619047619047672E-2</v>
      </c>
      <c r="X70" s="35">
        <f t="shared" si="29"/>
        <v>4.7619047619047672E-2</v>
      </c>
      <c r="Y70" s="35">
        <f t="shared" si="29"/>
        <v>4.7619047619047672E-2</v>
      </c>
      <c r="Z70" s="35">
        <f t="shared" si="29"/>
        <v>4.7619047619047672E-2</v>
      </c>
      <c r="AA70" s="35">
        <f t="shared" si="29"/>
        <v>0.22480620155038755</v>
      </c>
    </row>
    <row r="71" spans="2:27" x14ac:dyDescent="0.2">
      <c r="B71" s="2">
        <v>69</v>
      </c>
      <c r="C71" s="2" t="str">
        <f t="shared" si="20"/>
        <v>s</v>
      </c>
      <c r="D71" s="29" t="s">
        <v>1</v>
      </c>
      <c r="E71" s="29" t="s">
        <v>209</v>
      </c>
      <c r="F71" s="2" t="s">
        <v>212</v>
      </c>
      <c r="G71" s="2">
        <f t="shared" si="10"/>
        <v>5</v>
      </c>
      <c r="H71" s="2" t="str">
        <f t="shared" si="30"/>
        <v>电击</v>
      </c>
      <c r="I71" s="38">
        <f t="shared" si="31"/>
        <v>9.3714285714285722E-2</v>
      </c>
      <c r="J71" s="33">
        <f t="shared" si="27"/>
        <v>64</v>
      </c>
      <c r="K71" s="33">
        <f t="shared" si="28"/>
        <v>46</v>
      </c>
      <c r="L71" s="33">
        <f t="shared" si="28"/>
        <v>15</v>
      </c>
      <c r="M71" s="33">
        <f t="shared" si="28"/>
        <v>28</v>
      </c>
      <c r="N71" s="33">
        <f t="shared" si="28"/>
        <v>62</v>
      </c>
      <c r="O71" s="33">
        <f t="shared" si="28"/>
        <v>57</v>
      </c>
      <c r="P71" s="33">
        <f t="shared" si="28"/>
        <v>28</v>
      </c>
      <c r="Q71" s="33">
        <f t="shared" si="28"/>
        <v>28</v>
      </c>
      <c r="R71" s="35">
        <f t="shared" si="32"/>
        <v>5.5999999999999994E-2</v>
      </c>
      <c r="S71" s="35">
        <f t="shared" si="33"/>
        <v>5.5999999999999994E-2</v>
      </c>
      <c r="T71" s="35">
        <f t="shared" si="34"/>
        <v>3.5000000000000003E-2</v>
      </c>
      <c r="U71" s="35">
        <f t="shared" si="29"/>
        <v>5.6603773584905648E-2</v>
      </c>
      <c r="V71" s="35">
        <f t="shared" si="29"/>
        <v>5.6603773584905648E-2</v>
      </c>
      <c r="W71" s="35">
        <f t="shared" si="29"/>
        <v>5.6603773584905648E-2</v>
      </c>
      <c r="X71" s="35">
        <f t="shared" si="29"/>
        <v>5.6603773584905648E-2</v>
      </c>
      <c r="Y71" s="35">
        <f t="shared" si="29"/>
        <v>5.6603773584905648E-2</v>
      </c>
      <c r="Z71" s="35">
        <f t="shared" si="29"/>
        <v>5.6603773584905648E-2</v>
      </c>
      <c r="AA71" s="35">
        <f t="shared" si="29"/>
        <v>0.26470588235294112</v>
      </c>
    </row>
    <row r="72" spans="2:27" x14ac:dyDescent="0.2">
      <c r="B72" s="2">
        <v>70</v>
      </c>
      <c r="C72" s="2" t="str">
        <f t="shared" si="20"/>
        <v>s</v>
      </c>
      <c r="D72" s="29" t="s">
        <v>1</v>
      </c>
      <c r="E72" s="29" t="s">
        <v>209</v>
      </c>
      <c r="F72" s="2" t="s">
        <v>212</v>
      </c>
      <c r="G72" s="2">
        <f t="shared" si="10"/>
        <v>6</v>
      </c>
      <c r="H72" s="2" t="str">
        <f t="shared" si="30"/>
        <v>电击</v>
      </c>
      <c r="I72" s="38">
        <f t="shared" si="31"/>
        <v>0.11314285714285716</v>
      </c>
      <c r="J72" s="33">
        <f t="shared" si="27"/>
        <v>76</v>
      </c>
      <c r="K72" s="33">
        <f t="shared" si="28"/>
        <v>56</v>
      </c>
      <c r="L72" s="33">
        <f t="shared" si="28"/>
        <v>19</v>
      </c>
      <c r="M72" s="33">
        <f t="shared" si="28"/>
        <v>34</v>
      </c>
      <c r="N72" s="33">
        <f t="shared" si="28"/>
        <v>74</v>
      </c>
      <c r="O72" s="33">
        <f t="shared" si="28"/>
        <v>69</v>
      </c>
      <c r="P72" s="33">
        <f t="shared" si="28"/>
        <v>34</v>
      </c>
      <c r="Q72" s="33">
        <f t="shared" si="28"/>
        <v>34</v>
      </c>
      <c r="R72" s="35">
        <f t="shared" si="32"/>
        <v>6.8000000000000005E-2</v>
      </c>
      <c r="S72" s="35">
        <f t="shared" si="33"/>
        <v>6.8000000000000005E-2</v>
      </c>
      <c r="T72" s="35">
        <f t="shared" si="34"/>
        <v>4.2500000000000003E-2</v>
      </c>
      <c r="U72" s="35">
        <f t="shared" si="29"/>
        <v>6.5420560747663559E-2</v>
      </c>
      <c r="V72" s="35">
        <f t="shared" si="29"/>
        <v>6.5420560747663559E-2</v>
      </c>
      <c r="W72" s="35">
        <f t="shared" si="29"/>
        <v>6.5420560747663559E-2</v>
      </c>
      <c r="X72" s="35">
        <f t="shared" si="29"/>
        <v>6.5420560747663559E-2</v>
      </c>
      <c r="Y72" s="35">
        <f t="shared" si="29"/>
        <v>6.5420560747663559E-2</v>
      </c>
      <c r="Z72" s="35">
        <f t="shared" si="29"/>
        <v>6.5420560747663559E-2</v>
      </c>
      <c r="AA72" s="35">
        <f t="shared" si="29"/>
        <v>0.30069930069930073</v>
      </c>
    </row>
    <row r="73" spans="2:27" x14ac:dyDescent="0.2">
      <c r="B73" s="2">
        <v>71</v>
      </c>
      <c r="C73" s="2" t="str">
        <f t="shared" si="20"/>
        <v>s</v>
      </c>
      <c r="D73" s="29" t="s">
        <v>1</v>
      </c>
      <c r="E73" s="29" t="s">
        <v>209</v>
      </c>
      <c r="F73" s="2" t="s">
        <v>212</v>
      </c>
      <c r="G73" s="2">
        <f t="shared" si="10"/>
        <v>7</v>
      </c>
      <c r="H73" s="2" t="str">
        <f t="shared" si="30"/>
        <v>电击</v>
      </c>
      <c r="I73" s="38">
        <f t="shared" si="31"/>
        <v>0.13228571428571428</v>
      </c>
      <c r="J73" s="33">
        <f t="shared" ref="J73:J82" si="35">INT((1+VLOOKUP($F73,role_property_weight,getpos(J$2),FALSE))*(1+VLOOKUP($F73,drop_property_weight,getpos(J$2),FALSE))*VLOOKUP($E73,role_grow,getpos(J$2),FALSE)*$G73*10*VLOOKUP($C73,drop_grow1,4,FALSE))</f>
        <v>89</v>
      </c>
      <c r="K73" s="33">
        <f t="shared" ref="K73:Q82" si="36">INT((1+VLOOKUP($F73,role_property_weight,getpos(K$2),FALSE))*(1+VLOOKUP($F73,drop_property_weight,getpos(K$2),FALSE))*VLOOKUP($E73,role_grow,getpos(K$2),FALSE)*$G73*10*VLOOKUP($C73,drop_grow1,5,FALSE))</f>
        <v>65</v>
      </c>
      <c r="L73" s="33">
        <f t="shared" si="36"/>
        <v>22</v>
      </c>
      <c r="M73" s="33">
        <f t="shared" si="36"/>
        <v>40</v>
      </c>
      <c r="N73" s="33">
        <f t="shared" si="36"/>
        <v>87</v>
      </c>
      <c r="O73" s="33">
        <f t="shared" si="36"/>
        <v>80</v>
      </c>
      <c r="P73" s="33">
        <f t="shared" si="36"/>
        <v>40</v>
      </c>
      <c r="Q73" s="33">
        <f t="shared" si="36"/>
        <v>40</v>
      </c>
      <c r="R73" s="35">
        <f t="shared" si="32"/>
        <v>0.08</v>
      </c>
      <c r="S73" s="35">
        <f t="shared" si="33"/>
        <v>0.08</v>
      </c>
      <c r="T73" s="35">
        <f t="shared" si="34"/>
        <v>0.05</v>
      </c>
      <c r="U73" s="35">
        <f t="shared" ref="U73:AA82" si="37">1-200/(200+ROUND((1+VLOOKUP($F73,role_property_weight,getpos(U$2),FALSE))*VLOOKUP($E73,role_grow,getpos(U$2),FALSE)*$G73*10*VLOOKUP($C73,drop_grow1,5,FALSE),0))</f>
        <v>7.8341013824884786E-2</v>
      </c>
      <c r="V73" s="35">
        <f t="shared" si="37"/>
        <v>7.8341013824884786E-2</v>
      </c>
      <c r="W73" s="35">
        <f t="shared" si="37"/>
        <v>7.8341013824884786E-2</v>
      </c>
      <c r="X73" s="35">
        <f t="shared" si="37"/>
        <v>7.8341013824884786E-2</v>
      </c>
      <c r="Y73" s="35">
        <f t="shared" si="37"/>
        <v>7.8341013824884786E-2</v>
      </c>
      <c r="Z73" s="35">
        <f t="shared" si="37"/>
        <v>7.8341013824884786E-2</v>
      </c>
      <c r="AA73" s="35">
        <f t="shared" si="37"/>
        <v>0.33554817275747506</v>
      </c>
    </row>
    <row r="74" spans="2:27" x14ac:dyDescent="0.2">
      <c r="B74" s="2">
        <v>72</v>
      </c>
      <c r="C74" s="2" t="str">
        <f t="shared" si="20"/>
        <v>s</v>
      </c>
      <c r="D74" s="29" t="s">
        <v>1</v>
      </c>
      <c r="E74" s="29" t="s">
        <v>209</v>
      </c>
      <c r="F74" s="2" t="s">
        <v>212</v>
      </c>
      <c r="G74" s="2">
        <f t="shared" si="10"/>
        <v>8</v>
      </c>
      <c r="H74" s="2" t="str">
        <f t="shared" si="30"/>
        <v>电击</v>
      </c>
      <c r="I74" s="38">
        <f t="shared" si="31"/>
        <v>0.15142857142857141</v>
      </c>
      <c r="J74" s="33">
        <f t="shared" si="35"/>
        <v>102</v>
      </c>
      <c r="K74" s="33">
        <f t="shared" si="36"/>
        <v>74</v>
      </c>
      <c r="L74" s="33">
        <f t="shared" si="36"/>
        <v>25</v>
      </c>
      <c r="M74" s="33">
        <f t="shared" si="36"/>
        <v>46</v>
      </c>
      <c r="N74" s="33">
        <f t="shared" si="36"/>
        <v>99</v>
      </c>
      <c r="O74" s="33">
        <f t="shared" si="36"/>
        <v>92</v>
      </c>
      <c r="P74" s="33">
        <f t="shared" si="36"/>
        <v>46</v>
      </c>
      <c r="Q74" s="33">
        <f t="shared" si="36"/>
        <v>46</v>
      </c>
      <c r="R74" s="35">
        <f t="shared" si="32"/>
        <v>9.1999999999999998E-2</v>
      </c>
      <c r="S74" s="35">
        <f t="shared" si="33"/>
        <v>9.1999999999999998E-2</v>
      </c>
      <c r="T74" s="35">
        <f t="shared" si="34"/>
        <v>5.7500000000000002E-2</v>
      </c>
      <c r="U74" s="35">
        <f t="shared" si="37"/>
        <v>8.6757990867579959E-2</v>
      </c>
      <c r="V74" s="35">
        <f t="shared" si="37"/>
        <v>8.6757990867579959E-2</v>
      </c>
      <c r="W74" s="35">
        <f t="shared" si="37"/>
        <v>8.6757990867579959E-2</v>
      </c>
      <c r="X74" s="35">
        <f t="shared" si="37"/>
        <v>8.6757990867579959E-2</v>
      </c>
      <c r="Y74" s="35">
        <f t="shared" si="37"/>
        <v>8.6757990867579959E-2</v>
      </c>
      <c r="Z74" s="35">
        <f t="shared" si="37"/>
        <v>8.6757990867579959E-2</v>
      </c>
      <c r="AA74" s="35">
        <f t="shared" si="37"/>
        <v>0.36507936507936511</v>
      </c>
    </row>
    <row r="75" spans="2:27" x14ac:dyDescent="0.2">
      <c r="B75" s="2">
        <v>73</v>
      </c>
      <c r="C75" s="2" t="str">
        <f t="shared" si="20"/>
        <v>a</v>
      </c>
      <c r="D75" s="29" t="s">
        <v>1</v>
      </c>
      <c r="E75" s="29" t="s">
        <v>209</v>
      </c>
      <c r="F75" s="2" t="s">
        <v>212</v>
      </c>
      <c r="G75" s="2">
        <f t="shared" si="10"/>
        <v>1</v>
      </c>
      <c r="H75" s="2" t="str">
        <f t="shared" si="30"/>
        <v>电击</v>
      </c>
      <c r="I75" s="38">
        <f t="shared" si="31"/>
        <v>0.08</v>
      </c>
      <c r="J75" s="33">
        <f t="shared" si="35"/>
        <v>9</v>
      </c>
      <c r="K75" s="33">
        <f t="shared" si="36"/>
        <v>10</v>
      </c>
      <c r="L75" s="33">
        <f t="shared" si="36"/>
        <v>3</v>
      </c>
      <c r="M75" s="33">
        <f t="shared" si="36"/>
        <v>6</v>
      </c>
      <c r="N75" s="33">
        <f t="shared" si="36"/>
        <v>13</v>
      </c>
      <c r="O75" s="33">
        <f t="shared" si="36"/>
        <v>12</v>
      </c>
      <c r="P75" s="33">
        <f t="shared" si="36"/>
        <v>6</v>
      </c>
      <c r="Q75" s="33">
        <f t="shared" si="36"/>
        <v>6</v>
      </c>
      <c r="R75" s="35">
        <f t="shared" si="32"/>
        <v>1.2E-2</v>
      </c>
      <c r="S75" s="35">
        <f t="shared" si="33"/>
        <v>1.2E-2</v>
      </c>
      <c r="T75" s="35">
        <f t="shared" si="34"/>
        <v>7.4999999999999997E-3</v>
      </c>
      <c r="U75" s="35">
        <f t="shared" si="37"/>
        <v>1.4778325123152691E-2</v>
      </c>
      <c r="V75" s="35">
        <f t="shared" si="37"/>
        <v>1.4778325123152691E-2</v>
      </c>
      <c r="W75" s="35">
        <f t="shared" si="37"/>
        <v>1.4778325123152691E-2</v>
      </c>
      <c r="X75" s="35">
        <f t="shared" si="37"/>
        <v>1.4778325123152691E-2</v>
      </c>
      <c r="Y75" s="35">
        <f t="shared" si="37"/>
        <v>1.4778325123152691E-2</v>
      </c>
      <c r="Z75" s="35">
        <f t="shared" si="37"/>
        <v>1.4778325123152691E-2</v>
      </c>
      <c r="AA75" s="35">
        <f t="shared" si="37"/>
        <v>7.407407407407407E-2</v>
      </c>
    </row>
    <row r="76" spans="2:27" x14ac:dyDescent="0.2">
      <c r="B76" s="2">
        <v>74</v>
      </c>
      <c r="C76" s="2" t="str">
        <f t="shared" si="20"/>
        <v>a</v>
      </c>
      <c r="D76" s="29" t="s">
        <v>1</v>
      </c>
      <c r="E76" s="29" t="s">
        <v>209</v>
      </c>
      <c r="F76" s="2" t="s">
        <v>212</v>
      </c>
      <c r="G76" s="2">
        <f t="shared" ref="G76:G139" si="38">G68</f>
        <v>2</v>
      </c>
      <c r="H76" s="2" t="str">
        <f t="shared" si="30"/>
        <v>电击</v>
      </c>
      <c r="I76" s="38">
        <f t="shared" si="31"/>
        <v>0.08</v>
      </c>
      <c r="J76" s="33">
        <f t="shared" si="35"/>
        <v>19</v>
      </c>
      <c r="K76" s="33">
        <f t="shared" si="36"/>
        <v>20</v>
      </c>
      <c r="L76" s="33">
        <f t="shared" si="36"/>
        <v>7</v>
      </c>
      <c r="M76" s="33">
        <f t="shared" si="36"/>
        <v>12</v>
      </c>
      <c r="N76" s="33">
        <f t="shared" si="36"/>
        <v>27</v>
      </c>
      <c r="O76" s="33">
        <f t="shared" si="36"/>
        <v>25</v>
      </c>
      <c r="P76" s="33">
        <f t="shared" si="36"/>
        <v>12</v>
      </c>
      <c r="Q76" s="33">
        <f t="shared" si="36"/>
        <v>12</v>
      </c>
      <c r="R76" s="35">
        <f t="shared" si="32"/>
        <v>2.4E-2</v>
      </c>
      <c r="S76" s="35">
        <f t="shared" si="33"/>
        <v>2.4E-2</v>
      </c>
      <c r="T76" s="35">
        <f t="shared" si="34"/>
        <v>1.4999999999999999E-2</v>
      </c>
      <c r="U76" s="35">
        <f t="shared" si="37"/>
        <v>2.4390243902439046E-2</v>
      </c>
      <c r="V76" s="35">
        <f t="shared" si="37"/>
        <v>2.4390243902439046E-2</v>
      </c>
      <c r="W76" s="35">
        <f t="shared" si="37"/>
        <v>2.4390243902439046E-2</v>
      </c>
      <c r="X76" s="35">
        <f t="shared" si="37"/>
        <v>2.4390243902439046E-2</v>
      </c>
      <c r="Y76" s="35">
        <f t="shared" si="37"/>
        <v>2.4390243902439046E-2</v>
      </c>
      <c r="Z76" s="35">
        <f t="shared" si="37"/>
        <v>2.4390243902439046E-2</v>
      </c>
      <c r="AA76" s="35">
        <f t="shared" si="37"/>
        <v>0.13793103448275867</v>
      </c>
    </row>
    <row r="77" spans="2:27" x14ac:dyDescent="0.2">
      <c r="B77" s="2">
        <v>75</v>
      </c>
      <c r="C77" s="2" t="str">
        <f t="shared" si="20"/>
        <v>a</v>
      </c>
      <c r="D77" s="29" t="s">
        <v>1</v>
      </c>
      <c r="E77" s="29" t="s">
        <v>209</v>
      </c>
      <c r="F77" s="2" t="s">
        <v>212</v>
      </c>
      <c r="G77" s="2">
        <f t="shared" si="38"/>
        <v>3</v>
      </c>
      <c r="H77" s="2" t="str">
        <f t="shared" si="30"/>
        <v>电击</v>
      </c>
      <c r="I77" s="38">
        <f t="shared" si="31"/>
        <v>0.08</v>
      </c>
      <c r="J77" s="33">
        <f t="shared" si="35"/>
        <v>28</v>
      </c>
      <c r="K77" s="33">
        <f t="shared" si="36"/>
        <v>31</v>
      </c>
      <c r="L77" s="33">
        <f t="shared" si="36"/>
        <v>10</v>
      </c>
      <c r="M77" s="33">
        <f t="shared" si="36"/>
        <v>19</v>
      </c>
      <c r="N77" s="33">
        <f t="shared" si="36"/>
        <v>41</v>
      </c>
      <c r="O77" s="33">
        <f t="shared" si="36"/>
        <v>38</v>
      </c>
      <c r="P77" s="33">
        <f t="shared" si="36"/>
        <v>19</v>
      </c>
      <c r="Q77" s="33">
        <f t="shared" si="36"/>
        <v>19</v>
      </c>
      <c r="R77" s="35">
        <f t="shared" si="32"/>
        <v>3.7999999999999999E-2</v>
      </c>
      <c r="S77" s="35">
        <f t="shared" si="33"/>
        <v>3.7999999999999999E-2</v>
      </c>
      <c r="T77" s="35">
        <f t="shared" si="34"/>
        <v>2.375E-2</v>
      </c>
      <c r="U77" s="35">
        <f t="shared" si="37"/>
        <v>3.8461538461538436E-2</v>
      </c>
      <c r="V77" s="35">
        <f t="shared" si="37"/>
        <v>3.8461538461538436E-2</v>
      </c>
      <c r="W77" s="35">
        <f t="shared" si="37"/>
        <v>3.8461538461538436E-2</v>
      </c>
      <c r="X77" s="35">
        <f t="shared" si="37"/>
        <v>3.8461538461538436E-2</v>
      </c>
      <c r="Y77" s="35">
        <f t="shared" si="37"/>
        <v>3.8461538461538436E-2</v>
      </c>
      <c r="Z77" s="35">
        <f t="shared" si="37"/>
        <v>3.8461538461538436E-2</v>
      </c>
      <c r="AA77" s="35">
        <f t="shared" si="37"/>
        <v>0.19354838709677424</v>
      </c>
    </row>
    <row r="78" spans="2:27" x14ac:dyDescent="0.2">
      <c r="B78" s="2">
        <v>76</v>
      </c>
      <c r="C78" s="2" t="str">
        <f t="shared" si="20"/>
        <v>a</v>
      </c>
      <c r="D78" s="29" t="s">
        <v>1</v>
      </c>
      <c r="E78" s="29" t="s">
        <v>209</v>
      </c>
      <c r="F78" s="2" t="s">
        <v>212</v>
      </c>
      <c r="G78" s="2">
        <f t="shared" si="38"/>
        <v>4</v>
      </c>
      <c r="H78" s="2" t="str">
        <f t="shared" si="30"/>
        <v>电击</v>
      </c>
      <c r="I78" s="38">
        <f t="shared" si="31"/>
        <v>0.08</v>
      </c>
      <c r="J78" s="33">
        <f t="shared" si="35"/>
        <v>38</v>
      </c>
      <c r="K78" s="33">
        <f t="shared" si="36"/>
        <v>41</v>
      </c>
      <c r="L78" s="33">
        <f t="shared" si="36"/>
        <v>14</v>
      </c>
      <c r="M78" s="33">
        <f t="shared" si="36"/>
        <v>25</v>
      </c>
      <c r="N78" s="33">
        <f t="shared" si="36"/>
        <v>55</v>
      </c>
      <c r="O78" s="33">
        <f t="shared" si="36"/>
        <v>51</v>
      </c>
      <c r="P78" s="33">
        <f t="shared" si="36"/>
        <v>25</v>
      </c>
      <c r="Q78" s="33">
        <f t="shared" si="36"/>
        <v>25</v>
      </c>
      <c r="R78" s="35">
        <f t="shared" si="32"/>
        <v>0.05</v>
      </c>
      <c r="S78" s="35">
        <f t="shared" si="33"/>
        <v>0.05</v>
      </c>
      <c r="T78" s="35">
        <f t="shared" si="34"/>
        <v>3.125E-2</v>
      </c>
      <c r="U78" s="35">
        <f t="shared" si="37"/>
        <v>5.2132701421800931E-2</v>
      </c>
      <c r="V78" s="35">
        <f t="shared" si="37"/>
        <v>5.2132701421800931E-2</v>
      </c>
      <c r="W78" s="35">
        <f t="shared" si="37"/>
        <v>5.2132701421800931E-2</v>
      </c>
      <c r="X78" s="35">
        <f t="shared" si="37"/>
        <v>5.2132701421800931E-2</v>
      </c>
      <c r="Y78" s="35">
        <f t="shared" si="37"/>
        <v>5.2132701421800931E-2</v>
      </c>
      <c r="Z78" s="35">
        <f t="shared" si="37"/>
        <v>5.2132701421800931E-2</v>
      </c>
      <c r="AA78" s="35">
        <f t="shared" si="37"/>
        <v>0.24242424242424243</v>
      </c>
    </row>
    <row r="79" spans="2:27" x14ac:dyDescent="0.2">
      <c r="B79" s="2">
        <v>77</v>
      </c>
      <c r="C79" s="2" t="str">
        <f t="shared" si="20"/>
        <v>a</v>
      </c>
      <c r="D79" s="29" t="s">
        <v>1</v>
      </c>
      <c r="E79" s="29" t="s">
        <v>209</v>
      </c>
      <c r="F79" s="2" t="s">
        <v>212</v>
      </c>
      <c r="G79" s="2">
        <f t="shared" si="38"/>
        <v>5</v>
      </c>
      <c r="H79" s="2" t="str">
        <f t="shared" si="30"/>
        <v>电击</v>
      </c>
      <c r="I79" s="38">
        <f t="shared" si="31"/>
        <v>9.8857142857142866E-2</v>
      </c>
      <c r="J79" s="33">
        <f t="shared" si="35"/>
        <v>48</v>
      </c>
      <c r="K79" s="33">
        <f t="shared" si="36"/>
        <v>52</v>
      </c>
      <c r="L79" s="33">
        <f t="shared" si="36"/>
        <v>17</v>
      </c>
      <c r="M79" s="33">
        <f t="shared" si="36"/>
        <v>32</v>
      </c>
      <c r="N79" s="33">
        <f t="shared" si="36"/>
        <v>69</v>
      </c>
      <c r="O79" s="33">
        <f t="shared" si="36"/>
        <v>64</v>
      </c>
      <c r="P79" s="33">
        <f t="shared" si="36"/>
        <v>32</v>
      </c>
      <c r="Q79" s="33">
        <f t="shared" si="36"/>
        <v>32</v>
      </c>
      <c r="R79" s="35">
        <f t="shared" si="32"/>
        <v>6.4000000000000001E-2</v>
      </c>
      <c r="S79" s="35">
        <f t="shared" si="33"/>
        <v>6.4000000000000001E-2</v>
      </c>
      <c r="T79" s="35">
        <f t="shared" si="34"/>
        <v>0.04</v>
      </c>
      <c r="U79" s="35">
        <f t="shared" si="37"/>
        <v>6.1032863849765251E-2</v>
      </c>
      <c r="V79" s="35">
        <f t="shared" si="37"/>
        <v>6.1032863849765251E-2</v>
      </c>
      <c r="W79" s="35">
        <f t="shared" si="37"/>
        <v>6.1032863849765251E-2</v>
      </c>
      <c r="X79" s="35">
        <f t="shared" si="37"/>
        <v>6.1032863849765251E-2</v>
      </c>
      <c r="Y79" s="35">
        <f t="shared" si="37"/>
        <v>6.1032863849765251E-2</v>
      </c>
      <c r="Z79" s="35">
        <f t="shared" si="37"/>
        <v>6.1032863849765251E-2</v>
      </c>
      <c r="AA79" s="35">
        <f t="shared" si="37"/>
        <v>0.2857142857142857</v>
      </c>
    </row>
    <row r="80" spans="2:27" x14ac:dyDescent="0.2">
      <c r="B80" s="2">
        <v>78</v>
      </c>
      <c r="C80" s="2" t="str">
        <f t="shared" si="20"/>
        <v>a</v>
      </c>
      <c r="D80" s="29" t="s">
        <v>1</v>
      </c>
      <c r="E80" s="29" t="s">
        <v>209</v>
      </c>
      <c r="F80" s="2" t="s">
        <v>212</v>
      </c>
      <c r="G80" s="2">
        <f t="shared" si="38"/>
        <v>6</v>
      </c>
      <c r="H80" s="2" t="str">
        <f t="shared" si="30"/>
        <v>电击</v>
      </c>
      <c r="I80" s="38">
        <f t="shared" si="31"/>
        <v>0.11800000000000001</v>
      </c>
      <c r="J80" s="33">
        <f t="shared" si="35"/>
        <v>57</v>
      </c>
      <c r="K80" s="33">
        <f t="shared" si="36"/>
        <v>62</v>
      </c>
      <c r="L80" s="33">
        <f t="shared" si="36"/>
        <v>21</v>
      </c>
      <c r="M80" s="33">
        <f t="shared" si="36"/>
        <v>38</v>
      </c>
      <c r="N80" s="33">
        <f t="shared" si="36"/>
        <v>83</v>
      </c>
      <c r="O80" s="33">
        <f t="shared" si="36"/>
        <v>76</v>
      </c>
      <c r="P80" s="33">
        <f t="shared" si="36"/>
        <v>38</v>
      </c>
      <c r="Q80" s="33">
        <f t="shared" si="36"/>
        <v>38</v>
      </c>
      <c r="R80" s="35">
        <f t="shared" si="32"/>
        <v>7.5999999999999998E-2</v>
      </c>
      <c r="S80" s="35">
        <f t="shared" si="33"/>
        <v>7.5999999999999998E-2</v>
      </c>
      <c r="T80" s="35">
        <f t="shared" si="34"/>
        <v>4.7500000000000001E-2</v>
      </c>
      <c r="U80" s="35">
        <f t="shared" si="37"/>
        <v>7.407407407407407E-2</v>
      </c>
      <c r="V80" s="35">
        <f t="shared" si="37"/>
        <v>7.407407407407407E-2</v>
      </c>
      <c r="W80" s="35">
        <f t="shared" si="37"/>
        <v>7.407407407407407E-2</v>
      </c>
      <c r="X80" s="35">
        <f t="shared" si="37"/>
        <v>7.407407407407407E-2</v>
      </c>
      <c r="Y80" s="35">
        <f t="shared" si="37"/>
        <v>7.407407407407407E-2</v>
      </c>
      <c r="Z80" s="35">
        <f t="shared" si="37"/>
        <v>7.407407407407407E-2</v>
      </c>
      <c r="AA80" s="35">
        <f t="shared" si="37"/>
        <v>0.32432432432432434</v>
      </c>
    </row>
    <row r="81" spans="2:27" x14ac:dyDescent="0.2">
      <c r="B81" s="2">
        <v>79</v>
      </c>
      <c r="C81" s="2" t="str">
        <f t="shared" si="20"/>
        <v>a</v>
      </c>
      <c r="D81" s="29" t="s">
        <v>1</v>
      </c>
      <c r="E81" s="29" t="s">
        <v>209</v>
      </c>
      <c r="F81" s="2" t="s">
        <v>212</v>
      </c>
      <c r="G81" s="2">
        <f t="shared" si="38"/>
        <v>7</v>
      </c>
      <c r="H81" s="2" t="str">
        <f t="shared" si="30"/>
        <v>电击</v>
      </c>
      <c r="I81" s="38">
        <f t="shared" si="31"/>
        <v>0.13742857142857143</v>
      </c>
      <c r="J81" s="33">
        <f t="shared" si="35"/>
        <v>67</v>
      </c>
      <c r="K81" s="33">
        <f t="shared" si="36"/>
        <v>72</v>
      </c>
      <c r="L81" s="33">
        <f t="shared" si="36"/>
        <v>24</v>
      </c>
      <c r="M81" s="33">
        <f t="shared" si="36"/>
        <v>44</v>
      </c>
      <c r="N81" s="33">
        <f t="shared" si="36"/>
        <v>97</v>
      </c>
      <c r="O81" s="33">
        <f t="shared" si="36"/>
        <v>89</v>
      </c>
      <c r="P81" s="33">
        <f t="shared" si="36"/>
        <v>44</v>
      </c>
      <c r="Q81" s="33">
        <f t="shared" si="36"/>
        <v>44</v>
      </c>
      <c r="R81" s="35">
        <f t="shared" si="32"/>
        <v>8.8000000000000009E-2</v>
      </c>
      <c r="S81" s="35">
        <f t="shared" si="33"/>
        <v>8.8000000000000009E-2</v>
      </c>
      <c r="T81" s="35">
        <f t="shared" si="34"/>
        <v>5.5E-2</v>
      </c>
      <c r="U81" s="35">
        <f t="shared" si="37"/>
        <v>8.6757990867579959E-2</v>
      </c>
      <c r="V81" s="35">
        <f t="shared" si="37"/>
        <v>8.6757990867579959E-2</v>
      </c>
      <c r="W81" s="35">
        <f t="shared" si="37"/>
        <v>8.6757990867579959E-2</v>
      </c>
      <c r="X81" s="35">
        <f t="shared" si="37"/>
        <v>8.6757990867579959E-2</v>
      </c>
      <c r="Y81" s="35">
        <f t="shared" si="37"/>
        <v>8.6757990867579959E-2</v>
      </c>
      <c r="Z81" s="35">
        <f t="shared" si="37"/>
        <v>8.6757990867579959E-2</v>
      </c>
      <c r="AA81" s="35">
        <f t="shared" si="37"/>
        <v>0.35897435897435892</v>
      </c>
    </row>
    <row r="82" spans="2:27" x14ac:dyDescent="0.2">
      <c r="B82" s="2">
        <v>80</v>
      </c>
      <c r="C82" s="2" t="str">
        <f t="shared" si="20"/>
        <v>a</v>
      </c>
      <c r="D82" s="29" t="s">
        <v>1</v>
      </c>
      <c r="E82" s="29" t="s">
        <v>209</v>
      </c>
      <c r="F82" s="2" t="s">
        <v>212</v>
      </c>
      <c r="G82" s="2">
        <f t="shared" si="38"/>
        <v>8</v>
      </c>
      <c r="H82" s="2" t="str">
        <f t="shared" si="30"/>
        <v>电击</v>
      </c>
      <c r="I82" s="38">
        <f t="shared" si="31"/>
        <v>0.15771428571428572</v>
      </c>
      <c r="J82" s="33">
        <f t="shared" si="35"/>
        <v>76</v>
      </c>
      <c r="K82" s="33">
        <f t="shared" si="36"/>
        <v>83</v>
      </c>
      <c r="L82" s="33">
        <f t="shared" si="36"/>
        <v>28</v>
      </c>
      <c r="M82" s="33">
        <f t="shared" si="36"/>
        <v>51</v>
      </c>
      <c r="N82" s="33">
        <f t="shared" si="36"/>
        <v>110</v>
      </c>
      <c r="O82" s="33">
        <f t="shared" si="36"/>
        <v>102</v>
      </c>
      <c r="P82" s="33">
        <f t="shared" si="36"/>
        <v>51</v>
      </c>
      <c r="Q82" s="33">
        <f t="shared" si="36"/>
        <v>51</v>
      </c>
      <c r="R82" s="35">
        <f t="shared" si="32"/>
        <v>0.10199999999999999</v>
      </c>
      <c r="S82" s="35">
        <f t="shared" si="33"/>
        <v>0.10199999999999999</v>
      </c>
      <c r="T82" s="35">
        <f t="shared" si="34"/>
        <v>6.3750000000000001E-2</v>
      </c>
      <c r="U82" s="35">
        <f t="shared" si="37"/>
        <v>9.5022624434389136E-2</v>
      </c>
      <c r="V82" s="35">
        <f t="shared" si="37"/>
        <v>9.5022624434389136E-2</v>
      </c>
      <c r="W82" s="35">
        <f t="shared" si="37"/>
        <v>9.5022624434389136E-2</v>
      </c>
      <c r="X82" s="35">
        <f t="shared" si="37"/>
        <v>9.5022624434389136E-2</v>
      </c>
      <c r="Y82" s="35">
        <f t="shared" si="37"/>
        <v>9.5022624434389136E-2</v>
      </c>
      <c r="Z82" s="35">
        <f t="shared" si="37"/>
        <v>9.5022624434389136E-2</v>
      </c>
      <c r="AA82" s="35">
        <f t="shared" si="37"/>
        <v>0.3902439024390244</v>
      </c>
    </row>
    <row r="83" spans="2:27" x14ac:dyDescent="0.2">
      <c r="B83" s="2">
        <v>81</v>
      </c>
      <c r="C83" s="2" t="str">
        <f t="shared" si="20"/>
        <v>b</v>
      </c>
      <c r="D83" s="29" t="s">
        <v>1</v>
      </c>
      <c r="E83" s="29" t="s">
        <v>209</v>
      </c>
      <c r="F83" s="2" t="s">
        <v>212</v>
      </c>
      <c r="G83" s="2">
        <f t="shared" si="38"/>
        <v>1</v>
      </c>
      <c r="H83" s="2" t="str">
        <f t="shared" si="30"/>
        <v>电击</v>
      </c>
      <c r="I83" s="38">
        <f t="shared" si="31"/>
        <v>0.08</v>
      </c>
      <c r="J83" s="33">
        <f t="shared" ref="J83:J92" si="39">INT((1+VLOOKUP($F83,role_property_weight,getpos(J$2),FALSE))*(1+VLOOKUP($F83,drop_property_weight,getpos(J$2),FALSE))*VLOOKUP($E83,role_grow,getpos(J$2),FALSE)*$G83*10*VLOOKUP($C83,drop_grow1,4,FALSE))</f>
        <v>11</v>
      </c>
      <c r="K83" s="33">
        <f t="shared" ref="K83:Q92" si="40">INT((1+VLOOKUP($F83,role_property_weight,getpos(K$2),FALSE))*(1+VLOOKUP($F83,drop_property_weight,getpos(K$2),FALSE))*VLOOKUP($E83,role_grow,getpos(K$2),FALSE)*$G83*10*VLOOKUP($C83,drop_grow1,5,FALSE))</f>
        <v>15</v>
      </c>
      <c r="L83" s="33">
        <f t="shared" si="40"/>
        <v>5</v>
      </c>
      <c r="M83" s="33">
        <f t="shared" si="40"/>
        <v>9</v>
      </c>
      <c r="N83" s="33">
        <f t="shared" si="40"/>
        <v>20</v>
      </c>
      <c r="O83" s="33">
        <f t="shared" si="40"/>
        <v>19</v>
      </c>
      <c r="P83" s="33">
        <f t="shared" si="40"/>
        <v>9</v>
      </c>
      <c r="Q83" s="33">
        <f t="shared" si="40"/>
        <v>9</v>
      </c>
      <c r="R83" s="35">
        <f t="shared" si="32"/>
        <v>1.8000000000000002E-2</v>
      </c>
      <c r="S83" s="35">
        <f t="shared" si="33"/>
        <v>1.8000000000000002E-2</v>
      </c>
      <c r="T83" s="35">
        <f t="shared" si="34"/>
        <v>1.125E-2</v>
      </c>
      <c r="U83" s="35">
        <f t="shared" ref="U83:AA92" si="41">1-200/(200+ROUND((1+VLOOKUP($F83,role_property_weight,getpos(U$2),FALSE))*VLOOKUP($E83,role_grow,getpos(U$2),FALSE)*$G83*10*VLOOKUP($C83,drop_grow1,5,FALSE),0))</f>
        <v>1.9607843137254943E-2</v>
      </c>
      <c r="V83" s="35">
        <f t="shared" si="41"/>
        <v>1.9607843137254943E-2</v>
      </c>
      <c r="W83" s="35">
        <f t="shared" si="41"/>
        <v>1.9607843137254943E-2</v>
      </c>
      <c r="X83" s="35">
        <f t="shared" si="41"/>
        <v>1.9607843137254943E-2</v>
      </c>
      <c r="Y83" s="35">
        <f t="shared" si="41"/>
        <v>1.9607843137254943E-2</v>
      </c>
      <c r="Z83" s="35">
        <f t="shared" si="41"/>
        <v>1.9607843137254943E-2</v>
      </c>
      <c r="AA83" s="35">
        <f t="shared" si="41"/>
        <v>0.1071428571428571</v>
      </c>
    </row>
    <row r="84" spans="2:27" x14ac:dyDescent="0.2">
      <c r="B84" s="2">
        <v>82</v>
      </c>
      <c r="C84" s="2" t="str">
        <f t="shared" si="20"/>
        <v>b</v>
      </c>
      <c r="D84" s="29" t="s">
        <v>1</v>
      </c>
      <c r="E84" s="29" t="s">
        <v>209</v>
      </c>
      <c r="F84" s="2" t="s">
        <v>212</v>
      </c>
      <c r="G84" s="2">
        <f t="shared" si="38"/>
        <v>2</v>
      </c>
      <c r="H84" s="2" t="str">
        <f t="shared" si="30"/>
        <v>电击</v>
      </c>
      <c r="I84" s="38">
        <f t="shared" si="31"/>
        <v>0.08</v>
      </c>
      <c r="J84" s="33">
        <f t="shared" si="39"/>
        <v>22</v>
      </c>
      <c r="K84" s="33">
        <f t="shared" si="40"/>
        <v>31</v>
      </c>
      <c r="L84" s="33">
        <f t="shared" si="40"/>
        <v>10</v>
      </c>
      <c r="M84" s="33">
        <f t="shared" si="40"/>
        <v>19</v>
      </c>
      <c r="N84" s="33">
        <f t="shared" si="40"/>
        <v>41</v>
      </c>
      <c r="O84" s="33">
        <f t="shared" si="40"/>
        <v>38</v>
      </c>
      <c r="P84" s="33">
        <f t="shared" si="40"/>
        <v>19</v>
      </c>
      <c r="Q84" s="33">
        <f t="shared" si="40"/>
        <v>19</v>
      </c>
      <c r="R84" s="35">
        <f t="shared" si="32"/>
        <v>3.7999999999999999E-2</v>
      </c>
      <c r="S84" s="35">
        <f t="shared" si="33"/>
        <v>3.7999999999999999E-2</v>
      </c>
      <c r="T84" s="35">
        <f t="shared" si="34"/>
        <v>2.375E-2</v>
      </c>
      <c r="U84" s="35">
        <f t="shared" si="41"/>
        <v>3.8461538461538436E-2</v>
      </c>
      <c r="V84" s="35">
        <f t="shared" si="41"/>
        <v>3.8461538461538436E-2</v>
      </c>
      <c r="W84" s="35">
        <f t="shared" si="41"/>
        <v>3.8461538461538436E-2</v>
      </c>
      <c r="X84" s="35">
        <f t="shared" si="41"/>
        <v>3.8461538461538436E-2</v>
      </c>
      <c r="Y84" s="35">
        <f t="shared" si="41"/>
        <v>3.8461538461538436E-2</v>
      </c>
      <c r="Z84" s="35">
        <f t="shared" si="41"/>
        <v>3.8461538461538436E-2</v>
      </c>
      <c r="AA84" s="35">
        <f t="shared" si="41"/>
        <v>0.19354838709677424</v>
      </c>
    </row>
    <row r="85" spans="2:27" x14ac:dyDescent="0.2">
      <c r="B85" s="2">
        <v>83</v>
      </c>
      <c r="C85" s="2" t="str">
        <f t="shared" si="20"/>
        <v>b</v>
      </c>
      <c r="D85" s="29" t="s">
        <v>1</v>
      </c>
      <c r="E85" s="29" t="s">
        <v>209</v>
      </c>
      <c r="F85" s="2" t="s">
        <v>212</v>
      </c>
      <c r="G85" s="2">
        <f t="shared" si="38"/>
        <v>3</v>
      </c>
      <c r="H85" s="2" t="str">
        <f t="shared" si="30"/>
        <v>电击</v>
      </c>
      <c r="I85" s="38">
        <f t="shared" si="31"/>
        <v>8.4857142857142853E-2</v>
      </c>
      <c r="J85" s="33">
        <f t="shared" si="39"/>
        <v>33</v>
      </c>
      <c r="K85" s="33">
        <f t="shared" si="40"/>
        <v>46</v>
      </c>
      <c r="L85" s="33">
        <f t="shared" si="40"/>
        <v>15</v>
      </c>
      <c r="M85" s="33">
        <f t="shared" si="40"/>
        <v>28</v>
      </c>
      <c r="N85" s="33">
        <f t="shared" si="40"/>
        <v>62</v>
      </c>
      <c r="O85" s="33">
        <f t="shared" si="40"/>
        <v>57</v>
      </c>
      <c r="P85" s="33">
        <f t="shared" si="40"/>
        <v>28</v>
      </c>
      <c r="Q85" s="33">
        <f t="shared" si="40"/>
        <v>28</v>
      </c>
      <c r="R85" s="35">
        <f t="shared" si="32"/>
        <v>5.5999999999999994E-2</v>
      </c>
      <c r="S85" s="35">
        <f t="shared" si="33"/>
        <v>5.5999999999999994E-2</v>
      </c>
      <c r="T85" s="35">
        <f t="shared" si="34"/>
        <v>3.5000000000000003E-2</v>
      </c>
      <c r="U85" s="35">
        <f t="shared" si="41"/>
        <v>5.6603773584905648E-2</v>
      </c>
      <c r="V85" s="35">
        <f t="shared" si="41"/>
        <v>5.6603773584905648E-2</v>
      </c>
      <c r="W85" s="35">
        <f t="shared" si="41"/>
        <v>5.6603773584905648E-2</v>
      </c>
      <c r="X85" s="35">
        <f t="shared" si="41"/>
        <v>5.6603773584905648E-2</v>
      </c>
      <c r="Y85" s="35">
        <f t="shared" si="41"/>
        <v>5.6603773584905648E-2</v>
      </c>
      <c r="Z85" s="35">
        <f t="shared" si="41"/>
        <v>5.6603773584905648E-2</v>
      </c>
      <c r="AA85" s="35">
        <f t="shared" si="41"/>
        <v>0.26470588235294112</v>
      </c>
    </row>
    <row r="86" spans="2:27" x14ac:dyDescent="0.2">
      <c r="B86" s="2">
        <v>84</v>
      </c>
      <c r="C86" s="2" t="str">
        <f t="shared" si="20"/>
        <v>b</v>
      </c>
      <c r="D86" s="29" t="s">
        <v>1</v>
      </c>
      <c r="E86" s="29" t="s">
        <v>209</v>
      </c>
      <c r="F86" s="2" t="s">
        <v>212</v>
      </c>
      <c r="G86" s="2">
        <f t="shared" si="38"/>
        <v>4</v>
      </c>
      <c r="H86" s="2" t="str">
        <f t="shared" si="30"/>
        <v>电击</v>
      </c>
      <c r="I86" s="38">
        <f t="shared" si="31"/>
        <v>0.11428571428571428</v>
      </c>
      <c r="J86" s="33">
        <f t="shared" si="39"/>
        <v>44</v>
      </c>
      <c r="K86" s="33">
        <f t="shared" si="40"/>
        <v>62</v>
      </c>
      <c r="L86" s="33">
        <f t="shared" si="40"/>
        <v>21</v>
      </c>
      <c r="M86" s="33">
        <f t="shared" si="40"/>
        <v>38</v>
      </c>
      <c r="N86" s="33">
        <f t="shared" si="40"/>
        <v>83</v>
      </c>
      <c r="O86" s="33">
        <f t="shared" si="40"/>
        <v>76</v>
      </c>
      <c r="P86" s="33">
        <f t="shared" si="40"/>
        <v>38</v>
      </c>
      <c r="Q86" s="33">
        <f t="shared" si="40"/>
        <v>38</v>
      </c>
      <c r="R86" s="35">
        <f t="shared" si="32"/>
        <v>7.5999999999999998E-2</v>
      </c>
      <c r="S86" s="35">
        <f t="shared" si="33"/>
        <v>7.5999999999999998E-2</v>
      </c>
      <c r="T86" s="35">
        <f t="shared" si="34"/>
        <v>4.7500000000000001E-2</v>
      </c>
      <c r="U86" s="35">
        <f t="shared" si="41"/>
        <v>7.407407407407407E-2</v>
      </c>
      <c r="V86" s="35">
        <f t="shared" si="41"/>
        <v>7.407407407407407E-2</v>
      </c>
      <c r="W86" s="35">
        <f t="shared" si="41"/>
        <v>7.407407407407407E-2</v>
      </c>
      <c r="X86" s="35">
        <f t="shared" si="41"/>
        <v>7.407407407407407E-2</v>
      </c>
      <c r="Y86" s="35">
        <f t="shared" si="41"/>
        <v>7.407407407407407E-2</v>
      </c>
      <c r="Z86" s="35">
        <f t="shared" si="41"/>
        <v>7.407407407407407E-2</v>
      </c>
      <c r="AA86" s="35">
        <f t="shared" si="41"/>
        <v>0.32432432432432434</v>
      </c>
    </row>
    <row r="87" spans="2:27" x14ac:dyDescent="0.2">
      <c r="B87" s="2">
        <v>85</v>
      </c>
      <c r="C87" s="2" t="str">
        <f t="shared" si="20"/>
        <v>b</v>
      </c>
      <c r="D87" s="29" t="s">
        <v>1</v>
      </c>
      <c r="E87" s="29" t="s">
        <v>209</v>
      </c>
      <c r="F87" s="2" t="s">
        <v>212</v>
      </c>
      <c r="G87" s="2">
        <f t="shared" si="38"/>
        <v>5</v>
      </c>
      <c r="H87" s="2" t="str">
        <f t="shared" si="30"/>
        <v>电击</v>
      </c>
      <c r="I87" s="38">
        <f t="shared" si="31"/>
        <v>0.14400000000000002</v>
      </c>
      <c r="J87" s="33">
        <f t="shared" si="39"/>
        <v>56</v>
      </c>
      <c r="K87" s="33">
        <f t="shared" si="40"/>
        <v>78</v>
      </c>
      <c r="L87" s="33">
        <f t="shared" si="40"/>
        <v>26</v>
      </c>
      <c r="M87" s="33">
        <f t="shared" si="40"/>
        <v>48</v>
      </c>
      <c r="N87" s="33">
        <f t="shared" si="40"/>
        <v>104</v>
      </c>
      <c r="O87" s="33">
        <f t="shared" si="40"/>
        <v>96</v>
      </c>
      <c r="P87" s="33">
        <f t="shared" si="40"/>
        <v>48</v>
      </c>
      <c r="Q87" s="33">
        <f t="shared" si="40"/>
        <v>48</v>
      </c>
      <c r="R87" s="35">
        <f t="shared" si="32"/>
        <v>9.6000000000000002E-2</v>
      </c>
      <c r="S87" s="35">
        <f t="shared" si="33"/>
        <v>9.6000000000000002E-2</v>
      </c>
      <c r="T87" s="35">
        <f t="shared" si="34"/>
        <v>0.06</v>
      </c>
      <c r="U87" s="35">
        <f t="shared" si="41"/>
        <v>9.0909090909090939E-2</v>
      </c>
      <c r="V87" s="35">
        <f t="shared" si="41"/>
        <v>9.0909090909090939E-2</v>
      </c>
      <c r="W87" s="35">
        <f t="shared" si="41"/>
        <v>9.0909090909090939E-2</v>
      </c>
      <c r="X87" s="35">
        <f t="shared" si="41"/>
        <v>9.0909090909090939E-2</v>
      </c>
      <c r="Y87" s="35">
        <f t="shared" si="41"/>
        <v>9.0909090909090939E-2</v>
      </c>
      <c r="Z87" s="35">
        <f t="shared" si="41"/>
        <v>9.0909090909090939E-2</v>
      </c>
      <c r="AA87" s="35">
        <f t="shared" si="41"/>
        <v>0.375</v>
      </c>
    </row>
    <row r="88" spans="2:27" x14ac:dyDescent="0.2">
      <c r="B88" s="2">
        <v>86</v>
      </c>
      <c r="C88" s="2" t="str">
        <f t="shared" si="20"/>
        <v>b</v>
      </c>
      <c r="D88" s="29" t="s">
        <v>1</v>
      </c>
      <c r="E88" s="29" t="s">
        <v>209</v>
      </c>
      <c r="F88" s="2" t="s">
        <v>212</v>
      </c>
      <c r="G88" s="2">
        <f t="shared" si="38"/>
        <v>6</v>
      </c>
      <c r="H88" s="2" t="str">
        <f t="shared" si="30"/>
        <v>电击</v>
      </c>
      <c r="I88" s="38">
        <f t="shared" si="31"/>
        <v>0.17171428571428571</v>
      </c>
      <c r="J88" s="33">
        <f t="shared" si="39"/>
        <v>67</v>
      </c>
      <c r="K88" s="33">
        <f t="shared" si="40"/>
        <v>93</v>
      </c>
      <c r="L88" s="33">
        <f t="shared" si="40"/>
        <v>31</v>
      </c>
      <c r="M88" s="33">
        <f t="shared" si="40"/>
        <v>57</v>
      </c>
      <c r="N88" s="33">
        <f t="shared" si="40"/>
        <v>124</v>
      </c>
      <c r="O88" s="33">
        <f t="shared" si="40"/>
        <v>115</v>
      </c>
      <c r="P88" s="33">
        <f t="shared" si="40"/>
        <v>57</v>
      </c>
      <c r="Q88" s="33">
        <f t="shared" si="40"/>
        <v>57</v>
      </c>
      <c r="R88" s="35">
        <f t="shared" si="32"/>
        <v>0.114</v>
      </c>
      <c r="S88" s="35">
        <f t="shared" si="33"/>
        <v>0.114</v>
      </c>
      <c r="T88" s="35">
        <f t="shared" si="34"/>
        <v>7.1249999999999994E-2</v>
      </c>
      <c r="U88" s="35">
        <f t="shared" si="41"/>
        <v>0.1071428571428571</v>
      </c>
      <c r="V88" s="35">
        <f t="shared" si="41"/>
        <v>0.1071428571428571</v>
      </c>
      <c r="W88" s="35">
        <f t="shared" si="41"/>
        <v>0.1071428571428571</v>
      </c>
      <c r="X88" s="35">
        <f t="shared" si="41"/>
        <v>0.1071428571428571</v>
      </c>
      <c r="Y88" s="35">
        <f t="shared" si="41"/>
        <v>0.1071428571428571</v>
      </c>
      <c r="Z88" s="35">
        <f t="shared" si="41"/>
        <v>0.1071428571428571</v>
      </c>
      <c r="AA88" s="35">
        <f t="shared" si="41"/>
        <v>0.41860465116279066</v>
      </c>
    </row>
    <row r="89" spans="2:27" x14ac:dyDescent="0.2">
      <c r="B89" s="2">
        <v>87</v>
      </c>
      <c r="C89" s="2" t="str">
        <f t="shared" si="20"/>
        <v>b</v>
      </c>
      <c r="D89" s="29" t="s">
        <v>1</v>
      </c>
      <c r="E89" s="29" t="s">
        <v>209</v>
      </c>
      <c r="F89" s="2" t="s">
        <v>212</v>
      </c>
      <c r="G89" s="2">
        <f t="shared" si="38"/>
        <v>7</v>
      </c>
      <c r="H89" s="2" t="str">
        <f t="shared" si="30"/>
        <v>电击</v>
      </c>
      <c r="I89" s="38">
        <f t="shared" si="31"/>
        <v>0.20085714285714285</v>
      </c>
      <c r="J89" s="33">
        <f t="shared" si="39"/>
        <v>78</v>
      </c>
      <c r="K89" s="33">
        <f t="shared" si="40"/>
        <v>109</v>
      </c>
      <c r="L89" s="33">
        <f t="shared" si="40"/>
        <v>36</v>
      </c>
      <c r="M89" s="33">
        <f t="shared" si="40"/>
        <v>67</v>
      </c>
      <c r="N89" s="33">
        <f t="shared" si="40"/>
        <v>145</v>
      </c>
      <c r="O89" s="33">
        <f t="shared" si="40"/>
        <v>134</v>
      </c>
      <c r="P89" s="33">
        <f t="shared" si="40"/>
        <v>67</v>
      </c>
      <c r="Q89" s="33">
        <f t="shared" si="40"/>
        <v>67</v>
      </c>
      <c r="R89" s="35">
        <f t="shared" si="32"/>
        <v>0.13400000000000001</v>
      </c>
      <c r="S89" s="35">
        <f t="shared" si="33"/>
        <v>0.13400000000000001</v>
      </c>
      <c r="T89" s="35">
        <f t="shared" si="34"/>
        <v>8.3750000000000005E-2</v>
      </c>
      <c r="U89" s="35">
        <f t="shared" si="41"/>
        <v>0.1228070175438597</v>
      </c>
      <c r="V89" s="35">
        <f t="shared" si="41"/>
        <v>0.1228070175438597</v>
      </c>
      <c r="W89" s="35">
        <f t="shared" si="41"/>
        <v>0.1228070175438597</v>
      </c>
      <c r="X89" s="35">
        <f t="shared" si="41"/>
        <v>0.1228070175438597</v>
      </c>
      <c r="Y89" s="35">
        <f t="shared" si="41"/>
        <v>0.1228070175438597</v>
      </c>
      <c r="Z89" s="35">
        <f t="shared" si="41"/>
        <v>0.1228070175438597</v>
      </c>
      <c r="AA89" s="35">
        <f t="shared" si="41"/>
        <v>0.45652173913043481</v>
      </c>
    </row>
    <row r="90" spans="2:27" x14ac:dyDescent="0.2">
      <c r="B90" s="2">
        <v>88</v>
      </c>
      <c r="C90" s="2" t="str">
        <f t="shared" si="20"/>
        <v>b</v>
      </c>
      <c r="D90" s="29" t="s">
        <v>1</v>
      </c>
      <c r="E90" s="29" t="s">
        <v>209</v>
      </c>
      <c r="F90" s="2" t="s">
        <v>212</v>
      </c>
      <c r="G90" s="2">
        <f t="shared" si="38"/>
        <v>8</v>
      </c>
      <c r="H90" s="2" t="str">
        <f t="shared" si="30"/>
        <v>电击</v>
      </c>
      <c r="I90" s="38">
        <f t="shared" si="31"/>
        <v>0.22914285714285715</v>
      </c>
      <c r="J90" s="33">
        <f t="shared" si="39"/>
        <v>89</v>
      </c>
      <c r="K90" s="33">
        <f t="shared" si="40"/>
        <v>124</v>
      </c>
      <c r="L90" s="33">
        <f t="shared" si="40"/>
        <v>42</v>
      </c>
      <c r="M90" s="33">
        <f t="shared" si="40"/>
        <v>76</v>
      </c>
      <c r="N90" s="33">
        <f t="shared" si="40"/>
        <v>166</v>
      </c>
      <c r="O90" s="33">
        <f t="shared" si="40"/>
        <v>153</v>
      </c>
      <c r="P90" s="33">
        <f t="shared" si="40"/>
        <v>76</v>
      </c>
      <c r="Q90" s="33">
        <f t="shared" si="40"/>
        <v>76</v>
      </c>
      <c r="R90" s="35">
        <f t="shared" si="32"/>
        <v>0.152</v>
      </c>
      <c r="S90" s="35">
        <f t="shared" si="33"/>
        <v>0.152</v>
      </c>
      <c r="T90" s="35">
        <f t="shared" si="34"/>
        <v>9.5000000000000001E-2</v>
      </c>
      <c r="U90" s="35">
        <f t="shared" si="41"/>
        <v>0.13793103448275867</v>
      </c>
      <c r="V90" s="35">
        <f t="shared" si="41"/>
        <v>0.13793103448275867</v>
      </c>
      <c r="W90" s="35">
        <f t="shared" si="41"/>
        <v>0.13793103448275867</v>
      </c>
      <c r="X90" s="35">
        <f t="shared" si="41"/>
        <v>0.13793103448275867</v>
      </c>
      <c r="Y90" s="35">
        <f t="shared" si="41"/>
        <v>0.13793103448275867</v>
      </c>
      <c r="Z90" s="35">
        <f t="shared" si="41"/>
        <v>0.13793103448275867</v>
      </c>
      <c r="AA90" s="35">
        <f t="shared" si="41"/>
        <v>0.48979591836734693</v>
      </c>
    </row>
    <row r="91" spans="2:27" x14ac:dyDescent="0.2">
      <c r="B91" s="2">
        <v>89</v>
      </c>
      <c r="C91" s="2" t="str">
        <f t="shared" si="20"/>
        <v>c</v>
      </c>
      <c r="D91" s="29" t="s">
        <v>1</v>
      </c>
      <c r="E91" s="29" t="s">
        <v>209</v>
      </c>
      <c r="F91" s="2" t="s">
        <v>212</v>
      </c>
      <c r="G91" s="2">
        <f t="shared" si="38"/>
        <v>1</v>
      </c>
      <c r="H91" s="2" t="str">
        <f t="shared" si="30"/>
        <v>--</v>
      </c>
      <c r="I91" s="38">
        <f t="shared" si="31"/>
        <v>0</v>
      </c>
      <c r="J91" s="33">
        <f t="shared" si="39"/>
        <v>15</v>
      </c>
      <c r="K91" s="33">
        <f t="shared" si="40"/>
        <v>0</v>
      </c>
      <c r="L91" s="33">
        <f t="shared" si="40"/>
        <v>0</v>
      </c>
      <c r="M91" s="33">
        <f t="shared" si="40"/>
        <v>0</v>
      </c>
      <c r="N91" s="33">
        <f t="shared" si="40"/>
        <v>0</v>
      </c>
      <c r="O91" s="33">
        <f t="shared" si="40"/>
        <v>0</v>
      </c>
      <c r="P91" s="33">
        <f t="shared" si="40"/>
        <v>0</v>
      </c>
      <c r="Q91" s="33">
        <f t="shared" si="40"/>
        <v>0</v>
      </c>
      <c r="R91" s="35">
        <f t="shared" si="32"/>
        <v>0</v>
      </c>
      <c r="S91" s="35">
        <f t="shared" si="33"/>
        <v>0</v>
      </c>
      <c r="T91" s="35">
        <f t="shared" si="34"/>
        <v>0</v>
      </c>
      <c r="U91" s="35">
        <f t="shared" si="41"/>
        <v>0</v>
      </c>
      <c r="V91" s="35">
        <f t="shared" si="41"/>
        <v>0</v>
      </c>
      <c r="W91" s="35">
        <f t="shared" si="41"/>
        <v>0</v>
      </c>
      <c r="X91" s="35">
        <f t="shared" si="41"/>
        <v>0</v>
      </c>
      <c r="Y91" s="35">
        <f t="shared" si="41"/>
        <v>0</v>
      </c>
      <c r="Z91" s="35">
        <f t="shared" si="41"/>
        <v>0</v>
      </c>
      <c r="AA91" s="35">
        <f t="shared" si="41"/>
        <v>0</v>
      </c>
    </row>
    <row r="92" spans="2:27" x14ac:dyDescent="0.2">
      <c r="B92" s="2">
        <v>90</v>
      </c>
      <c r="C92" s="2" t="str">
        <f t="shared" si="20"/>
        <v>c</v>
      </c>
      <c r="D92" s="29" t="s">
        <v>1</v>
      </c>
      <c r="E92" s="29" t="s">
        <v>209</v>
      </c>
      <c r="F92" s="2" t="s">
        <v>212</v>
      </c>
      <c r="G92" s="2">
        <f t="shared" si="38"/>
        <v>2</v>
      </c>
      <c r="H92" s="2" t="str">
        <f t="shared" si="30"/>
        <v>--</v>
      </c>
      <c r="I92" s="38">
        <f t="shared" si="31"/>
        <v>0</v>
      </c>
      <c r="J92" s="33">
        <f t="shared" si="39"/>
        <v>30</v>
      </c>
      <c r="K92" s="33">
        <f t="shared" si="40"/>
        <v>0</v>
      </c>
      <c r="L92" s="33">
        <f t="shared" si="40"/>
        <v>0</v>
      </c>
      <c r="M92" s="33">
        <f t="shared" si="40"/>
        <v>0</v>
      </c>
      <c r="N92" s="33">
        <f t="shared" si="40"/>
        <v>0</v>
      </c>
      <c r="O92" s="33">
        <f t="shared" si="40"/>
        <v>0</v>
      </c>
      <c r="P92" s="33">
        <f t="shared" si="40"/>
        <v>0</v>
      </c>
      <c r="Q92" s="33">
        <f t="shared" si="40"/>
        <v>0</v>
      </c>
      <c r="R92" s="35">
        <f t="shared" si="32"/>
        <v>0</v>
      </c>
      <c r="S92" s="35">
        <f t="shared" si="33"/>
        <v>0</v>
      </c>
      <c r="T92" s="35">
        <f t="shared" si="34"/>
        <v>0</v>
      </c>
      <c r="U92" s="35">
        <f t="shared" si="41"/>
        <v>0</v>
      </c>
      <c r="V92" s="35">
        <f t="shared" si="41"/>
        <v>0</v>
      </c>
      <c r="W92" s="35">
        <f t="shared" si="41"/>
        <v>0</v>
      </c>
      <c r="X92" s="35">
        <f t="shared" si="41"/>
        <v>0</v>
      </c>
      <c r="Y92" s="35">
        <f t="shared" si="41"/>
        <v>0</v>
      </c>
      <c r="Z92" s="35">
        <f t="shared" si="41"/>
        <v>0</v>
      </c>
      <c r="AA92" s="35">
        <f t="shared" si="41"/>
        <v>0</v>
      </c>
    </row>
    <row r="93" spans="2:27" x14ac:dyDescent="0.2">
      <c r="B93" s="2">
        <v>91</v>
      </c>
      <c r="C93" s="2" t="str">
        <f t="shared" si="20"/>
        <v>c</v>
      </c>
      <c r="D93" s="29" t="s">
        <v>1</v>
      </c>
      <c r="E93" s="29" t="s">
        <v>209</v>
      </c>
      <c r="F93" s="2" t="s">
        <v>212</v>
      </c>
      <c r="G93" s="2">
        <f t="shared" si="38"/>
        <v>3</v>
      </c>
      <c r="H93" s="2" t="str">
        <f t="shared" si="30"/>
        <v>--</v>
      </c>
      <c r="I93" s="38">
        <f t="shared" si="31"/>
        <v>0</v>
      </c>
      <c r="J93" s="33">
        <f t="shared" ref="J93:J102" si="42">INT((1+VLOOKUP($F93,role_property_weight,getpos(J$2),FALSE))*(1+VLOOKUP($F93,drop_property_weight,getpos(J$2),FALSE))*VLOOKUP($E93,role_grow,getpos(J$2),FALSE)*$G93*10*VLOOKUP($C93,drop_grow1,4,FALSE))</f>
        <v>45</v>
      </c>
      <c r="K93" s="33">
        <f t="shared" ref="K93:Q102" si="43">INT((1+VLOOKUP($F93,role_property_weight,getpos(K$2),FALSE))*(1+VLOOKUP($F93,drop_property_weight,getpos(K$2),FALSE))*VLOOKUP($E93,role_grow,getpos(K$2),FALSE)*$G93*10*VLOOKUP($C93,drop_grow1,5,FALSE))</f>
        <v>0</v>
      </c>
      <c r="L93" s="33">
        <f t="shared" si="43"/>
        <v>0</v>
      </c>
      <c r="M93" s="33">
        <f t="shared" si="43"/>
        <v>0</v>
      </c>
      <c r="N93" s="33">
        <f t="shared" si="43"/>
        <v>0</v>
      </c>
      <c r="O93" s="33">
        <f t="shared" si="43"/>
        <v>0</v>
      </c>
      <c r="P93" s="33">
        <f t="shared" si="43"/>
        <v>0</v>
      </c>
      <c r="Q93" s="33">
        <f t="shared" si="43"/>
        <v>0</v>
      </c>
      <c r="R93" s="35">
        <f t="shared" si="32"/>
        <v>0</v>
      </c>
      <c r="S93" s="35">
        <f t="shared" si="33"/>
        <v>0</v>
      </c>
      <c r="T93" s="35">
        <f t="shared" si="34"/>
        <v>0</v>
      </c>
      <c r="U93" s="35">
        <f t="shared" ref="U93:AA102" si="44">1-200/(200+ROUND((1+VLOOKUP($F93,role_property_weight,getpos(U$2),FALSE))*VLOOKUP($E93,role_grow,getpos(U$2),FALSE)*$G93*10*VLOOKUP($C93,drop_grow1,5,FALSE),0))</f>
        <v>0</v>
      </c>
      <c r="V93" s="35">
        <f t="shared" si="44"/>
        <v>0</v>
      </c>
      <c r="W93" s="35">
        <f t="shared" si="44"/>
        <v>0</v>
      </c>
      <c r="X93" s="35">
        <f t="shared" si="44"/>
        <v>0</v>
      </c>
      <c r="Y93" s="35">
        <f t="shared" si="44"/>
        <v>0</v>
      </c>
      <c r="Z93" s="35">
        <f t="shared" si="44"/>
        <v>0</v>
      </c>
      <c r="AA93" s="35">
        <f t="shared" si="44"/>
        <v>0</v>
      </c>
    </row>
    <row r="94" spans="2:27" x14ac:dyDescent="0.2">
      <c r="B94" s="2">
        <v>92</v>
      </c>
      <c r="C94" s="2" t="str">
        <f t="shared" si="20"/>
        <v>c</v>
      </c>
      <c r="D94" s="29" t="s">
        <v>1</v>
      </c>
      <c r="E94" s="29" t="s">
        <v>209</v>
      </c>
      <c r="F94" s="2" t="s">
        <v>212</v>
      </c>
      <c r="G94" s="2">
        <f t="shared" si="38"/>
        <v>4</v>
      </c>
      <c r="H94" s="2" t="str">
        <f t="shared" si="30"/>
        <v>--</v>
      </c>
      <c r="I94" s="38">
        <f t="shared" si="31"/>
        <v>0</v>
      </c>
      <c r="J94" s="33">
        <f t="shared" si="42"/>
        <v>60</v>
      </c>
      <c r="K94" s="33">
        <f t="shared" si="43"/>
        <v>0</v>
      </c>
      <c r="L94" s="33">
        <f t="shared" si="43"/>
        <v>0</v>
      </c>
      <c r="M94" s="33">
        <f t="shared" si="43"/>
        <v>0</v>
      </c>
      <c r="N94" s="33">
        <f t="shared" si="43"/>
        <v>0</v>
      </c>
      <c r="O94" s="33">
        <f t="shared" si="43"/>
        <v>0</v>
      </c>
      <c r="P94" s="33">
        <f t="shared" si="43"/>
        <v>0</v>
      </c>
      <c r="Q94" s="33">
        <f t="shared" si="43"/>
        <v>0</v>
      </c>
      <c r="R94" s="35">
        <f t="shared" si="32"/>
        <v>0</v>
      </c>
      <c r="S94" s="35">
        <f t="shared" si="33"/>
        <v>0</v>
      </c>
      <c r="T94" s="35">
        <f t="shared" si="34"/>
        <v>0</v>
      </c>
      <c r="U94" s="35">
        <f t="shared" si="44"/>
        <v>0</v>
      </c>
      <c r="V94" s="35">
        <f t="shared" si="44"/>
        <v>0</v>
      </c>
      <c r="W94" s="35">
        <f t="shared" si="44"/>
        <v>0</v>
      </c>
      <c r="X94" s="35">
        <f t="shared" si="44"/>
        <v>0</v>
      </c>
      <c r="Y94" s="35">
        <f t="shared" si="44"/>
        <v>0</v>
      </c>
      <c r="Z94" s="35">
        <f t="shared" si="44"/>
        <v>0</v>
      </c>
      <c r="AA94" s="35">
        <f t="shared" si="44"/>
        <v>0</v>
      </c>
    </row>
    <row r="95" spans="2:27" x14ac:dyDescent="0.2">
      <c r="B95" s="2">
        <v>93</v>
      </c>
      <c r="C95" s="2" t="str">
        <f t="shared" si="20"/>
        <v>c</v>
      </c>
      <c r="D95" s="29" t="s">
        <v>1</v>
      </c>
      <c r="E95" s="29" t="s">
        <v>209</v>
      </c>
      <c r="F95" s="2" t="s">
        <v>212</v>
      </c>
      <c r="G95" s="2">
        <f t="shared" si="38"/>
        <v>5</v>
      </c>
      <c r="H95" s="2" t="str">
        <f t="shared" si="30"/>
        <v>--</v>
      </c>
      <c r="I95" s="38">
        <f t="shared" si="31"/>
        <v>0</v>
      </c>
      <c r="J95" s="33">
        <f t="shared" si="42"/>
        <v>75</v>
      </c>
      <c r="K95" s="33">
        <f t="shared" si="43"/>
        <v>0</v>
      </c>
      <c r="L95" s="33">
        <f t="shared" si="43"/>
        <v>0</v>
      </c>
      <c r="M95" s="33">
        <f t="shared" si="43"/>
        <v>0</v>
      </c>
      <c r="N95" s="33">
        <f t="shared" si="43"/>
        <v>0</v>
      </c>
      <c r="O95" s="33">
        <f t="shared" si="43"/>
        <v>0</v>
      </c>
      <c r="P95" s="33">
        <f t="shared" si="43"/>
        <v>0</v>
      </c>
      <c r="Q95" s="33">
        <f t="shared" si="43"/>
        <v>0</v>
      </c>
      <c r="R95" s="35">
        <f t="shared" si="32"/>
        <v>0</v>
      </c>
      <c r="S95" s="35">
        <f t="shared" si="33"/>
        <v>0</v>
      </c>
      <c r="T95" s="35">
        <f t="shared" si="34"/>
        <v>0</v>
      </c>
      <c r="U95" s="35">
        <f t="shared" si="44"/>
        <v>0</v>
      </c>
      <c r="V95" s="35">
        <f t="shared" si="44"/>
        <v>0</v>
      </c>
      <c r="W95" s="35">
        <f t="shared" si="44"/>
        <v>0</v>
      </c>
      <c r="X95" s="35">
        <f t="shared" si="44"/>
        <v>0</v>
      </c>
      <c r="Y95" s="35">
        <f t="shared" si="44"/>
        <v>0</v>
      </c>
      <c r="Z95" s="35">
        <f t="shared" si="44"/>
        <v>0</v>
      </c>
      <c r="AA95" s="35">
        <f t="shared" si="44"/>
        <v>0</v>
      </c>
    </row>
    <row r="96" spans="2:27" x14ac:dyDescent="0.2">
      <c r="B96" s="2">
        <v>94</v>
      </c>
      <c r="C96" s="2" t="str">
        <f t="shared" si="20"/>
        <v>c</v>
      </c>
      <c r="D96" s="29" t="s">
        <v>1</v>
      </c>
      <c r="E96" s="29" t="s">
        <v>209</v>
      </c>
      <c r="F96" s="2" t="s">
        <v>212</v>
      </c>
      <c r="G96" s="2">
        <f t="shared" si="38"/>
        <v>6</v>
      </c>
      <c r="H96" s="2" t="str">
        <f t="shared" si="30"/>
        <v>--</v>
      </c>
      <c r="I96" s="38">
        <f t="shared" si="31"/>
        <v>0</v>
      </c>
      <c r="J96" s="33">
        <f t="shared" si="42"/>
        <v>90</v>
      </c>
      <c r="K96" s="33">
        <f t="shared" si="43"/>
        <v>0</v>
      </c>
      <c r="L96" s="33">
        <f t="shared" si="43"/>
        <v>0</v>
      </c>
      <c r="M96" s="33">
        <f t="shared" si="43"/>
        <v>0</v>
      </c>
      <c r="N96" s="33">
        <f t="shared" si="43"/>
        <v>0</v>
      </c>
      <c r="O96" s="33">
        <f t="shared" si="43"/>
        <v>0</v>
      </c>
      <c r="P96" s="33">
        <f t="shared" si="43"/>
        <v>0</v>
      </c>
      <c r="Q96" s="33">
        <f t="shared" si="43"/>
        <v>0</v>
      </c>
      <c r="R96" s="35">
        <f t="shared" si="32"/>
        <v>0</v>
      </c>
      <c r="S96" s="35">
        <f t="shared" si="33"/>
        <v>0</v>
      </c>
      <c r="T96" s="35">
        <f t="shared" si="34"/>
        <v>0</v>
      </c>
      <c r="U96" s="35">
        <f t="shared" si="44"/>
        <v>0</v>
      </c>
      <c r="V96" s="35">
        <f t="shared" si="44"/>
        <v>0</v>
      </c>
      <c r="W96" s="35">
        <f t="shared" si="44"/>
        <v>0</v>
      </c>
      <c r="X96" s="35">
        <f t="shared" si="44"/>
        <v>0</v>
      </c>
      <c r="Y96" s="35">
        <f t="shared" si="44"/>
        <v>0</v>
      </c>
      <c r="Z96" s="35">
        <f t="shared" si="44"/>
        <v>0</v>
      </c>
      <c r="AA96" s="35">
        <f t="shared" si="44"/>
        <v>0</v>
      </c>
    </row>
    <row r="97" spans="2:27" x14ac:dyDescent="0.2">
      <c r="B97" s="2">
        <v>95</v>
      </c>
      <c r="C97" s="2" t="str">
        <f t="shared" si="20"/>
        <v>c</v>
      </c>
      <c r="D97" s="29" t="s">
        <v>1</v>
      </c>
      <c r="E97" s="29" t="s">
        <v>209</v>
      </c>
      <c r="F97" s="2" t="s">
        <v>212</v>
      </c>
      <c r="G97" s="2">
        <f t="shared" si="38"/>
        <v>7</v>
      </c>
      <c r="H97" s="2" t="str">
        <f t="shared" si="30"/>
        <v>--</v>
      </c>
      <c r="I97" s="38">
        <f t="shared" si="31"/>
        <v>0</v>
      </c>
      <c r="J97" s="33">
        <f t="shared" si="42"/>
        <v>105</v>
      </c>
      <c r="K97" s="33">
        <f t="shared" si="43"/>
        <v>0</v>
      </c>
      <c r="L97" s="33">
        <f t="shared" si="43"/>
        <v>0</v>
      </c>
      <c r="M97" s="33">
        <f t="shared" si="43"/>
        <v>0</v>
      </c>
      <c r="N97" s="33">
        <f t="shared" si="43"/>
        <v>0</v>
      </c>
      <c r="O97" s="33">
        <f t="shared" si="43"/>
        <v>0</v>
      </c>
      <c r="P97" s="33">
        <f t="shared" si="43"/>
        <v>0</v>
      </c>
      <c r="Q97" s="33">
        <f t="shared" si="43"/>
        <v>0</v>
      </c>
      <c r="R97" s="35">
        <f t="shared" si="32"/>
        <v>0</v>
      </c>
      <c r="S97" s="35">
        <f t="shared" si="33"/>
        <v>0</v>
      </c>
      <c r="T97" s="35">
        <f t="shared" si="34"/>
        <v>0</v>
      </c>
      <c r="U97" s="35">
        <f t="shared" si="44"/>
        <v>0</v>
      </c>
      <c r="V97" s="35">
        <f t="shared" si="44"/>
        <v>0</v>
      </c>
      <c r="W97" s="35">
        <f t="shared" si="44"/>
        <v>0</v>
      </c>
      <c r="X97" s="35">
        <f t="shared" si="44"/>
        <v>0</v>
      </c>
      <c r="Y97" s="35">
        <f t="shared" si="44"/>
        <v>0</v>
      </c>
      <c r="Z97" s="35">
        <f t="shared" si="44"/>
        <v>0</v>
      </c>
      <c r="AA97" s="35">
        <f t="shared" si="44"/>
        <v>0</v>
      </c>
    </row>
    <row r="98" spans="2:27" x14ac:dyDescent="0.2">
      <c r="B98" s="2">
        <v>96</v>
      </c>
      <c r="C98" s="2" t="str">
        <f t="shared" si="20"/>
        <v>c</v>
      </c>
      <c r="D98" s="29" t="s">
        <v>1</v>
      </c>
      <c r="E98" s="29" t="s">
        <v>209</v>
      </c>
      <c r="F98" s="2" t="s">
        <v>212</v>
      </c>
      <c r="G98" s="2">
        <f t="shared" si="38"/>
        <v>8</v>
      </c>
      <c r="H98" s="2" t="str">
        <f t="shared" si="30"/>
        <v>--</v>
      </c>
      <c r="I98" s="38">
        <f t="shared" si="31"/>
        <v>0</v>
      </c>
      <c r="J98" s="33">
        <f t="shared" si="42"/>
        <v>120</v>
      </c>
      <c r="K98" s="33">
        <f t="shared" si="43"/>
        <v>0</v>
      </c>
      <c r="L98" s="33">
        <f t="shared" si="43"/>
        <v>0</v>
      </c>
      <c r="M98" s="33">
        <f t="shared" si="43"/>
        <v>0</v>
      </c>
      <c r="N98" s="33">
        <f t="shared" si="43"/>
        <v>0</v>
      </c>
      <c r="O98" s="33">
        <f t="shared" si="43"/>
        <v>0</v>
      </c>
      <c r="P98" s="33">
        <f t="shared" si="43"/>
        <v>0</v>
      </c>
      <c r="Q98" s="33">
        <f t="shared" si="43"/>
        <v>0</v>
      </c>
      <c r="R98" s="35">
        <f t="shared" si="32"/>
        <v>0</v>
      </c>
      <c r="S98" s="35">
        <f t="shared" si="33"/>
        <v>0</v>
      </c>
      <c r="T98" s="35">
        <f t="shared" si="34"/>
        <v>0</v>
      </c>
      <c r="U98" s="35">
        <f t="shared" si="44"/>
        <v>0</v>
      </c>
      <c r="V98" s="35">
        <f t="shared" si="44"/>
        <v>0</v>
      </c>
      <c r="W98" s="35">
        <f t="shared" si="44"/>
        <v>0</v>
      </c>
      <c r="X98" s="35">
        <f t="shared" si="44"/>
        <v>0</v>
      </c>
      <c r="Y98" s="35">
        <f t="shared" si="44"/>
        <v>0</v>
      </c>
      <c r="Z98" s="35">
        <f t="shared" si="44"/>
        <v>0</v>
      </c>
      <c r="AA98" s="35">
        <f t="shared" si="44"/>
        <v>0</v>
      </c>
    </row>
    <row r="99" spans="2:27" x14ac:dyDescent="0.2">
      <c r="B99" s="2">
        <v>97</v>
      </c>
      <c r="C99" s="2" t="str">
        <f t="shared" si="20"/>
        <v>s</v>
      </c>
      <c r="D99" s="29" t="s">
        <v>1</v>
      </c>
      <c r="E99" s="29" t="s">
        <v>209</v>
      </c>
      <c r="F99" s="2" t="s">
        <v>213</v>
      </c>
      <c r="G99" s="2">
        <f t="shared" si="38"/>
        <v>1</v>
      </c>
      <c r="H99" s="2" t="str">
        <f t="shared" si="30"/>
        <v>神圣</v>
      </c>
      <c r="I99" s="38">
        <f t="shared" si="31"/>
        <v>0.08</v>
      </c>
      <c r="J99" s="33">
        <f t="shared" si="42"/>
        <v>11</v>
      </c>
      <c r="K99" s="33">
        <f t="shared" si="43"/>
        <v>12</v>
      </c>
      <c r="L99" s="33">
        <f t="shared" si="43"/>
        <v>2</v>
      </c>
      <c r="M99" s="33">
        <f t="shared" si="43"/>
        <v>7</v>
      </c>
      <c r="N99" s="33">
        <f t="shared" si="43"/>
        <v>10</v>
      </c>
      <c r="O99" s="33">
        <f t="shared" si="43"/>
        <v>13</v>
      </c>
      <c r="P99" s="33">
        <f t="shared" si="43"/>
        <v>5</v>
      </c>
      <c r="Q99" s="33">
        <f t="shared" si="43"/>
        <v>4</v>
      </c>
      <c r="R99" s="35">
        <f t="shared" si="32"/>
        <v>8.0000000000000002E-3</v>
      </c>
      <c r="S99" s="35">
        <f t="shared" si="33"/>
        <v>0.01</v>
      </c>
      <c r="T99" s="35">
        <f t="shared" si="34"/>
        <v>5.0000000000000001E-3</v>
      </c>
      <c r="U99" s="35">
        <f t="shared" si="44"/>
        <v>9.9009900990099098E-3</v>
      </c>
      <c r="V99" s="35">
        <f t="shared" si="44"/>
        <v>9.9009900990099098E-3</v>
      </c>
      <c r="W99" s="35">
        <f t="shared" si="44"/>
        <v>9.9009900990099098E-3</v>
      </c>
      <c r="X99" s="35">
        <f t="shared" si="44"/>
        <v>9.9009900990099098E-3</v>
      </c>
      <c r="Y99" s="35">
        <f t="shared" si="44"/>
        <v>6.5420560747663559E-2</v>
      </c>
      <c r="Z99" s="35">
        <f t="shared" si="44"/>
        <v>9.9009900990099098E-3</v>
      </c>
      <c r="AA99" s="35">
        <f t="shared" si="44"/>
        <v>9.9009900990099098E-3</v>
      </c>
    </row>
    <row r="100" spans="2:27" x14ac:dyDescent="0.2">
      <c r="B100" s="2">
        <v>98</v>
      </c>
      <c r="C100" s="2" t="str">
        <f t="shared" ref="C100:C163" si="45">C68</f>
        <v>s</v>
      </c>
      <c r="D100" s="29" t="s">
        <v>1</v>
      </c>
      <c r="E100" s="29" t="s">
        <v>209</v>
      </c>
      <c r="F100" s="2" t="s">
        <v>213</v>
      </c>
      <c r="G100" s="2">
        <f t="shared" si="38"/>
        <v>2</v>
      </c>
      <c r="H100" s="2" t="str">
        <f t="shared" si="30"/>
        <v>神圣</v>
      </c>
      <c r="I100" s="38">
        <f t="shared" si="31"/>
        <v>0.08</v>
      </c>
      <c r="J100" s="33">
        <f t="shared" si="42"/>
        <v>22</v>
      </c>
      <c r="K100" s="33">
        <f t="shared" si="43"/>
        <v>24</v>
      </c>
      <c r="L100" s="33">
        <f t="shared" si="43"/>
        <v>5</v>
      </c>
      <c r="M100" s="33">
        <f t="shared" si="43"/>
        <v>15</v>
      </c>
      <c r="N100" s="33">
        <f t="shared" si="43"/>
        <v>21</v>
      </c>
      <c r="O100" s="33">
        <f t="shared" si="43"/>
        <v>26</v>
      </c>
      <c r="P100" s="33">
        <f t="shared" si="43"/>
        <v>10</v>
      </c>
      <c r="Q100" s="33">
        <f t="shared" si="43"/>
        <v>9</v>
      </c>
      <c r="R100" s="35">
        <f t="shared" si="32"/>
        <v>1.8000000000000002E-2</v>
      </c>
      <c r="S100" s="35">
        <f t="shared" si="33"/>
        <v>0.02</v>
      </c>
      <c r="T100" s="35">
        <f t="shared" si="34"/>
        <v>1.125E-2</v>
      </c>
      <c r="U100" s="35">
        <f t="shared" si="44"/>
        <v>2.4390243902439046E-2</v>
      </c>
      <c r="V100" s="35">
        <f t="shared" si="44"/>
        <v>2.4390243902439046E-2</v>
      </c>
      <c r="W100" s="35">
        <f t="shared" si="44"/>
        <v>2.4390243902439046E-2</v>
      </c>
      <c r="X100" s="35">
        <f t="shared" si="44"/>
        <v>2.4390243902439046E-2</v>
      </c>
      <c r="Y100" s="35">
        <f t="shared" si="44"/>
        <v>0.1266375545851528</v>
      </c>
      <c r="Z100" s="35">
        <f t="shared" si="44"/>
        <v>2.4390243902439046E-2</v>
      </c>
      <c r="AA100" s="35">
        <f t="shared" si="44"/>
        <v>2.4390243902439046E-2</v>
      </c>
    </row>
    <row r="101" spans="2:27" x14ac:dyDescent="0.2">
      <c r="B101" s="2">
        <v>99</v>
      </c>
      <c r="C101" s="2" t="str">
        <f t="shared" si="45"/>
        <v>s</v>
      </c>
      <c r="D101" s="29" t="s">
        <v>1</v>
      </c>
      <c r="E101" s="29" t="s">
        <v>209</v>
      </c>
      <c r="F101" s="2" t="s">
        <v>213</v>
      </c>
      <c r="G101" s="2">
        <f t="shared" si="38"/>
        <v>3</v>
      </c>
      <c r="H101" s="2" t="str">
        <f t="shared" si="30"/>
        <v>神圣</v>
      </c>
      <c r="I101" s="38">
        <f t="shared" si="31"/>
        <v>0.08</v>
      </c>
      <c r="J101" s="33">
        <f t="shared" si="42"/>
        <v>33</v>
      </c>
      <c r="K101" s="33">
        <f t="shared" si="43"/>
        <v>37</v>
      </c>
      <c r="L101" s="33">
        <f t="shared" si="43"/>
        <v>8</v>
      </c>
      <c r="M101" s="33">
        <f t="shared" si="43"/>
        <v>23</v>
      </c>
      <c r="N101" s="33">
        <f t="shared" si="43"/>
        <v>31</v>
      </c>
      <c r="O101" s="33">
        <f t="shared" si="43"/>
        <v>40</v>
      </c>
      <c r="P101" s="33">
        <f t="shared" si="43"/>
        <v>15</v>
      </c>
      <c r="Q101" s="33">
        <f t="shared" si="43"/>
        <v>14</v>
      </c>
      <c r="R101" s="35">
        <f t="shared" si="32"/>
        <v>2.7999999999999997E-2</v>
      </c>
      <c r="S101" s="35">
        <f t="shared" si="33"/>
        <v>0.03</v>
      </c>
      <c r="T101" s="35">
        <f t="shared" si="34"/>
        <v>1.7500000000000002E-2</v>
      </c>
      <c r="U101" s="35">
        <f t="shared" si="44"/>
        <v>3.3816425120772986E-2</v>
      </c>
      <c r="V101" s="35">
        <f t="shared" si="44"/>
        <v>3.3816425120772986E-2</v>
      </c>
      <c r="W101" s="35">
        <f t="shared" si="44"/>
        <v>3.3816425120772986E-2</v>
      </c>
      <c r="X101" s="35">
        <f t="shared" si="44"/>
        <v>3.3816425120772986E-2</v>
      </c>
      <c r="Y101" s="35">
        <f t="shared" si="44"/>
        <v>0.17695473251028804</v>
      </c>
      <c r="Z101" s="35">
        <f t="shared" si="44"/>
        <v>3.3816425120772986E-2</v>
      </c>
      <c r="AA101" s="35">
        <f t="shared" si="44"/>
        <v>3.3816425120772986E-2</v>
      </c>
    </row>
    <row r="102" spans="2:27" x14ac:dyDescent="0.2">
      <c r="B102" s="2">
        <v>100</v>
      </c>
      <c r="C102" s="2" t="str">
        <f t="shared" si="45"/>
        <v>s</v>
      </c>
      <c r="D102" s="29" t="s">
        <v>1</v>
      </c>
      <c r="E102" s="29" t="s">
        <v>209</v>
      </c>
      <c r="F102" s="2" t="s">
        <v>213</v>
      </c>
      <c r="G102" s="2">
        <f t="shared" si="38"/>
        <v>4</v>
      </c>
      <c r="H102" s="2" t="str">
        <f t="shared" si="30"/>
        <v>神圣</v>
      </c>
      <c r="I102" s="38">
        <f t="shared" si="31"/>
        <v>0.08</v>
      </c>
      <c r="J102" s="33">
        <f t="shared" si="42"/>
        <v>44</v>
      </c>
      <c r="K102" s="33">
        <f t="shared" si="43"/>
        <v>49</v>
      </c>
      <c r="L102" s="33">
        <f t="shared" si="43"/>
        <v>11</v>
      </c>
      <c r="M102" s="33">
        <f t="shared" si="43"/>
        <v>30</v>
      </c>
      <c r="N102" s="33">
        <f t="shared" si="43"/>
        <v>42</v>
      </c>
      <c r="O102" s="33">
        <f t="shared" si="43"/>
        <v>53</v>
      </c>
      <c r="P102" s="33">
        <f t="shared" si="43"/>
        <v>21</v>
      </c>
      <c r="Q102" s="33">
        <f t="shared" si="43"/>
        <v>19</v>
      </c>
      <c r="R102" s="35">
        <f t="shared" si="32"/>
        <v>3.7999999999999999E-2</v>
      </c>
      <c r="S102" s="35">
        <f t="shared" si="33"/>
        <v>4.2000000000000003E-2</v>
      </c>
      <c r="T102" s="35">
        <f t="shared" si="34"/>
        <v>2.375E-2</v>
      </c>
      <c r="U102" s="35">
        <f t="shared" si="44"/>
        <v>4.7619047619047672E-2</v>
      </c>
      <c r="V102" s="35">
        <f t="shared" si="44"/>
        <v>4.7619047619047672E-2</v>
      </c>
      <c r="W102" s="35">
        <f t="shared" si="44"/>
        <v>4.7619047619047672E-2</v>
      </c>
      <c r="X102" s="35">
        <f t="shared" si="44"/>
        <v>4.7619047619047672E-2</v>
      </c>
      <c r="Y102" s="35">
        <f t="shared" si="44"/>
        <v>0.22480620155038755</v>
      </c>
      <c r="Z102" s="35">
        <f t="shared" si="44"/>
        <v>4.7619047619047672E-2</v>
      </c>
      <c r="AA102" s="35">
        <f t="shared" si="44"/>
        <v>4.7619047619047672E-2</v>
      </c>
    </row>
    <row r="103" spans="2:27" x14ac:dyDescent="0.2">
      <c r="B103" s="2">
        <v>101</v>
      </c>
      <c r="C103" s="2" t="str">
        <f t="shared" si="45"/>
        <v>s</v>
      </c>
      <c r="D103" s="29" t="s">
        <v>1</v>
      </c>
      <c r="E103" s="29" t="s">
        <v>209</v>
      </c>
      <c r="F103" s="2" t="s">
        <v>213</v>
      </c>
      <c r="G103" s="2">
        <f t="shared" si="38"/>
        <v>5</v>
      </c>
      <c r="H103" s="2" t="str">
        <f t="shared" si="30"/>
        <v>神圣</v>
      </c>
      <c r="I103" s="38">
        <f t="shared" si="31"/>
        <v>9.685714285714285E-2</v>
      </c>
      <c r="J103" s="33">
        <f t="shared" ref="J103:J112" si="46">INT((1+VLOOKUP($F103,role_property_weight,getpos(J$2),FALSE))*(1+VLOOKUP($F103,drop_property_weight,getpos(J$2),FALSE))*VLOOKUP($E103,role_grow,getpos(J$2),FALSE)*$G103*10*VLOOKUP($C103,drop_grow1,4,FALSE))</f>
        <v>56</v>
      </c>
      <c r="K103" s="33">
        <f t="shared" ref="K103:Q112" si="47">INT((1+VLOOKUP($F103,role_property_weight,getpos(K$2),FALSE))*(1+VLOOKUP($F103,drop_property_weight,getpos(K$2),FALSE))*VLOOKUP($E103,role_grow,getpos(K$2),FALSE)*$G103*10*VLOOKUP($C103,drop_grow1,5,FALSE))</f>
        <v>62</v>
      </c>
      <c r="L103" s="33">
        <f t="shared" si="47"/>
        <v>14</v>
      </c>
      <c r="M103" s="33">
        <f t="shared" si="47"/>
        <v>38</v>
      </c>
      <c r="N103" s="33">
        <f t="shared" si="47"/>
        <v>52</v>
      </c>
      <c r="O103" s="33">
        <f t="shared" si="47"/>
        <v>67</v>
      </c>
      <c r="P103" s="33">
        <f t="shared" si="47"/>
        <v>26</v>
      </c>
      <c r="Q103" s="33">
        <f t="shared" si="47"/>
        <v>24</v>
      </c>
      <c r="R103" s="35">
        <f t="shared" si="32"/>
        <v>4.8000000000000001E-2</v>
      </c>
      <c r="S103" s="35">
        <f t="shared" si="33"/>
        <v>5.2000000000000005E-2</v>
      </c>
      <c r="T103" s="35">
        <f t="shared" si="34"/>
        <v>0.03</v>
      </c>
      <c r="U103" s="35">
        <f t="shared" ref="U103:AA112" si="48">1-200/(200+ROUND((1+VLOOKUP($F103,role_property_weight,getpos(U$2),FALSE))*VLOOKUP($E103,role_grow,getpos(U$2),FALSE)*$G103*10*VLOOKUP($C103,drop_grow1,5,FALSE),0))</f>
        <v>5.6603773584905648E-2</v>
      </c>
      <c r="V103" s="35">
        <f t="shared" si="48"/>
        <v>5.6603773584905648E-2</v>
      </c>
      <c r="W103" s="35">
        <f t="shared" si="48"/>
        <v>5.6603773584905648E-2</v>
      </c>
      <c r="X103" s="35">
        <f t="shared" si="48"/>
        <v>5.6603773584905648E-2</v>
      </c>
      <c r="Y103" s="35">
        <f t="shared" si="48"/>
        <v>0.26470588235294112</v>
      </c>
      <c r="Z103" s="35">
        <f t="shared" si="48"/>
        <v>5.6603773584905648E-2</v>
      </c>
      <c r="AA103" s="35">
        <f t="shared" si="48"/>
        <v>5.6603773584905648E-2</v>
      </c>
    </row>
    <row r="104" spans="2:27" x14ac:dyDescent="0.2">
      <c r="B104" s="2">
        <v>102</v>
      </c>
      <c r="C104" s="2" t="str">
        <f t="shared" si="45"/>
        <v>s</v>
      </c>
      <c r="D104" s="29" t="s">
        <v>1</v>
      </c>
      <c r="E104" s="29" t="s">
        <v>209</v>
      </c>
      <c r="F104" s="2" t="s">
        <v>213</v>
      </c>
      <c r="G104" s="2">
        <f t="shared" si="38"/>
        <v>6</v>
      </c>
      <c r="H104" s="2" t="str">
        <f t="shared" si="30"/>
        <v>神圣</v>
      </c>
      <c r="I104" s="38">
        <f t="shared" si="31"/>
        <v>0.11599999999999999</v>
      </c>
      <c r="J104" s="33">
        <f t="shared" si="46"/>
        <v>67</v>
      </c>
      <c r="K104" s="33">
        <f t="shared" si="47"/>
        <v>74</v>
      </c>
      <c r="L104" s="33">
        <f t="shared" si="47"/>
        <v>17</v>
      </c>
      <c r="M104" s="33">
        <f t="shared" si="47"/>
        <v>46</v>
      </c>
      <c r="N104" s="33">
        <f t="shared" si="47"/>
        <v>63</v>
      </c>
      <c r="O104" s="33">
        <f t="shared" si="47"/>
        <v>80</v>
      </c>
      <c r="P104" s="33">
        <f t="shared" si="47"/>
        <v>31</v>
      </c>
      <c r="Q104" s="33">
        <f t="shared" si="47"/>
        <v>28</v>
      </c>
      <c r="R104" s="35">
        <f t="shared" si="32"/>
        <v>5.5999999999999994E-2</v>
      </c>
      <c r="S104" s="35">
        <f t="shared" si="33"/>
        <v>6.2E-2</v>
      </c>
      <c r="T104" s="35">
        <f t="shared" si="34"/>
        <v>3.5000000000000003E-2</v>
      </c>
      <c r="U104" s="35">
        <f t="shared" si="48"/>
        <v>6.5420560747663559E-2</v>
      </c>
      <c r="V104" s="35">
        <f t="shared" si="48"/>
        <v>6.5420560747663559E-2</v>
      </c>
      <c r="W104" s="35">
        <f t="shared" si="48"/>
        <v>6.5420560747663559E-2</v>
      </c>
      <c r="X104" s="35">
        <f t="shared" si="48"/>
        <v>6.5420560747663559E-2</v>
      </c>
      <c r="Y104" s="35">
        <f t="shared" si="48"/>
        <v>0.30069930069930073</v>
      </c>
      <c r="Z104" s="35">
        <f t="shared" si="48"/>
        <v>6.5420560747663559E-2</v>
      </c>
      <c r="AA104" s="35">
        <f t="shared" si="48"/>
        <v>6.5420560747663559E-2</v>
      </c>
    </row>
    <row r="105" spans="2:27" x14ac:dyDescent="0.2">
      <c r="B105" s="2">
        <v>103</v>
      </c>
      <c r="C105" s="2" t="str">
        <f t="shared" si="45"/>
        <v>s</v>
      </c>
      <c r="D105" s="29" t="s">
        <v>1</v>
      </c>
      <c r="E105" s="29" t="s">
        <v>209</v>
      </c>
      <c r="F105" s="2" t="s">
        <v>213</v>
      </c>
      <c r="G105" s="2">
        <f t="shared" si="38"/>
        <v>7</v>
      </c>
      <c r="H105" s="2" t="str">
        <f t="shared" si="30"/>
        <v>神圣</v>
      </c>
      <c r="I105" s="38">
        <f t="shared" si="31"/>
        <v>0.13542857142857143</v>
      </c>
      <c r="J105" s="33">
        <f t="shared" si="46"/>
        <v>78</v>
      </c>
      <c r="K105" s="33">
        <f t="shared" si="47"/>
        <v>87</v>
      </c>
      <c r="L105" s="33">
        <f t="shared" si="47"/>
        <v>20</v>
      </c>
      <c r="M105" s="33">
        <f t="shared" si="47"/>
        <v>53</v>
      </c>
      <c r="N105" s="33">
        <f t="shared" si="47"/>
        <v>73</v>
      </c>
      <c r="O105" s="33">
        <f t="shared" si="47"/>
        <v>94</v>
      </c>
      <c r="P105" s="33">
        <f t="shared" si="47"/>
        <v>36</v>
      </c>
      <c r="Q105" s="33">
        <f t="shared" si="47"/>
        <v>33</v>
      </c>
      <c r="R105" s="35">
        <f t="shared" si="32"/>
        <v>6.6000000000000003E-2</v>
      </c>
      <c r="S105" s="35">
        <f t="shared" si="33"/>
        <v>7.2000000000000008E-2</v>
      </c>
      <c r="T105" s="35">
        <f t="shared" si="34"/>
        <v>4.1250000000000002E-2</v>
      </c>
      <c r="U105" s="35">
        <f t="shared" si="48"/>
        <v>7.8341013824884786E-2</v>
      </c>
      <c r="V105" s="35">
        <f t="shared" si="48"/>
        <v>7.8341013824884786E-2</v>
      </c>
      <c r="W105" s="35">
        <f t="shared" si="48"/>
        <v>7.8341013824884786E-2</v>
      </c>
      <c r="X105" s="35">
        <f t="shared" si="48"/>
        <v>7.8341013824884786E-2</v>
      </c>
      <c r="Y105" s="35">
        <f t="shared" si="48"/>
        <v>0.33554817275747506</v>
      </c>
      <c r="Z105" s="35">
        <f t="shared" si="48"/>
        <v>7.8341013824884786E-2</v>
      </c>
      <c r="AA105" s="35">
        <f t="shared" si="48"/>
        <v>7.8341013824884786E-2</v>
      </c>
    </row>
    <row r="106" spans="2:27" x14ac:dyDescent="0.2">
      <c r="B106" s="2">
        <v>104</v>
      </c>
      <c r="C106" s="2" t="str">
        <f t="shared" si="45"/>
        <v>s</v>
      </c>
      <c r="D106" s="29" t="s">
        <v>1</v>
      </c>
      <c r="E106" s="29" t="s">
        <v>209</v>
      </c>
      <c r="F106" s="2" t="s">
        <v>213</v>
      </c>
      <c r="G106" s="2">
        <f t="shared" si="38"/>
        <v>8</v>
      </c>
      <c r="H106" s="2" t="str">
        <f t="shared" si="30"/>
        <v>神圣</v>
      </c>
      <c r="I106" s="38">
        <f t="shared" si="31"/>
        <v>0.15514285714285714</v>
      </c>
      <c r="J106" s="33">
        <f t="shared" si="46"/>
        <v>89</v>
      </c>
      <c r="K106" s="33">
        <f t="shared" si="47"/>
        <v>99</v>
      </c>
      <c r="L106" s="33">
        <f t="shared" si="47"/>
        <v>23</v>
      </c>
      <c r="M106" s="33">
        <f t="shared" si="47"/>
        <v>61</v>
      </c>
      <c r="N106" s="33">
        <f t="shared" si="47"/>
        <v>84</v>
      </c>
      <c r="O106" s="33">
        <f t="shared" si="47"/>
        <v>107</v>
      </c>
      <c r="P106" s="33">
        <f t="shared" si="47"/>
        <v>42</v>
      </c>
      <c r="Q106" s="33">
        <f t="shared" si="47"/>
        <v>38</v>
      </c>
      <c r="R106" s="35">
        <f t="shared" si="32"/>
        <v>7.5999999999999998E-2</v>
      </c>
      <c r="S106" s="35">
        <f t="shared" si="33"/>
        <v>8.4000000000000005E-2</v>
      </c>
      <c r="T106" s="35">
        <f t="shared" si="34"/>
        <v>4.7500000000000001E-2</v>
      </c>
      <c r="U106" s="35">
        <f t="shared" si="48"/>
        <v>8.6757990867579959E-2</v>
      </c>
      <c r="V106" s="35">
        <f t="shared" si="48"/>
        <v>8.6757990867579959E-2</v>
      </c>
      <c r="W106" s="35">
        <f t="shared" si="48"/>
        <v>8.6757990867579959E-2</v>
      </c>
      <c r="X106" s="35">
        <f t="shared" si="48"/>
        <v>8.6757990867579959E-2</v>
      </c>
      <c r="Y106" s="35">
        <f t="shared" si="48"/>
        <v>0.36507936507936511</v>
      </c>
      <c r="Z106" s="35">
        <f t="shared" si="48"/>
        <v>8.6757990867579959E-2</v>
      </c>
      <c r="AA106" s="35">
        <f t="shared" si="48"/>
        <v>8.6757990867579959E-2</v>
      </c>
    </row>
    <row r="107" spans="2:27" x14ac:dyDescent="0.2">
      <c r="B107" s="2">
        <v>105</v>
      </c>
      <c r="C107" s="2" t="str">
        <f t="shared" si="45"/>
        <v>a</v>
      </c>
      <c r="D107" s="29" t="s">
        <v>1</v>
      </c>
      <c r="E107" s="29" t="s">
        <v>209</v>
      </c>
      <c r="F107" s="2" t="s">
        <v>213</v>
      </c>
      <c r="G107" s="2">
        <f t="shared" si="38"/>
        <v>1</v>
      </c>
      <c r="H107" s="2" t="str">
        <f t="shared" si="30"/>
        <v>神圣</v>
      </c>
      <c r="I107" s="38">
        <f t="shared" si="31"/>
        <v>0.08</v>
      </c>
      <c r="J107" s="33">
        <f t="shared" si="46"/>
        <v>8</v>
      </c>
      <c r="K107" s="33">
        <f t="shared" si="47"/>
        <v>13</v>
      </c>
      <c r="L107" s="33">
        <f t="shared" si="47"/>
        <v>3</v>
      </c>
      <c r="M107" s="33">
        <f t="shared" si="47"/>
        <v>8</v>
      </c>
      <c r="N107" s="33">
        <f t="shared" si="47"/>
        <v>11</v>
      </c>
      <c r="O107" s="33">
        <f t="shared" si="47"/>
        <v>14</v>
      </c>
      <c r="P107" s="33">
        <f t="shared" si="47"/>
        <v>5</v>
      </c>
      <c r="Q107" s="33">
        <f t="shared" si="47"/>
        <v>5</v>
      </c>
      <c r="R107" s="35">
        <f t="shared" si="32"/>
        <v>0.01</v>
      </c>
      <c r="S107" s="35">
        <f t="shared" si="33"/>
        <v>0.01</v>
      </c>
      <c r="T107" s="35">
        <f t="shared" si="34"/>
        <v>6.2500000000000003E-3</v>
      </c>
      <c r="U107" s="35">
        <f t="shared" si="48"/>
        <v>1.4778325123152691E-2</v>
      </c>
      <c r="V107" s="35">
        <f t="shared" si="48"/>
        <v>1.4778325123152691E-2</v>
      </c>
      <c r="W107" s="35">
        <f t="shared" si="48"/>
        <v>1.4778325123152691E-2</v>
      </c>
      <c r="X107" s="35">
        <f t="shared" si="48"/>
        <v>1.4778325123152691E-2</v>
      </c>
      <c r="Y107" s="35">
        <f t="shared" si="48"/>
        <v>7.407407407407407E-2</v>
      </c>
      <c r="Z107" s="35">
        <f t="shared" si="48"/>
        <v>1.4778325123152691E-2</v>
      </c>
      <c r="AA107" s="35">
        <f t="shared" si="48"/>
        <v>1.4778325123152691E-2</v>
      </c>
    </row>
    <row r="108" spans="2:27" x14ac:dyDescent="0.2">
      <c r="B108" s="2">
        <v>106</v>
      </c>
      <c r="C108" s="2" t="str">
        <f t="shared" si="45"/>
        <v>a</v>
      </c>
      <c r="D108" s="29" t="s">
        <v>1</v>
      </c>
      <c r="E108" s="29" t="s">
        <v>209</v>
      </c>
      <c r="F108" s="2" t="s">
        <v>213</v>
      </c>
      <c r="G108" s="2">
        <f t="shared" si="38"/>
        <v>2</v>
      </c>
      <c r="H108" s="2" t="str">
        <f t="shared" si="30"/>
        <v>神圣</v>
      </c>
      <c r="I108" s="38">
        <f t="shared" si="31"/>
        <v>0.08</v>
      </c>
      <c r="J108" s="33">
        <f t="shared" si="46"/>
        <v>16</v>
      </c>
      <c r="K108" s="33">
        <f t="shared" si="47"/>
        <v>27</v>
      </c>
      <c r="L108" s="33">
        <f t="shared" si="47"/>
        <v>6</v>
      </c>
      <c r="M108" s="33">
        <f t="shared" si="47"/>
        <v>17</v>
      </c>
      <c r="N108" s="33">
        <f t="shared" si="47"/>
        <v>23</v>
      </c>
      <c r="O108" s="33">
        <f t="shared" si="47"/>
        <v>29</v>
      </c>
      <c r="P108" s="33">
        <f t="shared" si="47"/>
        <v>11</v>
      </c>
      <c r="Q108" s="33">
        <f t="shared" si="47"/>
        <v>10</v>
      </c>
      <c r="R108" s="35">
        <f t="shared" si="32"/>
        <v>0.02</v>
      </c>
      <c r="S108" s="35">
        <f t="shared" si="33"/>
        <v>2.2000000000000002E-2</v>
      </c>
      <c r="T108" s="35">
        <f t="shared" si="34"/>
        <v>1.2500000000000001E-2</v>
      </c>
      <c r="U108" s="35">
        <f t="shared" si="48"/>
        <v>2.4390243902439046E-2</v>
      </c>
      <c r="V108" s="35">
        <f t="shared" si="48"/>
        <v>2.4390243902439046E-2</v>
      </c>
      <c r="W108" s="35">
        <f t="shared" si="48"/>
        <v>2.4390243902439046E-2</v>
      </c>
      <c r="X108" s="35">
        <f t="shared" si="48"/>
        <v>2.4390243902439046E-2</v>
      </c>
      <c r="Y108" s="35">
        <f t="shared" si="48"/>
        <v>0.13793103448275867</v>
      </c>
      <c r="Z108" s="35">
        <f t="shared" si="48"/>
        <v>2.4390243902439046E-2</v>
      </c>
      <c r="AA108" s="35">
        <f t="shared" si="48"/>
        <v>2.4390243902439046E-2</v>
      </c>
    </row>
    <row r="109" spans="2:27" x14ac:dyDescent="0.2">
      <c r="B109" s="2">
        <v>107</v>
      </c>
      <c r="C109" s="2" t="str">
        <f t="shared" si="45"/>
        <v>a</v>
      </c>
      <c r="D109" s="29" t="s">
        <v>1</v>
      </c>
      <c r="E109" s="29" t="s">
        <v>209</v>
      </c>
      <c r="F109" s="2" t="s">
        <v>213</v>
      </c>
      <c r="G109" s="2">
        <f t="shared" si="38"/>
        <v>3</v>
      </c>
      <c r="H109" s="2" t="str">
        <f t="shared" si="30"/>
        <v>神圣</v>
      </c>
      <c r="I109" s="38">
        <f t="shared" si="31"/>
        <v>0.08</v>
      </c>
      <c r="J109" s="33">
        <f t="shared" si="46"/>
        <v>25</v>
      </c>
      <c r="K109" s="33">
        <f t="shared" si="47"/>
        <v>41</v>
      </c>
      <c r="L109" s="33">
        <f t="shared" si="47"/>
        <v>9</v>
      </c>
      <c r="M109" s="33">
        <f t="shared" si="47"/>
        <v>25</v>
      </c>
      <c r="N109" s="33">
        <f t="shared" si="47"/>
        <v>35</v>
      </c>
      <c r="O109" s="33">
        <f t="shared" si="47"/>
        <v>44</v>
      </c>
      <c r="P109" s="33">
        <f t="shared" si="47"/>
        <v>17</v>
      </c>
      <c r="Q109" s="33">
        <f t="shared" si="47"/>
        <v>16</v>
      </c>
      <c r="R109" s="35">
        <f t="shared" si="32"/>
        <v>3.2000000000000001E-2</v>
      </c>
      <c r="S109" s="35">
        <f t="shared" si="33"/>
        <v>3.4000000000000002E-2</v>
      </c>
      <c r="T109" s="35">
        <f t="shared" si="34"/>
        <v>0.02</v>
      </c>
      <c r="U109" s="35">
        <f t="shared" si="48"/>
        <v>3.8461538461538436E-2</v>
      </c>
      <c r="V109" s="35">
        <f t="shared" si="48"/>
        <v>3.8461538461538436E-2</v>
      </c>
      <c r="W109" s="35">
        <f t="shared" si="48"/>
        <v>3.8461538461538436E-2</v>
      </c>
      <c r="X109" s="35">
        <f t="shared" si="48"/>
        <v>3.8461538461538436E-2</v>
      </c>
      <c r="Y109" s="35">
        <f t="shared" si="48"/>
        <v>0.19354838709677424</v>
      </c>
      <c r="Z109" s="35">
        <f t="shared" si="48"/>
        <v>3.8461538461538436E-2</v>
      </c>
      <c r="AA109" s="35">
        <f t="shared" si="48"/>
        <v>3.8461538461538436E-2</v>
      </c>
    </row>
    <row r="110" spans="2:27" x14ac:dyDescent="0.2">
      <c r="B110" s="2">
        <v>108</v>
      </c>
      <c r="C110" s="2" t="str">
        <f t="shared" si="45"/>
        <v>a</v>
      </c>
      <c r="D110" s="29" t="s">
        <v>1</v>
      </c>
      <c r="E110" s="29" t="s">
        <v>209</v>
      </c>
      <c r="F110" s="2" t="s">
        <v>213</v>
      </c>
      <c r="G110" s="2">
        <f t="shared" si="38"/>
        <v>4</v>
      </c>
      <c r="H110" s="2" t="str">
        <f t="shared" si="30"/>
        <v>神圣</v>
      </c>
      <c r="I110" s="38">
        <f t="shared" si="31"/>
        <v>8.085714285714285E-2</v>
      </c>
      <c r="J110" s="33">
        <f t="shared" si="46"/>
        <v>33</v>
      </c>
      <c r="K110" s="33">
        <f t="shared" si="47"/>
        <v>55</v>
      </c>
      <c r="L110" s="33">
        <f t="shared" si="47"/>
        <v>12</v>
      </c>
      <c r="M110" s="33">
        <f t="shared" si="47"/>
        <v>34</v>
      </c>
      <c r="N110" s="33">
        <f t="shared" si="47"/>
        <v>46</v>
      </c>
      <c r="O110" s="33">
        <f t="shared" si="47"/>
        <v>59</v>
      </c>
      <c r="P110" s="33">
        <f t="shared" si="47"/>
        <v>23</v>
      </c>
      <c r="Q110" s="33">
        <f t="shared" si="47"/>
        <v>21</v>
      </c>
      <c r="R110" s="35">
        <f t="shared" si="32"/>
        <v>4.2000000000000003E-2</v>
      </c>
      <c r="S110" s="35">
        <f t="shared" si="33"/>
        <v>4.5999999999999999E-2</v>
      </c>
      <c r="T110" s="35">
        <f t="shared" si="34"/>
        <v>2.6249999999999999E-2</v>
      </c>
      <c r="U110" s="35">
        <f t="shared" si="48"/>
        <v>5.2132701421800931E-2</v>
      </c>
      <c r="V110" s="35">
        <f t="shared" si="48"/>
        <v>5.2132701421800931E-2</v>
      </c>
      <c r="W110" s="35">
        <f t="shared" si="48"/>
        <v>5.2132701421800931E-2</v>
      </c>
      <c r="X110" s="35">
        <f t="shared" si="48"/>
        <v>5.2132701421800931E-2</v>
      </c>
      <c r="Y110" s="35">
        <f t="shared" si="48"/>
        <v>0.24242424242424243</v>
      </c>
      <c r="Z110" s="35">
        <f t="shared" si="48"/>
        <v>5.2132701421800931E-2</v>
      </c>
      <c r="AA110" s="35">
        <f t="shared" si="48"/>
        <v>5.2132701421800931E-2</v>
      </c>
    </row>
    <row r="111" spans="2:27" x14ac:dyDescent="0.2">
      <c r="B111" s="2">
        <v>109</v>
      </c>
      <c r="C111" s="2" t="str">
        <f t="shared" si="45"/>
        <v>a</v>
      </c>
      <c r="D111" s="29" t="s">
        <v>1</v>
      </c>
      <c r="E111" s="29" t="s">
        <v>209</v>
      </c>
      <c r="F111" s="2" t="s">
        <v>213</v>
      </c>
      <c r="G111" s="2">
        <f t="shared" si="38"/>
        <v>5</v>
      </c>
      <c r="H111" s="2" t="str">
        <f t="shared" si="30"/>
        <v>神圣</v>
      </c>
      <c r="I111" s="38">
        <f t="shared" si="31"/>
        <v>0.1017142857142857</v>
      </c>
      <c r="J111" s="33">
        <f t="shared" si="46"/>
        <v>42</v>
      </c>
      <c r="K111" s="33">
        <f t="shared" si="47"/>
        <v>69</v>
      </c>
      <c r="L111" s="33">
        <f t="shared" si="47"/>
        <v>16</v>
      </c>
      <c r="M111" s="33">
        <f t="shared" si="47"/>
        <v>42</v>
      </c>
      <c r="N111" s="33">
        <f t="shared" si="47"/>
        <v>58</v>
      </c>
      <c r="O111" s="33">
        <f t="shared" si="47"/>
        <v>74</v>
      </c>
      <c r="P111" s="33">
        <f t="shared" si="47"/>
        <v>29</v>
      </c>
      <c r="Q111" s="33">
        <f t="shared" si="47"/>
        <v>26</v>
      </c>
      <c r="R111" s="35">
        <f t="shared" si="32"/>
        <v>5.2000000000000005E-2</v>
      </c>
      <c r="S111" s="35">
        <f t="shared" si="33"/>
        <v>5.7999999999999996E-2</v>
      </c>
      <c r="T111" s="35">
        <f t="shared" si="34"/>
        <v>3.2500000000000001E-2</v>
      </c>
      <c r="U111" s="35">
        <f t="shared" si="48"/>
        <v>6.1032863849765251E-2</v>
      </c>
      <c r="V111" s="35">
        <f t="shared" si="48"/>
        <v>6.1032863849765251E-2</v>
      </c>
      <c r="W111" s="35">
        <f t="shared" si="48"/>
        <v>6.1032863849765251E-2</v>
      </c>
      <c r="X111" s="35">
        <f t="shared" si="48"/>
        <v>6.1032863849765251E-2</v>
      </c>
      <c r="Y111" s="35">
        <f t="shared" si="48"/>
        <v>0.2857142857142857</v>
      </c>
      <c r="Z111" s="35">
        <f t="shared" si="48"/>
        <v>6.1032863849765251E-2</v>
      </c>
      <c r="AA111" s="35">
        <f t="shared" si="48"/>
        <v>6.1032863849765251E-2</v>
      </c>
    </row>
    <row r="112" spans="2:27" x14ac:dyDescent="0.2">
      <c r="B112" s="2">
        <v>110</v>
      </c>
      <c r="C112" s="2" t="str">
        <f t="shared" si="45"/>
        <v>a</v>
      </c>
      <c r="D112" s="29" t="s">
        <v>1</v>
      </c>
      <c r="E112" s="29" t="s">
        <v>209</v>
      </c>
      <c r="F112" s="2" t="s">
        <v>213</v>
      </c>
      <c r="G112" s="2">
        <f t="shared" si="38"/>
        <v>6</v>
      </c>
      <c r="H112" s="2" t="str">
        <f t="shared" si="30"/>
        <v>神圣</v>
      </c>
      <c r="I112" s="38">
        <f t="shared" si="31"/>
        <v>0.12257142857142858</v>
      </c>
      <c r="J112" s="33">
        <f t="shared" si="46"/>
        <v>50</v>
      </c>
      <c r="K112" s="33">
        <f t="shared" si="47"/>
        <v>83</v>
      </c>
      <c r="L112" s="33">
        <f t="shared" si="47"/>
        <v>19</v>
      </c>
      <c r="M112" s="33">
        <f t="shared" si="47"/>
        <v>51</v>
      </c>
      <c r="N112" s="33">
        <f t="shared" si="47"/>
        <v>70</v>
      </c>
      <c r="O112" s="33">
        <f t="shared" si="47"/>
        <v>89</v>
      </c>
      <c r="P112" s="33">
        <f t="shared" si="47"/>
        <v>35</v>
      </c>
      <c r="Q112" s="33">
        <f t="shared" si="47"/>
        <v>32</v>
      </c>
      <c r="R112" s="35">
        <f t="shared" si="32"/>
        <v>6.4000000000000001E-2</v>
      </c>
      <c r="S112" s="35">
        <f t="shared" si="33"/>
        <v>7.0000000000000007E-2</v>
      </c>
      <c r="T112" s="35">
        <f t="shared" si="34"/>
        <v>0.04</v>
      </c>
      <c r="U112" s="35">
        <f t="shared" si="48"/>
        <v>7.407407407407407E-2</v>
      </c>
      <c r="V112" s="35">
        <f t="shared" si="48"/>
        <v>7.407407407407407E-2</v>
      </c>
      <c r="W112" s="35">
        <f t="shared" si="48"/>
        <v>7.407407407407407E-2</v>
      </c>
      <c r="X112" s="35">
        <f t="shared" si="48"/>
        <v>7.407407407407407E-2</v>
      </c>
      <c r="Y112" s="35">
        <f t="shared" si="48"/>
        <v>0.32432432432432434</v>
      </c>
      <c r="Z112" s="35">
        <f t="shared" si="48"/>
        <v>7.407407407407407E-2</v>
      </c>
      <c r="AA112" s="35">
        <f t="shared" si="48"/>
        <v>7.407407407407407E-2</v>
      </c>
    </row>
    <row r="113" spans="2:27" x14ac:dyDescent="0.2">
      <c r="B113" s="2">
        <v>111</v>
      </c>
      <c r="C113" s="2" t="str">
        <f t="shared" si="45"/>
        <v>a</v>
      </c>
      <c r="D113" s="29" t="s">
        <v>1</v>
      </c>
      <c r="E113" s="29" t="s">
        <v>209</v>
      </c>
      <c r="F113" s="2" t="s">
        <v>213</v>
      </c>
      <c r="G113" s="2">
        <f t="shared" si="38"/>
        <v>7</v>
      </c>
      <c r="H113" s="2" t="str">
        <f t="shared" si="30"/>
        <v>神圣</v>
      </c>
      <c r="I113" s="38">
        <f t="shared" si="31"/>
        <v>0.14285714285714288</v>
      </c>
      <c r="J113" s="33">
        <f t="shared" ref="J113:J122" si="49">INT((1+VLOOKUP($F113,role_property_weight,getpos(J$2),FALSE))*(1+VLOOKUP($F113,drop_property_weight,getpos(J$2),FALSE))*VLOOKUP($E113,role_grow,getpos(J$2),FALSE)*$G113*10*VLOOKUP($C113,drop_grow1,4,FALSE))</f>
        <v>58</v>
      </c>
      <c r="K113" s="33">
        <f t="shared" ref="K113:Q122" si="50">INT((1+VLOOKUP($F113,role_property_weight,getpos(K$2),FALSE))*(1+VLOOKUP($F113,drop_property_weight,getpos(K$2),FALSE))*VLOOKUP($E113,role_grow,getpos(K$2),FALSE)*$G113*10*VLOOKUP($C113,drop_grow1,5,FALSE))</f>
        <v>97</v>
      </c>
      <c r="L113" s="33">
        <f t="shared" si="50"/>
        <v>22</v>
      </c>
      <c r="M113" s="33">
        <f t="shared" si="50"/>
        <v>59</v>
      </c>
      <c r="N113" s="33">
        <f t="shared" si="50"/>
        <v>82</v>
      </c>
      <c r="O113" s="33">
        <f t="shared" si="50"/>
        <v>104</v>
      </c>
      <c r="P113" s="33">
        <f t="shared" si="50"/>
        <v>41</v>
      </c>
      <c r="Q113" s="33">
        <f t="shared" si="50"/>
        <v>37</v>
      </c>
      <c r="R113" s="35">
        <f t="shared" si="32"/>
        <v>7.400000000000001E-2</v>
      </c>
      <c r="S113" s="35">
        <f t="shared" si="33"/>
        <v>8.199999999999999E-2</v>
      </c>
      <c r="T113" s="35">
        <f t="shared" si="34"/>
        <v>4.6249999999999999E-2</v>
      </c>
      <c r="U113" s="35">
        <f t="shared" ref="U113:AA122" si="51">1-200/(200+ROUND((1+VLOOKUP($F113,role_property_weight,getpos(U$2),FALSE))*VLOOKUP($E113,role_grow,getpos(U$2),FALSE)*$G113*10*VLOOKUP($C113,drop_grow1,5,FALSE),0))</f>
        <v>8.6757990867579959E-2</v>
      </c>
      <c r="V113" s="35">
        <f t="shared" si="51"/>
        <v>8.6757990867579959E-2</v>
      </c>
      <c r="W113" s="35">
        <f t="shared" si="51"/>
        <v>8.6757990867579959E-2</v>
      </c>
      <c r="X113" s="35">
        <f t="shared" si="51"/>
        <v>8.6757990867579959E-2</v>
      </c>
      <c r="Y113" s="35">
        <f t="shared" si="51"/>
        <v>0.35897435897435892</v>
      </c>
      <c r="Z113" s="35">
        <f t="shared" si="51"/>
        <v>8.6757990867579959E-2</v>
      </c>
      <c r="AA113" s="35">
        <f t="shared" si="51"/>
        <v>8.6757990867579959E-2</v>
      </c>
    </row>
    <row r="114" spans="2:27" x14ac:dyDescent="0.2">
      <c r="B114" s="2">
        <v>112</v>
      </c>
      <c r="C114" s="2" t="str">
        <f t="shared" si="45"/>
        <v>a</v>
      </c>
      <c r="D114" s="29" t="s">
        <v>1</v>
      </c>
      <c r="E114" s="29" t="s">
        <v>209</v>
      </c>
      <c r="F114" s="2" t="s">
        <v>213</v>
      </c>
      <c r="G114" s="2">
        <f t="shared" si="38"/>
        <v>8</v>
      </c>
      <c r="H114" s="2" t="str">
        <f t="shared" si="30"/>
        <v>神圣</v>
      </c>
      <c r="I114" s="38">
        <f t="shared" si="31"/>
        <v>0.16285714285714284</v>
      </c>
      <c r="J114" s="33">
        <f t="shared" si="49"/>
        <v>67</v>
      </c>
      <c r="K114" s="33">
        <f t="shared" si="50"/>
        <v>110</v>
      </c>
      <c r="L114" s="33">
        <f t="shared" si="50"/>
        <v>25</v>
      </c>
      <c r="M114" s="33">
        <f t="shared" si="50"/>
        <v>68</v>
      </c>
      <c r="N114" s="33">
        <f t="shared" si="50"/>
        <v>93</v>
      </c>
      <c r="O114" s="33">
        <f t="shared" si="50"/>
        <v>119</v>
      </c>
      <c r="P114" s="33">
        <f t="shared" si="50"/>
        <v>46</v>
      </c>
      <c r="Q114" s="33">
        <f t="shared" si="50"/>
        <v>42</v>
      </c>
      <c r="R114" s="35">
        <f t="shared" si="32"/>
        <v>8.4000000000000005E-2</v>
      </c>
      <c r="S114" s="35">
        <f t="shared" si="33"/>
        <v>9.1999999999999998E-2</v>
      </c>
      <c r="T114" s="35">
        <f t="shared" si="34"/>
        <v>5.2499999999999998E-2</v>
      </c>
      <c r="U114" s="35">
        <f t="shared" si="51"/>
        <v>9.5022624434389136E-2</v>
      </c>
      <c r="V114" s="35">
        <f t="shared" si="51"/>
        <v>9.5022624434389136E-2</v>
      </c>
      <c r="W114" s="35">
        <f t="shared" si="51"/>
        <v>9.5022624434389136E-2</v>
      </c>
      <c r="X114" s="35">
        <f t="shared" si="51"/>
        <v>9.5022624434389136E-2</v>
      </c>
      <c r="Y114" s="35">
        <f t="shared" si="51"/>
        <v>0.3902439024390244</v>
      </c>
      <c r="Z114" s="35">
        <f t="shared" si="51"/>
        <v>9.5022624434389136E-2</v>
      </c>
      <c r="AA114" s="35">
        <f t="shared" si="51"/>
        <v>9.5022624434389136E-2</v>
      </c>
    </row>
    <row r="115" spans="2:27" x14ac:dyDescent="0.2">
      <c r="B115" s="2">
        <v>113</v>
      </c>
      <c r="C115" s="2" t="str">
        <f t="shared" si="45"/>
        <v>b</v>
      </c>
      <c r="D115" s="29" t="s">
        <v>1</v>
      </c>
      <c r="E115" s="29" t="s">
        <v>209</v>
      </c>
      <c r="F115" s="2" t="s">
        <v>213</v>
      </c>
      <c r="G115" s="2">
        <f t="shared" si="38"/>
        <v>1</v>
      </c>
      <c r="H115" s="2" t="str">
        <f t="shared" si="30"/>
        <v>神圣</v>
      </c>
      <c r="I115" s="38">
        <f t="shared" si="31"/>
        <v>0.08</v>
      </c>
      <c r="J115" s="33">
        <f t="shared" si="49"/>
        <v>9</v>
      </c>
      <c r="K115" s="33">
        <f t="shared" si="50"/>
        <v>20</v>
      </c>
      <c r="L115" s="33">
        <f t="shared" si="50"/>
        <v>4</v>
      </c>
      <c r="M115" s="33">
        <f t="shared" si="50"/>
        <v>12</v>
      </c>
      <c r="N115" s="33">
        <f t="shared" si="50"/>
        <v>17</v>
      </c>
      <c r="O115" s="33">
        <f t="shared" si="50"/>
        <v>22</v>
      </c>
      <c r="P115" s="33">
        <f t="shared" si="50"/>
        <v>8</v>
      </c>
      <c r="Q115" s="33">
        <f t="shared" si="50"/>
        <v>8</v>
      </c>
      <c r="R115" s="35">
        <f t="shared" si="32"/>
        <v>1.6E-2</v>
      </c>
      <c r="S115" s="35">
        <f t="shared" si="33"/>
        <v>1.6E-2</v>
      </c>
      <c r="T115" s="35">
        <f t="shared" si="34"/>
        <v>0.01</v>
      </c>
      <c r="U115" s="35">
        <f t="shared" si="51"/>
        <v>1.9607843137254943E-2</v>
      </c>
      <c r="V115" s="35">
        <f t="shared" si="51"/>
        <v>1.9607843137254943E-2</v>
      </c>
      <c r="W115" s="35">
        <f t="shared" si="51"/>
        <v>1.9607843137254943E-2</v>
      </c>
      <c r="X115" s="35">
        <f t="shared" si="51"/>
        <v>1.9607843137254943E-2</v>
      </c>
      <c r="Y115" s="35">
        <f t="shared" si="51"/>
        <v>0.1071428571428571</v>
      </c>
      <c r="Z115" s="35">
        <f t="shared" si="51"/>
        <v>1.9607843137254943E-2</v>
      </c>
      <c r="AA115" s="35">
        <f t="shared" si="51"/>
        <v>1.9607843137254943E-2</v>
      </c>
    </row>
    <row r="116" spans="2:27" x14ac:dyDescent="0.2">
      <c r="B116" s="2">
        <v>114</v>
      </c>
      <c r="C116" s="2" t="str">
        <f t="shared" si="45"/>
        <v>b</v>
      </c>
      <c r="D116" s="29" t="s">
        <v>1</v>
      </c>
      <c r="E116" s="29" t="s">
        <v>209</v>
      </c>
      <c r="F116" s="2" t="s">
        <v>213</v>
      </c>
      <c r="G116" s="2">
        <f t="shared" si="38"/>
        <v>2</v>
      </c>
      <c r="H116" s="2" t="str">
        <f t="shared" si="30"/>
        <v>神圣</v>
      </c>
      <c r="I116" s="38">
        <f t="shared" si="31"/>
        <v>0.08</v>
      </c>
      <c r="J116" s="33">
        <f t="shared" si="49"/>
        <v>19</v>
      </c>
      <c r="K116" s="33">
        <f t="shared" si="50"/>
        <v>41</v>
      </c>
      <c r="L116" s="33">
        <f t="shared" si="50"/>
        <v>9</v>
      </c>
      <c r="M116" s="33">
        <f t="shared" si="50"/>
        <v>25</v>
      </c>
      <c r="N116" s="33">
        <f t="shared" si="50"/>
        <v>35</v>
      </c>
      <c r="O116" s="33">
        <f t="shared" si="50"/>
        <v>44</v>
      </c>
      <c r="P116" s="33">
        <f t="shared" si="50"/>
        <v>17</v>
      </c>
      <c r="Q116" s="33">
        <f t="shared" si="50"/>
        <v>16</v>
      </c>
      <c r="R116" s="35">
        <f t="shared" si="32"/>
        <v>3.2000000000000001E-2</v>
      </c>
      <c r="S116" s="35">
        <f t="shared" si="33"/>
        <v>3.4000000000000002E-2</v>
      </c>
      <c r="T116" s="35">
        <f t="shared" si="34"/>
        <v>0.02</v>
      </c>
      <c r="U116" s="35">
        <f t="shared" si="51"/>
        <v>3.8461538461538436E-2</v>
      </c>
      <c r="V116" s="35">
        <f t="shared" si="51"/>
        <v>3.8461538461538436E-2</v>
      </c>
      <c r="W116" s="35">
        <f t="shared" si="51"/>
        <v>3.8461538461538436E-2</v>
      </c>
      <c r="X116" s="35">
        <f t="shared" si="51"/>
        <v>3.8461538461538436E-2</v>
      </c>
      <c r="Y116" s="35">
        <f t="shared" si="51"/>
        <v>0.19354838709677424</v>
      </c>
      <c r="Z116" s="35">
        <f t="shared" si="51"/>
        <v>3.8461538461538436E-2</v>
      </c>
      <c r="AA116" s="35">
        <f t="shared" si="51"/>
        <v>3.8461538461538436E-2</v>
      </c>
    </row>
    <row r="117" spans="2:27" x14ac:dyDescent="0.2">
      <c r="B117" s="2">
        <v>115</v>
      </c>
      <c r="C117" s="2" t="str">
        <f t="shared" si="45"/>
        <v>b</v>
      </c>
      <c r="D117" s="29" t="s">
        <v>1</v>
      </c>
      <c r="E117" s="29" t="s">
        <v>209</v>
      </c>
      <c r="F117" s="2" t="s">
        <v>213</v>
      </c>
      <c r="G117" s="2">
        <f t="shared" si="38"/>
        <v>3</v>
      </c>
      <c r="H117" s="2" t="str">
        <f t="shared" si="30"/>
        <v>神圣</v>
      </c>
      <c r="I117" s="38">
        <f t="shared" si="31"/>
        <v>8.9142857142857149E-2</v>
      </c>
      <c r="J117" s="33">
        <f t="shared" si="49"/>
        <v>29</v>
      </c>
      <c r="K117" s="33">
        <f t="shared" si="50"/>
        <v>62</v>
      </c>
      <c r="L117" s="33">
        <f t="shared" si="50"/>
        <v>14</v>
      </c>
      <c r="M117" s="33">
        <f t="shared" si="50"/>
        <v>38</v>
      </c>
      <c r="N117" s="33">
        <f t="shared" si="50"/>
        <v>52</v>
      </c>
      <c r="O117" s="33">
        <f t="shared" si="50"/>
        <v>67</v>
      </c>
      <c r="P117" s="33">
        <f t="shared" si="50"/>
        <v>26</v>
      </c>
      <c r="Q117" s="33">
        <f t="shared" si="50"/>
        <v>24</v>
      </c>
      <c r="R117" s="35">
        <f t="shared" si="32"/>
        <v>4.8000000000000001E-2</v>
      </c>
      <c r="S117" s="35">
        <f t="shared" si="33"/>
        <v>5.2000000000000005E-2</v>
      </c>
      <c r="T117" s="35">
        <f t="shared" si="34"/>
        <v>0.03</v>
      </c>
      <c r="U117" s="35">
        <f t="shared" si="51"/>
        <v>5.6603773584905648E-2</v>
      </c>
      <c r="V117" s="35">
        <f t="shared" si="51"/>
        <v>5.6603773584905648E-2</v>
      </c>
      <c r="W117" s="35">
        <f t="shared" si="51"/>
        <v>5.6603773584905648E-2</v>
      </c>
      <c r="X117" s="35">
        <f t="shared" si="51"/>
        <v>5.6603773584905648E-2</v>
      </c>
      <c r="Y117" s="35">
        <f t="shared" si="51"/>
        <v>0.26470588235294112</v>
      </c>
      <c r="Z117" s="35">
        <f t="shared" si="51"/>
        <v>5.6603773584905648E-2</v>
      </c>
      <c r="AA117" s="35">
        <f t="shared" si="51"/>
        <v>5.6603773584905648E-2</v>
      </c>
    </row>
    <row r="118" spans="2:27" x14ac:dyDescent="0.2">
      <c r="B118" s="2">
        <v>116</v>
      </c>
      <c r="C118" s="2" t="str">
        <f t="shared" si="45"/>
        <v>b</v>
      </c>
      <c r="D118" s="29" t="s">
        <v>1</v>
      </c>
      <c r="E118" s="29" t="s">
        <v>209</v>
      </c>
      <c r="F118" s="2" t="s">
        <v>213</v>
      </c>
      <c r="G118" s="2">
        <f t="shared" si="38"/>
        <v>4</v>
      </c>
      <c r="H118" s="2" t="str">
        <f t="shared" si="30"/>
        <v>神圣</v>
      </c>
      <c r="I118" s="38">
        <f t="shared" si="31"/>
        <v>0.11942857142857143</v>
      </c>
      <c r="J118" s="33">
        <f t="shared" si="49"/>
        <v>39</v>
      </c>
      <c r="K118" s="33">
        <f t="shared" si="50"/>
        <v>83</v>
      </c>
      <c r="L118" s="33">
        <f t="shared" si="50"/>
        <v>19</v>
      </c>
      <c r="M118" s="33">
        <f t="shared" si="50"/>
        <v>51</v>
      </c>
      <c r="N118" s="33">
        <f t="shared" si="50"/>
        <v>70</v>
      </c>
      <c r="O118" s="33">
        <f t="shared" si="50"/>
        <v>89</v>
      </c>
      <c r="P118" s="33">
        <f t="shared" si="50"/>
        <v>35</v>
      </c>
      <c r="Q118" s="33">
        <f t="shared" si="50"/>
        <v>32</v>
      </c>
      <c r="R118" s="35">
        <f t="shared" si="32"/>
        <v>6.4000000000000001E-2</v>
      </c>
      <c r="S118" s="35">
        <f t="shared" si="33"/>
        <v>7.0000000000000007E-2</v>
      </c>
      <c r="T118" s="35">
        <f t="shared" si="34"/>
        <v>0.04</v>
      </c>
      <c r="U118" s="35">
        <f t="shared" si="51"/>
        <v>7.407407407407407E-2</v>
      </c>
      <c r="V118" s="35">
        <f t="shared" si="51"/>
        <v>7.407407407407407E-2</v>
      </c>
      <c r="W118" s="35">
        <f t="shared" si="51"/>
        <v>7.407407407407407E-2</v>
      </c>
      <c r="X118" s="35">
        <f t="shared" si="51"/>
        <v>7.407407407407407E-2</v>
      </c>
      <c r="Y118" s="35">
        <f t="shared" si="51"/>
        <v>0.32432432432432434</v>
      </c>
      <c r="Z118" s="35">
        <f t="shared" si="51"/>
        <v>7.407407407407407E-2</v>
      </c>
      <c r="AA118" s="35">
        <f t="shared" si="51"/>
        <v>7.407407407407407E-2</v>
      </c>
    </row>
    <row r="119" spans="2:27" x14ac:dyDescent="0.2">
      <c r="B119" s="2">
        <v>117</v>
      </c>
      <c r="C119" s="2" t="str">
        <f t="shared" si="45"/>
        <v>b</v>
      </c>
      <c r="D119" s="29" t="s">
        <v>1</v>
      </c>
      <c r="E119" s="29" t="s">
        <v>209</v>
      </c>
      <c r="F119" s="2" t="s">
        <v>213</v>
      </c>
      <c r="G119" s="2">
        <f t="shared" si="38"/>
        <v>5</v>
      </c>
      <c r="H119" s="2" t="str">
        <f t="shared" si="30"/>
        <v>神圣</v>
      </c>
      <c r="I119" s="38">
        <f t="shared" si="31"/>
        <v>0.15</v>
      </c>
      <c r="J119" s="33">
        <f t="shared" si="49"/>
        <v>49</v>
      </c>
      <c r="K119" s="33">
        <f t="shared" si="50"/>
        <v>104</v>
      </c>
      <c r="L119" s="33">
        <f t="shared" si="50"/>
        <v>24</v>
      </c>
      <c r="M119" s="33">
        <f t="shared" si="50"/>
        <v>64</v>
      </c>
      <c r="N119" s="33">
        <f t="shared" si="50"/>
        <v>88</v>
      </c>
      <c r="O119" s="33">
        <f t="shared" si="50"/>
        <v>112</v>
      </c>
      <c r="P119" s="33">
        <f t="shared" si="50"/>
        <v>44</v>
      </c>
      <c r="Q119" s="33">
        <f t="shared" si="50"/>
        <v>40</v>
      </c>
      <c r="R119" s="35">
        <f t="shared" si="32"/>
        <v>0.08</v>
      </c>
      <c r="S119" s="35">
        <f t="shared" si="33"/>
        <v>8.8000000000000009E-2</v>
      </c>
      <c r="T119" s="35">
        <f t="shared" si="34"/>
        <v>0.05</v>
      </c>
      <c r="U119" s="35">
        <f t="shared" si="51"/>
        <v>9.0909090909090939E-2</v>
      </c>
      <c r="V119" s="35">
        <f t="shared" si="51"/>
        <v>9.0909090909090939E-2</v>
      </c>
      <c r="W119" s="35">
        <f t="shared" si="51"/>
        <v>9.0909090909090939E-2</v>
      </c>
      <c r="X119" s="35">
        <f t="shared" si="51"/>
        <v>9.0909090909090939E-2</v>
      </c>
      <c r="Y119" s="35">
        <f t="shared" si="51"/>
        <v>0.375</v>
      </c>
      <c r="Z119" s="35">
        <f t="shared" si="51"/>
        <v>9.0909090909090939E-2</v>
      </c>
      <c r="AA119" s="35">
        <f t="shared" si="51"/>
        <v>9.0909090909090939E-2</v>
      </c>
    </row>
    <row r="120" spans="2:27" x14ac:dyDescent="0.2">
      <c r="B120" s="2">
        <v>118</v>
      </c>
      <c r="C120" s="2" t="str">
        <f t="shared" si="45"/>
        <v>b</v>
      </c>
      <c r="D120" s="29" t="s">
        <v>1</v>
      </c>
      <c r="E120" s="29" t="s">
        <v>209</v>
      </c>
      <c r="F120" s="2" t="s">
        <v>213</v>
      </c>
      <c r="G120" s="2">
        <f t="shared" si="38"/>
        <v>6</v>
      </c>
      <c r="H120" s="2" t="str">
        <f t="shared" si="30"/>
        <v>神圣</v>
      </c>
      <c r="I120" s="38">
        <f t="shared" si="31"/>
        <v>0.17857142857142858</v>
      </c>
      <c r="J120" s="33">
        <f t="shared" si="49"/>
        <v>58</v>
      </c>
      <c r="K120" s="33">
        <f t="shared" si="50"/>
        <v>124</v>
      </c>
      <c r="L120" s="33">
        <f t="shared" si="50"/>
        <v>28</v>
      </c>
      <c r="M120" s="33">
        <f t="shared" si="50"/>
        <v>76</v>
      </c>
      <c r="N120" s="33">
        <f t="shared" si="50"/>
        <v>105</v>
      </c>
      <c r="O120" s="33">
        <f t="shared" si="50"/>
        <v>134</v>
      </c>
      <c r="P120" s="33">
        <f t="shared" si="50"/>
        <v>52</v>
      </c>
      <c r="Q120" s="33">
        <f t="shared" si="50"/>
        <v>48</v>
      </c>
      <c r="R120" s="35">
        <f t="shared" si="32"/>
        <v>9.6000000000000002E-2</v>
      </c>
      <c r="S120" s="35">
        <f t="shared" si="33"/>
        <v>0.10400000000000001</v>
      </c>
      <c r="T120" s="35">
        <f t="shared" si="34"/>
        <v>0.06</v>
      </c>
      <c r="U120" s="35">
        <f t="shared" si="51"/>
        <v>0.1071428571428571</v>
      </c>
      <c r="V120" s="35">
        <f t="shared" si="51"/>
        <v>0.1071428571428571</v>
      </c>
      <c r="W120" s="35">
        <f t="shared" si="51"/>
        <v>0.1071428571428571</v>
      </c>
      <c r="X120" s="35">
        <f t="shared" si="51"/>
        <v>0.1071428571428571</v>
      </c>
      <c r="Y120" s="35">
        <f t="shared" si="51"/>
        <v>0.41860465116279066</v>
      </c>
      <c r="Z120" s="35">
        <f t="shared" si="51"/>
        <v>0.1071428571428571</v>
      </c>
      <c r="AA120" s="35">
        <f t="shared" si="51"/>
        <v>0.1071428571428571</v>
      </c>
    </row>
    <row r="121" spans="2:27" x14ac:dyDescent="0.2">
      <c r="B121" s="2">
        <v>119</v>
      </c>
      <c r="C121" s="2" t="str">
        <f t="shared" si="45"/>
        <v>b</v>
      </c>
      <c r="D121" s="29" t="s">
        <v>1</v>
      </c>
      <c r="E121" s="29" t="s">
        <v>209</v>
      </c>
      <c r="F121" s="2" t="s">
        <v>213</v>
      </c>
      <c r="G121" s="2">
        <f t="shared" si="38"/>
        <v>7</v>
      </c>
      <c r="H121" s="2" t="str">
        <f t="shared" si="30"/>
        <v>神圣</v>
      </c>
      <c r="I121" s="38">
        <f t="shared" si="31"/>
        <v>0.20885714285714285</v>
      </c>
      <c r="J121" s="33">
        <f t="shared" si="49"/>
        <v>68</v>
      </c>
      <c r="K121" s="33">
        <f t="shared" si="50"/>
        <v>145</v>
      </c>
      <c r="L121" s="33">
        <f t="shared" si="50"/>
        <v>33</v>
      </c>
      <c r="M121" s="33">
        <f t="shared" si="50"/>
        <v>89</v>
      </c>
      <c r="N121" s="33">
        <f t="shared" si="50"/>
        <v>123</v>
      </c>
      <c r="O121" s="33">
        <f t="shared" si="50"/>
        <v>156</v>
      </c>
      <c r="P121" s="33">
        <f t="shared" si="50"/>
        <v>61</v>
      </c>
      <c r="Q121" s="33">
        <f t="shared" si="50"/>
        <v>56</v>
      </c>
      <c r="R121" s="35">
        <f t="shared" si="32"/>
        <v>0.11199999999999999</v>
      </c>
      <c r="S121" s="35">
        <f t="shared" si="33"/>
        <v>0.122</v>
      </c>
      <c r="T121" s="35">
        <f t="shared" si="34"/>
        <v>7.0000000000000007E-2</v>
      </c>
      <c r="U121" s="35">
        <f t="shared" si="51"/>
        <v>0.1228070175438597</v>
      </c>
      <c r="V121" s="35">
        <f t="shared" si="51"/>
        <v>0.1228070175438597</v>
      </c>
      <c r="W121" s="35">
        <f t="shared" si="51"/>
        <v>0.1228070175438597</v>
      </c>
      <c r="X121" s="35">
        <f t="shared" si="51"/>
        <v>0.1228070175438597</v>
      </c>
      <c r="Y121" s="35">
        <f t="shared" si="51"/>
        <v>0.45652173913043481</v>
      </c>
      <c r="Z121" s="35">
        <f t="shared" si="51"/>
        <v>0.1228070175438597</v>
      </c>
      <c r="AA121" s="35">
        <f t="shared" si="51"/>
        <v>0.1228070175438597</v>
      </c>
    </row>
    <row r="122" spans="2:27" x14ac:dyDescent="0.2">
      <c r="B122" s="2">
        <v>120</v>
      </c>
      <c r="C122" s="2" t="str">
        <f t="shared" si="45"/>
        <v>b</v>
      </c>
      <c r="D122" s="29" t="s">
        <v>1</v>
      </c>
      <c r="E122" s="29" t="s">
        <v>209</v>
      </c>
      <c r="F122" s="2" t="s">
        <v>213</v>
      </c>
      <c r="G122" s="2">
        <f t="shared" si="38"/>
        <v>8</v>
      </c>
      <c r="H122" s="2" t="str">
        <f t="shared" si="30"/>
        <v>神圣</v>
      </c>
      <c r="I122" s="38">
        <f t="shared" si="31"/>
        <v>0.23914285714285716</v>
      </c>
      <c r="J122" s="33">
        <f t="shared" si="49"/>
        <v>78</v>
      </c>
      <c r="K122" s="33">
        <f t="shared" si="50"/>
        <v>166</v>
      </c>
      <c r="L122" s="33">
        <f t="shared" si="50"/>
        <v>38</v>
      </c>
      <c r="M122" s="33">
        <f t="shared" si="50"/>
        <v>102</v>
      </c>
      <c r="N122" s="33">
        <f t="shared" si="50"/>
        <v>140</v>
      </c>
      <c r="O122" s="33">
        <f t="shared" si="50"/>
        <v>179</v>
      </c>
      <c r="P122" s="33">
        <f t="shared" si="50"/>
        <v>70</v>
      </c>
      <c r="Q122" s="33">
        <f t="shared" si="50"/>
        <v>64</v>
      </c>
      <c r="R122" s="35">
        <f t="shared" si="32"/>
        <v>0.128</v>
      </c>
      <c r="S122" s="35">
        <f t="shared" si="33"/>
        <v>0.14000000000000001</v>
      </c>
      <c r="T122" s="35">
        <f t="shared" si="34"/>
        <v>0.08</v>
      </c>
      <c r="U122" s="35">
        <f t="shared" si="51"/>
        <v>0.13793103448275867</v>
      </c>
      <c r="V122" s="35">
        <f t="shared" si="51"/>
        <v>0.13793103448275867</v>
      </c>
      <c r="W122" s="35">
        <f t="shared" si="51"/>
        <v>0.13793103448275867</v>
      </c>
      <c r="X122" s="35">
        <f t="shared" si="51"/>
        <v>0.13793103448275867</v>
      </c>
      <c r="Y122" s="35">
        <f t="shared" si="51"/>
        <v>0.48979591836734693</v>
      </c>
      <c r="Z122" s="35">
        <f t="shared" si="51"/>
        <v>0.13793103448275867</v>
      </c>
      <c r="AA122" s="35">
        <f t="shared" si="51"/>
        <v>0.13793103448275867</v>
      </c>
    </row>
    <row r="123" spans="2:27" x14ac:dyDescent="0.2">
      <c r="B123" s="2">
        <v>121</v>
      </c>
      <c r="C123" s="2" t="str">
        <f t="shared" si="45"/>
        <v>c</v>
      </c>
      <c r="D123" s="29" t="s">
        <v>1</v>
      </c>
      <c r="E123" s="29" t="s">
        <v>209</v>
      </c>
      <c r="F123" s="2" t="s">
        <v>213</v>
      </c>
      <c r="G123" s="2">
        <f t="shared" si="38"/>
        <v>1</v>
      </c>
      <c r="H123" s="2" t="str">
        <f t="shared" si="30"/>
        <v>--</v>
      </c>
      <c r="I123" s="38">
        <f t="shared" si="31"/>
        <v>0</v>
      </c>
      <c r="J123" s="33">
        <f t="shared" ref="J123:J132" si="52">INT((1+VLOOKUP($F123,role_property_weight,getpos(J$2),FALSE))*(1+VLOOKUP($F123,drop_property_weight,getpos(J$2),FALSE))*VLOOKUP($E123,role_grow,getpos(J$2),FALSE)*$G123*10*VLOOKUP($C123,drop_grow1,4,FALSE))</f>
        <v>13</v>
      </c>
      <c r="K123" s="33">
        <f t="shared" ref="K123:Q132" si="53">INT((1+VLOOKUP($F123,role_property_weight,getpos(K$2),FALSE))*(1+VLOOKUP($F123,drop_property_weight,getpos(K$2),FALSE))*VLOOKUP($E123,role_grow,getpos(K$2),FALSE)*$G123*10*VLOOKUP($C123,drop_grow1,5,FALSE))</f>
        <v>0</v>
      </c>
      <c r="L123" s="33">
        <f t="shared" si="53"/>
        <v>0</v>
      </c>
      <c r="M123" s="33">
        <f t="shared" si="53"/>
        <v>0</v>
      </c>
      <c r="N123" s="33">
        <f t="shared" si="53"/>
        <v>0</v>
      </c>
      <c r="O123" s="33">
        <f t="shared" si="53"/>
        <v>0</v>
      </c>
      <c r="P123" s="33">
        <f t="shared" si="53"/>
        <v>0</v>
      </c>
      <c r="Q123" s="33">
        <f t="shared" si="53"/>
        <v>0</v>
      </c>
      <c r="R123" s="35">
        <f t="shared" si="32"/>
        <v>0</v>
      </c>
      <c r="S123" s="35">
        <f t="shared" si="33"/>
        <v>0</v>
      </c>
      <c r="T123" s="35">
        <f t="shared" si="34"/>
        <v>0</v>
      </c>
      <c r="U123" s="35">
        <f t="shared" ref="U123:AA132" si="54">1-200/(200+ROUND((1+VLOOKUP($F123,role_property_weight,getpos(U$2),FALSE))*VLOOKUP($E123,role_grow,getpos(U$2),FALSE)*$G123*10*VLOOKUP($C123,drop_grow1,5,FALSE),0))</f>
        <v>0</v>
      </c>
      <c r="V123" s="35">
        <f t="shared" si="54"/>
        <v>0</v>
      </c>
      <c r="W123" s="35">
        <f t="shared" si="54"/>
        <v>0</v>
      </c>
      <c r="X123" s="35">
        <f t="shared" si="54"/>
        <v>0</v>
      </c>
      <c r="Y123" s="35">
        <f t="shared" si="54"/>
        <v>0</v>
      </c>
      <c r="Z123" s="35">
        <f t="shared" si="54"/>
        <v>0</v>
      </c>
      <c r="AA123" s="35">
        <f t="shared" si="54"/>
        <v>0</v>
      </c>
    </row>
    <row r="124" spans="2:27" x14ac:dyDescent="0.2">
      <c r="B124" s="2">
        <v>122</v>
      </c>
      <c r="C124" s="2" t="str">
        <f t="shared" si="45"/>
        <v>c</v>
      </c>
      <c r="D124" s="29" t="s">
        <v>1</v>
      </c>
      <c r="E124" s="29" t="s">
        <v>209</v>
      </c>
      <c r="F124" s="2" t="s">
        <v>213</v>
      </c>
      <c r="G124" s="2">
        <f t="shared" si="38"/>
        <v>2</v>
      </c>
      <c r="H124" s="2" t="str">
        <f t="shared" si="30"/>
        <v>--</v>
      </c>
      <c r="I124" s="38">
        <f t="shared" si="31"/>
        <v>0</v>
      </c>
      <c r="J124" s="33">
        <f t="shared" si="52"/>
        <v>26</v>
      </c>
      <c r="K124" s="33">
        <f t="shared" si="53"/>
        <v>0</v>
      </c>
      <c r="L124" s="33">
        <f t="shared" si="53"/>
        <v>0</v>
      </c>
      <c r="M124" s="33">
        <f t="shared" si="53"/>
        <v>0</v>
      </c>
      <c r="N124" s="33">
        <f t="shared" si="53"/>
        <v>0</v>
      </c>
      <c r="O124" s="33">
        <f t="shared" si="53"/>
        <v>0</v>
      </c>
      <c r="P124" s="33">
        <f t="shared" si="53"/>
        <v>0</v>
      </c>
      <c r="Q124" s="33">
        <f t="shared" si="53"/>
        <v>0</v>
      </c>
      <c r="R124" s="35">
        <f t="shared" si="32"/>
        <v>0</v>
      </c>
      <c r="S124" s="35">
        <f t="shared" si="33"/>
        <v>0</v>
      </c>
      <c r="T124" s="35">
        <f t="shared" si="34"/>
        <v>0</v>
      </c>
      <c r="U124" s="35">
        <f t="shared" si="54"/>
        <v>0</v>
      </c>
      <c r="V124" s="35">
        <f t="shared" si="54"/>
        <v>0</v>
      </c>
      <c r="W124" s="35">
        <f t="shared" si="54"/>
        <v>0</v>
      </c>
      <c r="X124" s="35">
        <f t="shared" si="54"/>
        <v>0</v>
      </c>
      <c r="Y124" s="35">
        <f t="shared" si="54"/>
        <v>0</v>
      </c>
      <c r="Z124" s="35">
        <f t="shared" si="54"/>
        <v>0</v>
      </c>
      <c r="AA124" s="35">
        <f t="shared" si="54"/>
        <v>0</v>
      </c>
    </row>
    <row r="125" spans="2:27" x14ac:dyDescent="0.2">
      <c r="B125" s="2">
        <v>123</v>
      </c>
      <c r="C125" s="2" t="str">
        <f t="shared" si="45"/>
        <v>c</v>
      </c>
      <c r="D125" s="29" t="s">
        <v>1</v>
      </c>
      <c r="E125" s="29" t="s">
        <v>209</v>
      </c>
      <c r="F125" s="2" t="s">
        <v>213</v>
      </c>
      <c r="G125" s="2">
        <f t="shared" si="38"/>
        <v>3</v>
      </c>
      <c r="H125" s="2" t="str">
        <f t="shared" si="30"/>
        <v>--</v>
      </c>
      <c r="I125" s="38">
        <f t="shared" si="31"/>
        <v>0</v>
      </c>
      <c r="J125" s="33">
        <f t="shared" si="52"/>
        <v>39</v>
      </c>
      <c r="K125" s="33">
        <f t="shared" si="53"/>
        <v>0</v>
      </c>
      <c r="L125" s="33">
        <f t="shared" si="53"/>
        <v>0</v>
      </c>
      <c r="M125" s="33">
        <f t="shared" si="53"/>
        <v>0</v>
      </c>
      <c r="N125" s="33">
        <f t="shared" si="53"/>
        <v>0</v>
      </c>
      <c r="O125" s="33">
        <f t="shared" si="53"/>
        <v>0</v>
      </c>
      <c r="P125" s="33">
        <f t="shared" si="53"/>
        <v>0</v>
      </c>
      <c r="Q125" s="33">
        <f t="shared" si="53"/>
        <v>0</v>
      </c>
      <c r="R125" s="35">
        <f t="shared" si="32"/>
        <v>0</v>
      </c>
      <c r="S125" s="35">
        <f t="shared" si="33"/>
        <v>0</v>
      </c>
      <c r="T125" s="35">
        <f t="shared" si="34"/>
        <v>0</v>
      </c>
      <c r="U125" s="35">
        <f t="shared" si="54"/>
        <v>0</v>
      </c>
      <c r="V125" s="35">
        <f t="shared" si="54"/>
        <v>0</v>
      </c>
      <c r="W125" s="35">
        <f t="shared" si="54"/>
        <v>0</v>
      </c>
      <c r="X125" s="35">
        <f t="shared" si="54"/>
        <v>0</v>
      </c>
      <c r="Y125" s="35">
        <f t="shared" si="54"/>
        <v>0</v>
      </c>
      <c r="Z125" s="35">
        <f t="shared" si="54"/>
        <v>0</v>
      </c>
      <c r="AA125" s="35">
        <f t="shared" si="54"/>
        <v>0</v>
      </c>
    </row>
    <row r="126" spans="2:27" x14ac:dyDescent="0.2">
      <c r="B126" s="2">
        <v>124</v>
      </c>
      <c r="C126" s="2" t="str">
        <f t="shared" si="45"/>
        <v>c</v>
      </c>
      <c r="D126" s="29" t="s">
        <v>1</v>
      </c>
      <c r="E126" s="29" t="s">
        <v>209</v>
      </c>
      <c r="F126" s="2" t="s">
        <v>213</v>
      </c>
      <c r="G126" s="2">
        <f t="shared" si="38"/>
        <v>4</v>
      </c>
      <c r="H126" s="2" t="str">
        <f t="shared" si="30"/>
        <v>--</v>
      </c>
      <c r="I126" s="38">
        <f t="shared" si="31"/>
        <v>0</v>
      </c>
      <c r="J126" s="33">
        <f t="shared" si="52"/>
        <v>52</v>
      </c>
      <c r="K126" s="33">
        <f t="shared" si="53"/>
        <v>0</v>
      </c>
      <c r="L126" s="33">
        <f t="shared" si="53"/>
        <v>0</v>
      </c>
      <c r="M126" s="33">
        <f t="shared" si="53"/>
        <v>0</v>
      </c>
      <c r="N126" s="33">
        <f t="shared" si="53"/>
        <v>0</v>
      </c>
      <c r="O126" s="33">
        <f t="shared" si="53"/>
        <v>0</v>
      </c>
      <c r="P126" s="33">
        <f t="shared" si="53"/>
        <v>0</v>
      </c>
      <c r="Q126" s="33">
        <f t="shared" si="53"/>
        <v>0</v>
      </c>
      <c r="R126" s="35">
        <f t="shared" si="32"/>
        <v>0</v>
      </c>
      <c r="S126" s="35">
        <f t="shared" si="33"/>
        <v>0</v>
      </c>
      <c r="T126" s="35">
        <f t="shared" si="34"/>
        <v>0</v>
      </c>
      <c r="U126" s="35">
        <f t="shared" si="54"/>
        <v>0</v>
      </c>
      <c r="V126" s="35">
        <f t="shared" si="54"/>
        <v>0</v>
      </c>
      <c r="W126" s="35">
        <f t="shared" si="54"/>
        <v>0</v>
      </c>
      <c r="X126" s="35">
        <f t="shared" si="54"/>
        <v>0</v>
      </c>
      <c r="Y126" s="35">
        <f t="shared" si="54"/>
        <v>0</v>
      </c>
      <c r="Z126" s="35">
        <f t="shared" si="54"/>
        <v>0</v>
      </c>
      <c r="AA126" s="35">
        <f t="shared" si="54"/>
        <v>0</v>
      </c>
    </row>
    <row r="127" spans="2:27" x14ac:dyDescent="0.2">
      <c r="B127" s="2">
        <v>125</v>
      </c>
      <c r="C127" s="2" t="str">
        <f t="shared" si="45"/>
        <v>c</v>
      </c>
      <c r="D127" s="29" t="s">
        <v>1</v>
      </c>
      <c r="E127" s="29" t="s">
        <v>209</v>
      </c>
      <c r="F127" s="2" t="s">
        <v>213</v>
      </c>
      <c r="G127" s="2">
        <f t="shared" si="38"/>
        <v>5</v>
      </c>
      <c r="H127" s="2" t="str">
        <f t="shared" si="30"/>
        <v>--</v>
      </c>
      <c r="I127" s="38">
        <f t="shared" si="31"/>
        <v>0</v>
      </c>
      <c r="J127" s="33">
        <f t="shared" si="52"/>
        <v>65</v>
      </c>
      <c r="K127" s="33">
        <f t="shared" si="53"/>
        <v>0</v>
      </c>
      <c r="L127" s="33">
        <f t="shared" si="53"/>
        <v>0</v>
      </c>
      <c r="M127" s="33">
        <f t="shared" si="53"/>
        <v>0</v>
      </c>
      <c r="N127" s="33">
        <f t="shared" si="53"/>
        <v>0</v>
      </c>
      <c r="O127" s="33">
        <f t="shared" si="53"/>
        <v>0</v>
      </c>
      <c r="P127" s="33">
        <f t="shared" si="53"/>
        <v>0</v>
      </c>
      <c r="Q127" s="33">
        <f t="shared" si="53"/>
        <v>0</v>
      </c>
      <c r="R127" s="35">
        <f t="shared" si="32"/>
        <v>0</v>
      </c>
      <c r="S127" s="35">
        <f t="shared" si="33"/>
        <v>0</v>
      </c>
      <c r="T127" s="35">
        <f t="shared" si="34"/>
        <v>0</v>
      </c>
      <c r="U127" s="35">
        <f t="shared" si="54"/>
        <v>0</v>
      </c>
      <c r="V127" s="35">
        <f t="shared" si="54"/>
        <v>0</v>
      </c>
      <c r="W127" s="35">
        <f t="shared" si="54"/>
        <v>0</v>
      </c>
      <c r="X127" s="35">
        <f t="shared" si="54"/>
        <v>0</v>
      </c>
      <c r="Y127" s="35">
        <f t="shared" si="54"/>
        <v>0</v>
      </c>
      <c r="Z127" s="35">
        <f t="shared" si="54"/>
        <v>0</v>
      </c>
      <c r="AA127" s="35">
        <f t="shared" si="54"/>
        <v>0</v>
      </c>
    </row>
    <row r="128" spans="2:27" x14ac:dyDescent="0.2">
      <c r="B128" s="2">
        <v>126</v>
      </c>
      <c r="C128" s="2" t="str">
        <f t="shared" si="45"/>
        <v>c</v>
      </c>
      <c r="D128" s="29" t="s">
        <v>1</v>
      </c>
      <c r="E128" s="29" t="s">
        <v>209</v>
      </c>
      <c r="F128" s="2" t="s">
        <v>213</v>
      </c>
      <c r="G128" s="2">
        <f t="shared" si="38"/>
        <v>6</v>
      </c>
      <c r="H128" s="2" t="str">
        <f t="shared" si="30"/>
        <v>--</v>
      </c>
      <c r="I128" s="38">
        <f t="shared" si="31"/>
        <v>0</v>
      </c>
      <c r="J128" s="33">
        <f t="shared" si="52"/>
        <v>78</v>
      </c>
      <c r="K128" s="33">
        <f t="shared" si="53"/>
        <v>0</v>
      </c>
      <c r="L128" s="33">
        <f t="shared" si="53"/>
        <v>0</v>
      </c>
      <c r="M128" s="33">
        <f t="shared" si="53"/>
        <v>0</v>
      </c>
      <c r="N128" s="33">
        <f t="shared" si="53"/>
        <v>0</v>
      </c>
      <c r="O128" s="33">
        <f t="shared" si="53"/>
        <v>0</v>
      </c>
      <c r="P128" s="33">
        <f t="shared" si="53"/>
        <v>0</v>
      </c>
      <c r="Q128" s="33">
        <f t="shared" si="53"/>
        <v>0</v>
      </c>
      <c r="R128" s="35">
        <f t="shared" si="32"/>
        <v>0</v>
      </c>
      <c r="S128" s="35">
        <f t="shared" si="33"/>
        <v>0</v>
      </c>
      <c r="T128" s="35">
        <f t="shared" si="34"/>
        <v>0</v>
      </c>
      <c r="U128" s="35">
        <f t="shared" si="54"/>
        <v>0</v>
      </c>
      <c r="V128" s="35">
        <f t="shared" si="54"/>
        <v>0</v>
      </c>
      <c r="W128" s="35">
        <f t="shared" si="54"/>
        <v>0</v>
      </c>
      <c r="X128" s="35">
        <f t="shared" si="54"/>
        <v>0</v>
      </c>
      <c r="Y128" s="35">
        <f t="shared" si="54"/>
        <v>0</v>
      </c>
      <c r="Z128" s="35">
        <f t="shared" si="54"/>
        <v>0</v>
      </c>
      <c r="AA128" s="35">
        <f t="shared" si="54"/>
        <v>0</v>
      </c>
    </row>
    <row r="129" spans="2:27" x14ac:dyDescent="0.2">
      <c r="B129" s="2">
        <v>127</v>
      </c>
      <c r="C129" s="2" t="str">
        <f t="shared" si="45"/>
        <v>c</v>
      </c>
      <c r="D129" s="29" t="s">
        <v>1</v>
      </c>
      <c r="E129" s="29" t="s">
        <v>209</v>
      </c>
      <c r="F129" s="2" t="s">
        <v>213</v>
      </c>
      <c r="G129" s="2">
        <f t="shared" si="38"/>
        <v>7</v>
      </c>
      <c r="H129" s="2" t="str">
        <f t="shared" si="30"/>
        <v>--</v>
      </c>
      <c r="I129" s="38">
        <f t="shared" si="31"/>
        <v>0</v>
      </c>
      <c r="J129" s="33">
        <f t="shared" si="52"/>
        <v>92</v>
      </c>
      <c r="K129" s="33">
        <f t="shared" si="53"/>
        <v>0</v>
      </c>
      <c r="L129" s="33">
        <f t="shared" si="53"/>
        <v>0</v>
      </c>
      <c r="M129" s="33">
        <f t="shared" si="53"/>
        <v>0</v>
      </c>
      <c r="N129" s="33">
        <f t="shared" si="53"/>
        <v>0</v>
      </c>
      <c r="O129" s="33">
        <f t="shared" si="53"/>
        <v>0</v>
      </c>
      <c r="P129" s="33">
        <f t="shared" si="53"/>
        <v>0</v>
      </c>
      <c r="Q129" s="33">
        <f t="shared" si="53"/>
        <v>0</v>
      </c>
      <c r="R129" s="35">
        <f t="shared" si="32"/>
        <v>0</v>
      </c>
      <c r="S129" s="35">
        <f t="shared" si="33"/>
        <v>0</v>
      </c>
      <c r="T129" s="35">
        <f t="shared" si="34"/>
        <v>0</v>
      </c>
      <c r="U129" s="35">
        <f t="shared" si="54"/>
        <v>0</v>
      </c>
      <c r="V129" s="35">
        <f t="shared" si="54"/>
        <v>0</v>
      </c>
      <c r="W129" s="35">
        <f t="shared" si="54"/>
        <v>0</v>
      </c>
      <c r="X129" s="35">
        <f t="shared" si="54"/>
        <v>0</v>
      </c>
      <c r="Y129" s="35">
        <f t="shared" si="54"/>
        <v>0</v>
      </c>
      <c r="Z129" s="35">
        <f t="shared" si="54"/>
        <v>0</v>
      </c>
      <c r="AA129" s="35">
        <f t="shared" si="54"/>
        <v>0</v>
      </c>
    </row>
    <row r="130" spans="2:27" x14ac:dyDescent="0.2">
      <c r="B130" s="2">
        <v>128</v>
      </c>
      <c r="C130" s="2" t="str">
        <f t="shared" si="45"/>
        <v>c</v>
      </c>
      <c r="D130" s="29" t="s">
        <v>1</v>
      </c>
      <c r="E130" s="29" t="s">
        <v>209</v>
      </c>
      <c r="F130" s="2" t="s">
        <v>213</v>
      </c>
      <c r="G130" s="2">
        <f t="shared" si="38"/>
        <v>8</v>
      </c>
      <c r="H130" s="2" t="str">
        <f t="shared" si="30"/>
        <v>--</v>
      </c>
      <c r="I130" s="38">
        <f t="shared" si="31"/>
        <v>0</v>
      </c>
      <c r="J130" s="33">
        <f t="shared" si="52"/>
        <v>105</v>
      </c>
      <c r="K130" s="33">
        <f t="shared" si="53"/>
        <v>0</v>
      </c>
      <c r="L130" s="33">
        <f t="shared" si="53"/>
        <v>0</v>
      </c>
      <c r="M130" s="33">
        <f t="shared" si="53"/>
        <v>0</v>
      </c>
      <c r="N130" s="33">
        <f t="shared" si="53"/>
        <v>0</v>
      </c>
      <c r="O130" s="33">
        <f t="shared" si="53"/>
        <v>0</v>
      </c>
      <c r="P130" s="33">
        <f t="shared" si="53"/>
        <v>0</v>
      </c>
      <c r="Q130" s="33">
        <f t="shared" si="53"/>
        <v>0</v>
      </c>
      <c r="R130" s="35">
        <f t="shared" si="32"/>
        <v>0</v>
      </c>
      <c r="S130" s="35">
        <f t="shared" si="33"/>
        <v>0</v>
      </c>
      <c r="T130" s="35">
        <f t="shared" si="34"/>
        <v>0</v>
      </c>
      <c r="U130" s="35">
        <f t="shared" si="54"/>
        <v>0</v>
      </c>
      <c r="V130" s="35">
        <f t="shared" si="54"/>
        <v>0</v>
      </c>
      <c r="W130" s="35">
        <f t="shared" si="54"/>
        <v>0</v>
      </c>
      <c r="X130" s="35">
        <f t="shared" si="54"/>
        <v>0</v>
      </c>
      <c r="Y130" s="35">
        <f t="shared" si="54"/>
        <v>0</v>
      </c>
      <c r="Z130" s="35">
        <f t="shared" si="54"/>
        <v>0</v>
      </c>
      <c r="AA130" s="35">
        <f t="shared" si="54"/>
        <v>0</v>
      </c>
    </row>
    <row r="131" spans="2:27" x14ac:dyDescent="0.2">
      <c r="B131" s="2">
        <v>129</v>
      </c>
      <c r="C131" s="2" t="str">
        <f t="shared" si="45"/>
        <v>s</v>
      </c>
      <c r="D131" s="29" t="s">
        <v>1</v>
      </c>
      <c r="E131" s="29" t="s">
        <v>209</v>
      </c>
      <c r="F131" s="2" t="s">
        <v>214</v>
      </c>
      <c r="G131" s="2">
        <f t="shared" si="38"/>
        <v>1</v>
      </c>
      <c r="H131" s="2" t="str">
        <f t="shared" ref="H131:H194" si="55">IF(C131="c","--",VLOOKUP(F131,role_property_weight,17,FALSE))</f>
        <v>火炎</v>
      </c>
      <c r="I131" s="38">
        <f t="shared" si="31"/>
        <v>0.08</v>
      </c>
      <c r="J131" s="33">
        <f t="shared" si="52"/>
        <v>11</v>
      </c>
      <c r="K131" s="33">
        <f t="shared" si="53"/>
        <v>10</v>
      </c>
      <c r="L131" s="33">
        <f t="shared" si="53"/>
        <v>2</v>
      </c>
      <c r="M131" s="33">
        <f t="shared" si="53"/>
        <v>7</v>
      </c>
      <c r="N131" s="33">
        <f t="shared" si="53"/>
        <v>9</v>
      </c>
      <c r="O131" s="33">
        <f t="shared" si="53"/>
        <v>11</v>
      </c>
      <c r="P131" s="33">
        <f t="shared" si="53"/>
        <v>6</v>
      </c>
      <c r="Q131" s="33">
        <f t="shared" si="53"/>
        <v>6</v>
      </c>
      <c r="R131" s="35">
        <f t="shared" si="32"/>
        <v>1.2E-2</v>
      </c>
      <c r="S131" s="35">
        <f t="shared" si="33"/>
        <v>1.2E-2</v>
      </c>
      <c r="T131" s="35">
        <f t="shared" si="34"/>
        <v>7.4999999999999997E-3</v>
      </c>
      <c r="U131" s="35">
        <f t="shared" si="54"/>
        <v>9.9009900990099098E-3</v>
      </c>
      <c r="V131" s="35">
        <f t="shared" si="54"/>
        <v>9.9009900990099098E-3</v>
      </c>
      <c r="W131" s="35">
        <f t="shared" si="54"/>
        <v>9.9009900990099098E-3</v>
      </c>
      <c r="X131" s="35">
        <f t="shared" si="54"/>
        <v>6.5420560747663559E-2</v>
      </c>
      <c r="Y131" s="35">
        <f t="shared" si="54"/>
        <v>9.9009900990099098E-3</v>
      </c>
      <c r="Z131" s="35">
        <f t="shared" si="54"/>
        <v>9.9009900990099098E-3</v>
      </c>
      <c r="AA131" s="35">
        <f t="shared" si="54"/>
        <v>9.9009900990099098E-3</v>
      </c>
    </row>
    <row r="132" spans="2:27" x14ac:dyDescent="0.2">
      <c r="B132" s="2">
        <v>130</v>
      </c>
      <c r="C132" s="2" t="str">
        <f t="shared" si="45"/>
        <v>s</v>
      </c>
      <c r="D132" s="29" t="s">
        <v>1</v>
      </c>
      <c r="E132" s="29" t="s">
        <v>209</v>
      </c>
      <c r="F132" s="2" t="s">
        <v>214</v>
      </c>
      <c r="G132" s="2">
        <f t="shared" si="38"/>
        <v>2</v>
      </c>
      <c r="H132" s="2" t="str">
        <f t="shared" si="55"/>
        <v>火炎</v>
      </c>
      <c r="I132" s="38">
        <f t="shared" ref="I132:I195" si="56">IF(H132="--",0,IF((SUM(J132:Q132)/35)%&lt;8%,8%,(SUM(J132:Q132)/35)%))</f>
        <v>0.08</v>
      </c>
      <c r="J132" s="33">
        <f t="shared" si="52"/>
        <v>22</v>
      </c>
      <c r="K132" s="33">
        <f t="shared" si="53"/>
        <v>21</v>
      </c>
      <c r="L132" s="33">
        <f t="shared" si="53"/>
        <v>4</v>
      </c>
      <c r="M132" s="33">
        <f t="shared" si="53"/>
        <v>15</v>
      </c>
      <c r="N132" s="33">
        <f t="shared" si="53"/>
        <v>19</v>
      </c>
      <c r="O132" s="33">
        <f t="shared" si="53"/>
        <v>23</v>
      </c>
      <c r="P132" s="33">
        <f t="shared" si="53"/>
        <v>13</v>
      </c>
      <c r="Q132" s="33">
        <f t="shared" si="53"/>
        <v>13</v>
      </c>
      <c r="R132" s="35">
        <f t="shared" ref="R132:R195" si="57">(Q132/5)%</f>
        <v>2.6000000000000002E-2</v>
      </c>
      <c r="S132" s="35">
        <f t="shared" ref="S132:S195" si="58">(P132/5)%</f>
        <v>2.6000000000000002E-2</v>
      </c>
      <c r="T132" s="35">
        <f t="shared" ref="T132:T195" si="59">(Q132/8)%</f>
        <v>1.6250000000000001E-2</v>
      </c>
      <c r="U132" s="35">
        <f t="shared" si="54"/>
        <v>2.4390243902439046E-2</v>
      </c>
      <c r="V132" s="35">
        <f t="shared" si="54"/>
        <v>2.4390243902439046E-2</v>
      </c>
      <c r="W132" s="35">
        <f t="shared" si="54"/>
        <v>2.4390243902439046E-2</v>
      </c>
      <c r="X132" s="35">
        <f t="shared" si="54"/>
        <v>0.1266375545851528</v>
      </c>
      <c r="Y132" s="35">
        <f t="shared" si="54"/>
        <v>2.4390243902439046E-2</v>
      </c>
      <c r="Z132" s="35">
        <f t="shared" si="54"/>
        <v>2.4390243902439046E-2</v>
      </c>
      <c r="AA132" s="35">
        <f t="shared" si="54"/>
        <v>2.4390243902439046E-2</v>
      </c>
    </row>
    <row r="133" spans="2:27" x14ac:dyDescent="0.2">
      <c r="B133" s="2">
        <v>131</v>
      </c>
      <c r="C133" s="2" t="str">
        <f t="shared" si="45"/>
        <v>s</v>
      </c>
      <c r="D133" s="29" t="s">
        <v>1</v>
      </c>
      <c r="E133" s="29" t="s">
        <v>209</v>
      </c>
      <c r="F133" s="2" t="s">
        <v>214</v>
      </c>
      <c r="G133" s="2">
        <f t="shared" si="38"/>
        <v>3</v>
      </c>
      <c r="H133" s="2" t="str">
        <f t="shared" si="55"/>
        <v>火炎</v>
      </c>
      <c r="I133" s="38">
        <f t="shared" si="56"/>
        <v>0.08</v>
      </c>
      <c r="J133" s="33">
        <f t="shared" ref="J133:J142" si="60">INT((1+VLOOKUP($F133,role_property_weight,getpos(J$2),FALSE))*(1+VLOOKUP($F133,drop_property_weight,getpos(J$2),FALSE))*VLOOKUP($E133,role_grow,getpos(J$2),FALSE)*$G133*10*VLOOKUP($C133,drop_grow1,4,FALSE))</f>
        <v>33</v>
      </c>
      <c r="K133" s="33">
        <f t="shared" ref="K133:Q142" si="61">INT((1+VLOOKUP($F133,role_property_weight,getpos(K$2),FALSE))*(1+VLOOKUP($F133,drop_property_weight,getpos(K$2),FALSE))*VLOOKUP($E133,role_grow,getpos(K$2),FALSE)*$G133*10*VLOOKUP($C133,drop_grow1,5,FALSE))</f>
        <v>32</v>
      </c>
      <c r="L133" s="33">
        <f t="shared" si="61"/>
        <v>6</v>
      </c>
      <c r="M133" s="33">
        <f t="shared" si="61"/>
        <v>23</v>
      </c>
      <c r="N133" s="33">
        <f t="shared" si="61"/>
        <v>28</v>
      </c>
      <c r="O133" s="33">
        <f t="shared" si="61"/>
        <v>34</v>
      </c>
      <c r="P133" s="33">
        <f t="shared" si="61"/>
        <v>20</v>
      </c>
      <c r="Q133" s="33">
        <f t="shared" si="61"/>
        <v>20</v>
      </c>
      <c r="R133" s="35">
        <f t="shared" si="57"/>
        <v>0.04</v>
      </c>
      <c r="S133" s="35">
        <f t="shared" si="58"/>
        <v>0.04</v>
      </c>
      <c r="T133" s="35">
        <f t="shared" si="59"/>
        <v>2.5000000000000001E-2</v>
      </c>
      <c r="U133" s="35">
        <f t="shared" ref="U133:AA142" si="62">1-200/(200+ROUND((1+VLOOKUP($F133,role_property_weight,getpos(U$2),FALSE))*VLOOKUP($E133,role_grow,getpos(U$2),FALSE)*$G133*10*VLOOKUP($C133,drop_grow1,5,FALSE),0))</f>
        <v>3.3816425120772986E-2</v>
      </c>
      <c r="V133" s="35">
        <f t="shared" si="62"/>
        <v>3.3816425120772986E-2</v>
      </c>
      <c r="W133" s="35">
        <f t="shared" si="62"/>
        <v>3.3816425120772986E-2</v>
      </c>
      <c r="X133" s="35">
        <f t="shared" si="62"/>
        <v>0.17695473251028804</v>
      </c>
      <c r="Y133" s="35">
        <f t="shared" si="62"/>
        <v>3.3816425120772986E-2</v>
      </c>
      <c r="Z133" s="35">
        <f t="shared" si="62"/>
        <v>3.3816425120772986E-2</v>
      </c>
      <c r="AA133" s="35">
        <f t="shared" si="62"/>
        <v>3.3816425120772986E-2</v>
      </c>
    </row>
    <row r="134" spans="2:27" x14ac:dyDescent="0.2">
      <c r="B134" s="2">
        <v>132</v>
      </c>
      <c r="C134" s="2" t="str">
        <f t="shared" si="45"/>
        <v>s</v>
      </c>
      <c r="D134" s="29" t="s">
        <v>1</v>
      </c>
      <c r="E134" s="29" t="s">
        <v>209</v>
      </c>
      <c r="F134" s="2" t="s">
        <v>214</v>
      </c>
      <c r="G134" s="2">
        <f t="shared" si="38"/>
        <v>4</v>
      </c>
      <c r="H134" s="2" t="str">
        <f t="shared" si="55"/>
        <v>火炎</v>
      </c>
      <c r="I134" s="38">
        <f t="shared" si="56"/>
        <v>0.08</v>
      </c>
      <c r="J134" s="33">
        <f t="shared" si="60"/>
        <v>44</v>
      </c>
      <c r="K134" s="33">
        <f t="shared" si="61"/>
        <v>43</v>
      </c>
      <c r="L134" s="33">
        <f t="shared" si="61"/>
        <v>9</v>
      </c>
      <c r="M134" s="33">
        <f t="shared" si="61"/>
        <v>30</v>
      </c>
      <c r="N134" s="33">
        <f t="shared" si="61"/>
        <v>38</v>
      </c>
      <c r="O134" s="33">
        <f t="shared" si="61"/>
        <v>46</v>
      </c>
      <c r="P134" s="33">
        <f t="shared" si="61"/>
        <v>26</v>
      </c>
      <c r="Q134" s="33">
        <f t="shared" si="61"/>
        <v>26</v>
      </c>
      <c r="R134" s="35">
        <f t="shared" si="57"/>
        <v>5.2000000000000005E-2</v>
      </c>
      <c r="S134" s="35">
        <f t="shared" si="58"/>
        <v>5.2000000000000005E-2</v>
      </c>
      <c r="T134" s="35">
        <f t="shared" si="59"/>
        <v>3.2500000000000001E-2</v>
      </c>
      <c r="U134" s="35">
        <f t="shared" si="62"/>
        <v>4.7619047619047672E-2</v>
      </c>
      <c r="V134" s="35">
        <f t="shared" si="62"/>
        <v>4.7619047619047672E-2</v>
      </c>
      <c r="W134" s="35">
        <f t="shared" si="62"/>
        <v>4.7619047619047672E-2</v>
      </c>
      <c r="X134" s="35">
        <f t="shared" si="62"/>
        <v>0.22480620155038755</v>
      </c>
      <c r="Y134" s="35">
        <f t="shared" si="62"/>
        <v>4.7619047619047672E-2</v>
      </c>
      <c r="Z134" s="35">
        <f t="shared" si="62"/>
        <v>4.7619047619047672E-2</v>
      </c>
      <c r="AA134" s="35">
        <f t="shared" si="62"/>
        <v>4.7619047619047672E-2</v>
      </c>
    </row>
    <row r="135" spans="2:27" x14ac:dyDescent="0.2">
      <c r="B135" s="2">
        <v>133</v>
      </c>
      <c r="C135" s="2" t="str">
        <f t="shared" si="45"/>
        <v>s</v>
      </c>
      <c r="D135" s="29" t="s">
        <v>1</v>
      </c>
      <c r="E135" s="29" t="s">
        <v>209</v>
      </c>
      <c r="F135" s="2" t="s">
        <v>214</v>
      </c>
      <c r="G135" s="2">
        <f t="shared" si="38"/>
        <v>5</v>
      </c>
      <c r="H135" s="2" t="str">
        <f t="shared" si="55"/>
        <v>火炎</v>
      </c>
      <c r="I135" s="38">
        <f t="shared" si="56"/>
        <v>9.4285714285714292E-2</v>
      </c>
      <c r="J135" s="33">
        <f t="shared" si="60"/>
        <v>56</v>
      </c>
      <c r="K135" s="33">
        <f t="shared" si="61"/>
        <v>54</v>
      </c>
      <c r="L135" s="33">
        <f t="shared" si="61"/>
        <v>11</v>
      </c>
      <c r="M135" s="33">
        <f t="shared" si="61"/>
        <v>38</v>
      </c>
      <c r="N135" s="33">
        <f t="shared" si="61"/>
        <v>48</v>
      </c>
      <c r="O135" s="33">
        <f t="shared" si="61"/>
        <v>57</v>
      </c>
      <c r="P135" s="33">
        <f t="shared" si="61"/>
        <v>33</v>
      </c>
      <c r="Q135" s="33">
        <f t="shared" si="61"/>
        <v>33</v>
      </c>
      <c r="R135" s="35">
        <f t="shared" si="57"/>
        <v>6.6000000000000003E-2</v>
      </c>
      <c r="S135" s="35">
        <f t="shared" si="58"/>
        <v>6.6000000000000003E-2</v>
      </c>
      <c r="T135" s="35">
        <f t="shared" si="59"/>
        <v>4.1250000000000002E-2</v>
      </c>
      <c r="U135" s="35">
        <f t="shared" si="62"/>
        <v>5.6603773584905648E-2</v>
      </c>
      <c r="V135" s="35">
        <f t="shared" si="62"/>
        <v>5.6603773584905648E-2</v>
      </c>
      <c r="W135" s="35">
        <f t="shared" si="62"/>
        <v>5.6603773584905648E-2</v>
      </c>
      <c r="X135" s="35">
        <f t="shared" si="62"/>
        <v>0.26470588235294112</v>
      </c>
      <c r="Y135" s="35">
        <f t="shared" si="62"/>
        <v>5.6603773584905648E-2</v>
      </c>
      <c r="Z135" s="35">
        <f t="shared" si="62"/>
        <v>5.6603773584905648E-2</v>
      </c>
      <c r="AA135" s="35">
        <f t="shared" si="62"/>
        <v>5.6603773584905648E-2</v>
      </c>
    </row>
    <row r="136" spans="2:27" x14ac:dyDescent="0.2">
      <c r="B136" s="2">
        <v>134</v>
      </c>
      <c r="C136" s="2" t="str">
        <f t="shared" si="45"/>
        <v>s</v>
      </c>
      <c r="D136" s="29" t="s">
        <v>1</v>
      </c>
      <c r="E136" s="29" t="s">
        <v>209</v>
      </c>
      <c r="F136" s="2" t="s">
        <v>214</v>
      </c>
      <c r="G136" s="2">
        <f t="shared" si="38"/>
        <v>6</v>
      </c>
      <c r="H136" s="2" t="str">
        <f t="shared" si="55"/>
        <v>火炎</v>
      </c>
      <c r="I136" s="38">
        <f t="shared" si="56"/>
        <v>0.11342857142857143</v>
      </c>
      <c r="J136" s="33">
        <f t="shared" si="60"/>
        <v>67</v>
      </c>
      <c r="K136" s="33">
        <f t="shared" si="61"/>
        <v>65</v>
      </c>
      <c r="L136" s="33">
        <f t="shared" si="61"/>
        <v>13</v>
      </c>
      <c r="M136" s="33">
        <f t="shared" si="61"/>
        <v>46</v>
      </c>
      <c r="N136" s="33">
        <f t="shared" si="61"/>
        <v>57</v>
      </c>
      <c r="O136" s="33">
        <f t="shared" si="61"/>
        <v>69</v>
      </c>
      <c r="P136" s="33">
        <f t="shared" si="61"/>
        <v>40</v>
      </c>
      <c r="Q136" s="33">
        <f t="shared" si="61"/>
        <v>40</v>
      </c>
      <c r="R136" s="35">
        <f t="shared" si="57"/>
        <v>0.08</v>
      </c>
      <c r="S136" s="35">
        <f t="shared" si="58"/>
        <v>0.08</v>
      </c>
      <c r="T136" s="35">
        <f t="shared" si="59"/>
        <v>0.05</v>
      </c>
      <c r="U136" s="35">
        <f t="shared" si="62"/>
        <v>6.5420560747663559E-2</v>
      </c>
      <c r="V136" s="35">
        <f t="shared" si="62"/>
        <v>6.5420560747663559E-2</v>
      </c>
      <c r="W136" s="35">
        <f t="shared" si="62"/>
        <v>6.5420560747663559E-2</v>
      </c>
      <c r="X136" s="35">
        <f t="shared" si="62"/>
        <v>0.30069930069930073</v>
      </c>
      <c r="Y136" s="35">
        <f t="shared" si="62"/>
        <v>6.5420560747663559E-2</v>
      </c>
      <c r="Z136" s="35">
        <f t="shared" si="62"/>
        <v>6.5420560747663559E-2</v>
      </c>
      <c r="AA136" s="35">
        <f t="shared" si="62"/>
        <v>6.5420560747663559E-2</v>
      </c>
    </row>
    <row r="137" spans="2:27" x14ac:dyDescent="0.2">
      <c r="B137" s="2">
        <v>135</v>
      </c>
      <c r="C137" s="2" t="str">
        <f t="shared" si="45"/>
        <v>s</v>
      </c>
      <c r="D137" s="29" t="s">
        <v>1</v>
      </c>
      <c r="E137" s="29" t="s">
        <v>209</v>
      </c>
      <c r="F137" s="2" t="s">
        <v>214</v>
      </c>
      <c r="G137" s="2">
        <f t="shared" si="38"/>
        <v>7</v>
      </c>
      <c r="H137" s="2" t="str">
        <f t="shared" si="55"/>
        <v>火炎</v>
      </c>
      <c r="I137" s="38">
        <f t="shared" si="56"/>
        <v>0.13257142857142859</v>
      </c>
      <c r="J137" s="33">
        <f t="shared" si="60"/>
        <v>78</v>
      </c>
      <c r="K137" s="33">
        <f t="shared" si="61"/>
        <v>76</v>
      </c>
      <c r="L137" s="33">
        <f t="shared" si="61"/>
        <v>16</v>
      </c>
      <c r="M137" s="33">
        <f t="shared" si="61"/>
        <v>53</v>
      </c>
      <c r="N137" s="33">
        <f t="shared" si="61"/>
        <v>67</v>
      </c>
      <c r="O137" s="33">
        <f t="shared" si="61"/>
        <v>80</v>
      </c>
      <c r="P137" s="33">
        <f t="shared" si="61"/>
        <v>47</v>
      </c>
      <c r="Q137" s="33">
        <f t="shared" si="61"/>
        <v>47</v>
      </c>
      <c r="R137" s="35">
        <f t="shared" si="57"/>
        <v>9.4E-2</v>
      </c>
      <c r="S137" s="35">
        <f t="shared" si="58"/>
        <v>9.4E-2</v>
      </c>
      <c r="T137" s="35">
        <f t="shared" si="59"/>
        <v>5.8749999999999997E-2</v>
      </c>
      <c r="U137" s="35">
        <f t="shared" si="62"/>
        <v>7.8341013824884786E-2</v>
      </c>
      <c r="V137" s="35">
        <f t="shared" si="62"/>
        <v>7.8341013824884786E-2</v>
      </c>
      <c r="W137" s="35">
        <f t="shared" si="62"/>
        <v>7.8341013824884786E-2</v>
      </c>
      <c r="X137" s="35">
        <f t="shared" si="62"/>
        <v>0.33554817275747506</v>
      </c>
      <c r="Y137" s="35">
        <f t="shared" si="62"/>
        <v>7.8341013824884786E-2</v>
      </c>
      <c r="Z137" s="35">
        <f t="shared" si="62"/>
        <v>7.8341013824884786E-2</v>
      </c>
      <c r="AA137" s="35">
        <f t="shared" si="62"/>
        <v>7.8341013824884786E-2</v>
      </c>
    </row>
    <row r="138" spans="2:27" x14ac:dyDescent="0.2">
      <c r="B138" s="2">
        <v>136</v>
      </c>
      <c r="C138" s="2" t="str">
        <f t="shared" si="45"/>
        <v>s</v>
      </c>
      <c r="D138" s="29" t="s">
        <v>1</v>
      </c>
      <c r="E138" s="29" t="s">
        <v>209</v>
      </c>
      <c r="F138" s="2" t="s">
        <v>214</v>
      </c>
      <c r="G138" s="2">
        <f t="shared" si="38"/>
        <v>8</v>
      </c>
      <c r="H138" s="2" t="str">
        <f t="shared" si="55"/>
        <v>火炎</v>
      </c>
      <c r="I138" s="38">
        <f t="shared" si="56"/>
        <v>0.15114285714285713</v>
      </c>
      <c r="J138" s="33">
        <f t="shared" si="60"/>
        <v>89</v>
      </c>
      <c r="K138" s="33">
        <f t="shared" si="61"/>
        <v>87</v>
      </c>
      <c r="L138" s="33">
        <f t="shared" si="61"/>
        <v>18</v>
      </c>
      <c r="M138" s="33">
        <f t="shared" si="61"/>
        <v>61</v>
      </c>
      <c r="N138" s="33">
        <f t="shared" si="61"/>
        <v>76</v>
      </c>
      <c r="O138" s="33">
        <f t="shared" si="61"/>
        <v>92</v>
      </c>
      <c r="P138" s="33">
        <f t="shared" si="61"/>
        <v>53</v>
      </c>
      <c r="Q138" s="33">
        <f t="shared" si="61"/>
        <v>53</v>
      </c>
      <c r="R138" s="35">
        <f t="shared" si="57"/>
        <v>0.106</v>
      </c>
      <c r="S138" s="35">
        <f t="shared" si="58"/>
        <v>0.106</v>
      </c>
      <c r="T138" s="35">
        <f t="shared" si="59"/>
        <v>6.6250000000000003E-2</v>
      </c>
      <c r="U138" s="35">
        <f t="shared" si="62"/>
        <v>8.6757990867579959E-2</v>
      </c>
      <c r="V138" s="35">
        <f t="shared" si="62"/>
        <v>8.6757990867579959E-2</v>
      </c>
      <c r="W138" s="35">
        <f t="shared" si="62"/>
        <v>8.6757990867579959E-2</v>
      </c>
      <c r="X138" s="35">
        <f t="shared" si="62"/>
        <v>0.36507936507936511</v>
      </c>
      <c r="Y138" s="35">
        <f t="shared" si="62"/>
        <v>8.6757990867579959E-2</v>
      </c>
      <c r="Z138" s="35">
        <f t="shared" si="62"/>
        <v>8.6757990867579959E-2</v>
      </c>
      <c r="AA138" s="35">
        <f t="shared" si="62"/>
        <v>8.6757990867579959E-2</v>
      </c>
    </row>
    <row r="139" spans="2:27" x14ac:dyDescent="0.2">
      <c r="B139" s="2">
        <v>137</v>
      </c>
      <c r="C139" s="2" t="str">
        <f t="shared" si="45"/>
        <v>a</v>
      </c>
      <c r="D139" s="29" t="s">
        <v>1</v>
      </c>
      <c r="E139" s="29" t="s">
        <v>209</v>
      </c>
      <c r="F139" s="2" t="s">
        <v>214</v>
      </c>
      <c r="G139" s="2">
        <f t="shared" si="38"/>
        <v>1</v>
      </c>
      <c r="H139" s="2" t="str">
        <f t="shared" si="55"/>
        <v>火炎</v>
      </c>
      <c r="I139" s="38">
        <f t="shared" si="56"/>
        <v>0.08</v>
      </c>
      <c r="J139" s="33">
        <f t="shared" si="60"/>
        <v>8</v>
      </c>
      <c r="K139" s="33">
        <f t="shared" si="61"/>
        <v>12</v>
      </c>
      <c r="L139" s="33">
        <f t="shared" si="61"/>
        <v>2</v>
      </c>
      <c r="M139" s="33">
        <f t="shared" si="61"/>
        <v>8</v>
      </c>
      <c r="N139" s="33">
        <f t="shared" si="61"/>
        <v>10</v>
      </c>
      <c r="O139" s="33">
        <f t="shared" si="61"/>
        <v>12</v>
      </c>
      <c r="P139" s="33">
        <f t="shared" si="61"/>
        <v>7</v>
      </c>
      <c r="Q139" s="33">
        <f t="shared" si="61"/>
        <v>7</v>
      </c>
      <c r="R139" s="35">
        <f t="shared" si="57"/>
        <v>1.3999999999999999E-2</v>
      </c>
      <c r="S139" s="35">
        <f t="shared" si="58"/>
        <v>1.3999999999999999E-2</v>
      </c>
      <c r="T139" s="35">
        <f t="shared" si="59"/>
        <v>8.7500000000000008E-3</v>
      </c>
      <c r="U139" s="35">
        <f t="shared" si="62"/>
        <v>1.4778325123152691E-2</v>
      </c>
      <c r="V139" s="35">
        <f t="shared" si="62"/>
        <v>1.4778325123152691E-2</v>
      </c>
      <c r="W139" s="35">
        <f t="shared" si="62"/>
        <v>1.4778325123152691E-2</v>
      </c>
      <c r="X139" s="35">
        <f t="shared" si="62"/>
        <v>7.407407407407407E-2</v>
      </c>
      <c r="Y139" s="35">
        <f t="shared" si="62"/>
        <v>1.4778325123152691E-2</v>
      </c>
      <c r="Z139" s="35">
        <f t="shared" si="62"/>
        <v>1.4778325123152691E-2</v>
      </c>
      <c r="AA139" s="35">
        <f t="shared" si="62"/>
        <v>1.4778325123152691E-2</v>
      </c>
    </row>
    <row r="140" spans="2:27" x14ac:dyDescent="0.2">
      <c r="B140" s="2">
        <v>138</v>
      </c>
      <c r="C140" s="2" t="str">
        <f t="shared" si="45"/>
        <v>a</v>
      </c>
      <c r="D140" s="29" t="s">
        <v>1</v>
      </c>
      <c r="E140" s="29" t="s">
        <v>209</v>
      </c>
      <c r="F140" s="2" t="s">
        <v>214</v>
      </c>
      <c r="G140" s="2">
        <f t="shared" ref="G140:G203" si="63">G132</f>
        <v>2</v>
      </c>
      <c r="H140" s="2" t="str">
        <f t="shared" si="55"/>
        <v>火炎</v>
      </c>
      <c r="I140" s="38">
        <f t="shared" si="56"/>
        <v>0.08</v>
      </c>
      <c r="J140" s="33">
        <f t="shared" si="60"/>
        <v>16</v>
      </c>
      <c r="K140" s="33">
        <f t="shared" si="61"/>
        <v>24</v>
      </c>
      <c r="L140" s="33">
        <f t="shared" si="61"/>
        <v>5</v>
      </c>
      <c r="M140" s="33">
        <f t="shared" si="61"/>
        <v>17</v>
      </c>
      <c r="N140" s="33">
        <f t="shared" si="61"/>
        <v>21</v>
      </c>
      <c r="O140" s="33">
        <f t="shared" si="61"/>
        <v>25</v>
      </c>
      <c r="P140" s="33">
        <f t="shared" si="61"/>
        <v>14</v>
      </c>
      <c r="Q140" s="33">
        <f t="shared" si="61"/>
        <v>14</v>
      </c>
      <c r="R140" s="35">
        <f t="shared" si="57"/>
        <v>2.7999999999999997E-2</v>
      </c>
      <c r="S140" s="35">
        <f t="shared" si="58"/>
        <v>2.7999999999999997E-2</v>
      </c>
      <c r="T140" s="35">
        <f t="shared" si="59"/>
        <v>1.7500000000000002E-2</v>
      </c>
      <c r="U140" s="35">
        <f t="shared" si="62"/>
        <v>2.4390243902439046E-2</v>
      </c>
      <c r="V140" s="35">
        <f t="shared" si="62"/>
        <v>2.4390243902439046E-2</v>
      </c>
      <c r="W140" s="35">
        <f t="shared" si="62"/>
        <v>2.4390243902439046E-2</v>
      </c>
      <c r="X140" s="35">
        <f t="shared" si="62"/>
        <v>0.13793103448275867</v>
      </c>
      <c r="Y140" s="35">
        <f t="shared" si="62"/>
        <v>2.4390243902439046E-2</v>
      </c>
      <c r="Z140" s="35">
        <f t="shared" si="62"/>
        <v>2.4390243902439046E-2</v>
      </c>
      <c r="AA140" s="35">
        <f t="shared" si="62"/>
        <v>2.4390243902439046E-2</v>
      </c>
    </row>
    <row r="141" spans="2:27" x14ac:dyDescent="0.2">
      <c r="B141" s="2">
        <v>139</v>
      </c>
      <c r="C141" s="2" t="str">
        <f t="shared" si="45"/>
        <v>a</v>
      </c>
      <c r="D141" s="29" t="s">
        <v>1</v>
      </c>
      <c r="E141" s="29" t="s">
        <v>209</v>
      </c>
      <c r="F141" s="2" t="s">
        <v>214</v>
      </c>
      <c r="G141" s="2">
        <f t="shared" si="63"/>
        <v>3</v>
      </c>
      <c r="H141" s="2" t="str">
        <f t="shared" si="55"/>
        <v>火炎</v>
      </c>
      <c r="I141" s="38">
        <f t="shared" si="56"/>
        <v>0.08</v>
      </c>
      <c r="J141" s="33">
        <f t="shared" si="60"/>
        <v>25</v>
      </c>
      <c r="K141" s="33">
        <f t="shared" si="61"/>
        <v>36</v>
      </c>
      <c r="L141" s="33">
        <f t="shared" si="61"/>
        <v>7</v>
      </c>
      <c r="M141" s="33">
        <f t="shared" si="61"/>
        <v>25</v>
      </c>
      <c r="N141" s="33">
        <f t="shared" si="61"/>
        <v>32</v>
      </c>
      <c r="O141" s="33">
        <f t="shared" si="61"/>
        <v>38</v>
      </c>
      <c r="P141" s="33">
        <f t="shared" si="61"/>
        <v>22</v>
      </c>
      <c r="Q141" s="33">
        <f t="shared" si="61"/>
        <v>22</v>
      </c>
      <c r="R141" s="35">
        <f t="shared" si="57"/>
        <v>4.4000000000000004E-2</v>
      </c>
      <c r="S141" s="35">
        <f t="shared" si="58"/>
        <v>4.4000000000000004E-2</v>
      </c>
      <c r="T141" s="35">
        <f t="shared" si="59"/>
        <v>2.75E-2</v>
      </c>
      <c r="U141" s="35">
        <f t="shared" si="62"/>
        <v>3.8461538461538436E-2</v>
      </c>
      <c r="V141" s="35">
        <f t="shared" si="62"/>
        <v>3.8461538461538436E-2</v>
      </c>
      <c r="W141" s="35">
        <f t="shared" si="62"/>
        <v>3.8461538461538436E-2</v>
      </c>
      <c r="X141" s="35">
        <f t="shared" si="62"/>
        <v>0.19354838709677424</v>
      </c>
      <c r="Y141" s="35">
        <f t="shared" si="62"/>
        <v>3.8461538461538436E-2</v>
      </c>
      <c r="Z141" s="35">
        <f t="shared" si="62"/>
        <v>3.8461538461538436E-2</v>
      </c>
      <c r="AA141" s="35">
        <f t="shared" si="62"/>
        <v>3.8461538461538436E-2</v>
      </c>
    </row>
    <row r="142" spans="2:27" x14ac:dyDescent="0.2">
      <c r="B142" s="2">
        <v>140</v>
      </c>
      <c r="C142" s="2" t="str">
        <f t="shared" si="45"/>
        <v>a</v>
      </c>
      <c r="D142" s="29" t="s">
        <v>1</v>
      </c>
      <c r="E142" s="29" t="s">
        <v>209</v>
      </c>
      <c r="F142" s="2" t="s">
        <v>214</v>
      </c>
      <c r="G142" s="2">
        <f t="shared" si="63"/>
        <v>4</v>
      </c>
      <c r="H142" s="2" t="str">
        <f t="shared" si="55"/>
        <v>火炎</v>
      </c>
      <c r="I142" s="38">
        <f t="shared" si="56"/>
        <v>0.08</v>
      </c>
      <c r="J142" s="33">
        <f t="shared" si="60"/>
        <v>33</v>
      </c>
      <c r="K142" s="33">
        <f t="shared" si="61"/>
        <v>48</v>
      </c>
      <c r="L142" s="33">
        <f t="shared" si="61"/>
        <v>10</v>
      </c>
      <c r="M142" s="33">
        <f t="shared" si="61"/>
        <v>34</v>
      </c>
      <c r="N142" s="33">
        <f t="shared" si="61"/>
        <v>42</v>
      </c>
      <c r="O142" s="33">
        <f t="shared" si="61"/>
        <v>51</v>
      </c>
      <c r="P142" s="33">
        <f t="shared" si="61"/>
        <v>29</v>
      </c>
      <c r="Q142" s="33">
        <f t="shared" si="61"/>
        <v>29</v>
      </c>
      <c r="R142" s="35">
        <f t="shared" si="57"/>
        <v>5.7999999999999996E-2</v>
      </c>
      <c r="S142" s="35">
        <f t="shared" si="58"/>
        <v>5.7999999999999996E-2</v>
      </c>
      <c r="T142" s="35">
        <f t="shared" si="59"/>
        <v>3.6249999999999998E-2</v>
      </c>
      <c r="U142" s="35">
        <f t="shared" si="62"/>
        <v>5.2132701421800931E-2</v>
      </c>
      <c r="V142" s="35">
        <f t="shared" si="62"/>
        <v>5.2132701421800931E-2</v>
      </c>
      <c r="W142" s="35">
        <f t="shared" si="62"/>
        <v>5.2132701421800931E-2</v>
      </c>
      <c r="X142" s="35">
        <f t="shared" si="62"/>
        <v>0.24242424242424243</v>
      </c>
      <c r="Y142" s="35">
        <f t="shared" si="62"/>
        <v>5.2132701421800931E-2</v>
      </c>
      <c r="Z142" s="35">
        <f t="shared" si="62"/>
        <v>5.2132701421800931E-2</v>
      </c>
      <c r="AA142" s="35">
        <f t="shared" si="62"/>
        <v>5.2132701421800931E-2</v>
      </c>
    </row>
    <row r="143" spans="2:27" x14ac:dyDescent="0.2">
      <c r="B143" s="2">
        <v>141</v>
      </c>
      <c r="C143" s="2" t="str">
        <f t="shared" si="45"/>
        <v>a</v>
      </c>
      <c r="D143" s="29" t="s">
        <v>1</v>
      </c>
      <c r="E143" s="29" t="s">
        <v>209</v>
      </c>
      <c r="F143" s="2" t="s">
        <v>214</v>
      </c>
      <c r="G143" s="2">
        <f t="shared" si="63"/>
        <v>5</v>
      </c>
      <c r="H143" s="2" t="str">
        <f t="shared" si="55"/>
        <v>火炎</v>
      </c>
      <c r="I143" s="38">
        <f t="shared" si="56"/>
        <v>9.9142857142857144E-2</v>
      </c>
      <c r="J143" s="33">
        <f t="shared" ref="J143:J152" si="64">INT((1+VLOOKUP($F143,role_property_weight,getpos(J$2),FALSE))*(1+VLOOKUP($F143,drop_property_weight,getpos(J$2),FALSE))*VLOOKUP($E143,role_grow,getpos(J$2),FALSE)*$G143*10*VLOOKUP($C143,drop_grow1,4,FALSE))</f>
        <v>42</v>
      </c>
      <c r="K143" s="33">
        <f t="shared" ref="K143:Q152" si="65">INT((1+VLOOKUP($F143,role_property_weight,getpos(K$2),FALSE))*(1+VLOOKUP($F143,drop_property_weight,getpos(K$2),FALSE))*VLOOKUP($E143,role_grow,getpos(K$2),FALSE)*$G143*10*VLOOKUP($C143,drop_grow1,5,FALSE))</f>
        <v>60</v>
      </c>
      <c r="L143" s="33">
        <f t="shared" si="65"/>
        <v>12</v>
      </c>
      <c r="M143" s="33">
        <f t="shared" si="65"/>
        <v>42</v>
      </c>
      <c r="N143" s="33">
        <f t="shared" si="65"/>
        <v>53</v>
      </c>
      <c r="O143" s="33">
        <f t="shared" si="65"/>
        <v>64</v>
      </c>
      <c r="P143" s="33">
        <f t="shared" si="65"/>
        <v>37</v>
      </c>
      <c r="Q143" s="33">
        <f t="shared" si="65"/>
        <v>37</v>
      </c>
      <c r="R143" s="35">
        <f t="shared" si="57"/>
        <v>7.400000000000001E-2</v>
      </c>
      <c r="S143" s="35">
        <f t="shared" si="58"/>
        <v>7.400000000000001E-2</v>
      </c>
      <c r="T143" s="35">
        <f t="shared" si="59"/>
        <v>4.6249999999999999E-2</v>
      </c>
      <c r="U143" s="35">
        <f t="shared" ref="U143:AA152" si="66">1-200/(200+ROUND((1+VLOOKUP($F143,role_property_weight,getpos(U$2),FALSE))*VLOOKUP($E143,role_grow,getpos(U$2),FALSE)*$G143*10*VLOOKUP($C143,drop_grow1,5,FALSE),0))</f>
        <v>6.1032863849765251E-2</v>
      </c>
      <c r="V143" s="35">
        <f t="shared" si="66"/>
        <v>6.1032863849765251E-2</v>
      </c>
      <c r="W143" s="35">
        <f t="shared" si="66"/>
        <v>6.1032863849765251E-2</v>
      </c>
      <c r="X143" s="35">
        <f t="shared" si="66"/>
        <v>0.2857142857142857</v>
      </c>
      <c r="Y143" s="35">
        <f t="shared" si="66"/>
        <v>6.1032863849765251E-2</v>
      </c>
      <c r="Z143" s="35">
        <f t="shared" si="66"/>
        <v>6.1032863849765251E-2</v>
      </c>
      <c r="AA143" s="35">
        <f t="shared" si="66"/>
        <v>6.1032863849765251E-2</v>
      </c>
    </row>
    <row r="144" spans="2:27" x14ac:dyDescent="0.2">
      <c r="B144" s="2">
        <v>142</v>
      </c>
      <c r="C144" s="2" t="str">
        <f t="shared" si="45"/>
        <v>a</v>
      </c>
      <c r="D144" s="29" t="s">
        <v>1</v>
      </c>
      <c r="E144" s="29" t="s">
        <v>209</v>
      </c>
      <c r="F144" s="2" t="s">
        <v>214</v>
      </c>
      <c r="G144" s="2">
        <f t="shared" si="63"/>
        <v>6</v>
      </c>
      <c r="H144" s="2" t="str">
        <f t="shared" si="55"/>
        <v>火炎</v>
      </c>
      <c r="I144" s="38">
        <f t="shared" si="56"/>
        <v>0.11885714285714286</v>
      </c>
      <c r="J144" s="33">
        <f t="shared" si="64"/>
        <v>50</v>
      </c>
      <c r="K144" s="33">
        <f t="shared" si="65"/>
        <v>72</v>
      </c>
      <c r="L144" s="33">
        <f t="shared" si="65"/>
        <v>15</v>
      </c>
      <c r="M144" s="33">
        <f t="shared" si="65"/>
        <v>51</v>
      </c>
      <c r="N144" s="33">
        <f t="shared" si="65"/>
        <v>64</v>
      </c>
      <c r="O144" s="33">
        <f t="shared" si="65"/>
        <v>76</v>
      </c>
      <c r="P144" s="33">
        <f t="shared" si="65"/>
        <v>44</v>
      </c>
      <c r="Q144" s="33">
        <f t="shared" si="65"/>
        <v>44</v>
      </c>
      <c r="R144" s="35">
        <f t="shared" si="57"/>
        <v>8.8000000000000009E-2</v>
      </c>
      <c r="S144" s="35">
        <f t="shared" si="58"/>
        <v>8.8000000000000009E-2</v>
      </c>
      <c r="T144" s="35">
        <f t="shared" si="59"/>
        <v>5.5E-2</v>
      </c>
      <c r="U144" s="35">
        <f t="shared" si="66"/>
        <v>7.407407407407407E-2</v>
      </c>
      <c r="V144" s="35">
        <f t="shared" si="66"/>
        <v>7.407407407407407E-2</v>
      </c>
      <c r="W144" s="35">
        <f t="shared" si="66"/>
        <v>7.407407407407407E-2</v>
      </c>
      <c r="X144" s="35">
        <f t="shared" si="66"/>
        <v>0.32432432432432434</v>
      </c>
      <c r="Y144" s="35">
        <f t="shared" si="66"/>
        <v>7.407407407407407E-2</v>
      </c>
      <c r="Z144" s="35">
        <f t="shared" si="66"/>
        <v>7.407407407407407E-2</v>
      </c>
      <c r="AA144" s="35">
        <f t="shared" si="66"/>
        <v>7.407407407407407E-2</v>
      </c>
    </row>
    <row r="145" spans="2:27" x14ac:dyDescent="0.2">
      <c r="B145" s="2">
        <v>143</v>
      </c>
      <c r="C145" s="2" t="str">
        <f t="shared" si="45"/>
        <v>a</v>
      </c>
      <c r="D145" s="29" t="s">
        <v>1</v>
      </c>
      <c r="E145" s="29" t="s">
        <v>209</v>
      </c>
      <c r="F145" s="2" t="s">
        <v>214</v>
      </c>
      <c r="G145" s="2">
        <f t="shared" si="63"/>
        <v>7</v>
      </c>
      <c r="H145" s="2" t="str">
        <f t="shared" si="55"/>
        <v>火炎</v>
      </c>
      <c r="I145" s="38">
        <f t="shared" si="56"/>
        <v>0.13857142857142857</v>
      </c>
      <c r="J145" s="33">
        <f t="shared" si="64"/>
        <v>58</v>
      </c>
      <c r="K145" s="33">
        <f t="shared" si="65"/>
        <v>84</v>
      </c>
      <c r="L145" s="33">
        <f t="shared" si="65"/>
        <v>17</v>
      </c>
      <c r="M145" s="33">
        <f t="shared" si="65"/>
        <v>59</v>
      </c>
      <c r="N145" s="33">
        <f t="shared" si="65"/>
        <v>74</v>
      </c>
      <c r="O145" s="33">
        <f t="shared" si="65"/>
        <v>89</v>
      </c>
      <c r="P145" s="33">
        <f t="shared" si="65"/>
        <v>52</v>
      </c>
      <c r="Q145" s="33">
        <f t="shared" si="65"/>
        <v>52</v>
      </c>
      <c r="R145" s="35">
        <f t="shared" si="57"/>
        <v>0.10400000000000001</v>
      </c>
      <c r="S145" s="35">
        <f t="shared" si="58"/>
        <v>0.10400000000000001</v>
      </c>
      <c r="T145" s="35">
        <f t="shared" si="59"/>
        <v>6.5000000000000002E-2</v>
      </c>
      <c r="U145" s="35">
        <f t="shared" si="66"/>
        <v>8.6757990867579959E-2</v>
      </c>
      <c r="V145" s="35">
        <f t="shared" si="66"/>
        <v>8.6757990867579959E-2</v>
      </c>
      <c r="W145" s="35">
        <f t="shared" si="66"/>
        <v>8.6757990867579959E-2</v>
      </c>
      <c r="X145" s="35">
        <f t="shared" si="66"/>
        <v>0.35897435897435892</v>
      </c>
      <c r="Y145" s="35">
        <f t="shared" si="66"/>
        <v>8.6757990867579959E-2</v>
      </c>
      <c r="Z145" s="35">
        <f t="shared" si="66"/>
        <v>8.6757990867579959E-2</v>
      </c>
      <c r="AA145" s="35">
        <f t="shared" si="66"/>
        <v>8.6757990867579959E-2</v>
      </c>
    </row>
    <row r="146" spans="2:27" x14ac:dyDescent="0.2">
      <c r="B146" s="2">
        <v>144</v>
      </c>
      <c r="C146" s="2" t="str">
        <f t="shared" si="45"/>
        <v>a</v>
      </c>
      <c r="D146" s="29" t="s">
        <v>1</v>
      </c>
      <c r="E146" s="29" t="s">
        <v>209</v>
      </c>
      <c r="F146" s="2" t="s">
        <v>214</v>
      </c>
      <c r="G146" s="2">
        <f t="shared" si="63"/>
        <v>8</v>
      </c>
      <c r="H146" s="2" t="str">
        <f t="shared" si="55"/>
        <v>火炎</v>
      </c>
      <c r="I146" s="38">
        <f t="shared" si="56"/>
        <v>0.15914285714285714</v>
      </c>
      <c r="J146" s="33">
        <f t="shared" si="64"/>
        <v>67</v>
      </c>
      <c r="K146" s="33">
        <f t="shared" si="65"/>
        <v>97</v>
      </c>
      <c r="L146" s="33">
        <f t="shared" si="65"/>
        <v>20</v>
      </c>
      <c r="M146" s="33">
        <f t="shared" si="65"/>
        <v>68</v>
      </c>
      <c r="N146" s="33">
        <f t="shared" si="65"/>
        <v>85</v>
      </c>
      <c r="O146" s="33">
        <f t="shared" si="65"/>
        <v>102</v>
      </c>
      <c r="P146" s="33">
        <f t="shared" si="65"/>
        <v>59</v>
      </c>
      <c r="Q146" s="33">
        <f t="shared" si="65"/>
        <v>59</v>
      </c>
      <c r="R146" s="35">
        <f t="shared" si="57"/>
        <v>0.11800000000000001</v>
      </c>
      <c r="S146" s="35">
        <f t="shared" si="58"/>
        <v>0.11800000000000001</v>
      </c>
      <c r="T146" s="35">
        <f t="shared" si="59"/>
        <v>7.3749999999999996E-2</v>
      </c>
      <c r="U146" s="35">
        <f t="shared" si="66"/>
        <v>9.5022624434389136E-2</v>
      </c>
      <c r="V146" s="35">
        <f t="shared" si="66"/>
        <v>9.5022624434389136E-2</v>
      </c>
      <c r="W146" s="35">
        <f t="shared" si="66"/>
        <v>9.5022624434389136E-2</v>
      </c>
      <c r="X146" s="35">
        <f t="shared" si="66"/>
        <v>0.3902439024390244</v>
      </c>
      <c r="Y146" s="35">
        <f t="shared" si="66"/>
        <v>9.5022624434389136E-2</v>
      </c>
      <c r="Z146" s="35">
        <f t="shared" si="66"/>
        <v>9.5022624434389136E-2</v>
      </c>
      <c r="AA146" s="35">
        <f t="shared" si="66"/>
        <v>9.5022624434389136E-2</v>
      </c>
    </row>
    <row r="147" spans="2:27" x14ac:dyDescent="0.2">
      <c r="B147" s="2">
        <v>145</v>
      </c>
      <c r="C147" s="2" t="str">
        <f t="shared" si="45"/>
        <v>b</v>
      </c>
      <c r="D147" s="29" t="s">
        <v>1</v>
      </c>
      <c r="E147" s="29" t="s">
        <v>209</v>
      </c>
      <c r="F147" s="2" t="s">
        <v>214</v>
      </c>
      <c r="G147" s="2">
        <f t="shared" si="63"/>
        <v>1</v>
      </c>
      <c r="H147" s="2" t="str">
        <f t="shared" si="55"/>
        <v>火炎</v>
      </c>
      <c r="I147" s="38">
        <f t="shared" si="56"/>
        <v>0.08</v>
      </c>
      <c r="J147" s="33">
        <f t="shared" si="64"/>
        <v>9</v>
      </c>
      <c r="K147" s="33">
        <f t="shared" si="65"/>
        <v>18</v>
      </c>
      <c r="L147" s="33">
        <f t="shared" si="65"/>
        <v>3</v>
      </c>
      <c r="M147" s="33">
        <f t="shared" si="65"/>
        <v>12</v>
      </c>
      <c r="N147" s="33">
        <f t="shared" si="65"/>
        <v>16</v>
      </c>
      <c r="O147" s="33">
        <f t="shared" si="65"/>
        <v>19</v>
      </c>
      <c r="P147" s="33">
        <f t="shared" si="65"/>
        <v>11</v>
      </c>
      <c r="Q147" s="33">
        <f t="shared" si="65"/>
        <v>11</v>
      </c>
      <c r="R147" s="35">
        <f t="shared" si="57"/>
        <v>2.2000000000000002E-2</v>
      </c>
      <c r="S147" s="35">
        <f t="shared" si="58"/>
        <v>2.2000000000000002E-2</v>
      </c>
      <c r="T147" s="35">
        <f t="shared" si="59"/>
        <v>1.375E-2</v>
      </c>
      <c r="U147" s="35">
        <f t="shared" si="66"/>
        <v>1.9607843137254943E-2</v>
      </c>
      <c r="V147" s="35">
        <f t="shared" si="66"/>
        <v>1.9607843137254943E-2</v>
      </c>
      <c r="W147" s="35">
        <f t="shared" si="66"/>
        <v>1.9607843137254943E-2</v>
      </c>
      <c r="X147" s="35">
        <f t="shared" si="66"/>
        <v>0.1071428571428571</v>
      </c>
      <c r="Y147" s="35">
        <f t="shared" si="66"/>
        <v>1.9607843137254943E-2</v>
      </c>
      <c r="Z147" s="35">
        <f t="shared" si="66"/>
        <v>1.9607843137254943E-2</v>
      </c>
      <c r="AA147" s="35">
        <f t="shared" si="66"/>
        <v>1.9607843137254943E-2</v>
      </c>
    </row>
    <row r="148" spans="2:27" x14ac:dyDescent="0.2">
      <c r="B148" s="2">
        <v>146</v>
      </c>
      <c r="C148" s="2" t="str">
        <f t="shared" si="45"/>
        <v>b</v>
      </c>
      <c r="D148" s="29" t="s">
        <v>1</v>
      </c>
      <c r="E148" s="29" t="s">
        <v>209</v>
      </c>
      <c r="F148" s="2" t="s">
        <v>214</v>
      </c>
      <c r="G148" s="2">
        <f t="shared" si="63"/>
        <v>2</v>
      </c>
      <c r="H148" s="2" t="str">
        <f t="shared" si="55"/>
        <v>火炎</v>
      </c>
      <c r="I148" s="38">
        <f t="shared" si="56"/>
        <v>0.08</v>
      </c>
      <c r="J148" s="33">
        <f t="shared" si="64"/>
        <v>19</v>
      </c>
      <c r="K148" s="33">
        <f t="shared" si="65"/>
        <v>36</v>
      </c>
      <c r="L148" s="33">
        <f t="shared" si="65"/>
        <v>7</v>
      </c>
      <c r="M148" s="33">
        <f t="shared" si="65"/>
        <v>25</v>
      </c>
      <c r="N148" s="33">
        <f t="shared" si="65"/>
        <v>32</v>
      </c>
      <c r="O148" s="33">
        <f t="shared" si="65"/>
        <v>38</v>
      </c>
      <c r="P148" s="33">
        <f t="shared" si="65"/>
        <v>22</v>
      </c>
      <c r="Q148" s="33">
        <f t="shared" si="65"/>
        <v>22</v>
      </c>
      <c r="R148" s="35">
        <f t="shared" si="57"/>
        <v>4.4000000000000004E-2</v>
      </c>
      <c r="S148" s="35">
        <f t="shared" si="58"/>
        <v>4.4000000000000004E-2</v>
      </c>
      <c r="T148" s="35">
        <f t="shared" si="59"/>
        <v>2.75E-2</v>
      </c>
      <c r="U148" s="35">
        <f t="shared" si="66"/>
        <v>3.8461538461538436E-2</v>
      </c>
      <c r="V148" s="35">
        <f t="shared" si="66"/>
        <v>3.8461538461538436E-2</v>
      </c>
      <c r="W148" s="35">
        <f t="shared" si="66"/>
        <v>3.8461538461538436E-2</v>
      </c>
      <c r="X148" s="35">
        <f t="shared" si="66"/>
        <v>0.19354838709677424</v>
      </c>
      <c r="Y148" s="35">
        <f t="shared" si="66"/>
        <v>3.8461538461538436E-2</v>
      </c>
      <c r="Z148" s="35">
        <f t="shared" si="66"/>
        <v>3.8461538461538436E-2</v>
      </c>
      <c r="AA148" s="35">
        <f t="shared" si="66"/>
        <v>3.8461538461538436E-2</v>
      </c>
    </row>
    <row r="149" spans="2:27" x14ac:dyDescent="0.2">
      <c r="B149" s="2">
        <v>147</v>
      </c>
      <c r="C149" s="2" t="str">
        <f t="shared" si="45"/>
        <v>b</v>
      </c>
      <c r="D149" s="29" t="s">
        <v>1</v>
      </c>
      <c r="E149" s="29" t="s">
        <v>209</v>
      </c>
      <c r="F149" s="2" t="s">
        <v>214</v>
      </c>
      <c r="G149" s="2">
        <f t="shared" si="63"/>
        <v>3</v>
      </c>
      <c r="H149" s="2" t="str">
        <f t="shared" si="55"/>
        <v>火炎</v>
      </c>
      <c r="I149" s="38">
        <f t="shared" si="56"/>
        <v>8.6571428571428563E-2</v>
      </c>
      <c r="J149" s="33">
        <f t="shared" si="64"/>
        <v>29</v>
      </c>
      <c r="K149" s="33">
        <f t="shared" si="65"/>
        <v>54</v>
      </c>
      <c r="L149" s="33">
        <f t="shared" si="65"/>
        <v>11</v>
      </c>
      <c r="M149" s="33">
        <f t="shared" si="65"/>
        <v>38</v>
      </c>
      <c r="N149" s="33">
        <f t="shared" si="65"/>
        <v>48</v>
      </c>
      <c r="O149" s="33">
        <f t="shared" si="65"/>
        <v>57</v>
      </c>
      <c r="P149" s="33">
        <f t="shared" si="65"/>
        <v>33</v>
      </c>
      <c r="Q149" s="33">
        <f t="shared" si="65"/>
        <v>33</v>
      </c>
      <c r="R149" s="35">
        <f t="shared" si="57"/>
        <v>6.6000000000000003E-2</v>
      </c>
      <c r="S149" s="35">
        <f t="shared" si="58"/>
        <v>6.6000000000000003E-2</v>
      </c>
      <c r="T149" s="35">
        <f t="shared" si="59"/>
        <v>4.1250000000000002E-2</v>
      </c>
      <c r="U149" s="35">
        <f t="shared" si="66"/>
        <v>5.6603773584905648E-2</v>
      </c>
      <c r="V149" s="35">
        <f t="shared" si="66"/>
        <v>5.6603773584905648E-2</v>
      </c>
      <c r="W149" s="35">
        <f t="shared" si="66"/>
        <v>5.6603773584905648E-2</v>
      </c>
      <c r="X149" s="35">
        <f t="shared" si="66"/>
        <v>0.26470588235294112</v>
      </c>
      <c r="Y149" s="35">
        <f t="shared" si="66"/>
        <v>5.6603773584905648E-2</v>
      </c>
      <c r="Z149" s="35">
        <f t="shared" si="66"/>
        <v>5.6603773584905648E-2</v>
      </c>
      <c r="AA149" s="35">
        <f t="shared" si="66"/>
        <v>5.6603773584905648E-2</v>
      </c>
    </row>
    <row r="150" spans="2:27" x14ac:dyDescent="0.2">
      <c r="B150" s="2">
        <v>148</v>
      </c>
      <c r="C150" s="2" t="str">
        <f t="shared" si="45"/>
        <v>b</v>
      </c>
      <c r="D150" s="29" t="s">
        <v>1</v>
      </c>
      <c r="E150" s="29" t="s">
        <v>209</v>
      </c>
      <c r="F150" s="2" t="s">
        <v>214</v>
      </c>
      <c r="G150" s="2">
        <f t="shared" si="63"/>
        <v>4</v>
      </c>
      <c r="H150" s="2" t="str">
        <f t="shared" si="55"/>
        <v>火炎</v>
      </c>
      <c r="I150" s="38">
        <f t="shared" si="56"/>
        <v>0.11571428571428571</v>
      </c>
      <c r="J150" s="33">
        <f t="shared" si="64"/>
        <v>39</v>
      </c>
      <c r="K150" s="33">
        <f t="shared" si="65"/>
        <v>72</v>
      </c>
      <c r="L150" s="33">
        <f t="shared" si="65"/>
        <v>15</v>
      </c>
      <c r="M150" s="33">
        <f t="shared" si="65"/>
        <v>51</v>
      </c>
      <c r="N150" s="33">
        <f t="shared" si="65"/>
        <v>64</v>
      </c>
      <c r="O150" s="33">
        <f t="shared" si="65"/>
        <v>76</v>
      </c>
      <c r="P150" s="33">
        <f t="shared" si="65"/>
        <v>44</v>
      </c>
      <c r="Q150" s="33">
        <f t="shared" si="65"/>
        <v>44</v>
      </c>
      <c r="R150" s="35">
        <f t="shared" si="57"/>
        <v>8.8000000000000009E-2</v>
      </c>
      <c r="S150" s="35">
        <f t="shared" si="58"/>
        <v>8.8000000000000009E-2</v>
      </c>
      <c r="T150" s="35">
        <f t="shared" si="59"/>
        <v>5.5E-2</v>
      </c>
      <c r="U150" s="35">
        <f t="shared" si="66"/>
        <v>7.407407407407407E-2</v>
      </c>
      <c r="V150" s="35">
        <f t="shared" si="66"/>
        <v>7.407407407407407E-2</v>
      </c>
      <c r="W150" s="35">
        <f t="shared" si="66"/>
        <v>7.407407407407407E-2</v>
      </c>
      <c r="X150" s="35">
        <f t="shared" si="66"/>
        <v>0.32432432432432434</v>
      </c>
      <c r="Y150" s="35">
        <f t="shared" si="66"/>
        <v>7.407407407407407E-2</v>
      </c>
      <c r="Z150" s="35">
        <f t="shared" si="66"/>
        <v>7.407407407407407E-2</v>
      </c>
      <c r="AA150" s="35">
        <f t="shared" si="66"/>
        <v>7.407407407407407E-2</v>
      </c>
    </row>
    <row r="151" spans="2:27" x14ac:dyDescent="0.2">
      <c r="B151" s="2">
        <v>149</v>
      </c>
      <c r="C151" s="2" t="str">
        <f t="shared" si="45"/>
        <v>b</v>
      </c>
      <c r="D151" s="29" t="s">
        <v>1</v>
      </c>
      <c r="E151" s="29" t="s">
        <v>209</v>
      </c>
      <c r="F151" s="2" t="s">
        <v>214</v>
      </c>
      <c r="G151" s="2">
        <f t="shared" si="63"/>
        <v>5</v>
      </c>
      <c r="H151" s="2" t="str">
        <f t="shared" si="55"/>
        <v>火炎</v>
      </c>
      <c r="I151" s="38">
        <f t="shared" si="56"/>
        <v>0.14599999999999999</v>
      </c>
      <c r="J151" s="33">
        <f t="shared" si="64"/>
        <v>49</v>
      </c>
      <c r="K151" s="33">
        <f t="shared" si="65"/>
        <v>91</v>
      </c>
      <c r="L151" s="33">
        <f t="shared" si="65"/>
        <v>19</v>
      </c>
      <c r="M151" s="33">
        <f t="shared" si="65"/>
        <v>64</v>
      </c>
      <c r="N151" s="33">
        <f t="shared" si="65"/>
        <v>80</v>
      </c>
      <c r="O151" s="33">
        <f t="shared" si="65"/>
        <v>96</v>
      </c>
      <c r="P151" s="33">
        <f t="shared" si="65"/>
        <v>56</v>
      </c>
      <c r="Q151" s="33">
        <f t="shared" si="65"/>
        <v>56</v>
      </c>
      <c r="R151" s="35">
        <f t="shared" si="57"/>
        <v>0.11199999999999999</v>
      </c>
      <c r="S151" s="35">
        <f t="shared" si="58"/>
        <v>0.11199999999999999</v>
      </c>
      <c r="T151" s="35">
        <f t="shared" si="59"/>
        <v>7.0000000000000007E-2</v>
      </c>
      <c r="U151" s="35">
        <f t="shared" si="66"/>
        <v>9.0909090909090939E-2</v>
      </c>
      <c r="V151" s="35">
        <f t="shared" si="66"/>
        <v>9.0909090909090939E-2</v>
      </c>
      <c r="W151" s="35">
        <f t="shared" si="66"/>
        <v>9.0909090909090939E-2</v>
      </c>
      <c r="X151" s="35">
        <f t="shared" si="66"/>
        <v>0.375</v>
      </c>
      <c r="Y151" s="35">
        <f t="shared" si="66"/>
        <v>9.0909090909090939E-2</v>
      </c>
      <c r="Z151" s="35">
        <f t="shared" si="66"/>
        <v>9.0909090909090939E-2</v>
      </c>
      <c r="AA151" s="35">
        <f t="shared" si="66"/>
        <v>9.0909090909090939E-2</v>
      </c>
    </row>
    <row r="152" spans="2:27" x14ac:dyDescent="0.2">
      <c r="B152" s="2">
        <v>150</v>
      </c>
      <c r="C152" s="2" t="str">
        <f t="shared" si="45"/>
        <v>b</v>
      </c>
      <c r="D152" s="29" t="s">
        <v>1</v>
      </c>
      <c r="E152" s="29" t="s">
        <v>209</v>
      </c>
      <c r="F152" s="2" t="s">
        <v>214</v>
      </c>
      <c r="G152" s="2">
        <f t="shared" si="63"/>
        <v>6</v>
      </c>
      <c r="H152" s="2" t="str">
        <f t="shared" si="55"/>
        <v>火炎</v>
      </c>
      <c r="I152" s="38">
        <f t="shared" si="56"/>
        <v>0.17457142857142854</v>
      </c>
      <c r="J152" s="33">
        <f t="shared" si="64"/>
        <v>58</v>
      </c>
      <c r="K152" s="33">
        <f t="shared" si="65"/>
        <v>109</v>
      </c>
      <c r="L152" s="33">
        <f t="shared" si="65"/>
        <v>23</v>
      </c>
      <c r="M152" s="33">
        <f t="shared" si="65"/>
        <v>76</v>
      </c>
      <c r="N152" s="33">
        <f t="shared" si="65"/>
        <v>96</v>
      </c>
      <c r="O152" s="33">
        <f t="shared" si="65"/>
        <v>115</v>
      </c>
      <c r="P152" s="33">
        <f t="shared" si="65"/>
        <v>67</v>
      </c>
      <c r="Q152" s="33">
        <f t="shared" si="65"/>
        <v>67</v>
      </c>
      <c r="R152" s="35">
        <f t="shared" si="57"/>
        <v>0.13400000000000001</v>
      </c>
      <c r="S152" s="35">
        <f t="shared" si="58"/>
        <v>0.13400000000000001</v>
      </c>
      <c r="T152" s="35">
        <f t="shared" si="59"/>
        <v>8.3750000000000005E-2</v>
      </c>
      <c r="U152" s="35">
        <f t="shared" si="66"/>
        <v>0.1071428571428571</v>
      </c>
      <c r="V152" s="35">
        <f t="shared" si="66"/>
        <v>0.1071428571428571</v>
      </c>
      <c r="W152" s="35">
        <f t="shared" si="66"/>
        <v>0.1071428571428571</v>
      </c>
      <c r="X152" s="35">
        <f t="shared" si="66"/>
        <v>0.41860465116279066</v>
      </c>
      <c r="Y152" s="35">
        <f t="shared" si="66"/>
        <v>0.1071428571428571</v>
      </c>
      <c r="Z152" s="35">
        <f t="shared" si="66"/>
        <v>0.1071428571428571</v>
      </c>
      <c r="AA152" s="35">
        <f t="shared" si="66"/>
        <v>0.1071428571428571</v>
      </c>
    </row>
    <row r="153" spans="2:27" x14ac:dyDescent="0.2">
      <c r="B153" s="2">
        <v>151</v>
      </c>
      <c r="C153" s="2" t="str">
        <f t="shared" si="45"/>
        <v>b</v>
      </c>
      <c r="D153" s="29" t="s">
        <v>1</v>
      </c>
      <c r="E153" s="29" t="s">
        <v>209</v>
      </c>
      <c r="F153" s="2" t="s">
        <v>214</v>
      </c>
      <c r="G153" s="2">
        <f t="shared" si="63"/>
        <v>7</v>
      </c>
      <c r="H153" s="2" t="str">
        <f t="shared" si="55"/>
        <v>火炎</v>
      </c>
      <c r="I153" s="38">
        <f t="shared" si="56"/>
        <v>0.2034285714285714</v>
      </c>
      <c r="J153" s="33">
        <f t="shared" ref="J153:J162" si="67">INT((1+VLOOKUP($F153,role_property_weight,getpos(J$2),FALSE))*(1+VLOOKUP($F153,drop_property_weight,getpos(J$2),FALSE))*VLOOKUP($E153,role_grow,getpos(J$2),FALSE)*$G153*10*VLOOKUP($C153,drop_grow1,4,FALSE))</f>
        <v>68</v>
      </c>
      <c r="K153" s="33">
        <f t="shared" ref="K153:Q162" si="68">INT((1+VLOOKUP($F153,role_property_weight,getpos(K$2),FALSE))*(1+VLOOKUP($F153,drop_property_weight,getpos(K$2),FALSE))*VLOOKUP($E153,role_grow,getpos(K$2),FALSE)*$G153*10*VLOOKUP($C153,drop_grow1,5,FALSE))</f>
        <v>127</v>
      </c>
      <c r="L153" s="33">
        <f t="shared" si="68"/>
        <v>26</v>
      </c>
      <c r="M153" s="33">
        <f t="shared" si="68"/>
        <v>89</v>
      </c>
      <c r="N153" s="33">
        <f t="shared" si="68"/>
        <v>112</v>
      </c>
      <c r="O153" s="33">
        <f t="shared" si="68"/>
        <v>134</v>
      </c>
      <c r="P153" s="33">
        <f t="shared" si="68"/>
        <v>78</v>
      </c>
      <c r="Q153" s="33">
        <f t="shared" si="68"/>
        <v>78</v>
      </c>
      <c r="R153" s="35">
        <f t="shared" si="57"/>
        <v>0.156</v>
      </c>
      <c r="S153" s="35">
        <f t="shared" si="58"/>
        <v>0.156</v>
      </c>
      <c r="T153" s="35">
        <f t="shared" si="59"/>
        <v>9.7500000000000003E-2</v>
      </c>
      <c r="U153" s="35">
        <f t="shared" ref="U153:AA162" si="69">1-200/(200+ROUND((1+VLOOKUP($F153,role_property_weight,getpos(U$2),FALSE))*VLOOKUP($E153,role_grow,getpos(U$2),FALSE)*$G153*10*VLOOKUP($C153,drop_grow1,5,FALSE),0))</f>
        <v>0.1228070175438597</v>
      </c>
      <c r="V153" s="35">
        <f t="shared" si="69"/>
        <v>0.1228070175438597</v>
      </c>
      <c r="W153" s="35">
        <f t="shared" si="69"/>
        <v>0.1228070175438597</v>
      </c>
      <c r="X153" s="35">
        <f t="shared" si="69"/>
        <v>0.45652173913043481</v>
      </c>
      <c r="Y153" s="35">
        <f t="shared" si="69"/>
        <v>0.1228070175438597</v>
      </c>
      <c r="Z153" s="35">
        <f t="shared" si="69"/>
        <v>0.1228070175438597</v>
      </c>
      <c r="AA153" s="35">
        <f t="shared" si="69"/>
        <v>0.1228070175438597</v>
      </c>
    </row>
    <row r="154" spans="2:27" x14ac:dyDescent="0.2">
      <c r="B154" s="2">
        <v>152</v>
      </c>
      <c r="C154" s="2" t="str">
        <f t="shared" si="45"/>
        <v>b</v>
      </c>
      <c r="D154" s="29" t="s">
        <v>1</v>
      </c>
      <c r="E154" s="29" t="s">
        <v>209</v>
      </c>
      <c r="F154" s="2" t="s">
        <v>214</v>
      </c>
      <c r="G154" s="2">
        <f t="shared" si="63"/>
        <v>8</v>
      </c>
      <c r="H154" s="2" t="str">
        <f t="shared" si="55"/>
        <v>火炎</v>
      </c>
      <c r="I154" s="38">
        <f t="shared" si="56"/>
        <v>0.23257142857142857</v>
      </c>
      <c r="J154" s="33">
        <f t="shared" si="67"/>
        <v>78</v>
      </c>
      <c r="K154" s="33">
        <f t="shared" si="68"/>
        <v>145</v>
      </c>
      <c r="L154" s="33">
        <f t="shared" si="68"/>
        <v>30</v>
      </c>
      <c r="M154" s="33">
        <f t="shared" si="68"/>
        <v>102</v>
      </c>
      <c r="N154" s="33">
        <f t="shared" si="68"/>
        <v>128</v>
      </c>
      <c r="O154" s="33">
        <f t="shared" si="68"/>
        <v>153</v>
      </c>
      <c r="P154" s="33">
        <f t="shared" si="68"/>
        <v>89</v>
      </c>
      <c r="Q154" s="33">
        <f t="shared" si="68"/>
        <v>89</v>
      </c>
      <c r="R154" s="35">
        <f t="shared" si="57"/>
        <v>0.17800000000000002</v>
      </c>
      <c r="S154" s="35">
        <f t="shared" si="58"/>
        <v>0.17800000000000002</v>
      </c>
      <c r="T154" s="35">
        <f t="shared" si="59"/>
        <v>0.11125</v>
      </c>
      <c r="U154" s="35">
        <f t="shared" si="69"/>
        <v>0.13793103448275867</v>
      </c>
      <c r="V154" s="35">
        <f t="shared" si="69"/>
        <v>0.13793103448275867</v>
      </c>
      <c r="W154" s="35">
        <f t="shared" si="69"/>
        <v>0.13793103448275867</v>
      </c>
      <c r="X154" s="35">
        <f t="shared" si="69"/>
        <v>0.48979591836734693</v>
      </c>
      <c r="Y154" s="35">
        <f t="shared" si="69"/>
        <v>0.13793103448275867</v>
      </c>
      <c r="Z154" s="35">
        <f t="shared" si="69"/>
        <v>0.13793103448275867</v>
      </c>
      <c r="AA154" s="35">
        <f t="shared" si="69"/>
        <v>0.13793103448275867</v>
      </c>
    </row>
    <row r="155" spans="2:27" x14ac:dyDescent="0.2">
      <c r="B155" s="2">
        <v>153</v>
      </c>
      <c r="C155" s="2" t="str">
        <f t="shared" si="45"/>
        <v>c</v>
      </c>
      <c r="D155" s="29" t="s">
        <v>1</v>
      </c>
      <c r="E155" s="29" t="s">
        <v>209</v>
      </c>
      <c r="F155" s="2" t="s">
        <v>214</v>
      </c>
      <c r="G155" s="2">
        <f t="shared" si="63"/>
        <v>1</v>
      </c>
      <c r="H155" s="2" t="str">
        <f t="shared" si="55"/>
        <v>--</v>
      </c>
      <c r="I155" s="38">
        <f t="shared" si="56"/>
        <v>0</v>
      </c>
      <c r="J155" s="33">
        <f t="shared" si="67"/>
        <v>13</v>
      </c>
      <c r="K155" s="33">
        <f t="shared" si="68"/>
        <v>0</v>
      </c>
      <c r="L155" s="33">
        <f t="shared" si="68"/>
        <v>0</v>
      </c>
      <c r="M155" s="33">
        <f t="shared" si="68"/>
        <v>0</v>
      </c>
      <c r="N155" s="33">
        <f t="shared" si="68"/>
        <v>0</v>
      </c>
      <c r="O155" s="33">
        <f t="shared" si="68"/>
        <v>0</v>
      </c>
      <c r="P155" s="33">
        <f t="shared" si="68"/>
        <v>0</v>
      </c>
      <c r="Q155" s="33">
        <f t="shared" si="68"/>
        <v>0</v>
      </c>
      <c r="R155" s="35">
        <f t="shared" si="57"/>
        <v>0</v>
      </c>
      <c r="S155" s="35">
        <f t="shared" si="58"/>
        <v>0</v>
      </c>
      <c r="T155" s="35">
        <f t="shared" si="59"/>
        <v>0</v>
      </c>
      <c r="U155" s="35">
        <f t="shared" si="69"/>
        <v>0</v>
      </c>
      <c r="V155" s="35">
        <f t="shared" si="69"/>
        <v>0</v>
      </c>
      <c r="W155" s="35">
        <f t="shared" si="69"/>
        <v>0</v>
      </c>
      <c r="X155" s="35">
        <f t="shared" si="69"/>
        <v>0</v>
      </c>
      <c r="Y155" s="35">
        <f t="shared" si="69"/>
        <v>0</v>
      </c>
      <c r="Z155" s="35">
        <f t="shared" si="69"/>
        <v>0</v>
      </c>
      <c r="AA155" s="35">
        <f t="shared" si="69"/>
        <v>0</v>
      </c>
    </row>
    <row r="156" spans="2:27" x14ac:dyDescent="0.2">
      <c r="B156" s="2">
        <v>154</v>
      </c>
      <c r="C156" s="2" t="str">
        <f t="shared" si="45"/>
        <v>c</v>
      </c>
      <c r="D156" s="29" t="s">
        <v>1</v>
      </c>
      <c r="E156" s="29" t="s">
        <v>209</v>
      </c>
      <c r="F156" s="2" t="s">
        <v>214</v>
      </c>
      <c r="G156" s="2">
        <f t="shared" si="63"/>
        <v>2</v>
      </c>
      <c r="H156" s="2" t="str">
        <f t="shared" si="55"/>
        <v>--</v>
      </c>
      <c r="I156" s="38">
        <f t="shared" si="56"/>
        <v>0</v>
      </c>
      <c r="J156" s="33">
        <f t="shared" si="67"/>
        <v>26</v>
      </c>
      <c r="K156" s="33">
        <f t="shared" si="68"/>
        <v>0</v>
      </c>
      <c r="L156" s="33">
        <f t="shared" si="68"/>
        <v>0</v>
      </c>
      <c r="M156" s="33">
        <f t="shared" si="68"/>
        <v>0</v>
      </c>
      <c r="N156" s="33">
        <f t="shared" si="68"/>
        <v>0</v>
      </c>
      <c r="O156" s="33">
        <f t="shared" si="68"/>
        <v>0</v>
      </c>
      <c r="P156" s="33">
        <f t="shared" si="68"/>
        <v>0</v>
      </c>
      <c r="Q156" s="33">
        <f t="shared" si="68"/>
        <v>0</v>
      </c>
      <c r="R156" s="35">
        <f t="shared" si="57"/>
        <v>0</v>
      </c>
      <c r="S156" s="35">
        <f t="shared" si="58"/>
        <v>0</v>
      </c>
      <c r="T156" s="35">
        <f t="shared" si="59"/>
        <v>0</v>
      </c>
      <c r="U156" s="35">
        <f t="shared" si="69"/>
        <v>0</v>
      </c>
      <c r="V156" s="35">
        <f t="shared" si="69"/>
        <v>0</v>
      </c>
      <c r="W156" s="35">
        <f t="shared" si="69"/>
        <v>0</v>
      </c>
      <c r="X156" s="35">
        <f t="shared" si="69"/>
        <v>0</v>
      </c>
      <c r="Y156" s="35">
        <f t="shared" si="69"/>
        <v>0</v>
      </c>
      <c r="Z156" s="35">
        <f t="shared" si="69"/>
        <v>0</v>
      </c>
      <c r="AA156" s="35">
        <f t="shared" si="69"/>
        <v>0</v>
      </c>
    </row>
    <row r="157" spans="2:27" x14ac:dyDescent="0.2">
      <c r="B157" s="2">
        <v>155</v>
      </c>
      <c r="C157" s="2" t="str">
        <f t="shared" si="45"/>
        <v>c</v>
      </c>
      <c r="D157" s="29" t="s">
        <v>1</v>
      </c>
      <c r="E157" s="29" t="s">
        <v>209</v>
      </c>
      <c r="F157" s="2" t="s">
        <v>214</v>
      </c>
      <c r="G157" s="2">
        <f t="shared" si="63"/>
        <v>3</v>
      </c>
      <c r="H157" s="2" t="str">
        <f t="shared" si="55"/>
        <v>--</v>
      </c>
      <c r="I157" s="38">
        <f t="shared" si="56"/>
        <v>0</v>
      </c>
      <c r="J157" s="33">
        <f t="shared" si="67"/>
        <v>39</v>
      </c>
      <c r="K157" s="33">
        <f t="shared" si="68"/>
        <v>0</v>
      </c>
      <c r="L157" s="33">
        <f t="shared" si="68"/>
        <v>0</v>
      </c>
      <c r="M157" s="33">
        <f t="shared" si="68"/>
        <v>0</v>
      </c>
      <c r="N157" s="33">
        <f t="shared" si="68"/>
        <v>0</v>
      </c>
      <c r="O157" s="33">
        <f t="shared" si="68"/>
        <v>0</v>
      </c>
      <c r="P157" s="33">
        <f t="shared" si="68"/>
        <v>0</v>
      </c>
      <c r="Q157" s="33">
        <f t="shared" si="68"/>
        <v>0</v>
      </c>
      <c r="R157" s="35">
        <f t="shared" si="57"/>
        <v>0</v>
      </c>
      <c r="S157" s="35">
        <f t="shared" si="58"/>
        <v>0</v>
      </c>
      <c r="T157" s="35">
        <f t="shared" si="59"/>
        <v>0</v>
      </c>
      <c r="U157" s="35">
        <f t="shared" si="69"/>
        <v>0</v>
      </c>
      <c r="V157" s="35">
        <f t="shared" si="69"/>
        <v>0</v>
      </c>
      <c r="W157" s="35">
        <f t="shared" si="69"/>
        <v>0</v>
      </c>
      <c r="X157" s="35">
        <f t="shared" si="69"/>
        <v>0</v>
      </c>
      <c r="Y157" s="35">
        <f t="shared" si="69"/>
        <v>0</v>
      </c>
      <c r="Z157" s="35">
        <f t="shared" si="69"/>
        <v>0</v>
      </c>
      <c r="AA157" s="35">
        <f t="shared" si="69"/>
        <v>0</v>
      </c>
    </row>
    <row r="158" spans="2:27" x14ac:dyDescent="0.2">
      <c r="B158" s="2">
        <v>156</v>
      </c>
      <c r="C158" s="2" t="str">
        <f t="shared" si="45"/>
        <v>c</v>
      </c>
      <c r="D158" s="29" t="s">
        <v>1</v>
      </c>
      <c r="E158" s="29" t="s">
        <v>209</v>
      </c>
      <c r="F158" s="2" t="s">
        <v>214</v>
      </c>
      <c r="G158" s="2">
        <f t="shared" si="63"/>
        <v>4</v>
      </c>
      <c r="H158" s="2" t="str">
        <f t="shared" si="55"/>
        <v>--</v>
      </c>
      <c r="I158" s="38">
        <f t="shared" si="56"/>
        <v>0</v>
      </c>
      <c r="J158" s="33">
        <f t="shared" si="67"/>
        <v>52</v>
      </c>
      <c r="K158" s="33">
        <f t="shared" si="68"/>
        <v>0</v>
      </c>
      <c r="L158" s="33">
        <f t="shared" si="68"/>
        <v>0</v>
      </c>
      <c r="M158" s="33">
        <f t="shared" si="68"/>
        <v>0</v>
      </c>
      <c r="N158" s="33">
        <f t="shared" si="68"/>
        <v>0</v>
      </c>
      <c r="O158" s="33">
        <f t="shared" si="68"/>
        <v>0</v>
      </c>
      <c r="P158" s="33">
        <f t="shared" si="68"/>
        <v>0</v>
      </c>
      <c r="Q158" s="33">
        <f t="shared" si="68"/>
        <v>0</v>
      </c>
      <c r="R158" s="35">
        <f t="shared" si="57"/>
        <v>0</v>
      </c>
      <c r="S158" s="35">
        <f t="shared" si="58"/>
        <v>0</v>
      </c>
      <c r="T158" s="35">
        <f t="shared" si="59"/>
        <v>0</v>
      </c>
      <c r="U158" s="35">
        <f t="shared" si="69"/>
        <v>0</v>
      </c>
      <c r="V158" s="35">
        <f t="shared" si="69"/>
        <v>0</v>
      </c>
      <c r="W158" s="35">
        <f t="shared" si="69"/>
        <v>0</v>
      </c>
      <c r="X158" s="35">
        <f t="shared" si="69"/>
        <v>0</v>
      </c>
      <c r="Y158" s="35">
        <f t="shared" si="69"/>
        <v>0</v>
      </c>
      <c r="Z158" s="35">
        <f t="shared" si="69"/>
        <v>0</v>
      </c>
      <c r="AA158" s="35">
        <f t="shared" si="69"/>
        <v>0</v>
      </c>
    </row>
    <row r="159" spans="2:27" x14ac:dyDescent="0.2">
      <c r="B159" s="2">
        <v>157</v>
      </c>
      <c r="C159" s="2" t="str">
        <f t="shared" si="45"/>
        <v>c</v>
      </c>
      <c r="D159" s="29" t="s">
        <v>1</v>
      </c>
      <c r="E159" s="29" t="s">
        <v>209</v>
      </c>
      <c r="F159" s="2" t="s">
        <v>214</v>
      </c>
      <c r="G159" s="2">
        <f t="shared" si="63"/>
        <v>5</v>
      </c>
      <c r="H159" s="2" t="str">
        <f t="shared" si="55"/>
        <v>--</v>
      </c>
      <c r="I159" s="38">
        <f t="shared" si="56"/>
        <v>0</v>
      </c>
      <c r="J159" s="33">
        <f t="shared" si="67"/>
        <v>65</v>
      </c>
      <c r="K159" s="33">
        <f t="shared" si="68"/>
        <v>0</v>
      </c>
      <c r="L159" s="33">
        <f t="shared" si="68"/>
        <v>0</v>
      </c>
      <c r="M159" s="33">
        <f t="shared" si="68"/>
        <v>0</v>
      </c>
      <c r="N159" s="33">
        <f t="shared" si="68"/>
        <v>0</v>
      </c>
      <c r="O159" s="33">
        <f t="shared" si="68"/>
        <v>0</v>
      </c>
      <c r="P159" s="33">
        <f t="shared" si="68"/>
        <v>0</v>
      </c>
      <c r="Q159" s="33">
        <f t="shared" si="68"/>
        <v>0</v>
      </c>
      <c r="R159" s="35">
        <f t="shared" si="57"/>
        <v>0</v>
      </c>
      <c r="S159" s="35">
        <f t="shared" si="58"/>
        <v>0</v>
      </c>
      <c r="T159" s="35">
        <f t="shared" si="59"/>
        <v>0</v>
      </c>
      <c r="U159" s="35">
        <f t="shared" si="69"/>
        <v>0</v>
      </c>
      <c r="V159" s="35">
        <f t="shared" si="69"/>
        <v>0</v>
      </c>
      <c r="W159" s="35">
        <f t="shared" si="69"/>
        <v>0</v>
      </c>
      <c r="X159" s="35">
        <f t="shared" si="69"/>
        <v>0</v>
      </c>
      <c r="Y159" s="35">
        <f t="shared" si="69"/>
        <v>0</v>
      </c>
      <c r="Z159" s="35">
        <f t="shared" si="69"/>
        <v>0</v>
      </c>
      <c r="AA159" s="35">
        <f t="shared" si="69"/>
        <v>0</v>
      </c>
    </row>
    <row r="160" spans="2:27" x14ac:dyDescent="0.2">
      <c r="B160" s="2">
        <v>158</v>
      </c>
      <c r="C160" s="2" t="str">
        <f t="shared" si="45"/>
        <v>c</v>
      </c>
      <c r="D160" s="29" t="s">
        <v>1</v>
      </c>
      <c r="E160" s="29" t="s">
        <v>209</v>
      </c>
      <c r="F160" s="2" t="s">
        <v>214</v>
      </c>
      <c r="G160" s="2">
        <f t="shared" si="63"/>
        <v>6</v>
      </c>
      <c r="H160" s="2" t="str">
        <f t="shared" si="55"/>
        <v>--</v>
      </c>
      <c r="I160" s="38">
        <f t="shared" si="56"/>
        <v>0</v>
      </c>
      <c r="J160" s="33">
        <f t="shared" si="67"/>
        <v>78</v>
      </c>
      <c r="K160" s="33">
        <f t="shared" si="68"/>
        <v>0</v>
      </c>
      <c r="L160" s="33">
        <f t="shared" si="68"/>
        <v>0</v>
      </c>
      <c r="M160" s="33">
        <f t="shared" si="68"/>
        <v>0</v>
      </c>
      <c r="N160" s="33">
        <f t="shared" si="68"/>
        <v>0</v>
      </c>
      <c r="O160" s="33">
        <f t="shared" si="68"/>
        <v>0</v>
      </c>
      <c r="P160" s="33">
        <f t="shared" si="68"/>
        <v>0</v>
      </c>
      <c r="Q160" s="33">
        <f t="shared" si="68"/>
        <v>0</v>
      </c>
      <c r="R160" s="35">
        <f t="shared" si="57"/>
        <v>0</v>
      </c>
      <c r="S160" s="35">
        <f t="shared" si="58"/>
        <v>0</v>
      </c>
      <c r="T160" s="35">
        <f t="shared" si="59"/>
        <v>0</v>
      </c>
      <c r="U160" s="35">
        <f t="shared" si="69"/>
        <v>0</v>
      </c>
      <c r="V160" s="35">
        <f t="shared" si="69"/>
        <v>0</v>
      </c>
      <c r="W160" s="35">
        <f t="shared" si="69"/>
        <v>0</v>
      </c>
      <c r="X160" s="35">
        <f t="shared" si="69"/>
        <v>0</v>
      </c>
      <c r="Y160" s="35">
        <f t="shared" si="69"/>
        <v>0</v>
      </c>
      <c r="Z160" s="35">
        <f t="shared" si="69"/>
        <v>0</v>
      </c>
      <c r="AA160" s="35">
        <f t="shared" si="69"/>
        <v>0</v>
      </c>
    </row>
    <row r="161" spans="2:27" x14ac:dyDescent="0.2">
      <c r="B161" s="2">
        <v>159</v>
      </c>
      <c r="C161" s="2" t="str">
        <f t="shared" si="45"/>
        <v>c</v>
      </c>
      <c r="D161" s="29" t="s">
        <v>1</v>
      </c>
      <c r="E161" s="29" t="s">
        <v>209</v>
      </c>
      <c r="F161" s="2" t="s">
        <v>214</v>
      </c>
      <c r="G161" s="2">
        <f t="shared" si="63"/>
        <v>7</v>
      </c>
      <c r="H161" s="2" t="str">
        <f t="shared" si="55"/>
        <v>--</v>
      </c>
      <c r="I161" s="38">
        <f t="shared" si="56"/>
        <v>0</v>
      </c>
      <c r="J161" s="33">
        <f t="shared" si="67"/>
        <v>92</v>
      </c>
      <c r="K161" s="33">
        <f t="shared" si="68"/>
        <v>0</v>
      </c>
      <c r="L161" s="33">
        <f t="shared" si="68"/>
        <v>0</v>
      </c>
      <c r="M161" s="33">
        <f t="shared" si="68"/>
        <v>0</v>
      </c>
      <c r="N161" s="33">
        <f t="shared" si="68"/>
        <v>0</v>
      </c>
      <c r="O161" s="33">
        <f t="shared" si="68"/>
        <v>0</v>
      </c>
      <c r="P161" s="33">
        <f t="shared" si="68"/>
        <v>0</v>
      </c>
      <c r="Q161" s="33">
        <f t="shared" si="68"/>
        <v>0</v>
      </c>
      <c r="R161" s="35">
        <f t="shared" si="57"/>
        <v>0</v>
      </c>
      <c r="S161" s="35">
        <f t="shared" si="58"/>
        <v>0</v>
      </c>
      <c r="T161" s="35">
        <f t="shared" si="59"/>
        <v>0</v>
      </c>
      <c r="U161" s="35">
        <f t="shared" si="69"/>
        <v>0</v>
      </c>
      <c r="V161" s="35">
        <f t="shared" si="69"/>
        <v>0</v>
      </c>
      <c r="W161" s="35">
        <f t="shared" si="69"/>
        <v>0</v>
      </c>
      <c r="X161" s="35">
        <f t="shared" si="69"/>
        <v>0</v>
      </c>
      <c r="Y161" s="35">
        <f t="shared" si="69"/>
        <v>0</v>
      </c>
      <c r="Z161" s="35">
        <f t="shared" si="69"/>
        <v>0</v>
      </c>
      <c r="AA161" s="35">
        <f t="shared" si="69"/>
        <v>0</v>
      </c>
    </row>
    <row r="162" spans="2:27" x14ac:dyDescent="0.2">
      <c r="B162" s="2">
        <v>160</v>
      </c>
      <c r="C162" s="2" t="str">
        <f t="shared" si="45"/>
        <v>c</v>
      </c>
      <c r="D162" s="29" t="s">
        <v>1</v>
      </c>
      <c r="E162" s="29" t="s">
        <v>209</v>
      </c>
      <c r="F162" s="2" t="s">
        <v>214</v>
      </c>
      <c r="G162" s="2">
        <f t="shared" si="63"/>
        <v>8</v>
      </c>
      <c r="H162" s="2" t="str">
        <f t="shared" si="55"/>
        <v>--</v>
      </c>
      <c r="I162" s="38">
        <f t="shared" si="56"/>
        <v>0</v>
      </c>
      <c r="J162" s="33">
        <f t="shared" si="67"/>
        <v>105</v>
      </c>
      <c r="K162" s="33">
        <f t="shared" si="68"/>
        <v>0</v>
      </c>
      <c r="L162" s="33">
        <f t="shared" si="68"/>
        <v>0</v>
      </c>
      <c r="M162" s="33">
        <f t="shared" si="68"/>
        <v>0</v>
      </c>
      <c r="N162" s="33">
        <f t="shared" si="68"/>
        <v>0</v>
      </c>
      <c r="O162" s="33">
        <f t="shared" si="68"/>
        <v>0</v>
      </c>
      <c r="P162" s="33">
        <f t="shared" si="68"/>
        <v>0</v>
      </c>
      <c r="Q162" s="33">
        <f t="shared" si="68"/>
        <v>0</v>
      </c>
      <c r="R162" s="35">
        <f t="shared" si="57"/>
        <v>0</v>
      </c>
      <c r="S162" s="35">
        <f t="shared" si="58"/>
        <v>0</v>
      </c>
      <c r="T162" s="35">
        <f t="shared" si="59"/>
        <v>0</v>
      </c>
      <c r="U162" s="35">
        <f t="shared" si="69"/>
        <v>0</v>
      </c>
      <c r="V162" s="35">
        <f t="shared" si="69"/>
        <v>0</v>
      </c>
      <c r="W162" s="35">
        <f t="shared" si="69"/>
        <v>0</v>
      </c>
      <c r="X162" s="35">
        <f t="shared" si="69"/>
        <v>0</v>
      </c>
      <c r="Y162" s="35">
        <f t="shared" si="69"/>
        <v>0</v>
      </c>
      <c r="Z162" s="35">
        <f t="shared" si="69"/>
        <v>0</v>
      </c>
      <c r="AA162" s="35">
        <f t="shared" si="69"/>
        <v>0</v>
      </c>
    </row>
    <row r="163" spans="2:27" x14ac:dyDescent="0.2">
      <c r="B163" s="2">
        <v>161</v>
      </c>
      <c r="C163" s="2" t="str">
        <f t="shared" si="45"/>
        <v>s</v>
      </c>
      <c r="D163" s="29" t="s">
        <v>1</v>
      </c>
      <c r="E163" s="29" t="s">
        <v>209</v>
      </c>
      <c r="F163" s="2" t="s">
        <v>215</v>
      </c>
      <c r="G163" s="2">
        <f t="shared" si="63"/>
        <v>1</v>
      </c>
      <c r="H163" s="2" t="str">
        <f t="shared" si="55"/>
        <v>黑暗</v>
      </c>
      <c r="I163" s="38">
        <f t="shared" si="56"/>
        <v>0.08</v>
      </c>
      <c r="J163" s="33">
        <f t="shared" ref="J163:J172" si="70">INT((1+VLOOKUP($F163,role_property_weight,getpos(J$2),FALSE))*(1+VLOOKUP($F163,drop_property_weight,getpos(J$2),FALSE))*VLOOKUP($E163,role_grow,getpos(J$2),FALSE)*$G163*10*VLOOKUP($C163,drop_grow1,4,FALSE))</f>
        <v>11</v>
      </c>
      <c r="K163" s="33">
        <f t="shared" ref="K163:Q172" si="71">INT((1+VLOOKUP($F163,role_property_weight,getpos(K$2),FALSE))*(1+VLOOKUP($F163,drop_property_weight,getpos(K$2),FALSE))*VLOOKUP($E163,role_grow,getpos(K$2),FALSE)*$G163*10*VLOOKUP($C163,drop_grow1,5,FALSE))</f>
        <v>14</v>
      </c>
      <c r="L163" s="33">
        <f t="shared" si="71"/>
        <v>1</v>
      </c>
      <c r="M163" s="33">
        <f t="shared" si="71"/>
        <v>8</v>
      </c>
      <c r="N163" s="33">
        <f t="shared" si="71"/>
        <v>8</v>
      </c>
      <c r="O163" s="33">
        <f t="shared" si="71"/>
        <v>8</v>
      </c>
      <c r="P163" s="33">
        <f t="shared" si="71"/>
        <v>5</v>
      </c>
      <c r="Q163" s="33">
        <f t="shared" si="71"/>
        <v>3</v>
      </c>
      <c r="R163" s="35">
        <f t="shared" si="57"/>
        <v>6.0000000000000001E-3</v>
      </c>
      <c r="S163" s="35">
        <f t="shared" si="58"/>
        <v>0.01</v>
      </c>
      <c r="T163" s="35">
        <f t="shared" si="59"/>
        <v>3.7499999999999999E-3</v>
      </c>
      <c r="U163" s="35">
        <f t="shared" ref="U163:AA172" si="72">1-200/(200+ROUND((1+VLOOKUP($F163,role_property_weight,getpos(U$2),FALSE))*VLOOKUP($E163,role_grow,getpos(U$2),FALSE)*$G163*10*VLOOKUP($C163,drop_grow1,5,FALSE),0))</f>
        <v>9.9009900990099098E-3</v>
      </c>
      <c r="V163" s="35">
        <f t="shared" si="72"/>
        <v>9.9009900990099098E-3</v>
      </c>
      <c r="W163" s="35">
        <f t="shared" si="72"/>
        <v>9.9009900990099098E-3</v>
      </c>
      <c r="X163" s="35">
        <f t="shared" si="72"/>
        <v>9.9009900990099098E-3</v>
      </c>
      <c r="Y163" s="35">
        <f t="shared" si="72"/>
        <v>9.9009900990099098E-3</v>
      </c>
      <c r="Z163" s="35">
        <f t="shared" si="72"/>
        <v>6.5420560747663559E-2</v>
      </c>
      <c r="AA163" s="35">
        <f t="shared" si="72"/>
        <v>9.9009900990099098E-3</v>
      </c>
    </row>
    <row r="164" spans="2:27" x14ac:dyDescent="0.2">
      <c r="B164" s="2">
        <v>162</v>
      </c>
      <c r="C164" s="2" t="str">
        <f t="shared" ref="C164:C227" si="73">C132</f>
        <v>s</v>
      </c>
      <c r="D164" s="29" t="s">
        <v>1</v>
      </c>
      <c r="E164" s="29" t="s">
        <v>209</v>
      </c>
      <c r="F164" s="2" t="s">
        <v>215</v>
      </c>
      <c r="G164" s="2">
        <f t="shared" si="63"/>
        <v>2</v>
      </c>
      <c r="H164" s="2" t="str">
        <f t="shared" si="55"/>
        <v>黑暗</v>
      </c>
      <c r="I164" s="38">
        <f t="shared" si="56"/>
        <v>0.08</v>
      </c>
      <c r="J164" s="33">
        <f t="shared" si="70"/>
        <v>22</v>
      </c>
      <c r="K164" s="33">
        <f t="shared" si="71"/>
        <v>28</v>
      </c>
      <c r="L164" s="33">
        <f t="shared" si="71"/>
        <v>3</v>
      </c>
      <c r="M164" s="33">
        <f t="shared" si="71"/>
        <v>17</v>
      </c>
      <c r="N164" s="33">
        <f t="shared" si="71"/>
        <v>17</v>
      </c>
      <c r="O164" s="33">
        <f t="shared" si="71"/>
        <v>17</v>
      </c>
      <c r="P164" s="33">
        <f t="shared" si="71"/>
        <v>11</v>
      </c>
      <c r="Q164" s="33">
        <f t="shared" si="71"/>
        <v>7</v>
      </c>
      <c r="R164" s="35">
        <f t="shared" si="57"/>
        <v>1.3999999999999999E-2</v>
      </c>
      <c r="S164" s="35">
        <f t="shared" si="58"/>
        <v>2.2000000000000002E-2</v>
      </c>
      <c r="T164" s="35">
        <f t="shared" si="59"/>
        <v>8.7500000000000008E-3</v>
      </c>
      <c r="U164" s="35">
        <f t="shared" si="72"/>
        <v>2.4390243902439046E-2</v>
      </c>
      <c r="V164" s="35">
        <f t="shared" si="72"/>
        <v>2.4390243902439046E-2</v>
      </c>
      <c r="W164" s="35">
        <f t="shared" si="72"/>
        <v>2.4390243902439046E-2</v>
      </c>
      <c r="X164" s="35">
        <f t="shared" si="72"/>
        <v>2.4390243902439046E-2</v>
      </c>
      <c r="Y164" s="35">
        <f t="shared" si="72"/>
        <v>2.4390243902439046E-2</v>
      </c>
      <c r="Z164" s="35">
        <f t="shared" si="72"/>
        <v>0.1266375545851528</v>
      </c>
      <c r="AA164" s="35">
        <f t="shared" si="72"/>
        <v>2.4390243902439046E-2</v>
      </c>
    </row>
    <row r="165" spans="2:27" x14ac:dyDescent="0.2">
      <c r="B165" s="2">
        <v>163</v>
      </c>
      <c r="C165" s="2" t="str">
        <f t="shared" si="73"/>
        <v>s</v>
      </c>
      <c r="D165" s="29" t="s">
        <v>1</v>
      </c>
      <c r="E165" s="29" t="s">
        <v>209</v>
      </c>
      <c r="F165" s="2" t="s">
        <v>215</v>
      </c>
      <c r="G165" s="2">
        <f t="shared" si="63"/>
        <v>3</v>
      </c>
      <c r="H165" s="2" t="str">
        <f t="shared" si="55"/>
        <v>黑暗</v>
      </c>
      <c r="I165" s="38">
        <f t="shared" si="56"/>
        <v>0.08</v>
      </c>
      <c r="J165" s="33">
        <f t="shared" si="70"/>
        <v>33</v>
      </c>
      <c r="K165" s="33">
        <f t="shared" si="71"/>
        <v>42</v>
      </c>
      <c r="L165" s="33">
        <f t="shared" si="71"/>
        <v>5</v>
      </c>
      <c r="M165" s="33">
        <f t="shared" si="71"/>
        <v>25</v>
      </c>
      <c r="N165" s="33">
        <f t="shared" si="71"/>
        <v>25</v>
      </c>
      <c r="O165" s="33">
        <f t="shared" si="71"/>
        <v>25</v>
      </c>
      <c r="P165" s="33">
        <f t="shared" si="71"/>
        <v>17</v>
      </c>
      <c r="Q165" s="33">
        <f t="shared" si="71"/>
        <v>11</v>
      </c>
      <c r="R165" s="35">
        <f t="shared" si="57"/>
        <v>2.2000000000000002E-2</v>
      </c>
      <c r="S165" s="35">
        <f t="shared" si="58"/>
        <v>3.4000000000000002E-2</v>
      </c>
      <c r="T165" s="35">
        <f t="shared" si="59"/>
        <v>1.375E-2</v>
      </c>
      <c r="U165" s="35">
        <f t="shared" si="72"/>
        <v>3.3816425120772986E-2</v>
      </c>
      <c r="V165" s="35">
        <f t="shared" si="72"/>
        <v>3.3816425120772986E-2</v>
      </c>
      <c r="W165" s="35">
        <f t="shared" si="72"/>
        <v>3.3816425120772986E-2</v>
      </c>
      <c r="X165" s="35">
        <f t="shared" si="72"/>
        <v>3.3816425120772986E-2</v>
      </c>
      <c r="Y165" s="35">
        <f t="shared" si="72"/>
        <v>3.3816425120772986E-2</v>
      </c>
      <c r="Z165" s="35">
        <f t="shared" si="72"/>
        <v>0.17695473251028804</v>
      </c>
      <c r="AA165" s="35">
        <f t="shared" si="72"/>
        <v>3.3816425120772986E-2</v>
      </c>
    </row>
    <row r="166" spans="2:27" x14ac:dyDescent="0.2">
      <c r="B166" s="2">
        <v>164</v>
      </c>
      <c r="C166" s="2" t="str">
        <f t="shared" si="73"/>
        <v>s</v>
      </c>
      <c r="D166" s="29" t="s">
        <v>1</v>
      </c>
      <c r="E166" s="29" t="s">
        <v>209</v>
      </c>
      <c r="F166" s="2" t="s">
        <v>215</v>
      </c>
      <c r="G166" s="2">
        <f t="shared" si="63"/>
        <v>4</v>
      </c>
      <c r="H166" s="2" t="str">
        <f t="shared" si="55"/>
        <v>黑暗</v>
      </c>
      <c r="I166" s="38">
        <f t="shared" si="56"/>
        <v>0.08</v>
      </c>
      <c r="J166" s="33">
        <f t="shared" si="70"/>
        <v>44</v>
      </c>
      <c r="K166" s="33">
        <f t="shared" si="71"/>
        <v>56</v>
      </c>
      <c r="L166" s="33">
        <f t="shared" si="71"/>
        <v>6</v>
      </c>
      <c r="M166" s="33">
        <f t="shared" si="71"/>
        <v>34</v>
      </c>
      <c r="N166" s="33">
        <f t="shared" si="71"/>
        <v>34</v>
      </c>
      <c r="O166" s="33">
        <f t="shared" si="71"/>
        <v>34</v>
      </c>
      <c r="P166" s="33">
        <f t="shared" si="71"/>
        <v>23</v>
      </c>
      <c r="Q166" s="33">
        <f t="shared" si="71"/>
        <v>15</v>
      </c>
      <c r="R166" s="35">
        <f t="shared" si="57"/>
        <v>0.03</v>
      </c>
      <c r="S166" s="35">
        <f t="shared" si="58"/>
        <v>4.5999999999999999E-2</v>
      </c>
      <c r="T166" s="35">
        <f t="shared" si="59"/>
        <v>1.8749999999999999E-2</v>
      </c>
      <c r="U166" s="35">
        <f t="shared" si="72"/>
        <v>4.7619047619047672E-2</v>
      </c>
      <c r="V166" s="35">
        <f t="shared" si="72"/>
        <v>4.7619047619047672E-2</v>
      </c>
      <c r="W166" s="35">
        <f t="shared" si="72"/>
        <v>4.7619047619047672E-2</v>
      </c>
      <c r="X166" s="35">
        <f t="shared" si="72"/>
        <v>4.7619047619047672E-2</v>
      </c>
      <c r="Y166" s="35">
        <f t="shared" si="72"/>
        <v>4.7619047619047672E-2</v>
      </c>
      <c r="Z166" s="35">
        <f t="shared" si="72"/>
        <v>0.22480620155038755</v>
      </c>
      <c r="AA166" s="35">
        <f t="shared" si="72"/>
        <v>4.7619047619047672E-2</v>
      </c>
    </row>
    <row r="167" spans="2:27" x14ac:dyDescent="0.2">
      <c r="B167" s="2">
        <v>165</v>
      </c>
      <c r="C167" s="2" t="str">
        <f t="shared" si="73"/>
        <v>s</v>
      </c>
      <c r="D167" s="29" t="s">
        <v>1</v>
      </c>
      <c r="E167" s="29" t="s">
        <v>209</v>
      </c>
      <c r="F167" s="2" t="s">
        <v>215</v>
      </c>
      <c r="G167" s="2">
        <f t="shared" si="63"/>
        <v>5</v>
      </c>
      <c r="H167" s="2" t="str">
        <f t="shared" si="55"/>
        <v>黑暗</v>
      </c>
      <c r="I167" s="38">
        <f t="shared" si="56"/>
        <v>8.8571428571428579E-2</v>
      </c>
      <c r="J167" s="33">
        <f t="shared" si="70"/>
        <v>56</v>
      </c>
      <c r="K167" s="33">
        <f t="shared" si="71"/>
        <v>70</v>
      </c>
      <c r="L167" s="33">
        <f t="shared" si="71"/>
        <v>8</v>
      </c>
      <c r="M167" s="33">
        <f t="shared" si="71"/>
        <v>43</v>
      </c>
      <c r="N167" s="33">
        <f t="shared" si="71"/>
        <v>43</v>
      </c>
      <c r="O167" s="33">
        <f t="shared" si="71"/>
        <v>43</v>
      </c>
      <c r="P167" s="33">
        <f t="shared" si="71"/>
        <v>28</v>
      </c>
      <c r="Q167" s="33">
        <f t="shared" si="71"/>
        <v>19</v>
      </c>
      <c r="R167" s="35">
        <f t="shared" si="57"/>
        <v>3.7999999999999999E-2</v>
      </c>
      <c r="S167" s="35">
        <f t="shared" si="58"/>
        <v>5.5999999999999994E-2</v>
      </c>
      <c r="T167" s="35">
        <f t="shared" si="59"/>
        <v>2.375E-2</v>
      </c>
      <c r="U167" s="35">
        <f t="shared" si="72"/>
        <v>5.6603773584905648E-2</v>
      </c>
      <c r="V167" s="35">
        <f t="shared" si="72"/>
        <v>5.6603773584905648E-2</v>
      </c>
      <c r="W167" s="35">
        <f t="shared" si="72"/>
        <v>5.6603773584905648E-2</v>
      </c>
      <c r="X167" s="35">
        <f t="shared" si="72"/>
        <v>5.6603773584905648E-2</v>
      </c>
      <c r="Y167" s="35">
        <f t="shared" si="72"/>
        <v>5.6603773584905648E-2</v>
      </c>
      <c r="Z167" s="35">
        <f t="shared" si="72"/>
        <v>0.26470588235294112</v>
      </c>
      <c r="AA167" s="35">
        <f t="shared" si="72"/>
        <v>5.6603773584905648E-2</v>
      </c>
    </row>
    <row r="168" spans="2:27" x14ac:dyDescent="0.2">
      <c r="B168" s="2">
        <v>166</v>
      </c>
      <c r="C168" s="2" t="str">
        <f t="shared" si="73"/>
        <v>s</v>
      </c>
      <c r="D168" s="29" t="s">
        <v>1</v>
      </c>
      <c r="E168" s="29" t="s">
        <v>209</v>
      </c>
      <c r="F168" s="2" t="s">
        <v>215</v>
      </c>
      <c r="G168" s="2">
        <f t="shared" si="63"/>
        <v>6</v>
      </c>
      <c r="H168" s="2" t="str">
        <f t="shared" si="55"/>
        <v>黑暗</v>
      </c>
      <c r="I168" s="38">
        <f t="shared" si="56"/>
        <v>0.106</v>
      </c>
      <c r="J168" s="33">
        <f t="shared" si="70"/>
        <v>67</v>
      </c>
      <c r="K168" s="33">
        <f t="shared" si="71"/>
        <v>84</v>
      </c>
      <c r="L168" s="33">
        <f t="shared" si="71"/>
        <v>10</v>
      </c>
      <c r="M168" s="33">
        <f t="shared" si="71"/>
        <v>51</v>
      </c>
      <c r="N168" s="33">
        <f t="shared" si="71"/>
        <v>51</v>
      </c>
      <c r="O168" s="33">
        <f t="shared" si="71"/>
        <v>51</v>
      </c>
      <c r="P168" s="33">
        <f t="shared" si="71"/>
        <v>34</v>
      </c>
      <c r="Q168" s="33">
        <f t="shared" si="71"/>
        <v>23</v>
      </c>
      <c r="R168" s="35">
        <f t="shared" si="57"/>
        <v>4.5999999999999999E-2</v>
      </c>
      <c r="S168" s="35">
        <f t="shared" si="58"/>
        <v>6.8000000000000005E-2</v>
      </c>
      <c r="T168" s="35">
        <f t="shared" si="59"/>
        <v>2.8750000000000001E-2</v>
      </c>
      <c r="U168" s="35">
        <f t="shared" si="72"/>
        <v>6.5420560747663559E-2</v>
      </c>
      <c r="V168" s="35">
        <f t="shared" si="72"/>
        <v>6.5420560747663559E-2</v>
      </c>
      <c r="W168" s="35">
        <f t="shared" si="72"/>
        <v>6.5420560747663559E-2</v>
      </c>
      <c r="X168" s="35">
        <f t="shared" si="72"/>
        <v>6.5420560747663559E-2</v>
      </c>
      <c r="Y168" s="35">
        <f t="shared" si="72"/>
        <v>6.5420560747663559E-2</v>
      </c>
      <c r="Z168" s="35">
        <f t="shared" si="72"/>
        <v>0.30069930069930073</v>
      </c>
      <c r="AA168" s="35">
        <f t="shared" si="72"/>
        <v>6.5420560747663559E-2</v>
      </c>
    </row>
    <row r="169" spans="2:27" x14ac:dyDescent="0.2">
      <c r="B169" s="2">
        <v>167</v>
      </c>
      <c r="C169" s="2" t="str">
        <f t="shared" si="73"/>
        <v>s</v>
      </c>
      <c r="D169" s="29" t="s">
        <v>1</v>
      </c>
      <c r="E169" s="29" t="s">
        <v>209</v>
      </c>
      <c r="F169" s="2" t="s">
        <v>215</v>
      </c>
      <c r="G169" s="2">
        <f t="shared" si="63"/>
        <v>7</v>
      </c>
      <c r="H169" s="2" t="str">
        <f t="shared" si="55"/>
        <v>黑暗</v>
      </c>
      <c r="I169" s="38">
        <f t="shared" si="56"/>
        <v>0.124</v>
      </c>
      <c r="J169" s="33">
        <f t="shared" si="70"/>
        <v>78</v>
      </c>
      <c r="K169" s="33">
        <f t="shared" si="71"/>
        <v>98</v>
      </c>
      <c r="L169" s="33">
        <f t="shared" si="71"/>
        <v>12</v>
      </c>
      <c r="M169" s="33">
        <f t="shared" si="71"/>
        <v>60</v>
      </c>
      <c r="N169" s="33">
        <f t="shared" si="71"/>
        <v>60</v>
      </c>
      <c r="O169" s="33">
        <f t="shared" si="71"/>
        <v>60</v>
      </c>
      <c r="P169" s="33">
        <f t="shared" si="71"/>
        <v>40</v>
      </c>
      <c r="Q169" s="33">
        <f t="shared" si="71"/>
        <v>26</v>
      </c>
      <c r="R169" s="35">
        <f t="shared" si="57"/>
        <v>5.2000000000000005E-2</v>
      </c>
      <c r="S169" s="35">
        <f t="shared" si="58"/>
        <v>0.08</v>
      </c>
      <c r="T169" s="35">
        <f t="shared" si="59"/>
        <v>3.2500000000000001E-2</v>
      </c>
      <c r="U169" s="35">
        <f t="shared" si="72"/>
        <v>7.8341013824884786E-2</v>
      </c>
      <c r="V169" s="35">
        <f t="shared" si="72"/>
        <v>7.8341013824884786E-2</v>
      </c>
      <c r="W169" s="35">
        <f t="shared" si="72"/>
        <v>7.8341013824884786E-2</v>
      </c>
      <c r="X169" s="35">
        <f t="shared" si="72"/>
        <v>7.8341013824884786E-2</v>
      </c>
      <c r="Y169" s="35">
        <f t="shared" si="72"/>
        <v>7.8341013824884786E-2</v>
      </c>
      <c r="Z169" s="35">
        <f t="shared" si="72"/>
        <v>0.33554817275747506</v>
      </c>
      <c r="AA169" s="35">
        <f t="shared" si="72"/>
        <v>7.8341013824884786E-2</v>
      </c>
    </row>
    <row r="170" spans="2:27" x14ac:dyDescent="0.2">
      <c r="B170" s="2">
        <v>168</v>
      </c>
      <c r="C170" s="2" t="str">
        <f t="shared" si="73"/>
        <v>s</v>
      </c>
      <c r="D170" s="29" t="s">
        <v>1</v>
      </c>
      <c r="E170" s="29" t="s">
        <v>209</v>
      </c>
      <c r="F170" s="2" t="s">
        <v>215</v>
      </c>
      <c r="G170" s="2">
        <f t="shared" si="63"/>
        <v>8</v>
      </c>
      <c r="H170" s="2" t="str">
        <f t="shared" si="55"/>
        <v>黑暗</v>
      </c>
      <c r="I170" s="38">
        <f t="shared" si="56"/>
        <v>0.14199999999999999</v>
      </c>
      <c r="J170" s="33">
        <f t="shared" si="70"/>
        <v>89</v>
      </c>
      <c r="K170" s="33">
        <f t="shared" si="71"/>
        <v>112</v>
      </c>
      <c r="L170" s="33">
        <f t="shared" si="71"/>
        <v>13</v>
      </c>
      <c r="M170" s="33">
        <f t="shared" si="71"/>
        <v>69</v>
      </c>
      <c r="N170" s="33">
        <f t="shared" si="71"/>
        <v>69</v>
      </c>
      <c r="O170" s="33">
        <f t="shared" si="71"/>
        <v>69</v>
      </c>
      <c r="P170" s="33">
        <f t="shared" si="71"/>
        <v>46</v>
      </c>
      <c r="Q170" s="33">
        <f t="shared" si="71"/>
        <v>30</v>
      </c>
      <c r="R170" s="35">
        <f t="shared" si="57"/>
        <v>0.06</v>
      </c>
      <c r="S170" s="35">
        <f t="shared" si="58"/>
        <v>9.1999999999999998E-2</v>
      </c>
      <c r="T170" s="35">
        <f t="shared" si="59"/>
        <v>3.7499999999999999E-2</v>
      </c>
      <c r="U170" s="35">
        <f t="shared" si="72"/>
        <v>8.6757990867579959E-2</v>
      </c>
      <c r="V170" s="35">
        <f t="shared" si="72"/>
        <v>8.6757990867579959E-2</v>
      </c>
      <c r="W170" s="35">
        <f t="shared" si="72"/>
        <v>8.6757990867579959E-2</v>
      </c>
      <c r="X170" s="35">
        <f t="shared" si="72"/>
        <v>8.6757990867579959E-2</v>
      </c>
      <c r="Y170" s="35">
        <f t="shared" si="72"/>
        <v>8.6757990867579959E-2</v>
      </c>
      <c r="Z170" s="35">
        <f t="shared" si="72"/>
        <v>0.36507936507936511</v>
      </c>
      <c r="AA170" s="35">
        <f t="shared" si="72"/>
        <v>8.6757990867579959E-2</v>
      </c>
    </row>
    <row r="171" spans="2:27" x14ac:dyDescent="0.2">
      <c r="B171" s="2">
        <v>169</v>
      </c>
      <c r="C171" s="2" t="str">
        <f t="shared" si="73"/>
        <v>a</v>
      </c>
      <c r="D171" s="29" t="s">
        <v>1</v>
      </c>
      <c r="E171" s="29" t="s">
        <v>209</v>
      </c>
      <c r="F171" s="2" t="s">
        <v>215</v>
      </c>
      <c r="G171" s="2">
        <f t="shared" si="63"/>
        <v>1</v>
      </c>
      <c r="H171" s="2" t="str">
        <f t="shared" si="55"/>
        <v>黑暗</v>
      </c>
      <c r="I171" s="38">
        <f t="shared" si="56"/>
        <v>0.08</v>
      </c>
      <c r="J171" s="33">
        <f t="shared" si="70"/>
        <v>8</v>
      </c>
      <c r="K171" s="33">
        <f t="shared" si="71"/>
        <v>15</v>
      </c>
      <c r="L171" s="33">
        <f t="shared" si="71"/>
        <v>1</v>
      </c>
      <c r="M171" s="33">
        <f t="shared" si="71"/>
        <v>9</v>
      </c>
      <c r="N171" s="33">
        <f t="shared" si="71"/>
        <v>9</v>
      </c>
      <c r="O171" s="33">
        <f t="shared" si="71"/>
        <v>9</v>
      </c>
      <c r="P171" s="33">
        <f t="shared" si="71"/>
        <v>6</v>
      </c>
      <c r="Q171" s="33">
        <f t="shared" si="71"/>
        <v>4</v>
      </c>
      <c r="R171" s="35">
        <f t="shared" si="57"/>
        <v>8.0000000000000002E-3</v>
      </c>
      <c r="S171" s="35">
        <f t="shared" si="58"/>
        <v>1.2E-2</v>
      </c>
      <c r="T171" s="35">
        <f t="shared" si="59"/>
        <v>5.0000000000000001E-3</v>
      </c>
      <c r="U171" s="35">
        <f t="shared" si="72"/>
        <v>1.4778325123152691E-2</v>
      </c>
      <c r="V171" s="35">
        <f t="shared" si="72"/>
        <v>1.4778325123152691E-2</v>
      </c>
      <c r="W171" s="35">
        <f t="shared" si="72"/>
        <v>1.4778325123152691E-2</v>
      </c>
      <c r="X171" s="35">
        <f t="shared" si="72"/>
        <v>1.4778325123152691E-2</v>
      </c>
      <c r="Y171" s="35">
        <f t="shared" si="72"/>
        <v>1.4778325123152691E-2</v>
      </c>
      <c r="Z171" s="35">
        <f t="shared" si="72"/>
        <v>7.407407407407407E-2</v>
      </c>
      <c r="AA171" s="35">
        <f t="shared" si="72"/>
        <v>1.4778325123152691E-2</v>
      </c>
    </row>
    <row r="172" spans="2:27" x14ac:dyDescent="0.2">
      <c r="B172" s="2">
        <v>170</v>
      </c>
      <c r="C172" s="2" t="str">
        <f t="shared" si="73"/>
        <v>a</v>
      </c>
      <c r="D172" s="29" t="s">
        <v>1</v>
      </c>
      <c r="E172" s="29" t="s">
        <v>209</v>
      </c>
      <c r="F172" s="2" t="s">
        <v>215</v>
      </c>
      <c r="G172" s="2">
        <f t="shared" si="63"/>
        <v>2</v>
      </c>
      <c r="H172" s="2" t="str">
        <f t="shared" si="55"/>
        <v>黑暗</v>
      </c>
      <c r="I172" s="38">
        <f t="shared" si="56"/>
        <v>0.08</v>
      </c>
      <c r="J172" s="33">
        <f t="shared" si="70"/>
        <v>16</v>
      </c>
      <c r="K172" s="33">
        <f t="shared" si="71"/>
        <v>31</v>
      </c>
      <c r="L172" s="33">
        <f t="shared" si="71"/>
        <v>3</v>
      </c>
      <c r="M172" s="33">
        <f t="shared" si="71"/>
        <v>19</v>
      </c>
      <c r="N172" s="33">
        <f t="shared" si="71"/>
        <v>19</v>
      </c>
      <c r="O172" s="33">
        <f t="shared" si="71"/>
        <v>19</v>
      </c>
      <c r="P172" s="33">
        <f t="shared" si="71"/>
        <v>12</v>
      </c>
      <c r="Q172" s="33">
        <f t="shared" si="71"/>
        <v>8</v>
      </c>
      <c r="R172" s="35">
        <f t="shared" si="57"/>
        <v>1.6E-2</v>
      </c>
      <c r="S172" s="35">
        <f t="shared" si="58"/>
        <v>2.4E-2</v>
      </c>
      <c r="T172" s="35">
        <f t="shared" si="59"/>
        <v>0.01</v>
      </c>
      <c r="U172" s="35">
        <f t="shared" si="72"/>
        <v>2.4390243902439046E-2</v>
      </c>
      <c r="V172" s="35">
        <f t="shared" si="72"/>
        <v>2.4390243902439046E-2</v>
      </c>
      <c r="W172" s="35">
        <f t="shared" si="72"/>
        <v>2.4390243902439046E-2</v>
      </c>
      <c r="X172" s="35">
        <f t="shared" si="72"/>
        <v>2.4390243902439046E-2</v>
      </c>
      <c r="Y172" s="35">
        <f t="shared" si="72"/>
        <v>2.4390243902439046E-2</v>
      </c>
      <c r="Z172" s="35">
        <f t="shared" si="72"/>
        <v>0.13793103448275867</v>
      </c>
      <c r="AA172" s="35">
        <f t="shared" si="72"/>
        <v>2.4390243902439046E-2</v>
      </c>
    </row>
    <row r="173" spans="2:27" x14ac:dyDescent="0.2">
      <c r="B173" s="2">
        <v>171</v>
      </c>
      <c r="C173" s="2" t="str">
        <f t="shared" si="73"/>
        <v>a</v>
      </c>
      <c r="D173" s="29" t="s">
        <v>1</v>
      </c>
      <c r="E173" s="29" t="s">
        <v>209</v>
      </c>
      <c r="F173" s="2" t="s">
        <v>215</v>
      </c>
      <c r="G173" s="2">
        <f t="shared" si="63"/>
        <v>3</v>
      </c>
      <c r="H173" s="2" t="str">
        <f t="shared" si="55"/>
        <v>黑暗</v>
      </c>
      <c r="I173" s="38">
        <f t="shared" si="56"/>
        <v>0.08</v>
      </c>
      <c r="J173" s="33">
        <f t="shared" ref="J173:J182" si="74">INT((1+VLOOKUP($F173,role_property_weight,getpos(J$2),FALSE))*(1+VLOOKUP($F173,drop_property_weight,getpos(J$2),FALSE))*VLOOKUP($E173,role_grow,getpos(J$2),FALSE)*$G173*10*VLOOKUP($C173,drop_grow1,4,FALSE))</f>
        <v>25</v>
      </c>
      <c r="K173" s="33">
        <f t="shared" ref="K173:Q182" si="75">INT((1+VLOOKUP($F173,role_property_weight,getpos(K$2),FALSE))*(1+VLOOKUP($F173,drop_property_weight,getpos(K$2),FALSE))*VLOOKUP($E173,role_grow,getpos(K$2),FALSE)*$G173*10*VLOOKUP($C173,drop_grow1,5,FALSE))</f>
        <v>46</v>
      </c>
      <c r="L173" s="33">
        <f t="shared" si="75"/>
        <v>5</v>
      </c>
      <c r="M173" s="33">
        <f t="shared" si="75"/>
        <v>28</v>
      </c>
      <c r="N173" s="33">
        <f t="shared" si="75"/>
        <v>28</v>
      </c>
      <c r="O173" s="33">
        <f t="shared" si="75"/>
        <v>28</v>
      </c>
      <c r="P173" s="33">
        <f t="shared" si="75"/>
        <v>19</v>
      </c>
      <c r="Q173" s="33">
        <f t="shared" si="75"/>
        <v>12</v>
      </c>
      <c r="R173" s="35">
        <f t="shared" si="57"/>
        <v>2.4E-2</v>
      </c>
      <c r="S173" s="35">
        <f t="shared" si="58"/>
        <v>3.7999999999999999E-2</v>
      </c>
      <c r="T173" s="35">
        <f t="shared" si="59"/>
        <v>1.4999999999999999E-2</v>
      </c>
      <c r="U173" s="35">
        <f t="shared" ref="U173:AA182" si="76">1-200/(200+ROUND((1+VLOOKUP($F173,role_property_weight,getpos(U$2),FALSE))*VLOOKUP($E173,role_grow,getpos(U$2),FALSE)*$G173*10*VLOOKUP($C173,drop_grow1,5,FALSE),0))</f>
        <v>3.8461538461538436E-2</v>
      </c>
      <c r="V173" s="35">
        <f t="shared" si="76"/>
        <v>3.8461538461538436E-2</v>
      </c>
      <c r="W173" s="35">
        <f t="shared" si="76"/>
        <v>3.8461538461538436E-2</v>
      </c>
      <c r="X173" s="35">
        <f t="shared" si="76"/>
        <v>3.8461538461538436E-2</v>
      </c>
      <c r="Y173" s="35">
        <f t="shared" si="76"/>
        <v>3.8461538461538436E-2</v>
      </c>
      <c r="Z173" s="35">
        <f t="shared" si="76"/>
        <v>0.19354838709677424</v>
      </c>
      <c r="AA173" s="35">
        <f t="shared" si="76"/>
        <v>3.8461538461538436E-2</v>
      </c>
    </row>
    <row r="174" spans="2:27" x14ac:dyDescent="0.2">
      <c r="B174" s="2">
        <v>172</v>
      </c>
      <c r="C174" s="2" t="str">
        <f t="shared" si="73"/>
        <v>a</v>
      </c>
      <c r="D174" s="29" t="s">
        <v>1</v>
      </c>
      <c r="E174" s="29" t="s">
        <v>209</v>
      </c>
      <c r="F174" s="2" t="s">
        <v>215</v>
      </c>
      <c r="G174" s="2">
        <f t="shared" si="63"/>
        <v>4</v>
      </c>
      <c r="H174" s="2" t="str">
        <f t="shared" si="55"/>
        <v>黑暗</v>
      </c>
      <c r="I174" s="38">
        <f t="shared" si="56"/>
        <v>0.08</v>
      </c>
      <c r="J174" s="33">
        <f t="shared" si="74"/>
        <v>33</v>
      </c>
      <c r="K174" s="33">
        <f t="shared" si="75"/>
        <v>62</v>
      </c>
      <c r="L174" s="33">
        <f t="shared" si="75"/>
        <v>7</v>
      </c>
      <c r="M174" s="33">
        <f t="shared" si="75"/>
        <v>38</v>
      </c>
      <c r="N174" s="33">
        <f t="shared" si="75"/>
        <v>38</v>
      </c>
      <c r="O174" s="33">
        <f t="shared" si="75"/>
        <v>38</v>
      </c>
      <c r="P174" s="33">
        <f t="shared" si="75"/>
        <v>25</v>
      </c>
      <c r="Q174" s="33">
        <f t="shared" si="75"/>
        <v>17</v>
      </c>
      <c r="R174" s="35">
        <f t="shared" si="57"/>
        <v>3.4000000000000002E-2</v>
      </c>
      <c r="S174" s="35">
        <f t="shared" si="58"/>
        <v>0.05</v>
      </c>
      <c r="T174" s="35">
        <f t="shared" si="59"/>
        <v>2.1250000000000002E-2</v>
      </c>
      <c r="U174" s="35">
        <f t="shared" si="76"/>
        <v>5.2132701421800931E-2</v>
      </c>
      <c r="V174" s="35">
        <f t="shared" si="76"/>
        <v>5.2132701421800931E-2</v>
      </c>
      <c r="W174" s="35">
        <f t="shared" si="76"/>
        <v>5.2132701421800931E-2</v>
      </c>
      <c r="X174" s="35">
        <f t="shared" si="76"/>
        <v>5.2132701421800931E-2</v>
      </c>
      <c r="Y174" s="35">
        <f t="shared" si="76"/>
        <v>5.2132701421800931E-2</v>
      </c>
      <c r="Z174" s="35">
        <f t="shared" si="76"/>
        <v>0.24242424242424243</v>
      </c>
      <c r="AA174" s="35">
        <f t="shared" si="76"/>
        <v>5.2132701421800931E-2</v>
      </c>
    </row>
    <row r="175" spans="2:27" x14ac:dyDescent="0.2">
      <c r="B175" s="2">
        <v>173</v>
      </c>
      <c r="C175" s="2" t="str">
        <f t="shared" si="73"/>
        <v>a</v>
      </c>
      <c r="D175" s="29" t="s">
        <v>1</v>
      </c>
      <c r="E175" s="29" t="s">
        <v>209</v>
      </c>
      <c r="F175" s="2" t="s">
        <v>215</v>
      </c>
      <c r="G175" s="2">
        <f t="shared" si="63"/>
        <v>5</v>
      </c>
      <c r="H175" s="2" t="str">
        <f t="shared" si="55"/>
        <v>黑暗</v>
      </c>
      <c r="I175" s="38">
        <f t="shared" si="56"/>
        <v>9.3142857142857152E-2</v>
      </c>
      <c r="J175" s="33">
        <f t="shared" si="74"/>
        <v>42</v>
      </c>
      <c r="K175" s="33">
        <f t="shared" si="75"/>
        <v>78</v>
      </c>
      <c r="L175" s="33">
        <f t="shared" si="75"/>
        <v>9</v>
      </c>
      <c r="M175" s="33">
        <f t="shared" si="75"/>
        <v>48</v>
      </c>
      <c r="N175" s="33">
        <f t="shared" si="75"/>
        <v>48</v>
      </c>
      <c r="O175" s="33">
        <f t="shared" si="75"/>
        <v>48</v>
      </c>
      <c r="P175" s="33">
        <f t="shared" si="75"/>
        <v>32</v>
      </c>
      <c r="Q175" s="33">
        <f t="shared" si="75"/>
        <v>21</v>
      </c>
      <c r="R175" s="35">
        <f t="shared" si="57"/>
        <v>4.2000000000000003E-2</v>
      </c>
      <c r="S175" s="35">
        <f t="shared" si="58"/>
        <v>6.4000000000000001E-2</v>
      </c>
      <c r="T175" s="35">
        <f t="shared" si="59"/>
        <v>2.6249999999999999E-2</v>
      </c>
      <c r="U175" s="35">
        <f t="shared" si="76"/>
        <v>6.1032863849765251E-2</v>
      </c>
      <c r="V175" s="35">
        <f t="shared" si="76"/>
        <v>6.1032863849765251E-2</v>
      </c>
      <c r="W175" s="35">
        <f t="shared" si="76"/>
        <v>6.1032863849765251E-2</v>
      </c>
      <c r="X175" s="35">
        <f t="shared" si="76"/>
        <v>6.1032863849765251E-2</v>
      </c>
      <c r="Y175" s="35">
        <f t="shared" si="76"/>
        <v>6.1032863849765251E-2</v>
      </c>
      <c r="Z175" s="35">
        <f t="shared" si="76"/>
        <v>0.2857142857142857</v>
      </c>
      <c r="AA175" s="35">
        <f t="shared" si="76"/>
        <v>6.1032863849765251E-2</v>
      </c>
    </row>
    <row r="176" spans="2:27" x14ac:dyDescent="0.2">
      <c r="B176" s="2">
        <v>174</v>
      </c>
      <c r="C176" s="2" t="str">
        <f t="shared" si="73"/>
        <v>a</v>
      </c>
      <c r="D176" s="29" t="s">
        <v>1</v>
      </c>
      <c r="E176" s="29" t="s">
        <v>209</v>
      </c>
      <c r="F176" s="2" t="s">
        <v>215</v>
      </c>
      <c r="G176" s="2">
        <f t="shared" si="63"/>
        <v>6</v>
      </c>
      <c r="H176" s="2" t="str">
        <f t="shared" si="55"/>
        <v>黑暗</v>
      </c>
      <c r="I176" s="38">
        <f t="shared" si="56"/>
        <v>0.11085714285714285</v>
      </c>
      <c r="J176" s="33">
        <f t="shared" si="74"/>
        <v>50</v>
      </c>
      <c r="K176" s="33">
        <f t="shared" si="75"/>
        <v>93</v>
      </c>
      <c r="L176" s="33">
        <f t="shared" si="75"/>
        <v>11</v>
      </c>
      <c r="M176" s="33">
        <f t="shared" si="75"/>
        <v>57</v>
      </c>
      <c r="N176" s="33">
        <f t="shared" si="75"/>
        <v>57</v>
      </c>
      <c r="O176" s="33">
        <f t="shared" si="75"/>
        <v>57</v>
      </c>
      <c r="P176" s="33">
        <f t="shared" si="75"/>
        <v>38</v>
      </c>
      <c r="Q176" s="33">
        <f t="shared" si="75"/>
        <v>25</v>
      </c>
      <c r="R176" s="35">
        <f t="shared" si="57"/>
        <v>0.05</v>
      </c>
      <c r="S176" s="35">
        <f t="shared" si="58"/>
        <v>7.5999999999999998E-2</v>
      </c>
      <c r="T176" s="35">
        <f t="shared" si="59"/>
        <v>3.125E-2</v>
      </c>
      <c r="U176" s="35">
        <f t="shared" si="76"/>
        <v>7.407407407407407E-2</v>
      </c>
      <c r="V176" s="35">
        <f t="shared" si="76"/>
        <v>7.407407407407407E-2</v>
      </c>
      <c r="W176" s="35">
        <f t="shared" si="76"/>
        <v>7.407407407407407E-2</v>
      </c>
      <c r="X176" s="35">
        <f t="shared" si="76"/>
        <v>7.407407407407407E-2</v>
      </c>
      <c r="Y176" s="35">
        <f t="shared" si="76"/>
        <v>7.407407407407407E-2</v>
      </c>
      <c r="Z176" s="35">
        <f t="shared" si="76"/>
        <v>0.32432432432432434</v>
      </c>
      <c r="AA176" s="35">
        <f t="shared" si="76"/>
        <v>7.407407407407407E-2</v>
      </c>
    </row>
    <row r="177" spans="2:27" x14ac:dyDescent="0.2">
      <c r="B177" s="2">
        <v>175</v>
      </c>
      <c r="C177" s="2" t="str">
        <f t="shared" si="73"/>
        <v>a</v>
      </c>
      <c r="D177" s="29" t="s">
        <v>1</v>
      </c>
      <c r="E177" s="29" t="s">
        <v>209</v>
      </c>
      <c r="F177" s="2" t="s">
        <v>215</v>
      </c>
      <c r="G177" s="2">
        <f t="shared" si="63"/>
        <v>7</v>
      </c>
      <c r="H177" s="2" t="str">
        <f t="shared" si="55"/>
        <v>黑暗</v>
      </c>
      <c r="I177" s="38">
        <f t="shared" si="56"/>
        <v>0.12971428571428573</v>
      </c>
      <c r="J177" s="33">
        <f t="shared" si="74"/>
        <v>58</v>
      </c>
      <c r="K177" s="33">
        <f t="shared" si="75"/>
        <v>109</v>
      </c>
      <c r="L177" s="33">
        <f t="shared" si="75"/>
        <v>13</v>
      </c>
      <c r="M177" s="33">
        <f t="shared" si="75"/>
        <v>67</v>
      </c>
      <c r="N177" s="33">
        <f t="shared" si="75"/>
        <v>67</v>
      </c>
      <c r="O177" s="33">
        <f t="shared" si="75"/>
        <v>67</v>
      </c>
      <c r="P177" s="33">
        <f t="shared" si="75"/>
        <v>44</v>
      </c>
      <c r="Q177" s="33">
        <f t="shared" si="75"/>
        <v>29</v>
      </c>
      <c r="R177" s="35">
        <f t="shared" si="57"/>
        <v>5.7999999999999996E-2</v>
      </c>
      <c r="S177" s="35">
        <f t="shared" si="58"/>
        <v>8.8000000000000009E-2</v>
      </c>
      <c r="T177" s="35">
        <f t="shared" si="59"/>
        <v>3.6249999999999998E-2</v>
      </c>
      <c r="U177" s="35">
        <f t="shared" si="76"/>
        <v>8.6757990867579959E-2</v>
      </c>
      <c r="V177" s="35">
        <f t="shared" si="76"/>
        <v>8.6757990867579959E-2</v>
      </c>
      <c r="W177" s="35">
        <f t="shared" si="76"/>
        <v>8.6757990867579959E-2</v>
      </c>
      <c r="X177" s="35">
        <f t="shared" si="76"/>
        <v>8.6757990867579959E-2</v>
      </c>
      <c r="Y177" s="35">
        <f t="shared" si="76"/>
        <v>8.6757990867579959E-2</v>
      </c>
      <c r="Z177" s="35">
        <f t="shared" si="76"/>
        <v>0.35897435897435892</v>
      </c>
      <c r="AA177" s="35">
        <f t="shared" si="76"/>
        <v>8.6757990867579959E-2</v>
      </c>
    </row>
    <row r="178" spans="2:27" x14ac:dyDescent="0.2">
      <c r="B178" s="2">
        <v>176</v>
      </c>
      <c r="C178" s="2" t="str">
        <f t="shared" si="73"/>
        <v>a</v>
      </c>
      <c r="D178" s="29" t="s">
        <v>1</v>
      </c>
      <c r="E178" s="29" t="s">
        <v>209</v>
      </c>
      <c r="F178" s="2" t="s">
        <v>215</v>
      </c>
      <c r="G178" s="2">
        <f t="shared" si="63"/>
        <v>8</v>
      </c>
      <c r="H178" s="2" t="str">
        <f t="shared" si="55"/>
        <v>黑暗</v>
      </c>
      <c r="I178" s="38">
        <f t="shared" si="56"/>
        <v>0.1482857142857143</v>
      </c>
      <c r="J178" s="33">
        <f t="shared" si="74"/>
        <v>67</v>
      </c>
      <c r="K178" s="33">
        <f t="shared" si="75"/>
        <v>124</v>
      </c>
      <c r="L178" s="33">
        <f t="shared" si="75"/>
        <v>15</v>
      </c>
      <c r="M178" s="33">
        <f t="shared" si="75"/>
        <v>76</v>
      </c>
      <c r="N178" s="33">
        <f t="shared" si="75"/>
        <v>76</v>
      </c>
      <c r="O178" s="33">
        <f t="shared" si="75"/>
        <v>76</v>
      </c>
      <c r="P178" s="33">
        <f t="shared" si="75"/>
        <v>51</v>
      </c>
      <c r="Q178" s="33">
        <f t="shared" si="75"/>
        <v>34</v>
      </c>
      <c r="R178" s="35">
        <f t="shared" si="57"/>
        <v>6.8000000000000005E-2</v>
      </c>
      <c r="S178" s="35">
        <f t="shared" si="58"/>
        <v>0.10199999999999999</v>
      </c>
      <c r="T178" s="35">
        <f t="shared" si="59"/>
        <v>4.2500000000000003E-2</v>
      </c>
      <c r="U178" s="35">
        <f t="shared" si="76"/>
        <v>9.5022624434389136E-2</v>
      </c>
      <c r="V178" s="35">
        <f t="shared" si="76"/>
        <v>9.5022624434389136E-2</v>
      </c>
      <c r="W178" s="35">
        <f t="shared" si="76"/>
        <v>9.5022624434389136E-2</v>
      </c>
      <c r="X178" s="35">
        <f t="shared" si="76"/>
        <v>9.5022624434389136E-2</v>
      </c>
      <c r="Y178" s="35">
        <f t="shared" si="76"/>
        <v>9.5022624434389136E-2</v>
      </c>
      <c r="Z178" s="35">
        <f t="shared" si="76"/>
        <v>0.3902439024390244</v>
      </c>
      <c r="AA178" s="35">
        <f t="shared" si="76"/>
        <v>9.5022624434389136E-2</v>
      </c>
    </row>
    <row r="179" spans="2:27" x14ac:dyDescent="0.2">
      <c r="B179" s="2">
        <v>177</v>
      </c>
      <c r="C179" s="2" t="str">
        <f t="shared" si="73"/>
        <v>b</v>
      </c>
      <c r="D179" s="29" t="s">
        <v>1</v>
      </c>
      <c r="E179" s="29" t="s">
        <v>209</v>
      </c>
      <c r="F179" s="2" t="s">
        <v>215</v>
      </c>
      <c r="G179" s="2">
        <f t="shared" si="63"/>
        <v>1</v>
      </c>
      <c r="H179" s="2" t="str">
        <f t="shared" si="55"/>
        <v>黑暗</v>
      </c>
      <c r="I179" s="38">
        <f t="shared" si="56"/>
        <v>0.08</v>
      </c>
      <c r="J179" s="33">
        <f t="shared" si="74"/>
        <v>9</v>
      </c>
      <c r="K179" s="33">
        <f t="shared" si="75"/>
        <v>23</v>
      </c>
      <c r="L179" s="33">
        <f t="shared" si="75"/>
        <v>2</v>
      </c>
      <c r="M179" s="33">
        <f t="shared" si="75"/>
        <v>14</v>
      </c>
      <c r="N179" s="33">
        <f t="shared" si="75"/>
        <v>14</v>
      </c>
      <c r="O179" s="33">
        <f t="shared" si="75"/>
        <v>14</v>
      </c>
      <c r="P179" s="33">
        <f t="shared" si="75"/>
        <v>9</v>
      </c>
      <c r="Q179" s="33">
        <f t="shared" si="75"/>
        <v>6</v>
      </c>
      <c r="R179" s="35">
        <f t="shared" si="57"/>
        <v>1.2E-2</v>
      </c>
      <c r="S179" s="35">
        <f t="shared" si="58"/>
        <v>1.8000000000000002E-2</v>
      </c>
      <c r="T179" s="35">
        <f t="shared" si="59"/>
        <v>7.4999999999999997E-3</v>
      </c>
      <c r="U179" s="35">
        <f t="shared" si="76"/>
        <v>1.9607843137254943E-2</v>
      </c>
      <c r="V179" s="35">
        <f t="shared" si="76"/>
        <v>1.9607843137254943E-2</v>
      </c>
      <c r="W179" s="35">
        <f t="shared" si="76"/>
        <v>1.9607843137254943E-2</v>
      </c>
      <c r="X179" s="35">
        <f t="shared" si="76"/>
        <v>1.9607843137254943E-2</v>
      </c>
      <c r="Y179" s="35">
        <f t="shared" si="76"/>
        <v>1.9607843137254943E-2</v>
      </c>
      <c r="Z179" s="35">
        <f t="shared" si="76"/>
        <v>0.1071428571428571</v>
      </c>
      <c r="AA179" s="35">
        <f t="shared" si="76"/>
        <v>1.9607843137254943E-2</v>
      </c>
    </row>
    <row r="180" spans="2:27" x14ac:dyDescent="0.2">
      <c r="B180" s="2">
        <v>178</v>
      </c>
      <c r="C180" s="2" t="str">
        <f t="shared" si="73"/>
        <v>b</v>
      </c>
      <c r="D180" s="29" t="s">
        <v>1</v>
      </c>
      <c r="E180" s="29" t="s">
        <v>209</v>
      </c>
      <c r="F180" s="2" t="s">
        <v>215</v>
      </c>
      <c r="G180" s="2">
        <f t="shared" si="63"/>
        <v>2</v>
      </c>
      <c r="H180" s="2" t="str">
        <f t="shared" si="55"/>
        <v>黑暗</v>
      </c>
      <c r="I180" s="38">
        <f t="shared" si="56"/>
        <v>0.08</v>
      </c>
      <c r="J180" s="33">
        <f t="shared" si="74"/>
        <v>19</v>
      </c>
      <c r="K180" s="33">
        <f t="shared" si="75"/>
        <v>46</v>
      </c>
      <c r="L180" s="33">
        <f t="shared" si="75"/>
        <v>5</v>
      </c>
      <c r="M180" s="33">
        <f t="shared" si="75"/>
        <v>28</v>
      </c>
      <c r="N180" s="33">
        <f t="shared" si="75"/>
        <v>28</v>
      </c>
      <c r="O180" s="33">
        <f t="shared" si="75"/>
        <v>28</v>
      </c>
      <c r="P180" s="33">
        <f t="shared" si="75"/>
        <v>19</v>
      </c>
      <c r="Q180" s="33">
        <f t="shared" si="75"/>
        <v>12</v>
      </c>
      <c r="R180" s="35">
        <f t="shared" si="57"/>
        <v>2.4E-2</v>
      </c>
      <c r="S180" s="35">
        <f t="shared" si="58"/>
        <v>3.7999999999999999E-2</v>
      </c>
      <c r="T180" s="35">
        <f t="shared" si="59"/>
        <v>1.4999999999999999E-2</v>
      </c>
      <c r="U180" s="35">
        <f t="shared" si="76"/>
        <v>3.8461538461538436E-2</v>
      </c>
      <c r="V180" s="35">
        <f t="shared" si="76"/>
        <v>3.8461538461538436E-2</v>
      </c>
      <c r="W180" s="35">
        <f t="shared" si="76"/>
        <v>3.8461538461538436E-2</v>
      </c>
      <c r="X180" s="35">
        <f t="shared" si="76"/>
        <v>3.8461538461538436E-2</v>
      </c>
      <c r="Y180" s="35">
        <f t="shared" si="76"/>
        <v>3.8461538461538436E-2</v>
      </c>
      <c r="Z180" s="35">
        <f t="shared" si="76"/>
        <v>0.19354838709677424</v>
      </c>
      <c r="AA180" s="35">
        <f t="shared" si="76"/>
        <v>3.8461538461538436E-2</v>
      </c>
    </row>
    <row r="181" spans="2:27" x14ac:dyDescent="0.2">
      <c r="B181" s="2">
        <v>179</v>
      </c>
      <c r="C181" s="2" t="str">
        <f t="shared" si="73"/>
        <v>b</v>
      </c>
      <c r="D181" s="29" t="s">
        <v>1</v>
      </c>
      <c r="E181" s="29" t="s">
        <v>209</v>
      </c>
      <c r="F181" s="2" t="s">
        <v>215</v>
      </c>
      <c r="G181" s="2">
        <f t="shared" si="63"/>
        <v>3</v>
      </c>
      <c r="H181" s="2" t="str">
        <f t="shared" si="55"/>
        <v>黑暗</v>
      </c>
      <c r="I181" s="38">
        <f t="shared" si="56"/>
        <v>8.085714285714285E-2</v>
      </c>
      <c r="J181" s="33">
        <f t="shared" si="74"/>
        <v>29</v>
      </c>
      <c r="K181" s="33">
        <f t="shared" si="75"/>
        <v>70</v>
      </c>
      <c r="L181" s="33">
        <f t="shared" si="75"/>
        <v>8</v>
      </c>
      <c r="M181" s="33">
        <f t="shared" si="75"/>
        <v>43</v>
      </c>
      <c r="N181" s="33">
        <f t="shared" si="75"/>
        <v>43</v>
      </c>
      <c r="O181" s="33">
        <f t="shared" si="75"/>
        <v>43</v>
      </c>
      <c r="P181" s="33">
        <f t="shared" si="75"/>
        <v>28</v>
      </c>
      <c r="Q181" s="33">
        <f t="shared" si="75"/>
        <v>19</v>
      </c>
      <c r="R181" s="35">
        <f t="shared" si="57"/>
        <v>3.7999999999999999E-2</v>
      </c>
      <c r="S181" s="35">
        <f t="shared" si="58"/>
        <v>5.5999999999999994E-2</v>
      </c>
      <c r="T181" s="35">
        <f t="shared" si="59"/>
        <v>2.375E-2</v>
      </c>
      <c r="U181" s="35">
        <f t="shared" si="76"/>
        <v>5.6603773584905648E-2</v>
      </c>
      <c r="V181" s="35">
        <f t="shared" si="76"/>
        <v>5.6603773584905648E-2</v>
      </c>
      <c r="W181" s="35">
        <f t="shared" si="76"/>
        <v>5.6603773584905648E-2</v>
      </c>
      <c r="X181" s="35">
        <f t="shared" si="76"/>
        <v>5.6603773584905648E-2</v>
      </c>
      <c r="Y181" s="35">
        <f t="shared" si="76"/>
        <v>5.6603773584905648E-2</v>
      </c>
      <c r="Z181" s="35">
        <f t="shared" si="76"/>
        <v>0.26470588235294112</v>
      </c>
      <c r="AA181" s="35">
        <f t="shared" si="76"/>
        <v>5.6603773584905648E-2</v>
      </c>
    </row>
    <row r="182" spans="2:27" x14ac:dyDescent="0.2">
      <c r="B182" s="2">
        <v>180</v>
      </c>
      <c r="C182" s="2" t="str">
        <f t="shared" si="73"/>
        <v>b</v>
      </c>
      <c r="D182" s="29" t="s">
        <v>1</v>
      </c>
      <c r="E182" s="29" t="s">
        <v>209</v>
      </c>
      <c r="F182" s="2" t="s">
        <v>215</v>
      </c>
      <c r="G182" s="2">
        <f t="shared" si="63"/>
        <v>4</v>
      </c>
      <c r="H182" s="2" t="str">
        <f t="shared" si="55"/>
        <v>黑暗</v>
      </c>
      <c r="I182" s="38">
        <f t="shared" si="56"/>
        <v>0.10771428571428572</v>
      </c>
      <c r="J182" s="33">
        <f t="shared" si="74"/>
        <v>39</v>
      </c>
      <c r="K182" s="33">
        <f t="shared" si="75"/>
        <v>93</v>
      </c>
      <c r="L182" s="33">
        <f t="shared" si="75"/>
        <v>11</v>
      </c>
      <c r="M182" s="33">
        <f t="shared" si="75"/>
        <v>57</v>
      </c>
      <c r="N182" s="33">
        <f t="shared" si="75"/>
        <v>57</v>
      </c>
      <c r="O182" s="33">
        <f t="shared" si="75"/>
        <v>57</v>
      </c>
      <c r="P182" s="33">
        <f t="shared" si="75"/>
        <v>38</v>
      </c>
      <c r="Q182" s="33">
        <f t="shared" si="75"/>
        <v>25</v>
      </c>
      <c r="R182" s="35">
        <f t="shared" si="57"/>
        <v>0.05</v>
      </c>
      <c r="S182" s="35">
        <f t="shared" si="58"/>
        <v>7.5999999999999998E-2</v>
      </c>
      <c r="T182" s="35">
        <f t="shared" si="59"/>
        <v>3.125E-2</v>
      </c>
      <c r="U182" s="35">
        <f t="shared" si="76"/>
        <v>7.407407407407407E-2</v>
      </c>
      <c r="V182" s="35">
        <f t="shared" si="76"/>
        <v>7.407407407407407E-2</v>
      </c>
      <c r="W182" s="35">
        <f t="shared" si="76"/>
        <v>7.407407407407407E-2</v>
      </c>
      <c r="X182" s="35">
        <f t="shared" si="76"/>
        <v>7.407407407407407E-2</v>
      </c>
      <c r="Y182" s="35">
        <f t="shared" si="76"/>
        <v>7.407407407407407E-2</v>
      </c>
      <c r="Z182" s="35">
        <f t="shared" si="76"/>
        <v>0.32432432432432434</v>
      </c>
      <c r="AA182" s="35">
        <f t="shared" si="76"/>
        <v>7.407407407407407E-2</v>
      </c>
    </row>
    <row r="183" spans="2:27" x14ac:dyDescent="0.2">
      <c r="B183" s="2">
        <v>181</v>
      </c>
      <c r="C183" s="2" t="str">
        <f t="shared" si="73"/>
        <v>b</v>
      </c>
      <c r="D183" s="29" t="s">
        <v>1</v>
      </c>
      <c r="E183" s="29" t="s">
        <v>209</v>
      </c>
      <c r="F183" s="2" t="s">
        <v>215</v>
      </c>
      <c r="G183" s="2">
        <f t="shared" si="63"/>
        <v>5</v>
      </c>
      <c r="H183" s="2" t="str">
        <f t="shared" si="55"/>
        <v>黑暗</v>
      </c>
      <c r="I183" s="38">
        <f t="shared" si="56"/>
        <v>0.13600000000000001</v>
      </c>
      <c r="J183" s="33">
        <f t="shared" ref="J183:J192" si="77">INT((1+VLOOKUP($F183,role_property_weight,getpos(J$2),FALSE))*(1+VLOOKUP($F183,drop_property_weight,getpos(J$2),FALSE))*VLOOKUP($E183,role_grow,getpos(J$2),FALSE)*$G183*10*VLOOKUP($C183,drop_grow1,4,FALSE))</f>
        <v>49</v>
      </c>
      <c r="K183" s="33">
        <f t="shared" ref="K183:Q192" si="78">INT((1+VLOOKUP($F183,role_property_weight,getpos(K$2),FALSE))*(1+VLOOKUP($F183,drop_property_weight,getpos(K$2),FALSE))*VLOOKUP($E183,role_grow,getpos(K$2),FALSE)*$G183*10*VLOOKUP($C183,drop_grow1,5,FALSE))</f>
        <v>117</v>
      </c>
      <c r="L183" s="33">
        <f t="shared" si="78"/>
        <v>14</v>
      </c>
      <c r="M183" s="33">
        <f t="shared" si="78"/>
        <v>72</v>
      </c>
      <c r="N183" s="33">
        <f t="shared" si="78"/>
        <v>72</v>
      </c>
      <c r="O183" s="33">
        <f t="shared" si="78"/>
        <v>72</v>
      </c>
      <c r="P183" s="33">
        <f t="shared" si="78"/>
        <v>48</v>
      </c>
      <c r="Q183" s="33">
        <f t="shared" si="78"/>
        <v>32</v>
      </c>
      <c r="R183" s="35">
        <f t="shared" si="57"/>
        <v>6.4000000000000001E-2</v>
      </c>
      <c r="S183" s="35">
        <f t="shared" si="58"/>
        <v>9.6000000000000002E-2</v>
      </c>
      <c r="T183" s="35">
        <f t="shared" si="59"/>
        <v>0.04</v>
      </c>
      <c r="U183" s="35">
        <f t="shared" ref="U183:AA192" si="79">1-200/(200+ROUND((1+VLOOKUP($F183,role_property_weight,getpos(U$2),FALSE))*VLOOKUP($E183,role_grow,getpos(U$2),FALSE)*$G183*10*VLOOKUP($C183,drop_grow1,5,FALSE),0))</f>
        <v>9.0909090909090939E-2</v>
      </c>
      <c r="V183" s="35">
        <f t="shared" si="79"/>
        <v>9.0909090909090939E-2</v>
      </c>
      <c r="W183" s="35">
        <f t="shared" si="79"/>
        <v>9.0909090909090939E-2</v>
      </c>
      <c r="X183" s="35">
        <f t="shared" si="79"/>
        <v>9.0909090909090939E-2</v>
      </c>
      <c r="Y183" s="35">
        <f t="shared" si="79"/>
        <v>9.0909090909090939E-2</v>
      </c>
      <c r="Z183" s="35">
        <f t="shared" si="79"/>
        <v>0.375</v>
      </c>
      <c r="AA183" s="35">
        <f t="shared" si="79"/>
        <v>9.0909090909090939E-2</v>
      </c>
    </row>
    <row r="184" spans="2:27" x14ac:dyDescent="0.2">
      <c r="B184" s="2">
        <v>182</v>
      </c>
      <c r="C184" s="2" t="str">
        <f t="shared" si="73"/>
        <v>b</v>
      </c>
      <c r="D184" s="29" t="s">
        <v>1</v>
      </c>
      <c r="E184" s="29" t="s">
        <v>209</v>
      </c>
      <c r="F184" s="2" t="s">
        <v>215</v>
      </c>
      <c r="G184" s="2">
        <f t="shared" si="63"/>
        <v>6</v>
      </c>
      <c r="H184" s="2" t="str">
        <f t="shared" si="55"/>
        <v>黑暗</v>
      </c>
      <c r="I184" s="38">
        <f t="shared" si="56"/>
        <v>0.16228571428571428</v>
      </c>
      <c r="J184" s="33">
        <f t="shared" si="77"/>
        <v>58</v>
      </c>
      <c r="K184" s="33">
        <f t="shared" si="78"/>
        <v>140</v>
      </c>
      <c r="L184" s="33">
        <f t="shared" si="78"/>
        <v>17</v>
      </c>
      <c r="M184" s="33">
        <f t="shared" si="78"/>
        <v>86</v>
      </c>
      <c r="N184" s="33">
        <f t="shared" si="78"/>
        <v>86</v>
      </c>
      <c r="O184" s="33">
        <f t="shared" si="78"/>
        <v>86</v>
      </c>
      <c r="P184" s="33">
        <f t="shared" si="78"/>
        <v>57</v>
      </c>
      <c r="Q184" s="33">
        <f t="shared" si="78"/>
        <v>38</v>
      </c>
      <c r="R184" s="35">
        <f t="shared" si="57"/>
        <v>7.5999999999999998E-2</v>
      </c>
      <c r="S184" s="35">
        <f t="shared" si="58"/>
        <v>0.114</v>
      </c>
      <c r="T184" s="35">
        <f t="shared" si="59"/>
        <v>4.7500000000000001E-2</v>
      </c>
      <c r="U184" s="35">
        <f t="shared" si="79"/>
        <v>0.1071428571428571</v>
      </c>
      <c r="V184" s="35">
        <f t="shared" si="79"/>
        <v>0.1071428571428571</v>
      </c>
      <c r="W184" s="35">
        <f t="shared" si="79"/>
        <v>0.1071428571428571</v>
      </c>
      <c r="X184" s="35">
        <f t="shared" si="79"/>
        <v>0.1071428571428571</v>
      </c>
      <c r="Y184" s="35">
        <f t="shared" si="79"/>
        <v>0.1071428571428571</v>
      </c>
      <c r="Z184" s="35">
        <f t="shared" si="79"/>
        <v>0.41860465116279066</v>
      </c>
      <c r="AA184" s="35">
        <f t="shared" si="79"/>
        <v>0.1071428571428571</v>
      </c>
    </row>
    <row r="185" spans="2:27" x14ac:dyDescent="0.2">
      <c r="B185" s="2">
        <v>183</v>
      </c>
      <c r="C185" s="2" t="str">
        <f t="shared" si="73"/>
        <v>b</v>
      </c>
      <c r="D185" s="29" t="s">
        <v>1</v>
      </c>
      <c r="E185" s="29" t="s">
        <v>209</v>
      </c>
      <c r="F185" s="2" t="s">
        <v>215</v>
      </c>
      <c r="G185" s="2">
        <f t="shared" si="63"/>
        <v>7</v>
      </c>
      <c r="H185" s="2" t="str">
        <f t="shared" si="55"/>
        <v>黑暗</v>
      </c>
      <c r="I185" s="38">
        <f t="shared" si="56"/>
        <v>0.18914285714285714</v>
      </c>
      <c r="J185" s="33">
        <f t="shared" si="77"/>
        <v>68</v>
      </c>
      <c r="K185" s="33">
        <f t="shared" si="78"/>
        <v>163</v>
      </c>
      <c r="L185" s="33">
        <f t="shared" si="78"/>
        <v>20</v>
      </c>
      <c r="M185" s="33">
        <f t="shared" si="78"/>
        <v>100</v>
      </c>
      <c r="N185" s="33">
        <f t="shared" si="78"/>
        <v>100</v>
      </c>
      <c r="O185" s="33">
        <f t="shared" si="78"/>
        <v>100</v>
      </c>
      <c r="P185" s="33">
        <f t="shared" si="78"/>
        <v>67</v>
      </c>
      <c r="Q185" s="33">
        <f t="shared" si="78"/>
        <v>44</v>
      </c>
      <c r="R185" s="35">
        <f t="shared" si="57"/>
        <v>8.8000000000000009E-2</v>
      </c>
      <c r="S185" s="35">
        <f t="shared" si="58"/>
        <v>0.13400000000000001</v>
      </c>
      <c r="T185" s="35">
        <f t="shared" si="59"/>
        <v>5.5E-2</v>
      </c>
      <c r="U185" s="35">
        <f t="shared" si="79"/>
        <v>0.1228070175438597</v>
      </c>
      <c r="V185" s="35">
        <f t="shared" si="79"/>
        <v>0.1228070175438597</v>
      </c>
      <c r="W185" s="35">
        <f t="shared" si="79"/>
        <v>0.1228070175438597</v>
      </c>
      <c r="X185" s="35">
        <f t="shared" si="79"/>
        <v>0.1228070175438597</v>
      </c>
      <c r="Y185" s="35">
        <f t="shared" si="79"/>
        <v>0.1228070175438597</v>
      </c>
      <c r="Z185" s="35">
        <f t="shared" si="79"/>
        <v>0.45652173913043481</v>
      </c>
      <c r="AA185" s="35">
        <f t="shared" si="79"/>
        <v>0.1228070175438597</v>
      </c>
    </row>
    <row r="186" spans="2:27" x14ac:dyDescent="0.2">
      <c r="B186" s="2">
        <v>184</v>
      </c>
      <c r="C186" s="2" t="str">
        <f t="shared" si="73"/>
        <v>b</v>
      </c>
      <c r="D186" s="29" t="s">
        <v>1</v>
      </c>
      <c r="E186" s="29" t="s">
        <v>209</v>
      </c>
      <c r="F186" s="2" t="s">
        <v>215</v>
      </c>
      <c r="G186" s="2">
        <f t="shared" si="63"/>
        <v>8</v>
      </c>
      <c r="H186" s="2" t="str">
        <f t="shared" si="55"/>
        <v>黑暗</v>
      </c>
      <c r="I186" s="38">
        <f t="shared" si="56"/>
        <v>0.21714285714285717</v>
      </c>
      <c r="J186" s="33">
        <f t="shared" si="77"/>
        <v>78</v>
      </c>
      <c r="K186" s="33">
        <f t="shared" si="78"/>
        <v>187</v>
      </c>
      <c r="L186" s="33">
        <f t="shared" si="78"/>
        <v>23</v>
      </c>
      <c r="M186" s="33">
        <f t="shared" si="78"/>
        <v>115</v>
      </c>
      <c r="N186" s="33">
        <f t="shared" si="78"/>
        <v>115</v>
      </c>
      <c r="O186" s="33">
        <f t="shared" si="78"/>
        <v>115</v>
      </c>
      <c r="P186" s="33">
        <f t="shared" si="78"/>
        <v>76</v>
      </c>
      <c r="Q186" s="33">
        <f t="shared" si="78"/>
        <v>51</v>
      </c>
      <c r="R186" s="35">
        <f t="shared" si="57"/>
        <v>0.10199999999999999</v>
      </c>
      <c r="S186" s="35">
        <f t="shared" si="58"/>
        <v>0.152</v>
      </c>
      <c r="T186" s="35">
        <f t="shared" si="59"/>
        <v>6.3750000000000001E-2</v>
      </c>
      <c r="U186" s="35">
        <f t="shared" si="79"/>
        <v>0.13793103448275867</v>
      </c>
      <c r="V186" s="35">
        <f t="shared" si="79"/>
        <v>0.13793103448275867</v>
      </c>
      <c r="W186" s="35">
        <f t="shared" si="79"/>
        <v>0.13793103448275867</v>
      </c>
      <c r="X186" s="35">
        <f t="shared" si="79"/>
        <v>0.13793103448275867</v>
      </c>
      <c r="Y186" s="35">
        <f t="shared" si="79"/>
        <v>0.13793103448275867</v>
      </c>
      <c r="Z186" s="35">
        <f t="shared" si="79"/>
        <v>0.48979591836734693</v>
      </c>
      <c r="AA186" s="35">
        <f t="shared" si="79"/>
        <v>0.13793103448275867</v>
      </c>
    </row>
    <row r="187" spans="2:27" x14ac:dyDescent="0.2">
      <c r="B187" s="2">
        <v>185</v>
      </c>
      <c r="C187" s="2" t="str">
        <f t="shared" si="73"/>
        <v>c</v>
      </c>
      <c r="D187" s="29" t="s">
        <v>1</v>
      </c>
      <c r="E187" s="29" t="s">
        <v>209</v>
      </c>
      <c r="F187" s="2" t="s">
        <v>215</v>
      </c>
      <c r="G187" s="2">
        <f t="shared" si="63"/>
        <v>1</v>
      </c>
      <c r="H187" s="2" t="str">
        <f t="shared" si="55"/>
        <v>--</v>
      </c>
      <c r="I187" s="38">
        <f t="shared" si="56"/>
        <v>0</v>
      </c>
      <c r="J187" s="33">
        <f t="shared" si="77"/>
        <v>13</v>
      </c>
      <c r="K187" s="33">
        <f t="shared" si="78"/>
        <v>0</v>
      </c>
      <c r="L187" s="33">
        <f t="shared" si="78"/>
        <v>0</v>
      </c>
      <c r="M187" s="33">
        <f t="shared" si="78"/>
        <v>0</v>
      </c>
      <c r="N187" s="33">
        <f t="shared" si="78"/>
        <v>0</v>
      </c>
      <c r="O187" s="33">
        <f t="shared" si="78"/>
        <v>0</v>
      </c>
      <c r="P187" s="33">
        <f t="shared" si="78"/>
        <v>0</v>
      </c>
      <c r="Q187" s="33">
        <f t="shared" si="78"/>
        <v>0</v>
      </c>
      <c r="R187" s="35">
        <f t="shared" si="57"/>
        <v>0</v>
      </c>
      <c r="S187" s="35">
        <f t="shared" si="58"/>
        <v>0</v>
      </c>
      <c r="T187" s="35">
        <f t="shared" si="59"/>
        <v>0</v>
      </c>
      <c r="U187" s="35">
        <f t="shared" si="79"/>
        <v>0</v>
      </c>
      <c r="V187" s="35">
        <f t="shared" si="79"/>
        <v>0</v>
      </c>
      <c r="W187" s="35">
        <f t="shared" si="79"/>
        <v>0</v>
      </c>
      <c r="X187" s="35">
        <f t="shared" si="79"/>
        <v>0</v>
      </c>
      <c r="Y187" s="35">
        <f t="shared" si="79"/>
        <v>0</v>
      </c>
      <c r="Z187" s="35">
        <f t="shared" si="79"/>
        <v>0</v>
      </c>
      <c r="AA187" s="35">
        <f t="shared" si="79"/>
        <v>0</v>
      </c>
    </row>
    <row r="188" spans="2:27" x14ac:dyDescent="0.2">
      <c r="B188" s="2">
        <v>186</v>
      </c>
      <c r="C188" s="2" t="str">
        <f t="shared" si="73"/>
        <v>c</v>
      </c>
      <c r="D188" s="29" t="s">
        <v>1</v>
      </c>
      <c r="E188" s="29" t="s">
        <v>209</v>
      </c>
      <c r="F188" s="2" t="s">
        <v>215</v>
      </c>
      <c r="G188" s="2">
        <f t="shared" si="63"/>
        <v>2</v>
      </c>
      <c r="H188" s="2" t="str">
        <f t="shared" si="55"/>
        <v>--</v>
      </c>
      <c r="I188" s="38">
        <f t="shared" si="56"/>
        <v>0</v>
      </c>
      <c r="J188" s="33">
        <f t="shared" si="77"/>
        <v>26</v>
      </c>
      <c r="K188" s="33">
        <f t="shared" si="78"/>
        <v>0</v>
      </c>
      <c r="L188" s="33">
        <f t="shared" si="78"/>
        <v>0</v>
      </c>
      <c r="M188" s="33">
        <f t="shared" si="78"/>
        <v>0</v>
      </c>
      <c r="N188" s="33">
        <f t="shared" si="78"/>
        <v>0</v>
      </c>
      <c r="O188" s="33">
        <f t="shared" si="78"/>
        <v>0</v>
      </c>
      <c r="P188" s="33">
        <f t="shared" si="78"/>
        <v>0</v>
      </c>
      <c r="Q188" s="33">
        <f t="shared" si="78"/>
        <v>0</v>
      </c>
      <c r="R188" s="35">
        <f t="shared" si="57"/>
        <v>0</v>
      </c>
      <c r="S188" s="35">
        <f t="shared" si="58"/>
        <v>0</v>
      </c>
      <c r="T188" s="35">
        <f t="shared" si="59"/>
        <v>0</v>
      </c>
      <c r="U188" s="35">
        <f t="shared" si="79"/>
        <v>0</v>
      </c>
      <c r="V188" s="35">
        <f t="shared" si="79"/>
        <v>0</v>
      </c>
      <c r="W188" s="35">
        <f t="shared" si="79"/>
        <v>0</v>
      </c>
      <c r="X188" s="35">
        <f t="shared" si="79"/>
        <v>0</v>
      </c>
      <c r="Y188" s="35">
        <f t="shared" si="79"/>
        <v>0</v>
      </c>
      <c r="Z188" s="35">
        <f t="shared" si="79"/>
        <v>0</v>
      </c>
      <c r="AA188" s="35">
        <f t="shared" si="79"/>
        <v>0</v>
      </c>
    </row>
    <row r="189" spans="2:27" x14ac:dyDescent="0.2">
      <c r="B189" s="2">
        <v>187</v>
      </c>
      <c r="C189" s="2" t="str">
        <f t="shared" si="73"/>
        <v>c</v>
      </c>
      <c r="D189" s="29" t="s">
        <v>1</v>
      </c>
      <c r="E189" s="29" t="s">
        <v>209</v>
      </c>
      <c r="F189" s="2" t="s">
        <v>215</v>
      </c>
      <c r="G189" s="2">
        <f t="shared" si="63"/>
        <v>3</v>
      </c>
      <c r="H189" s="2" t="str">
        <f t="shared" si="55"/>
        <v>--</v>
      </c>
      <c r="I189" s="38">
        <f t="shared" si="56"/>
        <v>0</v>
      </c>
      <c r="J189" s="33">
        <f t="shared" si="77"/>
        <v>39</v>
      </c>
      <c r="K189" s="33">
        <f t="shared" si="78"/>
        <v>0</v>
      </c>
      <c r="L189" s="33">
        <f t="shared" si="78"/>
        <v>0</v>
      </c>
      <c r="M189" s="33">
        <f t="shared" si="78"/>
        <v>0</v>
      </c>
      <c r="N189" s="33">
        <f t="shared" si="78"/>
        <v>0</v>
      </c>
      <c r="O189" s="33">
        <f t="shared" si="78"/>
        <v>0</v>
      </c>
      <c r="P189" s="33">
        <f t="shared" si="78"/>
        <v>0</v>
      </c>
      <c r="Q189" s="33">
        <f t="shared" si="78"/>
        <v>0</v>
      </c>
      <c r="R189" s="35">
        <f t="shared" si="57"/>
        <v>0</v>
      </c>
      <c r="S189" s="35">
        <f t="shared" si="58"/>
        <v>0</v>
      </c>
      <c r="T189" s="35">
        <f t="shared" si="59"/>
        <v>0</v>
      </c>
      <c r="U189" s="35">
        <f t="shared" si="79"/>
        <v>0</v>
      </c>
      <c r="V189" s="35">
        <f t="shared" si="79"/>
        <v>0</v>
      </c>
      <c r="W189" s="35">
        <f t="shared" si="79"/>
        <v>0</v>
      </c>
      <c r="X189" s="35">
        <f t="shared" si="79"/>
        <v>0</v>
      </c>
      <c r="Y189" s="35">
        <f t="shared" si="79"/>
        <v>0</v>
      </c>
      <c r="Z189" s="35">
        <f t="shared" si="79"/>
        <v>0</v>
      </c>
      <c r="AA189" s="35">
        <f t="shared" si="79"/>
        <v>0</v>
      </c>
    </row>
    <row r="190" spans="2:27" x14ac:dyDescent="0.2">
      <c r="B190" s="2">
        <v>188</v>
      </c>
      <c r="C190" s="2" t="str">
        <f t="shared" si="73"/>
        <v>c</v>
      </c>
      <c r="D190" s="29" t="s">
        <v>1</v>
      </c>
      <c r="E190" s="29" t="s">
        <v>209</v>
      </c>
      <c r="F190" s="2" t="s">
        <v>215</v>
      </c>
      <c r="G190" s="2">
        <f t="shared" si="63"/>
        <v>4</v>
      </c>
      <c r="H190" s="2" t="str">
        <f t="shared" si="55"/>
        <v>--</v>
      </c>
      <c r="I190" s="38">
        <f t="shared" si="56"/>
        <v>0</v>
      </c>
      <c r="J190" s="33">
        <f t="shared" si="77"/>
        <v>52</v>
      </c>
      <c r="K190" s="33">
        <f t="shared" si="78"/>
        <v>0</v>
      </c>
      <c r="L190" s="33">
        <f t="shared" si="78"/>
        <v>0</v>
      </c>
      <c r="M190" s="33">
        <f t="shared" si="78"/>
        <v>0</v>
      </c>
      <c r="N190" s="33">
        <f t="shared" si="78"/>
        <v>0</v>
      </c>
      <c r="O190" s="33">
        <f t="shared" si="78"/>
        <v>0</v>
      </c>
      <c r="P190" s="33">
        <f t="shared" si="78"/>
        <v>0</v>
      </c>
      <c r="Q190" s="33">
        <f t="shared" si="78"/>
        <v>0</v>
      </c>
      <c r="R190" s="35">
        <f t="shared" si="57"/>
        <v>0</v>
      </c>
      <c r="S190" s="35">
        <f t="shared" si="58"/>
        <v>0</v>
      </c>
      <c r="T190" s="35">
        <f t="shared" si="59"/>
        <v>0</v>
      </c>
      <c r="U190" s="35">
        <f t="shared" si="79"/>
        <v>0</v>
      </c>
      <c r="V190" s="35">
        <f t="shared" si="79"/>
        <v>0</v>
      </c>
      <c r="W190" s="35">
        <f t="shared" si="79"/>
        <v>0</v>
      </c>
      <c r="X190" s="35">
        <f t="shared" si="79"/>
        <v>0</v>
      </c>
      <c r="Y190" s="35">
        <f t="shared" si="79"/>
        <v>0</v>
      </c>
      <c r="Z190" s="35">
        <f t="shared" si="79"/>
        <v>0</v>
      </c>
      <c r="AA190" s="35">
        <f t="shared" si="79"/>
        <v>0</v>
      </c>
    </row>
    <row r="191" spans="2:27" x14ac:dyDescent="0.2">
      <c r="B191" s="2">
        <v>189</v>
      </c>
      <c r="C191" s="2" t="str">
        <f t="shared" si="73"/>
        <v>c</v>
      </c>
      <c r="D191" s="29" t="s">
        <v>1</v>
      </c>
      <c r="E191" s="29" t="s">
        <v>209</v>
      </c>
      <c r="F191" s="2" t="s">
        <v>215</v>
      </c>
      <c r="G191" s="2">
        <f t="shared" si="63"/>
        <v>5</v>
      </c>
      <c r="H191" s="2" t="str">
        <f t="shared" si="55"/>
        <v>--</v>
      </c>
      <c r="I191" s="38">
        <f t="shared" si="56"/>
        <v>0</v>
      </c>
      <c r="J191" s="33">
        <f t="shared" si="77"/>
        <v>65</v>
      </c>
      <c r="K191" s="33">
        <f t="shared" si="78"/>
        <v>0</v>
      </c>
      <c r="L191" s="33">
        <f t="shared" si="78"/>
        <v>0</v>
      </c>
      <c r="M191" s="33">
        <f t="shared" si="78"/>
        <v>0</v>
      </c>
      <c r="N191" s="33">
        <f t="shared" si="78"/>
        <v>0</v>
      </c>
      <c r="O191" s="33">
        <f t="shared" si="78"/>
        <v>0</v>
      </c>
      <c r="P191" s="33">
        <f t="shared" si="78"/>
        <v>0</v>
      </c>
      <c r="Q191" s="33">
        <f t="shared" si="78"/>
        <v>0</v>
      </c>
      <c r="R191" s="35">
        <f t="shared" si="57"/>
        <v>0</v>
      </c>
      <c r="S191" s="35">
        <f t="shared" si="58"/>
        <v>0</v>
      </c>
      <c r="T191" s="35">
        <f t="shared" si="59"/>
        <v>0</v>
      </c>
      <c r="U191" s="35">
        <f t="shared" si="79"/>
        <v>0</v>
      </c>
      <c r="V191" s="35">
        <f t="shared" si="79"/>
        <v>0</v>
      </c>
      <c r="W191" s="35">
        <f t="shared" si="79"/>
        <v>0</v>
      </c>
      <c r="X191" s="35">
        <f t="shared" si="79"/>
        <v>0</v>
      </c>
      <c r="Y191" s="35">
        <f t="shared" si="79"/>
        <v>0</v>
      </c>
      <c r="Z191" s="35">
        <f t="shared" si="79"/>
        <v>0</v>
      </c>
      <c r="AA191" s="35">
        <f t="shared" si="79"/>
        <v>0</v>
      </c>
    </row>
    <row r="192" spans="2:27" x14ac:dyDescent="0.2">
      <c r="B192" s="2">
        <v>190</v>
      </c>
      <c r="C192" s="2" t="str">
        <f t="shared" si="73"/>
        <v>c</v>
      </c>
      <c r="D192" s="29" t="s">
        <v>1</v>
      </c>
      <c r="E192" s="29" t="s">
        <v>209</v>
      </c>
      <c r="F192" s="2" t="s">
        <v>215</v>
      </c>
      <c r="G192" s="2">
        <f t="shared" si="63"/>
        <v>6</v>
      </c>
      <c r="H192" s="2" t="str">
        <f t="shared" si="55"/>
        <v>--</v>
      </c>
      <c r="I192" s="38">
        <f t="shared" si="56"/>
        <v>0</v>
      </c>
      <c r="J192" s="33">
        <f t="shared" si="77"/>
        <v>78</v>
      </c>
      <c r="K192" s="33">
        <f t="shared" si="78"/>
        <v>0</v>
      </c>
      <c r="L192" s="33">
        <f t="shared" si="78"/>
        <v>0</v>
      </c>
      <c r="M192" s="33">
        <f t="shared" si="78"/>
        <v>0</v>
      </c>
      <c r="N192" s="33">
        <f t="shared" si="78"/>
        <v>0</v>
      </c>
      <c r="O192" s="33">
        <f t="shared" si="78"/>
        <v>0</v>
      </c>
      <c r="P192" s="33">
        <f t="shared" si="78"/>
        <v>0</v>
      </c>
      <c r="Q192" s="33">
        <f t="shared" si="78"/>
        <v>0</v>
      </c>
      <c r="R192" s="35">
        <f t="shared" si="57"/>
        <v>0</v>
      </c>
      <c r="S192" s="35">
        <f t="shared" si="58"/>
        <v>0</v>
      </c>
      <c r="T192" s="35">
        <f t="shared" si="59"/>
        <v>0</v>
      </c>
      <c r="U192" s="35">
        <f t="shared" si="79"/>
        <v>0</v>
      </c>
      <c r="V192" s="35">
        <f t="shared" si="79"/>
        <v>0</v>
      </c>
      <c r="W192" s="35">
        <f t="shared" si="79"/>
        <v>0</v>
      </c>
      <c r="X192" s="35">
        <f t="shared" si="79"/>
        <v>0</v>
      </c>
      <c r="Y192" s="35">
        <f t="shared" si="79"/>
        <v>0</v>
      </c>
      <c r="Z192" s="35">
        <f t="shared" si="79"/>
        <v>0</v>
      </c>
      <c r="AA192" s="35">
        <f t="shared" si="79"/>
        <v>0</v>
      </c>
    </row>
    <row r="193" spans="2:27" x14ac:dyDescent="0.2">
      <c r="B193" s="2">
        <v>191</v>
      </c>
      <c r="C193" s="2" t="str">
        <f t="shared" si="73"/>
        <v>c</v>
      </c>
      <c r="D193" s="29" t="s">
        <v>1</v>
      </c>
      <c r="E193" s="29" t="s">
        <v>209</v>
      </c>
      <c r="F193" s="2" t="s">
        <v>215</v>
      </c>
      <c r="G193" s="2">
        <f t="shared" si="63"/>
        <v>7</v>
      </c>
      <c r="H193" s="2" t="str">
        <f t="shared" si="55"/>
        <v>--</v>
      </c>
      <c r="I193" s="38">
        <f t="shared" si="56"/>
        <v>0</v>
      </c>
      <c r="J193" s="33">
        <f t="shared" ref="J193:J202" si="80">INT((1+VLOOKUP($F193,role_property_weight,getpos(J$2),FALSE))*(1+VLOOKUP($F193,drop_property_weight,getpos(J$2),FALSE))*VLOOKUP($E193,role_grow,getpos(J$2),FALSE)*$G193*10*VLOOKUP($C193,drop_grow1,4,FALSE))</f>
        <v>92</v>
      </c>
      <c r="K193" s="33">
        <f t="shared" ref="K193:Q202" si="81">INT((1+VLOOKUP($F193,role_property_weight,getpos(K$2),FALSE))*(1+VLOOKUP($F193,drop_property_weight,getpos(K$2),FALSE))*VLOOKUP($E193,role_grow,getpos(K$2),FALSE)*$G193*10*VLOOKUP($C193,drop_grow1,5,FALSE))</f>
        <v>0</v>
      </c>
      <c r="L193" s="33">
        <f t="shared" si="81"/>
        <v>0</v>
      </c>
      <c r="M193" s="33">
        <f t="shared" si="81"/>
        <v>0</v>
      </c>
      <c r="N193" s="33">
        <f t="shared" si="81"/>
        <v>0</v>
      </c>
      <c r="O193" s="33">
        <f t="shared" si="81"/>
        <v>0</v>
      </c>
      <c r="P193" s="33">
        <f t="shared" si="81"/>
        <v>0</v>
      </c>
      <c r="Q193" s="33">
        <f t="shared" si="81"/>
        <v>0</v>
      </c>
      <c r="R193" s="35">
        <f t="shared" si="57"/>
        <v>0</v>
      </c>
      <c r="S193" s="35">
        <f t="shared" si="58"/>
        <v>0</v>
      </c>
      <c r="T193" s="35">
        <f t="shared" si="59"/>
        <v>0</v>
      </c>
      <c r="U193" s="35">
        <f t="shared" ref="U193:AA202" si="82">1-200/(200+ROUND((1+VLOOKUP($F193,role_property_weight,getpos(U$2),FALSE))*VLOOKUP($E193,role_grow,getpos(U$2),FALSE)*$G193*10*VLOOKUP($C193,drop_grow1,5,FALSE),0))</f>
        <v>0</v>
      </c>
      <c r="V193" s="35">
        <f t="shared" si="82"/>
        <v>0</v>
      </c>
      <c r="W193" s="35">
        <f t="shared" si="82"/>
        <v>0</v>
      </c>
      <c r="X193" s="35">
        <f t="shared" si="82"/>
        <v>0</v>
      </c>
      <c r="Y193" s="35">
        <f t="shared" si="82"/>
        <v>0</v>
      </c>
      <c r="Z193" s="35">
        <f t="shared" si="82"/>
        <v>0</v>
      </c>
      <c r="AA193" s="35">
        <f t="shared" si="82"/>
        <v>0</v>
      </c>
    </row>
    <row r="194" spans="2:27" x14ac:dyDescent="0.2">
      <c r="B194" s="2">
        <v>192</v>
      </c>
      <c r="C194" s="2" t="str">
        <f t="shared" si="73"/>
        <v>c</v>
      </c>
      <c r="D194" s="29" t="s">
        <v>1</v>
      </c>
      <c r="E194" s="29" t="s">
        <v>209</v>
      </c>
      <c r="F194" s="2" t="s">
        <v>215</v>
      </c>
      <c r="G194" s="2">
        <f t="shared" si="63"/>
        <v>8</v>
      </c>
      <c r="H194" s="2" t="str">
        <f t="shared" si="55"/>
        <v>--</v>
      </c>
      <c r="I194" s="38">
        <f t="shared" si="56"/>
        <v>0</v>
      </c>
      <c r="J194" s="33">
        <f t="shared" si="80"/>
        <v>105</v>
      </c>
      <c r="K194" s="33">
        <f t="shared" si="81"/>
        <v>0</v>
      </c>
      <c r="L194" s="33">
        <f t="shared" si="81"/>
        <v>0</v>
      </c>
      <c r="M194" s="33">
        <f t="shared" si="81"/>
        <v>0</v>
      </c>
      <c r="N194" s="33">
        <f t="shared" si="81"/>
        <v>0</v>
      </c>
      <c r="O194" s="33">
        <f t="shared" si="81"/>
        <v>0</v>
      </c>
      <c r="P194" s="33">
        <f t="shared" si="81"/>
        <v>0</v>
      </c>
      <c r="Q194" s="33">
        <f t="shared" si="81"/>
        <v>0</v>
      </c>
      <c r="R194" s="35">
        <f t="shared" si="57"/>
        <v>0</v>
      </c>
      <c r="S194" s="35">
        <f t="shared" si="58"/>
        <v>0</v>
      </c>
      <c r="T194" s="35">
        <f t="shared" si="59"/>
        <v>0</v>
      </c>
      <c r="U194" s="35">
        <f t="shared" si="82"/>
        <v>0</v>
      </c>
      <c r="V194" s="35">
        <f t="shared" si="82"/>
        <v>0</v>
      </c>
      <c r="W194" s="35">
        <f t="shared" si="82"/>
        <v>0</v>
      </c>
      <c r="X194" s="35">
        <f t="shared" si="82"/>
        <v>0</v>
      </c>
      <c r="Y194" s="35">
        <f t="shared" si="82"/>
        <v>0</v>
      </c>
      <c r="Z194" s="35">
        <f t="shared" si="82"/>
        <v>0</v>
      </c>
      <c r="AA194" s="35">
        <f t="shared" si="82"/>
        <v>0</v>
      </c>
    </row>
    <row r="195" spans="2:27" x14ac:dyDescent="0.2">
      <c r="B195" s="2">
        <v>193</v>
      </c>
      <c r="C195" s="2" t="str">
        <f t="shared" si="73"/>
        <v>s</v>
      </c>
      <c r="D195" s="29" t="s">
        <v>1</v>
      </c>
      <c r="E195" s="29" t="s">
        <v>209</v>
      </c>
      <c r="F195" s="2" t="s">
        <v>216</v>
      </c>
      <c r="G195" s="2">
        <f t="shared" si="63"/>
        <v>1</v>
      </c>
      <c r="H195" s="2" t="str">
        <f t="shared" ref="H195:H258" si="83">IF(C195="c","--",VLOOKUP(F195,role_property_weight,17,FALSE))</f>
        <v>地脉</v>
      </c>
      <c r="I195" s="38">
        <f t="shared" si="56"/>
        <v>0.08</v>
      </c>
      <c r="J195" s="33">
        <f t="shared" si="80"/>
        <v>12</v>
      </c>
      <c r="K195" s="33">
        <f t="shared" si="81"/>
        <v>12</v>
      </c>
      <c r="L195" s="33">
        <f t="shared" si="81"/>
        <v>2</v>
      </c>
      <c r="M195" s="33">
        <f t="shared" si="81"/>
        <v>8</v>
      </c>
      <c r="N195" s="33">
        <f t="shared" si="81"/>
        <v>9</v>
      </c>
      <c r="O195" s="33">
        <f t="shared" si="81"/>
        <v>9</v>
      </c>
      <c r="P195" s="33">
        <f t="shared" si="81"/>
        <v>4</v>
      </c>
      <c r="Q195" s="33">
        <f t="shared" si="81"/>
        <v>4</v>
      </c>
      <c r="R195" s="35">
        <f t="shared" si="57"/>
        <v>8.0000000000000002E-3</v>
      </c>
      <c r="S195" s="35">
        <f t="shared" si="58"/>
        <v>8.0000000000000002E-3</v>
      </c>
      <c r="T195" s="35">
        <f t="shared" si="59"/>
        <v>5.0000000000000001E-3</v>
      </c>
      <c r="U195" s="35">
        <f t="shared" si="82"/>
        <v>9.9009900990099098E-3</v>
      </c>
      <c r="V195" s="35">
        <f t="shared" si="82"/>
        <v>6.5420560747663559E-2</v>
      </c>
      <c r="W195" s="35">
        <f t="shared" si="82"/>
        <v>9.9009900990099098E-3</v>
      </c>
      <c r="X195" s="35">
        <f t="shared" si="82"/>
        <v>9.9009900990099098E-3</v>
      </c>
      <c r="Y195" s="35">
        <f t="shared" si="82"/>
        <v>9.9009900990099098E-3</v>
      </c>
      <c r="Z195" s="35">
        <f t="shared" si="82"/>
        <v>9.9009900990099098E-3</v>
      </c>
      <c r="AA195" s="35">
        <f t="shared" si="82"/>
        <v>9.9009900990099098E-3</v>
      </c>
    </row>
    <row r="196" spans="2:27" x14ac:dyDescent="0.2">
      <c r="B196" s="2">
        <v>194</v>
      </c>
      <c r="C196" s="2" t="str">
        <f t="shared" si="73"/>
        <v>s</v>
      </c>
      <c r="D196" s="29" t="s">
        <v>1</v>
      </c>
      <c r="E196" s="29" t="s">
        <v>209</v>
      </c>
      <c r="F196" s="2" t="s">
        <v>216</v>
      </c>
      <c r="G196" s="2">
        <f t="shared" si="63"/>
        <v>2</v>
      </c>
      <c r="H196" s="2" t="str">
        <f t="shared" si="83"/>
        <v>地脉</v>
      </c>
      <c r="I196" s="38">
        <f t="shared" ref="I196:I259" si="84">IF(H196="--",0,IF((SUM(J196:Q196)/35)%&lt;8%,8%,(SUM(J196:Q196)/35)%))</f>
        <v>0.08</v>
      </c>
      <c r="J196" s="33">
        <f t="shared" si="80"/>
        <v>25</v>
      </c>
      <c r="K196" s="33">
        <f t="shared" si="81"/>
        <v>24</v>
      </c>
      <c r="L196" s="33">
        <f t="shared" si="81"/>
        <v>4</v>
      </c>
      <c r="M196" s="33">
        <f t="shared" si="81"/>
        <v>16</v>
      </c>
      <c r="N196" s="33">
        <f t="shared" si="81"/>
        <v>19</v>
      </c>
      <c r="O196" s="33">
        <f t="shared" si="81"/>
        <v>19</v>
      </c>
      <c r="P196" s="33">
        <f t="shared" si="81"/>
        <v>9</v>
      </c>
      <c r="Q196" s="33">
        <f t="shared" si="81"/>
        <v>9</v>
      </c>
      <c r="R196" s="35">
        <f t="shared" ref="R196:R259" si="85">(Q196/5)%</f>
        <v>1.8000000000000002E-2</v>
      </c>
      <c r="S196" s="35">
        <f t="shared" ref="S196:S259" si="86">(P196/5)%</f>
        <v>1.8000000000000002E-2</v>
      </c>
      <c r="T196" s="35">
        <f t="shared" ref="T196:T259" si="87">(Q196/8)%</f>
        <v>1.125E-2</v>
      </c>
      <c r="U196" s="35">
        <f t="shared" si="82"/>
        <v>2.4390243902439046E-2</v>
      </c>
      <c r="V196" s="35">
        <f t="shared" si="82"/>
        <v>0.1266375545851528</v>
      </c>
      <c r="W196" s="35">
        <f t="shared" si="82"/>
        <v>2.4390243902439046E-2</v>
      </c>
      <c r="X196" s="35">
        <f t="shared" si="82"/>
        <v>2.4390243902439046E-2</v>
      </c>
      <c r="Y196" s="35">
        <f t="shared" si="82"/>
        <v>2.4390243902439046E-2</v>
      </c>
      <c r="Z196" s="35">
        <f t="shared" si="82"/>
        <v>2.4390243902439046E-2</v>
      </c>
      <c r="AA196" s="35">
        <f t="shared" si="82"/>
        <v>2.4390243902439046E-2</v>
      </c>
    </row>
    <row r="197" spans="2:27" x14ac:dyDescent="0.2">
      <c r="B197" s="2">
        <v>195</v>
      </c>
      <c r="C197" s="2" t="str">
        <f t="shared" si="73"/>
        <v>s</v>
      </c>
      <c r="D197" s="29" t="s">
        <v>1</v>
      </c>
      <c r="E197" s="29" t="s">
        <v>209</v>
      </c>
      <c r="F197" s="2" t="s">
        <v>216</v>
      </c>
      <c r="G197" s="2">
        <f t="shared" si="63"/>
        <v>3</v>
      </c>
      <c r="H197" s="2" t="str">
        <f t="shared" si="83"/>
        <v>地脉</v>
      </c>
      <c r="I197" s="38">
        <f t="shared" si="84"/>
        <v>0.08</v>
      </c>
      <c r="J197" s="33">
        <f t="shared" si="80"/>
        <v>38</v>
      </c>
      <c r="K197" s="33">
        <f t="shared" si="81"/>
        <v>37</v>
      </c>
      <c r="L197" s="33">
        <f t="shared" si="81"/>
        <v>6</v>
      </c>
      <c r="M197" s="33">
        <f t="shared" si="81"/>
        <v>24</v>
      </c>
      <c r="N197" s="33">
        <f t="shared" si="81"/>
        <v>28</v>
      </c>
      <c r="O197" s="33">
        <f t="shared" si="81"/>
        <v>28</v>
      </c>
      <c r="P197" s="33">
        <f t="shared" si="81"/>
        <v>14</v>
      </c>
      <c r="Q197" s="33">
        <f t="shared" si="81"/>
        <v>14</v>
      </c>
      <c r="R197" s="35">
        <f t="shared" si="85"/>
        <v>2.7999999999999997E-2</v>
      </c>
      <c r="S197" s="35">
        <f t="shared" si="86"/>
        <v>2.7999999999999997E-2</v>
      </c>
      <c r="T197" s="35">
        <f t="shared" si="87"/>
        <v>1.7500000000000002E-2</v>
      </c>
      <c r="U197" s="35">
        <f t="shared" si="82"/>
        <v>3.3816425120772986E-2</v>
      </c>
      <c r="V197" s="35">
        <f t="shared" si="82"/>
        <v>0.17695473251028804</v>
      </c>
      <c r="W197" s="35">
        <f t="shared" si="82"/>
        <v>3.3816425120772986E-2</v>
      </c>
      <c r="X197" s="35">
        <f t="shared" si="82"/>
        <v>3.3816425120772986E-2</v>
      </c>
      <c r="Y197" s="35">
        <f t="shared" si="82"/>
        <v>3.3816425120772986E-2</v>
      </c>
      <c r="Z197" s="35">
        <f t="shared" si="82"/>
        <v>3.3816425120772986E-2</v>
      </c>
      <c r="AA197" s="35">
        <f t="shared" si="82"/>
        <v>3.3816425120772986E-2</v>
      </c>
    </row>
    <row r="198" spans="2:27" x14ac:dyDescent="0.2">
      <c r="B198" s="2">
        <v>196</v>
      </c>
      <c r="C198" s="2" t="str">
        <f t="shared" si="73"/>
        <v>s</v>
      </c>
      <c r="D198" s="29" t="s">
        <v>1</v>
      </c>
      <c r="E198" s="29" t="s">
        <v>209</v>
      </c>
      <c r="F198" s="2" t="s">
        <v>216</v>
      </c>
      <c r="G198" s="2">
        <f t="shared" si="63"/>
        <v>4</v>
      </c>
      <c r="H198" s="2" t="str">
        <f t="shared" si="83"/>
        <v>地脉</v>
      </c>
      <c r="I198" s="38">
        <f t="shared" si="84"/>
        <v>0.08</v>
      </c>
      <c r="J198" s="33">
        <f t="shared" si="80"/>
        <v>51</v>
      </c>
      <c r="K198" s="33">
        <f t="shared" si="81"/>
        <v>49</v>
      </c>
      <c r="L198" s="33">
        <f t="shared" si="81"/>
        <v>8</v>
      </c>
      <c r="M198" s="33">
        <f t="shared" si="81"/>
        <v>32</v>
      </c>
      <c r="N198" s="33">
        <f t="shared" si="81"/>
        <v>38</v>
      </c>
      <c r="O198" s="33">
        <f t="shared" si="81"/>
        <v>38</v>
      </c>
      <c r="P198" s="33">
        <f t="shared" si="81"/>
        <v>19</v>
      </c>
      <c r="Q198" s="33">
        <f t="shared" si="81"/>
        <v>19</v>
      </c>
      <c r="R198" s="35">
        <f t="shared" si="85"/>
        <v>3.7999999999999999E-2</v>
      </c>
      <c r="S198" s="35">
        <f t="shared" si="86"/>
        <v>3.7999999999999999E-2</v>
      </c>
      <c r="T198" s="35">
        <f t="shared" si="87"/>
        <v>2.375E-2</v>
      </c>
      <c r="U198" s="35">
        <f t="shared" si="82"/>
        <v>4.7619047619047672E-2</v>
      </c>
      <c r="V198" s="35">
        <f t="shared" si="82"/>
        <v>0.22480620155038755</v>
      </c>
      <c r="W198" s="35">
        <f t="shared" si="82"/>
        <v>4.7619047619047672E-2</v>
      </c>
      <c r="X198" s="35">
        <f t="shared" si="82"/>
        <v>4.7619047619047672E-2</v>
      </c>
      <c r="Y198" s="35">
        <f t="shared" si="82"/>
        <v>4.7619047619047672E-2</v>
      </c>
      <c r="Z198" s="35">
        <f t="shared" si="82"/>
        <v>4.7619047619047672E-2</v>
      </c>
      <c r="AA198" s="35">
        <f t="shared" si="82"/>
        <v>4.7619047619047672E-2</v>
      </c>
    </row>
    <row r="199" spans="2:27" x14ac:dyDescent="0.2">
      <c r="B199" s="2">
        <v>197</v>
      </c>
      <c r="C199" s="2" t="str">
        <f t="shared" si="73"/>
        <v>s</v>
      </c>
      <c r="D199" s="29" t="s">
        <v>1</v>
      </c>
      <c r="E199" s="29" t="s">
        <v>209</v>
      </c>
      <c r="F199" s="2" t="s">
        <v>216</v>
      </c>
      <c r="G199" s="2">
        <f t="shared" si="63"/>
        <v>5</v>
      </c>
      <c r="H199" s="2" t="str">
        <f t="shared" si="83"/>
        <v>地脉</v>
      </c>
      <c r="I199" s="38">
        <f t="shared" si="84"/>
        <v>9.1428571428571428E-2</v>
      </c>
      <c r="J199" s="33">
        <f t="shared" si="80"/>
        <v>64</v>
      </c>
      <c r="K199" s="33">
        <f t="shared" si="81"/>
        <v>62</v>
      </c>
      <c r="L199" s="33">
        <f t="shared" si="81"/>
        <v>10</v>
      </c>
      <c r="M199" s="33">
        <f t="shared" si="81"/>
        <v>40</v>
      </c>
      <c r="N199" s="33">
        <f t="shared" si="81"/>
        <v>48</v>
      </c>
      <c r="O199" s="33">
        <f t="shared" si="81"/>
        <v>48</v>
      </c>
      <c r="P199" s="33">
        <f t="shared" si="81"/>
        <v>24</v>
      </c>
      <c r="Q199" s="33">
        <f t="shared" si="81"/>
        <v>24</v>
      </c>
      <c r="R199" s="35">
        <f t="shared" si="85"/>
        <v>4.8000000000000001E-2</v>
      </c>
      <c r="S199" s="35">
        <f t="shared" si="86"/>
        <v>4.8000000000000001E-2</v>
      </c>
      <c r="T199" s="35">
        <f t="shared" si="87"/>
        <v>0.03</v>
      </c>
      <c r="U199" s="35">
        <f t="shared" si="82"/>
        <v>5.6603773584905648E-2</v>
      </c>
      <c r="V199" s="35">
        <f t="shared" si="82"/>
        <v>0.26470588235294112</v>
      </c>
      <c r="W199" s="35">
        <f t="shared" si="82"/>
        <v>5.6603773584905648E-2</v>
      </c>
      <c r="X199" s="35">
        <f t="shared" si="82"/>
        <v>5.6603773584905648E-2</v>
      </c>
      <c r="Y199" s="35">
        <f t="shared" si="82"/>
        <v>5.6603773584905648E-2</v>
      </c>
      <c r="Z199" s="35">
        <f t="shared" si="82"/>
        <v>5.6603773584905648E-2</v>
      </c>
      <c r="AA199" s="35">
        <f t="shared" si="82"/>
        <v>5.6603773584905648E-2</v>
      </c>
    </row>
    <row r="200" spans="2:27" x14ac:dyDescent="0.2">
      <c r="B200" s="2">
        <v>198</v>
      </c>
      <c r="C200" s="2" t="str">
        <f t="shared" si="73"/>
        <v>s</v>
      </c>
      <c r="D200" s="29" t="s">
        <v>1</v>
      </c>
      <c r="E200" s="29" t="s">
        <v>209</v>
      </c>
      <c r="F200" s="2" t="s">
        <v>216</v>
      </c>
      <c r="G200" s="2">
        <f t="shared" si="63"/>
        <v>6</v>
      </c>
      <c r="H200" s="2" t="str">
        <f t="shared" si="83"/>
        <v>地脉</v>
      </c>
      <c r="I200" s="38">
        <f t="shared" si="84"/>
        <v>0.10857142857142858</v>
      </c>
      <c r="J200" s="33">
        <f t="shared" si="80"/>
        <v>76</v>
      </c>
      <c r="K200" s="33">
        <f t="shared" si="81"/>
        <v>74</v>
      </c>
      <c r="L200" s="33">
        <f t="shared" si="81"/>
        <v>12</v>
      </c>
      <c r="M200" s="33">
        <f t="shared" si="81"/>
        <v>48</v>
      </c>
      <c r="N200" s="33">
        <f t="shared" si="81"/>
        <v>57</v>
      </c>
      <c r="O200" s="33">
        <f t="shared" si="81"/>
        <v>57</v>
      </c>
      <c r="P200" s="33">
        <f t="shared" si="81"/>
        <v>28</v>
      </c>
      <c r="Q200" s="33">
        <f t="shared" si="81"/>
        <v>28</v>
      </c>
      <c r="R200" s="35">
        <f t="shared" si="85"/>
        <v>5.5999999999999994E-2</v>
      </c>
      <c r="S200" s="35">
        <f t="shared" si="86"/>
        <v>5.5999999999999994E-2</v>
      </c>
      <c r="T200" s="35">
        <f t="shared" si="87"/>
        <v>3.5000000000000003E-2</v>
      </c>
      <c r="U200" s="35">
        <f t="shared" si="82"/>
        <v>6.5420560747663559E-2</v>
      </c>
      <c r="V200" s="35">
        <f t="shared" si="82"/>
        <v>0.30069930069930073</v>
      </c>
      <c r="W200" s="35">
        <f t="shared" si="82"/>
        <v>6.5420560747663559E-2</v>
      </c>
      <c r="X200" s="35">
        <f t="shared" si="82"/>
        <v>6.5420560747663559E-2</v>
      </c>
      <c r="Y200" s="35">
        <f t="shared" si="82"/>
        <v>6.5420560747663559E-2</v>
      </c>
      <c r="Z200" s="35">
        <f t="shared" si="82"/>
        <v>6.5420560747663559E-2</v>
      </c>
      <c r="AA200" s="35">
        <f t="shared" si="82"/>
        <v>6.5420560747663559E-2</v>
      </c>
    </row>
    <row r="201" spans="2:27" x14ac:dyDescent="0.2">
      <c r="B201" s="2">
        <v>199</v>
      </c>
      <c r="C201" s="2" t="str">
        <f t="shared" si="73"/>
        <v>s</v>
      </c>
      <c r="D201" s="29" t="s">
        <v>1</v>
      </c>
      <c r="E201" s="29" t="s">
        <v>209</v>
      </c>
      <c r="F201" s="2" t="s">
        <v>216</v>
      </c>
      <c r="G201" s="2">
        <f t="shared" si="63"/>
        <v>7</v>
      </c>
      <c r="H201" s="2" t="str">
        <f t="shared" si="83"/>
        <v>地脉</v>
      </c>
      <c r="I201" s="38">
        <f t="shared" si="84"/>
        <v>0.12771428571428572</v>
      </c>
      <c r="J201" s="33">
        <f t="shared" si="80"/>
        <v>89</v>
      </c>
      <c r="K201" s="33">
        <f t="shared" si="81"/>
        <v>87</v>
      </c>
      <c r="L201" s="33">
        <f t="shared" si="81"/>
        <v>14</v>
      </c>
      <c r="M201" s="33">
        <f t="shared" si="81"/>
        <v>57</v>
      </c>
      <c r="N201" s="33">
        <f t="shared" si="81"/>
        <v>67</v>
      </c>
      <c r="O201" s="33">
        <f t="shared" si="81"/>
        <v>67</v>
      </c>
      <c r="P201" s="33">
        <f t="shared" si="81"/>
        <v>33</v>
      </c>
      <c r="Q201" s="33">
        <f t="shared" si="81"/>
        <v>33</v>
      </c>
      <c r="R201" s="35">
        <f t="shared" si="85"/>
        <v>6.6000000000000003E-2</v>
      </c>
      <c r="S201" s="35">
        <f t="shared" si="86"/>
        <v>6.6000000000000003E-2</v>
      </c>
      <c r="T201" s="35">
        <f t="shared" si="87"/>
        <v>4.1250000000000002E-2</v>
      </c>
      <c r="U201" s="35">
        <f t="shared" si="82"/>
        <v>7.8341013824884786E-2</v>
      </c>
      <c r="V201" s="35">
        <f t="shared" si="82"/>
        <v>0.33554817275747506</v>
      </c>
      <c r="W201" s="35">
        <f t="shared" si="82"/>
        <v>7.8341013824884786E-2</v>
      </c>
      <c r="X201" s="35">
        <f t="shared" si="82"/>
        <v>7.8341013824884786E-2</v>
      </c>
      <c r="Y201" s="35">
        <f t="shared" si="82"/>
        <v>7.8341013824884786E-2</v>
      </c>
      <c r="Z201" s="35">
        <f t="shared" si="82"/>
        <v>7.8341013824884786E-2</v>
      </c>
      <c r="AA201" s="35">
        <f t="shared" si="82"/>
        <v>7.8341013824884786E-2</v>
      </c>
    </row>
    <row r="202" spans="2:27" x14ac:dyDescent="0.2">
      <c r="B202" s="2">
        <v>200</v>
      </c>
      <c r="C202" s="2" t="str">
        <f t="shared" si="73"/>
        <v>s</v>
      </c>
      <c r="D202" s="29" t="s">
        <v>1</v>
      </c>
      <c r="E202" s="29" t="s">
        <v>209</v>
      </c>
      <c r="F202" s="2" t="s">
        <v>216</v>
      </c>
      <c r="G202" s="2">
        <f t="shared" si="63"/>
        <v>8</v>
      </c>
      <c r="H202" s="2" t="str">
        <f t="shared" si="83"/>
        <v>地脉</v>
      </c>
      <c r="I202" s="38">
        <f t="shared" si="84"/>
        <v>0.14571428571428571</v>
      </c>
      <c r="J202" s="33">
        <f t="shared" si="80"/>
        <v>102</v>
      </c>
      <c r="K202" s="33">
        <f t="shared" si="81"/>
        <v>99</v>
      </c>
      <c r="L202" s="33">
        <f t="shared" si="81"/>
        <v>16</v>
      </c>
      <c r="M202" s="33">
        <f t="shared" si="81"/>
        <v>65</v>
      </c>
      <c r="N202" s="33">
        <f t="shared" si="81"/>
        <v>76</v>
      </c>
      <c r="O202" s="33">
        <f t="shared" si="81"/>
        <v>76</v>
      </c>
      <c r="P202" s="33">
        <f t="shared" si="81"/>
        <v>38</v>
      </c>
      <c r="Q202" s="33">
        <f t="shared" si="81"/>
        <v>38</v>
      </c>
      <c r="R202" s="35">
        <f t="shared" si="85"/>
        <v>7.5999999999999998E-2</v>
      </c>
      <c r="S202" s="35">
        <f t="shared" si="86"/>
        <v>7.5999999999999998E-2</v>
      </c>
      <c r="T202" s="35">
        <f t="shared" si="87"/>
        <v>4.7500000000000001E-2</v>
      </c>
      <c r="U202" s="35">
        <f t="shared" si="82"/>
        <v>8.6757990867579959E-2</v>
      </c>
      <c r="V202" s="35">
        <f t="shared" si="82"/>
        <v>0.36507936507936511</v>
      </c>
      <c r="W202" s="35">
        <f t="shared" si="82"/>
        <v>8.6757990867579959E-2</v>
      </c>
      <c r="X202" s="35">
        <f t="shared" si="82"/>
        <v>8.6757990867579959E-2</v>
      </c>
      <c r="Y202" s="35">
        <f t="shared" si="82"/>
        <v>8.6757990867579959E-2</v>
      </c>
      <c r="Z202" s="35">
        <f t="shared" si="82"/>
        <v>8.6757990867579959E-2</v>
      </c>
      <c r="AA202" s="35">
        <f t="shared" si="82"/>
        <v>8.6757990867579959E-2</v>
      </c>
    </row>
    <row r="203" spans="2:27" x14ac:dyDescent="0.2">
      <c r="B203" s="2">
        <v>201</v>
      </c>
      <c r="C203" s="2" t="str">
        <f t="shared" si="73"/>
        <v>a</v>
      </c>
      <c r="D203" s="29" t="s">
        <v>1</v>
      </c>
      <c r="E203" s="29" t="s">
        <v>209</v>
      </c>
      <c r="F203" s="2" t="s">
        <v>216</v>
      </c>
      <c r="G203" s="2">
        <f t="shared" si="63"/>
        <v>1</v>
      </c>
      <c r="H203" s="2" t="str">
        <f t="shared" si="83"/>
        <v>地脉</v>
      </c>
      <c r="I203" s="38">
        <f t="shared" si="84"/>
        <v>0.08</v>
      </c>
      <c r="J203" s="33">
        <f t="shared" ref="J203:J212" si="88">INT((1+VLOOKUP($F203,role_property_weight,getpos(J$2),FALSE))*(1+VLOOKUP($F203,drop_property_weight,getpos(J$2),FALSE))*VLOOKUP($E203,role_grow,getpos(J$2),FALSE)*$G203*10*VLOOKUP($C203,drop_grow1,4,FALSE))</f>
        <v>9</v>
      </c>
      <c r="K203" s="33">
        <f t="shared" ref="K203:Q212" si="89">INT((1+VLOOKUP($F203,role_property_weight,getpos(K$2),FALSE))*(1+VLOOKUP($F203,drop_property_weight,getpos(K$2),FALSE))*VLOOKUP($E203,role_grow,getpos(K$2),FALSE)*$G203*10*VLOOKUP($C203,drop_grow1,5,FALSE))</f>
        <v>13</v>
      </c>
      <c r="L203" s="33">
        <f t="shared" si="89"/>
        <v>2</v>
      </c>
      <c r="M203" s="33">
        <f t="shared" si="89"/>
        <v>9</v>
      </c>
      <c r="N203" s="33">
        <f t="shared" si="89"/>
        <v>10</v>
      </c>
      <c r="O203" s="33">
        <f t="shared" si="89"/>
        <v>10</v>
      </c>
      <c r="P203" s="33">
        <f t="shared" si="89"/>
        <v>5</v>
      </c>
      <c r="Q203" s="33">
        <f t="shared" si="89"/>
        <v>5</v>
      </c>
      <c r="R203" s="35">
        <f t="shared" si="85"/>
        <v>0.01</v>
      </c>
      <c r="S203" s="35">
        <f t="shared" si="86"/>
        <v>0.01</v>
      </c>
      <c r="T203" s="35">
        <f t="shared" si="87"/>
        <v>6.2500000000000003E-3</v>
      </c>
      <c r="U203" s="35">
        <f t="shared" ref="U203:AA212" si="90">1-200/(200+ROUND((1+VLOOKUP($F203,role_property_weight,getpos(U$2),FALSE))*VLOOKUP($E203,role_grow,getpos(U$2),FALSE)*$G203*10*VLOOKUP($C203,drop_grow1,5,FALSE),0))</f>
        <v>1.4778325123152691E-2</v>
      </c>
      <c r="V203" s="35">
        <f t="shared" si="90"/>
        <v>7.407407407407407E-2</v>
      </c>
      <c r="W203" s="35">
        <f t="shared" si="90"/>
        <v>1.4778325123152691E-2</v>
      </c>
      <c r="X203" s="35">
        <f t="shared" si="90"/>
        <v>1.4778325123152691E-2</v>
      </c>
      <c r="Y203" s="35">
        <f t="shared" si="90"/>
        <v>1.4778325123152691E-2</v>
      </c>
      <c r="Z203" s="35">
        <f t="shared" si="90"/>
        <v>1.4778325123152691E-2</v>
      </c>
      <c r="AA203" s="35">
        <f t="shared" si="90"/>
        <v>1.4778325123152691E-2</v>
      </c>
    </row>
    <row r="204" spans="2:27" x14ac:dyDescent="0.2">
      <c r="B204" s="2">
        <v>202</v>
      </c>
      <c r="C204" s="2" t="str">
        <f t="shared" si="73"/>
        <v>a</v>
      </c>
      <c r="D204" s="29" t="s">
        <v>1</v>
      </c>
      <c r="E204" s="29" t="s">
        <v>209</v>
      </c>
      <c r="F204" s="2" t="s">
        <v>216</v>
      </c>
      <c r="G204" s="2">
        <f t="shared" ref="G204:G267" si="91">G196</f>
        <v>2</v>
      </c>
      <c r="H204" s="2" t="str">
        <f t="shared" si="83"/>
        <v>地脉</v>
      </c>
      <c r="I204" s="38">
        <f t="shared" si="84"/>
        <v>0.08</v>
      </c>
      <c r="J204" s="33">
        <f t="shared" si="88"/>
        <v>19</v>
      </c>
      <c r="K204" s="33">
        <f t="shared" si="89"/>
        <v>27</v>
      </c>
      <c r="L204" s="33">
        <f t="shared" si="89"/>
        <v>4</v>
      </c>
      <c r="M204" s="33">
        <f t="shared" si="89"/>
        <v>18</v>
      </c>
      <c r="N204" s="33">
        <f t="shared" si="89"/>
        <v>21</v>
      </c>
      <c r="O204" s="33">
        <f t="shared" si="89"/>
        <v>21</v>
      </c>
      <c r="P204" s="33">
        <f t="shared" si="89"/>
        <v>10</v>
      </c>
      <c r="Q204" s="33">
        <f t="shared" si="89"/>
        <v>10</v>
      </c>
      <c r="R204" s="35">
        <f t="shared" si="85"/>
        <v>0.02</v>
      </c>
      <c r="S204" s="35">
        <f t="shared" si="86"/>
        <v>0.02</v>
      </c>
      <c r="T204" s="35">
        <f t="shared" si="87"/>
        <v>1.2500000000000001E-2</v>
      </c>
      <c r="U204" s="35">
        <f t="shared" si="90"/>
        <v>2.4390243902439046E-2</v>
      </c>
      <c r="V204" s="35">
        <f t="shared" si="90"/>
        <v>0.13793103448275867</v>
      </c>
      <c r="W204" s="35">
        <f t="shared" si="90"/>
        <v>2.4390243902439046E-2</v>
      </c>
      <c r="X204" s="35">
        <f t="shared" si="90"/>
        <v>2.4390243902439046E-2</v>
      </c>
      <c r="Y204" s="35">
        <f t="shared" si="90"/>
        <v>2.4390243902439046E-2</v>
      </c>
      <c r="Z204" s="35">
        <f t="shared" si="90"/>
        <v>2.4390243902439046E-2</v>
      </c>
      <c r="AA204" s="35">
        <f t="shared" si="90"/>
        <v>2.4390243902439046E-2</v>
      </c>
    </row>
    <row r="205" spans="2:27" x14ac:dyDescent="0.2">
      <c r="B205" s="2">
        <v>203</v>
      </c>
      <c r="C205" s="2" t="str">
        <f t="shared" si="73"/>
        <v>a</v>
      </c>
      <c r="D205" s="29" t="s">
        <v>1</v>
      </c>
      <c r="E205" s="29" t="s">
        <v>209</v>
      </c>
      <c r="F205" s="2" t="s">
        <v>216</v>
      </c>
      <c r="G205" s="2">
        <f t="shared" si="91"/>
        <v>3</v>
      </c>
      <c r="H205" s="2" t="str">
        <f t="shared" si="83"/>
        <v>地脉</v>
      </c>
      <c r="I205" s="38">
        <f t="shared" si="84"/>
        <v>0.08</v>
      </c>
      <c r="J205" s="33">
        <f t="shared" si="88"/>
        <v>28</v>
      </c>
      <c r="K205" s="33">
        <f t="shared" si="89"/>
        <v>41</v>
      </c>
      <c r="L205" s="33">
        <f t="shared" si="89"/>
        <v>6</v>
      </c>
      <c r="M205" s="33">
        <f t="shared" si="89"/>
        <v>27</v>
      </c>
      <c r="N205" s="33">
        <f t="shared" si="89"/>
        <v>32</v>
      </c>
      <c r="O205" s="33">
        <f t="shared" si="89"/>
        <v>32</v>
      </c>
      <c r="P205" s="33">
        <f t="shared" si="89"/>
        <v>16</v>
      </c>
      <c r="Q205" s="33">
        <f t="shared" si="89"/>
        <v>16</v>
      </c>
      <c r="R205" s="35">
        <f t="shared" si="85"/>
        <v>3.2000000000000001E-2</v>
      </c>
      <c r="S205" s="35">
        <f t="shared" si="86"/>
        <v>3.2000000000000001E-2</v>
      </c>
      <c r="T205" s="35">
        <f t="shared" si="87"/>
        <v>0.02</v>
      </c>
      <c r="U205" s="35">
        <f t="shared" si="90"/>
        <v>3.8461538461538436E-2</v>
      </c>
      <c r="V205" s="35">
        <f t="shared" si="90"/>
        <v>0.19354838709677424</v>
      </c>
      <c r="W205" s="35">
        <f t="shared" si="90"/>
        <v>3.8461538461538436E-2</v>
      </c>
      <c r="X205" s="35">
        <f t="shared" si="90"/>
        <v>3.8461538461538436E-2</v>
      </c>
      <c r="Y205" s="35">
        <f t="shared" si="90"/>
        <v>3.8461538461538436E-2</v>
      </c>
      <c r="Z205" s="35">
        <f t="shared" si="90"/>
        <v>3.8461538461538436E-2</v>
      </c>
      <c r="AA205" s="35">
        <f t="shared" si="90"/>
        <v>3.8461538461538436E-2</v>
      </c>
    </row>
    <row r="206" spans="2:27" x14ac:dyDescent="0.2">
      <c r="B206" s="2">
        <v>204</v>
      </c>
      <c r="C206" s="2" t="str">
        <f t="shared" si="73"/>
        <v>a</v>
      </c>
      <c r="D206" s="29" t="s">
        <v>1</v>
      </c>
      <c r="E206" s="29" t="s">
        <v>209</v>
      </c>
      <c r="F206" s="2" t="s">
        <v>216</v>
      </c>
      <c r="G206" s="2">
        <f t="shared" si="91"/>
        <v>4</v>
      </c>
      <c r="H206" s="2" t="str">
        <f t="shared" si="83"/>
        <v>地脉</v>
      </c>
      <c r="I206" s="38">
        <f t="shared" si="84"/>
        <v>0.08</v>
      </c>
      <c r="J206" s="33">
        <f t="shared" si="88"/>
        <v>38</v>
      </c>
      <c r="K206" s="33">
        <f t="shared" si="89"/>
        <v>55</v>
      </c>
      <c r="L206" s="33">
        <f t="shared" si="89"/>
        <v>8</v>
      </c>
      <c r="M206" s="33">
        <f t="shared" si="89"/>
        <v>36</v>
      </c>
      <c r="N206" s="33">
        <f t="shared" si="89"/>
        <v>42</v>
      </c>
      <c r="O206" s="33">
        <f t="shared" si="89"/>
        <v>42</v>
      </c>
      <c r="P206" s="33">
        <f t="shared" si="89"/>
        <v>21</v>
      </c>
      <c r="Q206" s="33">
        <f t="shared" si="89"/>
        <v>21</v>
      </c>
      <c r="R206" s="35">
        <f t="shared" si="85"/>
        <v>4.2000000000000003E-2</v>
      </c>
      <c r="S206" s="35">
        <f t="shared" si="86"/>
        <v>4.2000000000000003E-2</v>
      </c>
      <c r="T206" s="35">
        <f t="shared" si="87"/>
        <v>2.6249999999999999E-2</v>
      </c>
      <c r="U206" s="35">
        <f t="shared" si="90"/>
        <v>5.2132701421800931E-2</v>
      </c>
      <c r="V206" s="35">
        <f t="shared" si="90"/>
        <v>0.24242424242424243</v>
      </c>
      <c r="W206" s="35">
        <f t="shared" si="90"/>
        <v>5.2132701421800931E-2</v>
      </c>
      <c r="X206" s="35">
        <f t="shared" si="90"/>
        <v>5.2132701421800931E-2</v>
      </c>
      <c r="Y206" s="35">
        <f t="shared" si="90"/>
        <v>5.2132701421800931E-2</v>
      </c>
      <c r="Z206" s="35">
        <f t="shared" si="90"/>
        <v>5.2132701421800931E-2</v>
      </c>
      <c r="AA206" s="35">
        <f t="shared" si="90"/>
        <v>5.2132701421800931E-2</v>
      </c>
    </row>
    <row r="207" spans="2:27" x14ac:dyDescent="0.2">
      <c r="B207" s="2">
        <v>205</v>
      </c>
      <c r="C207" s="2" t="str">
        <f t="shared" si="73"/>
        <v>a</v>
      </c>
      <c r="D207" s="29" t="s">
        <v>1</v>
      </c>
      <c r="E207" s="29" t="s">
        <v>209</v>
      </c>
      <c r="F207" s="2" t="s">
        <v>216</v>
      </c>
      <c r="G207" s="2">
        <f t="shared" si="91"/>
        <v>5</v>
      </c>
      <c r="H207" s="2" t="str">
        <f t="shared" si="83"/>
        <v>地脉</v>
      </c>
      <c r="I207" s="38">
        <f t="shared" si="84"/>
        <v>9.457142857142857E-2</v>
      </c>
      <c r="J207" s="33">
        <f t="shared" si="88"/>
        <v>48</v>
      </c>
      <c r="K207" s="33">
        <f t="shared" si="89"/>
        <v>69</v>
      </c>
      <c r="L207" s="33">
        <f t="shared" si="89"/>
        <v>11</v>
      </c>
      <c r="M207" s="33">
        <f t="shared" si="89"/>
        <v>45</v>
      </c>
      <c r="N207" s="33">
        <f t="shared" si="89"/>
        <v>53</v>
      </c>
      <c r="O207" s="33">
        <f t="shared" si="89"/>
        <v>53</v>
      </c>
      <c r="P207" s="33">
        <f t="shared" si="89"/>
        <v>26</v>
      </c>
      <c r="Q207" s="33">
        <f t="shared" si="89"/>
        <v>26</v>
      </c>
      <c r="R207" s="35">
        <f t="shared" si="85"/>
        <v>5.2000000000000005E-2</v>
      </c>
      <c r="S207" s="35">
        <f t="shared" si="86"/>
        <v>5.2000000000000005E-2</v>
      </c>
      <c r="T207" s="35">
        <f t="shared" si="87"/>
        <v>3.2500000000000001E-2</v>
      </c>
      <c r="U207" s="35">
        <f t="shared" si="90"/>
        <v>6.1032863849765251E-2</v>
      </c>
      <c r="V207" s="35">
        <f t="shared" si="90"/>
        <v>0.2857142857142857</v>
      </c>
      <c r="W207" s="35">
        <f t="shared" si="90"/>
        <v>6.1032863849765251E-2</v>
      </c>
      <c r="X207" s="35">
        <f t="shared" si="90"/>
        <v>6.1032863849765251E-2</v>
      </c>
      <c r="Y207" s="35">
        <f t="shared" si="90"/>
        <v>6.1032863849765251E-2</v>
      </c>
      <c r="Z207" s="35">
        <f t="shared" si="90"/>
        <v>6.1032863849765251E-2</v>
      </c>
      <c r="AA207" s="35">
        <f t="shared" si="90"/>
        <v>6.1032863849765251E-2</v>
      </c>
    </row>
    <row r="208" spans="2:27" x14ac:dyDescent="0.2">
      <c r="B208" s="2">
        <v>206</v>
      </c>
      <c r="C208" s="2" t="str">
        <f t="shared" si="73"/>
        <v>a</v>
      </c>
      <c r="D208" s="29" t="s">
        <v>1</v>
      </c>
      <c r="E208" s="29" t="s">
        <v>209</v>
      </c>
      <c r="F208" s="2" t="s">
        <v>216</v>
      </c>
      <c r="G208" s="2">
        <f t="shared" si="91"/>
        <v>6</v>
      </c>
      <c r="H208" s="2" t="str">
        <f t="shared" si="83"/>
        <v>地脉</v>
      </c>
      <c r="I208" s="38">
        <f t="shared" si="84"/>
        <v>0.114</v>
      </c>
      <c r="J208" s="33">
        <f t="shared" si="88"/>
        <v>57</v>
      </c>
      <c r="K208" s="33">
        <f t="shared" si="89"/>
        <v>83</v>
      </c>
      <c r="L208" s="33">
        <f t="shared" si="89"/>
        <v>13</v>
      </c>
      <c r="M208" s="33">
        <f t="shared" si="89"/>
        <v>54</v>
      </c>
      <c r="N208" s="33">
        <f t="shared" si="89"/>
        <v>64</v>
      </c>
      <c r="O208" s="33">
        <f t="shared" si="89"/>
        <v>64</v>
      </c>
      <c r="P208" s="33">
        <f t="shared" si="89"/>
        <v>32</v>
      </c>
      <c r="Q208" s="33">
        <f t="shared" si="89"/>
        <v>32</v>
      </c>
      <c r="R208" s="35">
        <f t="shared" si="85"/>
        <v>6.4000000000000001E-2</v>
      </c>
      <c r="S208" s="35">
        <f t="shared" si="86"/>
        <v>6.4000000000000001E-2</v>
      </c>
      <c r="T208" s="35">
        <f t="shared" si="87"/>
        <v>0.04</v>
      </c>
      <c r="U208" s="35">
        <f t="shared" si="90"/>
        <v>7.407407407407407E-2</v>
      </c>
      <c r="V208" s="35">
        <f t="shared" si="90"/>
        <v>0.32432432432432434</v>
      </c>
      <c r="W208" s="35">
        <f t="shared" si="90"/>
        <v>7.407407407407407E-2</v>
      </c>
      <c r="X208" s="35">
        <f t="shared" si="90"/>
        <v>7.407407407407407E-2</v>
      </c>
      <c r="Y208" s="35">
        <f t="shared" si="90"/>
        <v>7.407407407407407E-2</v>
      </c>
      <c r="Z208" s="35">
        <f t="shared" si="90"/>
        <v>7.407407407407407E-2</v>
      </c>
      <c r="AA208" s="35">
        <f t="shared" si="90"/>
        <v>7.407407407407407E-2</v>
      </c>
    </row>
    <row r="209" spans="2:27" x14ac:dyDescent="0.2">
      <c r="B209" s="2">
        <v>207</v>
      </c>
      <c r="C209" s="2" t="str">
        <f t="shared" si="73"/>
        <v>a</v>
      </c>
      <c r="D209" s="29" t="s">
        <v>1</v>
      </c>
      <c r="E209" s="29" t="s">
        <v>209</v>
      </c>
      <c r="F209" s="2" t="s">
        <v>216</v>
      </c>
      <c r="G209" s="2">
        <f t="shared" si="91"/>
        <v>7</v>
      </c>
      <c r="H209" s="2" t="str">
        <f t="shared" si="83"/>
        <v>地脉</v>
      </c>
      <c r="I209" s="38">
        <f t="shared" si="84"/>
        <v>0.13257142857142859</v>
      </c>
      <c r="J209" s="33">
        <f t="shared" si="88"/>
        <v>67</v>
      </c>
      <c r="K209" s="33">
        <f t="shared" si="89"/>
        <v>97</v>
      </c>
      <c r="L209" s="33">
        <f t="shared" si="89"/>
        <v>15</v>
      </c>
      <c r="M209" s="33">
        <f t="shared" si="89"/>
        <v>63</v>
      </c>
      <c r="N209" s="33">
        <f t="shared" si="89"/>
        <v>74</v>
      </c>
      <c r="O209" s="33">
        <f t="shared" si="89"/>
        <v>74</v>
      </c>
      <c r="P209" s="33">
        <f t="shared" si="89"/>
        <v>37</v>
      </c>
      <c r="Q209" s="33">
        <f t="shared" si="89"/>
        <v>37</v>
      </c>
      <c r="R209" s="35">
        <f t="shared" si="85"/>
        <v>7.400000000000001E-2</v>
      </c>
      <c r="S209" s="35">
        <f t="shared" si="86"/>
        <v>7.400000000000001E-2</v>
      </c>
      <c r="T209" s="35">
        <f t="shared" si="87"/>
        <v>4.6249999999999999E-2</v>
      </c>
      <c r="U209" s="35">
        <f t="shared" si="90"/>
        <v>8.6757990867579959E-2</v>
      </c>
      <c r="V209" s="35">
        <f t="shared" si="90"/>
        <v>0.35897435897435892</v>
      </c>
      <c r="W209" s="35">
        <f t="shared" si="90"/>
        <v>8.6757990867579959E-2</v>
      </c>
      <c r="X209" s="35">
        <f t="shared" si="90"/>
        <v>8.6757990867579959E-2</v>
      </c>
      <c r="Y209" s="35">
        <f t="shared" si="90"/>
        <v>8.6757990867579959E-2</v>
      </c>
      <c r="Z209" s="35">
        <f t="shared" si="90"/>
        <v>8.6757990867579959E-2</v>
      </c>
      <c r="AA209" s="35">
        <f t="shared" si="90"/>
        <v>8.6757990867579959E-2</v>
      </c>
    </row>
    <row r="210" spans="2:27" x14ac:dyDescent="0.2">
      <c r="B210" s="2">
        <v>208</v>
      </c>
      <c r="C210" s="2" t="str">
        <f t="shared" si="73"/>
        <v>a</v>
      </c>
      <c r="D210" s="29" t="s">
        <v>1</v>
      </c>
      <c r="E210" s="29" t="s">
        <v>209</v>
      </c>
      <c r="F210" s="2" t="s">
        <v>216</v>
      </c>
      <c r="G210" s="2">
        <f t="shared" si="91"/>
        <v>8</v>
      </c>
      <c r="H210" s="2" t="str">
        <f t="shared" si="83"/>
        <v>地脉</v>
      </c>
      <c r="I210" s="38">
        <f t="shared" si="84"/>
        <v>0.15114285714285713</v>
      </c>
      <c r="J210" s="33">
        <f t="shared" si="88"/>
        <v>76</v>
      </c>
      <c r="K210" s="33">
        <f t="shared" si="89"/>
        <v>110</v>
      </c>
      <c r="L210" s="33">
        <f t="shared" si="89"/>
        <v>17</v>
      </c>
      <c r="M210" s="33">
        <f t="shared" si="89"/>
        <v>72</v>
      </c>
      <c r="N210" s="33">
        <f t="shared" si="89"/>
        <v>85</v>
      </c>
      <c r="O210" s="33">
        <f t="shared" si="89"/>
        <v>85</v>
      </c>
      <c r="P210" s="33">
        <f t="shared" si="89"/>
        <v>42</v>
      </c>
      <c r="Q210" s="33">
        <f t="shared" si="89"/>
        <v>42</v>
      </c>
      <c r="R210" s="35">
        <f t="shared" si="85"/>
        <v>8.4000000000000005E-2</v>
      </c>
      <c r="S210" s="35">
        <f t="shared" si="86"/>
        <v>8.4000000000000005E-2</v>
      </c>
      <c r="T210" s="35">
        <f t="shared" si="87"/>
        <v>5.2499999999999998E-2</v>
      </c>
      <c r="U210" s="35">
        <f t="shared" si="90"/>
        <v>9.5022624434389136E-2</v>
      </c>
      <c r="V210" s="35">
        <f t="shared" si="90"/>
        <v>0.3902439024390244</v>
      </c>
      <c r="W210" s="35">
        <f t="shared" si="90"/>
        <v>9.5022624434389136E-2</v>
      </c>
      <c r="X210" s="35">
        <f t="shared" si="90"/>
        <v>9.5022624434389136E-2</v>
      </c>
      <c r="Y210" s="35">
        <f t="shared" si="90"/>
        <v>9.5022624434389136E-2</v>
      </c>
      <c r="Z210" s="35">
        <f t="shared" si="90"/>
        <v>9.5022624434389136E-2</v>
      </c>
      <c r="AA210" s="35">
        <f t="shared" si="90"/>
        <v>9.5022624434389136E-2</v>
      </c>
    </row>
    <row r="211" spans="2:27" x14ac:dyDescent="0.2">
      <c r="B211" s="2">
        <v>209</v>
      </c>
      <c r="C211" s="2" t="str">
        <f t="shared" si="73"/>
        <v>b</v>
      </c>
      <c r="D211" s="29" t="s">
        <v>1</v>
      </c>
      <c r="E211" s="29" t="s">
        <v>209</v>
      </c>
      <c r="F211" s="2" t="s">
        <v>216</v>
      </c>
      <c r="G211" s="2">
        <f t="shared" si="91"/>
        <v>1</v>
      </c>
      <c r="H211" s="2" t="str">
        <f t="shared" si="83"/>
        <v>地脉</v>
      </c>
      <c r="I211" s="38">
        <f t="shared" si="84"/>
        <v>0.08</v>
      </c>
      <c r="J211" s="33">
        <f t="shared" si="88"/>
        <v>11</v>
      </c>
      <c r="K211" s="33">
        <f t="shared" si="89"/>
        <v>20</v>
      </c>
      <c r="L211" s="33">
        <f t="shared" si="89"/>
        <v>3</v>
      </c>
      <c r="M211" s="33">
        <f t="shared" si="89"/>
        <v>13</v>
      </c>
      <c r="N211" s="33">
        <f t="shared" si="89"/>
        <v>16</v>
      </c>
      <c r="O211" s="33">
        <f t="shared" si="89"/>
        <v>16</v>
      </c>
      <c r="P211" s="33">
        <f t="shared" si="89"/>
        <v>8</v>
      </c>
      <c r="Q211" s="33">
        <f t="shared" si="89"/>
        <v>8</v>
      </c>
      <c r="R211" s="35">
        <f t="shared" si="85"/>
        <v>1.6E-2</v>
      </c>
      <c r="S211" s="35">
        <f t="shared" si="86"/>
        <v>1.6E-2</v>
      </c>
      <c r="T211" s="35">
        <f t="shared" si="87"/>
        <v>0.01</v>
      </c>
      <c r="U211" s="35">
        <f t="shared" si="90"/>
        <v>1.9607843137254943E-2</v>
      </c>
      <c r="V211" s="35">
        <f t="shared" si="90"/>
        <v>0.1071428571428571</v>
      </c>
      <c r="W211" s="35">
        <f t="shared" si="90"/>
        <v>1.9607843137254943E-2</v>
      </c>
      <c r="X211" s="35">
        <f t="shared" si="90"/>
        <v>1.9607843137254943E-2</v>
      </c>
      <c r="Y211" s="35">
        <f t="shared" si="90"/>
        <v>1.9607843137254943E-2</v>
      </c>
      <c r="Z211" s="35">
        <f t="shared" si="90"/>
        <v>1.9607843137254943E-2</v>
      </c>
      <c r="AA211" s="35">
        <f t="shared" si="90"/>
        <v>1.9607843137254943E-2</v>
      </c>
    </row>
    <row r="212" spans="2:27" x14ac:dyDescent="0.2">
      <c r="B212" s="2">
        <v>210</v>
      </c>
      <c r="C212" s="2" t="str">
        <f t="shared" si="73"/>
        <v>b</v>
      </c>
      <c r="D212" s="29" t="s">
        <v>1</v>
      </c>
      <c r="E212" s="29" t="s">
        <v>209</v>
      </c>
      <c r="F212" s="2" t="s">
        <v>216</v>
      </c>
      <c r="G212" s="2">
        <f t="shared" si="91"/>
        <v>2</v>
      </c>
      <c r="H212" s="2" t="str">
        <f t="shared" si="83"/>
        <v>地脉</v>
      </c>
      <c r="I212" s="38">
        <f t="shared" si="84"/>
        <v>0.08</v>
      </c>
      <c r="J212" s="33">
        <f t="shared" si="88"/>
        <v>22</v>
      </c>
      <c r="K212" s="33">
        <f t="shared" si="89"/>
        <v>41</v>
      </c>
      <c r="L212" s="33">
        <f t="shared" si="89"/>
        <v>6</v>
      </c>
      <c r="M212" s="33">
        <f t="shared" si="89"/>
        <v>27</v>
      </c>
      <c r="N212" s="33">
        <f t="shared" si="89"/>
        <v>32</v>
      </c>
      <c r="O212" s="33">
        <f t="shared" si="89"/>
        <v>32</v>
      </c>
      <c r="P212" s="33">
        <f t="shared" si="89"/>
        <v>16</v>
      </c>
      <c r="Q212" s="33">
        <f t="shared" si="89"/>
        <v>16</v>
      </c>
      <c r="R212" s="35">
        <f t="shared" si="85"/>
        <v>3.2000000000000001E-2</v>
      </c>
      <c r="S212" s="35">
        <f t="shared" si="86"/>
        <v>3.2000000000000001E-2</v>
      </c>
      <c r="T212" s="35">
        <f t="shared" si="87"/>
        <v>0.02</v>
      </c>
      <c r="U212" s="35">
        <f t="shared" si="90"/>
        <v>3.8461538461538436E-2</v>
      </c>
      <c r="V212" s="35">
        <f t="shared" si="90"/>
        <v>0.19354838709677424</v>
      </c>
      <c r="W212" s="35">
        <f t="shared" si="90"/>
        <v>3.8461538461538436E-2</v>
      </c>
      <c r="X212" s="35">
        <f t="shared" si="90"/>
        <v>3.8461538461538436E-2</v>
      </c>
      <c r="Y212" s="35">
        <f t="shared" si="90"/>
        <v>3.8461538461538436E-2</v>
      </c>
      <c r="Z212" s="35">
        <f t="shared" si="90"/>
        <v>3.8461538461538436E-2</v>
      </c>
      <c r="AA212" s="35">
        <f t="shared" si="90"/>
        <v>3.8461538461538436E-2</v>
      </c>
    </row>
    <row r="213" spans="2:27" x14ac:dyDescent="0.2">
      <c r="B213" s="2">
        <v>211</v>
      </c>
      <c r="C213" s="2" t="str">
        <f t="shared" si="73"/>
        <v>b</v>
      </c>
      <c r="D213" s="29" t="s">
        <v>1</v>
      </c>
      <c r="E213" s="29" t="s">
        <v>209</v>
      </c>
      <c r="F213" s="2" t="s">
        <v>216</v>
      </c>
      <c r="G213" s="2">
        <f t="shared" si="91"/>
        <v>3</v>
      </c>
      <c r="H213" s="2" t="str">
        <f t="shared" si="83"/>
        <v>地脉</v>
      </c>
      <c r="I213" s="38">
        <f t="shared" si="84"/>
        <v>8.2571428571428573E-2</v>
      </c>
      <c r="J213" s="33">
        <f t="shared" ref="J213:J222" si="92">INT((1+VLOOKUP($F213,role_property_weight,getpos(J$2),FALSE))*(1+VLOOKUP($F213,drop_property_weight,getpos(J$2),FALSE))*VLOOKUP($E213,role_grow,getpos(J$2),FALSE)*$G213*10*VLOOKUP($C213,drop_grow1,4,FALSE))</f>
        <v>33</v>
      </c>
      <c r="K213" s="33">
        <f t="shared" ref="K213:Q222" si="93">INT((1+VLOOKUP($F213,role_property_weight,getpos(K$2),FALSE))*(1+VLOOKUP($F213,drop_property_weight,getpos(K$2),FALSE))*VLOOKUP($E213,role_grow,getpos(K$2),FALSE)*$G213*10*VLOOKUP($C213,drop_grow1,5,FALSE))</f>
        <v>62</v>
      </c>
      <c r="L213" s="33">
        <f t="shared" si="93"/>
        <v>10</v>
      </c>
      <c r="M213" s="33">
        <f t="shared" si="93"/>
        <v>40</v>
      </c>
      <c r="N213" s="33">
        <f t="shared" si="93"/>
        <v>48</v>
      </c>
      <c r="O213" s="33">
        <f t="shared" si="93"/>
        <v>48</v>
      </c>
      <c r="P213" s="33">
        <f t="shared" si="93"/>
        <v>24</v>
      </c>
      <c r="Q213" s="33">
        <f t="shared" si="93"/>
        <v>24</v>
      </c>
      <c r="R213" s="35">
        <f t="shared" si="85"/>
        <v>4.8000000000000001E-2</v>
      </c>
      <c r="S213" s="35">
        <f t="shared" si="86"/>
        <v>4.8000000000000001E-2</v>
      </c>
      <c r="T213" s="35">
        <f t="shared" si="87"/>
        <v>0.03</v>
      </c>
      <c r="U213" s="35">
        <f t="shared" ref="U213:AA222" si="94">1-200/(200+ROUND((1+VLOOKUP($F213,role_property_weight,getpos(U$2),FALSE))*VLOOKUP($E213,role_grow,getpos(U$2),FALSE)*$G213*10*VLOOKUP($C213,drop_grow1,5,FALSE),0))</f>
        <v>5.6603773584905648E-2</v>
      </c>
      <c r="V213" s="35">
        <f t="shared" si="94"/>
        <v>0.26470588235294112</v>
      </c>
      <c r="W213" s="35">
        <f t="shared" si="94"/>
        <v>5.6603773584905648E-2</v>
      </c>
      <c r="X213" s="35">
        <f t="shared" si="94"/>
        <v>5.6603773584905648E-2</v>
      </c>
      <c r="Y213" s="35">
        <f t="shared" si="94"/>
        <v>5.6603773584905648E-2</v>
      </c>
      <c r="Z213" s="35">
        <f t="shared" si="94"/>
        <v>5.6603773584905648E-2</v>
      </c>
      <c r="AA213" s="35">
        <f t="shared" si="94"/>
        <v>5.6603773584905648E-2</v>
      </c>
    </row>
    <row r="214" spans="2:27" x14ac:dyDescent="0.2">
      <c r="B214" s="2">
        <v>212</v>
      </c>
      <c r="C214" s="2" t="str">
        <f t="shared" si="73"/>
        <v>b</v>
      </c>
      <c r="D214" s="29" t="s">
        <v>1</v>
      </c>
      <c r="E214" s="29" t="s">
        <v>209</v>
      </c>
      <c r="F214" s="2" t="s">
        <v>216</v>
      </c>
      <c r="G214" s="2">
        <f t="shared" si="91"/>
        <v>4</v>
      </c>
      <c r="H214" s="2" t="str">
        <f t="shared" si="83"/>
        <v>地脉</v>
      </c>
      <c r="I214" s="38">
        <f t="shared" si="84"/>
        <v>0.11028571428571428</v>
      </c>
      <c r="J214" s="33">
        <f t="shared" si="92"/>
        <v>44</v>
      </c>
      <c r="K214" s="33">
        <f t="shared" si="93"/>
        <v>83</v>
      </c>
      <c r="L214" s="33">
        <f t="shared" si="93"/>
        <v>13</v>
      </c>
      <c r="M214" s="33">
        <f t="shared" si="93"/>
        <v>54</v>
      </c>
      <c r="N214" s="33">
        <f t="shared" si="93"/>
        <v>64</v>
      </c>
      <c r="O214" s="33">
        <f t="shared" si="93"/>
        <v>64</v>
      </c>
      <c r="P214" s="33">
        <f t="shared" si="93"/>
        <v>32</v>
      </c>
      <c r="Q214" s="33">
        <f t="shared" si="93"/>
        <v>32</v>
      </c>
      <c r="R214" s="35">
        <f t="shared" si="85"/>
        <v>6.4000000000000001E-2</v>
      </c>
      <c r="S214" s="35">
        <f t="shared" si="86"/>
        <v>6.4000000000000001E-2</v>
      </c>
      <c r="T214" s="35">
        <f t="shared" si="87"/>
        <v>0.04</v>
      </c>
      <c r="U214" s="35">
        <f t="shared" si="94"/>
        <v>7.407407407407407E-2</v>
      </c>
      <c r="V214" s="35">
        <f t="shared" si="94"/>
        <v>0.32432432432432434</v>
      </c>
      <c r="W214" s="35">
        <f t="shared" si="94"/>
        <v>7.407407407407407E-2</v>
      </c>
      <c r="X214" s="35">
        <f t="shared" si="94"/>
        <v>7.407407407407407E-2</v>
      </c>
      <c r="Y214" s="35">
        <f t="shared" si="94"/>
        <v>7.407407407407407E-2</v>
      </c>
      <c r="Z214" s="35">
        <f t="shared" si="94"/>
        <v>7.407407407407407E-2</v>
      </c>
      <c r="AA214" s="35">
        <f t="shared" si="94"/>
        <v>7.407407407407407E-2</v>
      </c>
    </row>
    <row r="215" spans="2:27" x14ac:dyDescent="0.2">
      <c r="B215" s="2">
        <v>213</v>
      </c>
      <c r="C215" s="2" t="str">
        <f t="shared" si="73"/>
        <v>b</v>
      </c>
      <c r="D215" s="29" t="s">
        <v>1</v>
      </c>
      <c r="E215" s="29" t="s">
        <v>209</v>
      </c>
      <c r="F215" s="2" t="s">
        <v>216</v>
      </c>
      <c r="G215" s="2">
        <f t="shared" si="91"/>
        <v>5</v>
      </c>
      <c r="H215" s="2" t="str">
        <f t="shared" si="83"/>
        <v>地脉</v>
      </c>
      <c r="I215" s="38">
        <f t="shared" si="84"/>
        <v>0.13828571428571429</v>
      </c>
      <c r="J215" s="33">
        <f t="shared" si="92"/>
        <v>56</v>
      </c>
      <c r="K215" s="33">
        <f t="shared" si="93"/>
        <v>104</v>
      </c>
      <c r="L215" s="33">
        <f t="shared" si="93"/>
        <v>16</v>
      </c>
      <c r="M215" s="33">
        <f t="shared" si="93"/>
        <v>68</v>
      </c>
      <c r="N215" s="33">
        <f t="shared" si="93"/>
        <v>80</v>
      </c>
      <c r="O215" s="33">
        <f t="shared" si="93"/>
        <v>80</v>
      </c>
      <c r="P215" s="33">
        <f t="shared" si="93"/>
        <v>40</v>
      </c>
      <c r="Q215" s="33">
        <f t="shared" si="93"/>
        <v>40</v>
      </c>
      <c r="R215" s="35">
        <f t="shared" si="85"/>
        <v>0.08</v>
      </c>
      <c r="S215" s="35">
        <f t="shared" si="86"/>
        <v>0.08</v>
      </c>
      <c r="T215" s="35">
        <f t="shared" si="87"/>
        <v>0.05</v>
      </c>
      <c r="U215" s="35">
        <f t="shared" si="94"/>
        <v>9.0909090909090939E-2</v>
      </c>
      <c r="V215" s="35">
        <f t="shared" si="94"/>
        <v>0.375</v>
      </c>
      <c r="W215" s="35">
        <f t="shared" si="94"/>
        <v>9.0909090909090939E-2</v>
      </c>
      <c r="X215" s="35">
        <f t="shared" si="94"/>
        <v>9.0909090909090939E-2</v>
      </c>
      <c r="Y215" s="35">
        <f t="shared" si="94"/>
        <v>9.0909090909090939E-2</v>
      </c>
      <c r="Z215" s="35">
        <f t="shared" si="94"/>
        <v>9.0909090909090939E-2</v>
      </c>
      <c r="AA215" s="35">
        <f t="shared" si="94"/>
        <v>9.0909090909090939E-2</v>
      </c>
    </row>
    <row r="216" spans="2:27" x14ac:dyDescent="0.2">
      <c r="B216" s="2">
        <v>214</v>
      </c>
      <c r="C216" s="2" t="str">
        <f t="shared" si="73"/>
        <v>b</v>
      </c>
      <c r="D216" s="29" t="s">
        <v>1</v>
      </c>
      <c r="E216" s="29" t="s">
        <v>209</v>
      </c>
      <c r="F216" s="2" t="s">
        <v>216</v>
      </c>
      <c r="G216" s="2">
        <f t="shared" si="91"/>
        <v>6</v>
      </c>
      <c r="H216" s="2" t="str">
        <f t="shared" si="83"/>
        <v>地脉</v>
      </c>
      <c r="I216" s="38">
        <f t="shared" si="84"/>
        <v>0.16571428571428573</v>
      </c>
      <c r="J216" s="33">
        <f t="shared" si="92"/>
        <v>67</v>
      </c>
      <c r="K216" s="33">
        <f t="shared" si="93"/>
        <v>124</v>
      </c>
      <c r="L216" s="33">
        <f t="shared" si="93"/>
        <v>20</v>
      </c>
      <c r="M216" s="33">
        <f t="shared" si="93"/>
        <v>81</v>
      </c>
      <c r="N216" s="33">
        <f t="shared" si="93"/>
        <v>96</v>
      </c>
      <c r="O216" s="33">
        <f t="shared" si="93"/>
        <v>96</v>
      </c>
      <c r="P216" s="33">
        <f t="shared" si="93"/>
        <v>48</v>
      </c>
      <c r="Q216" s="33">
        <f t="shared" si="93"/>
        <v>48</v>
      </c>
      <c r="R216" s="35">
        <f t="shared" si="85"/>
        <v>9.6000000000000002E-2</v>
      </c>
      <c r="S216" s="35">
        <f t="shared" si="86"/>
        <v>9.6000000000000002E-2</v>
      </c>
      <c r="T216" s="35">
        <f t="shared" si="87"/>
        <v>0.06</v>
      </c>
      <c r="U216" s="35">
        <f t="shared" si="94"/>
        <v>0.1071428571428571</v>
      </c>
      <c r="V216" s="35">
        <f t="shared" si="94"/>
        <v>0.41860465116279066</v>
      </c>
      <c r="W216" s="35">
        <f t="shared" si="94"/>
        <v>0.1071428571428571</v>
      </c>
      <c r="X216" s="35">
        <f t="shared" si="94"/>
        <v>0.1071428571428571</v>
      </c>
      <c r="Y216" s="35">
        <f t="shared" si="94"/>
        <v>0.1071428571428571</v>
      </c>
      <c r="Z216" s="35">
        <f t="shared" si="94"/>
        <v>0.1071428571428571</v>
      </c>
      <c r="AA216" s="35">
        <f t="shared" si="94"/>
        <v>0.1071428571428571</v>
      </c>
    </row>
    <row r="217" spans="2:27" x14ac:dyDescent="0.2">
      <c r="B217" s="2">
        <v>215</v>
      </c>
      <c r="C217" s="2" t="str">
        <f t="shared" si="73"/>
        <v>b</v>
      </c>
      <c r="D217" s="29" t="s">
        <v>1</v>
      </c>
      <c r="E217" s="29" t="s">
        <v>209</v>
      </c>
      <c r="F217" s="2" t="s">
        <v>216</v>
      </c>
      <c r="G217" s="2">
        <f t="shared" si="91"/>
        <v>7</v>
      </c>
      <c r="H217" s="2" t="str">
        <f t="shared" si="83"/>
        <v>地脉</v>
      </c>
      <c r="I217" s="38">
        <f t="shared" si="84"/>
        <v>0.19342857142857142</v>
      </c>
      <c r="J217" s="33">
        <f t="shared" si="92"/>
        <v>78</v>
      </c>
      <c r="K217" s="33">
        <f t="shared" si="93"/>
        <v>145</v>
      </c>
      <c r="L217" s="33">
        <f t="shared" si="93"/>
        <v>23</v>
      </c>
      <c r="M217" s="33">
        <f t="shared" si="93"/>
        <v>95</v>
      </c>
      <c r="N217" s="33">
        <f t="shared" si="93"/>
        <v>112</v>
      </c>
      <c r="O217" s="33">
        <f t="shared" si="93"/>
        <v>112</v>
      </c>
      <c r="P217" s="33">
        <f t="shared" si="93"/>
        <v>56</v>
      </c>
      <c r="Q217" s="33">
        <f t="shared" si="93"/>
        <v>56</v>
      </c>
      <c r="R217" s="35">
        <f t="shared" si="85"/>
        <v>0.11199999999999999</v>
      </c>
      <c r="S217" s="35">
        <f t="shared" si="86"/>
        <v>0.11199999999999999</v>
      </c>
      <c r="T217" s="35">
        <f t="shared" si="87"/>
        <v>7.0000000000000007E-2</v>
      </c>
      <c r="U217" s="35">
        <f t="shared" si="94"/>
        <v>0.1228070175438597</v>
      </c>
      <c r="V217" s="35">
        <f t="shared" si="94"/>
        <v>0.45652173913043481</v>
      </c>
      <c r="W217" s="35">
        <f t="shared" si="94"/>
        <v>0.1228070175438597</v>
      </c>
      <c r="X217" s="35">
        <f t="shared" si="94"/>
        <v>0.1228070175438597</v>
      </c>
      <c r="Y217" s="35">
        <f t="shared" si="94"/>
        <v>0.1228070175438597</v>
      </c>
      <c r="Z217" s="35">
        <f t="shared" si="94"/>
        <v>0.1228070175438597</v>
      </c>
      <c r="AA217" s="35">
        <f t="shared" si="94"/>
        <v>0.1228070175438597</v>
      </c>
    </row>
    <row r="218" spans="2:27" x14ac:dyDescent="0.2">
      <c r="B218" s="2">
        <v>216</v>
      </c>
      <c r="C218" s="2" t="str">
        <f t="shared" si="73"/>
        <v>b</v>
      </c>
      <c r="D218" s="29" t="s">
        <v>1</v>
      </c>
      <c r="E218" s="29" t="s">
        <v>209</v>
      </c>
      <c r="F218" s="2" t="s">
        <v>216</v>
      </c>
      <c r="G218" s="2">
        <f t="shared" si="91"/>
        <v>8</v>
      </c>
      <c r="H218" s="2" t="str">
        <f t="shared" si="83"/>
        <v>地脉</v>
      </c>
      <c r="I218" s="38">
        <f t="shared" si="84"/>
        <v>0.22085714285714286</v>
      </c>
      <c r="J218" s="33">
        <f t="shared" si="92"/>
        <v>89</v>
      </c>
      <c r="K218" s="33">
        <f t="shared" si="93"/>
        <v>166</v>
      </c>
      <c r="L218" s="33">
        <f t="shared" si="93"/>
        <v>26</v>
      </c>
      <c r="M218" s="33">
        <f t="shared" si="93"/>
        <v>108</v>
      </c>
      <c r="N218" s="33">
        <f t="shared" si="93"/>
        <v>128</v>
      </c>
      <c r="O218" s="33">
        <f t="shared" si="93"/>
        <v>128</v>
      </c>
      <c r="P218" s="33">
        <f t="shared" si="93"/>
        <v>64</v>
      </c>
      <c r="Q218" s="33">
        <f t="shared" si="93"/>
        <v>64</v>
      </c>
      <c r="R218" s="35">
        <f t="shared" si="85"/>
        <v>0.128</v>
      </c>
      <c r="S218" s="35">
        <f t="shared" si="86"/>
        <v>0.128</v>
      </c>
      <c r="T218" s="35">
        <f t="shared" si="87"/>
        <v>0.08</v>
      </c>
      <c r="U218" s="35">
        <f t="shared" si="94"/>
        <v>0.13793103448275867</v>
      </c>
      <c r="V218" s="35">
        <f t="shared" si="94"/>
        <v>0.48979591836734693</v>
      </c>
      <c r="W218" s="35">
        <f t="shared" si="94"/>
        <v>0.13793103448275867</v>
      </c>
      <c r="X218" s="35">
        <f t="shared" si="94"/>
        <v>0.13793103448275867</v>
      </c>
      <c r="Y218" s="35">
        <f t="shared" si="94"/>
        <v>0.13793103448275867</v>
      </c>
      <c r="Z218" s="35">
        <f t="shared" si="94"/>
        <v>0.13793103448275867</v>
      </c>
      <c r="AA218" s="35">
        <f t="shared" si="94"/>
        <v>0.13793103448275867</v>
      </c>
    </row>
    <row r="219" spans="2:27" x14ac:dyDescent="0.2">
      <c r="B219" s="2">
        <v>217</v>
      </c>
      <c r="C219" s="2" t="str">
        <f t="shared" si="73"/>
        <v>c</v>
      </c>
      <c r="D219" s="29" t="s">
        <v>1</v>
      </c>
      <c r="E219" s="29" t="s">
        <v>209</v>
      </c>
      <c r="F219" s="2" t="s">
        <v>216</v>
      </c>
      <c r="G219" s="2">
        <f t="shared" si="91"/>
        <v>1</v>
      </c>
      <c r="H219" s="2" t="str">
        <f t="shared" si="83"/>
        <v>--</v>
      </c>
      <c r="I219" s="38">
        <f t="shared" si="84"/>
        <v>0</v>
      </c>
      <c r="J219" s="33">
        <f t="shared" si="92"/>
        <v>15</v>
      </c>
      <c r="K219" s="33">
        <f t="shared" si="93"/>
        <v>0</v>
      </c>
      <c r="L219" s="33">
        <f t="shared" si="93"/>
        <v>0</v>
      </c>
      <c r="M219" s="33">
        <f t="shared" si="93"/>
        <v>0</v>
      </c>
      <c r="N219" s="33">
        <f t="shared" si="93"/>
        <v>0</v>
      </c>
      <c r="O219" s="33">
        <f t="shared" si="93"/>
        <v>0</v>
      </c>
      <c r="P219" s="33">
        <f t="shared" si="93"/>
        <v>0</v>
      </c>
      <c r="Q219" s="33">
        <f t="shared" si="93"/>
        <v>0</v>
      </c>
      <c r="R219" s="35">
        <f t="shared" si="85"/>
        <v>0</v>
      </c>
      <c r="S219" s="35">
        <f t="shared" si="86"/>
        <v>0</v>
      </c>
      <c r="T219" s="35">
        <f t="shared" si="87"/>
        <v>0</v>
      </c>
      <c r="U219" s="35">
        <f t="shared" si="94"/>
        <v>0</v>
      </c>
      <c r="V219" s="35">
        <f t="shared" si="94"/>
        <v>0</v>
      </c>
      <c r="W219" s="35">
        <f t="shared" si="94"/>
        <v>0</v>
      </c>
      <c r="X219" s="35">
        <f t="shared" si="94"/>
        <v>0</v>
      </c>
      <c r="Y219" s="35">
        <f t="shared" si="94"/>
        <v>0</v>
      </c>
      <c r="Z219" s="35">
        <f t="shared" si="94"/>
        <v>0</v>
      </c>
      <c r="AA219" s="35">
        <f t="shared" si="94"/>
        <v>0</v>
      </c>
    </row>
    <row r="220" spans="2:27" x14ac:dyDescent="0.2">
      <c r="B220" s="2">
        <v>218</v>
      </c>
      <c r="C220" s="2" t="str">
        <f t="shared" si="73"/>
        <v>c</v>
      </c>
      <c r="D220" s="29" t="s">
        <v>1</v>
      </c>
      <c r="E220" s="29" t="s">
        <v>209</v>
      </c>
      <c r="F220" s="2" t="s">
        <v>216</v>
      </c>
      <c r="G220" s="2">
        <f t="shared" si="91"/>
        <v>2</v>
      </c>
      <c r="H220" s="2" t="str">
        <f t="shared" si="83"/>
        <v>--</v>
      </c>
      <c r="I220" s="38">
        <f t="shared" si="84"/>
        <v>0</v>
      </c>
      <c r="J220" s="33">
        <f t="shared" si="92"/>
        <v>30</v>
      </c>
      <c r="K220" s="33">
        <f t="shared" si="93"/>
        <v>0</v>
      </c>
      <c r="L220" s="33">
        <f t="shared" si="93"/>
        <v>0</v>
      </c>
      <c r="M220" s="33">
        <f t="shared" si="93"/>
        <v>0</v>
      </c>
      <c r="N220" s="33">
        <f t="shared" si="93"/>
        <v>0</v>
      </c>
      <c r="O220" s="33">
        <f t="shared" si="93"/>
        <v>0</v>
      </c>
      <c r="P220" s="33">
        <f t="shared" si="93"/>
        <v>0</v>
      </c>
      <c r="Q220" s="33">
        <f t="shared" si="93"/>
        <v>0</v>
      </c>
      <c r="R220" s="35">
        <f t="shared" si="85"/>
        <v>0</v>
      </c>
      <c r="S220" s="35">
        <f t="shared" si="86"/>
        <v>0</v>
      </c>
      <c r="T220" s="35">
        <f t="shared" si="87"/>
        <v>0</v>
      </c>
      <c r="U220" s="35">
        <f t="shared" si="94"/>
        <v>0</v>
      </c>
      <c r="V220" s="35">
        <f t="shared" si="94"/>
        <v>0</v>
      </c>
      <c r="W220" s="35">
        <f t="shared" si="94"/>
        <v>0</v>
      </c>
      <c r="X220" s="35">
        <f t="shared" si="94"/>
        <v>0</v>
      </c>
      <c r="Y220" s="35">
        <f t="shared" si="94"/>
        <v>0</v>
      </c>
      <c r="Z220" s="35">
        <f t="shared" si="94"/>
        <v>0</v>
      </c>
      <c r="AA220" s="35">
        <f t="shared" si="94"/>
        <v>0</v>
      </c>
    </row>
    <row r="221" spans="2:27" x14ac:dyDescent="0.2">
      <c r="B221" s="2">
        <v>219</v>
      </c>
      <c r="C221" s="2" t="str">
        <f t="shared" si="73"/>
        <v>c</v>
      </c>
      <c r="D221" s="29" t="s">
        <v>1</v>
      </c>
      <c r="E221" s="29" t="s">
        <v>209</v>
      </c>
      <c r="F221" s="2" t="s">
        <v>216</v>
      </c>
      <c r="G221" s="2">
        <f t="shared" si="91"/>
        <v>3</v>
      </c>
      <c r="H221" s="2" t="str">
        <f t="shared" si="83"/>
        <v>--</v>
      </c>
      <c r="I221" s="38">
        <f t="shared" si="84"/>
        <v>0</v>
      </c>
      <c r="J221" s="33">
        <f t="shared" si="92"/>
        <v>45</v>
      </c>
      <c r="K221" s="33">
        <f t="shared" si="93"/>
        <v>0</v>
      </c>
      <c r="L221" s="33">
        <f t="shared" si="93"/>
        <v>0</v>
      </c>
      <c r="M221" s="33">
        <f t="shared" si="93"/>
        <v>0</v>
      </c>
      <c r="N221" s="33">
        <f t="shared" si="93"/>
        <v>0</v>
      </c>
      <c r="O221" s="33">
        <f t="shared" si="93"/>
        <v>0</v>
      </c>
      <c r="P221" s="33">
        <f t="shared" si="93"/>
        <v>0</v>
      </c>
      <c r="Q221" s="33">
        <f t="shared" si="93"/>
        <v>0</v>
      </c>
      <c r="R221" s="35">
        <f t="shared" si="85"/>
        <v>0</v>
      </c>
      <c r="S221" s="35">
        <f t="shared" si="86"/>
        <v>0</v>
      </c>
      <c r="T221" s="35">
        <f t="shared" si="87"/>
        <v>0</v>
      </c>
      <c r="U221" s="35">
        <f t="shared" si="94"/>
        <v>0</v>
      </c>
      <c r="V221" s="35">
        <f t="shared" si="94"/>
        <v>0</v>
      </c>
      <c r="W221" s="35">
        <f t="shared" si="94"/>
        <v>0</v>
      </c>
      <c r="X221" s="35">
        <f t="shared" si="94"/>
        <v>0</v>
      </c>
      <c r="Y221" s="35">
        <f t="shared" si="94"/>
        <v>0</v>
      </c>
      <c r="Z221" s="35">
        <f t="shared" si="94"/>
        <v>0</v>
      </c>
      <c r="AA221" s="35">
        <f t="shared" si="94"/>
        <v>0</v>
      </c>
    </row>
    <row r="222" spans="2:27" x14ac:dyDescent="0.2">
      <c r="B222" s="2">
        <v>220</v>
      </c>
      <c r="C222" s="2" t="str">
        <f t="shared" si="73"/>
        <v>c</v>
      </c>
      <c r="D222" s="29" t="s">
        <v>1</v>
      </c>
      <c r="E222" s="29" t="s">
        <v>209</v>
      </c>
      <c r="F222" s="2" t="s">
        <v>216</v>
      </c>
      <c r="G222" s="2">
        <f t="shared" si="91"/>
        <v>4</v>
      </c>
      <c r="H222" s="2" t="str">
        <f t="shared" si="83"/>
        <v>--</v>
      </c>
      <c r="I222" s="38">
        <f t="shared" si="84"/>
        <v>0</v>
      </c>
      <c r="J222" s="33">
        <f t="shared" si="92"/>
        <v>60</v>
      </c>
      <c r="K222" s="33">
        <f t="shared" si="93"/>
        <v>0</v>
      </c>
      <c r="L222" s="33">
        <f t="shared" si="93"/>
        <v>0</v>
      </c>
      <c r="M222" s="33">
        <f t="shared" si="93"/>
        <v>0</v>
      </c>
      <c r="N222" s="33">
        <f t="shared" si="93"/>
        <v>0</v>
      </c>
      <c r="O222" s="33">
        <f t="shared" si="93"/>
        <v>0</v>
      </c>
      <c r="P222" s="33">
        <f t="shared" si="93"/>
        <v>0</v>
      </c>
      <c r="Q222" s="33">
        <f t="shared" si="93"/>
        <v>0</v>
      </c>
      <c r="R222" s="35">
        <f t="shared" si="85"/>
        <v>0</v>
      </c>
      <c r="S222" s="35">
        <f t="shared" si="86"/>
        <v>0</v>
      </c>
      <c r="T222" s="35">
        <f t="shared" si="87"/>
        <v>0</v>
      </c>
      <c r="U222" s="35">
        <f t="shared" si="94"/>
        <v>0</v>
      </c>
      <c r="V222" s="35">
        <f t="shared" si="94"/>
        <v>0</v>
      </c>
      <c r="W222" s="35">
        <f t="shared" si="94"/>
        <v>0</v>
      </c>
      <c r="X222" s="35">
        <f t="shared" si="94"/>
        <v>0</v>
      </c>
      <c r="Y222" s="35">
        <f t="shared" si="94"/>
        <v>0</v>
      </c>
      <c r="Z222" s="35">
        <f t="shared" si="94"/>
        <v>0</v>
      </c>
      <c r="AA222" s="35">
        <f t="shared" si="94"/>
        <v>0</v>
      </c>
    </row>
    <row r="223" spans="2:27" x14ac:dyDescent="0.2">
      <c r="B223" s="2">
        <v>221</v>
      </c>
      <c r="C223" s="2" t="str">
        <f t="shared" si="73"/>
        <v>c</v>
      </c>
      <c r="D223" s="29" t="s">
        <v>1</v>
      </c>
      <c r="E223" s="29" t="s">
        <v>209</v>
      </c>
      <c r="F223" s="2" t="s">
        <v>216</v>
      </c>
      <c r="G223" s="2">
        <f t="shared" si="91"/>
        <v>5</v>
      </c>
      <c r="H223" s="2" t="str">
        <f t="shared" si="83"/>
        <v>--</v>
      </c>
      <c r="I223" s="38">
        <f t="shared" si="84"/>
        <v>0</v>
      </c>
      <c r="J223" s="33">
        <f t="shared" ref="J223:J232" si="95">INT((1+VLOOKUP($F223,role_property_weight,getpos(J$2),FALSE))*(1+VLOOKUP($F223,drop_property_weight,getpos(J$2),FALSE))*VLOOKUP($E223,role_grow,getpos(J$2),FALSE)*$G223*10*VLOOKUP($C223,drop_grow1,4,FALSE))</f>
        <v>75</v>
      </c>
      <c r="K223" s="33">
        <f t="shared" ref="K223:Q232" si="96">INT((1+VLOOKUP($F223,role_property_weight,getpos(K$2),FALSE))*(1+VLOOKUP($F223,drop_property_weight,getpos(K$2),FALSE))*VLOOKUP($E223,role_grow,getpos(K$2),FALSE)*$G223*10*VLOOKUP($C223,drop_grow1,5,FALSE))</f>
        <v>0</v>
      </c>
      <c r="L223" s="33">
        <f t="shared" si="96"/>
        <v>0</v>
      </c>
      <c r="M223" s="33">
        <f t="shared" si="96"/>
        <v>0</v>
      </c>
      <c r="N223" s="33">
        <f t="shared" si="96"/>
        <v>0</v>
      </c>
      <c r="O223" s="33">
        <f t="shared" si="96"/>
        <v>0</v>
      </c>
      <c r="P223" s="33">
        <f t="shared" si="96"/>
        <v>0</v>
      </c>
      <c r="Q223" s="33">
        <f t="shared" si="96"/>
        <v>0</v>
      </c>
      <c r="R223" s="35">
        <f t="shared" si="85"/>
        <v>0</v>
      </c>
      <c r="S223" s="35">
        <f t="shared" si="86"/>
        <v>0</v>
      </c>
      <c r="T223" s="35">
        <f t="shared" si="87"/>
        <v>0</v>
      </c>
      <c r="U223" s="35">
        <f t="shared" ref="U223:AA232" si="97">1-200/(200+ROUND((1+VLOOKUP($F223,role_property_weight,getpos(U$2),FALSE))*VLOOKUP($E223,role_grow,getpos(U$2),FALSE)*$G223*10*VLOOKUP($C223,drop_grow1,5,FALSE),0))</f>
        <v>0</v>
      </c>
      <c r="V223" s="35">
        <f t="shared" si="97"/>
        <v>0</v>
      </c>
      <c r="W223" s="35">
        <f t="shared" si="97"/>
        <v>0</v>
      </c>
      <c r="X223" s="35">
        <f t="shared" si="97"/>
        <v>0</v>
      </c>
      <c r="Y223" s="35">
        <f t="shared" si="97"/>
        <v>0</v>
      </c>
      <c r="Z223" s="35">
        <f t="shared" si="97"/>
        <v>0</v>
      </c>
      <c r="AA223" s="35">
        <f t="shared" si="97"/>
        <v>0</v>
      </c>
    </row>
    <row r="224" spans="2:27" x14ac:dyDescent="0.2">
      <c r="B224" s="2">
        <v>222</v>
      </c>
      <c r="C224" s="2" t="str">
        <f t="shared" si="73"/>
        <v>c</v>
      </c>
      <c r="D224" s="29" t="s">
        <v>1</v>
      </c>
      <c r="E224" s="29" t="s">
        <v>209</v>
      </c>
      <c r="F224" s="2" t="s">
        <v>216</v>
      </c>
      <c r="G224" s="2">
        <f t="shared" si="91"/>
        <v>6</v>
      </c>
      <c r="H224" s="2" t="str">
        <f t="shared" si="83"/>
        <v>--</v>
      </c>
      <c r="I224" s="38">
        <f t="shared" si="84"/>
        <v>0</v>
      </c>
      <c r="J224" s="33">
        <f t="shared" si="95"/>
        <v>90</v>
      </c>
      <c r="K224" s="33">
        <f t="shared" si="96"/>
        <v>0</v>
      </c>
      <c r="L224" s="33">
        <f t="shared" si="96"/>
        <v>0</v>
      </c>
      <c r="M224" s="33">
        <f t="shared" si="96"/>
        <v>0</v>
      </c>
      <c r="N224" s="33">
        <f t="shared" si="96"/>
        <v>0</v>
      </c>
      <c r="O224" s="33">
        <f t="shared" si="96"/>
        <v>0</v>
      </c>
      <c r="P224" s="33">
        <f t="shared" si="96"/>
        <v>0</v>
      </c>
      <c r="Q224" s="33">
        <f t="shared" si="96"/>
        <v>0</v>
      </c>
      <c r="R224" s="35">
        <f t="shared" si="85"/>
        <v>0</v>
      </c>
      <c r="S224" s="35">
        <f t="shared" si="86"/>
        <v>0</v>
      </c>
      <c r="T224" s="35">
        <f t="shared" si="87"/>
        <v>0</v>
      </c>
      <c r="U224" s="35">
        <f t="shared" si="97"/>
        <v>0</v>
      </c>
      <c r="V224" s="35">
        <f t="shared" si="97"/>
        <v>0</v>
      </c>
      <c r="W224" s="35">
        <f t="shared" si="97"/>
        <v>0</v>
      </c>
      <c r="X224" s="35">
        <f t="shared" si="97"/>
        <v>0</v>
      </c>
      <c r="Y224" s="35">
        <f t="shared" si="97"/>
        <v>0</v>
      </c>
      <c r="Z224" s="35">
        <f t="shared" si="97"/>
        <v>0</v>
      </c>
      <c r="AA224" s="35">
        <f t="shared" si="97"/>
        <v>0</v>
      </c>
    </row>
    <row r="225" spans="2:27" x14ac:dyDescent="0.2">
      <c r="B225" s="2">
        <v>223</v>
      </c>
      <c r="C225" s="2" t="str">
        <f t="shared" si="73"/>
        <v>c</v>
      </c>
      <c r="D225" s="29" t="s">
        <v>1</v>
      </c>
      <c r="E225" s="29" t="s">
        <v>209</v>
      </c>
      <c r="F225" s="2" t="s">
        <v>216</v>
      </c>
      <c r="G225" s="2">
        <f t="shared" si="91"/>
        <v>7</v>
      </c>
      <c r="H225" s="2" t="str">
        <f t="shared" si="83"/>
        <v>--</v>
      </c>
      <c r="I225" s="38">
        <f t="shared" si="84"/>
        <v>0</v>
      </c>
      <c r="J225" s="33">
        <f t="shared" si="95"/>
        <v>105</v>
      </c>
      <c r="K225" s="33">
        <f t="shared" si="96"/>
        <v>0</v>
      </c>
      <c r="L225" s="33">
        <f t="shared" si="96"/>
        <v>0</v>
      </c>
      <c r="M225" s="33">
        <f t="shared" si="96"/>
        <v>0</v>
      </c>
      <c r="N225" s="33">
        <f t="shared" si="96"/>
        <v>0</v>
      </c>
      <c r="O225" s="33">
        <f t="shared" si="96"/>
        <v>0</v>
      </c>
      <c r="P225" s="33">
        <f t="shared" si="96"/>
        <v>0</v>
      </c>
      <c r="Q225" s="33">
        <f t="shared" si="96"/>
        <v>0</v>
      </c>
      <c r="R225" s="35">
        <f t="shared" si="85"/>
        <v>0</v>
      </c>
      <c r="S225" s="35">
        <f t="shared" si="86"/>
        <v>0</v>
      </c>
      <c r="T225" s="35">
        <f t="shared" si="87"/>
        <v>0</v>
      </c>
      <c r="U225" s="35">
        <f t="shared" si="97"/>
        <v>0</v>
      </c>
      <c r="V225" s="35">
        <f t="shared" si="97"/>
        <v>0</v>
      </c>
      <c r="W225" s="35">
        <f t="shared" si="97"/>
        <v>0</v>
      </c>
      <c r="X225" s="35">
        <f t="shared" si="97"/>
        <v>0</v>
      </c>
      <c r="Y225" s="35">
        <f t="shared" si="97"/>
        <v>0</v>
      </c>
      <c r="Z225" s="35">
        <f t="shared" si="97"/>
        <v>0</v>
      </c>
      <c r="AA225" s="35">
        <f t="shared" si="97"/>
        <v>0</v>
      </c>
    </row>
    <row r="226" spans="2:27" x14ac:dyDescent="0.2">
      <c r="B226" s="2">
        <v>224</v>
      </c>
      <c r="C226" s="2" t="str">
        <f t="shared" si="73"/>
        <v>c</v>
      </c>
      <c r="D226" s="29" t="s">
        <v>1</v>
      </c>
      <c r="E226" s="29" t="s">
        <v>209</v>
      </c>
      <c r="F226" s="2" t="s">
        <v>216</v>
      </c>
      <c r="G226" s="2">
        <f t="shared" si="91"/>
        <v>8</v>
      </c>
      <c r="H226" s="2" t="str">
        <f t="shared" si="83"/>
        <v>--</v>
      </c>
      <c r="I226" s="38">
        <f t="shared" si="84"/>
        <v>0</v>
      </c>
      <c r="J226" s="33">
        <f t="shared" si="95"/>
        <v>120</v>
      </c>
      <c r="K226" s="33">
        <f t="shared" si="96"/>
        <v>0</v>
      </c>
      <c r="L226" s="33">
        <f t="shared" si="96"/>
        <v>0</v>
      </c>
      <c r="M226" s="33">
        <f t="shared" si="96"/>
        <v>0</v>
      </c>
      <c r="N226" s="33">
        <f t="shared" si="96"/>
        <v>0</v>
      </c>
      <c r="O226" s="33">
        <f t="shared" si="96"/>
        <v>0</v>
      </c>
      <c r="P226" s="33">
        <f t="shared" si="96"/>
        <v>0</v>
      </c>
      <c r="Q226" s="33">
        <f t="shared" si="96"/>
        <v>0</v>
      </c>
      <c r="R226" s="35">
        <f t="shared" si="85"/>
        <v>0</v>
      </c>
      <c r="S226" s="35">
        <f t="shared" si="86"/>
        <v>0</v>
      </c>
      <c r="T226" s="35">
        <f t="shared" si="87"/>
        <v>0</v>
      </c>
      <c r="U226" s="35">
        <f t="shared" si="97"/>
        <v>0</v>
      </c>
      <c r="V226" s="35">
        <f t="shared" si="97"/>
        <v>0</v>
      </c>
      <c r="W226" s="35">
        <f t="shared" si="97"/>
        <v>0</v>
      </c>
      <c r="X226" s="35">
        <f t="shared" si="97"/>
        <v>0</v>
      </c>
      <c r="Y226" s="35">
        <f t="shared" si="97"/>
        <v>0</v>
      </c>
      <c r="Z226" s="35">
        <f t="shared" si="97"/>
        <v>0</v>
      </c>
      <c r="AA226" s="35">
        <f t="shared" si="97"/>
        <v>0</v>
      </c>
    </row>
    <row r="227" spans="2:27" x14ac:dyDescent="0.2">
      <c r="B227" s="2">
        <v>225</v>
      </c>
      <c r="C227" s="2" t="str">
        <f t="shared" si="73"/>
        <v>s</v>
      </c>
      <c r="D227" s="29" t="s">
        <v>1</v>
      </c>
      <c r="E227" s="29" t="s">
        <v>209</v>
      </c>
      <c r="F227" s="2" t="s">
        <v>217</v>
      </c>
      <c r="G227" s="2">
        <f t="shared" si="91"/>
        <v>1</v>
      </c>
      <c r="H227" s="2" t="str">
        <f t="shared" si="83"/>
        <v>神圣</v>
      </c>
      <c r="I227" s="38">
        <f t="shared" si="84"/>
        <v>0.08</v>
      </c>
      <c r="J227" s="33">
        <f t="shared" si="95"/>
        <v>13</v>
      </c>
      <c r="K227" s="33">
        <f t="shared" si="96"/>
        <v>12</v>
      </c>
      <c r="L227" s="33">
        <f t="shared" si="96"/>
        <v>2</v>
      </c>
      <c r="M227" s="33">
        <f t="shared" si="96"/>
        <v>7</v>
      </c>
      <c r="N227" s="33">
        <f t="shared" si="96"/>
        <v>11</v>
      </c>
      <c r="O227" s="33">
        <f t="shared" si="96"/>
        <v>9</v>
      </c>
      <c r="P227" s="33">
        <f t="shared" si="96"/>
        <v>4</v>
      </c>
      <c r="Q227" s="33">
        <f t="shared" si="96"/>
        <v>5</v>
      </c>
      <c r="R227" s="35">
        <f t="shared" si="85"/>
        <v>0.01</v>
      </c>
      <c r="S227" s="35">
        <f t="shared" si="86"/>
        <v>8.0000000000000002E-3</v>
      </c>
      <c r="T227" s="35">
        <f t="shared" si="87"/>
        <v>6.2500000000000003E-3</v>
      </c>
      <c r="U227" s="35">
        <f t="shared" si="97"/>
        <v>9.9009900990099098E-3</v>
      </c>
      <c r="V227" s="35">
        <f t="shared" si="97"/>
        <v>9.9009900990099098E-3</v>
      </c>
      <c r="W227" s="35">
        <f t="shared" si="97"/>
        <v>9.9009900990099098E-3</v>
      </c>
      <c r="X227" s="35">
        <f t="shared" si="97"/>
        <v>9.9009900990099098E-3</v>
      </c>
      <c r="Y227" s="35">
        <f t="shared" si="97"/>
        <v>6.5420560747663559E-2</v>
      </c>
      <c r="Z227" s="35">
        <f t="shared" si="97"/>
        <v>9.9009900990099098E-3</v>
      </c>
      <c r="AA227" s="35">
        <f t="shared" si="97"/>
        <v>9.9009900990099098E-3</v>
      </c>
    </row>
    <row r="228" spans="2:27" x14ac:dyDescent="0.2">
      <c r="B228" s="2">
        <v>226</v>
      </c>
      <c r="C228" s="2" t="str">
        <f t="shared" ref="C228:C291" si="98">C196</f>
        <v>s</v>
      </c>
      <c r="D228" s="29" t="s">
        <v>1</v>
      </c>
      <c r="E228" s="29" t="s">
        <v>209</v>
      </c>
      <c r="F228" s="2" t="s">
        <v>217</v>
      </c>
      <c r="G228" s="2">
        <f t="shared" si="91"/>
        <v>2</v>
      </c>
      <c r="H228" s="2" t="str">
        <f t="shared" si="83"/>
        <v>神圣</v>
      </c>
      <c r="I228" s="38">
        <f t="shared" si="84"/>
        <v>0.08</v>
      </c>
      <c r="J228" s="33">
        <f t="shared" si="95"/>
        <v>27</v>
      </c>
      <c r="K228" s="33">
        <f t="shared" si="96"/>
        <v>24</v>
      </c>
      <c r="L228" s="33">
        <f t="shared" si="96"/>
        <v>5</v>
      </c>
      <c r="M228" s="33">
        <f t="shared" si="96"/>
        <v>14</v>
      </c>
      <c r="N228" s="33">
        <f t="shared" si="96"/>
        <v>23</v>
      </c>
      <c r="O228" s="33">
        <f t="shared" si="96"/>
        <v>19</v>
      </c>
      <c r="P228" s="33">
        <f t="shared" si="96"/>
        <v>8</v>
      </c>
      <c r="Q228" s="33">
        <f t="shared" si="96"/>
        <v>10</v>
      </c>
      <c r="R228" s="35">
        <f t="shared" si="85"/>
        <v>0.02</v>
      </c>
      <c r="S228" s="35">
        <f t="shared" si="86"/>
        <v>1.6E-2</v>
      </c>
      <c r="T228" s="35">
        <f t="shared" si="87"/>
        <v>1.2500000000000001E-2</v>
      </c>
      <c r="U228" s="35">
        <f t="shared" si="97"/>
        <v>2.4390243902439046E-2</v>
      </c>
      <c r="V228" s="35">
        <f t="shared" si="97"/>
        <v>2.4390243902439046E-2</v>
      </c>
      <c r="W228" s="35">
        <f t="shared" si="97"/>
        <v>2.4390243902439046E-2</v>
      </c>
      <c r="X228" s="35">
        <f t="shared" si="97"/>
        <v>2.4390243902439046E-2</v>
      </c>
      <c r="Y228" s="35">
        <f t="shared" si="97"/>
        <v>0.1266375545851528</v>
      </c>
      <c r="Z228" s="35">
        <f t="shared" si="97"/>
        <v>2.4390243902439046E-2</v>
      </c>
      <c r="AA228" s="35">
        <f t="shared" si="97"/>
        <v>2.4390243902439046E-2</v>
      </c>
    </row>
    <row r="229" spans="2:27" x14ac:dyDescent="0.2">
      <c r="B229" s="2">
        <v>227</v>
      </c>
      <c r="C229" s="2" t="str">
        <f t="shared" si="98"/>
        <v>s</v>
      </c>
      <c r="D229" s="29" t="s">
        <v>1</v>
      </c>
      <c r="E229" s="29" t="s">
        <v>209</v>
      </c>
      <c r="F229" s="2" t="s">
        <v>217</v>
      </c>
      <c r="G229" s="2">
        <f t="shared" si="91"/>
        <v>3</v>
      </c>
      <c r="H229" s="2" t="str">
        <f t="shared" si="83"/>
        <v>神圣</v>
      </c>
      <c r="I229" s="38">
        <f t="shared" si="84"/>
        <v>0.08</v>
      </c>
      <c r="J229" s="33">
        <f t="shared" si="95"/>
        <v>40</v>
      </c>
      <c r="K229" s="33">
        <f t="shared" si="96"/>
        <v>37</v>
      </c>
      <c r="L229" s="33">
        <f t="shared" si="96"/>
        <v>8</v>
      </c>
      <c r="M229" s="33">
        <f t="shared" si="96"/>
        <v>21</v>
      </c>
      <c r="N229" s="33">
        <f t="shared" si="96"/>
        <v>34</v>
      </c>
      <c r="O229" s="33">
        <f t="shared" si="96"/>
        <v>28</v>
      </c>
      <c r="P229" s="33">
        <f t="shared" si="96"/>
        <v>12</v>
      </c>
      <c r="Q229" s="33">
        <f t="shared" si="96"/>
        <v>15</v>
      </c>
      <c r="R229" s="35">
        <f t="shared" si="85"/>
        <v>0.03</v>
      </c>
      <c r="S229" s="35">
        <f t="shared" si="86"/>
        <v>2.4E-2</v>
      </c>
      <c r="T229" s="35">
        <f t="shared" si="87"/>
        <v>1.8749999999999999E-2</v>
      </c>
      <c r="U229" s="35">
        <f t="shared" si="97"/>
        <v>3.3816425120772986E-2</v>
      </c>
      <c r="V229" s="35">
        <f t="shared" si="97"/>
        <v>3.3816425120772986E-2</v>
      </c>
      <c r="W229" s="35">
        <f t="shared" si="97"/>
        <v>3.3816425120772986E-2</v>
      </c>
      <c r="X229" s="35">
        <f t="shared" si="97"/>
        <v>3.3816425120772986E-2</v>
      </c>
      <c r="Y229" s="35">
        <f t="shared" si="97"/>
        <v>0.17695473251028804</v>
      </c>
      <c r="Z229" s="35">
        <f t="shared" si="97"/>
        <v>3.3816425120772986E-2</v>
      </c>
      <c r="AA229" s="35">
        <f t="shared" si="97"/>
        <v>3.3816425120772986E-2</v>
      </c>
    </row>
    <row r="230" spans="2:27" x14ac:dyDescent="0.2">
      <c r="B230" s="2">
        <v>228</v>
      </c>
      <c r="C230" s="2" t="str">
        <f t="shared" si="98"/>
        <v>s</v>
      </c>
      <c r="D230" s="29" t="s">
        <v>1</v>
      </c>
      <c r="E230" s="29" t="s">
        <v>209</v>
      </c>
      <c r="F230" s="2" t="s">
        <v>217</v>
      </c>
      <c r="G230" s="2">
        <f t="shared" si="91"/>
        <v>4</v>
      </c>
      <c r="H230" s="2" t="str">
        <f t="shared" si="83"/>
        <v>神圣</v>
      </c>
      <c r="I230" s="38">
        <f t="shared" si="84"/>
        <v>0.08</v>
      </c>
      <c r="J230" s="33">
        <f t="shared" si="95"/>
        <v>54</v>
      </c>
      <c r="K230" s="33">
        <f t="shared" si="96"/>
        <v>49</v>
      </c>
      <c r="L230" s="33">
        <f t="shared" si="96"/>
        <v>11</v>
      </c>
      <c r="M230" s="33">
        <f t="shared" si="96"/>
        <v>28</v>
      </c>
      <c r="N230" s="33">
        <f t="shared" si="96"/>
        <v>46</v>
      </c>
      <c r="O230" s="33">
        <f t="shared" si="96"/>
        <v>38</v>
      </c>
      <c r="P230" s="33">
        <f t="shared" si="96"/>
        <v>17</v>
      </c>
      <c r="Q230" s="33">
        <f t="shared" si="96"/>
        <v>21</v>
      </c>
      <c r="R230" s="35">
        <f t="shared" si="85"/>
        <v>4.2000000000000003E-2</v>
      </c>
      <c r="S230" s="35">
        <f t="shared" si="86"/>
        <v>3.4000000000000002E-2</v>
      </c>
      <c r="T230" s="35">
        <f t="shared" si="87"/>
        <v>2.6249999999999999E-2</v>
      </c>
      <c r="U230" s="35">
        <f t="shared" si="97"/>
        <v>4.7619047619047672E-2</v>
      </c>
      <c r="V230" s="35">
        <f t="shared" si="97"/>
        <v>4.7619047619047672E-2</v>
      </c>
      <c r="W230" s="35">
        <f t="shared" si="97"/>
        <v>4.7619047619047672E-2</v>
      </c>
      <c r="X230" s="35">
        <f t="shared" si="97"/>
        <v>4.7619047619047672E-2</v>
      </c>
      <c r="Y230" s="35">
        <f t="shared" si="97"/>
        <v>0.22480620155038755</v>
      </c>
      <c r="Z230" s="35">
        <f t="shared" si="97"/>
        <v>4.7619047619047672E-2</v>
      </c>
      <c r="AA230" s="35">
        <f t="shared" si="97"/>
        <v>4.7619047619047672E-2</v>
      </c>
    </row>
    <row r="231" spans="2:27" x14ac:dyDescent="0.2">
      <c r="B231" s="2">
        <v>229</v>
      </c>
      <c r="C231" s="2" t="str">
        <f t="shared" si="98"/>
        <v>s</v>
      </c>
      <c r="D231" s="29" t="s">
        <v>1</v>
      </c>
      <c r="E231" s="29" t="s">
        <v>209</v>
      </c>
      <c r="F231" s="2" t="s">
        <v>217</v>
      </c>
      <c r="G231" s="2">
        <f t="shared" si="91"/>
        <v>5</v>
      </c>
      <c r="H231" s="2" t="str">
        <f t="shared" si="83"/>
        <v>神圣</v>
      </c>
      <c r="I231" s="38">
        <f t="shared" si="84"/>
        <v>9.4857142857142862E-2</v>
      </c>
      <c r="J231" s="33">
        <f t="shared" si="95"/>
        <v>68</v>
      </c>
      <c r="K231" s="33">
        <f t="shared" si="96"/>
        <v>62</v>
      </c>
      <c r="L231" s="33">
        <f t="shared" si="96"/>
        <v>14</v>
      </c>
      <c r="M231" s="33">
        <f t="shared" si="96"/>
        <v>36</v>
      </c>
      <c r="N231" s="33">
        <f t="shared" si="96"/>
        <v>57</v>
      </c>
      <c r="O231" s="33">
        <f t="shared" si="96"/>
        <v>48</v>
      </c>
      <c r="P231" s="33">
        <f t="shared" si="96"/>
        <v>21</v>
      </c>
      <c r="Q231" s="33">
        <f t="shared" si="96"/>
        <v>26</v>
      </c>
      <c r="R231" s="35">
        <f t="shared" si="85"/>
        <v>5.2000000000000005E-2</v>
      </c>
      <c r="S231" s="35">
        <f t="shared" si="86"/>
        <v>4.2000000000000003E-2</v>
      </c>
      <c r="T231" s="35">
        <f t="shared" si="87"/>
        <v>3.2500000000000001E-2</v>
      </c>
      <c r="U231" s="35">
        <f t="shared" si="97"/>
        <v>5.6603773584905648E-2</v>
      </c>
      <c r="V231" s="35">
        <f t="shared" si="97"/>
        <v>5.6603773584905648E-2</v>
      </c>
      <c r="W231" s="35">
        <f t="shared" si="97"/>
        <v>5.6603773584905648E-2</v>
      </c>
      <c r="X231" s="35">
        <f t="shared" si="97"/>
        <v>5.6603773584905648E-2</v>
      </c>
      <c r="Y231" s="35">
        <f t="shared" si="97"/>
        <v>0.26470588235294112</v>
      </c>
      <c r="Z231" s="35">
        <f t="shared" si="97"/>
        <v>5.6603773584905648E-2</v>
      </c>
      <c r="AA231" s="35">
        <f t="shared" si="97"/>
        <v>5.6603773584905648E-2</v>
      </c>
    </row>
    <row r="232" spans="2:27" x14ac:dyDescent="0.2">
      <c r="B232" s="2">
        <v>230</v>
      </c>
      <c r="C232" s="2" t="str">
        <f t="shared" si="98"/>
        <v>s</v>
      </c>
      <c r="D232" s="29" t="s">
        <v>1</v>
      </c>
      <c r="E232" s="29" t="s">
        <v>209</v>
      </c>
      <c r="F232" s="2" t="s">
        <v>217</v>
      </c>
      <c r="G232" s="2">
        <f t="shared" si="91"/>
        <v>6</v>
      </c>
      <c r="H232" s="2" t="str">
        <f t="shared" si="83"/>
        <v>神圣</v>
      </c>
      <c r="I232" s="38">
        <f t="shared" si="84"/>
        <v>0.11342857142857143</v>
      </c>
      <c r="J232" s="33">
        <f t="shared" si="95"/>
        <v>81</v>
      </c>
      <c r="K232" s="33">
        <f t="shared" si="96"/>
        <v>74</v>
      </c>
      <c r="L232" s="33">
        <f t="shared" si="96"/>
        <v>17</v>
      </c>
      <c r="M232" s="33">
        <f t="shared" si="96"/>
        <v>43</v>
      </c>
      <c r="N232" s="33">
        <f t="shared" si="96"/>
        <v>69</v>
      </c>
      <c r="O232" s="33">
        <f t="shared" si="96"/>
        <v>57</v>
      </c>
      <c r="P232" s="33">
        <f t="shared" si="96"/>
        <v>25</v>
      </c>
      <c r="Q232" s="33">
        <f t="shared" si="96"/>
        <v>31</v>
      </c>
      <c r="R232" s="35">
        <f t="shared" si="85"/>
        <v>6.2E-2</v>
      </c>
      <c r="S232" s="35">
        <f t="shared" si="86"/>
        <v>0.05</v>
      </c>
      <c r="T232" s="35">
        <f t="shared" si="87"/>
        <v>3.875E-2</v>
      </c>
      <c r="U232" s="35">
        <f t="shared" si="97"/>
        <v>6.5420560747663559E-2</v>
      </c>
      <c r="V232" s="35">
        <f t="shared" si="97"/>
        <v>6.5420560747663559E-2</v>
      </c>
      <c r="W232" s="35">
        <f t="shared" si="97"/>
        <v>6.5420560747663559E-2</v>
      </c>
      <c r="X232" s="35">
        <f t="shared" si="97"/>
        <v>6.5420560747663559E-2</v>
      </c>
      <c r="Y232" s="35">
        <f t="shared" si="97"/>
        <v>0.30069930069930073</v>
      </c>
      <c r="Z232" s="35">
        <f t="shared" si="97"/>
        <v>6.5420560747663559E-2</v>
      </c>
      <c r="AA232" s="35">
        <f t="shared" si="97"/>
        <v>6.5420560747663559E-2</v>
      </c>
    </row>
    <row r="233" spans="2:27" x14ac:dyDescent="0.2">
      <c r="B233" s="2">
        <v>231</v>
      </c>
      <c r="C233" s="2" t="str">
        <f t="shared" si="98"/>
        <v>s</v>
      </c>
      <c r="D233" s="29" t="s">
        <v>1</v>
      </c>
      <c r="E233" s="29" t="s">
        <v>209</v>
      </c>
      <c r="F233" s="2" t="s">
        <v>217</v>
      </c>
      <c r="G233" s="2">
        <f t="shared" si="91"/>
        <v>7</v>
      </c>
      <c r="H233" s="2" t="str">
        <f t="shared" si="83"/>
        <v>神圣</v>
      </c>
      <c r="I233" s="38">
        <f t="shared" si="84"/>
        <v>0.13285714285714287</v>
      </c>
      <c r="J233" s="33">
        <f t="shared" ref="J233:J242" si="99">INT((1+VLOOKUP($F233,role_property_weight,getpos(J$2),FALSE))*(1+VLOOKUP($F233,drop_property_weight,getpos(J$2),FALSE))*VLOOKUP($E233,role_grow,getpos(J$2),FALSE)*$G233*10*VLOOKUP($C233,drop_grow1,4,FALSE))</f>
        <v>95</v>
      </c>
      <c r="K233" s="33">
        <f t="shared" ref="K233:Q242" si="100">INT((1+VLOOKUP($F233,role_property_weight,getpos(K$2),FALSE))*(1+VLOOKUP($F233,drop_property_weight,getpos(K$2),FALSE))*VLOOKUP($E233,role_grow,getpos(K$2),FALSE)*$G233*10*VLOOKUP($C233,drop_grow1,5,FALSE))</f>
        <v>87</v>
      </c>
      <c r="L233" s="33">
        <f t="shared" si="100"/>
        <v>20</v>
      </c>
      <c r="M233" s="33">
        <f t="shared" si="100"/>
        <v>50</v>
      </c>
      <c r="N233" s="33">
        <f t="shared" si="100"/>
        <v>80</v>
      </c>
      <c r="O233" s="33">
        <f t="shared" si="100"/>
        <v>67</v>
      </c>
      <c r="P233" s="33">
        <f t="shared" si="100"/>
        <v>30</v>
      </c>
      <c r="Q233" s="33">
        <f t="shared" si="100"/>
        <v>36</v>
      </c>
      <c r="R233" s="35">
        <f t="shared" si="85"/>
        <v>7.2000000000000008E-2</v>
      </c>
      <c r="S233" s="35">
        <f t="shared" si="86"/>
        <v>0.06</v>
      </c>
      <c r="T233" s="35">
        <f t="shared" si="87"/>
        <v>4.4999999999999998E-2</v>
      </c>
      <c r="U233" s="35">
        <f t="shared" ref="U233:AA242" si="101">1-200/(200+ROUND((1+VLOOKUP($F233,role_property_weight,getpos(U$2),FALSE))*VLOOKUP($E233,role_grow,getpos(U$2),FALSE)*$G233*10*VLOOKUP($C233,drop_grow1,5,FALSE),0))</f>
        <v>7.8341013824884786E-2</v>
      </c>
      <c r="V233" s="35">
        <f t="shared" si="101"/>
        <v>7.8341013824884786E-2</v>
      </c>
      <c r="W233" s="35">
        <f t="shared" si="101"/>
        <v>7.8341013824884786E-2</v>
      </c>
      <c r="X233" s="35">
        <f t="shared" si="101"/>
        <v>7.8341013824884786E-2</v>
      </c>
      <c r="Y233" s="35">
        <f t="shared" si="101"/>
        <v>0.33554817275747506</v>
      </c>
      <c r="Z233" s="35">
        <f t="shared" si="101"/>
        <v>7.8341013824884786E-2</v>
      </c>
      <c r="AA233" s="35">
        <f t="shared" si="101"/>
        <v>7.8341013824884786E-2</v>
      </c>
    </row>
    <row r="234" spans="2:27" x14ac:dyDescent="0.2">
      <c r="B234" s="2">
        <v>232</v>
      </c>
      <c r="C234" s="2" t="str">
        <f t="shared" si="98"/>
        <v>s</v>
      </c>
      <c r="D234" s="29" t="s">
        <v>1</v>
      </c>
      <c r="E234" s="29" t="s">
        <v>181</v>
      </c>
      <c r="F234" s="2" t="s">
        <v>182</v>
      </c>
      <c r="G234" s="2">
        <f t="shared" si="91"/>
        <v>8</v>
      </c>
      <c r="H234" s="2" t="str">
        <f t="shared" si="83"/>
        <v>神圣</v>
      </c>
      <c r="I234" s="38">
        <f t="shared" si="84"/>
        <v>0.15171428571428572</v>
      </c>
      <c r="J234" s="33">
        <f t="shared" si="99"/>
        <v>108</v>
      </c>
      <c r="K234" s="33">
        <f t="shared" si="100"/>
        <v>99</v>
      </c>
      <c r="L234" s="33">
        <f t="shared" si="100"/>
        <v>23</v>
      </c>
      <c r="M234" s="33">
        <f t="shared" si="100"/>
        <v>57</v>
      </c>
      <c r="N234" s="33">
        <f t="shared" si="100"/>
        <v>92</v>
      </c>
      <c r="O234" s="33">
        <f t="shared" si="100"/>
        <v>76</v>
      </c>
      <c r="P234" s="33">
        <f t="shared" si="100"/>
        <v>34</v>
      </c>
      <c r="Q234" s="33">
        <f t="shared" si="100"/>
        <v>42</v>
      </c>
      <c r="R234" s="35">
        <f t="shared" si="85"/>
        <v>8.4000000000000005E-2</v>
      </c>
      <c r="S234" s="35">
        <f t="shared" si="86"/>
        <v>6.8000000000000005E-2</v>
      </c>
      <c r="T234" s="35">
        <f t="shared" si="87"/>
        <v>5.2499999999999998E-2</v>
      </c>
      <c r="U234" s="35">
        <f t="shared" si="101"/>
        <v>8.6757990867579959E-2</v>
      </c>
      <c r="V234" s="35">
        <f t="shared" si="101"/>
        <v>8.6757990867579959E-2</v>
      </c>
      <c r="W234" s="35">
        <f t="shared" si="101"/>
        <v>8.6757990867579959E-2</v>
      </c>
      <c r="X234" s="35">
        <f t="shared" si="101"/>
        <v>8.6757990867579959E-2</v>
      </c>
      <c r="Y234" s="35">
        <f t="shared" si="101"/>
        <v>0.36507936507936511</v>
      </c>
      <c r="Z234" s="35">
        <f t="shared" si="101"/>
        <v>8.6757990867579959E-2</v>
      </c>
      <c r="AA234" s="35">
        <f t="shared" si="101"/>
        <v>8.6757990867579959E-2</v>
      </c>
    </row>
    <row r="235" spans="2:27" x14ac:dyDescent="0.2">
      <c r="B235" s="2">
        <v>233</v>
      </c>
      <c r="C235" s="2" t="str">
        <f t="shared" si="98"/>
        <v>a</v>
      </c>
      <c r="D235" s="29" t="s">
        <v>1</v>
      </c>
      <c r="E235" s="29" t="s">
        <v>181</v>
      </c>
      <c r="F235" s="2" t="s">
        <v>182</v>
      </c>
      <c r="G235" s="2">
        <f t="shared" si="91"/>
        <v>1</v>
      </c>
      <c r="H235" s="2" t="str">
        <f t="shared" si="83"/>
        <v>神圣</v>
      </c>
      <c r="I235" s="38">
        <f t="shared" si="84"/>
        <v>0.08</v>
      </c>
      <c r="J235" s="33">
        <f t="shared" si="99"/>
        <v>10</v>
      </c>
      <c r="K235" s="33">
        <f t="shared" si="100"/>
        <v>13</v>
      </c>
      <c r="L235" s="33">
        <f t="shared" si="100"/>
        <v>3</v>
      </c>
      <c r="M235" s="33">
        <f t="shared" si="100"/>
        <v>8</v>
      </c>
      <c r="N235" s="33">
        <f t="shared" si="100"/>
        <v>12</v>
      </c>
      <c r="O235" s="33">
        <f t="shared" si="100"/>
        <v>10</v>
      </c>
      <c r="P235" s="33">
        <f t="shared" si="100"/>
        <v>4</v>
      </c>
      <c r="Q235" s="33">
        <f t="shared" si="100"/>
        <v>5</v>
      </c>
      <c r="R235" s="35">
        <f t="shared" si="85"/>
        <v>0.01</v>
      </c>
      <c r="S235" s="35">
        <f t="shared" si="86"/>
        <v>8.0000000000000002E-3</v>
      </c>
      <c r="T235" s="35">
        <f t="shared" si="87"/>
        <v>6.2500000000000003E-3</v>
      </c>
      <c r="U235" s="35">
        <f t="shared" si="101"/>
        <v>1.4778325123152691E-2</v>
      </c>
      <c r="V235" s="35">
        <f t="shared" si="101"/>
        <v>1.4778325123152691E-2</v>
      </c>
      <c r="W235" s="35">
        <f t="shared" si="101"/>
        <v>1.4778325123152691E-2</v>
      </c>
      <c r="X235" s="35">
        <f t="shared" si="101"/>
        <v>1.4778325123152691E-2</v>
      </c>
      <c r="Y235" s="35">
        <f t="shared" si="101"/>
        <v>7.407407407407407E-2</v>
      </c>
      <c r="Z235" s="35">
        <f t="shared" si="101"/>
        <v>1.4778325123152691E-2</v>
      </c>
      <c r="AA235" s="35">
        <f t="shared" si="101"/>
        <v>1.4778325123152691E-2</v>
      </c>
    </row>
    <row r="236" spans="2:27" x14ac:dyDescent="0.2">
      <c r="B236" s="2">
        <v>234</v>
      </c>
      <c r="C236" s="2" t="str">
        <f t="shared" si="98"/>
        <v>a</v>
      </c>
      <c r="D236" s="29" t="s">
        <v>1</v>
      </c>
      <c r="E236" s="29" t="s">
        <v>181</v>
      </c>
      <c r="F236" s="2" t="s">
        <v>182</v>
      </c>
      <c r="G236" s="2">
        <f t="shared" si="91"/>
        <v>2</v>
      </c>
      <c r="H236" s="2" t="str">
        <f t="shared" si="83"/>
        <v>神圣</v>
      </c>
      <c r="I236" s="38">
        <f t="shared" si="84"/>
        <v>0.08</v>
      </c>
      <c r="J236" s="33">
        <f t="shared" si="99"/>
        <v>20</v>
      </c>
      <c r="K236" s="33">
        <f t="shared" si="100"/>
        <v>27</v>
      </c>
      <c r="L236" s="33">
        <f t="shared" si="100"/>
        <v>6</v>
      </c>
      <c r="M236" s="33">
        <f t="shared" si="100"/>
        <v>16</v>
      </c>
      <c r="N236" s="33">
        <f t="shared" si="100"/>
        <v>25</v>
      </c>
      <c r="O236" s="33">
        <f t="shared" si="100"/>
        <v>21</v>
      </c>
      <c r="P236" s="33">
        <f t="shared" si="100"/>
        <v>9</v>
      </c>
      <c r="Q236" s="33">
        <f t="shared" si="100"/>
        <v>11</v>
      </c>
      <c r="R236" s="35">
        <f t="shared" si="85"/>
        <v>2.2000000000000002E-2</v>
      </c>
      <c r="S236" s="35">
        <f t="shared" si="86"/>
        <v>1.8000000000000002E-2</v>
      </c>
      <c r="T236" s="35">
        <f t="shared" si="87"/>
        <v>1.375E-2</v>
      </c>
      <c r="U236" s="35">
        <f t="shared" si="101"/>
        <v>2.4390243902439046E-2</v>
      </c>
      <c r="V236" s="35">
        <f t="shared" si="101"/>
        <v>2.4390243902439046E-2</v>
      </c>
      <c r="W236" s="35">
        <f t="shared" si="101"/>
        <v>2.4390243902439046E-2</v>
      </c>
      <c r="X236" s="35">
        <f t="shared" si="101"/>
        <v>2.4390243902439046E-2</v>
      </c>
      <c r="Y236" s="35">
        <f t="shared" si="101"/>
        <v>0.13793103448275867</v>
      </c>
      <c r="Z236" s="35">
        <f t="shared" si="101"/>
        <v>2.4390243902439046E-2</v>
      </c>
      <c r="AA236" s="35">
        <f t="shared" si="101"/>
        <v>2.4390243902439046E-2</v>
      </c>
    </row>
    <row r="237" spans="2:27" x14ac:dyDescent="0.2">
      <c r="B237" s="2">
        <v>235</v>
      </c>
      <c r="C237" s="2" t="str">
        <f t="shared" si="98"/>
        <v>a</v>
      </c>
      <c r="D237" s="29" t="s">
        <v>1</v>
      </c>
      <c r="E237" s="29" t="s">
        <v>181</v>
      </c>
      <c r="F237" s="2" t="s">
        <v>182</v>
      </c>
      <c r="G237" s="2">
        <f t="shared" si="91"/>
        <v>3</v>
      </c>
      <c r="H237" s="2" t="str">
        <f t="shared" si="83"/>
        <v>神圣</v>
      </c>
      <c r="I237" s="38">
        <f t="shared" si="84"/>
        <v>0.08</v>
      </c>
      <c r="J237" s="33">
        <f t="shared" si="99"/>
        <v>30</v>
      </c>
      <c r="K237" s="33">
        <f t="shared" si="100"/>
        <v>41</v>
      </c>
      <c r="L237" s="33">
        <f t="shared" si="100"/>
        <v>9</v>
      </c>
      <c r="M237" s="33">
        <f t="shared" si="100"/>
        <v>24</v>
      </c>
      <c r="N237" s="33">
        <f t="shared" si="100"/>
        <v>38</v>
      </c>
      <c r="O237" s="33">
        <f t="shared" si="100"/>
        <v>32</v>
      </c>
      <c r="P237" s="33">
        <f t="shared" si="100"/>
        <v>14</v>
      </c>
      <c r="Q237" s="33">
        <f t="shared" si="100"/>
        <v>17</v>
      </c>
      <c r="R237" s="35">
        <f t="shared" si="85"/>
        <v>3.4000000000000002E-2</v>
      </c>
      <c r="S237" s="35">
        <f t="shared" si="86"/>
        <v>2.7999999999999997E-2</v>
      </c>
      <c r="T237" s="35">
        <f t="shared" si="87"/>
        <v>2.1250000000000002E-2</v>
      </c>
      <c r="U237" s="35">
        <f t="shared" si="101"/>
        <v>3.8461538461538436E-2</v>
      </c>
      <c r="V237" s="35">
        <f t="shared" si="101"/>
        <v>3.8461538461538436E-2</v>
      </c>
      <c r="W237" s="35">
        <f t="shared" si="101"/>
        <v>3.8461538461538436E-2</v>
      </c>
      <c r="X237" s="35">
        <f t="shared" si="101"/>
        <v>3.8461538461538436E-2</v>
      </c>
      <c r="Y237" s="35">
        <f t="shared" si="101"/>
        <v>0.19354838709677424</v>
      </c>
      <c r="Z237" s="35">
        <f t="shared" si="101"/>
        <v>3.8461538461538436E-2</v>
      </c>
      <c r="AA237" s="35">
        <f t="shared" si="101"/>
        <v>3.8461538461538436E-2</v>
      </c>
    </row>
    <row r="238" spans="2:27" x14ac:dyDescent="0.2">
      <c r="B238" s="2">
        <v>236</v>
      </c>
      <c r="C238" s="2" t="str">
        <f t="shared" si="98"/>
        <v>a</v>
      </c>
      <c r="D238" s="29" t="s">
        <v>1</v>
      </c>
      <c r="E238" s="29" t="s">
        <v>181</v>
      </c>
      <c r="F238" s="2" t="s">
        <v>182</v>
      </c>
      <c r="G238" s="2">
        <f t="shared" si="91"/>
        <v>4</v>
      </c>
      <c r="H238" s="2" t="str">
        <f t="shared" si="83"/>
        <v>神圣</v>
      </c>
      <c r="I238" s="38">
        <f t="shared" si="84"/>
        <v>0.08</v>
      </c>
      <c r="J238" s="33">
        <f t="shared" si="99"/>
        <v>40</v>
      </c>
      <c r="K238" s="33">
        <f t="shared" si="100"/>
        <v>55</v>
      </c>
      <c r="L238" s="33">
        <f t="shared" si="100"/>
        <v>12</v>
      </c>
      <c r="M238" s="33">
        <f t="shared" si="100"/>
        <v>32</v>
      </c>
      <c r="N238" s="33">
        <f t="shared" si="100"/>
        <v>51</v>
      </c>
      <c r="O238" s="33">
        <f t="shared" si="100"/>
        <v>42</v>
      </c>
      <c r="P238" s="33">
        <f t="shared" si="100"/>
        <v>19</v>
      </c>
      <c r="Q238" s="33">
        <f t="shared" si="100"/>
        <v>23</v>
      </c>
      <c r="R238" s="35">
        <f t="shared" si="85"/>
        <v>4.5999999999999999E-2</v>
      </c>
      <c r="S238" s="35">
        <f t="shared" si="86"/>
        <v>3.7999999999999999E-2</v>
      </c>
      <c r="T238" s="35">
        <f t="shared" si="87"/>
        <v>2.8750000000000001E-2</v>
      </c>
      <c r="U238" s="35">
        <f t="shared" si="101"/>
        <v>5.2132701421800931E-2</v>
      </c>
      <c r="V238" s="35">
        <f t="shared" si="101"/>
        <v>5.2132701421800931E-2</v>
      </c>
      <c r="W238" s="35">
        <f t="shared" si="101"/>
        <v>5.2132701421800931E-2</v>
      </c>
      <c r="X238" s="35">
        <f t="shared" si="101"/>
        <v>5.2132701421800931E-2</v>
      </c>
      <c r="Y238" s="35">
        <f t="shared" si="101"/>
        <v>0.24242424242424243</v>
      </c>
      <c r="Z238" s="35">
        <f t="shared" si="101"/>
        <v>5.2132701421800931E-2</v>
      </c>
      <c r="AA238" s="35">
        <f t="shared" si="101"/>
        <v>5.2132701421800931E-2</v>
      </c>
    </row>
    <row r="239" spans="2:27" x14ac:dyDescent="0.2">
      <c r="B239" s="2">
        <v>237</v>
      </c>
      <c r="C239" s="2" t="str">
        <f t="shared" si="98"/>
        <v>a</v>
      </c>
      <c r="D239" s="29" t="s">
        <v>1</v>
      </c>
      <c r="E239" s="29" t="s">
        <v>181</v>
      </c>
      <c r="F239" s="2" t="s">
        <v>182</v>
      </c>
      <c r="G239" s="2">
        <f t="shared" si="91"/>
        <v>5</v>
      </c>
      <c r="H239" s="2" t="str">
        <f t="shared" si="83"/>
        <v>神圣</v>
      </c>
      <c r="I239" s="38">
        <f t="shared" si="84"/>
        <v>9.8857142857142866E-2</v>
      </c>
      <c r="J239" s="33">
        <f t="shared" si="99"/>
        <v>51</v>
      </c>
      <c r="K239" s="33">
        <f t="shared" si="100"/>
        <v>69</v>
      </c>
      <c r="L239" s="33">
        <f t="shared" si="100"/>
        <v>16</v>
      </c>
      <c r="M239" s="33">
        <f t="shared" si="100"/>
        <v>40</v>
      </c>
      <c r="N239" s="33">
        <f t="shared" si="100"/>
        <v>64</v>
      </c>
      <c r="O239" s="33">
        <f t="shared" si="100"/>
        <v>53</v>
      </c>
      <c r="P239" s="33">
        <f t="shared" si="100"/>
        <v>24</v>
      </c>
      <c r="Q239" s="33">
        <f t="shared" si="100"/>
        <v>29</v>
      </c>
      <c r="R239" s="35">
        <f t="shared" si="85"/>
        <v>5.7999999999999996E-2</v>
      </c>
      <c r="S239" s="35">
        <f t="shared" si="86"/>
        <v>4.8000000000000001E-2</v>
      </c>
      <c r="T239" s="35">
        <f t="shared" si="87"/>
        <v>3.6249999999999998E-2</v>
      </c>
      <c r="U239" s="35">
        <f t="shared" si="101"/>
        <v>6.1032863849765251E-2</v>
      </c>
      <c r="V239" s="35">
        <f t="shared" si="101"/>
        <v>6.1032863849765251E-2</v>
      </c>
      <c r="W239" s="35">
        <f t="shared" si="101"/>
        <v>6.1032863849765251E-2</v>
      </c>
      <c r="X239" s="35">
        <f t="shared" si="101"/>
        <v>6.1032863849765251E-2</v>
      </c>
      <c r="Y239" s="35">
        <f t="shared" si="101"/>
        <v>0.2857142857142857</v>
      </c>
      <c r="Z239" s="35">
        <f t="shared" si="101"/>
        <v>6.1032863849765251E-2</v>
      </c>
      <c r="AA239" s="35">
        <f t="shared" si="101"/>
        <v>6.1032863849765251E-2</v>
      </c>
    </row>
    <row r="240" spans="2:27" x14ac:dyDescent="0.2">
      <c r="B240" s="2">
        <v>238</v>
      </c>
      <c r="C240" s="2" t="str">
        <f t="shared" si="98"/>
        <v>a</v>
      </c>
      <c r="D240" s="29" t="s">
        <v>1</v>
      </c>
      <c r="E240" s="29" t="s">
        <v>181</v>
      </c>
      <c r="F240" s="2" t="s">
        <v>182</v>
      </c>
      <c r="G240" s="2">
        <f t="shared" si="91"/>
        <v>6</v>
      </c>
      <c r="H240" s="2" t="str">
        <f t="shared" si="83"/>
        <v>神圣</v>
      </c>
      <c r="I240" s="38">
        <f t="shared" si="84"/>
        <v>0.11828571428571429</v>
      </c>
      <c r="J240" s="33">
        <f t="shared" si="99"/>
        <v>61</v>
      </c>
      <c r="K240" s="33">
        <f t="shared" si="100"/>
        <v>83</v>
      </c>
      <c r="L240" s="33">
        <f t="shared" si="100"/>
        <v>19</v>
      </c>
      <c r="M240" s="33">
        <f t="shared" si="100"/>
        <v>48</v>
      </c>
      <c r="N240" s="33">
        <f t="shared" si="100"/>
        <v>76</v>
      </c>
      <c r="O240" s="33">
        <f t="shared" si="100"/>
        <v>64</v>
      </c>
      <c r="P240" s="33">
        <f t="shared" si="100"/>
        <v>28</v>
      </c>
      <c r="Q240" s="33">
        <f t="shared" si="100"/>
        <v>35</v>
      </c>
      <c r="R240" s="35">
        <f t="shared" si="85"/>
        <v>7.0000000000000007E-2</v>
      </c>
      <c r="S240" s="35">
        <f t="shared" si="86"/>
        <v>5.5999999999999994E-2</v>
      </c>
      <c r="T240" s="35">
        <f t="shared" si="87"/>
        <v>4.3749999999999997E-2</v>
      </c>
      <c r="U240" s="35">
        <f t="shared" si="101"/>
        <v>7.407407407407407E-2</v>
      </c>
      <c r="V240" s="35">
        <f t="shared" si="101"/>
        <v>7.407407407407407E-2</v>
      </c>
      <c r="W240" s="35">
        <f t="shared" si="101"/>
        <v>7.407407407407407E-2</v>
      </c>
      <c r="X240" s="35">
        <f t="shared" si="101"/>
        <v>7.407407407407407E-2</v>
      </c>
      <c r="Y240" s="35">
        <f t="shared" si="101"/>
        <v>0.32432432432432434</v>
      </c>
      <c r="Z240" s="35">
        <f t="shared" si="101"/>
        <v>7.407407407407407E-2</v>
      </c>
      <c r="AA240" s="35">
        <f t="shared" si="101"/>
        <v>7.407407407407407E-2</v>
      </c>
    </row>
    <row r="241" spans="2:27" x14ac:dyDescent="0.2">
      <c r="B241" s="2">
        <v>239</v>
      </c>
      <c r="C241" s="2" t="str">
        <f t="shared" si="98"/>
        <v>a</v>
      </c>
      <c r="D241" s="29" t="s">
        <v>1</v>
      </c>
      <c r="E241" s="29" t="s">
        <v>181</v>
      </c>
      <c r="F241" s="2" t="s">
        <v>182</v>
      </c>
      <c r="G241" s="2">
        <f t="shared" si="91"/>
        <v>7</v>
      </c>
      <c r="H241" s="2" t="str">
        <f t="shared" si="83"/>
        <v>神圣</v>
      </c>
      <c r="I241" s="38">
        <f t="shared" si="84"/>
        <v>0.13800000000000001</v>
      </c>
      <c r="J241" s="33">
        <f t="shared" si="99"/>
        <v>71</v>
      </c>
      <c r="K241" s="33">
        <f t="shared" si="100"/>
        <v>97</v>
      </c>
      <c r="L241" s="33">
        <f t="shared" si="100"/>
        <v>22</v>
      </c>
      <c r="M241" s="33">
        <f t="shared" si="100"/>
        <v>56</v>
      </c>
      <c r="N241" s="33">
        <f t="shared" si="100"/>
        <v>89</v>
      </c>
      <c r="O241" s="33">
        <f t="shared" si="100"/>
        <v>74</v>
      </c>
      <c r="P241" s="33">
        <f t="shared" si="100"/>
        <v>33</v>
      </c>
      <c r="Q241" s="33">
        <f t="shared" si="100"/>
        <v>41</v>
      </c>
      <c r="R241" s="35">
        <f t="shared" si="85"/>
        <v>8.199999999999999E-2</v>
      </c>
      <c r="S241" s="35">
        <f t="shared" si="86"/>
        <v>6.6000000000000003E-2</v>
      </c>
      <c r="T241" s="35">
        <f t="shared" si="87"/>
        <v>5.1249999999999997E-2</v>
      </c>
      <c r="U241" s="35">
        <f t="shared" si="101"/>
        <v>8.6757990867579959E-2</v>
      </c>
      <c r="V241" s="35">
        <f t="shared" si="101"/>
        <v>8.6757990867579959E-2</v>
      </c>
      <c r="W241" s="35">
        <f t="shared" si="101"/>
        <v>8.6757990867579959E-2</v>
      </c>
      <c r="X241" s="35">
        <f t="shared" si="101"/>
        <v>8.6757990867579959E-2</v>
      </c>
      <c r="Y241" s="35">
        <f t="shared" si="101"/>
        <v>0.35897435897435892</v>
      </c>
      <c r="Z241" s="35">
        <f t="shared" si="101"/>
        <v>8.6757990867579959E-2</v>
      </c>
      <c r="AA241" s="35">
        <f t="shared" si="101"/>
        <v>8.6757990867579959E-2</v>
      </c>
    </row>
    <row r="242" spans="2:27" x14ac:dyDescent="0.2">
      <c r="B242" s="2">
        <v>240</v>
      </c>
      <c r="C242" s="2" t="str">
        <f t="shared" si="98"/>
        <v>a</v>
      </c>
      <c r="D242" s="29" t="s">
        <v>1</v>
      </c>
      <c r="E242" s="29" t="s">
        <v>181</v>
      </c>
      <c r="F242" s="2" t="s">
        <v>182</v>
      </c>
      <c r="G242" s="2">
        <f t="shared" si="91"/>
        <v>8</v>
      </c>
      <c r="H242" s="2" t="str">
        <f t="shared" si="83"/>
        <v>神圣</v>
      </c>
      <c r="I242" s="38">
        <f t="shared" si="84"/>
        <v>0.15742857142857142</v>
      </c>
      <c r="J242" s="33">
        <f t="shared" si="99"/>
        <v>81</v>
      </c>
      <c r="K242" s="33">
        <f t="shared" si="100"/>
        <v>110</v>
      </c>
      <c r="L242" s="33">
        <f t="shared" si="100"/>
        <v>25</v>
      </c>
      <c r="M242" s="33">
        <f t="shared" si="100"/>
        <v>64</v>
      </c>
      <c r="N242" s="33">
        <f t="shared" si="100"/>
        <v>102</v>
      </c>
      <c r="O242" s="33">
        <f t="shared" si="100"/>
        <v>85</v>
      </c>
      <c r="P242" s="33">
        <f t="shared" si="100"/>
        <v>38</v>
      </c>
      <c r="Q242" s="33">
        <f t="shared" si="100"/>
        <v>46</v>
      </c>
      <c r="R242" s="35">
        <f t="shared" si="85"/>
        <v>9.1999999999999998E-2</v>
      </c>
      <c r="S242" s="35">
        <f t="shared" si="86"/>
        <v>7.5999999999999998E-2</v>
      </c>
      <c r="T242" s="35">
        <f t="shared" si="87"/>
        <v>5.7500000000000002E-2</v>
      </c>
      <c r="U242" s="35">
        <f t="shared" si="101"/>
        <v>9.5022624434389136E-2</v>
      </c>
      <c r="V242" s="35">
        <f t="shared" si="101"/>
        <v>9.5022624434389136E-2</v>
      </c>
      <c r="W242" s="35">
        <f t="shared" si="101"/>
        <v>9.5022624434389136E-2</v>
      </c>
      <c r="X242" s="35">
        <f t="shared" si="101"/>
        <v>9.5022624434389136E-2</v>
      </c>
      <c r="Y242" s="35">
        <f t="shared" si="101"/>
        <v>0.3902439024390244</v>
      </c>
      <c r="Z242" s="35">
        <f t="shared" si="101"/>
        <v>9.5022624434389136E-2</v>
      </c>
      <c r="AA242" s="35">
        <f t="shared" si="101"/>
        <v>9.5022624434389136E-2</v>
      </c>
    </row>
    <row r="243" spans="2:27" x14ac:dyDescent="0.2">
      <c r="B243" s="2">
        <v>241</v>
      </c>
      <c r="C243" s="2" t="str">
        <f t="shared" si="98"/>
        <v>b</v>
      </c>
      <c r="D243" s="29" t="s">
        <v>1</v>
      </c>
      <c r="E243" s="29" t="s">
        <v>181</v>
      </c>
      <c r="F243" s="2" t="s">
        <v>182</v>
      </c>
      <c r="G243" s="2">
        <f t="shared" si="91"/>
        <v>1</v>
      </c>
      <c r="H243" s="2" t="str">
        <f t="shared" si="83"/>
        <v>神圣</v>
      </c>
      <c r="I243" s="38">
        <f t="shared" si="84"/>
        <v>0.08</v>
      </c>
      <c r="J243" s="33">
        <f t="shared" ref="J243:J252" si="102">INT((1+VLOOKUP($F243,role_property_weight,getpos(J$2),FALSE))*(1+VLOOKUP($F243,drop_property_weight,getpos(J$2),FALSE))*VLOOKUP($E243,role_grow,getpos(J$2),FALSE)*$G243*10*VLOOKUP($C243,drop_grow1,4,FALSE))</f>
        <v>11</v>
      </c>
      <c r="K243" s="33">
        <f t="shared" ref="K243:Q252" si="103">INT((1+VLOOKUP($F243,role_property_weight,getpos(K$2),FALSE))*(1+VLOOKUP($F243,drop_property_weight,getpos(K$2),FALSE))*VLOOKUP($E243,role_grow,getpos(K$2),FALSE)*$G243*10*VLOOKUP($C243,drop_grow1,5,FALSE))</f>
        <v>20</v>
      </c>
      <c r="L243" s="33">
        <f t="shared" si="103"/>
        <v>4</v>
      </c>
      <c r="M243" s="33">
        <f t="shared" si="103"/>
        <v>12</v>
      </c>
      <c r="N243" s="33">
        <f t="shared" si="103"/>
        <v>19</v>
      </c>
      <c r="O243" s="33">
        <f t="shared" si="103"/>
        <v>16</v>
      </c>
      <c r="P243" s="33">
        <f t="shared" si="103"/>
        <v>7</v>
      </c>
      <c r="Q243" s="33">
        <f t="shared" si="103"/>
        <v>8</v>
      </c>
      <c r="R243" s="35">
        <f t="shared" si="85"/>
        <v>1.6E-2</v>
      </c>
      <c r="S243" s="35">
        <f t="shared" si="86"/>
        <v>1.3999999999999999E-2</v>
      </c>
      <c r="T243" s="35">
        <f t="shared" si="87"/>
        <v>0.01</v>
      </c>
      <c r="U243" s="35">
        <f t="shared" ref="U243:AA252" si="104">1-200/(200+ROUND((1+VLOOKUP($F243,role_property_weight,getpos(U$2),FALSE))*VLOOKUP($E243,role_grow,getpos(U$2),FALSE)*$G243*10*VLOOKUP($C243,drop_grow1,5,FALSE),0))</f>
        <v>1.9607843137254943E-2</v>
      </c>
      <c r="V243" s="35">
        <f t="shared" si="104"/>
        <v>1.9607843137254943E-2</v>
      </c>
      <c r="W243" s="35">
        <f t="shared" si="104"/>
        <v>1.9607843137254943E-2</v>
      </c>
      <c r="X243" s="35">
        <f t="shared" si="104"/>
        <v>1.9607843137254943E-2</v>
      </c>
      <c r="Y243" s="35">
        <f t="shared" si="104"/>
        <v>0.1071428571428571</v>
      </c>
      <c r="Z243" s="35">
        <f t="shared" si="104"/>
        <v>1.9607843137254943E-2</v>
      </c>
      <c r="AA243" s="35">
        <f t="shared" si="104"/>
        <v>1.9607843137254943E-2</v>
      </c>
    </row>
    <row r="244" spans="2:27" x14ac:dyDescent="0.2">
      <c r="B244" s="2">
        <v>242</v>
      </c>
      <c r="C244" s="2" t="str">
        <f t="shared" si="98"/>
        <v>b</v>
      </c>
      <c r="D244" s="29" t="s">
        <v>1</v>
      </c>
      <c r="E244" s="29" t="s">
        <v>181</v>
      </c>
      <c r="F244" s="2" t="s">
        <v>182</v>
      </c>
      <c r="G244" s="2">
        <f t="shared" si="91"/>
        <v>2</v>
      </c>
      <c r="H244" s="2" t="str">
        <f t="shared" si="83"/>
        <v>神圣</v>
      </c>
      <c r="I244" s="38">
        <f t="shared" si="84"/>
        <v>0.08</v>
      </c>
      <c r="J244" s="33">
        <f t="shared" si="102"/>
        <v>23</v>
      </c>
      <c r="K244" s="33">
        <f t="shared" si="103"/>
        <v>41</v>
      </c>
      <c r="L244" s="33">
        <f t="shared" si="103"/>
        <v>9</v>
      </c>
      <c r="M244" s="33">
        <f t="shared" si="103"/>
        <v>24</v>
      </c>
      <c r="N244" s="33">
        <f t="shared" si="103"/>
        <v>38</v>
      </c>
      <c r="O244" s="33">
        <f t="shared" si="103"/>
        <v>32</v>
      </c>
      <c r="P244" s="33">
        <f t="shared" si="103"/>
        <v>14</v>
      </c>
      <c r="Q244" s="33">
        <f t="shared" si="103"/>
        <v>17</v>
      </c>
      <c r="R244" s="35">
        <f t="shared" si="85"/>
        <v>3.4000000000000002E-2</v>
      </c>
      <c r="S244" s="35">
        <f t="shared" si="86"/>
        <v>2.7999999999999997E-2</v>
      </c>
      <c r="T244" s="35">
        <f t="shared" si="87"/>
        <v>2.1250000000000002E-2</v>
      </c>
      <c r="U244" s="35">
        <f t="shared" si="104"/>
        <v>3.8461538461538436E-2</v>
      </c>
      <c r="V244" s="35">
        <f t="shared" si="104"/>
        <v>3.8461538461538436E-2</v>
      </c>
      <c r="W244" s="35">
        <f t="shared" si="104"/>
        <v>3.8461538461538436E-2</v>
      </c>
      <c r="X244" s="35">
        <f t="shared" si="104"/>
        <v>3.8461538461538436E-2</v>
      </c>
      <c r="Y244" s="35">
        <f t="shared" si="104"/>
        <v>0.19354838709677424</v>
      </c>
      <c r="Z244" s="35">
        <f t="shared" si="104"/>
        <v>3.8461538461538436E-2</v>
      </c>
      <c r="AA244" s="35">
        <f t="shared" si="104"/>
        <v>3.8461538461538436E-2</v>
      </c>
    </row>
    <row r="245" spans="2:27" x14ac:dyDescent="0.2">
      <c r="B245" s="2">
        <v>243</v>
      </c>
      <c r="C245" s="2" t="str">
        <f t="shared" si="98"/>
        <v>b</v>
      </c>
      <c r="D245" s="29" t="s">
        <v>1</v>
      </c>
      <c r="E245" s="29" t="s">
        <v>181</v>
      </c>
      <c r="F245" s="2" t="s">
        <v>182</v>
      </c>
      <c r="G245" s="2">
        <f t="shared" si="91"/>
        <v>3</v>
      </c>
      <c r="H245" s="2" t="str">
        <f t="shared" si="83"/>
        <v>神圣</v>
      </c>
      <c r="I245" s="38">
        <f t="shared" si="84"/>
        <v>8.5428571428571423E-2</v>
      </c>
      <c r="J245" s="33">
        <f t="shared" si="102"/>
        <v>35</v>
      </c>
      <c r="K245" s="33">
        <f t="shared" si="103"/>
        <v>62</v>
      </c>
      <c r="L245" s="33">
        <f t="shared" si="103"/>
        <v>14</v>
      </c>
      <c r="M245" s="33">
        <f t="shared" si="103"/>
        <v>36</v>
      </c>
      <c r="N245" s="33">
        <f t="shared" si="103"/>
        <v>57</v>
      </c>
      <c r="O245" s="33">
        <f t="shared" si="103"/>
        <v>48</v>
      </c>
      <c r="P245" s="33">
        <f t="shared" si="103"/>
        <v>21</v>
      </c>
      <c r="Q245" s="33">
        <f t="shared" si="103"/>
        <v>26</v>
      </c>
      <c r="R245" s="35">
        <f t="shared" si="85"/>
        <v>5.2000000000000005E-2</v>
      </c>
      <c r="S245" s="35">
        <f t="shared" si="86"/>
        <v>4.2000000000000003E-2</v>
      </c>
      <c r="T245" s="35">
        <f t="shared" si="87"/>
        <v>3.2500000000000001E-2</v>
      </c>
      <c r="U245" s="35">
        <f t="shared" si="104"/>
        <v>5.6603773584905648E-2</v>
      </c>
      <c r="V245" s="35">
        <f t="shared" si="104"/>
        <v>5.6603773584905648E-2</v>
      </c>
      <c r="W245" s="35">
        <f t="shared" si="104"/>
        <v>5.6603773584905648E-2</v>
      </c>
      <c r="X245" s="35">
        <f t="shared" si="104"/>
        <v>5.6603773584905648E-2</v>
      </c>
      <c r="Y245" s="35">
        <f t="shared" si="104"/>
        <v>0.26470588235294112</v>
      </c>
      <c r="Z245" s="35">
        <f t="shared" si="104"/>
        <v>5.6603773584905648E-2</v>
      </c>
      <c r="AA245" s="35">
        <f t="shared" si="104"/>
        <v>5.6603773584905648E-2</v>
      </c>
    </row>
    <row r="246" spans="2:27" x14ac:dyDescent="0.2">
      <c r="B246" s="2">
        <v>244</v>
      </c>
      <c r="C246" s="2" t="str">
        <f t="shared" si="98"/>
        <v>b</v>
      </c>
      <c r="D246" s="29" t="s">
        <v>1</v>
      </c>
      <c r="E246" s="29" t="s">
        <v>181</v>
      </c>
      <c r="F246" s="2" t="s">
        <v>182</v>
      </c>
      <c r="G246" s="2">
        <f t="shared" si="91"/>
        <v>4</v>
      </c>
      <c r="H246" s="2" t="str">
        <f t="shared" si="83"/>
        <v>神圣</v>
      </c>
      <c r="I246" s="38">
        <f t="shared" si="84"/>
        <v>0.11428571428571428</v>
      </c>
      <c r="J246" s="33">
        <f t="shared" si="102"/>
        <v>47</v>
      </c>
      <c r="K246" s="33">
        <f t="shared" si="103"/>
        <v>83</v>
      </c>
      <c r="L246" s="33">
        <f t="shared" si="103"/>
        <v>19</v>
      </c>
      <c r="M246" s="33">
        <f t="shared" si="103"/>
        <v>48</v>
      </c>
      <c r="N246" s="33">
        <f t="shared" si="103"/>
        <v>76</v>
      </c>
      <c r="O246" s="33">
        <f t="shared" si="103"/>
        <v>64</v>
      </c>
      <c r="P246" s="33">
        <f t="shared" si="103"/>
        <v>28</v>
      </c>
      <c r="Q246" s="33">
        <f t="shared" si="103"/>
        <v>35</v>
      </c>
      <c r="R246" s="35">
        <f t="shared" si="85"/>
        <v>7.0000000000000007E-2</v>
      </c>
      <c r="S246" s="35">
        <f t="shared" si="86"/>
        <v>5.5999999999999994E-2</v>
      </c>
      <c r="T246" s="35">
        <f t="shared" si="87"/>
        <v>4.3749999999999997E-2</v>
      </c>
      <c r="U246" s="35">
        <f t="shared" si="104"/>
        <v>7.407407407407407E-2</v>
      </c>
      <c r="V246" s="35">
        <f t="shared" si="104"/>
        <v>7.407407407407407E-2</v>
      </c>
      <c r="W246" s="35">
        <f t="shared" si="104"/>
        <v>7.407407407407407E-2</v>
      </c>
      <c r="X246" s="35">
        <f t="shared" si="104"/>
        <v>7.407407407407407E-2</v>
      </c>
      <c r="Y246" s="35">
        <f t="shared" si="104"/>
        <v>0.32432432432432434</v>
      </c>
      <c r="Z246" s="35">
        <f t="shared" si="104"/>
        <v>7.407407407407407E-2</v>
      </c>
      <c r="AA246" s="35">
        <f t="shared" si="104"/>
        <v>7.407407407407407E-2</v>
      </c>
    </row>
    <row r="247" spans="2:27" x14ac:dyDescent="0.2">
      <c r="B247" s="2">
        <v>245</v>
      </c>
      <c r="C247" s="2" t="str">
        <f t="shared" si="98"/>
        <v>b</v>
      </c>
      <c r="D247" s="29" t="s">
        <v>1</v>
      </c>
      <c r="E247" s="29" t="s">
        <v>181</v>
      </c>
      <c r="F247" s="2" t="s">
        <v>182</v>
      </c>
      <c r="G247" s="2">
        <f t="shared" si="91"/>
        <v>5</v>
      </c>
      <c r="H247" s="2" t="str">
        <f t="shared" si="83"/>
        <v>神圣</v>
      </c>
      <c r="I247" s="38">
        <f t="shared" si="84"/>
        <v>0.14371428571428571</v>
      </c>
      <c r="J247" s="33">
        <f t="shared" si="102"/>
        <v>59</v>
      </c>
      <c r="K247" s="33">
        <f t="shared" si="103"/>
        <v>104</v>
      </c>
      <c r="L247" s="33">
        <f t="shared" si="103"/>
        <v>24</v>
      </c>
      <c r="M247" s="33">
        <f t="shared" si="103"/>
        <v>60</v>
      </c>
      <c r="N247" s="33">
        <f t="shared" si="103"/>
        <v>96</v>
      </c>
      <c r="O247" s="33">
        <f t="shared" si="103"/>
        <v>80</v>
      </c>
      <c r="P247" s="33">
        <f t="shared" si="103"/>
        <v>36</v>
      </c>
      <c r="Q247" s="33">
        <f t="shared" si="103"/>
        <v>44</v>
      </c>
      <c r="R247" s="35">
        <f t="shared" si="85"/>
        <v>8.8000000000000009E-2</v>
      </c>
      <c r="S247" s="35">
        <f t="shared" si="86"/>
        <v>7.2000000000000008E-2</v>
      </c>
      <c r="T247" s="35">
        <f t="shared" si="87"/>
        <v>5.5E-2</v>
      </c>
      <c r="U247" s="35">
        <f t="shared" si="104"/>
        <v>9.0909090909090939E-2</v>
      </c>
      <c r="V247" s="35">
        <f t="shared" si="104"/>
        <v>9.0909090909090939E-2</v>
      </c>
      <c r="W247" s="35">
        <f t="shared" si="104"/>
        <v>9.0909090909090939E-2</v>
      </c>
      <c r="X247" s="35">
        <f t="shared" si="104"/>
        <v>9.0909090909090939E-2</v>
      </c>
      <c r="Y247" s="35">
        <f t="shared" si="104"/>
        <v>0.375</v>
      </c>
      <c r="Z247" s="35">
        <f t="shared" si="104"/>
        <v>9.0909090909090939E-2</v>
      </c>
      <c r="AA247" s="35">
        <f t="shared" si="104"/>
        <v>9.0909090909090939E-2</v>
      </c>
    </row>
    <row r="248" spans="2:27" x14ac:dyDescent="0.2">
      <c r="B248" s="2">
        <v>246</v>
      </c>
      <c r="C248" s="2" t="str">
        <f t="shared" si="98"/>
        <v>b</v>
      </c>
      <c r="D248" s="29" t="s">
        <v>1</v>
      </c>
      <c r="E248" s="29" t="s">
        <v>181</v>
      </c>
      <c r="F248" s="2" t="s">
        <v>182</v>
      </c>
      <c r="G248" s="2">
        <f t="shared" si="91"/>
        <v>6</v>
      </c>
      <c r="H248" s="2" t="str">
        <f t="shared" si="83"/>
        <v>神圣</v>
      </c>
      <c r="I248" s="38">
        <f t="shared" si="84"/>
        <v>0.17171428571428571</v>
      </c>
      <c r="J248" s="33">
        <f t="shared" si="102"/>
        <v>71</v>
      </c>
      <c r="K248" s="33">
        <f t="shared" si="103"/>
        <v>124</v>
      </c>
      <c r="L248" s="33">
        <f t="shared" si="103"/>
        <v>28</v>
      </c>
      <c r="M248" s="33">
        <f t="shared" si="103"/>
        <v>72</v>
      </c>
      <c r="N248" s="33">
        <f t="shared" si="103"/>
        <v>115</v>
      </c>
      <c r="O248" s="33">
        <f t="shared" si="103"/>
        <v>96</v>
      </c>
      <c r="P248" s="33">
        <f t="shared" si="103"/>
        <v>43</v>
      </c>
      <c r="Q248" s="33">
        <f t="shared" si="103"/>
        <v>52</v>
      </c>
      <c r="R248" s="35">
        <f t="shared" si="85"/>
        <v>0.10400000000000001</v>
      </c>
      <c r="S248" s="35">
        <f t="shared" si="86"/>
        <v>8.5999999999999993E-2</v>
      </c>
      <c r="T248" s="35">
        <f t="shared" si="87"/>
        <v>6.5000000000000002E-2</v>
      </c>
      <c r="U248" s="35">
        <f t="shared" si="104"/>
        <v>0.1071428571428571</v>
      </c>
      <c r="V248" s="35">
        <f t="shared" si="104"/>
        <v>0.1071428571428571</v>
      </c>
      <c r="W248" s="35">
        <f t="shared" si="104"/>
        <v>0.1071428571428571</v>
      </c>
      <c r="X248" s="35">
        <f t="shared" si="104"/>
        <v>0.1071428571428571</v>
      </c>
      <c r="Y248" s="35">
        <f t="shared" si="104"/>
        <v>0.41860465116279066</v>
      </c>
      <c r="Z248" s="35">
        <f t="shared" si="104"/>
        <v>0.1071428571428571</v>
      </c>
      <c r="AA248" s="35">
        <f t="shared" si="104"/>
        <v>0.1071428571428571</v>
      </c>
    </row>
    <row r="249" spans="2:27" x14ac:dyDescent="0.2">
      <c r="B249" s="2">
        <v>247</v>
      </c>
      <c r="C249" s="2" t="str">
        <f t="shared" si="98"/>
        <v>b</v>
      </c>
      <c r="D249" s="29" t="s">
        <v>1</v>
      </c>
      <c r="E249" s="29" t="s">
        <v>181</v>
      </c>
      <c r="F249" s="2" t="s">
        <v>182</v>
      </c>
      <c r="G249" s="2">
        <f t="shared" si="91"/>
        <v>7</v>
      </c>
      <c r="H249" s="2" t="str">
        <f t="shared" si="83"/>
        <v>神圣</v>
      </c>
      <c r="I249" s="38">
        <f t="shared" si="84"/>
        <v>0.20057142857142857</v>
      </c>
      <c r="J249" s="33">
        <f t="shared" si="102"/>
        <v>83</v>
      </c>
      <c r="K249" s="33">
        <f t="shared" si="103"/>
        <v>145</v>
      </c>
      <c r="L249" s="33">
        <f t="shared" si="103"/>
        <v>33</v>
      </c>
      <c r="M249" s="33">
        <f t="shared" si="103"/>
        <v>84</v>
      </c>
      <c r="N249" s="33">
        <f t="shared" si="103"/>
        <v>134</v>
      </c>
      <c r="O249" s="33">
        <f t="shared" si="103"/>
        <v>112</v>
      </c>
      <c r="P249" s="33">
        <f t="shared" si="103"/>
        <v>50</v>
      </c>
      <c r="Q249" s="33">
        <f t="shared" si="103"/>
        <v>61</v>
      </c>
      <c r="R249" s="35">
        <f t="shared" si="85"/>
        <v>0.122</v>
      </c>
      <c r="S249" s="35">
        <f t="shared" si="86"/>
        <v>0.1</v>
      </c>
      <c r="T249" s="35">
        <f t="shared" si="87"/>
        <v>7.6249999999999998E-2</v>
      </c>
      <c r="U249" s="35">
        <f t="shared" si="104"/>
        <v>0.1228070175438597</v>
      </c>
      <c r="V249" s="35">
        <f t="shared" si="104"/>
        <v>0.1228070175438597</v>
      </c>
      <c r="W249" s="35">
        <f t="shared" si="104"/>
        <v>0.1228070175438597</v>
      </c>
      <c r="X249" s="35">
        <f t="shared" si="104"/>
        <v>0.1228070175438597</v>
      </c>
      <c r="Y249" s="35">
        <f t="shared" si="104"/>
        <v>0.45652173913043481</v>
      </c>
      <c r="Z249" s="35">
        <f t="shared" si="104"/>
        <v>0.1228070175438597</v>
      </c>
      <c r="AA249" s="35">
        <f t="shared" si="104"/>
        <v>0.1228070175438597</v>
      </c>
    </row>
    <row r="250" spans="2:27" x14ac:dyDescent="0.2">
      <c r="B250" s="2">
        <v>248</v>
      </c>
      <c r="C250" s="2" t="str">
        <f t="shared" si="98"/>
        <v>b</v>
      </c>
      <c r="D250" s="29" t="s">
        <v>1</v>
      </c>
      <c r="E250" s="29" t="s">
        <v>181</v>
      </c>
      <c r="F250" s="2" t="s">
        <v>182</v>
      </c>
      <c r="G250" s="2">
        <f t="shared" si="91"/>
        <v>8</v>
      </c>
      <c r="H250" s="2" t="str">
        <f t="shared" si="83"/>
        <v>神圣</v>
      </c>
      <c r="I250" s="38">
        <f t="shared" si="84"/>
        <v>0.22942857142857143</v>
      </c>
      <c r="J250" s="33">
        <f t="shared" si="102"/>
        <v>95</v>
      </c>
      <c r="K250" s="33">
        <f t="shared" si="103"/>
        <v>166</v>
      </c>
      <c r="L250" s="33">
        <f t="shared" si="103"/>
        <v>38</v>
      </c>
      <c r="M250" s="33">
        <f t="shared" si="103"/>
        <v>96</v>
      </c>
      <c r="N250" s="33">
        <f t="shared" si="103"/>
        <v>153</v>
      </c>
      <c r="O250" s="33">
        <f t="shared" si="103"/>
        <v>128</v>
      </c>
      <c r="P250" s="33">
        <f t="shared" si="103"/>
        <v>57</v>
      </c>
      <c r="Q250" s="33">
        <f t="shared" si="103"/>
        <v>70</v>
      </c>
      <c r="R250" s="35">
        <f t="shared" si="85"/>
        <v>0.14000000000000001</v>
      </c>
      <c r="S250" s="35">
        <f t="shared" si="86"/>
        <v>0.114</v>
      </c>
      <c r="T250" s="35">
        <f t="shared" si="87"/>
        <v>8.7499999999999994E-2</v>
      </c>
      <c r="U250" s="35">
        <f t="shared" si="104"/>
        <v>0.13793103448275867</v>
      </c>
      <c r="V250" s="35">
        <f t="shared" si="104"/>
        <v>0.13793103448275867</v>
      </c>
      <c r="W250" s="35">
        <f t="shared" si="104"/>
        <v>0.13793103448275867</v>
      </c>
      <c r="X250" s="35">
        <f t="shared" si="104"/>
        <v>0.13793103448275867</v>
      </c>
      <c r="Y250" s="35">
        <f t="shared" si="104"/>
        <v>0.48979591836734693</v>
      </c>
      <c r="Z250" s="35">
        <f t="shared" si="104"/>
        <v>0.13793103448275867</v>
      </c>
      <c r="AA250" s="35">
        <f t="shared" si="104"/>
        <v>0.13793103448275867</v>
      </c>
    </row>
    <row r="251" spans="2:27" x14ac:dyDescent="0.2">
      <c r="B251" s="2">
        <v>249</v>
      </c>
      <c r="C251" s="2" t="str">
        <f t="shared" si="98"/>
        <v>c</v>
      </c>
      <c r="D251" s="29" t="s">
        <v>1</v>
      </c>
      <c r="E251" s="29" t="s">
        <v>181</v>
      </c>
      <c r="F251" s="2" t="s">
        <v>182</v>
      </c>
      <c r="G251" s="2">
        <f t="shared" si="91"/>
        <v>1</v>
      </c>
      <c r="H251" s="2" t="str">
        <f t="shared" si="83"/>
        <v>--</v>
      </c>
      <c r="I251" s="38">
        <f t="shared" si="84"/>
        <v>0</v>
      </c>
      <c r="J251" s="33">
        <f t="shared" si="102"/>
        <v>15</v>
      </c>
      <c r="K251" s="33">
        <f t="shared" si="103"/>
        <v>0</v>
      </c>
      <c r="L251" s="33">
        <f t="shared" si="103"/>
        <v>0</v>
      </c>
      <c r="M251" s="33">
        <f t="shared" si="103"/>
        <v>0</v>
      </c>
      <c r="N251" s="33">
        <f t="shared" si="103"/>
        <v>0</v>
      </c>
      <c r="O251" s="33">
        <f t="shared" si="103"/>
        <v>0</v>
      </c>
      <c r="P251" s="33">
        <f t="shared" si="103"/>
        <v>0</v>
      </c>
      <c r="Q251" s="33">
        <f t="shared" si="103"/>
        <v>0</v>
      </c>
      <c r="R251" s="35">
        <f t="shared" si="85"/>
        <v>0</v>
      </c>
      <c r="S251" s="35">
        <f t="shared" si="86"/>
        <v>0</v>
      </c>
      <c r="T251" s="35">
        <f t="shared" si="87"/>
        <v>0</v>
      </c>
      <c r="U251" s="35">
        <f t="shared" si="104"/>
        <v>0</v>
      </c>
      <c r="V251" s="35">
        <f t="shared" si="104"/>
        <v>0</v>
      </c>
      <c r="W251" s="35">
        <f t="shared" si="104"/>
        <v>0</v>
      </c>
      <c r="X251" s="35">
        <f t="shared" si="104"/>
        <v>0</v>
      </c>
      <c r="Y251" s="35">
        <f t="shared" si="104"/>
        <v>0</v>
      </c>
      <c r="Z251" s="35">
        <f t="shared" si="104"/>
        <v>0</v>
      </c>
      <c r="AA251" s="35">
        <f t="shared" si="104"/>
        <v>0</v>
      </c>
    </row>
    <row r="252" spans="2:27" x14ac:dyDescent="0.2">
      <c r="B252" s="2">
        <v>250</v>
      </c>
      <c r="C252" s="2" t="str">
        <f t="shared" si="98"/>
        <v>c</v>
      </c>
      <c r="D252" s="29" t="s">
        <v>1</v>
      </c>
      <c r="E252" s="29" t="s">
        <v>181</v>
      </c>
      <c r="F252" s="2" t="s">
        <v>182</v>
      </c>
      <c r="G252" s="2">
        <f t="shared" si="91"/>
        <v>2</v>
      </c>
      <c r="H252" s="2" t="str">
        <f t="shared" si="83"/>
        <v>--</v>
      </c>
      <c r="I252" s="38">
        <f t="shared" si="84"/>
        <v>0</v>
      </c>
      <c r="J252" s="33">
        <f t="shared" si="102"/>
        <v>31</v>
      </c>
      <c r="K252" s="33">
        <f t="shared" si="103"/>
        <v>0</v>
      </c>
      <c r="L252" s="33">
        <f t="shared" si="103"/>
        <v>0</v>
      </c>
      <c r="M252" s="33">
        <f t="shared" si="103"/>
        <v>0</v>
      </c>
      <c r="N252" s="33">
        <f t="shared" si="103"/>
        <v>0</v>
      </c>
      <c r="O252" s="33">
        <f t="shared" si="103"/>
        <v>0</v>
      </c>
      <c r="P252" s="33">
        <f t="shared" si="103"/>
        <v>0</v>
      </c>
      <c r="Q252" s="33">
        <f t="shared" si="103"/>
        <v>0</v>
      </c>
      <c r="R252" s="35">
        <f t="shared" si="85"/>
        <v>0</v>
      </c>
      <c r="S252" s="35">
        <f t="shared" si="86"/>
        <v>0</v>
      </c>
      <c r="T252" s="35">
        <f t="shared" si="87"/>
        <v>0</v>
      </c>
      <c r="U252" s="35">
        <f t="shared" si="104"/>
        <v>0</v>
      </c>
      <c r="V252" s="35">
        <f t="shared" si="104"/>
        <v>0</v>
      </c>
      <c r="W252" s="35">
        <f t="shared" si="104"/>
        <v>0</v>
      </c>
      <c r="X252" s="35">
        <f t="shared" si="104"/>
        <v>0</v>
      </c>
      <c r="Y252" s="35">
        <f t="shared" si="104"/>
        <v>0</v>
      </c>
      <c r="Z252" s="35">
        <f t="shared" si="104"/>
        <v>0</v>
      </c>
      <c r="AA252" s="35">
        <f t="shared" si="104"/>
        <v>0</v>
      </c>
    </row>
    <row r="253" spans="2:27" x14ac:dyDescent="0.2">
      <c r="B253" s="2">
        <v>251</v>
      </c>
      <c r="C253" s="2" t="str">
        <f t="shared" si="98"/>
        <v>c</v>
      </c>
      <c r="D253" s="29" t="s">
        <v>1</v>
      </c>
      <c r="E253" s="29" t="s">
        <v>181</v>
      </c>
      <c r="F253" s="2" t="s">
        <v>182</v>
      </c>
      <c r="G253" s="2">
        <f t="shared" si="91"/>
        <v>3</v>
      </c>
      <c r="H253" s="2" t="str">
        <f t="shared" si="83"/>
        <v>--</v>
      </c>
      <c r="I253" s="38">
        <f t="shared" si="84"/>
        <v>0</v>
      </c>
      <c r="J253" s="33">
        <f t="shared" ref="J253:J262" si="105">INT((1+VLOOKUP($F253,role_property_weight,getpos(J$2),FALSE))*(1+VLOOKUP($F253,drop_property_weight,getpos(J$2),FALSE))*VLOOKUP($E253,role_grow,getpos(J$2),FALSE)*$G253*10*VLOOKUP($C253,drop_grow1,4,FALSE))</f>
        <v>47</v>
      </c>
      <c r="K253" s="33">
        <f t="shared" ref="K253:Q262" si="106">INT((1+VLOOKUP($F253,role_property_weight,getpos(K$2),FALSE))*(1+VLOOKUP($F253,drop_property_weight,getpos(K$2),FALSE))*VLOOKUP($E253,role_grow,getpos(K$2),FALSE)*$G253*10*VLOOKUP($C253,drop_grow1,5,FALSE))</f>
        <v>0</v>
      </c>
      <c r="L253" s="33">
        <f t="shared" si="106"/>
        <v>0</v>
      </c>
      <c r="M253" s="33">
        <f t="shared" si="106"/>
        <v>0</v>
      </c>
      <c r="N253" s="33">
        <f t="shared" si="106"/>
        <v>0</v>
      </c>
      <c r="O253" s="33">
        <f t="shared" si="106"/>
        <v>0</v>
      </c>
      <c r="P253" s="33">
        <f t="shared" si="106"/>
        <v>0</v>
      </c>
      <c r="Q253" s="33">
        <f t="shared" si="106"/>
        <v>0</v>
      </c>
      <c r="R253" s="35">
        <f t="shared" si="85"/>
        <v>0</v>
      </c>
      <c r="S253" s="35">
        <f t="shared" si="86"/>
        <v>0</v>
      </c>
      <c r="T253" s="35">
        <f t="shared" si="87"/>
        <v>0</v>
      </c>
      <c r="U253" s="35">
        <f t="shared" ref="U253:AA262" si="107">1-200/(200+ROUND((1+VLOOKUP($F253,role_property_weight,getpos(U$2),FALSE))*VLOOKUP($E253,role_grow,getpos(U$2),FALSE)*$G253*10*VLOOKUP($C253,drop_grow1,5,FALSE),0))</f>
        <v>0</v>
      </c>
      <c r="V253" s="35">
        <f t="shared" si="107"/>
        <v>0</v>
      </c>
      <c r="W253" s="35">
        <f t="shared" si="107"/>
        <v>0</v>
      </c>
      <c r="X253" s="35">
        <f t="shared" si="107"/>
        <v>0</v>
      </c>
      <c r="Y253" s="35">
        <f t="shared" si="107"/>
        <v>0</v>
      </c>
      <c r="Z253" s="35">
        <f t="shared" si="107"/>
        <v>0</v>
      </c>
      <c r="AA253" s="35">
        <f t="shared" si="107"/>
        <v>0</v>
      </c>
    </row>
    <row r="254" spans="2:27" x14ac:dyDescent="0.2">
      <c r="B254" s="2">
        <v>252</v>
      </c>
      <c r="C254" s="2" t="str">
        <f t="shared" si="98"/>
        <v>c</v>
      </c>
      <c r="D254" s="29" t="s">
        <v>1</v>
      </c>
      <c r="E254" s="29" t="s">
        <v>181</v>
      </c>
      <c r="F254" s="2" t="s">
        <v>182</v>
      </c>
      <c r="G254" s="2">
        <f t="shared" si="91"/>
        <v>4</v>
      </c>
      <c r="H254" s="2" t="str">
        <f t="shared" si="83"/>
        <v>--</v>
      </c>
      <c r="I254" s="38">
        <f t="shared" si="84"/>
        <v>0</v>
      </c>
      <c r="J254" s="33">
        <f t="shared" si="105"/>
        <v>63</v>
      </c>
      <c r="K254" s="33">
        <f t="shared" si="106"/>
        <v>0</v>
      </c>
      <c r="L254" s="33">
        <f t="shared" si="106"/>
        <v>0</v>
      </c>
      <c r="M254" s="33">
        <f t="shared" si="106"/>
        <v>0</v>
      </c>
      <c r="N254" s="33">
        <f t="shared" si="106"/>
        <v>0</v>
      </c>
      <c r="O254" s="33">
        <f t="shared" si="106"/>
        <v>0</v>
      </c>
      <c r="P254" s="33">
        <f t="shared" si="106"/>
        <v>0</v>
      </c>
      <c r="Q254" s="33">
        <f t="shared" si="106"/>
        <v>0</v>
      </c>
      <c r="R254" s="35">
        <f t="shared" si="85"/>
        <v>0</v>
      </c>
      <c r="S254" s="35">
        <f t="shared" si="86"/>
        <v>0</v>
      </c>
      <c r="T254" s="35">
        <f t="shared" si="87"/>
        <v>0</v>
      </c>
      <c r="U254" s="35">
        <f t="shared" si="107"/>
        <v>0</v>
      </c>
      <c r="V254" s="35">
        <f t="shared" si="107"/>
        <v>0</v>
      </c>
      <c r="W254" s="35">
        <f t="shared" si="107"/>
        <v>0</v>
      </c>
      <c r="X254" s="35">
        <f t="shared" si="107"/>
        <v>0</v>
      </c>
      <c r="Y254" s="35">
        <f t="shared" si="107"/>
        <v>0</v>
      </c>
      <c r="Z254" s="35">
        <f t="shared" si="107"/>
        <v>0</v>
      </c>
      <c r="AA254" s="35">
        <f t="shared" si="107"/>
        <v>0</v>
      </c>
    </row>
    <row r="255" spans="2:27" x14ac:dyDescent="0.2">
      <c r="B255" s="2">
        <v>253</v>
      </c>
      <c r="C255" s="2" t="str">
        <f t="shared" si="98"/>
        <v>c</v>
      </c>
      <c r="D255" s="29" t="s">
        <v>1</v>
      </c>
      <c r="E255" s="29" t="s">
        <v>181</v>
      </c>
      <c r="F255" s="2" t="s">
        <v>182</v>
      </c>
      <c r="G255" s="2">
        <f t="shared" si="91"/>
        <v>5</v>
      </c>
      <c r="H255" s="2" t="str">
        <f t="shared" si="83"/>
        <v>--</v>
      </c>
      <c r="I255" s="38">
        <f t="shared" si="84"/>
        <v>0</v>
      </c>
      <c r="J255" s="33">
        <f t="shared" si="105"/>
        <v>79</v>
      </c>
      <c r="K255" s="33">
        <f t="shared" si="106"/>
        <v>0</v>
      </c>
      <c r="L255" s="33">
        <f t="shared" si="106"/>
        <v>0</v>
      </c>
      <c r="M255" s="33">
        <f t="shared" si="106"/>
        <v>0</v>
      </c>
      <c r="N255" s="33">
        <f t="shared" si="106"/>
        <v>0</v>
      </c>
      <c r="O255" s="33">
        <f t="shared" si="106"/>
        <v>0</v>
      </c>
      <c r="P255" s="33">
        <f t="shared" si="106"/>
        <v>0</v>
      </c>
      <c r="Q255" s="33">
        <f t="shared" si="106"/>
        <v>0</v>
      </c>
      <c r="R255" s="35">
        <f t="shared" si="85"/>
        <v>0</v>
      </c>
      <c r="S255" s="35">
        <f t="shared" si="86"/>
        <v>0</v>
      </c>
      <c r="T255" s="35">
        <f t="shared" si="87"/>
        <v>0</v>
      </c>
      <c r="U255" s="35">
        <f t="shared" si="107"/>
        <v>0</v>
      </c>
      <c r="V255" s="35">
        <f t="shared" si="107"/>
        <v>0</v>
      </c>
      <c r="W255" s="35">
        <f t="shared" si="107"/>
        <v>0</v>
      </c>
      <c r="X255" s="35">
        <f t="shared" si="107"/>
        <v>0</v>
      </c>
      <c r="Y255" s="35">
        <f t="shared" si="107"/>
        <v>0</v>
      </c>
      <c r="Z255" s="35">
        <f t="shared" si="107"/>
        <v>0</v>
      </c>
      <c r="AA255" s="35">
        <f t="shared" si="107"/>
        <v>0</v>
      </c>
    </row>
    <row r="256" spans="2:27" x14ac:dyDescent="0.2">
      <c r="B256" s="2">
        <v>254</v>
      </c>
      <c r="C256" s="2" t="str">
        <f t="shared" si="98"/>
        <v>c</v>
      </c>
      <c r="D256" s="29" t="s">
        <v>1</v>
      </c>
      <c r="E256" s="29" t="s">
        <v>181</v>
      </c>
      <c r="F256" s="2" t="s">
        <v>182</v>
      </c>
      <c r="G256" s="2">
        <f t="shared" si="91"/>
        <v>6</v>
      </c>
      <c r="H256" s="2" t="str">
        <f t="shared" si="83"/>
        <v>--</v>
      </c>
      <c r="I256" s="38">
        <f t="shared" si="84"/>
        <v>0</v>
      </c>
      <c r="J256" s="33">
        <f t="shared" si="105"/>
        <v>95</v>
      </c>
      <c r="K256" s="33">
        <f t="shared" si="106"/>
        <v>0</v>
      </c>
      <c r="L256" s="33">
        <f t="shared" si="106"/>
        <v>0</v>
      </c>
      <c r="M256" s="33">
        <f t="shared" si="106"/>
        <v>0</v>
      </c>
      <c r="N256" s="33">
        <f t="shared" si="106"/>
        <v>0</v>
      </c>
      <c r="O256" s="33">
        <f t="shared" si="106"/>
        <v>0</v>
      </c>
      <c r="P256" s="33">
        <f t="shared" si="106"/>
        <v>0</v>
      </c>
      <c r="Q256" s="33">
        <f t="shared" si="106"/>
        <v>0</v>
      </c>
      <c r="R256" s="35">
        <f t="shared" si="85"/>
        <v>0</v>
      </c>
      <c r="S256" s="35">
        <f t="shared" si="86"/>
        <v>0</v>
      </c>
      <c r="T256" s="35">
        <f t="shared" si="87"/>
        <v>0</v>
      </c>
      <c r="U256" s="35">
        <f t="shared" si="107"/>
        <v>0</v>
      </c>
      <c r="V256" s="35">
        <f t="shared" si="107"/>
        <v>0</v>
      </c>
      <c r="W256" s="35">
        <f t="shared" si="107"/>
        <v>0</v>
      </c>
      <c r="X256" s="35">
        <f t="shared" si="107"/>
        <v>0</v>
      </c>
      <c r="Y256" s="35">
        <f t="shared" si="107"/>
        <v>0</v>
      </c>
      <c r="Z256" s="35">
        <f t="shared" si="107"/>
        <v>0</v>
      </c>
      <c r="AA256" s="35">
        <f t="shared" si="107"/>
        <v>0</v>
      </c>
    </row>
    <row r="257" spans="2:27" x14ac:dyDescent="0.2">
      <c r="B257" s="2">
        <v>255</v>
      </c>
      <c r="C257" s="2" t="str">
        <f t="shared" si="98"/>
        <v>c</v>
      </c>
      <c r="D257" s="29" t="s">
        <v>1</v>
      </c>
      <c r="E257" s="29" t="s">
        <v>181</v>
      </c>
      <c r="F257" s="2" t="s">
        <v>182</v>
      </c>
      <c r="G257" s="2">
        <f t="shared" si="91"/>
        <v>7</v>
      </c>
      <c r="H257" s="2" t="str">
        <f t="shared" si="83"/>
        <v>--</v>
      </c>
      <c r="I257" s="38">
        <f t="shared" si="84"/>
        <v>0</v>
      </c>
      <c r="J257" s="33">
        <f t="shared" si="105"/>
        <v>111</v>
      </c>
      <c r="K257" s="33">
        <f t="shared" si="106"/>
        <v>0</v>
      </c>
      <c r="L257" s="33">
        <f t="shared" si="106"/>
        <v>0</v>
      </c>
      <c r="M257" s="33">
        <f t="shared" si="106"/>
        <v>0</v>
      </c>
      <c r="N257" s="33">
        <f t="shared" si="106"/>
        <v>0</v>
      </c>
      <c r="O257" s="33">
        <f t="shared" si="106"/>
        <v>0</v>
      </c>
      <c r="P257" s="33">
        <f t="shared" si="106"/>
        <v>0</v>
      </c>
      <c r="Q257" s="33">
        <f t="shared" si="106"/>
        <v>0</v>
      </c>
      <c r="R257" s="35">
        <f t="shared" si="85"/>
        <v>0</v>
      </c>
      <c r="S257" s="35">
        <f t="shared" si="86"/>
        <v>0</v>
      </c>
      <c r="T257" s="35">
        <f t="shared" si="87"/>
        <v>0</v>
      </c>
      <c r="U257" s="35">
        <f t="shared" si="107"/>
        <v>0</v>
      </c>
      <c r="V257" s="35">
        <f t="shared" si="107"/>
        <v>0</v>
      </c>
      <c r="W257" s="35">
        <f t="shared" si="107"/>
        <v>0</v>
      </c>
      <c r="X257" s="35">
        <f t="shared" si="107"/>
        <v>0</v>
      </c>
      <c r="Y257" s="35">
        <f t="shared" si="107"/>
        <v>0</v>
      </c>
      <c r="Z257" s="35">
        <f t="shared" si="107"/>
        <v>0</v>
      </c>
      <c r="AA257" s="35">
        <f t="shared" si="107"/>
        <v>0</v>
      </c>
    </row>
    <row r="258" spans="2:27" x14ac:dyDescent="0.2">
      <c r="B258" s="2">
        <v>256</v>
      </c>
      <c r="C258" s="2" t="str">
        <f t="shared" si="98"/>
        <v>c</v>
      </c>
      <c r="D258" s="29" t="s">
        <v>1</v>
      </c>
      <c r="E258" s="29" t="s">
        <v>181</v>
      </c>
      <c r="F258" s="2" t="s">
        <v>182</v>
      </c>
      <c r="G258" s="2">
        <f t="shared" si="91"/>
        <v>8</v>
      </c>
      <c r="H258" s="2" t="str">
        <f t="shared" si="83"/>
        <v>--</v>
      </c>
      <c r="I258" s="38">
        <f t="shared" si="84"/>
        <v>0</v>
      </c>
      <c r="J258" s="33">
        <f t="shared" si="105"/>
        <v>127</v>
      </c>
      <c r="K258" s="33">
        <f t="shared" si="106"/>
        <v>0</v>
      </c>
      <c r="L258" s="33">
        <f t="shared" si="106"/>
        <v>0</v>
      </c>
      <c r="M258" s="33">
        <f t="shared" si="106"/>
        <v>0</v>
      </c>
      <c r="N258" s="33">
        <f t="shared" si="106"/>
        <v>0</v>
      </c>
      <c r="O258" s="33">
        <f t="shared" si="106"/>
        <v>0</v>
      </c>
      <c r="P258" s="33">
        <f t="shared" si="106"/>
        <v>0</v>
      </c>
      <c r="Q258" s="33">
        <f t="shared" si="106"/>
        <v>0</v>
      </c>
      <c r="R258" s="35">
        <f t="shared" si="85"/>
        <v>0</v>
      </c>
      <c r="S258" s="35">
        <f t="shared" si="86"/>
        <v>0</v>
      </c>
      <c r="T258" s="35">
        <f t="shared" si="87"/>
        <v>0</v>
      </c>
      <c r="U258" s="35">
        <f t="shared" si="107"/>
        <v>0</v>
      </c>
      <c r="V258" s="35">
        <f t="shared" si="107"/>
        <v>0</v>
      </c>
      <c r="W258" s="35">
        <f t="shared" si="107"/>
        <v>0</v>
      </c>
      <c r="X258" s="35">
        <f t="shared" si="107"/>
        <v>0</v>
      </c>
      <c r="Y258" s="35">
        <f t="shared" si="107"/>
        <v>0</v>
      </c>
      <c r="Z258" s="35">
        <f t="shared" si="107"/>
        <v>0</v>
      </c>
      <c r="AA258" s="35">
        <f t="shared" si="107"/>
        <v>0</v>
      </c>
    </row>
    <row r="259" spans="2:27" x14ac:dyDescent="0.2">
      <c r="B259" s="2">
        <v>257</v>
      </c>
      <c r="C259" s="2" t="str">
        <f t="shared" si="98"/>
        <v>s</v>
      </c>
      <c r="D259" s="29" t="s">
        <v>1</v>
      </c>
      <c r="E259" s="29" t="s">
        <v>181</v>
      </c>
      <c r="F259" s="2" t="s">
        <v>183</v>
      </c>
      <c r="G259" s="2">
        <f t="shared" si="91"/>
        <v>1</v>
      </c>
      <c r="H259" s="2" t="str">
        <f t="shared" ref="H259:H322" si="108">IF(C259="c","--",VLOOKUP(F259,role_property_weight,17,FALSE))</f>
        <v>电击</v>
      </c>
      <c r="I259" s="38">
        <f t="shared" si="84"/>
        <v>0.08</v>
      </c>
      <c r="J259" s="33">
        <f t="shared" si="105"/>
        <v>12</v>
      </c>
      <c r="K259" s="33">
        <f t="shared" si="106"/>
        <v>10</v>
      </c>
      <c r="L259" s="33">
        <f t="shared" si="106"/>
        <v>1</v>
      </c>
      <c r="M259" s="33">
        <f t="shared" si="106"/>
        <v>6</v>
      </c>
      <c r="N259" s="33">
        <f t="shared" si="106"/>
        <v>7</v>
      </c>
      <c r="O259" s="33">
        <f t="shared" si="106"/>
        <v>14</v>
      </c>
      <c r="P259" s="33">
        <f t="shared" si="106"/>
        <v>3</v>
      </c>
      <c r="Q259" s="33">
        <f t="shared" si="106"/>
        <v>5</v>
      </c>
      <c r="R259" s="35">
        <f t="shared" si="85"/>
        <v>0.01</v>
      </c>
      <c r="S259" s="35">
        <f t="shared" si="86"/>
        <v>6.0000000000000001E-3</v>
      </c>
      <c r="T259" s="35">
        <f t="shared" si="87"/>
        <v>6.2500000000000003E-3</v>
      </c>
      <c r="U259" s="35">
        <f t="shared" si="107"/>
        <v>9.9009900990099098E-3</v>
      </c>
      <c r="V259" s="35">
        <f t="shared" si="107"/>
        <v>9.9009900990099098E-3</v>
      </c>
      <c r="W259" s="35">
        <f t="shared" si="107"/>
        <v>9.9009900990099098E-3</v>
      </c>
      <c r="X259" s="35">
        <f t="shared" si="107"/>
        <v>9.9009900990099098E-3</v>
      </c>
      <c r="Y259" s="35">
        <f t="shared" si="107"/>
        <v>9.9009900990099098E-3</v>
      </c>
      <c r="Z259" s="35">
        <f t="shared" si="107"/>
        <v>9.9009900990099098E-3</v>
      </c>
      <c r="AA259" s="35">
        <f t="shared" si="107"/>
        <v>6.5420560747663559E-2</v>
      </c>
    </row>
    <row r="260" spans="2:27" x14ac:dyDescent="0.2">
      <c r="B260" s="2">
        <v>258</v>
      </c>
      <c r="C260" s="2" t="str">
        <f t="shared" si="98"/>
        <v>s</v>
      </c>
      <c r="D260" s="29" t="s">
        <v>1</v>
      </c>
      <c r="E260" s="29" t="s">
        <v>181</v>
      </c>
      <c r="F260" s="2" t="s">
        <v>183</v>
      </c>
      <c r="G260" s="2">
        <f t="shared" si="91"/>
        <v>2</v>
      </c>
      <c r="H260" s="2" t="str">
        <f t="shared" si="108"/>
        <v>电击</v>
      </c>
      <c r="I260" s="38">
        <f t="shared" ref="I260:I323" si="109">IF(H260="--",0,IF((SUM(J260:Q260)/35)%&lt;8%,8%,(SUM(J260:Q260)/35)%))</f>
        <v>0.08</v>
      </c>
      <c r="J260" s="33">
        <f t="shared" si="105"/>
        <v>25</v>
      </c>
      <c r="K260" s="33">
        <f t="shared" si="106"/>
        <v>21</v>
      </c>
      <c r="L260" s="33">
        <f t="shared" si="106"/>
        <v>3</v>
      </c>
      <c r="M260" s="33">
        <f t="shared" si="106"/>
        <v>13</v>
      </c>
      <c r="N260" s="33">
        <f t="shared" si="106"/>
        <v>15</v>
      </c>
      <c r="O260" s="33">
        <f t="shared" si="106"/>
        <v>28</v>
      </c>
      <c r="P260" s="33">
        <f t="shared" si="106"/>
        <v>6</v>
      </c>
      <c r="Q260" s="33">
        <f t="shared" si="106"/>
        <v>10</v>
      </c>
      <c r="R260" s="35">
        <f t="shared" ref="R260:R323" si="110">(Q260/5)%</f>
        <v>0.02</v>
      </c>
      <c r="S260" s="35">
        <f t="shared" ref="S260:S323" si="111">(P260/5)%</f>
        <v>1.2E-2</v>
      </c>
      <c r="T260" s="35">
        <f t="shared" ref="T260:T323" si="112">(Q260/8)%</f>
        <v>1.2500000000000001E-2</v>
      </c>
      <c r="U260" s="35">
        <f t="shared" si="107"/>
        <v>2.4390243902439046E-2</v>
      </c>
      <c r="V260" s="35">
        <f t="shared" si="107"/>
        <v>2.4390243902439046E-2</v>
      </c>
      <c r="W260" s="35">
        <f t="shared" si="107"/>
        <v>2.4390243902439046E-2</v>
      </c>
      <c r="X260" s="35">
        <f t="shared" si="107"/>
        <v>2.4390243902439046E-2</v>
      </c>
      <c r="Y260" s="35">
        <f t="shared" si="107"/>
        <v>2.4390243902439046E-2</v>
      </c>
      <c r="Z260" s="35">
        <f t="shared" si="107"/>
        <v>2.4390243902439046E-2</v>
      </c>
      <c r="AA260" s="35">
        <f t="shared" si="107"/>
        <v>0.1266375545851528</v>
      </c>
    </row>
    <row r="261" spans="2:27" x14ac:dyDescent="0.2">
      <c r="B261" s="2">
        <v>259</v>
      </c>
      <c r="C261" s="2" t="str">
        <f t="shared" si="98"/>
        <v>s</v>
      </c>
      <c r="D261" s="29" t="s">
        <v>1</v>
      </c>
      <c r="E261" s="29" t="s">
        <v>181</v>
      </c>
      <c r="F261" s="2" t="s">
        <v>183</v>
      </c>
      <c r="G261" s="2">
        <f t="shared" si="91"/>
        <v>3</v>
      </c>
      <c r="H261" s="2" t="str">
        <f t="shared" si="108"/>
        <v>电击</v>
      </c>
      <c r="I261" s="38">
        <f t="shared" si="109"/>
        <v>0.08</v>
      </c>
      <c r="J261" s="33">
        <f t="shared" si="105"/>
        <v>38</v>
      </c>
      <c r="K261" s="33">
        <f t="shared" si="106"/>
        <v>32</v>
      </c>
      <c r="L261" s="33">
        <f t="shared" si="106"/>
        <v>5</v>
      </c>
      <c r="M261" s="33">
        <f t="shared" si="106"/>
        <v>20</v>
      </c>
      <c r="N261" s="33">
        <f t="shared" si="106"/>
        <v>23</v>
      </c>
      <c r="O261" s="33">
        <f t="shared" si="106"/>
        <v>43</v>
      </c>
      <c r="P261" s="33">
        <f t="shared" si="106"/>
        <v>10</v>
      </c>
      <c r="Q261" s="33">
        <f t="shared" si="106"/>
        <v>15</v>
      </c>
      <c r="R261" s="35">
        <f t="shared" si="110"/>
        <v>0.03</v>
      </c>
      <c r="S261" s="35">
        <f t="shared" si="111"/>
        <v>0.02</v>
      </c>
      <c r="T261" s="35">
        <f t="shared" si="112"/>
        <v>1.8749999999999999E-2</v>
      </c>
      <c r="U261" s="35">
        <f t="shared" si="107"/>
        <v>3.3816425120772986E-2</v>
      </c>
      <c r="V261" s="35">
        <f t="shared" si="107"/>
        <v>3.3816425120772986E-2</v>
      </c>
      <c r="W261" s="35">
        <f t="shared" si="107"/>
        <v>3.3816425120772986E-2</v>
      </c>
      <c r="X261" s="35">
        <f t="shared" si="107"/>
        <v>3.3816425120772986E-2</v>
      </c>
      <c r="Y261" s="35">
        <f t="shared" si="107"/>
        <v>3.3816425120772986E-2</v>
      </c>
      <c r="Z261" s="35">
        <f t="shared" si="107"/>
        <v>3.3816425120772986E-2</v>
      </c>
      <c r="AA261" s="35">
        <f t="shared" si="107"/>
        <v>0.17695473251028804</v>
      </c>
    </row>
    <row r="262" spans="2:27" x14ac:dyDescent="0.2">
      <c r="B262" s="2">
        <v>260</v>
      </c>
      <c r="C262" s="2" t="str">
        <f t="shared" si="98"/>
        <v>s</v>
      </c>
      <c r="D262" s="29" t="s">
        <v>1</v>
      </c>
      <c r="E262" s="29" t="s">
        <v>181</v>
      </c>
      <c r="F262" s="2" t="s">
        <v>183</v>
      </c>
      <c r="G262" s="2">
        <f t="shared" si="91"/>
        <v>4</v>
      </c>
      <c r="H262" s="2" t="str">
        <f t="shared" si="108"/>
        <v>电击</v>
      </c>
      <c r="I262" s="38">
        <f t="shared" si="109"/>
        <v>0.08</v>
      </c>
      <c r="J262" s="33">
        <f t="shared" si="105"/>
        <v>51</v>
      </c>
      <c r="K262" s="33">
        <f t="shared" si="106"/>
        <v>43</v>
      </c>
      <c r="L262" s="33">
        <f t="shared" si="106"/>
        <v>6</v>
      </c>
      <c r="M262" s="33">
        <f t="shared" si="106"/>
        <v>26</v>
      </c>
      <c r="N262" s="33">
        <f t="shared" si="106"/>
        <v>30</v>
      </c>
      <c r="O262" s="33">
        <f t="shared" si="106"/>
        <v>57</v>
      </c>
      <c r="P262" s="33">
        <f t="shared" si="106"/>
        <v>13</v>
      </c>
      <c r="Q262" s="33">
        <f t="shared" si="106"/>
        <v>20</v>
      </c>
      <c r="R262" s="35">
        <f t="shared" si="110"/>
        <v>0.04</v>
      </c>
      <c r="S262" s="35">
        <f t="shared" si="111"/>
        <v>2.6000000000000002E-2</v>
      </c>
      <c r="T262" s="35">
        <f t="shared" si="112"/>
        <v>2.5000000000000001E-2</v>
      </c>
      <c r="U262" s="35">
        <f t="shared" si="107"/>
        <v>4.7619047619047672E-2</v>
      </c>
      <c r="V262" s="35">
        <f t="shared" si="107"/>
        <v>4.7619047619047672E-2</v>
      </c>
      <c r="W262" s="35">
        <f t="shared" si="107"/>
        <v>4.7619047619047672E-2</v>
      </c>
      <c r="X262" s="35">
        <f t="shared" si="107"/>
        <v>4.7619047619047672E-2</v>
      </c>
      <c r="Y262" s="35">
        <f t="shared" si="107"/>
        <v>4.7619047619047672E-2</v>
      </c>
      <c r="Z262" s="35">
        <f t="shared" si="107"/>
        <v>4.7619047619047672E-2</v>
      </c>
      <c r="AA262" s="35">
        <f t="shared" si="107"/>
        <v>0.22480620155038755</v>
      </c>
    </row>
    <row r="263" spans="2:27" x14ac:dyDescent="0.2">
      <c r="B263" s="2">
        <v>261</v>
      </c>
      <c r="C263" s="2" t="str">
        <f t="shared" si="98"/>
        <v>s</v>
      </c>
      <c r="D263" s="29" t="s">
        <v>1</v>
      </c>
      <c r="E263" s="29" t="s">
        <v>181</v>
      </c>
      <c r="F263" s="2" t="s">
        <v>183</v>
      </c>
      <c r="G263" s="2">
        <f t="shared" si="91"/>
        <v>5</v>
      </c>
      <c r="H263" s="2" t="str">
        <f t="shared" si="108"/>
        <v>电击</v>
      </c>
      <c r="I263" s="38">
        <f t="shared" si="109"/>
        <v>8.8571428571428579E-2</v>
      </c>
      <c r="J263" s="33">
        <f t="shared" ref="J263:J272" si="113">INT((1+VLOOKUP($F263,role_property_weight,getpos(J$2),FALSE))*(1+VLOOKUP($F263,drop_property_weight,getpos(J$2),FALSE))*VLOOKUP($E263,role_grow,getpos(J$2),FALSE)*$G263*10*VLOOKUP($C263,drop_grow1,4,FALSE))</f>
        <v>64</v>
      </c>
      <c r="K263" s="33">
        <f t="shared" ref="K263:Q272" si="114">INT((1+VLOOKUP($F263,role_property_weight,getpos(K$2),FALSE))*(1+VLOOKUP($F263,drop_property_weight,getpos(K$2),FALSE))*VLOOKUP($E263,role_grow,getpos(K$2),FALSE)*$G263*10*VLOOKUP($C263,drop_grow1,5,FALSE))</f>
        <v>54</v>
      </c>
      <c r="L263" s="33">
        <f t="shared" si="114"/>
        <v>8</v>
      </c>
      <c r="M263" s="33">
        <f t="shared" si="114"/>
        <v>33</v>
      </c>
      <c r="N263" s="33">
        <f t="shared" si="114"/>
        <v>38</v>
      </c>
      <c r="O263" s="33">
        <f t="shared" si="114"/>
        <v>72</v>
      </c>
      <c r="P263" s="33">
        <f t="shared" si="114"/>
        <v>16</v>
      </c>
      <c r="Q263" s="33">
        <f t="shared" si="114"/>
        <v>25</v>
      </c>
      <c r="R263" s="35">
        <f t="shared" si="110"/>
        <v>0.05</v>
      </c>
      <c r="S263" s="35">
        <f t="shared" si="111"/>
        <v>3.2000000000000001E-2</v>
      </c>
      <c r="T263" s="35">
        <f t="shared" si="112"/>
        <v>3.125E-2</v>
      </c>
      <c r="U263" s="35">
        <f t="shared" ref="U263:AA272" si="115">1-200/(200+ROUND((1+VLOOKUP($F263,role_property_weight,getpos(U$2),FALSE))*VLOOKUP($E263,role_grow,getpos(U$2),FALSE)*$G263*10*VLOOKUP($C263,drop_grow1,5,FALSE),0))</f>
        <v>5.6603773584905648E-2</v>
      </c>
      <c r="V263" s="35">
        <f t="shared" si="115"/>
        <v>5.6603773584905648E-2</v>
      </c>
      <c r="W263" s="35">
        <f t="shared" si="115"/>
        <v>5.6603773584905648E-2</v>
      </c>
      <c r="X263" s="35">
        <f t="shared" si="115"/>
        <v>5.6603773584905648E-2</v>
      </c>
      <c r="Y263" s="35">
        <f t="shared" si="115"/>
        <v>5.6603773584905648E-2</v>
      </c>
      <c r="Z263" s="35">
        <f t="shared" si="115"/>
        <v>5.6603773584905648E-2</v>
      </c>
      <c r="AA263" s="35">
        <f t="shared" si="115"/>
        <v>0.26470588235294112</v>
      </c>
    </row>
    <row r="264" spans="2:27" x14ac:dyDescent="0.2">
      <c r="B264" s="2">
        <v>262</v>
      </c>
      <c r="C264" s="2" t="str">
        <f t="shared" si="98"/>
        <v>s</v>
      </c>
      <c r="D264" s="29" t="s">
        <v>1</v>
      </c>
      <c r="E264" s="29" t="s">
        <v>181</v>
      </c>
      <c r="F264" s="2" t="s">
        <v>183</v>
      </c>
      <c r="G264" s="2">
        <f t="shared" si="91"/>
        <v>6</v>
      </c>
      <c r="H264" s="2" t="str">
        <f t="shared" si="108"/>
        <v>电击</v>
      </c>
      <c r="I264" s="38">
        <f t="shared" si="109"/>
        <v>0.10657142857142857</v>
      </c>
      <c r="J264" s="33">
        <f t="shared" si="113"/>
        <v>76</v>
      </c>
      <c r="K264" s="33">
        <f t="shared" si="114"/>
        <v>65</v>
      </c>
      <c r="L264" s="33">
        <f t="shared" si="114"/>
        <v>10</v>
      </c>
      <c r="M264" s="33">
        <f t="shared" si="114"/>
        <v>40</v>
      </c>
      <c r="N264" s="33">
        <f t="shared" si="114"/>
        <v>46</v>
      </c>
      <c r="O264" s="33">
        <f t="shared" si="114"/>
        <v>86</v>
      </c>
      <c r="P264" s="33">
        <f t="shared" si="114"/>
        <v>20</v>
      </c>
      <c r="Q264" s="33">
        <f t="shared" si="114"/>
        <v>30</v>
      </c>
      <c r="R264" s="35">
        <f t="shared" si="110"/>
        <v>0.06</v>
      </c>
      <c r="S264" s="35">
        <f t="shared" si="111"/>
        <v>0.04</v>
      </c>
      <c r="T264" s="35">
        <f t="shared" si="112"/>
        <v>3.7499999999999999E-2</v>
      </c>
      <c r="U264" s="35">
        <f t="shared" si="115"/>
        <v>6.5420560747663559E-2</v>
      </c>
      <c r="V264" s="35">
        <f t="shared" si="115"/>
        <v>6.5420560747663559E-2</v>
      </c>
      <c r="W264" s="35">
        <f t="shared" si="115"/>
        <v>6.5420560747663559E-2</v>
      </c>
      <c r="X264" s="35">
        <f t="shared" si="115"/>
        <v>6.5420560747663559E-2</v>
      </c>
      <c r="Y264" s="35">
        <f t="shared" si="115"/>
        <v>6.5420560747663559E-2</v>
      </c>
      <c r="Z264" s="35">
        <f t="shared" si="115"/>
        <v>6.5420560747663559E-2</v>
      </c>
      <c r="AA264" s="35">
        <f t="shared" si="115"/>
        <v>0.30069930069930073</v>
      </c>
    </row>
    <row r="265" spans="2:27" x14ac:dyDescent="0.2">
      <c r="B265" s="2">
        <v>263</v>
      </c>
      <c r="C265" s="2" t="str">
        <f t="shared" si="98"/>
        <v>s</v>
      </c>
      <c r="D265" s="29" t="s">
        <v>1</v>
      </c>
      <c r="E265" s="29" t="s">
        <v>181</v>
      </c>
      <c r="F265" s="2" t="s">
        <v>183</v>
      </c>
      <c r="G265" s="2">
        <f t="shared" si="91"/>
        <v>7</v>
      </c>
      <c r="H265" s="2" t="str">
        <f t="shared" si="108"/>
        <v>电击</v>
      </c>
      <c r="I265" s="38">
        <f t="shared" si="109"/>
        <v>0.12428571428571429</v>
      </c>
      <c r="J265" s="33">
        <f t="shared" si="113"/>
        <v>89</v>
      </c>
      <c r="K265" s="33">
        <f t="shared" si="114"/>
        <v>76</v>
      </c>
      <c r="L265" s="33">
        <f t="shared" si="114"/>
        <v>12</v>
      </c>
      <c r="M265" s="33">
        <f t="shared" si="114"/>
        <v>47</v>
      </c>
      <c r="N265" s="33">
        <f t="shared" si="114"/>
        <v>53</v>
      </c>
      <c r="O265" s="33">
        <f t="shared" si="114"/>
        <v>100</v>
      </c>
      <c r="P265" s="33">
        <f t="shared" si="114"/>
        <v>23</v>
      </c>
      <c r="Q265" s="33">
        <f t="shared" si="114"/>
        <v>35</v>
      </c>
      <c r="R265" s="35">
        <f t="shared" si="110"/>
        <v>7.0000000000000007E-2</v>
      </c>
      <c r="S265" s="35">
        <f t="shared" si="111"/>
        <v>4.5999999999999999E-2</v>
      </c>
      <c r="T265" s="35">
        <f t="shared" si="112"/>
        <v>4.3749999999999997E-2</v>
      </c>
      <c r="U265" s="35">
        <f t="shared" si="115"/>
        <v>7.8341013824884786E-2</v>
      </c>
      <c r="V265" s="35">
        <f t="shared" si="115"/>
        <v>7.8341013824884786E-2</v>
      </c>
      <c r="W265" s="35">
        <f t="shared" si="115"/>
        <v>7.8341013824884786E-2</v>
      </c>
      <c r="X265" s="35">
        <f t="shared" si="115"/>
        <v>7.8341013824884786E-2</v>
      </c>
      <c r="Y265" s="35">
        <f t="shared" si="115"/>
        <v>7.8341013824884786E-2</v>
      </c>
      <c r="Z265" s="35">
        <f t="shared" si="115"/>
        <v>7.8341013824884786E-2</v>
      </c>
      <c r="AA265" s="35">
        <f t="shared" si="115"/>
        <v>0.33554817275747506</v>
      </c>
    </row>
    <row r="266" spans="2:27" x14ac:dyDescent="0.2">
      <c r="B266" s="2">
        <v>264</v>
      </c>
      <c r="C266" s="2" t="str">
        <f t="shared" si="98"/>
        <v>s</v>
      </c>
      <c r="D266" s="29" t="s">
        <v>1</v>
      </c>
      <c r="E266" s="29" t="s">
        <v>181</v>
      </c>
      <c r="F266" s="2" t="s">
        <v>183</v>
      </c>
      <c r="G266" s="2">
        <f t="shared" si="91"/>
        <v>8</v>
      </c>
      <c r="H266" s="2" t="str">
        <f t="shared" si="108"/>
        <v>电击</v>
      </c>
      <c r="I266" s="38">
        <f t="shared" si="109"/>
        <v>0.14199999999999999</v>
      </c>
      <c r="J266" s="33">
        <f t="shared" si="113"/>
        <v>102</v>
      </c>
      <c r="K266" s="33">
        <f t="shared" si="114"/>
        <v>87</v>
      </c>
      <c r="L266" s="33">
        <f t="shared" si="114"/>
        <v>13</v>
      </c>
      <c r="M266" s="33">
        <f t="shared" si="114"/>
        <v>53</v>
      </c>
      <c r="N266" s="33">
        <f t="shared" si="114"/>
        <v>61</v>
      </c>
      <c r="O266" s="33">
        <f t="shared" si="114"/>
        <v>115</v>
      </c>
      <c r="P266" s="33">
        <f t="shared" si="114"/>
        <v>26</v>
      </c>
      <c r="Q266" s="33">
        <f t="shared" si="114"/>
        <v>40</v>
      </c>
      <c r="R266" s="35">
        <f t="shared" si="110"/>
        <v>0.08</v>
      </c>
      <c r="S266" s="35">
        <f t="shared" si="111"/>
        <v>5.2000000000000005E-2</v>
      </c>
      <c r="T266" s="35">
        <f t="shared" si="112"/>
        <v>0.05</v>
      </c>
      <c r="U266" s="35">
        <f t="shared" si="115"/>
        <v>8.6757990867579959E-2</v>
      </c>
      <c r="V266" s="35">
        <f t="shared" si="115"/>
        <v>8.6757990867579959E-2</v>
      </c>
      <c r="W266" s="35">
        <f t="shared" si="115"/>
        <v>8.6757990867579959E-2</v>
      </c>
      <c r="X266" s="35">
        <f t="shared" si="115"/>
        <v>8.6757990867579959E-2</v>
      </c>
      <c r="Y266" s="35">
        <f t="shared" si="115"/>
        <v>8.6757990867579959E-2</v>
      </c>
      <c r="Z266" s="35">
        <f t="shared" si="115"/>
        <v>8.6757990867579959E-2</v>
      </c>
      <c r="AA266" s="35">
        <f t="shared" si="115"/>
        <v>0.36507936507936511</v>
      </c>
    </row>
    <row r="267" spans="2:27" x14ac:dyDescent="0.2">
      <c r="B267" s="2">
        <v>265</v>
      </c>
      <c r="C267" s="2" t="str">
        <f t="shared" si="98"/>
        <v>a</v>
      </c>
      <c r="D267" s="29" t="s">
        <v>1</v>
      </c>
      <c r="E267" s="29" t="s">
        <v>181</v>
      </c>
      <c r="F267" s="2" t="s">
        <v>183</v>
      </c>
      <c r="G267" s="2">
        <f t="shared" si="91"/>
        <v>1</v>
      </c>
      <c r="H267" s="2" t="str">
        <f t="shared" si="108"/>
        <v>电击</v>
      </c>
      <c r="I267" s="38">
        <f t="shared" si="109"/>
        <v>0.08</v>
      </c>
      <c r="J267" s="33">
        <f t="shared" si="113"/>
        <v>9</v>
      </c>
      <c r="K267" s="33">
        <f t="shared" si="114"/>
        <v>12</v>
      </c>
      <c r="L267" s="33">
        <f t="shared" si="114"/>
        <v>1</v>
      </c>
      <c r="M267" s="33">
        <f t="shared" si="114"/>
        <v>7</v>
      </c>
      <c r="N267" s="33">
        <f t="shared" si="114"/>
        <v>8</v>
      </c>
      <c r="O267" s="33">
        <f t="shared" si="114"/>
        <v>16</v>
      </c>
      <c r="P267" s="33">
        <f t="shared" si="114"/>
        <v>3</v>
      </c>
      <c r="Q267" s="33">
        <f t="shared" si="114"/>
        <v>5</v>
      </c>
      <c r="R267" s="35">
        <f t="shared" si="110"/>
        <v>0.01</v>
      </c>
      <c r="S267" s="35">
        <f t="shared" si="111"/>
        <v>6.0000000000000001E-3</v>
      </c>
      <c r="T267" s="35">
        <f t="shared" si="112"/>
        <v>6.2500000000000003E-3</v>
      </c>
      <c r="U267" s="35">
        <f t="shared" si="115"/>
        <v>1.4778325123152691E-2</v>
      </c>
      <c r="V267" s="35">
        <f t="shared" si="115"/>
        <v>1.4778325123152691E-2</v>
      </c>
      <c r="W267" s="35">
        <f t="shared" si="115"/>
        <v>1.4778325123152691E-2</v>
      </c>
      <c r="X267" s="35">
        <f t="shared" si="115"/>
        <v>1.4778325123152691E-2</v>
      </c>
      <c r="Y267" s="35">
        <f t="shared" si="115"/>
        <v>1.4778325123152691E-2</v>
      </c>
      <c r="Z267" s="35">
        <f t="shared" si="115"/>
        <v>1.4778325123152691E-2</v>
      </c>
      <c r="AA267" s="35">
        <f t="shared" si="115"/>
        <v>7.407407407407407E-2</v>
      </c>
    </row>
    <row r="268" spans="2:27" x14ac:dyDescent="0.2">
      <c r="B268" s="2">
        <v>266</v>
      </c>
      <c r="C268" s="2" t="str">
        <f t="shared" si="98"/>
        <v>a</v>
      </c>
      <c r="D268" s="29" t="s">
        <v>1</v>
      </c>
      <c r="E268" s="29" t="s">
        <v>181</v>
      </c>
      <c r="F268" s="2" t="s">
        <v>183</v>
      </c>
      <c r="G268" s="2">
        <f t="shared" ref="G268:G331" si="116">G260</f>
        <v>2</v>
      </c>
      <c r="H268" s="2" t="str">
        <f t="shared" si="108"/>
        <v>电击</v>
      </c>
      <c r="I268" s="38">
        <f t="shared" si="109"/>
        <v>0.08</v>
      </c>
      <c r="J268" s="33">
        <f t="shared" si="113"/>
        <v>19</v>
      </c>
      <c r="K268" s="33">
        <f t="shared" si="114"/>
        <v>24</v>
      </c>
      <c r="L268" s="33">
        <f t="shared" si="114"/>
        <v>3</v>
      </c>
      <c r="M268" s="33">
        <f t="shared" si="114"/>
        <v>14</v>
      </c>
      <c r="N268" s="33">
        <f t="shared" si="114"/>
        <v>17</v>
      </c>
      <c r="O268" s="33">
        <f t="shared" si="114"/>
        <v>32</v>
      </c>
      <c r="P268" s="33">
        <f t="shared" si="114"/>
        <v>7</v>
      </c>
      <c r="Q268" s="33">
        <f t="shared" si="114"/>
        <v>11</v>
      </c>
      <c r="R268" s="35">
        <f t="shared" si="110"/>
        <v>2.2000000000000002E-2</v>
      </c>
      <c r="S268" s="35">
        <f t="shared" si="111"/>
        <v>1.3999999999999999E-2</v>
      </c>
      <c r="T268" s="35">
        <f t="shared" si="112"/>
        <v>1.375E-2</v>
      </c>
      <c r="U268" s="35">
        <f t="shared" si="115"/>
        <v>2.4390243902439046E-2</v>
      </c>
      <c r="V268" s="35">
        <f t="shared" si="115"/>
        <v>2.4390243902439046E-2</v>
      </c>
      <c r="W268" s="35">
        <f t="shared" si="115"/>
        <v>2.4390243902439046E-2</v>
      </c>
      <c r="X268" s="35">
        <f t="shared" si="115"/>
        <v>2.4390243902439046E-2</v>
      </c>
      <c r="Y268" s="35">
        <f t="shared" si="115"/>
        <v>2.4390243902439046E-2</v>
      </c>
      <c r="Z268" s="35">
        <f t="shared" si="115"/>
        <v>2.4390243902439046E-2</v>
      </c>
      <c r="AA268" s="35">
        <f t="shared" si="115"/>
        <v>0.13793103448275867</v>
      </c>
    </row>
    <row r="269" spans="2:27" x14ac:dyDescent="0.2">
      <c r="B269" s="2">
        <v>267</v>
      </c>
      <c r="C269" s="2" t="str">
        <f t="shared" si="98"/>
        <v>a</v>
      </c>
      <c r="D269" s="29" t="s">
        <v>1</v>
      </c>
      <c r="E269" s="29" t="s">
        <v>181</v>
      </c>
      <c r="F269" s="2" t="s">
        <v>183</v>
      </c>
      <c r="G269" s="2">
        <f t="shared" si="116"/>
        <v>3</v>
      </c>
      <c r="H269" s="2" t="str">
        <f t="shared" si="108"/>
        <v>电击</v>
      </c>
      <c r="I269" s="38">
        <f t="shared" si="109"/>
        <v>0.08</v>
      </c>
      <c r="J269" s="33">
        <f t="shared" si="113"/>
        <v>28</v>
      </c>
      <c r="K269" s="33">
        <f t="shared" si="114"/>
        <v>36</v>
      </c>
      <c r="L269" s="33">
        <f t="shared" si="114"/>
        <v>5</v>
      </c>
      <c r="M269" s="33">
        <f t="shared" si="114"/>
        <v>22</v>
      </c>
      <c r="N269" s="33">
        <f t="shared" si="114"/>
        <v>25</v>
      </c>
      <c r="O269" s="33">
        <f t="shared" si="114"/>
        <v>48</v>
      </c>
      <c r="P269" s="33">
        <f t="shared" si="114"/>
        <v>11</v>
      </c>
      <c r="Q269" s="33">
        <f t="shared" si="114"/>
        <v>16</v>
      </c>
      <c r="R269" s="35">
        <f t="shared" si="110"/>
        <v>3.2000000000000001E-2</v>
      </c>
      <c r="S269" s="35">
        <f t="shared" si="111"/>
        <v>2.2000000000000002E-2</v>
      </c>
      <c r="T269" s="35">
        <f t="shared" si="112"/>
        <v>0.02</v>
      </c>
      <c r="U269" s="35">
        <f t="shared" si="115"/>
        <v>3.8461538461538436E-2</v>
      </c>
      <c r="V269" s="35">
        <f t="shared" si="115"/>
        <v>3.8461538461538436E-2</v>
      </c>
      <c r="W269" s="35">
        <f t="shared" si="115"/>
        <v>3.8461538461538436E-2</v>
      </c>
      <c r="X269" s="35">
        <f t="shared" si="115"/>
        <v>3.8461538461538436E-2</v>
      </c>
      <c r="Y269" s="35">
        <f t="shared" si="115"/>
        <v>3.8461538461538436E-2</v>
      </c>
      <c r="Z269" s="35">
        <f t="shared" si="115"/>
        <v>3.8461538461538436E-2</v>
      </c>
      <c r="AA269" s="35">
        <f t="shared" si="115"/>
        <v>0.19354838709677424</v>
      </c>
    </row>
    <row r="270" spans="2:27" x14ac:dyDescent="0.2">
      <c r="B270" s="2">
        <v>268</v>
      </c>
      <c r="C270" s="2" t="str">
        <f t="shared" si="98"/>
        <v>a</v>
      </c>
      <c r="D270" s="29" t="s">
        <v>1</v>
      </c>
      <c r="E270" s="29" t="s">
        <v>181</v>
      </c>
      <c r="F270" s="2" t="s">
        <v>183</v>
      </c>
      <c r="G270" s="2">
        <f t="shared" si="116"/>
        <v>4</v>
      </c>
      <c r="H270" s="2" t="str">
        <f t="shared" si="108"/>
        <v>电击</v>
      </c>
      <c r="I270" s="38">
        <f t="shared" si="109"/>
        <v>0.08</v>
      </c>
      <c r="J270" s="33">
        <f t="shared" si="113"/>
        <v>38</v>
      </c>
      <c r="K270" s="33">
        <f t="shared" si="114"/>
        <v>48</v>
      </c>
      <c r="L270" s="33">
        <f t="shared" si="114"/>
        <v>7</v>
      </c>
      <c r="M270" s="33">
        <f t="shared" si="114"/>
        <v>29</v>
      </c>
      <c r="N270" s="33">
        <f t="shared" si="114"/>
        <v>34</v>
      </c>
      <c r="O270" s="33">
        <f t="shared" si="114"/>
        <v>64</v>
      </c>
      <c r="P270" s="33">
        <f t="shared" si="114"/>
        <v>14</v>
      </c>
      <c r="Q270" s="33">
        <f t="shared" si="114"/>
        <v>22</v>
      </c>
      <c r="R270" s="35">
        <f t="shared" si="110"/>
        <v>4.4000000000000004E-2</v>
      </c>
      <c r="S270" s="35">
        <f t="shared" si="111"/>
        <v>2.7999999999999997E-2</v>
      </c>
      <c r="T270" s="35">
        <f t="shared" si="112"/>
        <v>2.75E-2</v>
      </c>
      <c r="U270" s="35">
        <f t="shared" si="115"/>
        <v>5.2132701421800931E-2</v>
      </c>
      <c r="V270" s="35">
        <f t="shared" si="115"/>
        <v>5.2132701421800931E-2</v>
      </c>
      <c r="W270" s="35">
        <f t="shared" si="115"/>
        <v>5.2132701421800931E-2</v>
      </c>
      <c r="X270" s="35">
        <f t="shared" si="115"/>
        <v>5.2132701421800931E-2</v>
      </c>
      <c r="Y270" s="35">
        <f t="shared" si="115"/>
        <v>5.2132701421800931E-2</v>
      </c>
      <c r="Z270" s="35">
        <f t="shared" si="115"/>
        <v>5.2132701421800931E-2</v>
      </c>
      <c r="AA270" s="35">
        <f t="shared" si="115"/>
        <v>0.24242424242424243</v>
      </c>
    </row>
    <row r="271" spans="2:27" x14ac:dyDescent="0.2">
      <c r="B271" s="2">
        <v>269</v>
      </c>
      <c r="C271" s="2" t="str">
        <f t="shared" si="98"/>
        <v>a</v>
      </c>
      <c r="D271" s="29" t="s">
        <v>1</v>
      </c>
      <c r="E271" s="29" t="s">
        <v>181</v>
      </c>
      <c r="F271" s="2" t="s">
        <v>183</v>
      </c>
      <c r="G271" s="2">
        <f t="shared" si="116"/>
        <v>5</v>
      </c>
      <c r="H271" s="2" t="str">
        <f t="shared" si="108"/>
        <v>电击</v>
      </c>
      <c r="I271" s="38">
        <f t="shared" si="109"/>
        <v>9.1999999999999998E-2</v>
      </c>
      <c r="J271" s="33">
        <f t="shared" si="113"/>
        <v>48</v>
      </c>
      <c r="K271" s="33">
        <f t="shared" si="114"/>
        <v>60</v>
      </c>
      <c r="L271" s="33">
        <f t="shared" si="114"/>
        <v>9</v>
      </c>
      <c r="M271" s="33">
        <f t="shared" si="114"/>
        <v>37</v>
      </c>
      <c r="N271" s="33">
        <f t="shared" si="114"/>
        <v>42</v>
      </c>
      <c r="O271" s="33">
        <f t="shared" si="114"/>
        <v>80</v>
      </c>
      <c r="P271" s="33">
        <f t="shared" si="114"/>
        <v>18</v>
      </c>
      <c r="Q271" s="33">
        <f t="shared" si="114"/>
        <v>28</v>
      </c>
      <c r="R271" s="35">
        <f t="shared" si="110"/>
        <v>5.5999999999999994E-2</v>
      </c>
      <c r="S271" s="35">
        <f t="shared" si="111"/>
        <v>3.6000000000000004E-2</v>
      </c>
      <c r="T271" s="35">
        <f t="shared" si="112"/>
        <v>3.5000000000000003E-2</v>
      </c>
      <c r="U271" s="35">
        <f t="shared" si="115"/>
        <v>6.1032863849765251E-2</v>
      </c>
      <c r="V271" s="35">
        <f t="shared" si="115"/>
        <v>6.1032863849765251E-2</v>
      </c>
      <c r="W271" s="35">
        <f t="shared" si="115"/>
        <v>6.1032863849765251E-2</v>
      </c>
      <c r="X271" s="35">
        <f t="shared" si="115"/>
        <v>6.1032863849765251E-2</v>
      </c>
      <c r="Y271" s="35">
        <f t="shared" si="115"/>
        <v>6.1032863849765251E-2</v>
      </c>
      <c r="Z271" s="35">
        <f t="shared" si="115"/>
        <v>6.1032863849765251E-2</v>
      </c>
      <c r="AA271" s="35">
        <f t="shared" si="115"/>
        <v>0.2857142857142857</v>
      </c>
    </row>
    <row r="272" spans="2:27" x14ac:dyDescent="0.2">
      <c r="B272" s="2">
        <v>270</v>
      </c>
      <c r="C272" s="2" t="str">
        <f t="shared" si="98"/>
        <v>a</v>
      </c>
      <c r="D272" s="29" t="s">
        <v>1</v>
      </c>
      <c r="E272" s="29" t="s">
        <v>181</v>
      </c>
      <c r="F272" s="2" t="s">
        <v>183</v>
      </c>
      <c r="G272" s="2">
        <f t="shared" si="116"/>
        <v>6</v>
      </c>
      <c r="H272" s="2" t="str">
        <f t="shared" si="108"/>
        <v>电击</v>
      </c>
      <c r="I272" s="38">
        <f t="shared" si="109"/>
        <v>0.11028571428571428</v>
      </c>
      <c r="J272" s="33">
        <f t="shared" si="113"/>
        <v>57</v>
      </c>
      <c r="K272" s="33">
        <f t="shared" si="114"/>
        <v>72</v>
      </c>
      <c r="L272" s="33">
        <f t="shared" si="114"/>
        <v>11</v>
      </c>
      <c r="M272" s="33">
        <f t="shared" si="114"/>
        <v>44</v>
      </c>
      <c r="N272" s="33">
        <f t="shared" si="114"/>
        <v>51</v>
      </c>
      <c r="O272" s="33">
        <f t="shared" si="114"/>
        <v>96</v>
      </c>
      <c r="P272" s="33">
        <f t="shared" si="114"/>
        <v>22</v>
      </c>
      <c r="Q272" s="33">
        <f t="shared" si="114"/>
        <v>33</v>
      </c>
      <c r="R272" s="35">
        <f t="shared" si="110"/>
        <v>6.6000000000000003E-2</v>
      </c>
      <c r="S272" s="35">
        <f t="shared" si="111"/>
        <v>4.4000000000000004E-2</v>
      </c>
      <c r="T272" s="35">
        <f t="shared" si="112"/>
        <v>4.1250000000000002E-2</v>
      </c>
      <c r="U272" s="35">
        <f t="shared" si="115"/>
        <v>7.407407407407407E-2</v>
      </c>
      <c r="V272" s="35">
        <f t="shared" si="115"/>
        <v>7.407407407407407E-2</v>
      </c>
      <c r="W272" s="35">
        <f t="shared" si="115"/>
        <v>7.407407407407407E-2</v>
      </c>
      <c r="X272" s="35">
        <f t="shared" si="115"/>
        <v>7.407407407407407E-2</v>
      </c>
      <c r="Y272" s="35">
        <f t="shared" si="115"/>
        <v>7.407407407407407E-2</v>
      </c>
      <c r="Z272" s="35">
        <f t="shared" si="115"/>
        <v>7.407407407407407E-2</v>
      </c>
      <c r="AA272" s="35">
        <f t="shared" si="115"/>
        <v>0.32432432432432434</v>
      </c>
    </row>
    <row r="273" spans="2:27" x14ac:dyDescent="0.2">
      <c r="B273" s="2">
        <v>271</v>
      </c>
      <c r="C273" s="2" t="str">
        <f t="shared" si="98"/>
        <v>a</v>
      </c>
      <c r="D273" s="29" t="s">
        <v>1</v>
      </c>
      <c r="E273" s="29" t="s">
        <v>181</v>
      </c>
      <c r="F273" s="2" t="s">
        <v>183</v>
      </c>
      <c r="G273" s="2">
        <f t="shared" si="116"/>
        <v>7</v>
      </c>
      <c r="H273" s="2" t="str">
        <f t="shared" si="108"/>
        <v>电击</v>
      </c>
      <c r="I273" s="38">
        <f t="shared" si="109"/>
        <v>0.12914285714285714</v>
      </c>
      <c r="J273" s="33">
        <f t="shared" ref="J273:J282" si="117">INT((1+VLOOKUP($F273,role_property_weight,getpos(J$2),FALSE))*(1+VLOOKUP($F273,drop_property_weight,getpos(J$2),FALSE))*VLOOKUP($E273,role_grow,getpos(J$2),FALSE)*$G273*10*VLOOKUP($C273,drop_grow1,4,FALSE))</f>
        <v>67</v>
      </c>
      <c r="K273" s="33">
        <f t="shared" ref="K273:Q282" si="118">INT((1+VLOOKUP($F273,role_property_weight,getpos(K$2),FALSE))*(1+VLOOKUP($F273,drop_property_weight,getpos(K$2),FALSE))*VLOOKUP($E273,role_grow,getpos(K$2),FALSE)*$G273*10*VLOOKUP($C273,drop_grow1,5,FALSE))</f>
        <v>84</v>
      </c>
      <c r="L273" s="33">
        <f t="shared" si="118"/>
        <v>13</v>
      </c>
      <c r="M273" s="33">
        <f t="shared" si="118"/>
        <v>52</v>
      </c>
      <c r="N273" s="33">
        <f t="shared" si="118"/>
        <v>59</v>
      </c>
      <c r="O273" s="33">
        <f t="shared" si="118"/>
        <v>112</v>
      </c>
      <c r="P273" s="33">
        <f t="shared" si="118"/>
        <v>26</v>
      </c>
      <c r="Q273" s="33">
        <f t="shared" si="118"/>
        <v>39</v>
      </c>
      <c r="R273" s="35">
        <f t="shared" si="110"/>
        <v>7.8E-2</v>
      </c>
      <c r="S273" s="35">
        <f t="shared" si="111"/>
        <v>5.2000000000000005E-2</v>
      </c>
      <c r="T273" s="35">
        <f t="shared" si="112"/>
        <v>4.8750000000000002E-2</v>
      </c>
      <c r="U273" s="35">
        <f t="shared" ref="U273:AA282" si="119">1-200/(200+ROUND((1+VLOOKUP($F273,role_property_weight,getpos(U$2),FALSE))*VLOOKUP($E273,role_grow,getpos(U$2),FALSE)*$G273*10*VLOOKUP($C273,drop_grow1,5,FALSE),0))</f>
        <v>8.6757990867579959E-2</v>
      </c>
      <c r="V273" s="35">
        <f t="shared" si="119"/>
        <v>8.6757990867579959E-2</v>
      </c>
      <c r="W273" s="35">
        <f t="shared" si="119"/>
        <v>8.6757990867579959E-2</v>
      </c>
      <c r="X273" s="35">
        <f t="shared" si="119"/>
        <v>8.6757990867579959E-2</v>
      </c>
      <c r="Y273" s="35">
        <f t="shared" si="119"/>
        <v>8.6757990867579959E-2</v>
      </c>
      <c r="Z273" s="35">
        <f t="shared" si="119"/>
        <v>8.6757990867579959E-2</v>
      </c>
      <c r="AA273" s="35">
        <f t="shared" si="119"/>
        <v>0.35897435897435892</v>
      </c>
    </row>
    <row r="274" spans="2:27" x14ac:dyDescent="0.2">
      <c r="B274" s="2">
        <v>272</v>
      </c>
      <c r="C274" s="2" t="str">
        <f t="shared" si="98"/>
        <v>a</v>
      </c>
      <c r="D274" s="29" t="s">
        <v>1</v>
      </c>
      <c r="E274" s="29" t="s">
        <v>181</v>
      </c>
      <c r="F274" s="2" t="s">
        <v>183</v>
      </c>
      <c r="G274" s="2">
        <f t="shared" si="116"/>
        <v>8</v>
      </c>
      <c r="H274" s="2" t="str">
        <f t="shared" si="108"/>
        <v>电击</v>
      </c>
      <c r="I274" s="38">
        <f t="shared" si="109"/>
        <v>0.14742857142857141</v>
      </c>
      <c r="J274" s="33">
        <f t="shared" si="117"/>
        <v>76</v>
      </c>
      <c r="K274" s="33">
        <f t="shared" si="118"/>
        <v>97</v>
      </c>
      <c r="L274" s="33">
        <f t="shared" si="118"/>
        <v>15</v>
      </c>
      <c r="M274" s="33">
        <f t="shared" si="118"/>
        <v>59</v>
      </c>
      <c r="N274" s="33">
        <f t="shared" si="118"/>
        <v>68</v>
      </c>
      <c r="O274" s="33">
        <f t="shared" si="118"/>
        <v>128</v>
      </c>
      <c r="P274" s="33">
        <f t="shared" si="118"/>
        <v>29</v>
      </c>
      <c r="Q274" s="33">
        <f t="shared" si="118"/>
        <v>44</v>
      </c>
      <c r="R274" s="35">
        <f t="shared" si="110"/>
        <v>8.8000000000000009E-2</v>
      </c>
      <c r="S274" s="35">
        <f t="shared" si="111"/>
        <v>5.7999999999999996E-2</v>
      </c>
      <c r="T274" s="35">
        <f t="shared" si="112"/>
        <v>5.5E-2</v>
      </c>
      <c r="U274" s="35">
        <f t="shared" si="119"/>
        <v>9.5022624434389136E-2</v>
      </c>
      <c r="V274" s="35">
        <f t="shared" si="119"/>
        <v>9.5022624434389136E-2</v>
      </c>
      <c r="W274" s="35">
        <f t="shared" si="119"/>
        <v>9.5022624434389136E-2</v>
      </c>
      <c r="X274" s="35">
        <f t="shared" si="119"/>
        <v>9.5022624434389136E-2</v>
      </c>
      <c r="Y274" s="35">
        <f t="shared" si="119"/>
        <v>9.5022624434389136E-2</v>
      </c>
      <c r="Z274" s="35">
        <f t="shared" si="119"/>
        <v>9.5022624434389136E-2</v>
      </c>
      <c r="AA274" s="35">
        <f t="shared" si="119"/>
        <v>0.3902439024390244</v>
      </c>
    </row>
    <row r="275" spans="2:27" x14ac:dyDescent="0.2">
      <c r="B275" s="2">
        <v>273</v>
      </c>
      <c r="C275" s="2" t="str">
        <f t="shared" si="98"/>
        <v>b</v>
      </c>
      <c r="D275" s="29" t="s">
        <v>1</v>
      </c>
      <c r="E275" s="29" t="s">
        <v>181</v>
      </c>
      <c r="F275" s="2" t="s">
        <v>183</v>
      </c>
      <c r="G275" s="2">
        <f t="shared" si="116"/>
        <v>1</v>
      </c>
      <c r="H275" s="2" t="str">
        <f t="shared" si="108"/>
        <v>电击</v>
      </c>
      <c r="I275" s="38">
        <f t="shared" si="109"/>
        <v>0.08</v>
      </c>
      <c r="J275" s="33">
        <f t="shared" si="117"/>
        <v>11</v>
      </c>
      <c r="K275" s="33">
        <f t="shared" si="118"/>
        <v>18</v>
      </c>
      <c r="L275" s="33">
        <f t="shared" si="118"/>
        <v>2</v>
      </c>
      <c r="M275" s="33">
        <f t="shared" si="118"/>
        <v>11</v>
      </c>
      <c r="N275" s="33">
        <f t="shared" si="118"/>
        <v>12</v>
      </c>
      <c r="O275" s="33">
        <f t="shared" si="118"/>
        <v>24</v>
      </c>
      <c r="P275" s="33">
        <f t="shared" si="118"/>
        <v>5</v>
      </c>
      <c r="Q275" s="33">
        <f t="shared" si="118"/>
        <v>8</v>
      </c>
      <c r="R275" s="35">
        <f t="shared" si="110"/>
        <v>1.6E-2</v>
      </c>
      <c r="S275" s="35">
        <f t="shared" si="111"/>
        <v>0.01</v>
      </c>
      <c r="T275" s="35">
        <f t="shared" si="112"/>
        <v>0.01</v>
      </c>
      <c r="U275" s="35">
        <f t="shared" si="119"/>
        <v>1.9607843137254943E-2</v>
      </c>
      <c r="V275" s="35">
        <f t="shared" si="119"/>
        <v>1.9607843137254943E-2</v>
      </c>
      <c r="W275" s="35">
        <f t="shared" si="119"/>
        <v>1.9607843137254943E-2</v>
      </c>
      <c r="X275" s="35">
        <f t="shared" si="119"/>
        <v>1.9607843137254943E-2</v>
      </c>
      <c r="Y275" s="35">
        <f t="shared" si="119"/>
        <v>1.9607843137254943E-2</v>
      </c>
      <c r="Z275" s="35">
        <f t="shared" si="119"/>
        <v>1.9607843137254943E-2</v>
      </c>
      <c r="AA275" s="35">
        <f t="shared" si="119"/>
        <v>0.1071428571428571</v>
      </c>
    </row>
    <row r="276" spans="2:27" x14ac:dyDescent="0.2">
      <c r="B276" s="2">
        <v>274</v>
      </c>
      <c r="C276" s="2" t="str">
        <f t="shared" si="98"/>
        <v>b</v>
      </c>
      <c r="D276" s="29" t="s">
        <v>1</v>
      </c>
      <c r="E276" s="29" t="s">
        <v>181</v>
      </c>
      <c r="F276" s="2" t="s">
        <v>183</v>
      </c>
      <c r="G276" s="2">
        <f t="shared" si="116"/>
        <v>2</v>
      </c>
      <c r="H276" s="2" t="str">
        <f t="shared" si="108"/>
        <v>电击</v>
      </c>
      <c r="I276" s="38">
        <f t="shared" si="109"/>
        <v>0.08</v>
      </c>
      <c r="J276" s="33">
        <f t="shared" si="117"/>
        <v>22</v>
      </c>
      <c r="K276" s="33">
        <f t="shared" si="118"/>
        <v>36</v>
      </c>
      <c r="L276" s="33">
        <f t="shared" si="118"/>
        <v>5</v>
      </c>
      <c r="M276" s="33">
        <f t="shared" si="118"/>
        <v>22</v>
      </c>
      <c r="N276" s="33">
        <f t="shared" si="118"/>
        <v>25</v>
      </c>
      <c r="O276" s="33">
        <f t="shared" si="118"/>
        <v>48</v>
      </c>
      <c r="P276" s="33">
        <f t="shared" si="118"/>
        <v>11</v>
      </c>
      <c r="Q276" s="33">
        <f t="shared" si="118"/>
        <v>16</v>
      </c>
      <c r="R276" s="35">
        <f t="shared" si="110"/>
        <v>3.2000000000000001E-2</v>
      </c>
      <c r="S276" s="35">
        <f t="shared" si="111"/>
        <v>2.2000000000000002E-2</v>
      </c>
      <c r="T276" s="35">
        <f t="shared" si="112"/>
        <v>0.02</v>
      </c>
      <c r="U276" s="35">
        <f t="shared" si="119"/>
        <v>3.8461538461538436E-2</v>
      </c>
      <c r="V276" s="35">
        <f t="shared" si="119"/>
        <v>3.8461538461538436E-2</v>
      </c>
      <c r="W276" s="35">
        <f t="shared" si="119"/>
        <v>3.8461538461538436E-2</v>
      </c>
      <c r="X276" s="35">
        <f t="shared" si="119"/>
        <v>3.8461538461538436E-2</v>
      </c>
      <c r="Y276" s="35">
        <f t="shared" si="119"/>
        <v>3.8461538461538436E-2</v>
      </c>
      <c r="Z276" s="35">
        <f t="shared" si="119"/>
        <v>3.8461538461538436E-2</v>
      </c>
      <c r="AA276" s="35">
        <f t="shared" si="119"/>
        <v>0.19354838709677424</v>
      </c>
    </row>
    <row r="277" spans="2:27" x14ac:dyDescent="0.2">
      <c r="B277" s="2">
        <v>275</v>
      </c>
      <c r="C277" s="2" t="str">
        <f t="shared" si="98"/>
        <v>b</v>
      </c>
      <c r="D277" s="29" t="s">
        <v>1</v>
      </c>
      <c r="E277" s="29" t="s">
        <v>181</v>
      </c>
      <c r="F277" s="2" t="s">
        <v>183</v>
      </c>
      <c r="G277" s="2">
        <f t="shared" si="116"/>
        <v>3</v>
      </c>
      <c r="H277" s="2" t="str">
        <f t="shared" si="108"/>
        <v>电击</v>
      </c>
      <c r="I277" s="38">
        <f t="shared" si="109"/>
        <v>0.08</v>
      </c>
      <c r="J277" s="33">
        <f t="shared" si="117"/>
        <v>33</v>
      </c>
      <c r="K277" s="33">
        <f t="shared" si="118"/>
        <v>54</v>
      </c>
      <c r="L277" s="33">
        <f t="shared" si="118"/>
        <v>8</v>
      </c>
      <c r="M277" s="33">
        <f t="shared" si="118"/>
        <v>33</v>
      </c>
      <c r="N277" s="33">
        <f t="shared" si="118"/>
        <v>38</v>
      </c>
      <c r="O277" s="33">
        <f t="shared" si="118"/>
        <v>72</v>
      </c>
      <c r="P277" s="33">
        <f t="shared" si="118"/>
        <v>16</v>
      </c>
      <c r="Q277" s="33">
        <f t="shared" si="118"/>
        <v>25</v>
      </c>
      <c r="R277" s="35">
        <f t="shared" si="110"/>
        <v>0.05</v>
      </c>
      <c r="S277" s="35">
        <f t="shared" si="111"/>
        <v>3.2000000000000001E-2</v>
      </c>
      <c r="T277" s="35">
        <f t="shared" si="112"/>
        <v>3.125E-2</v>
      </c>
      <c r="U277" s="35">
        <f t="shared" si="119"/>
        <v>5.6603773584905648E-2</v>
      </c>
      <c r="V277" s="35">
        <f t="shared" si="119"/>
        <v>5.6603773584905648E-2</v>
      </c>
      <c r="W277" s="35">
        <f t="shared" si="119"/>
        <v>5.6603773584905648E-2</v>
      </c>
      <c r="X277" s="35">
        <f t="shared" si="119"/>
        <v>5.6603773584905648E-2</v>
      </c>
      <c r="Y277" s="35">
        <f t="shared" si="119"/>
        <v>5.6603773584905648E-2</v>
      </c>
      <c r="Z277" s="35">
        <f t="shared" si="119"/>
        <v>5.6603773584905648E-2</v>
      </c>
      <c r="AA277" s="35">
        <f t="shared" si="119"/>
        <v>0.26470588235294112</v>
      </c>
    </row>
    <row r="278" spans="2:27" x14ac:dyDescent="0.2">
      <c r="B278" s="2">
        <v>276</v>
      </c>
      <c r="C278" s="2" t="str">
        <f t="shared" si="98"/>
        <v>b</v>
      </c>
      <c r="D278" s="29" t="s">
        <v>1</v>
      </c>
      <c r="E278" s="29" t="s">
        <v>181</v>
      </c>
      <c r="F278" s="2" t="s">
        <v>183</v>
      </c>
      <c r="G278" s="2">
        <f t="shared" si="116"/>
        <v>4</v>
      </c>
      <c r="H278" s="2" t="str">
        <f t="shared" si="108"/>
        <v>电击</v>
      </c>
      <c r="I278" s="38">
        <f t="shared" si="109"/>
        <v>0.10657142857142857</v>
      </c>
      <c r="J278" s="33">
        <f t="shared" si="117"/>
        <v>44</v>
      </c>
      <c r="K278" s="33">
        <f t="shared" si="118"/>
        <v>72</v>
      </c>
      <c r="L278" s="33">
        <f t="shared" si="118"/>
        <v>11</v>
      </c>
      <c r="M278" s="33">
        <f t="shared" si="118"/>
        <v>44</v>
      </c>
      <c r="N278" s="33">
        <f t="shared" si="118"/>
        <v>51</v>
      </c>
      <c r="O278" s="33">
        <f t="shared" si="118"/>
        <v>96</v>
      </c>
      <c r="P278" s="33">
        <f t="shared" si="118"/>
        <v>22</v>
      </c>
      <c r="Q278" s="33">
        <f t="shared" si="118"/>
        <v>33</v>
      </c>
      <c r="R278" s="35">
        <f t="shared" si="110"/>
        <v>6.6000000000000003E-2</v>
      </c>
      <c r="S278" s="35">
        <f t="shared" si="111"/>
        <v>4.4000000000000004E-2</v>
      </c>
      <c r="T278" s="35">
        <f t="shared" si="112"/>
        <v>4.1250000000000002E-2</v>
      </c>
      <c r="U278" s="35">
        <f t="shared" si="119"/>
        <v>7.407407407407407E-2</v>
      </c>
      <c r="V278" s="35">
        <f t="shared" si="119"/>
        <v>7.407407407407407E-2</v>
      </c>
      <c r="W278" s="35">
        <f t="shared" si="119"/>
        <v>7.407407407407407E-2</v>
      </c>
      <c r="X278" s="35">
        <f t="shared" si="119"/>
        <v>7.407407407407407E-2</v>
      </c>
      <c r="Y278" s="35">
        <f t="shared" si="119"/>
        <v>7.407407407407407E-2</v>
      </c>
      <c r="Z278" s="35">
        <f t="shared" si="119"/>
        <v>7.407407407407407E-2</v>
      </c>
      <c r="AA278" s="35">
        <f t="shared" si="119"/>
        <v>0.32432432432432434</v>
      </c>
    </row>
    <row r="279" spans="2:27" x14ac:dyDescent="0.2">
      <c r="B279" s="2">
        <v>277</v>
      </c>
      <c r="C279" s="2" t="str">
        <f t="shared" si="98"/>
        <v>b</v>
      </c>
      <c r="D279" s="29" t="s">
        <v>1</v>
      </c>
      <c r="E279" s="29" t="s">
        <v>181</v>
      </c>
      <c r="F279" s="2" t="s">
        <v>183</v>
      </c>
      <c r="G279" s="2">
        <f t="shared" si="116"/>
        <v>5</v>
      </c>
      <c r="H279" s="2" t="str">
        <f t="shared" si="108"/>
        <v>电击</v>
      </c>
      <c r="I279" s="38">
        <f t="shared" si="109"/>
        <v>0.13457142857142856</v>
      </c>
      <c r="J279" s="33">
        <f t="shared" si="117"/>
        <v>56</v>
      </c>
      <c r="K279" s="33">
        <f t="shared" si="118"/>
        <v>91</v>
      </c>
      <c r="L279" s="33">
        <f t="shared" si="118"/>
        <v>14</v>
      </c>
      <c r="M279" s="33">
        <f t="shared" si="118"/>
        <v>56</v>
      </c>
      <c r="N279" s="33">
        <f t="shared" si="118"/>
        <v>64</v>
      </c>
      <c r="O279" s="33">
        <f t="shared" si="118"/>
        <v>120</v>
      </c>
      <c r="P279" s="33">
        <f t="shared" si="118"/>
        <v>28</v>
      </c>
      <c r="Q279" s="33">
        <f t="shared" si="118"/>
        <v>42</v>
      </c>
      <c r="R279" s="35">
        <f t="shared" si="110"/>
        <v>8.4000000000000005E-2</v>
      </c>
      <c r="S279" s="35">
        <f t="shared" si="111"/>
        <v>5.5999999999999994E-2</v>
      </c>
      <c r="T279" s="35">
        <f t="shared" si="112"/>
        <v>5.2499999999999998E-2</v>
      </c>
      <c r="U279" s="35">
        <f t="shared" si="119"/>
        <v>9.0909090909090939E-2</v>
      </c>
      <c r="V279" s="35">
        <f t="shared" si="119"/>
        <v>9.0909090909090939E-2</v>
      </c>
      <c r="W279" s="35">
        <f t="shared" si="119"/>
        <v>9.0909090909090939E-2</v>
      </c>
      <c r="X279" s="35">
        <f t="shared" si="119"/>
        <v>9.0909090909090939E-2</v>
      </c>
      <c r="Y279" s="35">
        <f t="shared" si="119"/>
        <v>9.0909090909090939E-2</v>
      </c>
      <c r="Z279" s="35">
        <f t="shared" si="119"/>
        <v>9.0909090909090939E-2</v>
      </c>
      <c r="AA279" s="35">
        <f t="shared" si="119"/>
        <v>0.375</v>
      </c>
    </row>
    <row r="280" spans="2:27" x14ac:dyDescent="0.2">
      <c r="B280" s="2">
        <v>278</v>
      </c>
      <c r="C280" s="2" t="str">
        <f t="shared" si="98"/>
        <v>b</v>
      </c>
      <c r="D280" s="29" t="s">
        <v>1</v>
      </c>
      <c r="E280" s="29" t="s">
        <v>181</v>
      </c>
      <c r="F280" s="2" t="s">
        <v>183</v>
      </c>
      <c r="G280" s="2">
        <f t="shared" si="116"/>
        <v>6</v>
      </c>
      <c r="H280" s="2" t="str">
        <f t="shared" si="108"/>
        <v>电击</v>
      </c>
      <c r="I280" s="38">
        <f t="shared" si="109"/>
        <v>0.16085714285714287</v>
      </c>
      <c r="J280" s="33">
        <f t="shared" si="117"/>
        <v>67</v>
      </c>
      <c r="K280" s="33">
        <f t="shared" si="118"/>
        <v>109</v>
      </c>
      <c r="L280" s="33">
        <f t="shared" si="118"/>
        <v>17</v>
      </c>
      <c r="M280" s="33">
        <f t="shared" si="118"/>
        <v>67</v>
      </c>
      <c r="N280" s="33">
        <f t="shared" si="118"/>
        <v>76</v>
      </c>
      <c r="O280" s="33">
        <f t="shared" si="118"/>
        <v>144</v>
      </c>
      <c r="P280" s="33">
        <f t="shared" si="118"/>
        <v>33</v>
      </c>
      <c r="Q280" s="33">
        <f t="shared" si="118"/>
        <v>50</v>
      </c>
      <c r="R280" s="35">
        <f t="shared" si="110"/>
        <v>0.1</v>
      </c>
      <c r="S280" s="35">
        <f t="shared" si="111"/>
        <v>6.6000000000000003E-2</v>
      </c>
      <c r="T280" s="35">
        <f t="shared" si="112"/>
        <v>6.25E-2</v>
      </c>
      <c r="U280" s="35">
        <f t="shared" si="119"/>
        <v>0.1071428571428571</v>
      </c>
      <c r="V280" s="35">
        <f t="shared" si="119"/>
        <v>0.1071428571428571</v>
      </c>
      <c r="W280" s="35">
        <f t="shared" si="119"/>
        <v>0.1071428571428571</v>
      </c>
      <c r="X280" s="35">
        <f t="shared" si="119"/>
        <v>0.1071428571428571</v>
      </c>
      <c r="Y280" s="35">
        <f t="shared" si="119"/>
        <v>0.1071428571428571</v>
      </c>
      <c r="Z280" s="35">
        <f t="shared" si="119"/>
        <v>0.1071428571428571</v>
      </c>
      <c r="AA280" s="35">
        <f t="shared" si="119"/>
        <v>0.41860465116279066</v>
      </c>
    </row>
    <row r="281" spans="2:27" x14ac:dyDescent="0.2">
      <c r="B281" s="2">
        <v>279</v>
      </c>
      <c r="C281" s="2" t="str">
        <f t="shared" si="98"/>
        <v>b</v>
      </c>
      <c r="D281" s="29" t="s">
        <v>1</v>
      </c>
      <c r="E281" s="29" t="s">
        <v>181</v>
      </c>
      <c r="F281" s="2" t="s">
        <v>183</v>
      </c>
      <c r="G281" s="2">
        <f t="shared" si="116"/>
        <v>7</v>
      </c>
      <c r="H281" s="2" t="str">
        <f t="shared" si="108"/>
        <v>电击</v>
      </c>
      <c r="I281" s="38">
        <f t="shared" si="109"/>
        <v>0.18771428571428572</v>
      </c>
      <c r="J281" s="33">
        <f t="shared" si="117"/>
        <v>78</v>
      </c>
      <c r="K281" s="33">
        <f t="shared" si="118"/>
        <v>127</v>
      </c>
      <c r="L281" s="33">
        <f t="shared" si="118"/>
        <v>20</v>
      </c>
      <c r="M281" s="33">
        <f t="shared" si="118"/>
        <v>78</v>
      </c>
      <c r="N281" s="33">
        <f t="shared" si="118"/>
        <v>89</v>
      </c>
      <c r="O281" s="33">
        <f t="shared" si="118"/>
        <v>168</v>
      </c>
      <c r="P281" s="33">
        <f t="shared" si="118"/>
        <v>39</v>
      </c>
      <c r="Q281" s="33">
        <f t="shared" si="118"/>
        <v>58</v>
      </c>
      <c r="R281" s="35">
        <f t="shared" si="110"/>
        <v>0.11599999999999999</v>
      </c>
      <c r="S281" s="35">
        <f t="shared" si="111"/>
        <v>7.8E-2</v>
      </c>
      <c r="T281" s="35">
        <f t="shared" si="112"/>
        <v>7.2499999999999995E-2</v>
      </c>
      <c r="U281" s="35">
        <f t="shared" si="119"/>
        <v>0.1228070175438597</v>
      </c>
      <c r="V281" s="35">
        <f t="shared" si="119"/>
        <v>0.1228070175438597</v>
      </c>
      <c r="W281" s="35">
        <f t="shared" si="119"/>
        <v>0.1228070175438597</v>
      </c>
      <c r="X281" s="35">
        <f t="shared" si="119"/>
        <v>0.1228070175438597</v>
      </c>
      <c r="Y281" s="35">
        <f t="shared" si="119"/>
        <v>0.1228070175438597</v>
      </c>
      <c r="Z281" s="35">
        <f t="shared" si="119"/>
        <v>0.1228070175438597</v>
      </c>
      <c r="AA281" s="35">
        <f t="shared" si="119"/>
        <v>0.45652173913043481</v>
      </c>
    </row>
    <row r="282" spans="2:27" x14ac:dyDescent="0.2">
      <c r="B282" s="2">
        <v>280</v>
      </c>
      <c r="C282" s="2" t="str">
        <f t="shared" si="98"/>
        <v>b</v>
      </c>
      <c r="D282" s="29" t="s">
        <v>1</v>
      </c>
      <c r="E282" s="29" t="s">
        <v>181</v>
      </c>
      <c r="F282" s="2" t="s">
        <v>183</v>
      </c>
      <c r="G282" s="2">
        <f t="shared" si="116"/>
        <v>8</v>
      </c>
      <c r="H282" s="2" t="str">
        <f t="shared" si="108"/>
        <v>电击</v>
      </c>
      <c r="I282" s="38">
        <f t="shared" si="109"/>
        <v>0.21457142857142855</v>
      </c>
      <c r="J282" s="33">
        <f t="shared" si="117"/>
        <v>89</v>
      </c>
      <c r="K282" s="33">
        <f t="shared" si="118"/>
        <v>145</v>
      </c>
      <c r="L282" s="33">
        <f t="shared" si="118"/>
        <v>23</v>
      </c>
      <c r="M282" s="33">
        <f t="shared" si="118"/>
        <v>89</v>
      </c>
      <c r="N282" s="33">
        <f t="shared" si="118"/>
        <v>102</v>
      </c>
      <c r="O282" s="33">
        <f t="shared" si="118"/>
        <v>192</v>
      </c>
      <c r="P282" s="33">
        <f t="shared" si="118"/>
        <v>44</v>
      </c>
      <c r="Q282" s="33">
        <f t="shared" si="118"/>
        <v>67</v>
      </c>
      <c r="R282" s="35">
        <f t="shared" si="110"/>
        <v>0.13400000000000001</v>
      </c>
      <c r="S282" s="35">
        <f t="shared" si="111"/>
        <v>8.8000000000000009E-2</v>
      </c>
      <c r="T282" s="35">
        <f t="shared" si="112"/>
        <v>8.3750000000000005E-2</v>
      </c>
      <c r="U282" s="35">
        <f t="shared" si="119"/>
        <v>0.13793103448275867</v>
      </c>
      <c r="V282" s="35">
        <f t="shared" si="119"/>
        <v>0.13793103448275867</v>
      </c>
      <c r="W282" s="35">
        <f t="shared" si="119"/>
        <v>0.13793103448275867</v>
      </c>
      <c r="X282" s="35">
        <f t="shared" si="119"/>
        <v>0.13793103448275867</v>
      </c>
      <c r="Y282" s="35">
        <f t="shared" si="119"/>
        <v>0.13793103448275867</v>
      </c>
      <c r="Z282" s="35">
        <f t="shared" si="119"/>
        <v>0.13793103448275867</v>
      </c>
      <c r="AA282" s="35">
        <f t="shared" si="119"/>
        <v>0.48979591836734693</v>
      </c>
    </row>
    <row r="283" spans="2:27" x14ac:dyDescent="0.2">
      <c r="B283" s="2">
        <v>281</v>
      </c>
      <c r="C283" s="2" t="str">
        <f t="shared" si="98"/>
        <v>c</v>
      </c>
      <c r="D283" s="29" t="s">
        <v>1</v>
      </c>
      <c r="E283" s="29" t="s">
        <v>181</v>
      </c>
      <c r="F283" s="2" t="s">
        <v>183</v>
      </c>
      <c r="G283" s="2">
        <f t="shared" si="116"/>
        <v>1</v>
      </c>
      <c r="H283" s="2" t="str">
        <f t="shared" si="108"/>
        <v>--</v>
      </c>
      <c r="I283" s="38">
        <f t="shared" si="109"/>
        <v>0</v>
      </c>
      <c r="J283" s="33">
        <f t="shared" ref="J283:J292" si="120">INT((1+VLOOKUP($F283,role_property_weight,getpos(J$2),FALSE))*(1+VLOOKUP($F283,drop_property_weight,getpos(J$2),FALSE))*VLOOKUP($E283,role_grow,getpos(J$2),FALSE)*$G283*10*VLOOKUP($C283,drop_grow1,4,FALSE))</f>
        <v>15</v>
      </c>
      <c r="K283" s="33">
        <f t="shared" ref="K283:Q292" si="121">INT((1+VLOOKUP($F283,role_property_weight,getpos(K$2),FALSE))*(1+VLOOKUP($F283,drop_property_weight,getpos(K$2),FALSE))*VLOOKUP($E283,role_grow,getpos(K$2),FALSE)*$G283*10*VLOOKUP($C283,drop_grow1,5,FALSE))</f>
        <v>0</v>
      </c>
      <c r="L283" s="33">
        <f t="shared" si="121"/>
        <v>0</v>
      </c>
      <c r="M283" s="33">
        <f t="shared" si="121"/>
        <v>0</v>
      </c>
      <c r="N283" s="33">
        <f t="shared" si="121"/>
        <v>0</v>
      </c>
      <c r="O283" s="33">
        <f t="shared" si="121"/>
        <v>0</v>
      </c>
      <c r="P283" s="33">
        <f t="shared" si="121"/>
        <v>0</v>
      </c>
      <c r="Q283" s="33">
        <f t="shared" si="121"/>
        <v>0</v>
      </c>
      <c r="R283" s="35">
        <f t="shared" si="110"/>
        <v>0</v>
      </c>
      <c r="S283" s="35">
        <f t="shared" si="111"/>
        <v>0</v>
      </c>
      <c r="T283" s="35">
        <f t="shared" si="112"/>
        <v>0</v>
      </c>
      <c r="U283" s="35">
        <f t="shared" ref="U283:AA292" si="122">1-200/(200+ROUND((1+VLOOKUP($F283,role_property_weight,getpos(U$2),FALSE))*VLOOKUP($E283,role_grow,getpos(U$2),FALSE)*$G283*10*VLOOKUP($C283,drop_grow1,5,FALSE),0))</f>
        <v>0</v>
      </c>
      <c r="V283" s="35">
        <f t="shared" si="122"/>
        <v>0</v>
      </c>
      <c r="W283" s="35">
        <f t="shared" si="122"/>
        <v>0</v>
      </c>
      <c r="X283" s="35">
        <f t="shared" si="122"/>
        <v>0</v>
      </c>
      <c r="Y283" s="35">
        <f t="shared" si="122"/>
        <v>0</v>
      </c>
      <c r="Z283" s="35">
        <f t="shared" si="122"/>
        <v>0</v>
      </c>
      <c r="AA283" s="35">
        <f t="shared" si="122"/>
        <v>0</v>
      </c>
    </row>
    <row r="284" spans="2:27" x14ac:dyDescent="0.2">
      <c r="B284" s="2">
        <v>282</v>
      </c>
      <c r="C284" s="2" t="str">
        <f t="shared" si="98"/>
        <v>c</v>
      </c>
      <c r="D284" s="29" t="s">
        <v>1</v>
      </c>
      <c r="E284" s="29" t="s">
        <v>181</v>
      </c>
      <c r="F284" s="2" t="s">
        <v>183</v>
      </c>
      <c r="G284" s="2">
        <f t="shared" si="116"/>
        <v>2</v>
      </c>
      <c r="H284" s="2" t="str">
        <f t="shared" si="108"/>
        <v>--</v>
      </c>
      <c r="I284" s="38">
        <f t="shared" si="109"/>
        <v>0</v>
      </c>
      <c r="J284" s="33">
        <f t="shared" si="120"/>
        <v>30</v>
      </c>
      <c r="K284" s="33">
        <f t="shared" si="121"/>
        <v>0</v>
      </c>
      <c r="L284" s="33">
        <f t="shared" si="121"/>
        <v>0</v>
      </c>
      <c r="M284" s="33">
        <f t="shared" si="121"/>
        <v>0</v>
      </c>
      <c r="N284" s="33">
        <f t="shared" si="121"/>
        <v>0</v>
      </c>
      <c r="O284" s="33">
        <f t="shared" si="121"/>
        <v>0</v>
      </c>
      <c r="P284" s="33">
        <f t="shared" si="121"/>
        <v>0</v>
      </c>
      <c r="Q284" s="33">
        <f t="shared" si="121"/>
        <v>0</v>
      </c>
      <c r="R284" s="35">
        <f t="shared" si="110"/>
        <v>0</v>
      </c>
      <c r="S284" s="35">
        <f t="shared" si="111"/>
        <v>0</v>
      </c>
      <c r="T284" s="35">
        <f t="shared" si="112"/>
        <v>0</v>
      </c>
      <c r="U284" s="35">
        <f t="shared" si="122"/>
        <v>0</v>
      </c>
      <c r="V284" s="35">
        <f t="shared" si="122"/>
        <v>0</v>
      </c>
      <c r="W284" s="35">
        <f t="shared" si="122"/>
        <v>0</v>
      </c>
      <c r="X284" s="35">
        <f t="shared" si="122"/>
        <v>0</v>
      </c>
      <c r="Y284" s="35">
        <f t="shared" si="122"/>
        <v>0</v>
      </c>
      <c r="Z284" s="35">
        <f t="shared" si="122"/>
        <v>0</v>
      </c>
      <c r="AA284" s="35">
        <f t="shared" si="122"/>
        <v>0</v>
      </c>
    </row>
    <row r="285" spans="2:27" x14ac:dyDescent="0.2">
      <c r="B285" s="2">
        <v>283</v>
      </c>
      <c r="C285" s="2" t="str">
        <f t="shared" si="98"/>
        <v>c</v>
      </c>
      <c r="D285" s="29" t="s">
        <v>1</v>
      </c>
      <c r="E285" s="29" t="s">
        <v>181</v>
      </c>
      <c r="F285" s="2" t="s">
        <v>183</v>
      </c>
      <c r="G285" s="2">
        <f t="shared" si="116"/>
        <v>3</v>
      </c>
      <c r="H285" s="2" t="str">
        <f t="shared" si="108"/>
        <v>--</v>
      </c>
      <c r="I285" s="38">
        <f t="shared" si="109"/>
        <v>0</v>
      </c>
      <c r="J285" s="33">
        <f t="shared" si="120"/>
        <v>45</v>
      </c>
      <c r="K285" s="33">
        <f t="shared" si="121"/>
        <v>0</v>
      </c>
      <c r="L285" s="33">
        <f t="shared" si="121"/>
        <v>0</v>
      </c>
      <c r="M285" s="33">
        <f t="shared" si="121"/>
        <v>0</v>
      </c>
      <c r="N285" s="33">
        <f t="shared" si="121"/>
        <v>0</v>
      </c>
      <c r="O285" s="33">
        <f t="shared" si="121"/>
        <v>0</v>
      </c>
      <c r="P285" s="33">
        <f t="shared" si="121"/>
        <v>0</v>
      </c>
      <c r="Q285" s="33">
        <f t="shared" si="121"/>
        <v>0</v>
      </c>
      <c r="R285" s="35">
        <f t="shared" si="110"/>
        <v>0</v>
      </c>
      <c r="S285" s="35">
        <f t="shared" si="111"/>
        <v>0</v>
      </c>
      <c r="T285" s="35">
        <f t="shared" si="112"/>
        <v>0</v>
      </c>
      <c r="U285" s="35">
        <f t="shared" si="122"/>
        <v>0</v>
      </c>
      <c r="V285" s="35">
        <f t="shared" si="122"/>
        <v>0</v>
      </c>
      <c r="W285" s="35">
        <f t="shared" si="122"/>
        <v>0</v>
      </c>
      <c r="X285" s="35">
        <f t="shared" si="122"/>
        <v>0</v>
      </c>
      <c r="Y285" s="35">
        <f t="shared" si="122"/>
        <v>0</v>
      </c>
      <c r="Z285" s="35">
        <f t="shared" si="122"/>
        <v>0</v>
      </c>
      <c r="AA285" s="35">
        <f t="shared" si="122"/>
        <v>0</v>
      </c>
    </row>
    <row r="286" spans="2:27" x14ac:dyDescent="0.2">
      <c r="B286" s="2">
        <v>284</v>
      </c>
      <c r="C286" s="2" t="str">
        <f t="shared" si="98"/>
        <v>c</v>
      </c>
      <c r="D286" s="29" t="s">
        <v>1</v>
      </c>
      <c r="E286" s="29" t="s">
        <v>181</v>
      </c>
      <c r="F286" s="2" t="s">
        <v>183</v>
      </c>
      <c r="G286" s="2">
        <f t="shared" si="116"/>
        <v>4</v>
      </c>
      <c r="H286" s="2" t="str">
        <f t="shared" si="108"/>
        <v>--</v>
      </c>
      <c r="I286" s="38">
        <f t="shared" si="109"/>
        <v>0</v>
      </c>
      <c r="J286" s="33">
        <f t="shared" si="120"/>
        <v>60</v>
      </c>
      <c r="K286" s="33">
        <f t="shared" si="121"/>
        <v>0</v>
      </c>
      <c r="L286" s="33">
        <f t="shared" si="121"/>
        <v>0</v>
      </c>
      <c r="M286" s="33">
        <f t="shared" si="121"/>
        <v>0</v>
      </c>
      <c r="N286" s="33">
        <f t="shared" si="121"/>
        <v>0</v>
      </c>
      <c r="O286" s="33">
        <f t="shared" si="121"/>
        <v>0</v>
      </c>
      <c r="P286" s="33">
        <f t="shared" si="121"/>
        <v>0</v>
      </c>
      <c r="Q286" s="33">
        <f t="shared" si="121"/>
        <v>0</v>
      </c>
      <c r="R286" s="35">
        <f t="shared" si="110"/>
        <v>0</v>
      </c>
      <c r="S286" s="35">
        <f t="shared" si="111"/>
        <v>0</v>
      </c>
      <c r="T286" s="35">
        <f t="shared" si="112"/>
        <v>0</v>
      </c>
      <c r="U286" s="35">
        <f t="shared" si="122"/>
        <v>0</v>
      </c>
      <c r="V286" s="35">
        <f t="shared" si="122"/>
        <v>0</v>
      </c>
      <c r="W286" s="35">
        <f t="shared" si="122"/>
        <v>0</v>
      </c>
      <c r="X286" s="35">
        <f t="shared" si="122"/>
        <v>0</v>
      </c>
      <c r="Y286" s="35">
        <f t="shared" si="122"/>
        <v>0</v>
      </c>
      <c r="Z286" s="35">
        <f t="shared" si="122"/>
        <v>0</v>
      </c>
      <c r="AA286" s="35">
        <f t="shared" si="122"/>
        <v>0</v>
      </c>
    </row>
    <row r="287" spans="2:27" x14ac:dyDescent="0.2">
      <c r="B287" s="2">
        <v>285</v>
      </c>
      <c r="C287" s="2" t="str">
        <f t="shared" si="98"/>
        <v>c</v>
      </c>
      <c r="D287" s="29" t="s">
        <v>1</v>
      </c>
      <c r="E287" s="29" t="s">
        <v>181</v>
      </c>
      <c r="F287" s="2" t="s">
        <v>183</v>
      </c>
      <c r="G287" s="2">
        <f t="shared" si="116"/>
        <v>5</v>
      </c>
      <c r="H287" s="2" t="str">
        <f t="shared" si="108"/>
        <v>--</v>
      </c>
      <c r="I287" s="38">
        <f t="shared" si="109"/>
        <v>0</v>
      </c>
      <c r="J287" s="33">
        <f t="shared" si="120"/>
        <v>75</v>
      </c>
      <c r="K287" s="33">
        <f t="shared" si="121"/>
        <v>0</v>
      </c>
      <c r="L287" s="33">
        <f t="shared" si="121"/>
        <v>0</v>
      </c>
      <c r="M287" s="33">
        <f t="shared" si="121"/>
        <v>0</v>
      </c>
      <c r="N287" s="33">
        <f t="shared" si="121"/>
        <v>0</v>
      </c>
      <c r="O287" s="33">
        <f t="shared" si="121"/>
        <v>0</v>
      </c>
      <c r="P287" s="33">
        <f t="shared" si="121"/>
        <v>0</v>
      </c>
      <c r="Q287" s="33">
        <f t="shared" si="121"/>
        <v>0</v>
      </c>
      <c r="R287" s="35">
        <f t="shared" si="110"/>
        <v>0</v>
      </c>
      <c r="S287" s="35">
        <f t="shared" si="111"/>
        <v>0</v>
      </c>
      <c r="T287" s="35">
        <f t="shared" si="112"/>
        <v>0</v>
      </c>
      <c r="U287" s="35">
        <f t="shared" si="122"/>
        <v>0</v>
      </c>
      <c r="V287" s="35">
        <f t="shared" si="122"/>
        <v>0</v>
      </c>
      <c r="W287" s="35">
        <f t="shared" si="122"/>
        <v>0</v>
      </c>
      <c r="X287" s="35">
        <f t="shared" si="122"/>
        <v>0</v>
      </c>
      <c r="Y287" s="35">
        <f t="shared" si="122"/>
        <v>0</v>
      </c>
      <c r="Z287" s="35">
        <f t="shared" si="122"/>
        <v>0</v>
      </c>
      <c r="AA287" s="35">
        <f t="shared" si="122"/>
        <v>0</v>
      </c>
    </row>
    <row r="288" spans="2:27" x14ac:dyDescent="0.2">
      <c r="B288" s="2">
        <v>286</v>
      </c>
      <c r="C288" s="2" t="str">
        <f t="shared" si="98"/>
        <v>c</v>
      </c>
      <c r="D288" s="29" t="s">
        <v>1</v>
      </c>
      <c r="E288" s="29" t="s">
        <v>181</v>
      </c>
      <c r="F288" s="2" t="s">
        <v>183</v>
      </c>
      <c r="G288" s="2">
        <f t="shared" si="116"/>
        <v>6</v>
      </c>
      <c r="H288" s="2" t="str">
        <f t="shared" si="108"/>
        <v>--</v>
      </c>
      <c r="I288" s="38">
        <f t="shared" si="109"/>
        <v>0</v>
      </c>
      <c r="J288" s="33">
        <f t="shared" si="120"/>
        <v>90</v>
      </c>
      <c r="K288" s="33">
        <f t="shared" si="121"/>
        <v>0</v>
      </c>
      <c r="L288" s="33">
        <f t="shared" si="121"/>
        <v>0</v>
      </c>
      <c r="M288" s="33">
        <f t="shared" si="121"/>
        <v>0</v>
      </c>
      <c r="N288" s="33">
        <f t="shared" si="121"/>
        <v>0</v>
      </c>
      <c r="O288" s="33">
        <f t="shared" si="121"/>
        <v>0</v>
      </c>
      <c r="P288" s="33">
        <f t="shared" si="121"/>
        <v>0</v>
      </c>
      <c r="Q288" s="33">
        <f t="shared" si="121"/>
        <v>0</v>
      </c>
      <c r="R288" s="35">
        <f t="shared" si="110"/>
        <v>0</v>
      </c>
      <c r="S288" s="35">
        <f t="shared" si="111"/>
        <v>0</v>
      </c>
      <c r="T288" s="35">
        <f t="shared" si="112"/>
        <v>0</v>
      </c>
      <c r="U288" s="35">
        <f t="shared" si="122"/>
        <v>0</v>
      </c>
      <c r="V288" s="35">
        <f t="shared" si="122"/>
        <v>0</v>
      </c>
      <c r="W288" s="35">
        <f t="shared" si="122"/>
        <v>0</v>
      </c>
      <c r="X288" s="35">
        <f t="shared" si="122"/>
        <v>0</v>
      </c>
      <c r="Y288" s="35">
        <f t="shared" si="122"/>
        <v>0</v>
      </c>
      <c r="Z288" s="35">
        <f t="shared" si="122"/>
        <v>0</v>
      </c>
      <c r="AA288" s="35">
        <f t="shared" si="122"/>
        <v>0</v>
      </c>
    </row>
    <row r="289" spans="2:27" x14ac:dyDescent="0.2">
      <c r="B289" s="2">
        <v>287</v>
      </c>
      <c r="C289" s="2" t="str">
        <f t="shared" si="98"/>
        <v>c</v>
      </c>
      <c r="D289" s="29" t="s">
        <v>1</v>
      </c>
      <c r="E289" s="29" t="s">
        <v>181</v>
      </c>
      <c r="F289" s="2" t="s">
        <v>183</v>
      </c>
      <c r="G289" s="2">
        <f t="shared" si="116"/>
        <v>7</v>
      </c>
      <c r="H289" s="2" t="str">
        <f t="shared" si="108"/>
        <v>--</v>
      </c>
      <c r="I289" s="38">
        <f t="shared" si="109"/>
        <v>0</v>
      </c>
      <c r="J289" s="33">
        <f t="shared" si="120"/>
        <v>105</v>
      </c>
      <c r="K289" s="33">
        <f t="shared" si="121"/>
        <v>0</v>
      </c>
      <c r="L289" s="33">
        <f t="shared" si="121"/>
        <v>0</v>
      </c>
      <c r="M289" s="33">
        <f t="shared" si="121"/>
        <v>0</v>
      </c>
      <c r="N289" s="33">
        <f t="shared" si="121"/>
        <v>0</v>
      </c>
      <c r="O289" s="33">
        <f t="shared" si="121"/>
        <v>0</v>
      </c>
      <c r="P289" s="33">
        <f t="shared" si="121"/>
        <v>0</v>
      </c>
      <c r="Q289" s="33">
        <f t="shared" si="121"/>
        <v>0</v>
      </c>
      <c r="R289" s="35">
        <f t="shared" si="110"/>
        <v>0</v>
      </c>
      <c r="S289" s="35">
        <f t="shared" si="111"/>
        <v>0</v>
      </c>
      <c r="T289" s="35">
        <f t="shared" si="112"/>
        <v>0</v>
      </c>
      <c r="U289" s="35">
        <f t="shared" si="122"/>
        <v>0</v>
      </c>
      <c r="V289" s="35">
        <f t="shared" si="122"/>
        <v>0</v>
      </c>
      <c r="W289" s="35">
        <f t="shared" si="122"/>
        <v>0</v>
      </c>
      <c r="X289" s="35">
        <f t="shared" si="122"/>
        <v>0</v>
      </c>
      <c r="Y289" s="35">
        <f t="shared" si="122"/>
        <v>0</v>
      </c>
      <c r="Z289" s="35">
        <f t="shared" si="122"/>
        <v>0</v>
      </c>
      <c r="AA289" s="35">
        <f t="shared" si="122"/>
        <v>0</v>
      </c>
    </row>
    <row r="290" spans="2:27" x14ac:dyDescent="0.2">
      <c r="B290" s="2">
        <v>288</v>
      </c>
      <c r="C290" s="2" t="str">
        <f t="shared" si="98"/>
        <v>c</v>
      </c>
      <c r="D290" s="29" t="s">
        <v>1</v>
      </c>
      <c r="E290" s="29" t="s">
        <v>181</v>
      </c>
      <c r="F290" s="2" t="s">
        <v>183</v>
      </c>
      <c r="G290" s="2">
        <f t="shared" si="116"/>
        <v>8</v>
      </c>
      <c r="H290" s="2" t="str">
        <f t="shared" si="108"/>
        <v>--</v>
      </c>
      <c r="I290" s="38">
        <f t="shared" si="109"/>
        <v>0</v>
      </c>
      <c r="J290" s="33">
        <f t="shared" si="120"/>
        <v>120</v>
      </c>
      <c r="K290" s="33">
        <f t="shared" si="121"/>
        <v>0</v>
      </c>
      <c r="L290" s="33">
        <f t="shared" si="121"/>
        <v>0</v>
      </c>
      <c r="M290" s="33">
        <f t="shared" si="121"/>
        <v>0</v>
      </c>
      <c r="N290" s="33">
        <f t="shared" si="121"/>
        <v>0</v>
      </c>
      <c r="O290" s="33">
        <f t="shared" si="121"/>
        <v>0</v>
      </c>
      <c r="P290" s="33">
        <f t="shared" si="121"/>
        <v>0</v>
      </c>
      <c r="Q290" s="33">
        <f t="shared" si="121"/>
        <v>0</v>
      </c>
      <c r="R290" s="35">
        <f t="shared" si="110"/>
        <v>0</v>
      </c>
      <c r="S290" s="35">
        <f t="shared" si="111"/>
        <v>0</v>
      </c>
      <c r="T290" s="35">
        <f t="shared" si="112"/>
        <v>0</v>
      </c>
      <c r="U290" s="35">
        <f t="shared" si="122"/>
        <v>0</v>
      </c>
      <c r="V290" s="35">
        <f t="shared" si="122"/>
        <v>0</v>
      </c>
      <c r="W290" s="35">
        <f t="shared" si="122"/>
        <v>0</v>
      </c>
      <c r="X290" s="35">
        <f t="shared" si="122"/>
        <v>0</v>
      </c>
      <c r="Y290" s="35">
        <f t="shared" si="122"/>
        <v>0</v>
      </c>
      <c r="Z290" s="35">
        <f t="shared" si="122"/>
        <v>0</v>
      </c>
      <c r="AA290" s="35">
        <f t="shared" si="122"/>
        <v>0</v>
      </c>
    </row>
    <row r="291" spans="2:27" x14ac:dyDescent="0.2">
      <c r="B291" s="2">
        <v>289</v>
      </c>
      <c r="C291" s="2" t="str">
        <f t="shared" si="98"/>
        <v>s</v>
      </c>
      <c r="D291" s="29" t="s">
        <v>1</v>
      </c>
      <c r="E291" s="29" t="s">
        <v>181</v>
      </c>
      <c r="F291" s="2" t="s">
        <v>218</v>
      </c>
      <c r="G291" s="2">
        <f t="shared" si="116"/>
        <v>1</v>
      </c>
      <c r="H291" s="2" t="str">
        <f t="shared" si="108"/>
        <v>冷却</v>
      </c>
      <c r="I291" s="38">
        <f t="shared" si="109"/>
        <v>0.08</v>
      </c>
      <c r="J291" s="33">
        <f t="shared" si="120"/>
        <v>17</v>
      </c>
      <c r="K291" s="33">
        <f t="shared" si="121"/>
        <v>17</v>
      </c>
      <c r="L291" s="33">
        <f t="shared" si="121"/>
        <v>2</v>
      </c>
      <c r="M291" s="33">
        <f t="shared" si="121"/>
        <v>8</v>
      </c>
      <c r="N291" s="33">
        <f t="shared" si="121"/>
        <v>1</v>
      </c>
      <c r="O291" s="33">
        <f t="shared" si="121"/>
        <v>4</v>
      </c>
      <c r="P291" s="33">
        <f t="shared" si="121"/>
        <v>5</v>
      </c>
      <c r="Q291" s="33">
        <f t="shared" si="121"/>
        <v>4</v>
      </c>
      <c r="R291" s="35">
        <f t="shared" si="110"/>
        <v>8.0000000000000002E-3</v>
      </c>
      <c r="S291" s="35">
        <f t="shared" si="111"/>
        <v>0.01</v>
      </c>
      <c r="T291" s="35">
        <f t="shared" si="112"/>
        <v>5.0000000000000001E-3</v>
      </c>
      <c r="U291" s="35">
        <f t="shared" si="122"/>
        <v>9.9009900990099098E-3</v>
      </c>
      <c r="V291" s="35">
        <f t="shared" si="122"/>
        <v>9.9009900990099098E-3</v>
      </c>
      <c r="W291" s="35">
        <f t="shared" si="122"/>
        <v>6.5420560747663559E-2</v>
      </c>
      <c r="X291" s="35">
        <f t="shared" si="122"/>
        <v>9.9009900990099098E-3</v>
      </c>
      <c r="Y291" s="35">
        <f t="shared" si="122"/>
        <v>9.9009900990099098E-3</v>
      </c>
      <c r="Z291" s="35">
        <f t="shared" si="122"/>
        <v>9.9009900990099098E-3</v>
      </c>
      <c r="AA291" s="35">
        <f t="shared" si="122"/>
        <v>9.9009900990099098E-3</v>
      </c>
    </row>
    <row r="292" spans="2:27" x14ac:dyDescent="0.2">
      <c r="B292" s="2">
        <v>290</v>
      </c>
      <c r="C292" s="2" t="str">
        <f t="shared" ref="C292:C355" si="123">C260</f>
        <v>s</v>
      </c>
      <c r="D292" s="29" t="s">
        <v>1</v>
      </c>
      <c r="E292" s="29" t="s">
        <v>181</v>
      </c>
      <c r="F292" s="2" t="s">
        <v>218</v>
      </c>
      <c r="G292" s="2">
        <f t="shared" si="116"/>
        <v>2</v>
      </c>
      <c r="H292" s="2" t="str">
        <f t="shared" si="108"/>
        <v>冷却</v>
      </c>
      <c r="I292" s="38">
        <f t="shared" si="109"/>
        <v>0.08</v>
      </c>
      <c r="J292" s="33">
        <f t="shared" si="120"/>
        <v>35</v>
      </c>
      <c r="K292" s="33">
        <f t="shared" si="121"/>
        <v>35</v>
      </c>
      <c r="L292" s="33">
        <f t="shared" si="121"/>
        <v>4</v>
      </c>
      <c r="M292" s="33">
        <f t="shared" si="121"/>
        <v>17</v>
      </c>
      <c r="N292" s="33">
        <f t="shared" si="121"/>
        <v>3</v>
      </c>
      <c r="O292" s="33">
        <f t="shared" si="121"/>
        <v>9</v>
      </c>
      <c r="P292" s="33">
        <f t="shared" si="121"/>
        <v>10</v>
      </c>
      <c r="Q292" s="33">
        <f t="shared" si="121"/>
        <v>9</v>
      </c>
      <c r="R292" s="35">
        <f t="shared" si="110"/>
        <v>1.8000000000000002E-2</v>
      </c>
      <c r="S292" s="35">
        <f t="shared" si="111"/>
        <v>0.02</v>
      </c>
      <c r="T292" s="35">
        <f t="shared" si="112"/>
        <v>1.125E-2</v>
      </c>
      <c r="U292" s="35">
        <f t="shared" si="122"/>
        <v>2.4390243902439046E-2</v>
      </c>
      <c r="V292" s="35">
        <f t="shared" si="122"/>
        <v>2.4390243902439046E-2</v>
      </c>
      <c r="W292" s="35">
        <f t="shared" si="122"/>
        <v>0.1266375545851528</v>
      </c>
      <c r="X292" s="35">
        <f t="shared" si="122"/>
        <v>2.4390243902439046E-2</v>
      </c>
      <c r="Y292" s="35">
        <f t="shared" si="122"/>
        <v>2.4390243902439046E-2</v>
      </c>
      <c r="Z292" s="35">
        <f t="shared" si="122"/>
        <v>2.4390243902439046E-2</v>
      </c>
      <c r="AA292" s="35">
        <f t="shared" si="122"/>
        <v>2.4390243902439046E-2</v>
      </c>
    </row>
    <row r="293" spans="2:27" x14ac:dyDescent="0.2">
      <c r="B293" s="2">
        <v>291</v>
      </c>
      <c r="C293" s="2" t="str">
        <f t="shared" si="123"/>
        <v>s</v>
      </c>
      <c r="D293" s="29" t="s">
        <v>1</v>
      </c>
      <c r="E293" s="29" t="s">
        <v>181</v>
      </c>
      <c r="F293" s="2" t="s">
        <v>218</v>
      </c>
      <c r="G293" s="2">
        <f t="shared" si="116"/>
        <v>3</v>
      </c>
      <c r="H293" s="2" t="str">
        <f t="shared" si="108"/>
        <v>冷却</v>
      </c>
      <c r="I293" s="38">
        <f t="shared" si="109"/>
        <v>0.08</v>
      </c>
      <c r="J293" s="33">
        <f t="shared" ref="J293:J302" si="124">INT((1+VLOOKUP($F293,role_property_weight,getpos(J$2),FALSE))*(1+VLOOKUP($F293,drop_property_weight,getpos(J$2),FALSE))*VLOOKUP($E293,role_grow,getpos(J$2),FALSE)*$G293*10*VLOOKUP($C293,drop_grow1,4,FALSE))</f>
        <v>52</v>
      </c>
      <c r="K293" s="33">
        <f t="shared" ref="K293:Q302" si="125">INT((1+VLOOKUP($F293,role_property_weight,getpos(K$2),FALSE))*(1+VLOOKUP($F293,drop_property_weight,getpos(K$2),FALSE))*VLOOKUP($E293,role_grow,getpos(K$2),FALSE)*$G293*10*VLOOKUP($C293,drop_grow1,5,FALSE))</f>
        <v>53</v>
      </c>
      <c r="L293" s="33">
        <f t="shared" si="125"/>
        <v>6</v>
      </c>
      <c r="M293" s="33">
        <f t="shared" si="125"/>
        <v>25</v>
      </c>
      <c r="N293" s="33">
        <f t="shared" si="125"/>
        <v>5</v>
      </c>
      <c r="O293" s="33">
        <f t="shared" si="125"/>
        <v>14</v>
      </c>
      <c r="P293" s="33">
        <f t="shared" si="125"/>
        <v>15</v>
      </c>
      <c r="Q293" s="33">
        <f t="shared" si="125"/>
        <v>14</v>
      </c>
      <c r="R293" s="35">
        <f t="shared" si="110"/>
        <v>2.7999999999999997E-2</v>
      </c>
      <c r="S293" s="35">
        <f t="shared" si="111"/>
        <v>0.03</v>
      </c>
      <c r="T293" s="35">
        <f t="shared" si="112"/>
        <v>1.7500000000000002E-2</v>
      </c>
      <c r="U293" s="35">
        <f t="shared" ref="U293:AA302" si="126">1-200/(200+ROUND((1+VLOOKUP($F293,role_property_weight,getpos(U$2),FALSE))*VLOOKUP($E293,role_grow,getpos(U$2),FALSE)*$G293*10*VLOOKUP($C293,drop_grow1,5,FALSE),0))</f>
        <v>3.3816425120772986E-2</v>
      </c>
      <c r="V293" s="35">
        <f t="shared" si="126"/>
        <v>3.3816425120772986E-2</v>
      </c>
      <c r="W293" s="35">
        <f t="shared" si="126"/>
        <v>0.17695473251028804</v>
      </c>
      <c r="X293" s="35">
        <f t="shared" si="126"/>
        <v>3.3816425120772986E-2</v>
      </c>
      <c r="Y293" s="35">
        <f t="shared" si="126"/>
        <v>3.3816425120772986E-2</v>
      </c>
      <c r="Z293" s="35">
        <f t="shared" si="126"/>
        <v>3.3816425120772986E-2</v>
      </c>
      <c r="AA293" s="35">
        <f t="shared" si="126"/>
        <v>3.3816425120772986E-2</v>
      </c>
    </row>
    <row r="294" spans="2:27" x14ac:dyDescent="0.2">
      <c r="B294" s="2">
        <v>292</v>
      </c>
      <c r="C294" s="2" t="str">
        <f t="shared" si="123"/>
        <v>s</v>
      </c>
      <c r="D294" s="29" t="s">
        <v>1</v>
      </c>
      <c r="E294" s="29" t="s">
        <v>181</v>
      </c>
      <c r="F294" s="2" t="s">
        <v>218</v>
      </c>
      <c r="G294" s="2">
        <f t="shared" si="116"/>
        <v>4</v>
      </c>
      <c r="H294" s="2" t="str">
        <f t="shared" si="108"/>
        <v>冷却</v>
      </c>
      <c r="I294" s="38">
        <f t="shared" si="109"/>
        <v>0.08</v>
      </c>
      <c r="J294" s="33">
        <f t="shared" si="124"/>
        <v>70</v>
      </c>
      <c r="K294" s="33">
        <f t="shared" si="125"/>
        <v>71</v>
      </c>
      <c r="L294" s="33">
        <f t="shared" si="125"/>
        <v>9</v>
      </c>
      <c r="M294" s="33">
        <f t="shared" si="125"/>
        <v>34</v>
      </c>
      <c r="N294" s="33">
        <f t="shared" si="125"/>
        <v>7</v>
      </c>
      <c r="O294" s="33">
        <f t="shared" si="125"/>
        <v>19</v>
      </c>
      <c r="P294" s="33">
        <f t="shared" si="125"/>
        <v>20</v>
      </c>
      <c r="Q294" s="33">
        <f t="shared" si="125"/>
        <v>19</v>
      </c>
      <c r="R294" s="35">
        <f t="shared" si="110"/>
        <v>3.7999999999999999E-2</v>
      </c>
      <c r="S294" s="35">
        <f t="shared" si="111"/>
        <v>0.04</v>
      </c>
      <c r="T294" s="35">
        <f t="shared" si="112"/>
        <v>2.375E-2</v>
      </c>
      <c r="U294" s="35">
        <f t="shared" si="126"/>
        <v>4.7619047619047672E-2</v>
      </c>
      <c r="V294" s="35">
        <f t="shared" si="126"/>
        <v>4.7619047619047672E-2</v>
      </c>
      <c r="W294" s="35">
        <f t="shared" si="126"/>
        <v>0.22480620155038755</v>
      </c>
      <c r="X294" s="35">
        <f t="shared" si="126"/>
        <v>4.7619047619047672E-2</v>
      </c>
      <c r="Y294" s="35">
        <f t="shared" si="126"/>
        <v>4.7619047619047672E-2</v>
      </c>
      <c r="Z294" s="35">
        <f t="shared" si="126"/>
        <v>4.7619047619047672E-2</v>
      </c>
      <c r="AA294" s="35">
        <f t="shared" si="126"/>
        <v>4.7619047619047672E-2</v>
      </c>
    </row>
    <row r="295" spans="2:27" x14ac:dyDescent="0.2">
      <c r="B295" s="2">
        <v>293</v>
      </c>
      <c r="C295" s="2" t="str">
        <f t="shared" si="123"/>
        <v>s</v>
      </c>
      <c r="D295" s="29" t="s">
        <v>1</v>
      </c>
      <c r="E295" s="29" t="s">
        <v>181</v>
      </c>
      <c r="F295" s="2" t="s">
        <v>218</v>
      </c>
      <c r="G295" s="2">
        <f t="shared" si="116"/>
        <v>5</v>
      </c>
      <c r="H295" s="2" t="str">
        <f t="shared" si="108"/>
        <v>冷却</v>
      </c>
      <c r="I295" s="38">
        <f t="shared" si="109"/>
        <v>8.9428571428571427E-2</v>
      </c>
      <c r="J295" s="33">
        <f t="shared" si="124"/>
        <v>88</v>
      </c>
      <c r="K295" s="33">
        <f t="shared" si="125"/>
        <v>89</v>
      </c>
      <c r="L295" s="33">
        <f t="shared" si="125"/>
        <v>11</v>
      </c>
      <c r="M295" s="33">
        <f t="shared" si="125"/>
        <v>43</v>
      </c>
      <c r="N295" s="33">
        <f t="shared" si="125"/>
        <v>9</v>
      </c>
      <c r="O295" s="33">
        <f t="shared" si="125"/>
        <v>24</v>
      </c>
      <c r="P295" s="33">
        <f t="shared" si="125"/>
        <v>25</v>
      </c>
      <c r="Q295" s="33">
        <f t="shared" si="125"/>
        <v>24</v>
      </c>
      <c r="R295" s="35">
        <f t="shared" si="110"/>
        <v>4.8000000000000001E-2</v>
      </c>
      <c r="S295" s="35">
        <f t="shared" si="111"/>
        <v>0.05</v>
      </c>
      <c r="T295" s="35">
        <f t="shared" si="112"/>
        <v>0.03</v>
      </c>
      <c r="U295" s="35">
        <f t="shared" si="126"/>
        <v>5.6603773584905648E-2</v>
      </c>
      <c r="V295" s="35">
        <f t="shared" si="126"/>
        <v>5.6603773584905648E-2</v>
      </c>
      <c r="W295" s="35">
        <f t="shared" si="126"/>
        <v>0.26470588235294112</v>
      </c>
      <c r="X295" s="35">
        <f t="shared" si="126"/>
        <v>5.6603773584905648E-2</v>
      </c>
      <c r="Y295" s="35">
        <f t="shared" si="126"/>
        <v>5.6603773584905648E-2</v>
      </c>
      <c r="Z295" s="35">
        <f t="shared" si="126"/>
        <v>5.6603773584905648E-2</v>
      </c>
      <c r="AA295" s="35">
        <f t="shared" si="126"/>
        <v>5.6603773584905648E-2</v>
      </c>
    </row>
    <row r="296" spans="2:27" x14ac:dyDescent="0.2">
      <c r="B296" s="2">
        <v>294</v>
      </c>
      <c r="C296" s="2" t="str">
        <f t="shared" si="123"/>
        <v>s</v>
      </c>
      <c r="D296" s="29" t="s">
        <v>1</v>
      </c>
      <c r="E296" s="29" t="s">
        <v>181</v>
      </c>
      <c r="F296" s="2" t="s">
        <v>218</v>
      </c>
      <c r="G296" s="2">
        <f t="shared" si="116"/>
        <v>6</v>
      </c>
      <c r="H296" s="2" t="str">
        <f t="shared" si="108"/>
        <v>冷却</v>
      </c>
      <c r="I296" s="38">
        <f t="shared" si="109"/>
        <v>0.10657142857142857</v>
      </c>
      <c r="J296" s="33">
        <f t="shared" si="124"/>
        <v>105</v>
      </c>
      <c r="K296" s="33">
        <f t="shared" si="125"/>
        <v>107</v>
      </c>
      <c r="L296" s="33">
        <f t="shared" si="125"/>
        <v>13</v>
      </c>
      <c r="M296" s="33">
        <f t="shared" si="125"/>
        <v>51</v>
      </c>
      <c r="N296" s="33">
        <f t="shared" si="125"/>
        <v>11</v>
      </c>
      <c r="O296" s="33">
        <f t="shared" si="125"/>
        <v>28</v>
      </c>
      <c r="P296" s="33">
        <f t="shared" si="125"/>
        <v>30</v>
      </c>
      <c r="Q296" s="33">
        <f t="shared" si="125"/>
        <v>28</v>
      </c>
      <c r="R296" s="35">
        <f t="shared" si="110"/>
        <v>5.5999999999999994E-2</v>
      </c>
      <c r="S296" s="35">
        <f t="shared" si="111"/>
        <v>0.06</v>
      </c>
      <c r="T296" s="35">
        <f t="shared" si="112"/>
        <v>3.5000000000000003E-2</v>
      </c>
      <c r="U296" s="35">
        <f t="shared" si="126"/>
        <v>6.5420560747663559E-2</v>
      </c>
      <c r="V296" s="35">
        <f t="shared" si="126"/>
        <v>6.5420560747663559E-2</v>
      </c>
      <c r="W296" s="35">
        <f t="shared" si="126"/>
        <v>0.30069930069930073</v>
      </c>
      <c r="X296" s="35">
        <f t="shared" si="126"/>
        <v>6.5420560747663559E-2</v>
      </c>
      <c r="Y296" s="35">
        <f t="shared" si="126"/>
        <v>6.5420560747663559E-2</v>
      </c>
      <c r="Z296" s="35">
        <f t="shared" si="126"/>
        <v>6.5420560747663559E-2</v>
      </c>
      <c r="AA296" s="35">
        <f t="shared" si="126"/>
        <v>6.5420560747663559E-2</v>
      </c>
    </row>
    <row r="297" spans="2:27" x14ac:dyDescent="0.2">
      <c r="B297" s="2">
        <v>295</v>
      </c>
      <c r="C297" s="2" t="str">
        <f t="shared" si="123"/>
        <v>s</v>
      </c>
      <c r="D297" s="29" t="s">
        <v>1</v>
      </c>
      <c r="E297" s="29" t="s">
        <v>181</v>
      </c>
      <c r="F297" s="2" t="s">
        <v>218</v>
      </c>
      <c r="G297" s="2">
        <f t="shared" si="116"/>
        <v>7</v>
      </c>
      <c r="H297" s="2" t="str">
        <f t="shared" si="108"/>
        <v>冷却</v>
      </c>
      <c r="I297" s="38">
        <f t="shared" si="109"/>
        <v>0.12514285714285714</v>
      </c>
      <c r="J297" s="33">
        <f t="shared" si="124"/>
        <v>123</v>
      </c>
      <c r="K297" s="33">
        <f t="shared" si="125"/>
        <v>125</v>
      </c>
      <c r="L297" s="33">
        <f t="shared" si="125"/>
        <v>16</v>
      </c>
      <c r="M297" s="33">
        <f t="shared" si="125"/>
        <v>60</v>
      </c>
      <c r="N297" s="33">
        <f t="shared" si="125"/>
        <v>13</v>
      </c>
      <c r="O297" s="33">
        <f t="shared" si="125"/>
        <v>33</v>
      </c>
      <c r="P297" s="33">
        <f t="shared" si="125"/>
        <v>35</v>
      </c>
      <c r="Q297" s="33">
        <f t="shared" si="125"/>
        <v>33</v>
      </c>
      <c r="R297" s="35">
        <f t="shared" si="110"/>
        <v>6.6000000000000003E-2</v>
      </c>
      <c r="S297" s="35">
        <f t="shared" si="111"/>
        <v>7.0000000000000007E-2</v>
      </c>
      <c r="T297" s="35">
        <f t="shared" si="112"/>
        <v>4.1250000000000002E-2</v>
      </c>
      <c r="U297" s="35">
        <f t="shared" si="126"/>
        <v>7.8341013824884786E-2</v>
      </c>
      <c r="V297" s="35">
        <f t="shared" si="126"/>
        <v>7.8341013824884786E-2</v>
      </c>
      <c r="W297" s="35">
        <f t="shared" si="126"/>
        <v>0.33554817275747506</v>
      </c>
      <c r="X297" s="35">
        <f t="shared" si="126"/>
        <v>7.8341013824884786E-2</v>
      </c>
      <c r="Y297" s="35">
        <f t="shared" si="126"/>
        <v>7.8341013824884786E-2</v>
      </c>
      <c r="Z297" s="35">
        <f t="shared" si="126"/>
        <v>7.8341013824884786E-2</v>
      </c>
      <c r="AA297" s="35">
        <f t="shared" si="126"/>
        <v>7.8341013824884786E-2</v>
      </c>
    </row>
    <row r="298" spans="2:27" x14ac:dyDescent="0.2">
      <c r="B298" s="2">
        <v>296</v>
      </c>
      <c r="C298" s="2" t="str">
        <f t="shared" si="123"/>
        <v>s</v>
      </c>
      <c r="D298" s="29" t="s">
        <v>1</v>
      </c>
      <c r="E298" s="29" t="s">
        <v>181</v>
      </c>
      <c r="F298" s="2" t="s">
        <v>218</v>
      </c>
      <c r="G298" s="2">
        <f t="shared" si="116"/>
        <v>8</v>
      </c>
      <c r="H298" s="2" t="str">
        <f t="shared" si="108"/>
        <v>冷却</v>
      </c>
      <c r="I298" s="38">
        <f t="shared" si="109"/>
        <v>0.14314285714285716</v>
      </c>
      <c r="J298" s="33">
        <f t="shared" si="124"/>
        <v>140</v>
      </c>
      <c r="K298" s="33">
        <f t="shared" si="125"/>
        <v>143</v>
      </c>
      <c r="L298" s="33">
        <f t="shared" si="125"/>
        <v>18</v>
      </c>
      <c r="M298" s="33">
        <f t="shared" si="125"/>
        <v>69</v>
      </c>
      <c r="N298" s="33">
        <f t="shared" si="125"/>
        <v>15</v>
      </c>
      <c r="O298" s="33">
        <f t="shared" si="125"/>
        <v>38</v>
      </c>
      <c r="P298" s="33">
        <f t="shared" si="125"/>
        <v>40</v>
      </c>
      <c r="Q298" s="33">
        <f t="shared" si="125"/>
        <v>38</v>
      </c>
      <c r="R298" s="35">
        <f t="shared" si="110"/>
        <v>7.5999999999999998E-2</v>
      </c>
      <c r="S298" s="35">
        <f t="shared" si="111"/>
        <v>0.08</v>
      </c>
      <c r="T298" s="35">
        <f t="shared" si="112"/>
        <v>4.7500000000000001E-2</v>
      </c>
      <c r="U298" s="35">
        <f t="shared" si="126"/>
        <v>8.6757990867579959E-2</v>
      </c>
      <c r="V298" s="35">
        <f t="shared" si="126"/>
        <v>8.6757990867579959E-2</v>
      </c>
      <c r="W298" s="35">
        <f t="shared" si="126"/>
        <v>0.36507936507936511</v>
      </c>
      <c r="X298" s="35">
        <f t="shared" si="126"/>
        <v>8.6757990867579959E-2</v>
      </c>
      <c r="Y298" s="35">
        <f t="shared" si="126"/>
        <v>8.6757990867579959E-2</v>
      </c>
      <c r="Z298" s="35">
        <f t="shared" si="126"/>
        <v>8.6757990867579959E-2</v>
      </c>
      <c r="AA298" s="35">
        <f t="shared" si="126"/>
        <v>8.6757990867579959E-2</v>
      </c>
    </row>
    <row r="299" spans="2:27" x14ac:dyDescent="0.2">
      <c r="B299" s="2">
        <v>297</v>
      </c>
      <c r="C299" s="2" t="str">
        <f t="shared" si="123"/>
        <v>a</v>
      </c>
      <c r="D299" s="29" t="s">
        <v>1</v>
      </c>
      <c r="E299" s="29" t="s">
        <v>181</v>
      </c>
      <c r="F299" s="2" t="s">
        <v>218</v>
      </c>
      <c r="G299" s="2">
        <f t="shared" si="116"/>
        <v>1</v>
      </c>
      <c r="H299" s="2" t="str">
        <f t="shared" si="108"/>
        <v>冷却</v>
      </c>
      <c r="I299" s="38">
        <f t="shared" si="109"/>
        <v>0.08</v>
      </c>
      <c r="J299" s="33">
        <f t="shared" si="124"/>
        <v>13</v>
      </c>
      <c r="K299" s="33">
        <f t="shared" si="125"/>
        <v>19</v>
      </c>
      <c r="L299" s="33">
        <f t="shared" si="125"/>
        <v>2</v>
      </c>
      <c r="M299" s="33">
        <f t="shared" si="125"/>
        <v>9</v>
      </c>
      <c r="N299" s="33">
        <f t="shared" si="125"/>
        <v>2</v>
      </c>
      <c r="O299" s="33">
        <f t="shared" si="125"/>
        <v>5</v>
      </c>
      <c r="P299" s="33">
        <f t="shared" si="125"/>
        <v>5</v>
      </c>
      <c r="Q299" s="33">
        <f t="shared" si="125"/>
        <v>5</v>
      </c>
      <c r="R299" s="35">
        <f t="shared" si="110"/>
        <v>0.01</v>
      </c>
      <c r="S299" s="35">
        <f t="shared" si="111"/>
        <v>0.01</v>
      </c>
      <c r="T299" s="35">
        <f t="shared" si="112"/>
        <v>6.2500000000000003E-3</v>
      </c>
      <c r="U299" s="35">
        <f t="shared" si="126"/>
        <v>1.4778325123152691E-2</v>
      </c>
      <c r="V299" s="35">
        <f t="shared" si="126"/>
        <v>1.4778325123152691E-2</v>
      </c>
      <c r="W299" s="35">
        <f t="shared" si="126"/>
        <v>7.407407407407407E-2</v>
      </c>
      <c r="X299" s="35">
        <f t="shared" si="126"/>
        <v>1.4778325123152691E-2</v>
      </c>
      <c r="Y299" s="35">
        <f t="shared" si="126"/>
        <v>1.4778325123152691E-2</v>
      </c>
      <c r="Z299" s="35">
        <f t="shared" si="126"/>
        <v>1.4778325123152691E-2</v>
      </c>
      <c r="AA299" s="35">
        <f t="shared" si="126"/>
        <v>1.4778325123152691E-2</v>
      </c>
    </row>
    <row r="300" spans="2:27" x14ac:dyDescent="0.2">
      <c r="B300" s="2">
        <v>298</v>
      </c>
      <c r="C300" s="2" t="str">
        <f t="shared" si="123"/>
        <v>a</v>
      </c>
      <c r="D300" s="29" t="s">
        <v>1</v>
      </c>
      <c r="E300" s="29" t="s">
        <v>181</v>
      </c>
      <c r="F300" s="2" t="s">
        <v>218</v>
      </c>
      <c r="G300" s="2">
        <f t="shared" si="116"/>
        <v>2</v>
      </c>
      <c r="H300" s="2" t="str">
        <f t="shared" si="108"/>
        <v>冷却</v>
      </c>
      <c r="I300" s="38">
        <f t="shared" si="109"/>
        <v>0.08</v>
      </c>
      <c r="J300" s="33">
        <f t="shared" si="124"/>
        <v>26</v>
      </c>
      <c r="K300" s="33">
        <f t="shared" si="125"/>
        <v>39</v>
      </c>
      <c r="L300" s="33">
        <f t="shared" si="125"/>
        <v>5</v>
      </c>
      <c r="M300" s="33">
        <f t="shared" si="125"/>
        <v>19</v>
      </c>
      <c r="N300" s="33">
        <f t="shared" si="125"/>
        <v>4</v>
      </c>
      <c r="O300" s="33">
        <f t="shared" si="125"/>
        <v>10</v>
      </c>
      <c r="P300" s="33">
        <f t="shared" si="125"/>
        <v>11</v>
      </c>
      <c r="Q300" s="33">
        <f t="shared" si="125"/>
        <v>10</v>
      </c>
      <c r="R300" s="35">
        <f t="shared" si="110"/>
        <v>0.02</v>
      </c>
      <c r="S300" s="35">
        <f t="shared" si="111"/>
        <v>2.2000000000000002E-2</v>
      </c>
      <c r="T300" s="35">
        <f t="shared" si="112"/>
        <v>1.2500000000000001E-2</v>
      </c>
      <c r="U300" s="35">
        <f t="shared" si="126"/>
        <v>2.4390243902439046E-2</v>
      </c>
      <c r="V300" s="35">
        <f t="shared" si="126"/>
        <v>2.4390243902439046E-2</v>
      </c>
      <c r="W300" s="35">
        <f t="shared" si="126"/>
        <v>0.13793103448275867</v>
      </c>
      <c r="X300" s="35">
        <f t="shared" si="126"/>
        <v>2.4390243902439046E-2</v>
      </c>
      <c r="Y300" s="35">
        <f t="shared" si="126"/>
        <v>2.4390243902439046E-2</v>
      </c>
      <c r="Z300" s="35">
        <f t="shared" si="126"/>
        <v>2.4390243902439046E-2</v>
      </c>
      <c r="AA300" s="35">
        <f t="shared" si="126"/>
        <v>2.4390243902439046E-2</v>
      </c>
    </row>
    <row r="301" spans="2:27" x14ac:dyDescent="0.2">
      <c r="B301" s="2">
        <v>299</v>
      </c>
      <c r="C301" s="2" t="str">
        <f t="shared" si="123"/>
        <v>a</v>
      </c>
      <c r="D301" s="29" t="s">
        <v>1</v>
      </c>
      <c r="E301" s="29" t="s">
        <v>181</v>
      </c>
      <c r="F301" s="2" t="s">
        <v>218</v>
      </c>
      <c r="G301" s="2">
        <f t="shared" si="116"/>
        <v>3</v>
      </c>
      <c r="H301" s="2" t="str">
        <f t="shared" si="108"/>
        <v>冷却</v>
      </c>
      <c r="I301" s="38">
        <f t="shared" si="109"/>
        <v>0.08</v>
      </c>
      <c r="J301" s="33">
        <f t="shared" si="124"/>
        <v>39</v>
      </c>
      <c r="K301" s="33">
        <f t="shared" si="125"/>
        <v>59</v>
      </c>
      <c r="L301" s="33">
        <f t="shared" si="125"/>
        <v>7</v>
      </c>
      <c r="M301" s="33">
        <f t="shared" si="125"/>
        <v>28</v>
      </c>
      <c r="N301" s="33">
        <f t="shared" si="125"/>
        <v>6</v>
      </c>
      <c r="O301" s="33">
        <f t="shared" si="125"/>
        <v>16</v>
      </c>
      <c r="P301" s="33">
        <f t="shared" si="125"/>
        <v>16</v>
      </c>
      <c r="Q301" s="33">
        <f t="shared" si="125"/>
        <v>16</v>
      </c>
      <c r="R301" s="35">
        <f t="shared" si="110"/>
        <v>3.2000000000000001E-2</v>
      </c>
      <c r="S301" s="35">
        <f t="shared" si="111"/>
        <v>3.2000000000000001E-2</v>
      </c>
      <c r="T301" s="35">
        <f t="shared" si="112"/>
        <v>0.02</v>
      </c>
      <c r="U301" s="35">
        <f t="shared" si="126"/>
        <v>3.8461538461538436E-2</v>
      </c>
      <c r="V301" s="35">
        <f t="shared" si="126"/>
        <v>3.8461538461538436E-2</v>
      </c>
      <c r="W301" s="35">
        <f t="shared" si="126"/>
        <v>0.19354838709677424</v>
      </c>
      <c r="X301" s="35">
        <f t="shared" si="126"/>
        <v>3.8461538461538436E-2</v>
      </c>
      <c r="Y301" s="35">
        <f t="shared" si="126"/>
        <v>3.8461538461538436E-2</v>
      </c>
      <c r="Z301" s="35">
        <f t="shared" si="126"/>
        <v>3.8461538461538436E-2</v>
      </c>
      <c r="AA301" s="35">
        <f t="shared" si="126"/>
        <v>3.8461538461538436E-2</v>
      </c>
    </row>
    <row r="302" spans="2:27" x14ac:dyDescent="0.2">
      <c r="B302" s="2">
        <v>300</v>
      </c>
      <c r="C302" s="2" t="str">
        <f t="shared" si="123"/>
        <v>a</v>
      </c>
      <c r="D302" s="29" t="s">
        <v>1</v>
      </c>
      <c r="E302" s="29" t="s">
        <v>181</v>
      </c>
      <c r="F302" s="2" t="s">
        <v>218</v>
      </c>
      <c r="G302" s="2">
        <f t="shared" si="116"/>
        <v>4</v>
      </c>
      <c r="H302" s="2" t="str">
        <f t="shared" si="108"/>
        <v>冷却</v>
      </c>
      <c r="I302" s="38">
        <f t="shared" si="109"/>
        <v>0.08</v>
      </c>
      <c r="J302" s="33">
        <f t="shared" si="124"/>
        <v>52</v>
      </c>
      <c r="K302" s="33">
        <f t="shared" si="125"/>
        <v>79</v>
      </c>
      <c r="L302" s="33">
        <f t="shared" si="125"/>
        <v>10</v>
      </c>
      <c r="M302" s="33">
        <f t="shared" si="125"/>
        <v>38</v>
      </c>
      <c r="N302" s="33">
        <f t="shared" si="125"/>
        <v>8</v>
      </c>
      <c r="O302" s="33">
        <f t="shared" si="125"/>
        <v>21</v>
      </c>
      <c r="P302" s="33">
        <f t="shared" si="125"/>
        <v>22</v>
      </c>
      <c r="Q302" s="33">
        <f t="shared" si="125"/>
        <v>21</v>
      </c>
      <c r="R302" s="35">
        <f t="shared" si="110"/>
        <v>4.2000000000000003E-2</v>
      </c>
      <c r="S302" s="35">
        <f t="shared" si="111"/>
        <v>4.4000000000000004E-2</v>
      </c>
      <c r="T302" s="35">
        <f t="shared" si="112"/>
        <v>2.6249999999999999E-2</v>
      </c>
      <c r="U302" s="35">
        <f t="shared" si="126"/>
        <v>5.2132701421800931E-2</v>
      </c>
      <c r="V302" s="35">
        <f t="shared" si="126"/>
        <v>5.2132701421800931E-2</v>
      </c>
      <c r="W302" s="35">
        <f t="shared" si="126"/>
        <v>0.24242424242424243</v>
      </c>
      <c r="X302" s="35">
        <f t="shared" si="126"/>
        <v>5.2132701421800931E-2</v>
      </c>
      <c r="Y302" s="35">
        <f t="shared" si="126"/>
        <v>5.2132701421800931E-2</v>
      </c>
      <c r="Z302" s="35">
        <f t="shared" si="126"/>
        <v>5.2132701421800931E-2</v>
      </c>
      <c r="AA302" s="35">
        <f t="shared" si="126"/>
        <v>5.2132701421800931E-2</v>
      </c>
    </row>
    <row r="303" spans="2:27" x14ac:dyDescent="0.2">
      <c r="B303" s="2">
        <v>301</v>
      </c>
      <c r="C303" s="2" t="str">
        <f t="shared" si="123"/>
        <v>a</v>
      </c>
      <c r="D303" s="29" t="s">
        <v>1</v>
      </c>
      <c r="E303" s="29" t="s">
        <v>181</v>
      </c>
      <c r="F303" s="2" t="s">
        <v>218</v>
      </c>
      <c r="G303" s="2">
        <f t="shared" si="116"/>
        <v>5</v>
      </c>
      <c r="H303" s="2" t="str">
        <f t="shared" si="108"/>
        <v>冷却</v>
      </c>
      <c r="I303" s="38">
        <f t="shared" si="109"/>
        <v>0.09</v>
      </c>
      <c r="J303" s="33">
        <f t="shared" ref="J303:J312" si="127">INT((1+VLOOKUP($F303,role_property_weight,getpos(J$2),FALSE))*(1+VLOOKUP($F303,drop_property_weight,getpos(J$2),FALSE))*VLOOKUP($E303,role_grow,getpos(J$2),FALSE)*$G303*10*VLOOKUP($C303,drop_grow1,4,FALSE))</f>
        <v>66</v>
      </c>
      <c r="K303" s="33">
        <f t="shared" ref="K303:Q312" si="128">INT((1+VLOOKUP($F303,role_property_weight,getpos(K$2),FALSE))*(1+VLOOKUP($F303,drop_property_weight,getpos(K$2),FALSE))*VLOOKUP($E303,role_grow,getpos(K$2),FALSE)*$G303*10*VLOOKUP($C303,drop_grow1,5,FALSE))</f>
        <v>99</v>
      </c>
      <c r="L303" s="33">
        <f t="shared" si="128"/>
        <v>12</v>
      </c>
      <c r="M303" s="33">
        <f t="shared" si="128"/>
        <v>48</v>
      </c>
      <c r="N303" s="33">
        <f t="shared" si="128"/>
        <v>10</v>
      </c>
      <c r="O303" s="33">
        <f t="shared" si="128"/>
        <v>26</v>
      </c>
      <c r="P303" s="33">
        <f t="shared" si="128"/>
        <v>28</v>
      </c>
      <c r="Q303" s="33">
        <f t="shared" si="128"/>
        <v>26</v>
      </c>
      <c r="R303" s="35">
        <f t="shared" si="110"/>
        <v>5.2000000000000005E-2</v>
      </c>
      <c r="S303" s="35">
        <f t="shared" si="111"/>
        <v>5.5999999999999994E-2</v>
      </c>
      <c r="T303" s="35">
        <f t="shared" si="112"/>
        <v>3.2500000000000001E-2</v>
      </c>
      <c r="U303" s="35">
        <f t="shared" ref="U303:AA312" si="129">1-200/(200+ROUND((1+VLOOKUP($F303,role_property_weight,getpos(U$2),FALSE))*VLOOKUP($E303,role_grow,getpos(U$2),FALSE)*$G303*10*VLOOKUP($C303,drop_grow1,5,FALSE),0))</f>
        <v>6.1032863849765251E-2</v>
      </c>
      <c r="V303" s="35">
        <f t="shared" si="129"/>
        <v>6.1032863849765251E-2</v>
      </c>
      <c r="W303" s="35">
        <f t="shared" si="129"/>
        <v>0.2857142857142857</v>
      </c>
      <c r="X303" s="35">
        <f t="shared" si="129"/>
        <v>6.1032863849765251E-2</v>
      </c>
      <c r="Y303" s="35">
        <f t="shared" si="129"/>
        <v>6.1032863849765251E-2</v>
      </c>
      <c r="Z303" s="35">
        <f t="shared" si="129"/>
        <v>6.1032863849765251E-2</v>
      </c>
      <c r="AA303" s="35">
        <f t="shared" si="129"/>
        <v>6.1032863849765251E-2</v>
      </c>
    </row>
    <row r="304" spans="2:27" x14ac:dyDescent="0.2">
      <c r="B304" s="2">
        <v>302</v>
      </c>
      <c r="C304" s="2" t="str">
        <f t="shared" si="123"/>
        <v>a</v>
      </c>
      <c r="D304" s="29" t="s">
        <v>1</v>
      </c>
      <c r="E304" s="29" t="s">
        <v>181</v>
      </c>
      <c r="F304" s="2" t="s">
        <v>218</v>
      </c>
      <c r="G304" s="2">
        <f t="shared" si="116"/>
        <v>6</v>
      </c>
      <c r="H304" s="2" t="str">
        <f t="shared" si="108"/>
        <v>冷却</v>
      </c>
      <c r="I304" s="38">
        <f t="shared" si="109"/>
        <v>0.10828571428571429</v>
      </c>
      <c r="J304" s="33">
        <f t="shared" si="127"/>
        <v>79</v>
      </c>
      <c r="K304" s="33">
        <f t="shared" si="128"/>
        <v>119</v>
      </c>
      <c r="L304" s="33">
        <f t="shared" si="128"/>
        <v>15</v>
      </c>
      <c r="M304" s="33">
        <f t="shared" si="128"/>
        <v>57</v>
      </c>
      <c r="N304" s="33">
        <f t="shared" si="128"/>
        <v>12</v>
      </c>
      <c r="O304" s="33">
        <f t="shared" si="128"/>
        <v>32</v>
      </c>
      <c r="P304" s="33">
        <f t="shared" si="128"/>
        <v>33</v>
      </c>
      <c r="Q304" s="33">
        <f t="shared" si="128"/>
        <v>32</v>
      </c>
      <c r="R304" s="35">
        <f t="shared" si="110"/>
        <v>6.4000000000000001E-2</v>
      </c>
      <c r="S304" s="35">
        <f t="shared" si="111"/>
        <v>6.6000000000000003E-2</v>
      </c>
      <c r="T304" s="35">
        <f t="shared" si="112"/>
        <v>0.04</v>
      </c>
      <c r="U304" s="35">
        <f t="shared" si="129"/>
        <v>7.407407407407407E-2</v>
      </c>
      <c r="V304" s="35">
        <f t="shared" si="129"/>
        <v>7.407407407407407E-2</v>
      </c>
      <c r="W304" s="35">
        <f t="shared" si="129"/>
        <v>0.32432432432432434</v>
      </c>
      <c r="X304" s="35">
        <f t="shared" si="129"/>
        <v>7.407407407407407E-2</v>
      </c>
      <c r="Y304" s="35">
        <f t="shared" si="129"/>
        <v>7.407407407407407E-2</v>
      </c>
      <c r="Z304" s="35">
        <f t="shared" si="129"/>
        <v>7.407407407407407E-2</v>
      </c>
      <c r="AA304" s="35">
        <f t="shared" si="129"/>
        <v>7.407407407407407E-2</v>
      </c>
    </row>
    <row r="305" spans="2:27" x14ac:dyDescent="0.2">
      <c r="B305" s="2">
        <v>303</v>
      </c>
      <c r="C305" s="2" t="str">
        <f t="shared" si="123"/>
        <v>a</v>
      </c>
      <c r="D305" s="29" t="s">
        <v>1</v>
      </c>
      <c r="E305" s="29" t="s">
        <v>181</v>
      </c>
      <c r="F305" s="2" t="s">
        <v>218</v>
      </c>
      <c r="G305" s="2">
        <f t="shared" si="116"/>
        <v>7</v>
      </c>
      <c r="H305" s="2" t="str">
        <f t="shared" si="108"/>
        <v>冷却</v>
      </c>
      <c r="I305" s="38">
        <f t="shared" si="109"/>
        <v>0.12628571428571428</v>
      </c>
      <c r="J305" s="33">
        <f t="shared" si="127"/>
        <v>92</v>
      </c>
      <c r="K305" s="33">
        <f t="shared" si="128"/>
        <v>139</v>
      </c>
      <c r="L305" s="33">
        <f t="shared" si="128"/>
        <v>17</v>
      </c>
      <c r="M305" s="33">
        <f t="shared" si="128"/>
        <v>67</v>
      </c>
      <c r="N305" s="33">
        <f t="shared" si="128"/>
        <v>14</v>
      </c>
      <c r="O305" s="33">
        <f t="shared" si="128"/>
        <v>37</v>
      </c>
      <c r="P305" s="33">
        <f t="shared" si="128"/>
        <v>39</v>
      </c>
      <c r="Q305" s="33">
        <f t="shared" si="128"/>
        <v>37</v>
      </c>
      <c r="R305" s="35">
        <f t="shared" si="110"/>
        <v>7.400000000000001E-2</v>
      </c>
      <c r="S305" s="35">
        <f t="shared" si="111"/>
        <v>7.8E-2</v>
      </c>
      <c r="T305" s="35">
        <f t="shared" si="112"/>
        <v>4.6249999999999999E-2</v>
      </c>
      <c r="U305" s="35">
        <f t="shared" si="129"/>
        <v>8.6757990867579959E-2</v>
      </c>
      <c r="V305" s="35">
        <f t="shared" si="129"/>
        <v>8.6757990867579959E-2</v>
      </c>
      <c r="W305" s="35">
        <f t="shared" si="129"/>
        <v>0.35897435897435892</v>
      </c>
      <c r="X305" s="35">
        <f t="shared" si="129"/>
        <v>8.6757990867579959E-2</v>
      </c>
      <c r="Y305" s="35">
        <f t="shared" si="129"/>
        <v>8.6757990867579959E-2</v>
      </c>
      <c r="Z305" s="35">
        <f t="shared" si="129"/>
        <v>8.6757990867579959E-2</v>
      </c>
      <c r="AA305" s="35">
        <f t="shared" si="129"/>
        <v>8.6757990867579959E-2</v>
      </c>
    </row>
    <row r="306" spans="2:27" x14ac:dyDescent="0.2">
      <c r="B306" s="2">
        <v>304</v>
      </c>
      <c r="C306" s="2" t="str">
        <f t="shared" si="123"/>
        <v>a</v>
      </c>
      <c r="D306" s="29" t="s">
        <v>1</v>
      </c>
      <c r="E306" s="29" t="s">
        <v>181</v>
      </c>
      <c r="F306" s="2" t="s">
        <v>218</v>
      </c>
      <c r="G306" s="2">
        <f t="shared" si="116"/>
        <v>8</v>
      </c>
      <c r="H306" s="2" t="str">
        <f t="shared" si="108"/>
        <v>冷却</v>
      </c>
      <c r="I306" s="38">
        <f t="shared" si="109"/>
        <v>0.14428571428571429</v>
      </c>
      <c r="J306" s="33">
        <f t="shared" si="127"/>
        <v>105</v>
      </c>
      <c r="K306" s="33">
        <f t="shared" si="128"/>
        <v>159</v>
      </c>
      <c r="L306" s="33">
        <f t="shared" si="128"/>
        <v>20</v>
      </c>
      <c r="M306" s="33">
        <f t="shared" si="128"/>
        <v>76</v>
      </c>
      <c r="N306" s="33">
        <f t="shared" si="128"/>
        <v>17</v>
      </c>
      <c r="O306" s="33">
        <f t="shared" si="128"/>
        <v>42</v>
      </c>
      <c r="P306" s="33">
        <f t="shared" si="128"/>
        <v>44</v>
      </c>
      <c r="Q306" s="33">
        <f t="shared" si="128"/>
        <v>42</v>
      </c>
      <c r="R306" s="35">
        <f t="shared" si="110"/>
        <v>8.4000000000000005E-2</v>
      </c>
      <c r="S306" s="35">
        <f t="shared" si="111"/>
        <v>8.8000000000000009E-2</v>
      </c>
      <c r="T306" s="35">
        <f t="shared" si="112"/>
        <v>5.2499999999999998E-2</v>
      </c>
      <c r="U306" s="35">
        <f t="shared" si="129"/>
        <v>9.5022624434389136E-2</v>
      </c>
      <c r="V306" s="35">
        <f t="shared" si="129"/>
        <v>9.5022624434389136E-2</v>
      </c>
      <c r="W306" s="35">
        <f t="shared" si="129"/>
        <v>0.3902439024390244</v>
      </c>
      <c r="X306" s="35">
        <f t="shared" si="129"/>
        <v>9.5022624434389136E-2</v>
      </c>
      <c r="Y306" s="35">
        <f t="shared" si="129"/>
        <v>9.5022624434389136E-2</v>
      </c>
      <c r="Z306" s="35">
        <f t="shared" si="129"/>
        <v>9.5022624434389136E-2</v>
      </c>
      <c r="AA306" s="35">
        <f t="shared" si="129"/>
        <v>9.5022624434389136E-2</v>
      </c>
    </row>
    <row r="307" spans="2:27" x14ac:dyDescent="0.2">
      <c r="B307" s="2">
        <v>305</v>
      </c>
      <c r="C307" s="2" t="str">
        <f t="shared" si="123"/>
        <v>b</v>
      </c>
      <c r="D307" s="29" t="s">
        <v>1</v>
      </c>
      <c r="E307" s="29" t="s">
        <v>181</v>
      </c>
      <c r="F307" s="2" t="s">
        <v>218</v>
      </c>
      <c r="G307" s="2">
        <f t="shared" si="116"/>
        <v>1</v>
      </c>
      <c r="H307" s="2" t="str">
        <f t="shared" si="108"/>
        <v>冷却</v>
      </c>
      <c r="I307" s="38">
        <f t="shared" si="109"/>
        <v>0.08</v>
      </c>
      <c r="J307" s="33">
        <f t="shared" si="127"/>
        <v>15</v>
      </c>
      <c r="K307" s="33">
        <f t="shared" si="128"/>
        <v>29</v>
      </c>
      <c r="L307" s="33">
        <f t="shared" si="128"/>
        <v>3</v>
      </c>
      <c r="M307" s="33">
        <f t="shared" si="128"/>
        <v>14</v>
      </c>
      <c r="N307" s="33">
        <f t="shared" si="128"/>
        <v>3</v>
      </c>
      <c r="O307" s="33">
        <f t="shared" si="128"/>
        <v>8</v>
      </c>
      <c r="P307" s="33">
        <f t="shared" si="128"/>
        <v>8</v>
      </c>
      <c r="Q307" s="33">
        <f t="shared" si="128"/>
        <v>8</v>
      </c>
      <c r="R307" s="35">
        <f t="shared" si="110"/>
        <v>1.6E-2</v>
      </c>
      <c r="S307" s="35">
        <f t="shared" si="111"/>
        <v>1.6E-2</v>
      </c>
      <c r="T307" s="35">
        <f t="shared" si="112"/>
        <v>0.01</v>
      </c>
      <c r="U307" s="35">
        <f t="shared" si="129"/>
        <v>1.9607843137254943E-2</v>
      </c>
      <c r="V307" s="35">
        <f t="shared" si="129"/>
        <v>1.9607843137254943E-2</v>
      </c>
      <c r="W307" s="35">
        <f t="shared" si="129"/>
        <v>0.1071428571428571</v>
      </c>
      <c r="X307" s="35">
        <f t="shared" si="129"/>
        <v>1.9607843137254943E-2</v>
      </c>
      <c r="Y307" s="35">
        <f t="shared" si="129"/>
        <v>1.9607843137254943E-2</v>
      </c>
      <c r="Z307" s="35">
        <f t="shared" si="129"/>
        <v>1.9607843137254943E-2</v>
      </c>
      <c r="AA307" s="35">
        <f t="shared" si="129"/>
        <v>1.9607843137254943E-2</v>
      </c>
    </row>
    <row r="308" spans="2:27" x14ac:dyDescent="0.2">
      <c r="B308" s="2">
        <v>306</v>
      </c>
      <c r="C308" s="2" t="str">
        <f t="shared" si="123"/>
        <v>b</v>
      </c>
      <c r="D308" s="29" t="s">
        <v>1</v>
      </c>
      <c r="E308" s="29" t="s">
        <v>181</v>
      </c>
      <c r="F308" s="2" t="s">
        <v>218</v>
      </c>
      <c r="G308" s="2">
        <f t="shared" si="116"/>
        <v>2</v>
      </c>
      <c r="H308" s="2" t="str">
        <f t="shared" si="108"/>
        <v>冷却</v>
      </c>
      <c r="I308" s="38">
        <f t="shared" si="109"/>
        <v>0.08</v>
      </c>
      <c r="J308" s="33">
        <f t="shared" si="127"/>
        <v>30</v>
      </c>
      <c r="K308" s="33">
        <f t="shared" si="128"/>
        <v>59</v>
      </c>
      <c r="L308" s="33">
        <f t="shared" si="128"/>
        <v>7</v>
      </c>
      <c r="M308" s="33">
        <f t="shared" si="128"/>
        <v>28</v>
      </c>
      <c r="N308" s="33">
        <f t="shared" si="128"/>
        <v>6</v>
      </c>
      <c r="O308" s="33">
        <f t="shared" si="128"/>
        <v>16</v>
      </c>
      <c r="P308" s="33">
        <f t="shared" si="128"/>
        <v>16</v>
      </c>
      <c r="Q308" s="33">
        <f t="shared" si="128"/>
        <v>16</v>
      </c>
      <c r="R308" s="35">
        <f t="shared" si="110"/>
        <v>3.2000000000000001E-2</v>
      </c>
      <c r="S308" s="35">
        <f t="shared" si="111"/>
        <v>3.2000000000000001E-2</v>
      </c>
      <c r="T308" s="35">
        <f t="shared" si="112"/>
        <v>0.02</v>
      </c>
      <c r="U308" s="35">
        <f t="shared" si="129"/>
        <v>3.8461538461538436E-2</v>
      </c>
      <c r="V308" s="35">
        <f t="shared" si="129"/>
        <v>3.8461538461538436E-2</v>
      </c>
      <c r="W308" s="35">
        <f t="shared" si="129"/>
        <v>0.19354838709677424</v>
      </c>
      <c r="X308" s="35">
        <f t="shared" si="129"/>
        <v>3.8461538461538436E-2</v>
      </c>
      <c r="Y308" s="35">
        <f t="shared" si="129"/>
        <v>3.8461538461538436E-2</v>
      </c>
      <c r="Z308" s="35">
        <f t="shared" si="129"/>
        <v>3.8461538461538436E-2</v>
      </c>
      <c r="AA308" s="35">
        <f t="shared" si="129"/>
        <v>3.8461538461538436E-2</v>
      </c>
    </row>
    <row r="309" spans="2:27" x14ac:dyDescent="0.2">
      <c r="B309" s="2">
        <v>307</v>
      </c>
      <c r="C309" s="2" t="str">
        <f t="shared" si="123"/>
        <v>b</v>
      </c>
      <c r="D309" s="29" t="s">
        <v>1</v>
      </c>
      <c r="E309" s="29" t="s">
        <v>181</v>
      </c>
      <c r="F309" s="2" t="s">
        <v>218</v>
      </c>
      <c r="G309" s="2">
        <f t="shared" si="116"/>
        <v>3</v>
      </c>
      <c r="H309" s="2" t="str">
        <f t="shared" si="108"/>
        <v>冷却</v>
      </c>
      <c r="I309" s="38">
        <f t="shared" si="109"/>
        <v>0.08</v>
      </c>
      <c r="J309" s="33">
        <f t="shared" si="127"/>
        <v>46</v>
      </c>
      <c r="K309" s="33">
        <f t="shared" si="128"/>
        <v>89</v>
      </c>
      <c r="L309" s="33">
        <f t="shared" si="128"/>
        <v>11</v>
      </c>
      <c r="M309" s="33">
        <f t="shared" si="128"/>
        <v>43</v>
      </c>
      <c r="N309" s="33">
        <f t="shared" si="128"/>
        <v>9</v>
      </c>
      <c r="O309" s="33">
        <f t="shared" si="128"/>
        <v>24</v>
      </c>
      <c r="P309" s="33">
        <f t="shared" si="128"/>
        <v>25</v>
      </c>
      <c r="Q309" s="33">
        <f t="shared" si="128"/>
        <v>24</v>
      </c>
      <c r="R309" s="35">
        <f t="shared" si="110"/>
        <v>4.8000000000000001E-2</v>
      </c>
      <c r="S309" s="35">
        <f t="shared" si="111"/>
        <v>0.05</v>
      </c>
      <c r="T309" s="35">
        <f t="shared" si="112"/>
        <v>0.03</v>
      </c>
      <c r="U309" s="35">
        <f t="shared" si="129"/>
        <v>5.6603773584905648E-2</v>
      </c>
      <c r="V309" s="35">
        <f t="shared" si="129"/>
        <v>5.6603773584905648E-2</v>
      </c>
      <c r="W309" s="35">
        <f t="shared" si="129"/>
        <v>0.26470588235294112</v>
      </c>
      <c r="X309" s="35">
        <f t="shared" si="129"/>
        <v>5.6603773584905648E-2</v>
      </c>
      <c r="Y309" s="35">
        <f t="shared" si="129"/>
        <v>5.6603773584905648E-2</v>
      </c>
      <c r="Z309" s="35">
        <f t="shared" si="129"/>
        <v>5.6603773584905648E-2</v>
      </c>
      <c r="AA309" s="35">
        <f t="shared" si="129"/>
        <v>5.6603773584905648E-2</v>
      </c>
    </row>
    <row r="310" spans="2:27" x14ac:dyDescent="0.2">
      <c r="B310" s="2">
        <v>308</v>
      </c>
      <c r="C310" s="2" t="str">
        <f t="shared" si="123"/>
        <v>b</v>
      </c>
      <c r="D310" s="29" t="s">
        <v>1</v>
      </c>
      <c r="E310" s="29" t="s">
        <v>181</v>
      </c>
      <c r="F310" s="2" t="s">
        <v>218</v>
      </c>
      <c r="G310" s="2">
        <f t="shared" si="116"/>
        <v>4</v>
      </c>
      <c r="H310" s="2" t="str">
        <f t="shared" si="108"/>
        <v>冷却</v>
      </c>
      <c r="I310" s="38">
        <f t="shared" si="109"/>
        <v>0.10314285714285715</v>
      </c>
      <c r="J310" s="33">
        <f t="shared" si="127"/>
        <v>61</v>
      </c>
      <c r="K310" s="33">
        <f t="shared" si="128"/>
        <v>119</v>
      </c>
      <c r="L310" s="33">
        <f t="shared" si="128"/>
        <v>15</v>
      </c>
      <c r="M310" s="33">
        <f t="shared" si="128"/>
        <v>57</v>
      </c>
      <c r="N310" s="33">
        <f t="shared" si="128"/>
        <v>12</v>
      </c>
      <c r="O310" s="33">
        <f t="shared" si="128"/>
        <v>32</v>
      </c>
      <c r="P310" s="33">
        <f t="shared" si="128"/>
        <v>33</v>
      </c>
      <c r="Q310" s="33">
        <f t="shared" si="128"/>
        <v>32</v>
      </c>
      <c r="R310" s="35">
        <f t="shared" si="110"/>
        <v>6.4000000000000001E-2</v>
      </c>
      <c r="S310" s="35">
        <f t="shared" si="111"/>
        <v>6.6000000000000003E-2</v>
      </c>
      <c r="T310" s="35">
        <f t="shared" si="112"/>
        <v>0.04</v>
      </c>
      <c r="U310" s="35">
        <f t="shared" si="129"/>
        <v>7.407407407407407E-2</v>
      </c>
      <c r="V310" s="35">
        <f t="shared" si="129"/>
        <v>7.407407407407407E-2</v>
      </c>
      <c r="W310" s="35">
        <f t="shared" si="129"/>
        <v>0.32432432432432434</v>
      </c>
      <c r="X310" s="35">
        <f t="shared" si="129"/>
        <v>7.407407407407407E-2</v>
      </c>
      <c r="Y310" s="35">
        <f t="shared" si="129"/>
        <v>7.407407407407407E-2</v>
      </c>
      <c r="Z310" s="35">
        <f t="shared" si="129"/>
        <v>7.407407407407407E-2</v>
      </c>
      <c r="AA310" s="35">
        <f t="shared" si="129"/>
        <v>7.407407407407407E-2</v>
      </c>
    </row>
    <row r="311" spans="2:27" x14ac:dyDescent="0.2">
      <c r="B311" s="2">
        <v>309</v>
      </c>
      <c r="C311" s="2" t="str">
        <f t="shared" si="123"/>
        <v>b</v>
      </c>
      <c r="D311" s="29" t="s">
        <v>1</v>
      </c>
      <c r="E311" s="29" t="s">
        <v>181</v>
      </c>
      <c r="F311" s="2" t="s">
        <v>218</v>
      </c>
      <c r="G311" s="2">
        <f t="shared" si="116"/>
        <v>5</v>
      </c>
      <c r="H311" s="2" t="str">
        <f t="shared" si="108"/>
        <v>冷却</v>
      </c>
      <c r="I311" s="38">
        <f t="shared" si="109"/>
        <v>0.13</v>
      </c>
      <c r="J311" s="33">
        <f t="shared" si="127"/>
        <v>77</v>
      </c>
      <c r="K311" s="33">
        <f t="shared" si="128"/>
        <v>149</v>
      </c>
      <c r="L311" s="33">
        <f t="shared" si="128"/>
        <v>19</v>
      </c>
      <c r="M311" s="33">
        <f t="shared" si="128"/>
        <v>72</v>
      </c>
      <c r="N311" s="33">
        <f t="shared" si="128"/>
        <v>16</v>
      </c>
      <c r="O311" s="33">
        <f t="shared" si="128"/>
        <v>40</v>
      </c>
      <c r="P311" s="33">
        <f t="shared" si="128"/>
        <v>42</v>
      </c>
      <c r="Q311" s="33">
        <f t="shared" si="128"/>
        <v>40</v>
      </c>
      <c r="R311" s="35">
        <f t="shared" si="110"/>
        <v>0.08</v>
      </c>
      <c r="S311" s="35">
        <f t="shared" si="111"/>
        <v>8.4000000000000005E-2</v>
      </c>
      <c r="T311" s="35">
        <f t="shared" si="112"/>
        <v>0.05</v>
      </c>
      <c r="U311" s="35">
        <f t="shared" si="129"/>
        <v>9.0909090909090939E-2</v>
      </c>
      <c r="V311" s="35">
        <f t="shared" si="129"/>
        <v>9.0909090909090939E-2</v>
      </c>
      <c r="W311" s="35">
        <f t="shared" si="129"/>
        <v>0.375</v>
      </c>
      <c r="X311" s="35">
        <f t="shared" si="129"/>
        <v>9.0909090909090939E-2</v>
      </c>
      <c r="Y311" s="35">
        <f t="shared" si="129"/>
        <v>9.0909090909090939E-2</v>
      </c>
      <c r="Z311" s="35">
        <f t="shared" si="129"/>
        <v>9.0909090909090939E-2</v>
      </c>
      <c r="AA311" s="35">
        <f t="shared" si="129"/>
        <v>9.0909090909090939E-2</v>
      </c>
    </row>
    <row r="312" spans="2:27" x14ac:dyDescent="0.2">
      <c r="B312" s="2">
        <v>310</v>
      </c>
      <c r="C312" s="2" t="str">
        <f t="shared" si="123"/>
        <v>b</v>
      </c>
      <c r="D312" s="29" t="s">
        <v>1</v>
      </c>
      <c r="E312" s="29" t="s">
        <v>181</v>
      </c>
      <c r="F312" s="2" t="s">
        <v>218</v>
      </c>
      <c r="G312" s="2">
        <f t="shared" si="116"/>
        <v>6</v>
      </c>
      <c r="H312" s="2" t="str">
        <f t="shared" si="108"/>
        <v>冷却</v>
      </c>
      <c r="I312" s="38">
        <f t="shared" si="109"/>
        <v>0.15571428571428572</v>
      </c>
      <c r="J312" s="33">
        <f t="shared" si="127"/>
        <v>92</v>
      </c>
      <c r="K312" s="33">
        <f t="shared" si="128"/>
        <v>179</v>
      </c>
      <c r="L312" s="33">
        <f t="shared" si="128"/>
        <v>23</v>
      </c>
      <c r="M312" s="33">
        <f t="shared" si="128"/>
        <v>86</v>
      </c>
      <c r="N312" s="33">
        <f t="shared" si="128"/>
        <v>19</v>
      </c>
      <c r="O312" s="33">
        <f t="shared" si="128"/>
        <v>48</v>
      </c>
      <c r="P312" s="33">
        <f t="shared" si="128"/>
        <v>50</v>
      </c>
      <c r="Q312" s="33">
        <f t="shared" si="128"/>
        <v>48</v>
      </c>
      <c r="R312" s="35">
        <f t="shared" si="110"/>
        <v>9.6000000000000002E-2</v>
      </c>
      <c r="S312" s="35">
        <f t="shared" si="111"/>
        <v>0.1</v>
      </c>
      <c r="T312" s="35">
        <f t="shared" si="112"/>
        <v>0.06</v>
      </c>
      <c r="U312" s="35">
        <f t="shared" si="129"/>
        <v>0.1071428571428571</v>
      </c>
      <c r="V312" s="35">
        <f t="shared" si="129"/>
        <v>0.1071428571428571</v>
      </c>
      <c r="W312" s="35">
        <f t="shared" si="129"/>
        <v>0.41860465116279066</v>
      </c>
      <c r="X312" s="35">
        <f t="shared" si="129"/>
        <v>0.1071428571428571</v>
      </c>
      <c r="Y312" s="35">
        <f t="shared" si="129"/>
        <v>0.1071428571428571</v>
      </c>
      <c r="Z312" s="35">
        <f t="shared" si="129"/>
        <v>0.1071428571428571</v>
      </c>
      <c r="AA312" s="35">
        <f t="shared" si="129"/>
        <v>0.1071428571428571</v>
      </c>
    </row>
    <row r="313" spans="2:27" x14ac:dyDescent="0.2">
      <c r="B313" s="2">
        <v>311</v>
      </c>
      <c r="C313" s="2" t="str">
        <f t="shared" si="123"/>
        <v>b</v>
      </c>
      <c r="D313" s="29" t="s">
        <v>1</v>
      </c>
      <c r="E313" s="29" t="s">
        <v>181</v>
      </c>
      <c r="F313" s="2" t="s">
        <v>218</v>
      </c>
      <c r="G313" s="2">
        <f t="shared" si="116"/>
        <v>7</v>
      </c>
      <c r="H313" s="2" t="str">
        <f t="shared" si="108"/>
        <v>冷却</v>
      </c>
      <c r="I313" s="38">
        <f t="shared" si="109"/>
        <v>0.18114285714285713</v>
      </c>
      <c r="J313" s="33">
        <f t="shared" ref="J313:J322" si="130">INT((1+VLOOKUP($F313,role_property_weight,getpos(J$2),FALSE))*(1+VLOOKUP($F313,drop_property_weight,getpos(J$2),FALSE))*VLOOKUP($E313,role_grow,getpos(J$2),FALSE)*$G313*10*VLOOKUP($C313,drop_grow1,4,FALSE))</f>
        <v>107</v>
      </c>
      <c r="K313" s="33">
        <f t="shared" ref="K313:Q322" si="131">INT((1+VLOOKUP($F313,role_property_weight,getpos(K$2),FALSE))*(1+VLOOKUP($F313,drop_property_weight,getpos(K$2),FALSE))*VLOOKUP($E313,role_grow,getpos(K$2),FALSE)*$G313*10*VLOOKUP($C313,drop_grow1,5,FALSE))</f>
        <v>209</v>
      </c>
      <c r="L313" s="33">
        <f t="shared" si="131"/>
        <v>26</v>
      </c>
      <c r="M313" s="33">
        <f t="shared" si="131"/>
        <v>100</v>
      </c>
      <c r="N313" s="33">
        <f t="shared" si="131"/>
        <v>22</v>
      </c>
      <c r="O313" s="33">
        <f t="shared" si="131"/>
        <v>56</v>
      </c>
      <c r="P313" s="33">
        <f t="shared" si="131"/>
        <v>58</v>
      </c>
      <c r="Q313" s="33">
        <f t="shared" si="131"/>
        <v>56</v>
      </c>
      <c r="R313" s="35">
        <f t="shared" si="110"/>
        <v>0.11199999999999999</v>
      </c>
      <c r="S313" s="35">
        <f t="shared" si="111"/>
        <v>0.11599999999999999</v>
      </c>
      <c r="T313" s="35">
        <f t="shared" si="112"/>
        <v>7.0000000000000007E-2</v>
      </c>
      <c r="U313" s="35">
        <f t="shared" ref="U313:AA322" si="132">1-200/(200+ROUND((1+VLOOKUP($F313,role_property_weight,getpos(U$2),FALSE))*VLOOKUP($E313,role_grow,getpos(U$2),FALSE)*$G313*10*VLOOKUP($C313,drop_grow1,5,FALSE),0))</f>
        <v>0.1228070175438597</v>
      </c>
      <c r="V313" s="35">
        <f t="shared" si="132"/>
        <v>0.1228070175438597</v>
      </c>
      <c r="W313" s="35">
        <f t="shared" si="132"/>
        <v>0.45652173913043481</v>
      </c>
      <c r="X313" s="35">
        <f t="shared" si="132"/>
        <v>0.1228070175438597</v>
      </c>
      <c r="Y313" s="35">
        <f t="shared" si="132"/>
        <v>0.1228070175438597</v>
      </c>
      <c r="Z313" s="35">
        <f t="shared" si="132"/>
        <v>0.1228070175438597</v>
      </c>
      <c r="AA313" s="35">
        <f t="shared" si="132"/>
        <v>0.1228070175438597</v>
      </c>
    </row>
    <row r="314" spans="2:27" x14ac:dyDescent="0.2">
      <c r="B314" s="2">
        <v>312</v>
      </c>
      <c r="C314" s="2" t="str">
        <f t="shared" si="123"/>
        <v>b</v>
      </c>
      <c r="D314" s="29" t="s">
        <v>1</v>
      </c>
      <c r="E314" s="29" t="s">
        <v>181</v>
      </c>
      <c r="F314" s="2" t="s">
        <v>218</v>
      </c>
      <c r="G314" s="2">
        <f t="shared" si="116"/>
        <v>8</v>
      </c>
      <c r="H314" s="2" t="str">
        <f t="shared" si="108"/>
        <v>冷却</v>
      </c>
      <c r="I314" s="38">
        <f t="shared" si="109"/>
        <v>0.20771428571428571</v>
      </c>
      <c r="J314" s="33">
        <f t="shared" si="130"/>
        <v>123</v>
      </c>
      <c r="K314" s="33">
        <f t="shared" si="131"/>
        <v>239</v>
      </c>
      <c r="L314" s="33">
        <f t="shared" si="131"/>
        <v>30</v>
      </c>
      <c r="M314" s="33">
        <f t="shared" si="131"/>
        <v>115</v>
      </c>
      <c r="N314" s="33">
        <f t="shared" si="131"/>
        <v>25</v>
      </c>
      <c r="O314" s="33">
        <f t="shared" si="131"/>
        <v>64</v>
      </c>
      <c r="P314" s="33">
        <f t="shared" si="131"/>
        <v>67</v>
      </c>
      <c r="Q314" s="33">
        <f t="shared" si="131"/>
        <v>64</v>
      </c>
      <c r="R314" s="35">
        <f t="shared" si="110"/>
        <v>0.128</v>
      </c>
      <c r="S314" s="35">
        <f t="shared" si="111"/>
        <v>0.13400000000000001</v>
      </c>
      <c r="T314" s="35">
        <f t="shared" si="112"/>
        <v>0.08</v>
      </c>
      <c r="U314" s="35">
        <f t="shared" si="132"/>
        <v>0.13793103448275867</v>
      </c>
      <c r="V314" s="35">
        <f t="shared" si="132"/>
        <v>0.13793103448275867</v>
      </c>
      <c r="W314" s="35">
        <f t="shared" si="132"/>
        <v>0.48979591836734693</v>
      </c>
      <c r="X314" s="35">
        <f t="shared" si="132"/>
        <v>0.13793103448275867</v>
      </c>
      <c r="Y314" s="35">
        <f t="shared" si="132"/>
        <v>0.13793103448275867</v>
      </c>
      <c r="Z314" s="35">
        <f t="shared" si="132"/>
        <v>0.13793103448275867</v>
      </c>
      <c r="AA314" s="35">
        <f t="shared" si="132"/>
        <v>0.13793103448275867</v>
      </c>
    </row>
    <row r="315" spans="2:27" x14ac:dyDescent="0.2">
      <c r="B315" s="2">
        <v>313</v>
      </c>
      <c r="C315" s="2" t="str">
        <f t="shared" si="123"/>
        <v>c</v>
      </c>
      <c r="D315" s="29" t="s">
        <v>1</v>
      </c>
      <c r="E315" s="29" t="s">
        <v>181</v>
      </c>
      <c r="F315" s="2" t="s">
        <v>218</v>
      </c>
      <c r="G315" s="2">
        <f t="shared" si="116"/>
        <v>1</v>
      </c>
      <c r="H315" s="2" t="str">
        <f t="shared" si="108"/>
        <v>--</v>
      </c>
      <c r="I315" s="38">
        <f t="shared" si="109"/>
        <v>0</v>
      </c>
      <c r="J315" s="33">
        <f t="shared" si="130"/>
        <v>20</v>
      </c>
      <c r="K315" s="33">
        <f t="shared" si="131"/>
        <v>0</v>
      </c>
      <c r="L315" s="33">
        <f t="shared" si="131"/>
        <v>0</v>
      </c>
      <c r="M315" s="33">
        <f t="shared" si="131"/>
        <v>0</v>
      </c>
      <c r="N315" s="33">
        <f t="shared" si="131"/>
        <v>0</v>
      </c>
      <c r="O315" s="33">
        <f t="shared" si="131"/>
        <v>0</v>
      </c>
      <c r="P315" s="33">
        <f t="shared" si="131"/>
        <v>0</v>
      </c>
      <c r="Q315" s="33">
        <f t="shared" si="131"/>
        <v>0</v>
      </c>
      <c r="R315" s="35">
        <f t="shared" si="110"/>
        <v>0</v>
      </c>
      <c r="S315" s="35">
        <f t="shared" si="111"/>
        <v>0</v>
      </c>
      <c r="T315" s="35">
        <f t="shared" si="112"/>
        <v>0</v>
      </c>
      <c r="U315" s="35">
        <f t="shared" si="132"/>
        <v>0</v>
      </c>
      <c r="V315" s="35">
        <f t="shared" si="132"/>
        <v>0</v>
      </c>
      <c r="W315" s="35">
        <f t="shared" si="132"/>
        <v>0</v>
      </c>
      <c r="X315" s="35">
        <f t="shared" si="132"/>
        <v>0</v>
      </c>
      <c r="Y315" s="35">
        <f t="shared" si="132"/>
        <v>0</v>
      </c>
      <c r="Z315" s="35">
        <f t="shared" si="132"/>
        <v>0</v>
      </c>
      <c r="AA315" s="35">
        <f t="shared" si="132"/>
        <v>0</v>
      </c>
    </row>
    <row r="316" spans="2:27" x14ac:dyDescent="0.2">
      <c r="B316" s="2">
        <v>314</v>
      </c>
      <c r="C316" s="2" t="str">
        <f t="shared" si="123"/>
        <v>c</v>
      </c>
      <c r="D316" s="29" t="s">
        <v>1</v>
      </c>
      <c r="E316" s="29" t="s">
        <v>181</v>
      </c>
      <c r="F316" s="2" t="s">
        <v>218</v>
      </c>
      <c r="G316" s="2">
        <f t="shared" si="116"/>
        <v>2</v>
      </c>
      <c r="H316" s="2" t="str">
        <f t="shared" si="108"/>
        <v>--</v>
      </c>
      <c r="I316" s="38">
        <f t="shared" si="109"/>
        <v>0</v>
      </c>
      <c r="J316" s="33">
        <f t="shared" si="130"/>
        <v>41</v>
      </c>
      <c r="K316" s="33">
        <f t="shared" si="131"/>
        <v>0</v>
      </c>
      <c r="L316" s="33">
        <f t="shared" si="131"/>
        <v>0</v>
      </c>
      <c r="M316" s="33">
        <f t="shared" si="131"/>
        <v>0</v>
      </c>
      <c r="N316" s="33">
        <f t="shared" si="131"/>
        <v>0</v>
      </c>
      <c r="O316" s="33">
        <f t="shared" si="131"/>
        <v>0</v>
      </c>
      <c r="P316" s="33">
        <f t="shared" si="131"/>
        <v>0</v>
      </c>
      <c r="Q316" s="33">
        <f t="shared" si="131"/>
        <v>0</v>
      </c>
      <c r="R316" s="35">
        <f t="shared" si="110"/>
        <v>0</v>
      </c>
      <c r="S316" s="35">
        <f t="shared" si="111"/>
        <v>0</v>
      </c>
      <c r="T316" s="35">
        <f t="shared" si="112"/>
        <v>0</v>
      </c>
      <c r="U316" s="35">
        <f t="shared" si="132"/>
        <v>0</v>
      </c>
      <c r="V316" s="35">
        <f t="shared" si="132"/>
        <v>0</v>
      </c>
      <c r="W316" s="35">
        <f t="shared" si="132"/>
        <v>0</v>
      </c>
      <c r="X316" s="35">
        <f t="shared" si="132"/>
        <v>0</v>
      </c>
      <c r="Y316" s="35">
        <f t="shared" si="132"/>
        <v>0</v>
      </c>
      <c r="Z316" s="35">
        <f t="shared" si="132"/>
        <v>0</v>
      </c>
      <c r="AA316" s="35">
        <f t="shared" si="132"/>
        <v>0</v>
      </c>
    </row>
    <row r="317" spans="2:27" x14ac:dyDescent="0.2">
      <c r="B317" s="2">
        <v>315</v>
      </c>
      <c r="C317" s="2" t="str">
        <f t="shared" si="123"/>
        <v>c</v>
      </c>
      <c r="D317" s="29" t="s">
        <v>1</v>
      </c>
      <c r="E317" s="29" t="s">
        <v>181</v>
      </c>
      <c r="F317" s="2" t="s">
        <v>218</v>
      </c>
      <c r="G317" s="2">
        <f t="shared" si="116"/>
        <v>3</v>
      </c>
      <c r="H317" s="2" t="str">
        <f t="shared" si="108"/>
        <v>--</v>
      </c>
      <c r="I317" s="38">
        <f t="shared" si="109"/>
        <v>0</v>
      </c>
      <c r="J317" s="33">
        <f t="shared" si="130"/>
        <v>62</v>
      </c>
      <c r="K317" s="33">
        <f t="shared" si="131"/>
        <v>0</v>
      </c>
      <c r="L317" s="33">
        <f t="shared" si="131"/>
        <v>0</v>
      </c>
      <c r="M317" s="33">
        <f t="shared" si="131"/>
        <v>0</v>
      </c>
      <c r="N317" s="33">
        <f t="shared" si="131"/>
        <v>0</v>
      </c>
      <c r="O317" s="33">
        <f t="shared" si="131"/>
        <v>0</v>
      </c>
      <c r="P317" s="33">
        <f t="shared" si="131"/>
        <v>0</v>
      </c>
      <c r="Q317" s="33">
        <f t="shared" si="131"/>
        <v>0</v>
      </c>
      <c r="R317" s="35">
        <f t="shared" si="110"/>
        <v>0</v>
      </c>
      <c r="S317" s="35">
        <f t="shared" si="111"/>
        <v>0</v>
      </c>
      <c r="T317" s="35">
        <f t="shared" si="112"/>
        <v>0</v>
      </c>
      <c r="U317" s="35">
        <f t="shared" si="132"/>
        <v>0</v>
      </c>
      <c r="V317" s="35">
        <f t="shared" si="132"/>
        <v>0</v>
      </c>
      <c r="W317" s="35">
        <f t="shared" si="132"/>
        <v>0</v>
      </c>
      <c r="X317" s="35">
        <f t="shared" si="132"/>
        <v>0</v>
      </c>
      <c r="Y317" s="35">
        <f t="shared" si="132"/>
        <v>0</v>
      </c>
      <c r="Z317" s="35">
        <f t="shared" si="132"/>
        <v>0</v>
      </c>
      <c r="AA317" s="35">
        <f t="shared" si="132"/>
        <v>0</v>
      </c>
    </row>
    <row r="318" spans="2:27" x14ac:dyDescent="0.2">
      <c r="B318" s="2">
        <v>316</v>
      </c>
      <c r="C318" s="2" t="str">
        <f t="shared" si="123"/>
        <v>c</v>
      </c>
      <c r="D318" s="29" t="s">
        <v>1</v>
      </c>
      <c r="E318" s="29" t="s">
        <v>181</v>
      </c>
      <c r="F318" s="2" t="s">
        <v>218</v>
      </c>
      <c r="G318" s="2">
        <f t="shared" si="116"/>
        <v>4</v>
      </c>
      <c r="H318" s="2" t="str">
        <f t="shared" si="108"/>
        <v>--</v>
      </c>
      <c r="I318" s="38">
        <f t="shared" si="109"/>
        <v>0</v>
      </c>
      <c r="J318" s="33">
        <f t="shared" si="130"/>
        <v>82</v>
      </c>
      <c r="K318" s="33">
        <f t="shared" si="131"/>
        <v>0</v>
      </c>
      <c r="L318" s="33">
        <f t="shared" si="131"/>
        <v>0</v>
      </c>
      <c r="M318" s="33">
        <f t="shared" si="131"/>
        <v>0</v>
      </c>
      <c r="N318" s="33">
        <f t="shared" si="131"/>
        <v>0</v>
      </c>
      <c r="O318" s="33">
        <f t="shared" si="131"/>
        <v>0</v>
      </c>
      <c r="P318" s="33">
        <f t="shared" si="131"/>
        <v>0</v>
      </c>
      <c r="Q318" s="33">
        <f t="shared" si="131"/>
        <v>0</v>
      </c>
      <c r="R318" s="35">
        <f t="shared" si="110"/>
        <v>0</v>
      </c>
      <c r="S318" s="35">
        <f t="shared" si="111"/>
        <v>0</v>
      </c>
      <c r="T318" s="35">
        <f t="shared" si="112"/>
        <v>0</v>
      </c>
      <c r="U318" s="35">
        <f t="shared" si="132"/>
        <v>0</v>
      </c>
      <c r="V318" s="35">
        <f t="shared" si="132"/>
        <v>0</v>
      </c>
      <c r="W318" s="35">
        <f t="shared" si="132"/>
        <v>0</v>
      </c>
      <c r="X318" s="35">
        <f t="shared" si="132"/>
        <v>0</v>
      </c>
      <c r="Y318" s="35">
        <f t="shared" si="132"/>
        <v>0</v>
      </c>
      <c r="Z318" s="35">
        <f t="shared" si="132"/>
        <v>0</v>
      </c>
      <c r="AA318" s="35">
        <f t="shared" si="132"/>
        <v>0</v>
      </c>
    </row>
    <row r="319" spans="2:27" x14ac:dyDescent="0.2">
      <c r="B319" s="2">
        <v>317</v>
      </c>
      <c r="C319" s="2" t="str">
        <f t="shared" si="123"/>
        <v>c</v>
      </c>
      <c r="D319" s="29" t="s">
        <v>1</v>
      </c>
      <c r="E319" s="29" t="s">
        <v>181</v>
      </c>
      <c r="F319" s="2" t="s">
        <v>218</v>
      </c>
      <c r="G319" s="2">
        <f t="shared" si="116"/>
        <v>5</v>
      </c>
      <c r="H319" s="2" t="str">
        <f t="shared" si="108"/>
        <v>--</v>
      </c>
      <c r="I319" s="38">
        <f t="shared" si="109"/>
        <v>0</v>
      </c>
      <c r="J319" s="33">
        <f t="shared" si="130"/>
        <v>103</v>
      </c>
      <c r="K319" s="33">
        <f t="shared" si="131"/>
        <v>0</v>
      </c>
      <c r="L319" s="33">
        <f t="shared" si="131"/>
        <v>0</v>
      </c>
      <c r="M319" s="33">
        <f t="shared" si="131"/>
        <v>0</v>
      </c>
      <c r="N319" s="33">
        <f t="shared" si="131"/>
        <v>0</v>
      </c>
      <c r="O319" s="33">
        <f t="shared" si="131"/>
        <v>0</v>
      </c>
      <c r="P319" s="33">
        <f t="shared" si="131"/>
        <v>0</v>
      </c>
      <c r="Q319" s="33">
        <f t="shared" si="131"/>
        <v>0</v>
      </c>
      <c r="R319" s="35">
        <f t="shared" si="110"/>
        <v>0</v>
      </c>
      <c r="S319" s="35">
        <f t="shared" si="111"/>
        <v>0</v>
      </c>
      <c r="T319" s="35">
        <f t="shared" si="112"/>
        <v>0</v>
      </c>
      <c r="U319" s="35">
        <f t="shared" si="132"/>
        <v>0</v>
      </c>
      <c r="V319" s="35">
        <f t="shared" si="132"/>
        <v>0</v>
      </c>
      <c r="W319" s="35">
        <f t="shared" si="132"/>
        <v>0</v>
      </c>
      <c r="X319" s="35">
        <f t="shared" si="132"/>
        <v>0</v>
      </c>
      <c r="Y319" s="35">
        <f t="shared" si="132"/>
        <v>0</v>
      </c>
      <c r="Z319" s="35">
        <f t="shared" si="132"/>
        <v>0</v>
      </c>
      <c r="AA319" s="35">
        <f t="shared" si="132"/>
        <v>0</v>
      </c>
    </row>
    <row r="320" spans="2:27" x14ac:dyDescent="0.2">
      <c r="B320" s="2">
        <v>318</v>
      </c>
      <c r="C320" s="2" t="str">
        <f t="shared" si="123"/>
        <v>c</v>
      </c>
      <c r="D320" s="29" t="s">
        <v>1</v>
      </c>
      <c r="E320" s="29" t="s">
        <v>181</v>
      </c>
      <c r="F320" s="2" t="s">
        <v>218</v>
      </c>
      <c r="G320" s="2">
        <f t="shared" si="116"/>
        <v>6</v>
      </c>
      <c r="H320" s="2" t="str">
        <f t="shared" si="108"/>
        <v>--</v>
      </c>
      <c r="I320" s="38">
        <f t="shared" si="109"/>
        <v>0</v>
      </c>
      <c r="J320" s="33">
        <f t="shared" si="130"/>
        <v>124</v>
      </c>
      <c r="K320" s="33">
        <f t="shared" si="131"/>
        <v>0</v>
      </c>
      <c r="L320" s="33">
        <f t="shared" si="131"/>
        <v>0</v>
      </c>
      <c r="M320" s="33">
        <f t="shared" si="131"/>
        <v>0</v>
      </c>
      <c r="N320" s="33">
        <f t="shared" si="131"/>
        <v>0</v>
      </c>
      <c r="O320" s="33">
        <f t="shared" si="131"/>
        <v>0</v>
      </c>
      <c r="P320" s="33">
        <f t="shared" si="131"/>
        <v>0</v>
      </c>
      <c r="Q320" s="33">
        <f t="shared" si="131"/>
        <v>0</v>
      </c>
      <c r="R320" s="35">
        <f t="shared" si="110"/>
        <v>0</v>
      </c>
      <c r="S320" s="35">
        <f t="shared" si="111"/>
        <v>0</v>
      </c>
      <c r="T320" s="35">
        <f t="shared" si="112"/>
        <v>0</v>
      </c>
      <c r="U320" s="35">
        <f t="shared" si="132"/>
        <v>0</v>
      </c>
      <c r="V320" s="35">
        <f t="shared" si="132"/>
        <v>0</v>
      </c>
      <c r="W320" s="35">
        <f t="shared" si="132"/>
        <v>0</v>
      </c>
      <c r="X320" s="35">
        <f t="shared" si="132"/>
        <v>0</v>
      </c>
      <c r="Y320" s="35">
        <f t="shared" si="132"/>
        <v>0</v>
      </c>
      <c r="Z320" s="35">
        <f t="shared" si="132"/>
        <v>0</v>
      </c>
      <c r="AA320" s="35">
        <f t="shared" si="132"/>
        <v>0</v>
      </c>
    </row>
    <row r="321" spans="2:27" x14ac:dyDescent="0.2">
      <c r="B321" s="2">
        <v>319</v>
      </c>
      <c r="C321" s="2" t="str">
        <f t="shared" si="123"/>
        <v>c</v>
      </c>
      <c r="D321" s="29" t="s">
        <v>1</v>
      </c>
      <c r="E321" s="29" t="s">
        <v>181</v>
      </c>
      <c r="F321" s="2" t="s">
        <v>218</v>
      </c>
      <c r="G321" s="2">
        <f t="shared" si="116"/>
        <v>7</v>
      </c>
      <c r="H321" s="2" t="str">
        <f t="shared" si="108"/>
        <v>--</v>
      </c>
      <c r="I321" s="38">
        <f t="shared" si="109"/>
        <v>0</v>
      </c>
      <c r="J321" s="33">
        <f t="shared" si="130"/>
        <v>144</v>
      </c>
      <c r="K321" s="33">
        <f t="shared" si="131"/>
        <v>0</v>
      </c>
      <c r="L321" s="33">
        <f t="shared" si="131"/>
        <v>0</v>
      </c>
      <c r="M321" s="33">
        <f t="shared" si="131"/>
        <v>0</v>
      </c>
      <c r="N321" s="33">
        <f t="shared" si="131"/>
        <v>0</v>
      </c>
      <c r="O321" s="33">
        <f t="shared" si="131"/>
        <v>0</v>
      </c>
      <c r="P321" s="33">
        <f t="shared" si="131"/>
        <v>0</v>
      </c>
      <c r="Q321" s="33">
        <f t="shared" si="131"/>
        <v>0</v>
      </c>
      <c r="R321" s="35">
        <f t="shared" si="110"/>
        <v>0</v>
      </c>
      <c r="S321" s="35">
        <f t="shared" si="111"/>
        <v>0</v>
      </c>
      <c r="T321" s="35">
        <f t="shared" si="112"/>
        <v>0</v>
      </c>
      <c r="U321" s="35">
        <f t="shared" si="132"/>
        <v>0</v>
      </c>
      <c r="V321" s="35">
        <f t="shared" si="132"/>
        <v>0</v>
      </c>
      <c r="W321" s="35">
        <f t="shared" si="132"/>
        <v>0</v>
      </c>
      <c r="X321" s="35">
        <f t="shared" si="132"/>
        <v>0</v>
      </c>
      <c r="Y321" s="35">
        <f t="shared" si="132"/>
        <v>0</v>
      </c>
      <c r="Z321" s="35">
        <f t="shared" si="132"/>
        <v>0</v>
      </c>
      <c r="AA321" s="35">
        <f t="shared" si="132"/>
        <v>0</v>
      </c>
    </row>
    <row r="322" spans="2:27" x14ac:dyDescent="0.2">
      <c r="B322" s="2">
        <v>320</v>
      </c>
      <c r="C322" s="2" t="str">
        <f t="shared" si="123"/>
        <v>c</v>
      </c>
      <c r="D322" s="29" t="s">
        <v>1</v>
      </c>
      <c r="E322" s="29" t="s">
        <v>181</v>
      </c>
      <c r="F322" s="2" t="s">
        <v>218</v>
      </c>
      <c r="G322" s="2">
        <f t="shared" si="116"/>
        <v>8</v>
      </c>
      <c r="H322" s="2" t="str">
        <f t="shared" si="108"/>
        <v>--</v>
      </c>
      <c r="I322" s="38">
        <f t="shared" si="109"/>
        <v>0</v>
      </c>
      <c r="J322" s="33">
        <f t="shared" si="130"/>
        <v>165</v>
      </c>
      <c r="K322" s="33">
        <f t="shared" si="131"/>
        <v>0</v>
      </c>
      <c r="L322" s="33">
        <f t="shared" si="131"/>
        <v>0</v>
      </c>
      <c r="M322" s="33">
        <f t="shared" si="131"/>
        <v>0</v>
      </c>
      <c r="N322" s="33">
        <f t="shared" si="131"/>
        <v>0</v>
      </c>
      <c r="O322" s="33">
        <f t="shared" si="131"/>
        <v>0</v>
      </c>
      <c r="P322" s="33">
        <f t="shared" si="131"/>
        <v>0</v>
      </c>
      <c r="Q322" s="33">
        <f t="shared" si="131"/>
        <v>0</v>
      </c>
      <c r="R322" s="35">
        <f t="shared" si="110"/>
        <v>0</v>
      </c>
      <c r="S322" s="35">
        <f t="shared" si="111"/>
        <v>0</v>
      </c>
      <c r="T322" s="35">
        <f t="shared" si="112"/>
        <v>0</v>
      </c>
      <c r="U322" s="35">
        <f t="shared" si="132"/>
        <v>0</v>
      </c>
      <c r="V322" s="35">
        <f t="shared" si="132"/>
        <v>0</v>
      </c>
      <c r="W322" s="35">
        <f t="shared" si="132"/>
        <v>0</v>
      </c>
      <c r="X322" s="35">
        <f t="shared" si="132"/>
        <v>0</v>
      </c>
      <c r="Y322" s="35">
        <f t="shared" si="132"/>
        <v>0</v>
      </c>
      <c r="Z322" s="35">
        <f t="shared" si="132"/>
        <v>0</v>
      </c>
      <c r="AA322" s="35">
        <f t="shared" si="132"/>
        <v>0</v>
      </c>
    </row>
    <row r="323" spans="2:27" x14ac:dyDescent="0.2">
      <c r="B323" s="2">
        <v>321</v>
      </c>
      <c r="C323" s="2" t="str">
        <f t="shared" si="123"/>
        <v>s</v>
      </c>
      <c r="D323" s="29" t="s">
        <v>1</v>
      </c>
      <c r="E323" s="29" t="s">
        <v>219</v>
      </c>
      <c r="F323" s="2" t="s">
        <v>220</v>
      </c>
      <c r="G323" s="2">
        <f t="shared" si="116"/>
        <v>1</v>
      </c>
      <c r="H323" s="2" t="str">
        <f t="shared" ref="H323:H386" si="133">IF(C323="c","--",VLOOKUP(F323,role_property_weight,17,FALSE))</f>
        <v>物理</v>
      </c>
      <c r="I323" s="38">
        <f t="shared" si="109"/>
        <v>0.08</v>
      </c>
      <c r="J323" s="33">
        <f t="shared" ref="J323:J332" si="134">INT((1+VLOOKUP($F323,role_property_weight,getpos(J$2),FALSE))*(1+VLOOKUP($F323,drop_property_weight,getpos(J$2),FALSE))*VLOOKUP($E323,role_grow,getpos(J$2),FALSE)*$G323*10*VLOOKUP($C323,drop_grow1,4,FALSE))</f>
        <v>21</v>
      </c>
      <c r="K323" s="33">
        <f t="shared" ref="K323:Q332" si="135">INT((1+VLOOKUP($F323,role_property_weight,getpos(K$2),FALSE))*(1+VLOOKUP($F323,drop_property_weight,getpos(K$2),FALSE))*VLOOKUP($E323,role_grow,getpos(K$2),FALSE)*$G323*10*VLOOKUP($C323,drop_grow1,5,FALSE))</f>
        <v>22</v>
      </c>
      <c r="L323" s="33">
        <f t="shared" si="135"/>
        <v>2</v>
      </c>
      <c r="M323" s="33">
        <f t="shared" si="135"/>
        <v>13</v>
      </c>
      <c r="N323" s="33">
        <f t="shared" si="135"/>
        <v>9</v>
      </c>
      <c r="O323" s="33">
        <f t="shared" si="135"/>
        <v>9</v>
      </c>
      <c r="P323" s="33">
        <f t="shared" si="135"/>
        <v>6</v>
      </c>
      <c r="Q323" s="33">
        <f t="shared" si="135"/>
        <v>5</v>
      </c>
      <c r="R323" s="35">
        <f t="shared" si="110"/>
        <v>0.01</v>
      </c>
      <c r="S323" s="35">
        <f t="shared" si="111"/>
        <v>1.2E-2</v>
      </c>
      <c r="T323" s="35">
        <f t="shared" si="112"/>
        <v>6.2500000000000003E-3</v>
      </c>
      <c r="U323" s="35">
        <f t="shared" ref="U323:AA332" si="136">1-200/(200+ROUND((1+VLOOKUP($F323,role_property_weight,getpos(U$2),FALSE))*VLOOKUP($E323,role_grow,getpos(U$2),FALSE)*$G323*10*VLOOKUP($C323,drop_grow1,5,FALSE),0))</f>
        <v>2.9126213592232997E-2</v>
      </c>
      <c r="V323" s="35">
        <f t="shared" si="136"/>
        <v>1.4778325123152691E-2</v>
      </c>
      <c r="W323" s="35">
        <f t="shared" si="136"/>
        <v>1.4778325123152691E-2</v>
      </c>
      <c r="X323" s="35">
        <f t="shared" si="136"/>
        <v>1.4778325123152691E-2</v>
      </c>
      <c r="Y323" s="35">
        <f t="shared" si="136"/>
        <v>1.4778325123152691E-2</v>
      </c>
      <c r="Z323" s="35">
        <f t="shared" si="136"/>
        <v>1.4778325123152691E-2</v>
      </c>
      <c r="AA323" s="35">
        <f t="shared" si="136"/>
        <v>1.4778325123152691E-2</v>
      </c>
    </row>
    <row r="324" spans="2:27" x14ac:dyDescent="0.2">
      <c r="B324" s="2">
        <v>322</v>
      </c>
      <c r="C324" s="2" t="str">
        <f t="shared" si="123"/>
        <v>s</v>
      </c>
      <c r="D324" s="29" t="s">
        <v>1</v>
      </c>
      <c r="E324" s="29" t="s">
        <v>219</v>
      </c>
      <c r="F324" s="2" t="s">
        <v>220</v>
      </c>
      <c r="G324" s="2">
        <f t="shared" si="116"/>
        <v>2</v>
      </c>
      <c r="H324" s="2" t="str">
        <f t="shared" si="133"/>
        <v>物理</v>
      </c>
      <c r="I324" s="38">
        <f t="shared" ref="I324:I387" si="137">IF(H324="--",0,IF((SUM(J324:Q324)/35)%&lt;8%,8%,(SUM(J324:Q324)/35)%))</f>
        <v>0.08</v>
      </c>
      <c r="J324" s="33">
        <f t="shared" si="134"/>
        <v>42</v>
      </c>
      <c r="K324" s="33">
        <f t="shared" si="135"/>
        <v>44</v>
      </c>
      <c r="L324" s="33">
        <f t="shared" si="135"/>
        <v>4</v>
      </c>
      <c r="M324" s="33">
        <f t="shared" si="135"/>
        <v>26</v>
      </c>
      <c r="N324" s="33">
        <f t="shared" si="135"/>
        <v>18</v>
      </c>
      <c r="O324" s="33">
        <f t="shared" si="135"/>
        <v>18</v>
      </c>
      <c r="P324" s="33">
        <f t="shared" si="135"/>
        <v>12</v>
      </c>
      <c r="Q324" s="33">
        <f t="shared" si="135"/>
        <v>11</v>
      </c>
      <c r="R324" s="35">
        <f t="shared" ref="R324:R387" si="138">(Q324/5)%</f>
        <v>2.2000000000000002E-2</v>
      </c>
      <c r="S324" s="35">
        <f t="shared" ref="S324:S387" si="139">(P324/5)%</f>
        <v>2.4E-2</v>
      </c>
      <c r="T324" s="35">
        <f t="shared" ref="T324:T387" si="140">(Q324/8)%</f>
        <v>1.375E-2</v>
      </c>
      <c r="U324" s="35">
        <f t="shared" si="136"/>
        <v>5.6603773584905648E-2</v>
      </c>
      <c r="V324" s="35">
        <f t="shared" si="136"/>
        <v>2.9126213592232997E-2</v>
      </c>
      <c r="W324" s="35">
        <f t="shared" si="136"/>
        <v>2.9126213592232997E-2</v>
      </c>
      <c r="X324" s="35">
        <f t="shared" si="136"/>
        <v>2.9126213592232997E-2</v>
      </c>
      <c r="Y324" s="35">
        <f t="shared" si="136"/>
        <v>2.9126213592232997E-2</v>
      </c>
      <c r="Z324" s="35">
        <f t="shared" si="136"/>
        <v>2.9126213592232997E-2</v>
      </c>
      <c r="AA324" s="35">
        <f t="shared" si="136"/>
        <v>2.9126213592232997E-2</v>
      </c>
    </row>
    <row r="325" spans="2:27" x14ac:dyDescent="0.2">
      <c r="B325" s="2">
        <v>323</v>
      </c>
      <c r="C325" s="2" t="str">
        <f t="shared" si="123"/>
        <v>s</v>
      </c>
      <c r="D325" s="29" t="s">
        <v>1</v>
      </c>
      <c r="E325" s="29" t="s">
        <v>219</v>
      </c>
      <c r="F325" s="2" t="s">
        <v>220</v>
      </c>
      <c r="G325" s="2">
        <f t="shared" si="116"/>
        <v>3</v>
      </c>
      <c r="H325" s="2" t="str">
        <f t="shared" si="133"/>
        <v>物理</v>
      </c>
      <c r="I325" s="38">
        <f t="shared" si="137"/>
        <v>0.08</v>
      </c>
      <c r="J325" s="33">
        <f t="shared" si="134"/>
        <v>63</v>
      </c>
      <c r="K325" s="33">
        <f t="shared" si="135"/>
        <v>67</v>
      </c>
      <c r="L325" s="33">
        <f t="shared" si="135"/>
        <v>6</v>
      </c>
      <c r="M325" s="33">
        <f t="shared" si="135"/>
        <v>39</v>
      </c>
      <c r="N325" s="33">
        <f t="shared" si="135"/>
        <v>27</v>
      </c>
      <c r="O325" s="33">
        <f t="shared" si="135"/>
        <v>27</v>
      </c>
      <c r="P325" s="33">
        <f t="shared" si="135"/>
        <v>19</v>
      </c>
      <c r="Q325" s="33">
        <f t="shared" si="135"/>
        <v>17</v>
      </c>
      <c r="R325" s="35">
        <f t="shared" si="138"/>
        <v>3.4000000000000002E-2</v>
      </c>
      <c r="S325" s="35">
        <f t="shared" si="139"/>
        <v>3.7999999999999999E-2</v>
      </c>
      <c r="T325" s="35">
        <f t="shared" si="140"/>
        <v>2.1250000000000002E-2</v>
      </c>
      <c r="U325" s="35">
        <f t="shared" si="136"/>
        <v>7.8341013824884786E-2</v>
      </c>
      <c r="V325" s="35">
        <f t="shared" si="136"/>
        <v>4.3062200956937802E-2</v>
      </c>
      <c r="W325" s="35">
        <f t="shared" si="136"/>
        <v>4.3062200956937802E-2</v>
      </c>
      <c r="X325" s="35">
        <f t="shared" si="136"/>
        <v>4.3062200956937802E-2</v>
      </c>
      <c r="Y325" s="35">
        <f t="shared" si="136"/>
        <v>4.3062200956937802E-2</v>
      </c>
      <c r="Z325" s="35">
        <f t="shared" si="136"/>
        <v>4.3062200956937802E-2</v>
      </c>
      <c r="AA325" s="35">
        <f t="shared" si="136"/>
        <v>4.3062200956937802E-2</v>
      </c>
    </row>
    <row r="326" spans="2:27" x14ac:dyDescent="0.2">
      <c r="B326" s="2">
        <v>324</v>
      </c>
      <c r="C326" s="2" t="str">
        <f t="shared" si="123"/>
        <v>s</v>
      </c>
      <c r="D326" s="29" t="s">
        <v>1</v>
      </c>
      <c r="E326" s="29" t="s">
        <v>219</v>
      </c>
      <c r="F326" s="2" t="s">
        <v>220</v>
      </c>
      <c r="G326" s="2">
        <f t="shared" si="116"/>
        <v>4</v>
      </c>
      <c r="H326" s="2" t="str">
        <f t="shared" si="133"/>
        <v>物理</v>
      </c>
      <c r="I326" s="38">
        <f t="shared" si="137"/>
        <v>0.10085714285714285</v>
      </c>
      <c r="J326" s="33">
        <f t="shared" si="134"/>
        <v>84</v>
      </c>
      <c r="K326" s="33">
        <f t="shared" si="135"/>
        <v>89</v>
      </c>
      <c r="L326" s="33">
        <f t="shared" si="135"/>
        <v>8</v>
      </c>
      <c r="M326" s="33">
        <f t="shared" si="135"/>
        <v>52</v>
      </c>
      <c r="N326" s="33">
        <f t="shared" si="135"/>
        <v>36</v>
      </c>
      <c r="O326" s="33">
        <f t="shared" si="135"/>
        <v>36</v>
      </c>
      <c r="P326" s="33">
        <f t="shared" si="135"/>
        <v>25</v>
      </c>
      <c r="Q326" s="33">
        <f t="shared" si="135"/>
        <v>23</v>
      </c>
      <c r="R326" s="35">
        <f t="shared" si="138"/>
        <v>4.5999999999999999E-2</v>
      </c>
      <c r="S326" s="35">
        <f t="shared" si="139"/>
        <v>0.05</v>
      </c>
      <c r="T326" s="35">
        <f t="shared" si="140"/>
        <v>2.8750000000000001E-2</v>
      </c>
      <c r="U326" s="35">
        <f t="shared" si="136"/>
        <v>0.10313901345291476</v>
      </c>
      <c r="V326" s="35">
        <f t="shared" si="136"/>
        <v>5.6603773584905648E-2</v>
      </c>
      <c r="W326" s="35">
        <f t="shared" si="136"/>
        <v>5.6603773584905648E-2</v>
      </c>
      <c r="X326" s="35">
        <f t="shared" si="136"/>
        <v>5.6603773584905648E-2</v>
      </c>
      <c r="Y326" s="35">
        <f t="shared" si="136"/>
        <v>5.6603773584905648E-2</v>
      </c>
      <c r="Z326" s="35">
        <f t="shared" si="136"/>
        <v>5.6603773584905648E-2</v>
      </c>
      <c r="AA326" s="35">
        <f t="shared" si="136"/>
        <v>5.6603773584905648E-2</v>
      </c>
    </row>
    <row r="327" spans="2:27" x14ac:dyDescent="0.2">
      <c r="B327" s="2">
        <v>325</v>
      </c>
      <c r="C327" s="2" t="str">
        <f t="shared" si="123"/>
        <v>s</v>
      </c>
      <c r="D327" s="29" t="s">
        <v>1</v>
      </c>
      <c r="E327" s="29" t="s">
        <v>219</v>
      </c>
      <c r="F327" s="2" t="s">
        <v>220</v>
      </c>
      <c r="G327" s="2">
        <f t="shared" si="116"/>
        <v>5</v>
      </c>
      <c r="H327" s="2" t="str">
        <f t="shared" si="133"/>
        <v>物理</v>
      </c>
      <c r="I327" s="38">
        <f t="shared" si="137"/>
        <v>0.12685714285714286</v>
      </c>
      <c r="J327" s="33">
        <f t="shared" si="134"/>
        <v>105</v>
      </c>
      <c r="K327" s="33">
        <f t="shared" si="135"/>
        <v>112</v>
      </c>
      <c r="L327" s="33">
        <f t="shared" si="135"/>
        <v>10</v>
      </c>
      <c r="M327" s="33">
        <f t="shared" si="135"/>
        <v>66</v>
      </c>
      <c r="N327" s="33">
        <f t="shared" si="135"/>
        <v>46</v>
      </c>
      <c r="O327" s="33">
        <f t="shared" si="135"/>
        <v>46</v>
      </c>
      <c r="P327" s="33">
        <f t="shared" si="135"/>
        <v>31</v>
      </c>
      <c r="Q327" s="33">
        <f t="shared" si="135"/>
        <v>28</v>
      </c>
      <c r="R327" s="35">
        <f t="shared" si="138"/>
        <v>5.5999999999999994E-2</v>
      </c>
      <c r="S327" s="35">
        <f t="shared" si="139"/>
        <v>6.2E-2</v>
      </c>
      <c r="T327" s="35">
        <f t="shared" si="140"/>
        <v>3.5000000000000003E-2</v>
      </c>
      <c r="U327" s="35">
        <f t="shared" si="136"/>
        <v>0.1266375545851528</v>
      </c>
      <c r="V327" s="35">
        <f t="shared" si="136"/>
        <v>6.5420560747663559E-2</v>
      </c>
      <c r="W327" s="35">
        <f t="shared" si="136"/>
        <v>6.5420560747663559E-2</v>
      </c>
      <c r="X327" s="35">
        <f t="shared" si="136"/>
        <v>6.5420560747663559E-2</v>
      </c>
      <c r="Y327" s="35">
        <f t="shared" si="136"/>
        <v>6.5420560747663559E-2</v>
      </c>
      <c r="Z327" s="35">
        <f t="shared" si="136"/>
        <v>6.5420560747663559E-2</v>
      </c>
      <c r="AA327" s="35">
        <f t="shared" si="136"/>
        <v>6.5420560747663559E-2</v>
      </c>
    </row>
    <row r="328" spans="2:27" x14ac:dyDescent="0.2">
      <c r="B328" s="2">
        <v>326</v>
      </c>
      <c r="C328" s="2" t="str">
        <f t="shared" si="123"/>
        <v>s</v>
      </c>
      <c r="D328" s="29" t="s">
        <v>1</v>
      </c>
      <c r="E328" s="29" t="s">
        <v>219</v>
      </c>
      <c r="F328" s="2" t="s">
        <v>220</v>
      </c>
      <c r="G328" s="2">
        <f t="shared" si="116"/>
        <v>6</v>
      </c>
      <c r="H328" s="2" t="str">
        <f t="shared" si="133"/>
        <v>物理</v>
      </c>
      <c r="I328" s="38">
        <f t="shared" si="137"/>
        <v>0.15228571428571427</v>
      </c>
      <c r="J328" s="33">
        <f t="shared" si="134"/>
        <v>126</v>
      </c>
      <c r="K328" s="33">
        <f t="shared" si="135"/>
        <v>134</v>
      </c>
      <c r="L328" s="33">
        <f t="shared" si="135"/>
        <v>12</v>
      </c>
      <c r="M328" s="33">
        <f t="shared" si="135"/>
        <v>79</v>
      </c>
      <c r="N328" s="33">
        <f t="shared" si="135"/>
        <v>55</v>
      </c>
      <c r="O328" s="33">
        <f t="shared" si="135"/>
        <v>55</v>
      </c>
      <c r="P328" s="33">
        <f t="shared" si="135"/>
        <v>38</v>
      </c>
      <c r="Q328" s="33">
        <f t="shared" si="135"/>
        <v>34</v>
      </c>
      <c r="R328" s="35">
        <f t="shared" si="138"/>
        <v>6.8000000000000005E-2</v>
      </c>
      <c r="S328" s="35">
        <f t="shared" si="139"/>
        <v>7.5999999999999998E-2</v>
      </c>
      <c r="T328" s="35">
        <f t="shared" si="140"/>
        <v>4.2500000000000003E-2</v>
      </c>
      <c r="U328" s="35">
        <f t="shared" si="136"/>
        <v>0.14893617021276595</v>
      </c>
      <c r="V328" s="35">
        <f t="shared" si="136"/>
        <v>7.8341013824884786E-2</v>
      </c>
      <c r="W328" s="35">
        <f t="shared" si="136"/>
        <v>7.8341013824884786E-2</v>
      </c>
      <c r="X328" s="35">
        <f t="shared" si="136"/>
        <v>7.8341013824884786E-2</v>
      </c>
      <c r="Y328" s="35">
        <f t="shared" si="136"/>
        <v>7.8341013824884786E-2</v>
      </c>
      <c r="Z328" s="35">
        <f t="shared" si="136"/>
        <v>7.8341013824884786E-2</v>
      </c>
      <c r="AA328" s="35">
        <f t="shared" si="136"/>
        <v>7.8341013824884786E-2</v>
      </c>
    </row>
    <row r="329" spans="2:27" x14ac:dyDescent="0.2">
      <c r="B329" s="2">
        <v>327</v>
      </c>
      <c r="C329" s="2" t="str">
        <f t="shared" si="123"/>
        <v>s</v>
      </c>
      <c r="D329" s="29" t="s">
        <v>1</v>
      </c>
      <c r="E329" s="29" t="s">
        <v>219</v>
      </c>
      <c r="F329" s="2" t="s">
        <v>220</v>
      </c>
      <c r="G329" s="2">
        <f t="shared" si="116"/>
        <v>7</v>
      </c>
      <c r="H329" s="2" t="str">
        <f t="shared" si="133"/>
        <v>物理</v>
      </c>
      <c r="I329" s="38">
        <f t="shared" si="137"/>
        <v>0.17771428571428571</v>
      </c>
      <c r="J329" s="33">
        <f t="shared" si="134"/>
        <v>147</v>
      </c>
      <c r="K329" s="33">
        <f t="shared" si="135"/>
        <v>157</v>
      </c>
      <c r="L329" s="33">
        <f t="shared" si="135"/>
        <v>14</v>
      </c>
      <c r="M329" s="33">
        <f t="shared" si="135"/>
        <v>92</v>
      </c>
      <c r="N329" s="33">
        <f t="shared" si="135"/>
        <v>64</v>
      </c>
      <c r="O329" s="33">
        <f t="shared" si="135"/>
        <v>64</v>
      </c>
      <c r="P329" s="33">
        <f t="shared" si="135"/>
        <v>44</v>
      </c>
      <c r="Q329" s="33">
        <f t="shared" si="135"/>
        <v>40</v>
      </c>
      <c r="R329" s="35">
        <f t="shared" si="138"/>
        <v>0.08</v>
      </c>
      <c r="S329" s="35">
        <f t="shared" si="139"/>
        <v>8.8000000000000009E-2</v>
      </c>
      <c r="T329" s="35">
        <f t="shared" si="140"/>
        <v>0.05</v>
      </c>
      <c r="U329" s="35">
        <f t="shared" si="136"/>
        <v>0.16666666666666663</v>
      </c>
      <c r="V329" s="35">
        <f t="shared" si="136"/>
        <v>9.0909090909090939E-2</v>
      </c>
      <c r="W329" s="35">
        <f t="shared" si="136"/>
        <v>9.0909090909090939E-2</v>
      </c>
      <c r="X329" s="35">
        <f t="shared" si="136"/>
        <v>9.0909090909090939E-2</v>
      </c>
      <c r="Y329" s="35">
        <f t="shared" si="136"/>
        <v>9.0909090909090939E-2</v>
      </c>
      <c r="Z329" s="35">
        <f t="shared" si="136"/>
        <v>9.0909090909090939E-2</v>
      </c>
      <c r="AA329" s="35">
        <f t="shared" si="136"/>
        <v>9.0909090909090939E-2</v>
      </c>
    </row>
    <row r="330" spans="2:27" x14ac:dyDescent="0.2">
      <c r="B330" s="2">
        <v>328</v>
      </c>
      <c r="C330" s="2" t="str">
        <f t="shared" si="123"/>
        <v>s</v>
      </c>
      <c r="D330" s="29" t="s">
        <v>1</v>
      </c>
      <c r="E330" s="29" t="s">
        <v>219</v>
      </c>
      <c r="F330" s="2" t="s">
        <v>220</v>
      </c>
      <c r="G330" s="2">
        <f t="shared" si="116"/>
        <v>8</v>
      </c>
      <c r="H330" s="2" t="str">
        <f t="shared" si="133"/>
        <v>物理</v>
      </c>
      <c r="I330" s="38">
        <f t="shared" si="137"/>
        <v>0.20285714285714285</v>
      </c>
      <c r="J330" s="33">
        <f t="shared" si="134"/>
        <v>168</v>
      </c>
      <c r="K330" s="33">
        <f t="shared" si="135"/>
        <v>179</v>
      </c>
      <c r="L330" s="33">
        <f t="shared" si="135"/>
        <v>16</v>
      </c>
      <c r="M330" s="33">
        <f t="shared" si="135"/>
        <v>105</v>
      </c>
      <c r="N330" s="33">
        <f t="shared" si="135"/>
        <v>73</v>
      </c>
      <c r="O330" s="33">
        <f t="shared" si="135"/>
        <v>73</v>
      </c>
      <c r="P330" s="33">
        <f t="shared" si="135"/>
        <v>50</v>
      </c>
      <c r="Q330" s="33">
        <f t="shared" si="135"/>
        <v>46</v>
      </c>
      <c r="R330" s="35">
        <f t="shared" si="138"/>
        <v>9.1999999999999998E-2</v>
      </c>
      <c r="S330" s="35">
        <f t="shared" si="139"/>
        <v>0.1</v>
      </c>
      <c r="T330" s="35">
        <f t="shared" si="140"/>
        <v>5.7500000000000002E-2</v>
      </c>
      <c r="U330" s="35">
        <f t="shared" si="136"/>
        <v>0.18699186991869921</v>
      </c>
      <c r="V330" s="35">
        <f t="shared" si="136"/>
        <v>0.10313901345291476</v>
      </c>
      <c r="W330" s="35">
        <f t="shared" si="136"/>
        <v>0.10313901345291476</v>
      </c>
      <c r="X330" s="35">
        <f t="shared" si="136"/>
        <v>0.10313901345291476</v>
      </c>
      <c r="Y330" s="35">
        <f t="shared" si="136"/>
        <v>0.10313901345291476</v>
      </c>
      <c r="Z330" s="35">
        <f t="shared" si="136"/>
        <v>0.10313901345291476</v>
      </c>
      <c r="AA330" s="35">
        <f t="shared" si="136"/>
        <v>0.10313901345291476</v>
      </c>
    </row>
    <row r="331" spans="2:27" x14ac:dyDescent="0.2">
      <c r="B331" s="2">
        <v>329</v>
      </c>
      <c r="C331" s="2" t="str">
        <f t="shared" si="123"/>
        <v>a</v>
      </c>
      <c r="D331" s="29" t="s">
        <v>1</v>
      </c>
      <c r="E331" s="29" t="s">
        <v>219</v>
      </c>
      <c r="F331" s="2" t="s">
        <v>220</v>
      </c>
      <c r="G331" s="2">
        <f t="shared" si="116"/>
        <v>1</v>
      </c>
      <c r="H331" s="2" t="str">
        <f t="shared" si="133"/>
        <v>物理</v>
      </c>
      <c r="I331" s="38">
        <f t="shared" si="137"/>
        <v>0.08</v>
      </c>
      <c r="J331" s="33">
        <f t="shared" si="134"/>
        <v>15</v>
      </c>
      <c r="K331" s="33">
        <f t="shared" si="135"/>
        <v>24</v>
      </c>
      <c r="L331" s="33">
        <f t="shared" si="135"/>
        <v>2</v>
      </c>
      <c r="M331" s="33">
        <f t="shared" si="135"/>
        <v>14</v>
      </c>
      <c r="N331" s="33">
        <f t="shared" si="135"/>
        <v>10</v>
      </c>
      <c r="O331" s="33">
        <f t="shared" si="135"/>
        <v>10</v>
      </c>
      <c r="P331" s="33">
        <f t="shared" si="135"/>
        <v>7</v>
      </c>
      <c r="Q331" s="33">
        <f t="shared" si="135"/>
        <v>6</v>
      </c>
      <c r="R331" s="35">
        <f t="shared" si="138"/>
        <v>1.2E-2</v>
      </c>
      <c r="S331" s="35">
        <f t="shared" si="139"/>
        <v>1.3999999999999999E-2</v>
      </c>
      <c r="T331" s="35">
        <f t="shared" si="140"/>
        <v>7.4999999999999997E-3</v>
      </c>
      <c r="U331" s="35">
        <f t="shared" si="136"/>
        <v>2.9126213592232997E-2</v>
      </c>
      <c r="V331" s="35">
        <f t="shared" si="136"/>
        <v>1.4778325123152691E-2</v>
      </c>
      <c r="W331" s="35">
        <f t="shared" si="136"/>
        <v>1.4778325123152691E-2</v>
      </c>
      <c r="X331" s="35">
        <f t="shared" si="136"/>
        <v>1.4778325123152691E-2</v>
      </c>
      <c r="Y331" s="35">
        <f t="shared" si="136"/>
        <v>1.4778325123152691E-2</v>
      </c>
      <c r="Z331" s="35">
        <f t="shared" si="136"/>
        <v>1.4778325123152691E-2</v>
      </c>
      <c r="AA331" s="35">
        <f t="shared" si="136"/>
        <v>1.4778325123152691E-2</v>
      </c>
    </row>
    <row r="332" spans="2:27" x14ac:dyDescent="0.2">
      <c r="B332" s="2">
        <v>330</v>
      </c>
      <c r="C332" s="2" t="str">
        <f t="shared" si="123"/>
        <v>a</v>
      </c>
      <c r="D332" s="29" t="s">
        <v>1</v>
      </c>
      <c r="E332" s="29" t="s">
        <v>219</v>
      </c>
      <c r="F332" s="2" t="s">
        <v>220</v>
      </c>
      <c r="G332" s="2">
        <f t="shared" ref="G332:G395" si="141">G324</f>
        <v>2</v>
      </c>
      <c r="H332" s="2" t="str">
        <f t="shared" si="133"/>
        <v>物理</v>
      </c>
      <c r="I332" s="38">
        <f t="shared" si="137"/>
        <v>0.08</v>
      </c>
      <c r="J332" s="33">
        <f t="shared" si="134"/>
        <v>31</v>
      </c>
      <c r="K332" s="33">
        <f t="shared" si="135"/>
        <v>49</v>
      </c>
      <c r="L332" s="33">
        <f t="shared" si="135"/>
        <v>4</v>
      </c>
      <c r="M332" s="33">
        <f t="shared" si="135"/>
        <v>29</v>
      </c>
      <c r="N332" s="33">
        <f t="shared" si="135"/>
        <v>20</v>
      </c>
      <c r="O332" s="33">
        <f t="shared" si="135"/>
        <v>20</v>
      </c>
      <c r="P332" s="33">
        <f t="shared" si="135"/>
        <v>14</v>
      </c>
      <c r="Q332" s="33">
        <f t="shared" si="135"/>
        <v>12</v>
      </c>
      <c r="R332" s="35">
        <f t="shared" si="138"/>
        <v>2.4E-2</v>
      </c>
      <c r="S332" s="35">
        <f t="shared" si="139"/>
        <v>2.7999999999999997E-2</v>
      </c>
      <c r="T332" s="35">
        <f t="shared" si="140"/>
        <v>1.4999999999999999E-2</v>
      </c>
      <c r="U332" s="35">
        <f t="shared" si="136"/>
        <v>6.1032863849765251E-2</v>
      </c>
      <c r="V332" s="35">
        <f t="shared" si="136"/>
        <v>2.9126213592232997E-2</v>
      </c>
      <c r="W332" s="35">
        <f t="shared" si="136"/>
        <v>2.9126213592232997E-2</v>
      </c>
      <c r="X332" s="35">
        <f t="shared" si="136"/>
        <v>2.9126213592232997E-2</v>
      </c>
      <c r="Y332" s="35">
        <f t="shared" si="136"/>
        <v>2.9126213592232997E-2</v>
      </c>
      <c r="Z332" s="35">
        <f t="shared" si="136"/>
        <v>2.9126213592232997E-2</v>
      </c>
      <c r="AA332" s="35">
        <f t="shared" si="136"/>
        <v>2.9126213592232997E-2</v>
      </c>
    </row>
    <row r="333" spans="2:27" x14ac:dyDescent="0.2">
      <c r="B333" s="2">
        <v>331</v>
      </c>
      <c r="C333" s="2" t="str">
        <f t="shared" si="123"/>
        <v>a</v>
      </c>
      <c r="D333" s="29" t="s">
        <v>1</v>
      </c>
      <c r="E333" s="29" t="s">
        <v>219</v>
      </c>
      <c r="F333" s="2" t="s">
        <v>220</v>
      </c>
      <c r="G333" s="2">
        <f t="shared" si="141"/>
        <v>3</v>
      </c>
      <c r="H333" s="2" t="str">
        <f t="shared" si="133"/>
        <v>物理</v>
      </c>
      <c r="I333" s="38">
        <f t="shared" si="137"/>
        <v>0.08</v>
      </c>
      <c r="J333" s="33">
        <f t="shared" ref="J333:J342" si="142">INT((1+VLOOKUP($F333,role_property_weight,getpos(J$2),FALSE))*(1+VLOOKUP($F333,drop_property_weight,getpos(J$2),FALSE))*VLOOKUP($E333,role_grow,getpos(J$2),FALSE)*$G333*10*VLOOKUP($C333,drop_grow1,4,FALSE))</f>
        <v>47</v>
      </c>
      <c r="K333" s="33">
        <f t="shared" ref="K333:Q342" si="143">INT((1+VLOOKUP($F333,role_property_weight,getpos(K$2),FALSE))*(1+VLOOKUP($F333,drop_property_weight,getpos(K$2),FALSE))*VLOOKUP($E333,role_grow,getpos(K$2),FALSE)*$G333*10*VLOOKUP($C333,drop_grow1,5,FALSE))</f>
        <v>74</v>
      </c>
      <c r="L333" s="33">
        <f t="shared" si="143"/>
        <v>6</v>
      </c>
      <c r="M333" s="33">
        <f t="shared" si="143"/>
        <v>44</v>
      </c>
      <c r="N333" s="33">
        <f t="shared" si="143"/>
        <v>30</v>
      </c>
      <c r="O333" s="33">
        <f t="shared" si="143"/>
        <v>30</v>
      </c>
      <c r="P333" s="33">
        <f t="shared" si="143"/>
        <v>21</v>
      </c>
      <c r="Q333" s="33">
        <f t="shared" si="143"/>
        <v>19</v>
      </c>
      <c r="R333" s="35">
        <f t="shared" si="138"/>
        <v>3.7999999999999999E-2</v>
      </c>
      <c r="S333" s="35">
        <f t="shared" si="139"/>
        <v>4.2000000000000003E-2</v>
      </c>
      <c r="T333" s="35">
        <f t="shared" si="140"/>
        <v>2.375E-2</v>
      </c>
      <c r="U333" s="35">
        <f t="shared" ref="U333:AA342" si="144">1-200/(200+ROUND((1+VLOOKUP($F333,role_property_weight,getpos(U$2),FALSE))*VLOOKUP($E333,role_grow,getpos(U$2),FALSE)*$G333*10*VLOOKUP($C333,drop_grow1,5,FALSE),0))</f>
        <v>8.6757990867579959E-2</v>
      </c>
      <c r="V333" s="35">
        <f t="shared" si="144"/>
        <v>4.7619047619047672E-2</v>
      </c>
      <c r="W333" s="35">
        <f t="shared" si="144"/>
        <v>4.7619047619047672E-2</v>
      </c>
      <c r="X333" s="35">
        <f t="shared" si="144"/>
        <v>4.7619047619047672E-2</v>
      </c>
      <c r="Y333" s="35">
        <f t="shared" si="144"/>
        <v>4.7619047619047672E-2</v>
      </c>
      <c r="Z333" s="35">
        <f t="shared" si="144"/>
        <v>4.7619047619047672E-2</v>
      </c>
      <c r="AA333" s="35">
        <f t="shared" si="144"/>
        <v>4.7619047619047672E-2</v>
      </c>
    </row>
    <row r="334" spans="2:27" x14ac:dyDescent="0.2">
      <c r="B334" s="2">
        <v>332</v>
      </c>
      <c r="C334" s="2" t="str">
        <f t="shared" si="123"/>
        <v>a</v>
      </c>
      <c r="D334" s="29" t="s">
        <v>1</v>
      </c>
      <c r="E334" s="29" t="s">
        <v>219</v>
      </c>
      <c r="F334" s="2" t="s">
        <v>220</v>
      </c>
      <c r="G334" s="2">
        <f t="shared" si="141"/>
        <v>4</v>
      </c>
      <c r="H334" s="2" t="str">
        <f t="shared" si="133"/>
        <v>物理</v>
      </c>
      <c r="I334" s="38">
        <f t="shared" si="137"/>
        <v>0.10342857142857144</v>
      </c>
      <c r="J334" s="33">
        <f t="shared" si="142"/>
        <v>63</v>
      </c>
      <c r="K334" s="33">
        <f t="shared" si="143"/>
        <v>99</v>
      </c>
      <c r="L334" s="33">
        <f t="shared" si="143"/>
        <v>9</v>
      </c>
      <c r="M334" s="33">
        <f t="shared" si="143"/>
        <v>58</v>
      </c>
      <c r="N334" s="33">
        <f t="shared" si="143"/>
        <v>40</v>
      </c>
      <c r="O334" s="33">
        <f t="shared" si="143"/>
        <v>40</v>
      </c>
      <c r="P334" s="33">
        <f t="shared" si="143"/>
        <v>28</v>
      </c>
      <c r="Q334" s="33">
        <f t="shared" si="143"/>
        <v>25</v>
      </c>
      <c r="R334" s="35">
        <f t="shared" si="138"/>
        <v>0.05</v>
      </c>
      <c r="S334" s="35">
        <f t="shared" si="139"/>
        <v>5.5999999999999994E-2</v>
      </c>
      <c r="T334" s="35">
        <f t="shared" si="140"/>
        <v>3.125E-2</v>
      </c>
      <c r="U334" s="35">
        <f t="shared" si="144"/>
        <v>0.11504424778761058</v>
      </c>
      <c r="V334" s="35">
        <f t="shared" si="144"/>
        <v>6.1032863849765251E-2</v>
      </c>
      <c r="W334" s="35">
        <f t="shared" si="144"/>
        <v>6.1032863849765251E-2</v>
      </c>
      <c r="X334" s="35">
        <f t="shared" si="144"/>
        <v>6.1032863849765251E-2</v>
      </c>
      <c r="Y334" s="35">
        <f t="shared" si="144"/>
        <v>6.1032863849765251E-2</v>
      </c>
      <c r="Z334" s="35">
        <f t="shared" si="144"/>
        <v>6.1032863849765251E-2</v>
      </c>
      <c r="AA334" s="35">
        <f t="shared" si="144"/>
        <v>6.1032863849765251E-2</v>
      </c>
    </row>
    <row r="335" spans="2:27" x14ac:dyDescent="0.2">
      <c r="B335" s="2">
        <v>333</v>
      </c>
      <c r="C335" s="2" t="str">
        <f t="shared" si="123"/>
        <v>a</v>
      </c>
      <c r="D335" s="29" t="s">
        <v>1</v>
      </c>
      <c r="E335" s="29" t="s">
        <v>219</v>
      </c>
      <c r="F335" s="2" t="s">
        <v>220</v>
      </c>
      <c r="G335" s="2">
        <f t="shared" si="141"/>
        <v>5</v>
      </c>
      <c r="H335" s="2" t="str">
        <f t="shared" si="133"/>
        <v>物理</v>
      </c>
      <c r="I335" s="38">
        <f t="shared" si="137"/>
        <v>0.13028571428571428</v>
      </c>
      <c r="J335" s="33">
        <f t="shared" si="142"/>
        <v>79</v>
      </c>
      <c r="K335" s="33">
        <f t="shared" si="143"/>
        <v>124</v>
      </c>
      <c r="L335" s="33">
        <f t="shared" si="143"/>
        <v>11</v>
      </c>
      <c r="M335" s="33">
        <f t="shared" si="143"/>
        <v>73</v>
      </c>
      <c r="N335" s="33">
        <f t="shared" si="143"/>
        <v>51</v>
      </c>
      <c r="O335" s="33">
        <f t="shared" si="143"/>
        <v>51</v>
      </c>
      <c r="P335" s="33">
        <f t="shared" si="143"/>
        <v>35</v>
      </c>
      <c r="Q335" s="33">
        <f t="shared" si="143"/>
        <v>32</v>
      </c>
      <c r="R335" s="35">
        <f t="shared" si="138"/>
        <v>6.4000000000000001E-2</v>
      </c>
      <c r="S335" s="35">
        <f t="shared" si="139"/>
        <v>7.0000000000000007E-2</v>
      </c>
      <c r="T335" s="35">
        <f t="shared" si="140"/>
        <v>0.04</v>
      </c>
      <c r="U335" s="35">
        <f t="shared" si="144"/>
        <v>0.13793103448275867</v>
      </c>
      <c r="V335" s="35">
        <f t="shared" si="144"/>
        <v>7.407407407407407E-2</v>
      </c>
      <c r="W335" s="35">
        <f t="shared" si="144"/>
        <v>7.407407407407407E-2</v>
      </c>
      <c r="X335" s="35">
        <f t="shared" si="144"/>
        <v>7.407407407407407E-2</v>
      </c>
      <c r="Y335" s="35">
        <f t="shared" si="144"/>
        <v>7.407407407407407E-2</v>
      </c>
      <c r="Z335" s="35">
        <f t="shared" si="144"/>
        <v>7.407407407407407E-2</v>
      </c>
      <c r="AA335" s="35">
        <f t="shared" si="144"/>
        <v>7.407407407407407E-2</v>
      </c>
    </row>
    <row r="336" spans="2:27" x14ac:dyDescent="0.2">
      <c r="B336" s="2">
        <v>334</v>
      </c>
      <c r="C336" s="2" t="str">
        <f t="shared" si="123"/>
        <v>a</v>
      </c>
      <c r="D336" s="29" t="s">
        <v>1</v>
      </c>
      <c r="E336" s="29" t="s">
        <v>219</v>
      </c>
      <c r="F336" s="2" t="s">
        <v>220</v>
      </c>
      <c r="G336" s="2">
        <f t="shared" si="141"/>
        <v>6</v>
      </c>
      <c r="H336" s="2" t="str">
        <f t="shared" si="133"/>
        <v>物理</v>
      </c>
      <c r="I336" s="38">
        <f t="shared" si="137"/>
        <v>0.15628571428571428</v>
      </c>
      <c r="J336" s="33">
        <f t="shared" si="142"/>
        <v>95</v>
      </c>
      <c r="K336" s="33">
        <f t="shared" si="143"/>
        <v>149</v>
      </c>
      <c r="L336" s="33">
        <f t="shared" si="143"/>
        <v>13</v>
      </c>
      <c r="M336" s="33">
        <f t="shared" si="143"/>
        <v>88</v>
      </c>
      <c r="N336" s="33">
        <f t="shared" si="143"/>
        <v>61</v>
      </c>
      <c r="O336" s="33">
        <f t="shared" si="143"/>
        <v>61</v>
      </c>
      <c r="P336" s="33">
        <f t="shared" si="143"/>
        <v>42</v>
      </c>
      <c r="Q336" s="33">
        <f t="shared" si="143"/>
        <v>38</v>
      </c>
      <c r="R336" s="35">
        <f t="shared" si="138"/>
        <v>7.5999999999999998E-2</v>
      </c>
      <c r="S336" s="35">
        <f t="shared" si="139"/>
        <v>8.4000000000000005E-2</v>
      </c>
      <c r="T336" s="35">
        <f t="shared" si="140"/>
        <v>4.7500000000000001E-2</v>
      </c>
      <c r="U336" s="35">
        <f t="shared" si="144"/>
        <v>0.15966386554621848</v>
      </c>
      <c r="V336" s="35">
        <f t="shared" si="144"/>
        <v>8.6757990867579959E-2</v>
      </c>
      <c r="W336" s="35">
        <f t="shared" si="144"/>
        <v>8.6757990867579959E-2</v>
      </c>
      <c r="X336" s="35">
        <f t="shared" si="144"/>
        <v>8.6757990867579959E-2</v>
      </c>
      <c r="Y336" s="35">
        <f t="shared" si="144"/>
        <v>8.6757990867579959E-2</v>
      </c>
      <c r="Z336" s="35">
        <f t="shared" si="144"/>
        <v>8.6757990867579959E-2</v>
      </c>
      <c r="AA336" s="35">
        <f t="shared" si="144"/>
        <v>8.6757990867579959E-2</v>
      </c>
    </row>
    <row r="337" spans="2:27" x14ac:dyDescent="0.2">
      <c r="B337" s="2">
        <v>335</v>
      </c>
      <c r="C337" s="2" t="str">
        <f t="shared" si="123"/>
        <v>a</v>
      </c>
      <c r="D337" s="29" t="s">
        <v>1</v>
      </c>
      <c r="E337" s="29" t="s">
        <v>219</v>
      </c>
      <c r="F337" s="2" t="s">
        <v>220</v>
      </c>
      <c r="G337" s="2">
        <f t="shared" si="141"/>
        <v>7</v>
      </c>
      <c r="H337" s="2" t="str">
        <f t="shared" si="133"/>
        <v>物理</v>
      </c>
      <c r="I337" s="38">
        <f t="shared" si="137"/>
        <v>0.18228571428571427</v>
      </c>
      <c r="J337" s="33">
        <f t="shared" si="142"/>
        <v>110</v>
      </c>
      <c r="K337" s="33">
        <f t="shared" si="143"/>
        <v>174</v>
      </c>
      <c r="L337" s="33">
        <f t="shared" si="143"/>
        <v>16</v>
      </c>
      <c r="M337" s="33">
        <f t="shared" si="143"/>
        <v>103</v>
      </c>
      <c r="N337" s="33">
        <f t="shared" si="143"/>
        <v>71</v>
      </c>
      <c r="O337" s="33">
        <f t="shared" si="143"/>
        <v>71</v>
      </c>
      <c r="P337" s="33">
        <f t="shared" si="143"/>
        <v>49</v>
      </c>
      <c r="Q337" s="33">
        <f t="shared" si="143"/>
        <v>44</v>
      </c>
      <c r="R337" s="35">
        <f t="shared" si="138"/>
        <v>8.8000000000000009E-2</v>
      </c>
      <c r="S337" s="35">
        <f t="shared" si="139"/>
        <v>9.8000000000000004E-2</v>
      </c>
      <c r="T337" s="35">
        <f t="shared" si="140"/>
        <v>5.5E-2</v>
      </c>
      <c r="U337" s="35">
        <f t="shared" si="144"/>
        <v>0.18367346938775508</v>
      </c>
      <c r="V337" s="35">
        <f t="shared" si="144"/>
        <v>9.9099099099099086E-2</v>
      </c>
      <c r="W337" s="35">
        <f t="shared" si="144"/>
        <v>9.9099099099099086E-2</v>
      </c>
      <c r="X337" s="35">
        <f t="shared" si="144"/>
        <v>9.9099099099099086E-2</v>
      </c>
      <c r="Y337" s="35">
        <f t="shared" si="144"/>
        <v>9.9099099099099086E-2</v>
      </c>
      <c r="Z337" s="35">
        <f t="shared" si="144"/>
        <v>9.9099099099099086E-2</v>
      </c>
      <c r="AA337" s="35">
        <f t="shared" si="144"/>
        <v>9.9099099099099086E-2</v>
      </c>
    </row>
    <row r="338" spans="2:27" x14ac:dyDescent="0.2">
      <c r="B338" s="2">
        <v>336</v>
      </c>
      <c r="C338" s="2" t="str">
        <f t="shared" si="123"/>
        <v>a</v>
      </c>
      <c r="D338" s="29" t="s">
        <v>1</v>
      </c>
      <c r="E338" s="29" t="s">
        <v>219</v>
      </c>
      <c r="F338" s="2" t="s">
        <v>220</v>
      </c>
      <c r="G338" s="2">
        <f t="shared" si="141"/>
        <v>8</v>
      </c>
      <c r="H338" s="2" t="str">
        <f t="shared" si="133"/>
        <v>物理</v>
      </c>
      <c r="I338" s="38">
        <f t="shared" si="137"/>
        <v>0.2082857142857143</v>
      </c>
      <c r="J338" s="33">
        <f t="shared" si="142"/>
        <v>126</v>
      </c>
      <c r="K338" s="33">
        <f t="shared" si="143"/>
        <v>199</v>
      </c>
      <c r="L338" s="33">
        <f t="shared" si="143"/>
        <v>18</v>
      </c>
      <c r="M338" s="33">
        <f t="shared" si="143"/>
        <v>117</v>
      </c>
      <c r="N338" s="33">
        <f t="shared" si="143"/>
        <v>81</v>
      </c>
      <c r="O338" s="33">
        <f t="shared" si="143"/>
        <v>81</v>
      </c>
      <c r="P338" s="33">
        <f t="shared" si="143"/>
        <v>56</v>
      </c>
      <c r="Q338" s="33">
        <f t="shared" si="143"/>
        <v>51</v>
      </c>
      <c r="R338" s="35">
        <f t="shared" si="138"/>
        <v>0.10199999999999999</v>
      </c>
      <c r="S338" s="35">
        <f t="shared" si="139"/>
        <v>0.11199999999999999</v>
      </c>
      <c r="T338" s="35">
        <f t="shared" si="140"/>
        <v>6.3750000000000001E-2</v>
      </c>
      <c r="U338" s="35">
        <f t="shared" si="144"/>
        <v>0.20318725099601598</v>
      </c>
      <c r="V338" s="35">
        <f t="shared" si="144"/>
        <v>0.11504424778761058</v>
      </c>
      <c r="W338" s="35">
        <f t="shared" si="144"/>
        <v>0.11504424778761058</v>
      </c>
      <c r="X338" s="35">
        <f t="shared" si="144"/>
        <v>0.11504424778761058</v>
      </c>
      <c r="Y338" s="35">
        <f t="shared" si="144"/>
        <v>0.11504424778761058</v>
      </c>
      <c r="Z338" s="35">
        <f t="shared" si="144"/>
        <v>0.11504424778761058</v>
      </c>
      <c r="AA338" s="35">
        <f t="shared" si="144"/>
        <v>0.11504424778761058</v>
      </c>
    </row>
    <row r="339" spans="2:27" x14ac:dyDescent="0.2">
      <c r="B339" s="2">
        <v>337</v>
      </c>
      <c r="C339" s="2" t="str">
        <f t="shared" si="123"/>
        <v>b</v>
      </c>
      <c r="D339" s="29" t="s">
        <v>1</v>
      </c>
      <c r="E339" s="29" t="s">
        <v>219</v>
      </c>
      <c r="F339" s="2" t="s">
        <v>220</v>
      </c>
      <c r="G339" s="2">
        <f t="shared" si="141"/>
        <v>1</v>
      </c>
      <c r="H339" s="2" t="str">
        <f t="shared" si="133"/>
        <v>物理</v>
      </c>
      <c r="I339" s="38">
        <f t="shared" si="137"/>
        <v>0.08</v>
      </c>
      <c r="J339" s="33">
        <f t="shared" si="142"/>
        <v>18</v>
      </c>
      <c r="K339" s="33">
        <f t="shared" si="143"/>
        <v>37</v>
      </c>
      <c r="L339" s="33">
        <f t="shared" si="143"/>
        <v>3</v>
      </c>
      <c r="M339" s="33">
        <f t="shared" si="143"/>
        <v>22</v>
      </c>
      <c r="N339" s="33">
        <f t="shared" si="143"/>
        <v>15</v>
      </c>
      <c r="O339" s="33">
        <f t="shared" si="143"/>
        <v>15</v>
      </c>
      <c r="P339" s="33">
        <f t="shared" si="143"/>
        <v>10</v>
      </c>
      <c r="Q339" s="33">
        <f t="shared" si="143"/>
        <v>9</v>
      </c>
      <c r="R339" s="35">
        <f t="shared" si="138"/>
        <v>1.8000000000000002E-2</v>
      </c>
      <c r="S339" s="35">
        <f t="shared" si="139"/>
        <v>0.02</v>
      </c>
      <c r="T339" s="35">
        <f t="shared" si="140"/>
        <v>1.125E-2</v>
      </c>
      <c r="U339" s="35">
        <f t="shared" si="144"/>
        <v>4.7619047619047672E-2</v>
      </c>
      <c r="V339" s="35">
        <f t="shared" si="144"/>
        <v>2.4390243902439046E-2</v>
      </c>
      <c r="W339" s="35">
        <f t="shared" si="144"/>
        <v>2.4390243902439046E-2</v>
      </c>
      <c r="X339" s="35">
        <f t="shared" si="144"/>
        <v>2.4390243902439046E-2</v>
      </c>
      <c r="Y339" s="35">
        <f t="shared" si="144"/>
        <v>2.4390243902439046E-2</v>
      </c>
      <c r="Z339" s="35">
        <f t="shared" si="144"/>
        <v>2.4390243902439046E-2</v>
      </c>
      <c r="AA339" s="35">
        <f t="shared" si="144"/>
        <v>2.4390243902439046E-2</v>
      </c>
    </row>
    <row r="340" spans="2:27" x14ac:dyDescent="0.2">
      <c r="B340" s="2">
        <v>338</v>
      </c>
      <c r="C340" s="2" t="str">
        <f t="shared" si="123"/>
        <v>b</v>
      </c>
      <c r="D340" s="29" t="s">
        <v>1</v>
      </c>
      <c r="E340" s="29" t="s">
        <v>219</v>
      </c>
      <c r="F340" s="2" t="s">
        <v>220</v>
      </c>
      <c r="G340" s="2">
        <f t="shared" si="141"/>
        <v>2</v>
      </c>
      <c r="H340" s="2" t="str">
        <f t="shared" si="133"/>
        <v>物理</v>
      </c>
      <c r="I340" s="38">
        <f t="shared" si="137"/>
        <v>0.08</v>
      </c>
      <c r="J340" s="33">
        <f t="shared" si="142"/>
        <v>36</v>
      </c>
      <c r="K340" s="33">
        <f t="shared" si="143"/>
        <v>74</v>
      </c>
      <c r="L340" s="33">
        <f t="shared" si="143"/>
        <v>6</v>
      </c>
      <c r="M340" s="33">
        <f t="shared" si="143"/>
        <v>44</v>
      </c>
      <c r="N340" s="33">
        <f t="shared" si="143"/>
        <v>30</v>
      </c>
      <c r="O340" s="33">
        <f t="shared" si="143"/>
        <v>30</v>
      </c>
      <c r="P340" s="33">
        <f t="shared" si="143"/>
        <v>21</v>
      </c>
      <c r="Q340" s="33">
        <f t="shared" si="143"/>
        <v>19</v>
      </c>
      <c r="R340" s="35">
        <f t="shared" si="138"/>
        <v>3.7999999999999999E-2</v>
      </c>
      <c r="S340" s="35">
        <f t="shared" si="139"/>
        <v>4.2000000000000003E-2</v>
      </c>
      <c r="T340" s="35">
        <f t="shared" si="140"/>
        <v>2.375E-2</v>
      </c>
      <c r="U340" s="35">
        <f t="shared" si="144"/>
        <v>8.6757990867579959E-2</v>
      </c>
      <c r="V340" s="35">
        <f t="shared" si="144"/>
        <v>4.7619047619047672E-2</v>
      </c>
      <c r="W340" s="35">
        <f t="shared" si="144"/>
        <v>4.7619047619047672E-2</v>
      </c>
      <c r="X340" s="35">
        <f t="shared" si="144"/>
        <v>4.7619047619047672E-2</v>
      </c>
      <c r="Y340" s="35">
        <f t="shared" si="144"/>
        <v>4.7619047619047672E-2</v>
      </c>
      <c r="Z340" s="35">
        <f t="shared" si="144"/>
        <v>4.7619047619047672E-2</v>
      </c>
      <c r="AA340" s="35">
        <f t="shared" si="144"/>
        <v>4.7619047619047672E-2</v>
      </c>
    </row>
    <row r="341" spans="2:27" x14ac:dyDescent="0.2">
      <c r="B341" s="2">
        <v>339</v>
      </c>
      <c r="C341" s="2" t="str">
        <f t="shared" si="123"/>
        <v>b</v>
      </c>
      <c r="D341" s="29" t="s">
        <v>1</v>
      </c>
      <c r="E341" s="29" t="s">
        <v>219</v>
      </c>
      <c r="F341" s="2" t="s">
        <v>220</v>
      </c>
      <c r="G341" s="2">
        <f t="shared" si="141"/>
        <v>3</v>
      </c>
      <c r="H341" s="2" t="str">
        <f t="shared" si="133"/>
        <v>物理</v>
      </c>
      <c r="I341" s="38">
        <f t="shared" si="137"/>
        <v>0.11257142857142859</v>
      </c>
      <c r="J341" s="33">
        <f t="shared" si="142"/>
        <v>55</v>
      </c>
      <c r="K341" s="33">
        <f t="shared" si="143"/>
        <v>112</v>
      </c>
      <c r="L341" s="33">
        <f t="shared" si="143"/>
        <v>10</v>
      </c>
      <c r="M341" s="33">
        <f t="shared" si="143"/>
        <v>66</v>
      </c>
      <c r="N341" s="33">
        <f t="shared" si="143"/>
        <v>46</v>
      </c>
      <c r="O341" s="33">
        <f t="shared" si="143"/>
        <v>46</v>
      </c>
      <c r="P341" s="33">
        <f t="shared" si="143"/>
        <v>31</v>
      </c>
      <c r="Q341" s="33">
        <f t="shared" si="143"/>
        <v>28</v>
      </c>
      <c r="R341" s="35">
        <f t="shared" si="138"/>
        <v>5.5999999999999994E-2</v>
      </c>
      <c r="S341" s="35">
        <f t="shared" si="139"/>
        <v>6.2E-2</v>
      </c>
      <c r="T341" s="35">
        <f t="shared" si="140"/>
        <v>3.5000000000000003E-2</v>
      </c>
      <c r="U341" s="35">
        <f t="shared" si="144"/>
        <v>0.1266375545851528</v>
      </c>
      <c r="V341" s="35">
        <f t="shared" si="144"/>
        <v>6.5420560747663559E-2</v>
      </c>
      <c r="W341" s="35">
        <f t="shared" si="144"/>
        <v>6.5420560747663559E-2</v>
      </c>
      <c r="X341" s="35">
        <f t="shared" si="144"/>
        <v>6.5420560747663559E-2</v>
      </c>
      <c r="Y341" s="35">
        <f t="shared" si="144"/>
        <v>6.5420560747663559E-2</v>
      </c>
      <c r="Z341" s="35">
        <f t="shared" si="144"/>
        <v>6.5420560747663559E-2</v>
      </c>
      <c r="AA341" s="35">
        <f t="shared" si="144"/>
        <v>6.5420560747663559E-2</v>
      </c>
    </row>
    <row r="342" spans="2:27" x14ac:dyDescent="0.2">
      <c r="B342" s="2">
        <v>340</v>
      </c>
      <c r="C342" s="2" t="str">
        <f t="shared" si="123"/>
        <v>b</v>
      </c>
      <c r="D342" s="29" t="s">
        <v>1</v>
      </c>
      <c r="E342" s="29" t="s">
        <v>219</v>
      </c>
      <c r="F342" s="2" t="s">
        <v>220</v>
      </c>
      <c r="G342" s="2">
        <f t="shared" si="141"/>
        <v>4</v>
      </c>
      <c r="H342" s="2" t="str">
        <f t="shared" si="133"/>
        <v>物理</v>
      </c>
      <c r="I342" s="38">
        <f t="shared" si="137"/>
        <v>0.15</v>
      </c>
      <c r="J342" s="33">
        <f t="shared" si="142"/>
        <v>73</v>
      </c>
      <c r="K342" s="33">
        <f t="shared" si="143"/>
        <v>149</v>
      </c>
      <c r="L342" s="33">
        <f t="shared" si="143"/>
        <v>13</v>
      </c>
      <c r="M342" s="33">
        <f t="shared" si="143"/>
        <v>88</v>
      </c>
      <c r="N342" s="33">
        <f t="shared" si="143"/>
        <v>61</v>
      </c>
      <c r="O342" s="33">
        <f t="shared" si="143"/>
        <v>61</v>
      </c>
      <c r="P342" s="33">
        <f t="shared" si="143"/>
        <v>42</v>
      </c>
      <c r="Q342" s="33">
        <f t="shared" si="143"/>
        <v>38</v>
      </c>
      <c r="R342" s="35">
        <f t="shared" si="138"/>
        <v>7.5999999999999998E-2</v>
      </c>
      <c r="S342" s="35">
        <f t="shared" si="139"/>
        <v>8.4000000000000005E-2</v>
      </c>
      <c r="T342" s="35">
        <f t="shared" si="140"/>
        <v>4.7500000000000001E-2</v>
      </c>
      <c r="U342" s="35">
        <f t="shared" si="144"/>
        <v>0.15966386554621848</v>
      </c>
      <c r="V342" s="35">
        <f t="shared" si="144"/>
        <v>8.6757990867579959E-2</v>
      </c>
      <c r="W342" s="35">
        <f t="shared" si="144"/>
        <v>8.6757990867579959E-2</v>
      </c>
      <c r="X342" s="35">
        <f t="shared" si="144"/>
        <v>8.6757990867579959E-2</v>
      </c>
      <c r="Y342" s="35">
        <f t="shared" si="144"/>
        <v>8.6757990867579959E-2</v>
      </c>
      <c r="Z342" s="35">
        <f t="shared" si="144"/>
        <v>8.6757990867579959E-2</v>
      </c>
      <c r="AA342" s="35">
        <f t="shared" si="144"/>
        <v>8.6757990867579959E-2</v>
      </c>
    </row>
    <row r="343" spans="2:27" x14ac:dyDescent="0.2">
      <c r="B343" s="2">
        <v>341</v>
      </c>
      <c r="C343" s="2" t="str">
        <f t="shared" si="123"/>
        <v>b</v>
      </c>
      <c r="D343" s="29" t="s">
        <v>1</v>
      </c>
      <c r="E343" s="29" t="s">
        <v>219</v>
      </c>
      <c r="F343" s="2" t="s">
        <v>220</v>
      </c>
      <c r="G343" s="2">
        <f t="shared" si="141"/>
        <v>5</v>
      </c>
      <c r="H343" s="2" t="str">
        <f t="shared" si="133"/>
        <v>物理</v>
      </c>
      <c r="I343" s="38">
        <f t="shared" si="137"/>
        <v>0.188</v>
      </c>
      <c r="J343" s="33">
        <f t="shared" ref="J343:J352" si="145">INT((1+VLOOKUP($F343,role_property_weight,getpos(J$2),FALSE))*(1+VLOOKUP($F343,drop_property_weight,getpos(J$2),FALSE))*VLOOKUP($E343,role_grow,getpos(J$2),FALSE)*$G343*10*VLOOKUP($C343,drop_grow1,4,FALSE))</f>
        <v>92</v>
      </c>
      <c r="K343" s="33">
        <f t="shared" ref="K343:Q352" si="146">INT((1+VLOOKUP($F343,role_property_weight,getpos(K$2),FALSE))*(1+VLOOKUP($F343,drop_property_weight,getpos(K$2),FALSE))*VLOOKUP($E343,role_grow,getpos(K$2),FALSE)*$G343*10*VLOOKUP($C343,drop_grow1,5,FALSE))</f>
        <v>187</v>
      </c>
      <c r="L343" s="33">
        <f t="shared" si="146"/>
        <v>17</v>
      </c>
      <c r="M343" s="33">
        <f t="shared" si="146"/>
        <v>110</v>
      </c>
      <c r="N343" s="33">
        <f t="shared" si="146"/>
        <v>76</v>
      </c>
      <c r="O343" s="33">
        <f t="shared" si="146"/>
        <v>76</v>
      </c>
      <c r="P343" s="33">
        <f t="shared" si="146"/>
        <v>52</v>
      </c>
      <c r="Q343" s="33">
        <f t="shared" si="146"/>
        <v>48</v>
      </c>
      <c r="R343" s="35">
        <f t="shared" si="138"/>
        <v>9.6000000000000002E-2</v>
      </c>
      <c r="S343" s="35">
        <f t="shared" si="139"/>
        <v>0.10400000000000001</v>
      </c>
      <c r="T343" s="35">
        <f t="shared" si="140"/>
        <v>0.06</v>
      </c>
      <c r="U343" s="35">
        <f t="shared" ref="U343:AA352" si="147">1-200/(200+ROUND((1+VLOOKUP($F343,role_property_weight,getpos(U$2),FALSE))*VLOOKUP($E343,role_grow,getpos(U$2),FALSE)*$G343*10*VLOOKUP($C343,drop_grow1,5,FALSE),0))</f>
        <v>0.19354838709677424</v>
      </c>
      <c r="V343" s="35">
        <f t="shared" si="147"/>
        <v>0.1071428571428571</v>
      </c>
      <c r="W343" s="35">
        <f t="shared" si="147"/>
        <v>0.1071428571428571</v>
      </c>
      <c r="X343" s="35">
        <f t="shared" si="147"/>
        <v>0.1071428571428571</v>
      </c>
      <c r="Y343" s="35">
        <f t="shared" si="147"/>
        <v>0.1071428571428571</v>
      </c>
      <c r="Z343" s="35">
        <f t="shared" si="147"/>
        <v>0.1071428571428571</v>
      </c>
      <c r="AA343" s="35">
        <f t="shared" si="147"/>
        <v>0.1071428571428571</v>
      </c>
    </row>
    <row r="344" spans="2:27" x14ac:dyDescent="0.2">
      <c r="B344" s="2">
        <v>342</v>
      </c>
      <c r="C344" s="2" t="str">
        <f t="shared" si="123"/>
        <v>b</v>
      </c>
      <c r="D344" s="29" t="s">
        <v>1</v>
      </c>
      <c r="E344" s="29" t="s">
        <v>219</v>
      </c>
      <c r="F344" s="2" t="s">
        <v>220</v>
      </c>
      <c r="G344" s="2">
        <f t="shared" si="141"/>
        <v>6</v>
      </c>
      <c r="H344" s="2" t="str">
        <f t="shared" si="133"/>
        <v>物理</v>
      </c>
      <c r="I344" s="38">
        <f t="shared" si="137"/>
        <v>0.22571428571428573</v>
      </c>
      <c r="J344" s="33">
        <f t="shared" si="145"/>
        <v>110</v>
      </c>
      <c r="K344" s="33">
        <f t="shared" si="146"/>
        <v>224</v>
      </c>
      <c r="L344" s="33">
        <f t="shared" si="146"/>
        <v>20</v>
      </c>
      <c r="M344" s="33">
        <f t="shared" si="146"/>
        <v>132</v>
      </c>
      <c r="N344" s="33">
        <f t="shared" si="146"/>
        <v>92</v>
      </c>
      <c r="O344" s="33">
        <f t="shared" si="146"/>
        <v>92</v>
      </c>
      <c r="P344" s="33">
        <f t="shared" si="146"/>
        <v>63</v>
      </c>
      <c r="Q344" s="33">
        <f t="shared" si="146"/>
        <v>57</v>
      </c>
      <c r="R344" s="35">
        <f t="shared" si="138"/>
        <v>0.114</v>
      </c>
      <c r="S344" s="35">
        <f t="shared" si="139"/>
        <v>0.126</v>
      </c>
      <c r="T344" s="35">
        <f t="shared" si="140"/>
        <v>7.1249999999999994E-2</v>
      </c>
      <c r="U344" s="35">
        <f t="shared" si="147"/>
        <v>0.22480620155038755</v>
      </c>
      <c r="V344" s="35">
        <f t="shared" si="147"/>
        <v>0.1266375545851528</v>
      </c>
      <c r="W344" s="35">
        <f t="shared" si="147"/>
        <v>0.1266375545851528</v>
      </c>
      <c r="X344" s="35">
        <f t="shared" si="147"/>
        <v>0.1266375545851528</v>
      </c>
      <c r="Y344" s="35">
        <f t="shared" si="147"/>
        <v>0.1266375545851528</v>
      </c>
      <c r="Z344" s="35">
        <f t="shared" si="147"/>
        <v>0.1266375545851528</v>
      </c>
      <c r="AA344" s="35">
        <f t="shared" si="147"/>
        <v>0.1266375545851528</v>
      </c>
    </row>
    <row r="345" spans="2:27" x14ac:dyDescent="0.2">
      <c r="B345" s="2">
        <v>343</v>
      </c>
      <c r="C345" s="2" t="str">
        <f t="shared" si="123"/>
        <v>b</v>
      </c>
      <c r="D345" s="29" t="s">
        <v>1</v>
      </c>
      <c r="E345" s="29" t="s">
        <v>219</v>
      </c>
      <c r="F345" s="2" t="s">
        <v>220</v>
      </c>
      <c r="G345" s="2">
        <f t="shared" si="141"/>
        <v>7</v>
      </c>
      <c r="H345" s="2" t="str">
        <f t="shared" si="133"/>
        <v>物理</v>
      </c>
      <c r="I345" s="38">
        <f t="shared" si="137"/>
        <v>0.26371428571428568</v>
      </c>
      <c r="J345" s="33">
        <f t="shared" si="145"/>
        <v>129</v>
      </c>
      <c r="K345" s="33">
        <f t="shared" si="146"/>
        <v>262</v>
      </c>
      <c r="L345" s="33">
        <f t="shared" si="146"/>
        <v>24</v>
      </c>
      <c r="M345" s="33">
        <f t="shared" si="146"/>
        <v>154</v>
      </c>
      <c r="N345" s="33">
        <f t="shared" si="146"/>
        <v>107</v>
      </c>
      <c r="O345" s="33">
        <f t="shared" si="146"/>
        <v>107</v>
      </c>
      <c r="P345" s="33">
        <f t="shared" si="146"/>
        <v>73</v>
      </c>
      <c r="Q345" s="33">
        <f t="shared" si="146"/>
        <v>67</v>
      </c>
      <c r="R345" s="35">
        <f t="shared" si="138"/>
        <v>0.13400000000000001</v>
      </c>
      <c r="S345" s="35">
        <f t="shared" si="139"/>
        <v>0.14599999999999999</v>
      </c>
      <c r="T345" s="35">
        <f t="shared" si="140"/>
        <v>8.3750000000000005E-2</v>
      </c>
      <c r="U345" s="35">
        <f t="shared" si="147"/>
        <v>0.25093632958801493</v>
      </c>
      <c r="V345" s="35">
        <f t="shared" si="147"/>
        <v>0.14529914529914534</v>
      </c>
      <c r="W345" s="35">
        <f t="shared" si="147"/>
        <v>0.14529914529914534</v>
      </c>
      <c r="X345" s="35">
        <f t="shared" si="147"/>
        <v>0.14529914529914534</v>
      </c>
      <c r="Y345" s="35">
        <f t="shared" si="147"/>
        <v>0.14529914529914534</v>
      </c>
      <c r="Z345" s="35">
        <f t="shared" si="147"/>
        <v>0.14529914529914534</v>
      </c>
      <c r="AA345" s="35">
        <f t="shared" si="147"/>
        <v>0.14529914529914534</v>
      </c>
    </row>
    <row r="346" spans="2:27" x14ac:dyDescent="0.2">
      <c r="B346" s="2">
        <v>344</v>
      </c>
      <c r="C346" s="2" t="str">
        <f t="shared" si="123"/>
        <v>b</v>
      </c>
      <c r="D346" s="29" t="s">
        <v>1</v>
      </c>
      <c r="E346" s="29" t="s">
        <v>219</v>
      </c>
      <c r="F346" s="2" t="s">
        <v>220</v>
      </c>
      <c r="G346" s="2">
        <f t="shared" si="141"/>
        <v>8</v>
      </c>
      <c r="H346" s="2" t="str">
        <f t="shared" si="133"/>
        <v>物理</v>
      </c>
      <c r="I346" s="38">
        <f t="shared" si="137"/>
        <v>0.30085714285714288</v>
      </c>
      <c r="J346" s="33">
        <f t="shared" si="145"/>
        <v>147</v>
      </c>
      <c r="K346" s="33">
        <f t="shared" si="146"/>
        <v>299</v>
      </c>
      <c r="L346" s="33">
        <f t="shared" si="146"/>
        <v>27</v>
      </c>
      <c r="M346" s="33">
        <f t="shared" si="146"/>
        <v>176</v>
      </c>
      <c r="N346" s="33">
        <f t="shared" si="146"/>
        <v>122</v>
      </c>
      <c r="O346" s="33">
        <f t="shared" si="146"/>
        <v>122</v>
      </c>
      <c r="P346" s="33">
        <f t="shared" si="146"/>
        <v>84</v>
      </c>
      <c r="Q346" s="33">
        <f t="shared" si="146"/>
        <v>76</v>
      </c>
      <c r="R346" s="35">
        <f t="shared" si="138"/>
        <v>0.152</v>
      </c>
      <c r="S346" s="35">
        <f t="shared" si="139"/>
        <v>0.16800000000000001</v>
      </c>
      <c r="T346" s="35">
        <f t="shared" si="140"/>
        <v>9.5000000000000001E-2</v>
      </c>
      <c r="U346" s="35">
        <f t="shared" si="147"/>
        <v>0.27797833935018046</v>
      </c>
      <c r="V346" s="35">
        <f t="shared" si="147"/>
        <v>0.15966386554621848</v>
      </c>
      <c r="W346" s="35">
        <f t="shared" si="147"/>
        <v>0.15966386554621848</v>
      </c>
      <c r="X346" s="35">
        <f t="shared" si="147"/>
        <v>0.15966386554621848</v>
      </c>
      <c r="Y346" s="35">
        <f t="shared" si="147"/>
        <v>0.15966386554621848</v>
      </c>
      <c r="Z346" s="35">
        <f t="shared" si="147"/>
        <v>0.15966386554621848</v>
      </c>
      <c r="AA346" s="35">
        <f t="shared" si="147"/>
        <v>0.15966386554621848</v>
      </c>
    </row>
    <row r="347" spans="2:27" x14ac:dyDescent="0.2">
      <c r="B347" s="2">
        <v>345</v>
      </c>
      <c r="C347" s="2" t="str">
        <f t="shared" si="123"/>
        <v>c</v>
      </c>
      <c r="D347" s="29" t="s">
        <v>1</v>
      </c>
      <c r="E347" s="29" t="s">
        <v>219</v>
      </c>
      <c r="F347" s="2" t="s">
        <v>220</v>
      </c>
      <c r="G347" s="2">
        <f t="shared" si="141"/>
        <v>1</v>
      </c>
      <c r="H347" s="2" t="str">
        <f t="shared" si="133"/>
        <v>--</v>
      </c>
      <c r="I347" s="38">
        <f t="shared" si="137"/>
        <v>0</v>
      </c>
      <c r="J347" s="33">
        <f t="shared" si="145"/>
        <v>24</v>
      </c>
      <c r="K347" s="33">
        <f t="shared" si="146"/>
        <v>0</v>
      </c>
      <c r="L347" s="33">
        <f t="shared" si="146"/>
        <v>0</v>
      </c>
      <c r="M347" s="33">
        <f t="shared" si="146"/>
        <v>0</v>
      </c>
      <c r="N347" s="33">
        <f t="shared" si="146"/>
        <v>0</v>
      </c>
      <c r="O347" s="33">
        <f t="shared" si="146"/>
        <v>0</v>
      </c>
      <c r="P347" s="33">
        <f t="shared" si="146"/>
        <v>0</v>
      </c>
      <c r="Q347" s="33">
        <f t="shared" si="146"/>
        <v>0</v>
      </c>
      <c r="R347" s="35">
        <f t="shared" si="138"/>
        <v>0</v>
      </c>
      <c r="S347" s="35">
        <f t="shared" si="139"/>
        <v>0</v>
      </c>
      <c r="T347" s="35">
        <f t="shared" si="140"/>
        <v>0</v>
      </c>
      <c r="U347" s="35">
        <f t="shared" si="147"/>
        <v>0</v>
      </c>
      <c r="V347" s="35">
        <f t="shared" si="147"/>
        <v>0</v>
      </c>
      <c r="W347" s="35">
        <f t="shared" si="147"/>
        <v>0</v>
      </c>
      <c r="X347" s="35">
        <f t="shared" si="147"/>
        <v>0</v>
      </c>
      <c r="Y347" s="35">
        <f t="shared" si="147"/>
        <v>0</v>
      </c>
      <c r="Z347" s="35">
        <f t="shared" si="147"/>
        <v>0</v>
      </c>
      <c r="AA347" s="35">
        <f t="shared" si="147"/>
        <v>0</v>
      </c>
    </row>
    <row r="348" spans="2:27" x14ac:dyDescent="0.2">
      <c r="B348" s="2">
        <v>346</v>
      </c>
      <c r="C348" s="2" t="str">
        <f t="shared" si="123"/>
        <v>c</v>
      </c>
      <c r="D348" s="29" t="s">
        <v>1</v>
      </c>
      <c r="E348" s="29" t="s">
        <v>219</v>
      </c>
      <c r="F348" s="2" t="s">
        <v>220</v>
      </c>
      <c r="G348" s="2">
        <f t="shared" si="141"/>
        <v>2</v>
      </c>
      <c r="H348" s="2" t="str">
        <f t="shared" si="133"/>
        <v>--</v>
      </c>
      <c r="I348" s="38">
        <f t="shared" si="137"/>
        <v>0</v>
      </c>
      <c r="J348" s="33">
        <f t="shared" si="145"/>
        <v>49</v>
      </c>
      <c r="K348" s="33">
        <f t="shared" si="146"/>
        <v>0</v>
      </c>
      <c r="L348" s="33">
        <f t="shared" si="146"/>
        <v>0</v>
      </c>
      <c r="M348" s="33">
        <f t="shared" si="146"/>
        <v>0</v>
      </c>
      <c r="N348" s="33">
        <f t="shared" si="146"/>
        <v>0</v>
      </c>
      <c r="O348" s="33">
        <f t="shared" si="146"/>
        <v>0</v>
      </c>
      <c r="P348" s="33">
        <f t="shared" si="146"/>
        <v>0</v>
      </c>
      <c r="Q348" s="33">
        <f t="shared" si="146"/>
        <v>0</v>
      </c>
      <c r="R348" s="35">
        <f t="shared" si="138"/>
        <v>0</v>
      </c>
      <c r="S348" s="35">
        <f t="shared" si="139"/>
        <v>0</v>
      </c>
      <c r="T348" s="35">
        <f t="shared" si="140"/>
        <v>0</v>
      </c>
      <c r="U348" s="35">
        <f t="shared" si="147"/>
        <v>0</v>
      </c>
      <c r="V348" s="35">
        <f t="shared" si="147"/>
        <v>0</v>
      </c>
      <c r="W348" s="35">
        <f t="shared" si="147"/>
        <v>0</v>
      </c>
      <c r="X348" s="35">
        <f t="shared" si="147"/>
        <v>0</v>
      </c>
      <c r="Y348" s="35">
        <f t="shared" si="147"/>
        <v>0</v>
      </c>
      <c r="Z348" s="35">
        <f t="shared" si="147"/>
        <v>0</v>
      </c>
      <c r="AA348" s="35">
        <f t="shared" si="147"/>
        <v>0</v>
      </c>
    </row>
    <row r="349" spans="2:27" x14ac:dyDescent="0.2">
      <c r="B349" s="2">
        <v>347</v>
      </c>
      <c r="C349" s="2" t="str">
        <f t="shared" si="123"/>
        <v>c</v>
      </c>
      <c r="D349" s="29" t="s">
        <v>1</v>
      </c>
      <c r="E349" s="29" t="s">
        <v>219</v>
      </c>
      <c r="F349" s="2" t="s">
        <v>220</v>
      </c>
      <c r="G349" s="2">
        <f t="shared" si="141"/>
        <v>3</v>
      </c>
      <c r="H349" s="2" t="str">
        <f t="shared" si="133"/>
        <v>--</v>
      </c>
      <c r="I349" s="38">
        <f t="shared" si="137"/>
        <v>0</v>
      </c>
      <c r="J349" s="33">
        <f t="shared" si="145"/>
        <v>74</v>
      </c>
      <c r="K349" s="33">
        <f t="shared" si="146"/>
        <v>0</v>
      </c>
      <c r="L349" s="33">
        <f t="shared" si="146"/>
        <v>0</v>
      </c>
      <c r="M349" s="33">
        <f t="shared" si="146"/>
        <v>0</v>
      </c>
      <c r="N349" s="33">
        <f t="shared" si="146"/>
        <v>0</v>
      </c>
      <c r="O349" s="33">
        <f t="shared" si="146"/>
        <v>0</v>
      </c>
      <c r="P349" s="33">
        <f t="shared" si="146"/>
        <v>0</v>
      </c>
      <c r="Q349" s="33">
        <f t="shared" si="146"/>
        <v>0</v>
      </c>
      <c r="R349" s="35">
        <f t="shared" si="138"/>
        <v>0</v>
      </c>
      <c r="S349" s="35">
        <f t="shared" si="139"/>
        <v>0</v>
      </c>
      <c r="T349" s="35">
        <f t="shared" si="140"/>
        <v>0</v>
      </c>
      <c r="U349" s="35">
        <f t="shared" si="147"/>
        <v>0</v>
      </c>
      <c r="V349" s="35">
        <f t="shared" si="147"/>
        <v>0</v>
      </c>
      <c r="W349" s="35">
        <f t="shared" si="147"/>
        <v>0</v>
      </c>
      <c r="X349" s="35">
        <f t="shared" si="147"/>
        <v>0</v>
      </c>
      <c r="Y349" s="35">
        <f t="shared" si="147"/>
        <v>0</v>
      </c>
      <c r="Z349" s="35">
        <f t="shared" si="147"/>
        <v>0</v>
      </c>
      <c r="AA349" s="35">
        <f t="shared" si="147"/>
        <v>0</v>
      </c>
    </row>
    <row r="350" spans="2:27" x14ac:dyDescent="0.2">
      <c r="B350" s="2">
        <v>348</v>
      </c>
      <c r="C350" s="2" t="str">
        <f t="shared" si="123"/>
        <v>c</v>
      </c>
      <c r="D350" s="29" t="s">
        <v>1</v>
      </c>
      <c r="E350" s="29" t="s">
        <v>219</v>
      </c>
      <c r="F350" s="2" t="s">
        <v>220</v>
      </c>
      <c r="G350" s="2">
        <f t="shared" si="141"/>
        <v>4</v>
      </c>
      <c r="H350" s="2" t="str">
        <f t="shared" si="133"/>
        <v>--</v>
      </c>
      <c r="I350" s="38">
        <f t="shared" si="137"/>
        <v>0</v>
      </c>
      <c r="J350" s="33">
        <f t="shared" si="145"/>
        <v>99</v>
      </c>
      <c r="K350" s="33">
        <f t="shared" si="146"/>
        <v>0</v>
      </c>
      <c r="L350" s="33">
        <f t="shared" si="146"/>
        <v>0</v>
      </c>
      <c r="M350" s="33">
        <f t="shared" si="146"/>
        <v>0</v>
      </c>
      <c r="N350" s="33">
        <f t="shared" si="146"/>
        <v>0</v>
      </c>
      <c r="O350" s="33">
        <f t="shared" si="146"/>
        <v>0</v>
      </c>
      <c r="P350" s="33">
        <f t="shared" si="146"/>
        <v>0</v>
      </c>
      <c r="Q350" s="33">
        <f t="shared" si="146"/>
        <v>0</v>
      </c>
      <c r="R350" s="35">
        <f t="shared" si="138"/>
        <v>0</v>
      </c>
      <c r="S350" s="35">
        <f t="shared" si="139"/>
        <v>0</v>
      </c>
      <c r="T350" s="35">
        <f t="shared" si="140"/>
        <v>0</v>
      </c>
      <c r="U350" s="35">
        <f t="shared" si="147"/>
        <v>0</v>
      </c>
      <c r="V350" s="35">
        <f t="shared" si="147"/>
        <v>0</v>
      </c>
      <c r="W350" s="35">
        <f t="shared" si="147"/>
        <v>0</v>
      </c>
      <c r="X350" s="35">
        <f t="shared" si="147"/>
        <v>0</v>
      </c>
      <c r="Y350" s="35">
        <f t="shared" si="147"/>
        <v>0</v>
      </c>
      <c r="Z350" s="35">
        <f t="shared" si="147"/>
        <v>0</v>
      </c>
      <c r="AA350" s="35">
        <f t="shared" si="147"/>
        <v>0</v>
      </c>
    </row>
    <row r="351" spans="2:27" x14ac:dyDescent="0.2">
      <c r="B351" s="2">
        <v>349</v>
      </c>
      <c r="C351" s="2" t="str">
        <f t="shared" si="123"/>
        <v>c</v>
      </c>
      <c r="D351" s="29" t="s">
        <v>1</v>
      </c>
      <c r="E351" s="29" t="s">
        <v>219</v>
      </c>
      <c r="F351" s="2" t="s">
        <v>220</v>
      </c>
      <c r="G351" s="2">
        <f t="shared" si="141"/>
        <v>5</v>
      </c>
      <c r="H351" s="2" t="str">
        <f t="shared" si="133"/>
        <v>--</v>
      </c>
      <c r="I351" s="38">
        <f t="shared" si="137"/>
        <v>0</v>
      </c>
      <c r="J351" s="33">
        <f t="shared" si="145"/>
        <v>124</v>
      </c>
      <c r="K351" s="33">
        <f t="shared" si="146"/>
        <v>0</v>
      </c>
      <c r="L351" s="33">
        <f t="shared" si="146"/>
        <v>0</v>
      </c>
      <c r="M351" s="33">
        <f t="shared" si="146"/>
        <v>0</v>
      </c>
      <c r="N351" s="33">
        <f t="shared" si="146"/>
        <v>0</v>
      </c>
      <c r="O351" s="33">
        <f t="shared" si="146"/>
        <v>0</v>
      </c>
      <c r="P351" s="33">
        <f t="shared" si="146"/>
        <v>0</v>
      </c>
      <c r="Q351" s="33">
        <f t="shared" si="146"/>
        <v>0</v>
      </c>
      <c r="R351" s="35">
        <f t="shared" si="138"/>
        <v>0</v>
      </c>
      <c r="S351" s="35">
        <f t="shared" si="139"/>
        <v>0</v>
      </c>
      <c r="T351" s="35">
        <f t="shared" si="140"/>
        <v>0</v>
      </c>
      <c r="U351" s="35">
        <f t="shared" si="147"/>
        <v>0</v>
      </c>
      <c r="V351" s="35">
        <f t="shared" si="147"/>
        <v>0</v>
      </c>
      <c r="W351" s="35">
        <f t="shared" si="147"/>
        <v>0</v>
      </c>
      <c r="X351" s="35">
        <f t="shared" si="147"/>
        <v>0</v>
      </c>
      <c r="Y351" s="35">
        <f t="shared" si="147"/>
        <v>0</v>
      </c>
      <c r="Z351" s="35">
        <f t="shared" si="147"/>
        <v>0</v>
      </c>
      <c r="AA351" s="35">
        <f t="shared" si="147"/>
        <v>0</v>
      </c>
    </row>
    <row r="352" spans="2:27" x14ac:dyDescent="0.2">
      <c r="B352" s="2">
        <v>350</v>
      </c>
      <c r="C352" s="2" t="str">
        <f t="shared" si="123"/>
        <v>c</v>
      </c>
      <c r="D352" s="29" t="s">
        <v>1</v>
      </c>
      <c r="E352" s="29" t="s">
        <v>219</v>
      </c>
      <c r="F352" s="2" t="s">
        <v>220</v>
      </c>
      <c r="G352" s="2">
        <f t="shared" si="141"/>
        <v>6</v>
      </c>
      <c r="H352" s="2" t="str">
        <f t="shared" si="133"/>
        <v>--</v>
      </c>
      <c r="I352" s="38">
        <f t="shared" si="137"/>
        <v>0</v>
      </c>
      <c r="J352" s="33">
        <f t="shared" si="145"/>
        <v>148</v>
      </c>
      <c r="K352" s="33">
        <f t="shared" si="146"/>
        <v>0</v>
      </c>
      <c r="L352" s="33">
        <f t="shared" si="146"/>
        <v>0</v>
      </c>
      <c r="M352" s="33">
        <f t="shared" si="146"/>
        <v>0</v>
      </c>
      <c r="N352" s="33">
        <f t="shared" si="146"/>
        <v>0</v>
      </c>
      <c r="O352" s="33">
        <f t="shared" si="146"/>
        <v>0</v>
      </c>
      <c r="P352" s="33">
        <f t="shared" si="146"/>
        <v>0</v>
      </c>
      <c r="Q352" s="33">
        <f t="shared" si="146"/>
        <v>0</v>
      </c>
      <c r="R352" s="35">
        <f t="shared" si="138"/>
        <v>0</v>
      </c>
      <c r="S352" s="35">
        <f t="shared" si="139"/>
        <v>0</v>
      </c>
      <c r="T352" s="35">
        <f t="shared" si="140"/>
        <v>0</v>
      </c>
      <c r="U352" s="35">
        <f t="shared" si="147"/>
        <v>0</v>
      </c>
      <c r="V352" s="35">
        <f t="shared" si="147"/>
        <v>0</v>
      </c>
      <c r="W352" s="35">
        <f t="shared" si="147"/>
        <v>0</v>
      </c>
      <c r="X352" s="35">
        <f t="shared" si="147"/>
        <v>0</v>
      </c>
      <c r="Y352" s="35">
        <f t="shared" si="147"/>
        <v>0</v>
      </c>
      <c r="Z352" s="35">
        <f t="shared" si="147"/>
        <v>0</v>
      </c>
      <c r="AA352" s="35">
        <f t="shared" si="147"/>
        <v>0</v>
      </c>
    </row>
    <row r="353" spans="2:27" x14ac:dyDescent="0.2">
      <c r="B353" s="2">
        <v>351</v>
      </c>
      <c r="C353" s="2" t="str">
        <f t="shared" si="123"/>
        <v>c</v>
      </c>
      <c r="D353" s="29" t="s">
        <v>1</v>
      </c>
      <c r="E353" s="29" t="s">
        <v>219</v>
      </c>
      <c r="F353" s="2" t="s">
        <v>220</v>
      </c>
      <c r="G353" s="2">
        <f t="shared" si="141"/>
        <v>7</v>
      </c>
      <c r="H353" s="2" t="str">
        <f t="shared" si="133"/>
        <v>--</v>
      </c>
      <c r="I353" s="38">
        <f t="shared" si="137"/>
        <v>0</v>
      </c>
      <c r="J353" s="33">
        <f t="shared" ref="J353:J362" si="148">INT((1+VLOOKUP($F353,role_property_weight,getpos(J$2),FALSE))*(1+VLOOKUP($F353,drop_property_weight,getpos(J$2),FALSE))*VLOOKUP($E353,role_grow,getpos(J$2),FALSE)*$G353*10*VLOOKUP($C353,drop_grow1,4,FALSE))</f>
        <v>173</v>
      </c>
      <c r="K353" s="33">
        <f t="shared" ref="K353:Q362" si="149">INT((1+VLOOKUP($F353,role_property_weight,getpos(K$2),FALSE))*(1+VLOOKUP($F353,drop_property_weight,getpos(K$2),FALSE))*VLOOKUP($E353,role_grow,getpos(K$2),FALSE)*$G353*10*VLOOKUP($C353,drop_grow1,5,FALSE))</f>
        <v>0</v>
      </c>
      <c r="L353" s="33">
        <f t="shared" si="149"/>
        <v>0</v>
      </c>
      <c r="M353" s="33">
        <f t="shared" si="149"/>
        <v>0</v>
      </c>
      <c r="N353" s="33">
        <f t="shared" si="149"/>
        <v>0</v>
      </c>
      <c r="O353" s="33">
        <f t="shared" si="149"/>
        <v>0</v>
      </c>
      <c r="P353" s="33">
        <f t="shared" si="149"/>
        <v>0</v>
      </c>
      <c r="Q353" s="33">
        <f t="shared" si="149"/>
        <v>0</v>
      </c>
      <c r="R353" s="35">
        <f t="shared" si="138"/>
        <v>0</v>
      </c>
      <c r="S353" s="35">
        <f t="shared" si="139"/>
        <v>0</v>
      </c>
      <c r="T353" s="35">
        <f t="shared" si="140"/>
        <v>0</v>
      </c>
      <c r="U353" s="35">
        <f t="shared" ref="U353:AA362" si="150">1-200/(200+ROUND((1+VLOOKUP($F353,role_property_weight,getpos(U$2),FALSE))*VLOOKUP($E353,role_grow,getpos(U$2),FALSE)*$G353*10*VLOOKUP($C353,drop_grow1,5,FALSE),0))</f>
        <v>0</v>
      </c>
      <c r="V353" s="35">
        <f t="shared" si="150"/>
        <v>0</v>
      </c>
      <c r="W353" s="35">
        <f t="shared" si="150"/>
        <v>0</v>
      </c>
      <c r="X353" s="35">
        <f t="shared" si="150"/>
        <v>0</v>
      </c>
      <c r="Y353" s="35">
        <f t="shared" si="150"/>
        <v>0</v>
      </c>
      <c r="Z353" s="35">
        <f t="shared" si="150"/>
        <v>0</v>
      </c>
      <c r="AA353" s="35">
        <f t="shared" si="150"/>
        <v>0</v>
      </c>
    </row>
    <row r="354" spans="2:27" x14ac:dyDescent="0.2">
      <c r="B354" s="2">
        <v>352</v>
      </c>
      <c r="C354" s="2" t="str">
        <f t="shared" si="123"/>
        <v>c</v>
      </c>
      <c r="D354" s="29" t="s">
        <v>1</v>
      </c>
      <c r="E354" s="29" t="s">
        <v>219</v>
      </c>
      <c r="F354" s="2" t="s">
        <v>220</v>
      </c>
      <c r="G354" s="2">
        <f t="shared" si="141"/>
        <v>8</v>
      </c>
      <c r="H354" s="2" t="str">
        <f t="shared" si="133"/>
        <v>--</v>
      </c>
      <c r="I354" s="38">
        <f t="shared" si="137"/>
        <v>0</v>
      </c>
      <c r="J354" s="33">
        <f t="shared" si="148"/>
        <v>198</v>
      </c>
      <c r="K354" s="33">
        <f t="shared" si="149"/>
        <v>0</v>
      </c>
      <c r="L354" s="33">
        <f t="shared" si="149"/>
        <v>0</v>
      </c>
      <c r="M354" s="33">
        <f t="shared" si="149"/>
        <v>0</v>
      </c>
      <c r="N354" s="33">
        <f t="shared" si="149"/>
        <v>0</v>
      </c>
      <c r="O354" s="33">
        <f t="shared" si="149"/>
        <v>0</v>
      </c>
      <c r="P354" s="33">
        <f t="shared" si="149"/>
        <v>0</v>
      </c>
      <c r="Q354" s="33">
        <f t="shared" si="149"/>
        <v>0</v>
      </c>
      <c r="R354" s="35">
        <f t="shared" si="138"/>
        <v>0</v>
      </c>
      <c r="S354" s="35">
        <f t="shared" si="139"/>
        <v>0</v>
      </c>
      <c r="T354" s="35">
        <f t="shared" si="140"/>
        <v>0</v>
      </c>
      <c r="U354" s="35">
        <f t="shared" si="150"/>
        <v>0</v>
      </c>
      <c r="V354" s="35">
        <f t="shared" si="150"/>
        <v>0</v>
      </c>
      <c r="W354" s="35">
        <f t="shared" si="150"/>
        <v>0</v>
      </c>
      <c r="X354" s="35">
        <f t="shared" si="150"/>
        <v>0</v>
      </c>
      <c r="Y354" s="35">
        <f t="shared" si="150"/>
        <v>0</v>
      </c>
      <c r="Z354" s="35">
        <f t="shared" si="150"/>
        <v>0</v>
      </c>
      <c r="AA354" s="35">
        <f t="shared" si="150"/>
        <v>0</v>
      </c>
    </row>
    <row r="355" spans="2:27" x14ac:dyDescent="0.2">
      <c r="B355" s="2">
        <v>353</v>
      </c>
      <c r="C355" s="2" t="str">
        <f t="shared" si="123"/>
        <v>s</v>
      </c>
      <c r="D355" s="29" t="s">
        <v>1</v>
      </c>
      <c r="E355" s="29" t="s">
        <v>219</v>
      </c>
      <c r="F355" s="2" t="s">
        <v>221</v>
      </c>
      <c r="G355" s="2">
        <f t="shared" si="141"/>
        <v>1</v>
      </c>
      <c r="H355" s="2" t="str">
        <f t="shared" si="133"/>
        <v>电击</v>
      </c>
      <c r="I355" s="38">
        <f t="shared" si="137"/>
        <v>0.08</v>
      </c>
      <c r="J355" s="33">
        <f t="shared" si="148"/>
        <v>16</v>
      </c>
      <c r="K355" s="33">
        <f t="shared" si="149"/>
        <v>16</v>
      </c>
      <c r="L355" s="33">
        <f t="shared" si="149"/>
        <v>3</v>
      </c>
      <c r="M355" s="33">
        <f t="shared" si="149"/>
        <v>12</v>
      </c>
      <c r="N355" s="33">
        <f t="shared" si="149"/>
        <v>11</v>
      </c>
      <c r="O355" s="33">
        <f t="shared" si="149"/>
        <v>13</v>
      </c>
      <c r="P355" s="33">
        <f t="shared" si="149"/>
        <v>5</v>
      </c>
      <c r="Q355" s="33">
        <f t="shared" si="149"/>
        <v>7</v>
      </c>
      <c r="R355" s="35">
        <f t="shared" si="138"/>
        <v>1.3999999999999999E-2</v>
      </c>
      <c r="S355" s="35">
        <f t="shared" si="139"/>
        <v>0.01</v>
      </c>
      <c r="T355" s="35">
        <f t="shared" si="140"/>
        <v>8.7500000000000008E-3</v>
      </c>
      <c r="U355" s="35">
        <f t="shared" si="150"/>
        <v>1.4778325123152691E-2</v>
      </c>
      <c r="V355" s="35">
        <f t="shared" si="150"/>
        <v>1.4778325123152691E-2</v>
      </c>
      <c r="W355" s="35">
        <f t="shared" si="150"/>
        <v>1.4778325123152691E-2</v>
      </c>
      <c r="X355" s="35">
        <f t="shared" si="150"/>
        <v>1.4778325123152691E-2</v>
      </c>
      <c r="Y355" s="35">
        <f t="shared" si="150"/>
        <v>1.4778325123152691E-2</v>
      </c>
      <c r="Z355" s="35">
        <f t="shared" si="150"/>
        <v>1.4778325123152691E-2</v>
      </c>
      <c r="AA355" s="35">
        <f t="shared" si="150"/>
        <v>7.8341013824884786E-2</v>
      </c>
    </row>
    <row r="356" spans="2:27" x14ac:dyDescent="0.2">
      <c r="B356" s="2">
        <v>354</v>
      </c>
      <c r="C356" s="2" t="str">
        <f t="shared" ref="C356:C419" si="151">C324</f>
        <v>s</v>
      </c>
      <c r="D356" s="29" t="s">
        <v>1</v>
      </c>
      <c r="E356" s="29" t="s">
        <v>219</v>
      </c>
      <c r="F356" s="2" t="s">
        <v>221</v>
      </c>
      <c r="G356" s="2">
        <f t="shared" si="141"/>
        <v>2</v>
      </c>
      <c r="H356" s="2" t="str">
        <f t="shared" si="133"/>
        <v>电击</v>
      </c>
      <c r="I356" s="38">
        <f t="shared" si="137"/>
        <v>0.08</v>
      </c>
      <c r="J356" s="33">
        <f t="shared" si="148"/>
        <v>32</v>
      </c>
      <c r="K356" s="33">
        <f t="shared" si="149"/>
        <v>33</v>
      </c>
      <c r="L356" s="33">
        <f t="shared" si="149"/>
        <v>7</v>
      </c>
      <c r="M356" s="33">
        <f t="shared" si="149"/>
        <v>24</v>
      </c>
      <c r="N356" s="33">
        <f t="shared" si="149"/>
        <v>23</v>
      </c>
      <c r="O356" s="33">
        <f t="shared" si="149"/>
        <v>27</v>
      </c>
      <c r="P356" s="33">
        <f t="shared" si="149"/>
        <v>10</v>
      </c>
      <c r="Q356" s="33">
        <f t="shared" si="149"/>
        <v>14</v>
      </c>
      <c r="R356" s="35">
        <f t="shared" si="138"/>
        <v>2.7999999999999997E-2</v>
      </c>
      <c r="S356" s="35">
        <f t="shared" si="139"/>
        <v>0.02</v>
      </c>
      <c r="T356" s="35">
        <f t="shared" si="140"/>
        <v>1.7500000000000002E-2</v>
      </c>
      <c r="U356" s="35">
        <f t="shared" si="150"/>
        <v>2.9126213592232997E-2</v>
      </c>
      <c r="V356" s="35">
        <f t="shared" si="150"/>
        <v>2.9126213592232997E-2</v>
      </c>
      <c r="W356" s="35">
        <f t="shared" si="150"/>
        <v>2.9126213592232997E-2</v>
      </c>
      <c r="X356" s="35">
        <f t="shared" si="150"/>
        <v>2.9126213592232997E-2</v>
      </c>
      <c r="Y356" s="35">
        <f t="shared" si="150"/>
        <v>2.9126213592232997E-2</v>
      </c>
      <c r="Z356" s="35">
        <f t="shared" si="150"/>
        <v>2.9126213592232997E-2</v>
      </c>
      <c r="AA356" s="35">
        <f t="shared" si="150"/>
        <v>0.14893617021276595</v>
      </c>
    </row>
    <row r="357" spans="2:27" x14ac:dyDescent="0.2">
      <c r="B357" s="2">
        <v>355</v>
      </c>
      <c r="C357" s="2" t="str">
        <f t="shared" si="151"/>
        <v>s</v>
      </c>
      <c r="D357" s="29" t="s">
        <v>1</v>
      </c>
      <c r="E357" s="29" t="s">
        <v>219</v>
      </c>
      <c r="F357" s="2" t="s">
        <v>221</v>
      </c>
      <c r="G357" s="2">
        <f t="shared" si="141"/>
        <v>3</v>
      </c>
      <c r="H357" s="2" t="str">
        <f t="shared" si="133"/>
        <v>电击</v>
      </c>
      <c r="I357" s="38">
        <f t="shared" si="137"/>
        <v>0.08</v>
      </c>
      <c r="J357" s="33">
        <f t="shared" si="148"/>
        <v>48</v>
      </c>
      <c r="K357" s="33">
        <f t="shared" si="149"/>
        <v>50</v>
      </c>
      <c r="L357" s="33">
        <f t="shared" si="149"/>
        <v>11</v>
      </c>
      <c r="M357" s="33">
        <f t="shared" si="149"/>
        <v>36</v>
      </c>
      <c r="N357" s="33">
        <f t="shared" si="149"/>
        <v>34</v>
      </c>
      <c r="O357" s="33">
        <f t="shared" si="149"/>
        <v>41</v>
      </c>
      <c r="P357" s="33">
        <f t="shared" si="149"/>
        <v>15</v>
      </c>
      <c r="Q357" s="33">
        <f t="shared" si="149"/>
        <v>22</v>
      </c>
      <c r="R357" s="35">
        <f t="shared" si="138"/>
        <v>4.4000000000000004E-2</v>
      </c>
      <c r="S357" s="35">
        <f t="shared" si="139"/>
        <v>0.03</v>
      </c>
      <c r="T357" s="35">
        <f t="shared" si="140"/>
        <v>2.75E-2</v>
      </c>
      <c r="U357" s="35">
        <f t="shared" si="150"/>
        <v>4.3062200956937802E-2</v>
      </c>
      <c r="V357" s="35">
        <f t="shared" si="150"/>
        <v>4.3062200956937802E-2</v>
      </c>
      <c r="W357" s="35">
        <f t="shared" si="150"/>
        <v>4.3062200956937802E-2</v>
      </c>
      <c r="X357" s="35">
        <f t="shared" si="150"/>
        <v>4.3062200956937802E-2</v>
      </c>
      <c r="Y357" s="35">
        <f t="shared" si="150"/>
        <v>4.3062200956937802E-2</v>
      </c>
      <c r="Z357" s="35">
        <f t="shared" si="150"/>
        <v>4.3062200956937802E-2</v>
      </c>
      <c r="AA357" s="35">
        <f t="shared" si="150"/>
        <v>0.20634920634920639</v>
      </c>
    </row>
    <row r="358" spans="2:27" x14ac:dyDescent="0.2">
      <c r="B358" s="2">
        <v>356</v>
      </c>
      <c r="C358" s="2" t="str">
        <f t="shared" si="151"/>
        <v>s</v>
      </c>
      <c r="D358" s="29" t="s">
        <v>1</v>
      </c>
      <c r="E358" s="29" t="s">
        <v>219</v>
      </c>
      <c r="F358" s="2" t="s">
        <v>221</v>
      </c>
      <c r="G358" s="2">
        <f t="shared" si="141"/>
        <v>4</v>
      </c>
      <c r="H358" s="2" t="str">
        <f t="shared" si="133"/>
        <v>电击</v>
      </c>
      <c r="I358" s="38">
        <f t="shared" si="137"/>
        <v>9.8571428571428574E-2</v>
      </c>
      <c r="J358" s="33">
        <f t="shared" si="148"/>
        <v>65</v>
      </c>
      <c r="K358" s="33">
        <f t="shared" si="149"/>
        <v>67</v>
      </c>
      <c r="L358" s="33">
        <f t="shared" si="149"/>
        <v>15</v>
      </c>
      <c r="M358" s="33">
        <f t="shared" si="149"/>
        <v>48</v>
      </c>
      <c r="N358" s="33">
        <f t="shared" si="149"/>
        <v>46</v>
      </c>
      <c r="O358" s="33">
        <f t="shared" si="149"/>
        <v>55</v>
      </c>
      <c r="P358" s="33">
        <f t="shared" si="149"/>
        <v>20</v>
      </c>
      <c r="Q358" s="33">
        <f t="shared" si="149"/>
        <v>29</v>
      </c>
      <c r="R358" s="35">
        <f t="shared" si="138"/>
        <v>5.7999999999999996E-2</v>
      </c>
      <c r="S358" s="35">
        <f t="shared" si="139"/>
        <v>0.04</v>
      </c>
      <c r="T358" s="35">
        <f t="shared" si="140"/>
        <v>3.6249999999999998E-2</v>
      </c>
      <c r="U358" s="35">
        <f t="shared" si="150"/>
        <v>5.6603773584905648E-2</v>
      </c>
      <c r="V358" s="35">
        <f t="shared" si="150"/>
        <v>5.6603773584905648E-2</v>
      </c>
      <c r="W358" s="35">
        <f t="shared" si="150"/>
        <v>5.6603773584905648E-2</v>
      </c>
      <c r="X358" s="35">
        <f t="shared" si="150"/>
        <v>5.6603773584905648E-2</v>
      </c>
      <c r="Y358" s="35">
        <f t="shared" si="150"/>
        <v>5.6603773584905648E-2</v>
      </c>
      <c r="Z358" s="35">
        <f t="shared" si="150"/>
        <v>5.6603773584905648E-2</v>
      </c>
      <c r="AA358" s="35">
        <f t="shared" si="150"/>
        <v>0.25650557620817849</v>
      </c>
    </row>
    <row r="359" spans="2:27" x14ac:dyDescent="0.2">
      <c r="B359" s="2">
        <v>357</v>
      </c>
      <c r="C359" s="2" t="str">
        <f t="shared" si="151"/>
        <v>s</v>
      </c>
      <c r="D359" s="29" t="s">
        <v>1</v>
      </c>
      <c r="E359" s="29" t="s">
        <v>219</v>
      </c>
      <c r="F359" s="2" t="s">
        <v>221</v>
      </c>
      <c r="G359" s="2">
        <f t="shared" si="141"/>
        <v>5</v>
      </c>
      <c r="H359" s="2" t="str">
        <f t="shared" si="133"/>
        <v>电击</v>
      </c>
      <c r="I359" s="38">
        <f t="shared" si="137"/>
        <v>0.12342857142857143</v>
      </c>
      <c r="J359" s="33">
        <f t="shared" si="148"/>
        <v>81</v>
      </c>
      <c r="K359" s="33">
        <f t="shared" si="149"/>
        <v>84</v>
      </c>
      <c r="L359" s="33">
        <f t="shared" si="149"/>
        <v>19</v>
      </c>
      <c r="M359" s="33">
        <f t="shared" si="149"/>
        <v>60</v>
      </c>
      <c r="N359" s="33">
        <f t="shared" si="149"/>
        <v>57</v>
      </c>
      <c r="O359" s="33">
        <f t="shared" si="149"/>
        <v>69</v>
      </c>
      <c r="P359" s="33">
        <f t="shared" si="149"/>
        <v>25</v>
      </c>
      <c r="Q359" s="33">
        <f t="shared" si="149"/>
        <v>37</v>
      </c>
      <c r="R359" s="35">
        <f t="shared" si="138"/>
        <v>7.400000000000001E-2</v>
      </c>
      <c r="S359" s="35">
        <f t="shared" si="139"/>
        <v>0.05</v>
      </c>
      <c r="T359" s="35">
        <f t="shared" si="140"/>
        <v>4.6249999999999999E-2</v>
      </c>
      <c r="U359" s="35">
        <f t="shared" si="150"/>
        <v>6.5420560747663559E-2</v>
      </c>
      <c r="V359" s="35">
        <f t="shared" si="150"/>
        <v>6.5420560747663559E-2</v>
      </c>
      <c r="W359" s="35">
        <f t="shared" si="150"/>
        <v>6.5420560747663559E-2</v>
      </c>
      <c r="X359" s="35">
        <f t="shared" si="150"/>
        <v>6.5420560747663559E-2</v>
      </c>
      <c r="Y359" s="35">
        <f t="shared" si="150"/>
        <v>6.5420560747663559E-2</v>
      </c>
      <c r="Z359" s="35">
        <f t="shared" si="150"/>
        <v>6.5420560747663559E-2</v>
      </c>
      <c r="AA359" s="35">
        <f t="shared" si="150"/>
        <v>0.30069930069930073</v>
      </c>
    </row>
    <row r="360" spans="2:27" x14ac:dyDescent="0.2">
      <c r="B360" s="2">
        <v>358</v>
      </c>
      <c r="C360" s="2" t="str">
        <f t="shared" si="151"/>
        <v>s</v>
      </c>
      <c r="D360" s="29" t="s">
        <v>1</v>
      </c>
      <c r="E360" s="29" t="s">
        <v>219</v>
      </c>
      <c r="F360" s="2" t="s">
        <v>221</v>
      </c>
      <c r="G360" s="2">
        <f t="shared" si="141"/>
        <v>6</v>
      </c>
      <c r="H360" s="2" t="str">
        <f t="shared" si="133"/>
        <v>电击</v>
      </c>
      <c r="I360" s="38">
        <f t="shared" si="137"/>
        <v>0.14800000000000002</v>
      </c>
      <c r="J360" s="33">
        <f t="shared" si="148"/>
        <v>97</v>
      </c>
      <c r="K360" s="33">
        <f t="shared" si="149"/>
        <v>101</v>
      </c>
      <c r="L360" s="33">
        <f t="shared" si="149"/>
        <v>22</v>
      </c>
      <c r="M360" s="33">
        <f t="shared" si="149"/>
        <v>72</v>
      </c>
      <c r="N360" s="33">
        <f t="shared" si="149"/>
        <v>69</v>
      </c>
      <c r="O360" s="33">
        <f t="shared" si="149"/>
        <v>82</v>
      </c>
      <c r="P360" s="33">
        <f t="shared" si="149"/>
        <v>31</v>
      </c>
      <c r="Q360" s="33">
        <f t="shared" si="149"/>
        <v>44</v>
      </c>
      <c r="R360" s="35">
        <f t="shared" si="138"/>
        <v>8.8000000000000009E-2</v>
      </c>
      <c r="S360" s="35">
        <f t="shared" si="139"/>
        <v>6.2E-2</v>
      </c>
      <c r="T360" s="35">
        <f t="shared" si="140"/>
        <v>5.5E-2</v>
      </c>
      <c r="U360" s="35">
        <f t="shared" si="150"/>
        <v>7.8341013824884786E-2</v>
      </c>
      <c r="V360" s="35">
        <f t="shared" si="150"/>
        <v>7.8341013824884786E-2</v>
      </c>
      <c r="W360" s="35">
        <f t="shared" si="150"/>
        <v>7.8341013824884786E-2</v>
      </c>
      <c r="X360" s="35">
        <f t="shared" si="150"/>
        <v>7.8341013824884786E-2</v>
      </c>
      <c r="Y360" s="35">
        <f t="shared" si="150"/>
        <v>7.8341013824884786E-2</v>
      </c>
      <c r="Z360" s="35">
        <f t="shared" si="150"/>
        <v>7.8341013824884786E-2</v>
      </c>
      <c r="AA360" s="35">
        <f t="shared" si="150"/>
        <v>0.34210526315789469</v>
      </c>
    </row>
    <row r="361" spans="2:27" x14ac:dyDescent="0.2">
      <c r="B361" s="2">
        <v>359</v>
      </c>
      <c r="C361" s="2" t="str">
        <f t="shared" si="151"/>
        <v>s</v>
      </c>
      <c r="D361" s="29" t="s">
        <v>1</v>
      </c>
      <c r="E361" s="29" t="s">
        <v>219</v>
      </c>
      <c r="F361" s="2" t="s">
        <v>221</v>
      </c>
      <c r="G361" s="2">
        <f t="shared" si="141"/>
        <v>7</v>
      </c>
      <c r="H361" s="2" t="str">
        <f t="shared" si="133"/>
        <v>电击</v>
      </c>
      <c r="I361" s="38">
        <f t="shared" si="137"/>
        <v>0.17285714285714285</v>
      </c>
      <c r="J361" s="33">
        <f t="shared" si="148"/>
        <v>114</v>
      </c>
      <c r="K361" s="33">
        <f t="shared" si="149"/>
        <v>117</v>
      </c>
      <c r="L361" s="33">
        <f t="shared" si="149"/>
        <v>26</v>
      </c>
      <c r="M361" s="33">
        <f t="shared" si="149"/>
        <v>84</v>
      </c>
      <c r="N361" s="33">
        <f t="shared" si="149"/>
        <v>80</v>
      </c>
      <c r="O361" s="33">
        <f t="shared" si="149"/>
        <v>96</v>
      </c>
      <c r="P361" s="33">
        <f t="shared" si="149"/>
        <v>36</v>
      </c>
      <c r="Q361" s="33">
        <f t="shared" si="149"/>
        <v>52</v>
      </c>
      <c r="R361" s="35">
        <f t="shared" si="138"/>
        <v>0.10400000000000001</v>
      </c>
      <c r="S361" s="35">
        <f t="shared" si="139"/>
        <v>7.2000000000000008E-2</v>
      </c>
      <c r="T361" s="35">
        <f t="shared" si="140"/>
        <v>6.5000000000000002E-2</v>
      </c>
      <c r="U361" s="35">
        <f t="shared" si="150"/>
        <v>9.0909090909090939E-2</v>
      </c>
      <c r="V361" s="35">
        <f t="shared" si="150"/>
        <v>9.0909090909090939E-2</v>
      </c>
      <c r="W361" s="35">
        <f t="shared" si="150"/>
        <v>9.0909090909090939E-2</v>
      </c>
      <c r="X361" s="35">
        <f t="shared" si="150"/>
        <v>9.0909090909090939E-2</v>
      </c>
      <c r="Y361" s="35">
        <f t="shared" si="150"/>
        <v>9.0909090909090939E-2</v>
      </c>
      <c r="Z361" s="35">
        <f t="shared" si="150"/>
        <v>9.0909090909090939E-2</v>
      </c>
      <c r="AA361" s="35">
        <f t="shared" si="150"/>
        <v>0.37694704049844241</v>
      </c>
    </row>
    <row r="362" spans="2:27" x14ac:dyDescent="0.2">
      <c r="B362" s="2">
        <v>360</v>
      </c>
      <c r="C362" s="2" t="str">
        <f t="shared" si="151"/>
        <v>s</v>
      </c>
      <c r="D362" s="29" t="s">
        <v>1</v>
      </c>
      <c r="E362" s="29" t="s">
        <v>219</v>
      </c>
      <c r="F362" s="2" t="s">
        <v>221</v>
      </c>
      <c r="G362" s="2">
        <f t="shared" si="141"/>
        <v>8</v>
      </c>
      <c r="H362" s="2" t="str">
        <f t="shared" si="133"/>
        <v>电击</v>
      </c>
      <c r="I362" s="38">
        <f t="shared" si="137"/>
        <v>0.19771428571428573</v>
      </c>
      <c r="J362" s="33">
        <f t="shared" si="148"/>
        <v>130</v>
      </c>
      <c r="K362" s="33">
        <f t="shared" si="149"/>
        <v>134</v>
      </c>
      <c r="L362" s="33">
        <f t="shared" si="149"/>
        <v>30</v>
      </c>
      <c r="M362" s="33">
        <f t="shared" si="149"/>
        <v>96</v>
      </c>
      <c r="N362" s="33">
        <f t="shared" si="149"/>
        <v>92</v>
      </c>
      <c r="O362" s="33">
        <f t="shared" si="149"/>
        <v>110</v>
      </c>
      <c r="P362" s="33">
        <f t="shared" si="149"/>
        <v>41</v>
      </c>
      <c r="Q362" s="33">
        <f t="shared" si="149"/>
        <v>59</v>
      </c>
      <c r="R362" s="35">
        <f t="shared" si="138"/>
        <v>0.11800000000000001</v>
      </c>
      <c r="S362" s="35">
        <f t="shared" si="139"/>
        <v>8.199999999999999E-2</v>
      </c>
      <c r="T362" s="35">
        <f t="shared" si="140"/>
        <v>7.3749999999999996E-2</v>
      </c>
      <c r="U362" s="35">
        <f t="shared" si="150"/>
        <v>0.10313901345291476</v>
      </c>
      <c r="V362" s="35">
        <f t="shared" si="150"/>
        <v>0.10313901345291476</v>
      </c>
      <c r="W362" s="35">
        <f t="shared" si="150"/>
        <v>0.10313901345291476</v>
      </c>
      <c r="X362" s="35">
        <f t="shared" si="150"/>
        <v>0.10313901345291476</v>
      </c>
      <c r="Y362" s="35">
        <f t="shared" si="150"/>
        <v>0.10313901345291476</v>
      </c>
      <c r="Z362" s="35">
        <f t="shared" si="150"/>
        <v>0.10313901345291476</v>
      </c>
      <c r="AA362" s="35">
        <f t="shared" si="150"/>
        <v>0.40828402366863903</v>
      </c>
    </row>
    <row r="363" spans="2:27" x14ac:dyDescent="0.2">
      <c r="B363" s="2">
        <v>361</v>
      </c>
      <c r="C363" s="2" t="str">
        <f t="shared" si="151"/>
        <v>a</v>
      </c>
      <c r="D363" s="29" t="s">
        <v>1</v>
      </c>
      <c r="E363" s="29" t="s">
        <v>219</v>
      </c>
      <c r="F363" s="2" t="s">
        <v>221</v>
      </c>
      <c r="G363" s="2">
        <f t="shared" si="141"/>
        <v>1</v>
      </c>
      <c r="H363" s="2" t="str">
        <f t="shared" si="133"/>
        <v>电击</v>
      </c>
      <c r="I363" s="38">
        <f t="shared" si="137"/>
        <v>0.08</v>
      </c>
      <c r="J363" s="33">
        <f t="shared" ref="J363:J372" si="152">INT((1+VLOOKUP($F363,role_property_weight,getpos(J$2),FALSE))*(1+VLOOKUP($F363,drop_property_weight,getpos(J$2),FALSE))*VLOOKUP($E363,role_grow,getpos(J$2),FALSE)*$G363*10*VLOOKUP($C363,drop_grow1,4,FALSE))</f>
        <v>12</v>
      </c>
      <c r="K363" s="33">
        <f t="shared" ref="K363:Q372" si="153">INT((1+VLOOKUP($F363,role_property_weight,getpos(K$2),FALSE))*(1+VLOOKUP($F363,drop_property_weight,getpos(K$2),FALSE))*VLOOKUP($E363,role_grow,getpos(K$2),FALSE)*$G363*10*VLOOKUP($C363,drop_grow1,5,FALSE))</f>
        <v>18</v>
      </c>
      <c r="L363" s="33">
        <f t="shared" si="153"/>
        <v>4</v>
      </c>
      <c r="M363" s="33">
        <f t="shared" si="153"/>
        <v>13</v>
      </c>
      <c r="N363" s="33">
        <f t="shared" si="153"/>
        <v>12</v>
      </c>
      <c r="O363" s="33">
        <f t="shared" si="153"/>
        <v>15</v>
      </c>
      <c r="P363" s="33">
        <f t="shared" si="153"/>
        <v>5</v>
      </c>
      <c r="Q363" s="33">
        <f t="shared" si="153"/>
        <v>8</v>
      </c>
      <c r="R363" s="35">
        <f t="shared" si="138"/>
        <v>1.6E-2</v>
      </c>
      <c r="S363" s="35">
        <f t="shared" si="139"/>
        <v>0.01</v>
      </c>
      <c r="T363" s="35">
        <f t="shared" si="140"/>
        <v>0.01</v>
      </c>
      <c r="U363" s="35">
        <f t="shared" ref="U363:AA372" si="154">1-200/(200+ROUND((1+VLOOKUP($F363,role_property_weight,getpos(U$2),FALSE))*VLOOKUP($E363,role_grow,getpos(U$2),FALSE)*$G363*10*VLOOKUP($C363,drop_grow1,5,FALSE),0))</f>
        <v>1.4778325123152691E-2</v>
      </c>
      <c r="V363" s="35">
        <f t="shared" si="154"/>
        <v>1.4778325123152691E-2</v>
      </c>
      <c r="W363" s="35">
        <f t="shared" si="154"/>
        <v>1.4778325123152691E-2</v>
      </c>
      <c r="X363" s="35">
        <f t="shared" si="154"/>
        <v>1.4778325123152691E-2</v>
      </c>
      <c r="Y363" s="35">
        <f t="shared" si="154"/>
        <v>1.4778325123152691E-2</v>
      </c>
      <c r="Z363" s="35">
        <f t="shared" si="154"/>
        <v>1.4778325123152691E-2</v>
      </c>
      <c r="AA363" s="35">
        <f t="shared" si="154"/>
        <v>8.6757990867579959E-2</v>
      </c>
    </row>
    <row r="364" spans="2:27" x14ac:dyDescent="0.2">
      <c r="B364" s="2">
        <v>362</v>
      </c>
      <c r="C364" s="2" t="str">
        <f t="shared" si="151"/>
        <v>a</v>
      </c>
      <c r="D364" s="29" t="s">
        <v>1</v>
      </c>
      <c r="E364" s="29" t="s">
        <v>219</v>
      </c>
      <c r="F364" s="2" t="s">
        <v>221</v>
      </c>
      <c r="G364" s="2">
        <f t="shared" si="141"/>
        <v>2</v>
      </c>
      <c r="H364" s="2" t="str">
        <f t="shared" si="133"/>
        <v>电击</v>
      </c>
      <c r="I364" s="38">
        <f t="shared" si="137"/>
        <v>0.08</v>
      </c>
      <c r="J364" s="33">
        <f t="shared" si="152"/>
        <v>24</v>
      </c>
      <c r="K364" s="33">
        <f t="shared" si="153"/>
        <v>37</v>
      </c>
      <c r="L364" s="33">
        <f t="shared" si="153"/>
        <v>8</v>
      </c>
      <c r="M364" s="33">
        <f t="shared" si="153"/>
        <v>26</v>
      </c>
      <c r="N364" s="33">
        <f t="shared" si="153"/>
        <v>25</v>
      </c>
      <c r="O364" s="33">
        <f t="shared" si="153"/>
        <v>30</v>
      </c>
      <c r="P364" s="33">
        <f t="shared" si="153"/>
        <v>11</v>
      </c>
      <c r="Q364" s="33">
        <f t="shared" si="153"/>
        <v>16</v>
      </c>
      <c r="R364" s="35">
        <f t="shared" si="138"/>
        <v>3.2000000000000001E-2</v>
      </c>
      <c r="S364" s="35">
        <f t="shared" si="139"/>
        <v>2.2000000000000002E-2</v>
      </c>
      <c r="T364" s="35">
        <f t="shared" si="140"/>
        <v>0.02</v>
      </c>
      <c r="U364" s="35">
        <f t="shared" si="154"/>
        <v>2.9126213592232997E-2</v>
      </c>
      <c r="V364" s="35">
        <f t="shared" si="154"/>
        <v>2.9126213592232997E-2</v>
      </c>
      <c r="W364" s="35">
        <f t="shared" si="154"/>
        <v>2.9126213592232997E-2</v>
      </c>
      <c r="X364" s="35">
        <f t="shared" si="154"/>
        <v>2.9126213592232997E-2</v>
      </c>
      <c r="Y364" s="35">
        <f t="shared" si="154"/>
        <v>2.9126213592232997E-2</v>
      </c>
      <c r="Z364" s="35">
        <f t="shared" si="154"/>
        <v>2.9126213592232997E-2</v>
      </c>
      <c r="AA364" s="35">
        <f t="shared" si="154"/>
        <v>0.15966386554621848</v>
      </c>
    </row>
    <row r="365" spans="2:27" x14ac:dyDescent="0.2">
      <c r="B365" s="2">
        <v>363</v>
      </c>
      <c r="C365" s="2" t="str">
        <f t="shared" si="151"/>
        <v>a</v>
      </c>
      <c r="D365" s="29" t="s">
        <v>1</v>
      </c>
      <c r="E365" s="29" t="s">
        <v>219</v>
      </c>
      <c r="F365" s="2" t="s">
        <v>221</v>
      </c>
      <c r="G365" s="2">
        <f t="shared" si="141"/>
        <v>3</v>
      </c>
      <c r="H365" s="2" t="str">
        <f t="shared" si="133"/>
        <v>电击</v>
      </c>
      <c r="I365" s="38">
        <f t="shared" si="137"/>
        <v>0.08</v>
      </c>
      <c r="J365" s="33">
        <f t="shared" si="152"/>
        <v>36</v>
      </c>
      <c r="K365" s="33">
        <f t="shared" si="153"/>
        <v>56</v>
      </c>
      <c r="L365" s="33">
        <f t="shared" si="153"/>
        <v>12</v>
      </c>
      <c r="M365" s="33">
        <f t="shared" si="153"/>
        <v>40</v>
      </c>
      <c r="N365" s="33">
        <f t="shared" si="153"/>
        <v>38</v>
      </c>
      <c r="O365" s="33">
        <f t="shared" si="153"/>
        <v>46</v>
      </c>
      <c r="P365" s="33">
        <f t="shared" si="153"/>
        <v>17</v>
      </c>
      <c r="Q365" s="33">
        <f t="shared" si="153"/>
        <v>24</v>
      </c>
      <c r="R365" s="35">
        <f t="shared" si="138"/>
        <v>4.8000000000000001E-2</v>
      </c>
      <c r="S365" s="35">
        <f t="shared" si="139"/>
        <v>3.4000000000000002E-2</v>
      </c>
      <c r="T365" s="35">
        <f t="shared" si="140"/>
        <v>0.03</v>
      </c>
      <c r="U365" s="35">
        <f t="shared" si="154"/>
        <v>4.7619047619047672E-2</v>
      </c>
      <c r="V365" s="35">
        <f t="shared" si="154"/>
        <v>4.7619047619047672E-2</v>
      </c>
      <c r="W365" s="35">
        <f t="shared" si="154"/>
        <v>4.7619047619047672E-2</v>
      </c>
      <c r="X365" s="35">
        <f t="shared" si="154"/>
        <v>4.7619047619047672E-2</v>
      </c>
      <c r="Y365" s="35">
        <f t="shared" si="154"/>
        <v>4.7619047619047672E-2</v>
      </c>
      <c r="Z365" s="35">
        <f t="shared" si="154"/>
        <v>4.7619047619047672E-2</v>
      </c>
      <c r="AA365" s="35">
        <f t="shared" si="154"/>
        <v>0.22480620155038755</v>
      </c>
    </row>
    <row r="366" spans="2:27" x14ac:dyDescent="0.2">
      <c r="B366" s="2">
        <v>364</v>
      </c>
      <c r="C366" s="2" t="str">
        <f t="shared" si="151"/>
        <v>a</v>
      </c>
      <c r="D366" s="29" t="s">
        <v>1</v>
      </c>
      <c r="E366" s="29" t="s">
        <v>219</v>
      </c>
      <c r="F366" s="2" t="s">
        <v>221</v>
      </c>
      <c r="G366" s="2">
        <f t="shared" si="141"/>
        <v>4</v>
      </c>
      <c r="H366" s="2" t="str">
        <f t="shared" si="133"/>
        <v>电击</v>
      </c>
      <c r="I366" s="38">
        <f t="shared" si="137"/>
        <v>0.10257142857142858</v>
      </c>
      <c r="J366" s="33">
        <f t="shared" si="152"/>
        <v>48</v>
      </c>
      <c r="K366" s="33">
        <f t="shared" si="153"/>
        <v>74</v>
      </c>
      <c r="L366" s="33">
        <f t="shared" si="153"/>
        <v>16</v>
      </c>
      <c r="M366" s="33">
        <f t="shared" si="153"/>
        <v>53</v>
      </c>
      <c r="N366" s="33">
        <f t="shared" si="153"/>
        <v>51</v>
      </c>
      <c r="O366" s="33">
        <f t="shared" si="153"/>
        <v>61</v>
      </c>
      <c r="P366" s="33">
        <f t="shared" si="153"/>
        <v>23</v>
      </c>
      <c r="Q366" s="33">
        <f t="shared" si="153"/>
        <v>33</v>
      </c>
      <c r="R366" s="35">
        <f t="shared" si="138"/>
        <v>6.6000000000000003E-2</v>
      </c>
      <c r="S366" s="35">
        <f t="shared" si="139"/>
        <v>4.5999999999999999E-2</v>
      </c>
      <c r="T366" s="35">
        <f t="shared" si="140"/>
        <v>4.1250000000000002E-2</v>
      </c>
      <c r="U366" s="35">
        <f t="shared" si="154"/>
        <v>6.1032863849765251E-2</v>
      </c>
      <c r="V366" s="35">
        <f t="shared" si="154"/>
        <v>6.1032863849765251E-2</v>
      </c>
      <c r="W366" s="35">
        <f t="shared" si="154"/>
        <v>6.1032863849765251E-2</v>
      </c>
      <c r="X366" s="35">
        <f t="shared" si="154"/>
        <v>6.1032863849765251E-2</v>
      </c>
      <c r="Y366" s="35">
        <f t="shared" si="154"/>
        <v>6.1032863849765251E-2</v>
      </c>
      <c r="Z366" s="35">
        <f t="shared" si="154"/>
        <v>6.1032863849765251E-2</v>
      </c>
      <c r="AA366" s="35">
        <f t="shared" si="154"/>
        <v>0.27797833935018046</v>
      </c>
    </row>
    <row r="367" spans="2:27" x14ac:dyDescent="0.2">
      <c r="B367" s="2">
        <v>365</v>
      </c>
      <c r="C367" s="2" t="str">
        <f t="shared" si="151"/>
        <v>a</v>
      </c>
      <c r="D367" s="29" t="s">
        <v>1</v>
      </c>
      <c r="E367" s="29" t="s">
        <v>219</v>
      </c>
      <c r="F367" s="2" t="s">
        <v>221</v>
      </c>
      <c r="G367" s="2">
        <f t="shared" si="141"/>
        <v>5</v>
      </c>
      <c r="H367" s="2" t="str">
        <f t="shared" si="133"/>
        <v>电击</v>
      </c>
      <c r="I367" s="38">
        <f t="shared" si="137"/>
        <v>0.12885714285714286</v>
      </c>
      <c r="J367" s="33">
        <f t="shared" si="152"/>
        <v>61</v>
      </c>
      <c r="K367" s="33">
        <f t="shared" si="153"/>
        <v>93</v>
      </c>
      <c r="L367" s="33">
        <f t="shared" si="153"/>
        <v>21</v>
      </c>
      <c r="M367" s="33">
        <f t="shared" si="153"/>
        <v>67</v>
      </c>
      <c r="N367" s="33">
        <f t="shared" si="153"/>
        <v>64</v>
      </c>
      <c r="O367" s="33">
        <f t="shared" si="153"/>
        <v>76</v>
      </c>
      <c r="P367" s="33">
        <f t="shared" si="153"/>
        <v>28</v>
      </c>
      <c r="Q367" s="33">
        <f t="shared" si="153"/>
        <v>41</v>
      </c>
      <c r="R367" s="35">
        <f t="shared" si="138"/>
        <v>8.199999999999999E-2</v>
      </c>
      <c r="S367" s="35">
        <f t="shared" si="139"/>
        <v>5.5999999999999994E-2</v>
      </c>
      <c r="T367" s="35">
        <f t="shared" si="140"/>
        <v>5.1249999999999997E-2</v>
      </c>
      <c r="U367" s="35">
        <f t="shared" si="154"/>
        <v>7.407407407407407E-2</v>
      </c>
      <c r="V367" s="35">
        <f t="shared" si="154"/>
        <v>7.407407407407407E-2</v>
      </c>
      <c r="W367" s="35">
        <f t="shared" si="154"/>
        <v>7.407407407407407E-2</v>
      </c>
      <c r="X367" s="35">
        <f t="shared" si="154"/>
        <v>7.407407407407407E-2</v>
      </c>
      <c r="Y367" s="35">
        <f t="shared" si="154"/>
        <v>7.407407407407407E-2</v>
      </c>
      <c r="Z367" s="35">
        <f t="shared" si="154"/>
        <v>7.407407407407407E-2</v>
      </c>
      <c r="AA367" s="35">
        <f t="shared" si="154"/>
        <v>0.32432432432432434</v>
      </c>
    </row>
    <row r="368" spans="2:27" x14ac:dyDescent="0.2">
      <c r="B368" s="2">
        <v>366</v>
      </c>
      <c r="C368" s="2" t="str">
        <f t="shared" si="151"/>
        <v>a</v>
      </c>
      <c r="D368" s="29" t="s">
        <v>1</v>
      </c>
      <c r="E368" s="29" t="s">
        <v>219</v>
      </c>
      <c r="F368" s="2" t="s">
        <v>221</v>
      </c>
      <c r="G368" s="2">
        <f t="shared" si="141"/>
        <v>6</v>
      </c>
      <c r="H368" s="2" t="str">
        <f t="shared" si="133"/>
        <v>电击</v>
      </c>
      <c r="I368" s="38">
        <f t="shared" si="137"/>
        <v>0.15457142857142858</v>
      </c>
      <c r="J368" s="33">
        <f t="shared" si="152"/>
        <v>73</v>
      </c>
      <c r="K368" s="33">
        <f t="shared" si="153"/>
        <v>112</v>
      </c>
      <c r="L368" s="33">
        <f t="shared" si="153"/>
        <v>25</v>
      </c>
      <c r="M368" s="33">
        <f t="shared" si="153"/>
        <v>80</v>
      </c>
      <c r="N368" s="33">
        <f t="shared" si="153"/>
        <v>76</v>
      </c>
      <c r="O368" s="33">
        <f t="shared" si="153"/>
        <v>92</v>
      </c>
      <c r="P368" s="33">
        <f t="shared" si="153"/>
        <v>34</v>
      </c>
      <c r="Q368" s="33">
        <f t="shared" si="153"/>
        <v>49</v>
      </c>
      <c r="R368" s="35">
        <f t="shared" si="138"/>
        <v>9.8000000000000004E-2</v>
      </c>
      <c r="S368" s="35">
        <f t="shared" si="139"/>
        <v>6.8000000000000005E-2</v>
      </c>
      <c r="T368" s="35">
        <f t="shared" si="140"/>
        <v>6.1249999999999999E-2</v>
      </c>
      <c r="U368" s="35">
        <f t="shared" si="154"/>
        <v>8.6757990867579959E-2</v>
      </c>
      <c r="V368" s="35">
        <f t="shared" si="154"/>
        <v>8.6757990867579959E-2</v>
      </c>
      <c r="W368" s="35">
        <f t="shared" si="154"/>
        <v>8.6757990867579959E-2</v>
      </c>
      <c r="X368" s="35">
        <f t="shared" si="154"/>
        <v>8.6757990867579959E-2</v>
      </c>
      <c r="Y368" s="35">
        <f t="shared" si="154"/>
        <v>8.6757990867579959E-2</v>
      </c>
      <c r="Z368" s="35">
        <f t="shared" si="154"/>
        <v>8.6757990867579959E-2</v>
      </c>
      <c r="AA368" s="35">
        <f t="shared" si="154"/>
        <v>0.36507936507936511</v>
      </c>
    </row>
    <row r="369" spans="2:27" x14ac:dyDescent="0.2">
      <c r="B369" s="2">
        <v>367</v>
      </c>
      <c r="C369" s="2" t="str">
        <f t="shared" si="151"/>
        <v>a</v>
      </c>
      <c r="D369" s="29" t="s">
        <v>1</v>
      </c>
      <c r="E369" s="29" t="s">
        <v>219</v>
      </c>
      <c r="F369" s="2" t="s">
        <v>221</v>
      </c>
      <c r="G369" s="2">
        <f t="shared" si="141"/>
        <v>7</v>
      </c>
      <c r="H369" s="2" t="str">
        <f t="shared" si="133"/>
        <v>电击</v>
      </c>
      <c r="I369" s="38">
        <f t="shared" si="137"/>
        <v>0.18085714285714286</v>
      </c>
      <c r="J369" s="33">
        <f t="shared" si="152"/>
        <v>85</v>
      </c>
      <c r="K369" s="33">
        <f t="shared" si="153"/>
        <v>131</v>
      </c>
      <c r="L369" s="33">
        <f t="shared" si="153"/>
        <v>29</v>
      </c>
      <c r="M369" s="33">
        <f t="shared" si="153"/>
        <v>94</v>
      </c>
      <c r="N369" s="33">
        <f t="shared" si="153"/>
        <v>89</v>
      </c>
      <c r="O369" s="33">
        <f t="shared" si="153"/>
        <v>107</v>
      </c>
      <c r="P369" s="33">
        <f t="shared" si="153"/>
        <v>40</v>
      </c>
      <c r="Q369" s="33">
        <f t="shared" si="153"/>
        <v>58</v>
      </c>
      <c r="R369" s="35">
        <f t="shared" si="138"/>
        <v>0.11599999999999999</v>
      </c>
      <c r="S369" s="35">
        <f t="shared" si="139"/>
        <v>0.08</v>
      </c>
      <c r="T369" s="35">
        <f t="shared" si="140"/>
        <v>7.2499999999999995E-2</v>
      </c>
      <c r="U369" s="35">
        <f t="shared" si="154"/>
        <v>9.9099099099099086E-2</v>
      </c>
      <c r="V369" s="35">
        <f t="shared" si="154"/>
        <v>9.9099099099099086E-2</v>
      </c>
      <c r="W369" s="35">
        <f t="shared" si="154"/>
        <v>9.9099099099099086E-2</v>
      </c>
      <c r="X369" s="35">
        <f t="shared" si="154"/>
        <v>9.9099099099099086E-2</v>
      </c>
      <c r="Y369" s="35">
        <f t="shared" si="154"/>
        <v>9.9099099099099086E-2</v>
      </c>
      <c r="Z369" s="35">
        <f t="shared" si="154"/>
        <v>9.9099099099099086E-2</v>
      </c>
      <c r="AA369" s="35">
        <f t="shared" si="154"/>
        <v>0.40119760479041922</v>
      </c>
    </row>
    <row r="370" spans="2:27" x14ac:dyDescent="0.2">
      <c r="B370" s="2">
        <v>368</v>
      </c>
      <c r="C370" s="2" t="str">
        <f t="shared" si="151"/>
        <v>a</v>
      </c>
      <c r="D370" s="29" t="s">
        <v>1</v>
      </c>
      <c r="E370" s="29" t="s">
        <v>219</v>
      </c>
      <c r="F370" s="2" t="s">
        <v>221</v>
      </c>
      <c r="G370" s="2">
        <f t="shared" si="141"/>
        <v>8</v>
      </c>
      <c r="H370" s="2" t="str">
        <f t="shared" si="133"/>
        <v>电击</v>
      </c>
      <c r="I370" s="38">
        <f t="shared" si="137"/>
        <v>0.20628571428571429</v>
      </c>
      <c r="J370" s="33">
        <f t="shared" si="152"/>
        <v>97</v>
      </c>
      <c r="K370" s="33">
        <f t="shared" si="153"/>
        <v>149</v>
      </c>
      <c r="L370" s="33">
        <f t="shared" si="153"/>
        <v>33</v>
      </c>
      <c r="M370" s="33">
        <f t="shared" si="153"/>
        <v>107</v>
      </c>
      <c r="N370" s="33">
        <f t="shared" si="153"/>
        <v>102</v>
      </c>
      <c r="O370" s="33">
        <f t="shared" si="153"/>
        <v>122</v>
      </c>
      <c r="P370" s="33">
        <f t="shared" si="153"/>
        <v>46</v>
      </c>
      <c r="Q370" s="33">
        <f t="shared" si="153"/>
        <v>66</v>
      </c>
      <c r="R370" s="35">
        <f t="shared" si="138"/>
        <v>0.13200000000000001</v>
      </c>
      <c r="S370" s="35">
        <f t="shared" si="139"/>
        <v>9.1999999999999998E-2</v>
      </c>
      <c r="T370" s="35">
        <f t="shared" si="140"/>
        <v>8.2500000000000004E-2</v>
      </c>
      <c r="U370" s="35">
        <f t="shared" si="154"/>
        <v>0.11504424778761058</v>
      </c>
      <c r="V370" s="35">
        <f t="shared" si="154"/>
        <v>0.11504424778761058</v>
      </c>
      <c r="W370" s="35">
        <f t="shared" si="154"/>
        <v>0.11504424778761058</v>
      </c>
      <c r="X370" s="35">
        <f t="shared" si="154"/>
        <v>0.11504424778761058</v>
      </c>
      <c r="Y370" s="35">
        <f t="shared" si="154"/>
        <v>0.11504424778761058</v>
      </c>
      <c r="Z370" s="35">
        <f t="shared" si="154"/>
        <v>0.11504424778761058</v>
      </c>
      <c r="AA370" s="35">
        <f t="shared" si="154"/>
        <v>0.43502824858757061</v>
      </c>
    </row>
    <row r="371" spans="2:27" x14ac:dyDescent="0.2">
      <c r="B371" s="2">
        <v>369</v>
      </c>
      <c r="C371" s="2" t="str">
        <f t="shared" si="151"/>
        <v>b</v>
      </c>
      <c r="D371" s="29" t="s">
        <v>1</v>
      </c>
      <c r="E371" s="29" t="s">
        <v>219</v>
      </c>
      <c r="F371" s="2" t="s">
        <v>221</v>
      </c>
      <c r="G371" s="2">
        <f t="shared" si="141"/>
        <v>1</v>
      </c>
      <c r="H371" s="2" t="str">
        <f t="shared" si="133"/>
        <v>电击</v>
      </c>
      <c r="I371" s="38">
        <f t="shared" si="137"/>
        <v>0.08</v>
      </c>
      <c r="J371" s="33">
        <f t="shared" si="152"/>
        <v>14</v>
      </c>
      <c r="K371" s="33">
        <f t="shared" si="153"/>
        <v>28</v>
      </c>
      <c r="L371" s="33">
        <f t="shared" si="153"/>
        <v>6</v>
      </c>
      <c r="M371" s="33">
        <f t="shared" si="153"/>
        <v>20</v>
      </c>
      <c r="N371" s="33">
        <f t="shared" si="153"/>
        <v>19</v>
      </c>
      <c r="O371" s="33">
        <f t="shared" si="153"/>
        <v>23</v>
      </c>
      <c r="P371" s="33">
        <f t="shared" si="153"/>
        <v>8</v>
      </c>
      <c r="Q371" s="33">
        <f t="shared" si="153"/>
        <v>12</v>
      </c>
      <c r="R371" s="35">
        <f t="shared" si="138"/>
        <v>2.4E-2</v>
      </c>
      <c r="S371" s="35">
        <f t="shared" si="139"/>
        <v>1.6E-2</v>
      </c>
      <c r="T371" s="35">
        <f t="shared" si="140"/>
        <v>1.4999999999999999E-2</v>
      </c>
      <c r="U371" s="35">
        <f t="shared" si="154"/>
        <v>2.4390243902439046E-2</v>
      </c>
      <c r="V371" s="35">
        <f t="shared" si="154"/>
        <v>2.4390243902439046E-2</v>
      </c>
      <c r="W371" s="35">
        <f t="shared" si="154"/>
        <v>2.4390243902439046E-2</v>
      </c>
      <c r="X371" s="35">
        <f t="shared" si="154"/>
        <v>2.4390243902439046E-2</v>
      </c>
      <c r="Y371" s="35">
        <f t="shared" si="154"/>
        <v>2.4390243902439046E-2</v>
      </c>
      <c r="Z371" s="35">
        <f t="shared" si="154"/>
        <v>2.4390243902439046E-2</v>
      </c>
      <c r="AA371" s="35">
        <f t="shared" si="154"/>
        <v>0.1266375545851528</v>
      </c>
    </row>
    <row r="372" spans="2:27" x14ac:dyDescent="0.2">
      <c r="B372" s="2">
        <v>370</v>
      </c>
      <c r="C372" s="2" t="str">
        <f t="shared" si="151"/>
        <v>b</v>
      </c>
      <c r="D372" s="29" t="s">
        <v>1</v>
      </c>
      <c r="E372" s="29" t="s">
        <v>219</v>
      </c>
      <c r="F372" s="2" t="s">
        <v>221</v>
      </c>
      <c r="G372" s="2">
        <f t="shared" si="141"/>
        <v>2</v>
      </c>
      <c r="H372" s="2" t="str">
        <f t="shared" si="133"/>
        <v>电击</v>
      </c>
      <c r="I372" s="38">
        <f t="shared" si="137"/>
        <v>0.08</v>
      </c>
      <c r="J372" s="33">
        <f t="shared" si="152"/>
        <v>28</v>
      </c>
      <c r="K372" s="33">
        <f t="shared" si="153"/>
        <v>56</v>
      </c>
      <c r="L372" s="33">
        <f t="shared" si="153"/>
        <v>12</v>
      </c>
      <c r="M372" s="33">
        <f t="shared" si="153"/>
        <v>40</v>
      </c>
      <c r="N372" s="33">
        <f t="shared" si="153"/>
        <v>38</v>
      </c>
      <c r="O372" s="33">
        <f t="shared" si="153"/>
        <v>46</v>
      </c>
      <c r="P372" s="33">
        <f t="shared" si="153"/>
        <v>17</v>
      </c>
      <c r="Q372" s="33">
        <f t="shared" si="153"/>
        <v>24</v>
      </c>
      <c r="R372" s="35">
        <f t="shared" si="138"/>
        <v>4.8000000000000001E-2</v>
      </c>
      <c r="S372" s="35">
        <f t="shared" si="139"/>
        <v>3.4000000000000002E-2</v>
      </c>
      <c r="T372" s="35">
        <f t="shared" si="140"/>
        <v>0.03</v>
      </c>
      <c r="U372" s="35">
        <f t="shared" si="154"/>
        <v>4.7619047619047672E-2</v>
      </c>
      <c r="V372" s="35">
        <f t="shared" si="154"/>
        <v>4.7619047619047672E-2</v>
      </c>
      <c r="W372" s="35">
        <f t="shared" si="154"/>
        <v>4.7619047619047672E-2</v>
      </c>
      <c r="X372" s="35">
        <f t="shared" si="154"/>
        <v>4.7619047619047672E-2</v>
      </c>
      <c r="Y372" s="35">
        <f t="shared" si="154"/>
        <v>4.7619047619047672E-2</v>
      </c>
      <c r="Z372" s="35">
        <f t="shared" si="154"/>
        <v>4.7619047619047672E-2</v>
      </c>
      <c r="AA372" s="35">
        <f t="shared" si="154"/>
        <v>0.22480620155038755</v>
      </c>
    </row>
    <row r="373" spans="2:27" x14ac:dyDescent="0.2">
      <c r="B373" s="2">
        <v>371</v>
      </c>
      <c r="C373" s="2" t="str">
        <f t="shared" si="151"/>
        <v>b</v>
      </c>
      <c r="D373" s="29" t="s">
        <v>1</v>
      </c>
      <c r="E373" s="29" t="s">
        <v>219</v>
      </c>
      <c r="F373" s="2" t="s">
        <v>221</v>
      </c>
      <c r="G373" s="2">
        <f t="shared" si="141"/>
        <v>3</v>
      </c>
      <c r="H373" s="2" t="str">
        <f t="shared" si="133"/>
        <v>电击</v>
      </c>
      <c r="I373" s="38">
        <f t="shared" si="137"/>
        <v>0.11228571428571428</v>
      </c>
      <c r="J373" s="33">
        <f t="shared" ref="J373:J382" si="155">INT((1+VLOOKUP($F373,role_property_weight,getpos(J$2),FALSE))*(1+VLOOKUP($F373,drop_property_weight,getpos(J$2),FALSE))*VLOOKUP($E373,role_grow,getpos(J$2),FALSE)*$G373*10*VLOOKUP($C373,drop_grow1,4,FALSE))</f>
        <v>42</v>
      </c>
      <c r="K373" s="33">
        <f t="shared" ref="K373:Q382" si="156">INT((1+VLOOKUP($F373,role_property_weight,getpos(K$2),FALSE))*(1+VLOOKUP($F373,drop_property_weight,getpos(K$2),FALSE))*VLOOKUP($E373,role_grow,getpos(K$2),FALSE)*$G373*10*VLOOKUP($C373,drop_grow1,5,FALSE))</f>
        <v>84</v>
      </c>
      <c r="L373" s="33">
        <f t="shared" si="156"/>
        <v>19</v>
      </c>
      <c r="M373" s="33">
        <f t="shared" si="156"/>
        <v>60</v>
      </c>
      <c r="N373" s="33">
        <f t="shared" si="156"/>
        <v>57</v>
      </c>
      <c r="O373" s="33">
        <f t="shared" si="156"/>
        <v>69</v>
      </c>
      <c r="P373" s="33">
        <f t="shared" si="156"/>
        <v>25</v>
      </c>
      <c r="Q373" s="33">
        <f t="shared" si="156"/>
        <v>37</v>
      </c>
      <c r="R373" s="35">
        <f t="shared" si="138"/>
        <v>7.400000000000001E-2</v>
      </c>
      <c r="S373" s="35">
        <f t="shared" si="139"/>
        <v>0.05</v>
      </c>
      <c r="T373" s="35">
        <f t="shared" si="140"/>
        <v>4.6249999999999999E-2</v>
      </c>
      <c r="U373" s="35">
        <f t="shared" ref="U373:AA382" si="157">1-200/(200+ROUND((1+VLOOKUP($F373,role_property_weight,getpos(U$2),FALSE))*VLOOKUP($E373,role_grow,getpos(U$2),FALSE)*$G373*10*VLOOKUP($C373,drop_grow1,5,FALSE),0))</f>
        <v>6.5420560747663559E-2</v>
      </c>
      <c r="V373" s="35">
        <f t="shared" si="157"/>
        <v>6.5420560747663559E-2</v>
      </c>
      <c r="W373" s="35">
        <f t="shared" si="157"/>
        <v>6.5420560747663559E-2</v>
      </c>
      <c r="X373" s="35">
        <f t="shared" si="157"/>
        <v>6.5420560747663559E-2</v>
      </c>
      <c r="Y373" s="35">
        <f t="shared" si="157"/>
        <v>6.5420560747663559E-2</v>
      </c>
      <c r="Z373" s="35">
        <f t="shared" si="157"/>
        <v>6.5420560747663559E-2</v>
      </c>
      <c r="AA373" s="35">
        <f t="shared" si="157"/>
        <v>0.30069930069930073</v>
      </c>
    </row>
    <row r="374" spans="2:27" x14ac:dyDescent="0.2">
      <c r="B374" s="2">
        <v>372</v>
      </c>
      <c r="C374" s="2" t="str">
        <f t="shared" si="151"/>
        <v>b</v>
      </c>
      <c r="D374" s="29" t="s">
        <v>1</v>
      </c>
      <c r="E374" s="29" t="s">
        <v>219</v>
      </c>
      <c r="F374" s="2" t="s">
        <v>221</v>
      </c>
      <c r="G374" s="2">
        <f t="shared" si="141"/>
        <v>4</v>
      </c>
      <c r="H374" s="2" t="str">
        <f t="shared" si="133"/>
        <v>电击</v>
      </c>
      <c r="I374" s="38">
        <f t="shared" si="137"/>
        <v>0.15</v>
      </c>
      <c r="J374" s="33">
        <f t="shared" si="155"/>
        <v>57</v>
      </c>
      <c r="K374" s="33">
        <f t="shared" si="156"/>
        <v>112</v>
      </c>
      <c r="L374" s="33">
        <f t="shared" si="156"/>
        <v>25</v>
      </c>
      <c r="M374" s="33">
        <f t="shared" si="156"/>
        <v>80</v>
      </c>
      <c r="N374" s="33">
        <f t="shared" si="156"/>
        <v>76</v>
      </c>
      <c r="O374" s="33">
        <f t="shared" si="156"/>
        <v>92</v>
      </c>
      <c r="P374" s="33">
        <f t="shared" si="156"/>
        <v>34</v>
      </c>
      <c r="Q374" s="33">
        <f t="shared" si="156"/>
        <v>49</v>
      </c>
      <c r="R374" s="35">
        <f t="shared" si="138"/>
        <v>9.8000000000000004E-2</v>
      </c>
      <c r="S374" s="35">
        <f t="shared" si="139"/>
        <v>6.8000000000000005E-2</v>
      </c>
      <c r="T374" s="35">
        <f t="shared" si="140"/>
        <v>6.1249999999999999E-2</v>
      </c>
      <c r="U374" s="35">
        <f t="shared" si="157"/>
        <v>8.6757990867579959E-2</v>
      </c>
      <c r="V374" s="35">
        <f t="shared" si="157"/>
        <v>8.6757990867579959E-2</v>
      </c>
      <c r="W374" s="35">
        <f t="shared" si="157"/>
        <v>8.6757990867579959E-2</v>
      </c>
      <c r="X374" s="35">
        <f t="shared" si="157"/>
        <v>8.6757990867579959E-2</v>
      </c>
      <c r="Y374" s="35">
        <f t="shared" si="157"/>
        <v>8.6757990867579959E-2</v>
      </c>
      <c r="Z374" s="35">
        <f t="shared" si="157"/>
        <v>8.6757990867579959E-2</v>
      </c>
      <c r="AA374" s="35">
        <f t="shared" si="157"/>
        <v>0.36507936507936511</v>
      </c>
    </row>
    <row r="375" spans="2:27" x14ac:dyDescent="0.2">
      <c r="B375" s="2">
        <v>373</v>
      </c>
      <c r="C375" s="2" t="str">
        <f t="shared" si="151"/>
        <v>b</v>
      </c>
      <c r="D375" s="29" t="s">
        <v>1</v>
      </c>
      <c r="E375" s="29" t="s">
        <v>219</v>
      </c>
      <c r="F375" s="2" t="s">
        <v>221</v>
      </c>
      <c r="G375" s="2">
        <f t="shared" si="141"/>
        <v>5</v>
      </c>
      <c r="H375" s="2" t="str">
        <f t="shared" si="133"/>
        <v>电击</v>
      </c>
      <c r="I375" s="38">
        <f t="shared" si="137"/>
        <v>0.188</v>
      </c>
      <c r="J375" s="33">
        <f t="shared" si="155"/>
        <v>71</v>
      </c>
      <c r="K375" s="33">
        <f t="shared" si="156"/>
        <v>140</v>
      </c>
      <c r="L375" s="33">
        <f t="shared" si="156"/>
        <v>31</v>
      </c>
      <c r="M375" s="33">
        <f t="shared" si="156"/>
        <v>100</v>
      </c>
      <c r="N375" s="33">
        <f t="shared" si="156"/>
        <v>96</v>
      </c>
      <c r="O375" s="33">
        <f t="shared" si="156"/>
        <v>115</v>
      </c>
      <c r="P375" s="33">
        <f t="shared" si="156"/>
        <v>43</v>
      </c>
      <c r="Q375" s="33">
        <f t="shared" si="156"/>
        <v>62</v>
      </c>
      <c r="R375" s="35">
        <f t="shared" si="138"/>
        <v>0.124</v>
      </c>
      <c r="S375" s="35">
        <f t="shared" si="139"/>
        <v>8.5999999999999993E-2</v>
      </c>
      <c r="T375" s="35">
        <f t="shared" si="140"/>
        <v>7.7499999999999999E-2</v>
      </c>
      <c r="U375" s="35">
        <f t="shared" si="157"/>
        <v>0.1071428571428571</v>
      </c>
      <c r="V375" s="35">
        <f t="shared" si="157"/>
        <v>0.1071428571428571</v>
      </c>
      <c r="W375" s="35">
        <f t="shared" si="157"/>
        <v>0.1071428571428571</v>
      </c>
      <c r="X375" s="35">
        <f t="shared" si="157"/>
        <v>0.1071428571428571</v>
      </c>
      <c r="Y375" s="35">
        <f t="shared" si="157"/>
        <v>0.1071428571428571</v>
      </c>
      <c r="Z375" s="35">
        <f t="shared" si="157"/>
        <v>0.1071428571428571</v>
      </c>
      <c r="AA375" s="35">
        <f t="shared" si="157"/>
        <v>0.41860465116279066</v>
      </c>
    </row>
    <row r="376" spans="2:27" x14ac:dyDescent="0.2">
      <c r="B376" s="2">
        <v>374</v>
      </c>
      <c r="C376" s="2" t="str">
        <f t="shared" si="151"/>
        <v>b</v>
      </c>
      <c r="D376" s="29" t="s">
        <v>1</v>
      </c>
      <c r="E376" s="29" t="s">
        <v>219</v>
      </c>
      <c r="F376" s="2" t="s">
        <v>221</v>
      </c>
      <c r="G376" s="2">
        <f t="shared" si="141"/>
        <v>6</v>
      </c>
      <c r="H376" s="2" t="str">
        <f t="shared" si="133"/>
        <v>电击</v>
      </c>
      <c r="I376" s="38">
        <f t="shared" si="137"/>
        <v>0.22542857142857145</v>
      </c>
      <c r="J376" s="33">
        <f t="shared" si="155"/>
        <v>85</v>
      </c>
      <c r="K376" s="33">
        <f t="shared" si="156"/>
        <v>168</v>
      </c>
      <c r="L376" s="33">
        <f t="shared" si="156"/>
        <v>38</v>
      </c>
      <c r="M376" s="33">
        <f t="shared" si="156"/>
        <v>120</v>
      </c>
      <c r="N376" s="33">
        <f t="shared" si="156"/>
        <v>115</v>
      </c>
      <c r="O376" s="33">
        <f t="shared" si="156"/>
        <v>138</v>
      </c>
      <c r="P376" s="33">
        <f t="shared" si="156"/>
        <v>51</v>
      </c>
      <c r="Q376" s="33">
        <f t="shared" si="156"/>
        <v>74</v>
      </c>
      <c r="R376" s="35">
        <f t="shared" si="138"/>
        <v>0.14800000000000002</v>
      </c>
      <c r="S376" s="35">
        <f t="shared" si="139"/>
        <v>0.10199999999999999</v>
      </c>
      <c r="T376" s="35">
        <f t="shared" si="140"/>
        <v>9.2499999999999999E-2</v>
      </c>
      <c r="U376" s="35">
        <f t="shared" si="157"/>
        <v>0.1266375545851528</v>
      </c>
      <c r="V376" s="35">
        <f t="shared" si="157"/>
        <v>0.1266375545851528</v>
      </c>
      <c r="W376" s="35">
        <f t="shared" si="157"/>
        <v>0.1266375545851528</v>
      </c>
      <c r="X376" s="35">
        <f t="shared" si="157"/>
        <v>0.1266375545851528</v>
      </c>
      <c r="Y376" s="35">
        <f t="shared" si="157"/>
        <v>0.1266375545851528</v>
      </c>
      <c r="Z376" s="35">
        <f t="shared" si="157"/>
        <v>0.1266375545851528</v>
      </c>
      <c r="AA376" s="35">
        <f t="shared" si="157"/>
        <v>0.46380697050938335</v>
      </c>
    </row>
    <row r="377" spans="2:27" x14ac:dyDescent="0.2">
      <c r="B377" s="2">
        <v>375</v>
      </c>
      <c r="C377" s="2" t="str">
        <f t="shared" si="151"/>
        <v>b</v>
      </c>
      <c r="D377" s="29" t="s">
        <v>1</v>
      </c>
      <c r="E377" s="29" t="s">
        <v>219</v>
      </c>
      <c r="F377" s="2" t="s">
        <v>221</v>
      </c>
      <c r="G377" s="2">
        <f t="shared" si="141"/>
        <v>7</v>
      </c>
      <c r="H377" s="2" t="str">
        <f t="shared" si="133"/>
        <v>电击</v>
      </c>
      <c r="I377" s="38">
        <f t="shared" si="137"/>
        <v>0.2634285714285714</v>
      </c>
      <c r="J377" s="33">
        <f t="shared" si="155"/>
        <v>99</v>
      </c>
      <c r="K377" s="33">
        <f t="shared" si="156"/>
        <v>196</v>
      </c>
      <c r="L377" s="33">
        <f t="shared" si="156"/>
        <v>44</v>
      </c>
      <c r="M377" s="33">
        <f t="shared" si="156"/>
        <v>141</v>
      </c>
      <c r="N377" s="33">
        <f t="shared" si="156"/>
        <v>134</v>
      </c>
      <c r="O377" s="33">
        <f t="shared" si="156"/>
        <v>161</v>
      </c>
      <c r="P377" s="33">
        <f t="shared" si="156"/>
        <v>60</v>
      </c>
      <c r="Q377" s="33">
        <f t="shared" si="156"/>
        <v>87</v>
      </c>
      <c r="R377" s="35">
        <f t="shared" si="138"/>
        <v>0.17399999999999999</v>
      </c>
      <c r="S377" s="35">
        <f t="shared" si="139"/>
        <v>0.12</v>
      </c>
      <c r="T377" s="35">
        <f t="shared" si="140"/>
        <v>0.10875</v>
      </c>
      <c r="U377" s="35">
        <f t="shared" si="157"/>
        <v>0.14529914529914534</v>
      </c>
      <c r="V377" s="35">
        <f t="shared" si="157"/>
        <v>0.14529914529914534</v>
      </c>
      <c r="W377" s="35">
        <f t="shared" si="157"/>
        <v>0.14529914529914534</v>
      </c>
      <c r="X377" s="35">
        <f t="shared" si="157"/>
        <v>0.14529914529914534</v>
      </c>
      <c r="Y377" s="35">
        <f t="shared" si="157"/>
        <v>0.14529914529914534</v>
      </c>
      <c r="Z377" s="35">
        <f t="shared" si="157"/>
        <v>0.14529914529914534</v>
      </c>
      <c r="AA377" s="35">
        <f t="shared" si="157"/>
        <v>0.50248756218905477</v>
      </c>
    </row>
    <row r="378" spans="2:27" x14ac:dyDescent="0.2">
      <c r="B378" s="2">
        <v>376</v>
      </c>
      <c r="C378" s="2" t="str">
        <f t="shared" si="151"/>
        <v>b</v>
      </c>
      <c r="D378" s="29" t="s">
        <v>1</v>
      </c>
      <c r="E378" s="29" t="s">
        <v>219</v>
      </c>
      <c r="F378" s="2" t="s">
        <v>221</v>
      </c>
      <c r="G378" s="2">
        <f t="shared" si="141"/>
        <v>8</v>
      </c>
      <c r="H378" s="2" t="str">
        <f t="shared" si="133"/>
        <v>电击</v>
      </c>
      <c r="I378" s="38">
        <f t="shared" si="137"/>
        <v>0.30114285714285716</v>
      </c>
      <c r="J378" s="33">
        <f t="shared" si="155"/>
        <v>114</v>
      </c>
      <c r="K378" s="33">
        <f t="shared" si="156"/>
        <v>224</v>
      </c>
      <c r="L378" s="33">
        <f t="shared" si="156"/>
        <v>50</v>
      </c>
      <c r="M378" s="33">
        <f t="shared" si="156"/>
        <v>161</v>
      </c>
      <c r="N378" s="33">
        <f t="shared" si="156"/>
        <v>153</v>
      </c>
      <c r="O378" s="33">
        <f t="shared" si="156"/>
        <v>184</v>
      </c>
      <c r="P378" s="33">
        <f t="shared" si="156"/>
        <v>69</v>
      </c>
      <c r="Q378" s="33">
        <f t="shared" si="156"/>
        <v>99</v>
      </c>
      <c r="R378" s="35">
        <f t="shared" si="138"/>
        <v>0.19800000000000001</v>
      </c>
      <c r="S378" s="35">
        <f t="shared" si="139"/>
        <v>0.13800000000000001</v>
      </c>
      <c r="T378" s="35">
        <f t="shared" si="140"/>
        <v>0.12375</v>
      </c>
      <c r="U378" s="35">
        <f t="shared" si="157"/>
        <v>0.15966386554621848</v>
      </c>
      <c r="V378" s="35">
        <f t="shared" si="157"/>
        <v>0.15966386554621848</v>
      </c>
      <c r="W378" s="35">
        <f t="shared" si="157"/>
        <v>0.15966386554621848</v>
      </c>
      <c r="X378" s="35">
        <f t="shared" si="157"/>
        <v>0.15966386554621848</v>
      </c>
      <c r="Y378" s="35">
        <f t="shared" si="157"/>
        <v>0.15966386554621848</v>
      </c>
      <c r="Z378" s="35">
        <f t="shared" si="157"/>
        <v>0.15966386554621848</v>
      </c>
      <c r="AA378" s="35">
        <f t="shared" si="157"/>
        <v>0.53488372093023262</v>
      </c>
    </row>
    <row r="379" spans="2:27" x14ac:dyDescent="0.2">
      <c r="B379" s="2">
        <v>377</v>
      </c>
      <c r="C379" s="2" t="str">
        <f t="shared" si="151"/>
        <v>c</v>
      </c>
      <c r="D379" s="29" t="s">
        <v>1</v>
      </c>
      <c r="E379" s="29" t="s">
        <v>219</v>
      </c>
      <c r="F379" s="2" t="s">
        <v>221</v>
      </c>
      <c r="G379" s="2">
        <f t="shared" si="141"/>
        <v>1</v>
      </c>
      <c r="H379" s="2" t="str">
        <f t="shared" si="133"/>
        <v>--</v>
      </c>
      <c r="I379" s="38">
        <f t="shared" si="137"/>
        <v>0</v>
      </c>
      <c r="J379" s="33">
        <f t="shared" si="155"/>
        <v>19</v>
      </c>
      <c r="K379" s="33">
        <f t="shared" si="156"/>
        <v>0</v>
      </c>
      <c r="L379" s="33">
        <f t="shared" si="156"/>
        <v>0</v>
      </c>
      <c r="M379" s="33">
        <f t="shared" si="156"/>
        <v>0</v>
      </c>
      <c r="N379" s="33">
        <f t="shared" si="156"/>
        <v>0</v>
      </c>
      <c r="O379" s="33">
        <f t="shared" si="156"/>
        <v>0</v>
      </c>
      <c r="P379" s="33">
        <f t="shared" si="156"/>
        <v>0</v>
      </c>
      <c r="Q379" s="33">
        <f t="shared" si="156"/>
        <v>0</v>
      </c>
      <c r="R379" s="35">
        <f t="shared" si="138"/>
        <v>0</v>
      </c>
      <c r="S379" s="35">
        <f t="shared" si="139"/>
        <v>0</v>
      </c>
      <c r="T379" s="35">
        <f t="shared" si="140"/>
        <v>0</v>
      </c>
      <c r="U379" s="35">
        <f t="shared" si="157"/>
        <v>0</v>
      </c>
      <c r="V379" s="35">
        <f t="shared" si="157"/>
        <v>0</v>
      </c>
      <c r="W379" s="35">
        <f t="shared" si="157"/>
        <v>0</v>
      </c>
      <c r="X379" s="35">
        <f t="shared" si="157"/>
        <v>0</v>
      </c>
      <c r="Y379" s="35">
        <f t="shared" si="157"/>
        <v>0</v>
      </c>
      <c r="Z379" s="35">
        <f t="shared" si="157"/>
        <v>0</v>
      </c>
      <c r="AA379" s="35">
        <f t="shared" si="157"/>
        <v>0</v>
      </c>
    </row>
    <row r="380" spans="2:27" x14ac:dyDescent="0.2">
      <c r="B380" s="2">
        <v>378</v>
      </c>
      <c r="C380" s="2" t="str">
        <f t="shared" si="151"/>
        <v>c</v>
      </c>
      <c r="D380" s="29" t="s">
        <v>1</v>
      </c>
      <c r="E380" s="29" t="s">
        <v>219</v>
      </c>
      <c r="F380" s="2" t="s">
        <v>221</v>
      </c>
      <c r="G380" s="2">
        <f t="shared" si="141"/>
        <v>2</v>
      </c>
      <c r="H380" s="2" t="str">
        <f t="shared" si="133"/>
        <v>--</v>
      </c>
      <c r="I380" s="38">
        <f t="shared" si="137"/>
        <v>0</v>
      </c>
      <c r="J380" s="33">
        <f t="shared" si="155"/>
        <v>38</v>
      </c>
      <c r="K380" s="33">
        <f t="shared" si="156"/>
        <v>0</v>
      </c>
      <c r="L380" s="33">
        <f t="shared" si="156"/>
        <v>0</v>
      </c>
      <c r="M380" s="33">
        <f t="shared" si="156"/>
        <v>0</v>
      </c>
      <c r="N380" s="33">
        <f t="shared" si="156"/>
        <v>0</v>
      </c>
      <c r="O380" s="33">
        <f t="shared" si="156"/>
        <v>0</v>
      </c>
      <c r="P380" s="33">
        <f t="shared" si="156"/>
        <v>0</v>
      </c>
      <c r="Q380" s="33">
        <f t="shared" si="156"/>
        <v>0</v>
      </c>
      <c r="R380" s="35">
        <f t="shared" si="138"/>
        <v>0</v>
      </c>
      <c r="S380" s="35">
        <f t="shared" si="139"/>
        <v>0</v>
      </c>
      <c r="T380" s="35">
        <f t="shared" si="140"/>
        <v>0</v>
      </c>
      <c r="U380" s="35">
        <f t="shared" si="157"/>
        <v>0</v>
      </c>
      <c r="V380" s="35">
        <f t="shared" si="157"/>
        <v>0</v>
      </c>
      <c r="W380" s="35">
        <f t="shared" si="157"/>
        <v>0</v>
      </c>
      <c r="X380" s="35">
        <f t="shared" si="157"/>
        <v>0</v>
      </c>
      <c r="Y380" s="35">
        <f t="shared" si="157"/>
        <v>0</v>
      </c>
      <c r="Z380" s="35">
        <f t="shared" si="157"/>
        <v>0</v>
      </c>
      <c r="AA380" s="35">
        <f t="shared" si="157"/>
        <v>0</v>
      </c>
    </row>
    <row r="381" spans="2:27" x14ac:dyDescent="0.2">
      <c r="B381" s="2">
        <v>379</v>
      </c>
      <c r="C381" s="2" t="str">
        <f t="shared" si="151"/>
        <v>c</v>
      </c>
      <c r="D381" s="29" t="s">
        <v>1</v>
      </c>
      <c r="E381" s="29" t="s">
        <v>219</v>
      </c>
      <c r="F381" s="2" t="s">
        <v>221</v>
      </c>
      <c r="G381" s="2">
        <f t="shared" si="141"/>
        <v>3</v>
      </c>
      <c r="H381" s="2" t="str">
        <f t="shared" si="133"/>
        <v>--</v>
      </c>
      <c r="I381" s="38">
        <f t="shared" si="137"/>
        <v>0</v>
      </c>
      <c r="J381" s="33">
        <f t="shared" si="155"/>
        <v>57</v>
      </c>
      <c r="K381" s="33">
        <f t="shared" si="156"/>
        <v>0</v>
      </c>
      <c r="L381" s="33">
        <f t="shared" si="156"/>
        <v>0</v>
      </c>
      <c r="M381" s="33">
        <f t="shared" si="156"/>
        <v>0</v>
      </c>
      <c r="N381" s="33">
        <f t="shared" si="156"/>
        <v>0</v>
      </c>
      <c r="O381" s="33">
        <f t="shared" si="156"/>
        <v>0</v>
      </c>
      <c r="P381" s="33">
        <f t="shared" si="156"/>
        <v>0</v>
      </c>
      <c r="Q381" s="33">
        <f t="shared" si="156"/>
        <v>0</v>
      </c>
      <c r="R381" s="35">
        <f t="shared" si="138"/>
        <v>0</v>
      </c>
      <c r="S381" s="35">
        <f t="shared" si="139"/>
        <v>0</v>
      </c>
      <c r="T381" s="35">
        <f t="shared" si="140"/>
        <v>0</v>
      </c>
      <c r="U381" s="35">
        <f t="shared" si="157"/>
        <v>0</v>
      </c>
      <c r="V381" s="35">
        <f t="shared" si="157"/>
        <v>0</v>
      </c>
      <c r="W381" s="35">
        <f t="shared" si="157"/>
        <v>0</v>
      </c>
      <c r="X381" s="35">
        <f t="shared" si="157"/>
        <v>0</v>
      </c>
      <c r="Y381" s="35">
        <f t="shared" si="157"/>
        <v>0</v>
      </c>
      <c r="Z381" s="35">
        <f t="shared" si="157"/>
        <v>0</v>
      </c>
      <c r="AA381" s="35">
        <f t="shared" si="157"/>
        <v>0</v>
      </c>
    </row>
    <row r="382" spans="2:27" x14ac:dyDescent="0.2">
      <c r="B382" s="2">
        <v>380</v>
      </c>
      <c r="C382" s="2" t="str">
        <f t="shared" si="151"/>
        <v>c</v>
      </c>
      <c r="D382" s="29" t="s">
        <v>1</v>
      </c>
      <c r="E382" s="29" t="s">
        <v>219</v>
      </c>
      <c r="F382" s="2" t="s">
        <v>221</v>
      </c>
      <c r="G382" s="2">
        <f t="shared" si="141"/>
        <v>4</v>
      </c>
      <c r="H382" s="2" t="str">
        <f t="shared" si="133"/>
        <v>--</v>
      </c>
      <c r="I382" s="38">
        <f t="shared" si="137"/>
        <v>0</v>
      </c>
      <c r="J382" s="33">
        <f t="shared" si="155"/>
        <v>76</v>
      </c>
      <c r="K382" s="33">
        <f t="shared" si="156"/>
        <v>0</v>
      </c>
      <c r="L382" s="33">
        <f t="shared" si="156"/>
        <v>0</v>
      </c>
      <c r="M382" s="33">
        <f t="shared" si="156"/>
        <v>0</v>
      </c>
      <c r="N382" s="33">
        <f t="shared" si="156"/>
        <v>0</v>
      </c>
      <c r="O382" s="33">
        <f t="shared" si="156"/>
        <v>0</v>
      </c>
      <c r="P382" s="33">
        <f t="shared" si="156"/>
        <v>0</v>
      </c>
      <c r="Q382" s="33">
        <f t="shared" si="156"/>
        <v>0</v>
      </c>
      <c r="R382" s="35">
        <f t="shared" si="138"/>
        <v>0</v>
      </c>
      <c r="S382" s="35">
        <f t="shared" si="139"/>
        <v>0</v>
      </c>
      <c r="T382" s="35">
        <f t="shared" si="140"/>
        <v>0</v>
      </c>
      <c r="U382" s="35">
        <f t="shared" si="157"/>
        <v>0</v>
      </c>
      <c r="V382" s="35">
        <f t="shared" si="157"/>
        <v>0</v>
      </c>
      <c r="W382" s="35">
        <f t="shared" si="157"/>
        <v>0</v>
      </c>
      <c r="X382" s="35">
        <f t="shared" si="157"/>
        <v>0</v>
      </c>
      <c r="Y382" s="35">
        <f t="shared" si="157"/>
        <v>0</v>
      </c>
      <c r="Z382" s="35">
        <f t="shared" si="157"/>
        <v>0</v>
      </c>
      <c r="AA382" s="35">
        <f t="shared" si="157"/>
        <v>0</v>
      </c>
    </row>
    <row r="383" spans="2:27" x14ac:dyDescent="0.2">
      <c r="B383" s="2">
        <v>381</v>
      </c>
      <c r="C383" s="2" t="str">
        <f t="shared" si="151"/>
        <v>c</v>
      </c>
      <c r="D383" s="29" t="s">
        <v>1</v>
      </c>
      <c r="E383" s="29" t="s">
        <v>219</v>
      </c>
      <c r="F383" s="2" t="s">
        <v>221</v>
      </c>
      <c r="G383" s="2">
        <f t="shared" si="141"/>
        <v>5</v>
      </c>
      <c r="H383" s="2" t="str">
        <f t="shared" si="133"/>
        <v>--</v>
      </c>
      <c r="I383" s="38">
        <f t="shared" si="137"/>
        <v>0</v>
      </c>
      <c r="J383" s="33">
        <f t="shared" ref="J383:J392" si="158">INT((1+VLOOKUP($F383,role_property_weight,getpos(J$2),FALSE))*(1+VLOOKUP($F383,drop_property_weight,getpos(J$2),FALSE))*VLOOKUP($E383,role_grow,getpos(J$2),FALSE)*$G383*10*VLOOKUP($C383,drop_grow1,4,FALSE))</f>
        <v>95</v>
      </c>
      <c r="K383" s="33">
        <f t="shared" ref="K383:Q392" si="159">INT((1+VLOOKUP($F383,role_property_weight,getpos(K$2),FALSE))*(1+VLOOKUP($F383,drop_property_weight,getpos(K$2),FALSE))*VLOOKUP($E383,role_grow,getpos(K$2),FALSE)*$G383*10*VLOOKUP($C383,drop_grow1,5,FALSE))</f>
        <v>0</v>
      </c>
      <c r="L383" s="33">
        <f t="shared" si="159"/>
        <v>0</v>
      </c>
      <c r="M383" s="33">
        <f t="shared" si="159"/>
        <v>0</v>
      </c>
      <c r="N383" s="33">
        <f t="shared" si="159"/>
        <v>0</v>
      </c>
      <c r="O383" s="33">
        <f t="shared" si="159"/>
        <v>0</v>
      </c>
      <c r="P383" s="33">
        <f t="shared" si="159"/>
        <v>0</v>
      </c>
      <c r="Q383" s="33">
        <f t="shared" si="159"/>
        <v>0</v>
      </c>
      <c r="R383" s="35">
        <f t="shared" si="138"/>
        <v>0</v>
      </c>
      <c r="S383" s="35">
        <f t="shared" si="139"/>
        <v>0</v>
      </c>
      <c r="T383" s="35">
        <f t="shared" si="140"/>
        <v>0</v>
      </c>
      <c r="U383" s="35">
        <f t="shared" ref="U383:AA392" si="160">1-200/(200+ROUND((1+VLOOKUP($F383,role_property_weight,getpos(U$2),FALSE))*VLOOKUP($E383,role_grow,getpos(U$2),FALSE)*$G383*10*VLOOKUP($C383,drop_grow1,5,FALSE),0))</f>
        <v>0</v>
      </c>
      <c r="V383" s="35">
        <f t="shared" si="160"/>
        <v>0</v>
      </c>
      <c r="W383" s="35">
        <f t="shared" si="160"/>
        <v>0</v>
      </c>
      <c r="X383" s="35">
        <f t="shared" si="160"/>
        <v>0</v>
      </c>
      <c r="Y383" s="35">
        <f t="shared" si="160"/>
        <v>0</v>
      </c>
      <c r="Z383" s="35">
        <f t="shared" si="160"/>
        <v>0</v>
      </c>
      <c r="AA383" s="35">
        <f t="shared" si="160"/>
        <v>0</v>
      </c>
    </row>
    <row r="384" spans="2:27" x14ac:dyDescent="0.2">
      <c r="B384" s="2">
        <v>382</v>
      </c>
      <c r="C384" s="2" t="str">
        <f t="shared" si="151"/>
        <v>c</v>
      </c>
      <c r="D384" s="29" t="s">
        <v>1</v>
      </c>
      <c r="E384" s="29" t="s">
        <v>219</v>
      </c>
      <c r="F384" s="2" t="s">
        <v>221</v>
      </c>
      <c r="G384" s="2">
        <f t="shared" si="141"/>
        <v>6</v>
      </c>
      <c r="H384" s="2" t="str">
        <f t="shared" si="133"/>
        <v>--</v>
      </c>
      <c r="I384" s="38">
        <f t="shared" si="137"/>
        <v>0</v>
      </c>
      <c r="J384" s="33">
        <f t="shared" si="158"/>
        <v>115</v>
      </c>
      <c r="K384" s="33">
        <f t="shared" si="159"/>
        <v>0</v>
      </c>
      <c r="L384" s="33">
        <f t="shared" si="159"/>
        <v>0</v>
      </c>
      <c r="M384" s="33">
        <f t="shared" si="159"/>
        <v>0</v>
      </c>
      <c r="N384" s="33">
        <f t="shared" si="159"/>
        <v>0</v>
      </c>
      <c r="O384" s="33">
        <f t="shared" si="159"/>
        <v>0</v>
      </c>
      <c r="P384" s="33">
        <f t="shared" si="159"/>
        <v>0</v>
      </c>
      <c r="Q384" s="33">
        <f t="shared" si="159"/>
        <v>0</v>
      </c>
      <c r="R384" s="35">
        <f t="shared" si="138"/>
        <v>0</v>
      </c>
      <c r="S384" s="35">
        <f t="shared" si="139"/>
        <v>0</v>
      </c>
      <c r="T384" s="35">
        <f t="shared" si="140"/>
        <v>0</v>
      </c>
      <c r="U384" s="35">
        <f t="shared" si="160"/>
        <v>0</v>
      </c>
      <c r="V384" s="35">
        <f t="shared" si="160"/>
        <v>0</v>
      </c>
      <c r="W384" s="35">
        <f t="shared" si="160"/>
        <v>0</v>
      </c>
      <c r="X384" s="35">
        <f t="shared" si="160"/>
        <v>0</v>
      </c>
      <c r="Y384" s="35">
        <f t="shared" si="160"/>
        <v>0</v>
      </c>
      <c r="Z384" s="35">
        <f t="shared" si="160"/>
        <v>0</v>
      </c>
      <c r="AA384" s="35">
        <f t="shared" si="160"/>
        <v>0</v>
      </c>
    </row>
    <row r="385" spans="2:27" x14ac:dyDescent="0.2">
      <c r="B385" s="2">
        <v>383</v>
      </c>
      <c r="C385" s="2" t="str">
        <f t="shared" si="151"/>
        <v>c</v>
      </c>
      <c r="D385" s="29" t="s">
        <v>1</v>
      </c>
      <c r="E385" s="29" t="s">
        <v>219</v>
      </c>
      <c r="F385" s="2" t="s">
        <v>221</v>
      </c>
      <c r="G385" s="2">
        <f t="shared" si="141"/>
        <v>7</v>
      </c>
      <c r="H385" s="2" t="str">
        <f t="shared" si="133"/>
        <v>--</v>
      </c>
      <c r="I385" s="38">
        <f t="shared" si="137"/>
        <v>0</v>
      </c>
      <c r="J385" s="33">
        <f t="shared" si="158"/>
        <v>134</v>
      </c>
      <c r="K385" s="33">
        <f t="shared" si="159"/>
        <v>0</v>
      </c>
      <c r="L385" s="33">
        <f t="shared" si="159"/>
        <v>0</v>
      </c>
      <c r="M385" s="33">
        <f t="shared" si="159"/>
        <v>0</v>
      </c>
      <c r="N385" s="33">
        <f t="shared" si="159"/>
        <v>0</v>
      </c>
      <c r="O385" s="33">
        <f t="shared" si="159"/>
        <v>0</v>
      </c>
      <c r="P385" s="33">
        <f t="shared" si="159"/>
        <v>0</v>
      </c>
      <c r="Q385" s="33">
        <f t="shared" si="159"/>
        <v>0</v>
      </c>
      <c r="R385" s="35">
        <f t="shared" si="138"/>
        <v>0</v>
      </c>
      <c r="S385" s="35">
        <f t="shared" si="139"/>
        <v>0</v>
      </c>
      <c r="T385" s="35">
        <f t="shared" si="140"/>
        <v>0</v>
      </c>
      <c r="U385" s="35">
        <f t="shared" si="160"/>
        <v>0</v>
      </c>
      <c r="V385" s="35">
        <f t="shared" si="160"/>
        <v>0</v>
      </c>
      <c r="W385" s="35">
        <f t="shared" si="160"/>
        <v>0</v>
      </c>
      <c r="X385" s="35">
        <f t="shared" si="160"/>
        <v>0</v>
      </c>
      <c r="Y385" s="35">
        <f t="shared" si="160"/>
        <v>0</v>
      </c>
      <c r="Z385" s="35">
        <f t="shared" si="160"/>
        <v>0</v>
      </c>
      <c r="AA385" s="35">
        <f t="shared" si="160"/>
        <v>0</v>
      </c>
    </row>
    <row r="386" spans="2:27" x14ac:dyDescent="0.2">
      <c r="B386" s="2">
        <v>384</v>
      </c>
      <c r="C386" s="2" t="str">
        <f t="shared" si="151"/>
        <v>c</v>
      </c>
      <c r="D386" s="29" t="s">
        <v>1</v>
      </c>
      <c r="E386" s="29" t="s">
        <v>219</v>
      </c>
      <c r="F386" s="2" t="s">
        <v>221</v>
      </c>
      <c r="G386" s="2">
        <f t="shared" si="141"/>
        <v>8</v>
      </c>
      <c r="H386" s="2" t="str">
        <f t="shared" si="133"/>
        <v>--</v>
      </c>
      <c r="I386" s="38">
        <f t="shared" si="137"/>
        <v>0</v>
      </c>
      <c r="J386" s="33">
        <f t="shared" si="158"/>
        <v>153</v>
      </c>
      <c r="K386" s="33">
        <f t="shared" si="159"/>
        <v>0</v>
      </c>
      <c r="L386" s="33">
        <f t="shared" si="159"/>
        <v>0</v>
      </c>
      <c r="M386" s="33">
        <f t="shared" si="159"/>
        <v>0</v>
      </c>
      <c r="N386" s="33">
        <f t="shared" si="159"/>
        <v>0</v>
      </c>
      <c r="O386" s="33">
        <f t="shared" si="159"/>
        <v>0</v>
      </c>
      <c r="P386" s="33">
        <f t="shared" si="159"/>
        <v>0</v>
      </c>
      <c r="Q386" s="33">
        <f t="shared" si="159"/>
        <v>0</v>
      </c>
      <c r="R386" s="35">
        <f t="shared" si="138"/>
        <v>0</v>
      </c>
      <c r="S386" s="35">
        <f t="shared" si="139"/>
        <v>0</v>
      </c>
      <c r="T386" s="35">
        <f t="shared" si="140"/>
        <v>0</v>
      </c>
      <c r="U386" s="35">
        <f t="shared" si="160"/>
        <v>0</v>
      </c>
      <c r="V386" s="35">
        <f t="shared" si="160"/>
        <v>0</v>
      </c>
      <c r="W386" s="35">
        <f t="shared" si="160"/>
        <v>0</v>
      </c>
      <c r="X386" s="35">
        <f t="shared" si="160"/>
        <v>0</v>
      </c>
      <c r="Y386" s="35">
        <f t="shared" si="160"/>
        <v>0</v>
      </c>
      <c r="Z386" s="35">
        <f t="shared" si="160"/>
        <v>0</v>
      </c>
      <c r="AA386" s="35">
        <f t="shared" si="160"/>
        <v>0</v>
      </c>
    </row>
    <row r="387" spans="2:27" x14ac:dyDescent="0.2">
      <c r="B387" s="2">
        <v>385</v>
      </c>
      <c r="C387" s="2" t="str">
        <f t="shared" si="151"/>
        <v>s</v>
      </c>
      <c r="D387" s="29" t="s">
        <v>1</v>
      </c>
      <c r="E387" s="29" t="s">
        <v>219</v>
      </c>
      <c r="F387" s="2" t="s">
        <v>222</v>
      </c>
      <c r="G387" s="2">
        <f t="shared" si="141"/>
        <v>1</v>
      </c>
      <c r="H387" s="2" t="str">
        <f t="shared" ref="H387:H450" si="161">IF(C387="c","--",VLOOKUP(F387,role_property_weight,17,FALSE))</f>
        <v>神圣</v>
      </c>
      <c r="I387" s="38">
        <f t="shared" si="137"/>
        <v>0.08</v>
      </c>
      <c r="J387" s="33">
        <f t="shared" si="158"/>
        <v>19</v>
      </c>
      <c r="K387" s="33">
        <f t="shared" si="159"/>
        <v>18</v>
      </c>
      <c r="L387" s="33">
        <f t="shared" si="159"/>
        <v>3</v>
      </c>
      <c r="M387" s="33">
        <f t="shared" si="159"/>
        <v>12</v>
      </c>
      <c r="N387" s="33">
        <f t="shared" si="159"/>
        <v>13</v>
      </c>
      <c r="O387" s="33">
        <f t="shared" si="159"/>
        <v>14</v>
      </c>
      <c r="P387" s="33">
        <f t="shared" si="159"/>
        <v>6</v>
      </c>
      <c r="Q387" s="33">
        <f t="shared" si="159"/>
        <v>5</v>
      </c>
      <c r="R387" s="35">
        <f t="shared" si="138"/>
        <v>0.01</v>
      </c>
      <c r="S387" s="35">
        <f t="shared" si="139"/>
        <v>1.2E-2</v>
      </c>
      <c r="T387" s="35">
        <f t="shared" si="140"/>
        <v>6.2500000000000003E-3</v>
      </c>
      <c r="U387" s="35">
        <f t="shared" si="160"/>
        <v>1.4778325123152691E-2</v>
      </c>
      <c r="V387" s="35">
        <f t="shared" si="160"/>
        <v>1.4778325123152691E-2</v>
      </c>
      <c r="W387" s="35">
        <f t="shared" si="160"/>
        <v>1.4778325123152691E-2</v>
      </c>
      <c r="X387" s="35">
        <f t="shared" si="160"/>
        <v>1.4778325123152691E-2</v>
      </c>
      <c r="Y387" s="35">
        <f t="shared" si="160"/>
        <v>7.8341013824884786E-2</v>
      </c>
      <c r="Z387" s="35">
        <f t="shared" si="160"/>
        <v>1.4778325123152691E-2</v>
      </c>
      <c r="AA387" s="35">
        <f t="shared" si="160"/>
        <v>1.4778325123152691E-2</v>
      </c>
    </row>
    <row r="388" spans="2:27" x14ac:dyDescent="0.2">
      <c r="B388" s="2">
        <v>386</v>
      </c>
      <c r="C388" s="2" t="str">
        <f t="shared" si="151"/>
        <v>s</v>
      </c>
      <c r="D388" s="29" t="s">
        <v>1</v>
      </c>
      <c r="E388" s="29" t="s">
        <v>219</v>
      </c>
      <c r="F388" s="2" t="s">
        <v>222</v>
      </c>
      <c r="G388" s="2">
        <f t="shared" si="141"/>
        <v>2</v>
      </c>
      <c r="H388" s="2" t="str">
        <f t="shared" si="161"/>
        <v>神圣</v>
      </c>
      <c r="I388" s="38">
        <f t="shared" ref="I388:I451" si="162">IF(H388="--",0,IF((SUM(J388:Q388)/35)%&lt;8%,8%,(SUM(J388:Q388)/35)%))</f>
        <v>0.08</v>
      </c>
      <c r="J388" s="33">
        <f t="shared" si="158"/>
        <v>38</v>
      </c>
      <c r="K388" s="33">
        <f t="shared" si="159"/>
        <v>37</v>
      </c>
      <c r="L388" s="33">
        <f t="shared" si="159"/>
        <v>6</v>
      </c>
      <c r="M388" s="33">
        <f t="shared" si="159"/>
        <v>25</v>
      </c>
      <c r="N388" s="33">
        <f t="shared" si="159"/>
        <v>26</v>
      </c>
      <c r="O388" s="33">
        <f t="shared" si="159"/>
        <v>29</v>
      </c>
      <c r="P388" s="33">
        <f t="shared" si="159"/>
        <v>13</v>
      </c>
      <c r="Q388" s="33">
        <f t="shared" si="159"/>
        <v>11</v>
      </c>
      <c r="R388" s="35">
        <f t="shared" ref="R388:R451" si="163">(Q388/5)%</f>
        <v>2.2000000000000002E-2</v>
      </c>
      <c r="S388" s="35">
        <f t="shared" ref="S388:S451" si="164">(P388/5)%</f>
        <v>2.6000000000000002E-2</v>
      </c>
      <c r="T388" s="35">
        <f t="shared" ref="T388:T451" si="165">(Q388/8)%</f>
        <v>1.375E-2</v>
      </c>
      <c r="U388" s="35">
        <f t="shared" si="160"/>
        <v>2.9126213592232997E-2</v>
      </c>
      <c r="V388" s="35">
        <f t="shared" si="160"/>
        <v>2.9126213592232997E-2</v>
      </c>
      <c r="W388" s="35">
        <f t="shared" si="160"/>
        <v>2.9126213592232997E-2</v>
      </c>
      <c r="X388" s="35">
        <f t="shared" si="160"/>
        <v>2.9126213592232997E-2</v>
      </c>
      <c r="Y388" s="35">
        <f t="shared" si="160"/>
        <v>0.14893617021276595</v>
      </c>
      <c r="Z388" s="35">
        <f t="shared" si="160"/>
        <v>2.9126213592232997E-2</v>
      </c>
      <c r="AA388" s="35">
        <f t="shared" si="160"/>
        <v>2.9126213592232997E-2</v>
      </c>
    </row>
    <row r="389" spans="2:27" x14ac:dyDescent="0.2">
      <c r="B389" s="2">
        <v>387</v>
      </c>
      <c r="C389" s="2" t="str">
        <f t="shared" si="151"/>
        <v>s</v>
      </c>
      <c r="D389" s="29" t="s">
        <v>1</v>
      </c>
      <c r="E389" s="29" t="s">
        <v>219</v>
      </c>
      <c r="F389" s="2" t="s">
        <v>222</v>
      </c>
      <c r="G389" s="2">
        <f t="shared" si="141"/>
        <v>3</v>
      </c>
      <c r="H389" s="2" t="str">
        <f t="shared" si="161"/>
        <v>神圣</v>
      </c>
      <c r="I389" s="38">
        <f t="shared" si="162"/>
        <v>0.08</v>
      </c>
      <c r="J389" s="33">
        <f t="shared" si="158"/>
        <v>57</v>
      </c>
      <c r="K389" s="33">
        <f t="shared" si="159"/>
        <v>56</v>
      </c>
      <c r="L389" s="33">
        <f t="shared" si="159"/>
        <v>10</v>
      </c>
      <c r="M389" s="33">
        <f t="shared" si="159"/>
        <v>38</v>
      </c>
      <c r="N389" s="33">
        <f t="shared" si="159"/>
        <v>39</v>
      </c>
      <c r="O389" s="33">
        <f t="shared" si="159"/>
        <v>44</v>
      </c>
      <c r="P389" s="33">
        <f t="shared" si="159"/>
        <v>19</v>
      </c>
      <c r="Q389" s="33">
        <f t="shared" si="159"/>
        <v>17</v>
      </c>
      <c r="R389" s="35">
        <f t="shared" si="163"/>
        <v>3.4000000000000002E-2</v>
      </c>
      <c r="S389" s="35">
        <f t="shared" si="164"/>
        <v>3.7999999999999999E-2</v>
      </c>
      <c r="T389" s="35">
        <f t="shared" si="165"/>
        <v>2.1250000000000002E-2</v>
      </c>
      <c r="U389" s="35">
        <f t="shared" si="160"/>
        <v>4.3062200956937802E-2</v>
      </c>
      <c r="V389" s="35">
        <f t="shared" si="160"/>
        <v>4.3062200956937802E-2</v>
      </c>
      <c r="W389" s="35">
        <f t="shared" si="160"/>
        <v>4.3062200956937802E-2</v>
      </c>
      <c r="X389" s="35">
        <f t="shared" si="160"/>
        <v>4.3062200956937802E-2</v>
      </c>
      <c r="Y389" s="35">
        <f t="shared" si="160"/>
        <v>0.20634920634920639</v>
      </c>
      <c r="Z389" s="35">
        <f t="shared" si="160"/>
        <v>4.3062200956937802E-2</v>
      </c>
      <c r="AA389" s="35">
        <f t="shared" si="160"/>
        <v>4.3062200956937802E-2</v>
      </c>
    </row>
    <row r="390" spans="2:27" x14ac:dyDescent="0.2">
      <c r="B390" s="2">
        <v>388</v>
      </c>
      <c r="C390" s="2" t="str">
        <f t="shared" si="151"/>
        <v>s</v>
      </c>
      <c r="D390" s="29" t="s">
        <v>1</v>
      </c>
      <c r="E390" s="29" t="s">
        <v>219</v>
      </c>
      <c r="F390" s="2" t="s">
        <v>222</v>
      </c>
      <c r="G390" s="2">
        <f t="shared" si="141"/>
        <v>4</v>
      </c>
      <c r="H390" s="2" t="str">
        <f t="shared" si="161"/>
        <v>神圣</v>
      </c>
      <c r="I390" s="38">
        <f t="shared" si="162"/>
        <v>0.10657142857142857</v>
      </c>
      <c r="J390" s="33">
        <f t="shared" si="158"/>
        <v>76</v>
      </c>
      <c r="K390" s="33">
        <f t="shared" si="159"/>
        <v>74</v>
      </c>
      <c r="L390" s="33">
        <f t="shared" si="159"/>
        <v>13</v>
      </c>
      <c r="M390" s="33">
        <f t="shared" si="159"/>
        <v>50</v>
      </c>
      <c r="N390" s="33">
        <f t="shared" si="159"/>
        <v>52</v>
      </c>
      <c r="O390" s="33">
        <f t="shared" si="159"/>
        <v>59</v>
      </c>
      <c r="P390" s="33">
        <f t="shared" si="159"/>
        <v>26</v>
      </c>
      <c r="Q390" s="33">
        <f t="shared" si="159"/>
        <v>23</v>
      </c>
      <c r="R390" s="35">
        <f t="shared" si="163"/>
        <v>4.5999999999999999E-2</v>
      </c>
      <c r="S390" s="35">
        <f t="shared" si="164"/>
        <v>5.2000000000000005E-2</v>
      </c>
      <c r="T390" s="35">
        <f t="shared" si="165"/>
        <v>2.8750000000000001E-2</v>
      </c>
      <c r="U390" s="35">
        <f t="shared" si="160"/>
        <v>5.6603773584905648E-2</v>
      </c>
      <c r="V390" s="35">
        <f t="shared" si="160"/>
        <v>5.6603773584905648E-2</v>
      </c>
      <c r="W390" s="35">
        <f t="shared" si="160"/>
        <v>5.6603773584905648E-2</v>
      </c>
      <c r="X390" s="35">
        <f t="shared" si="160"/>
        <v>5.6603773584905648E-2</v>
      </c>
      <c r="Y390" s="35">
        <f t="shared" si="160"/>
        <v>0.25650557620817849</v>
      </c>
      <c r="Z390" s="35">
        <f t="shared" si="160"/>
        <v>5.6603773584905648E-2</v>
      </c>
      <c r="AA390" s="35">
        <f t="shared" si="160"/>
        <v>5.6603773584905648E-2</v>
      </c>
    </row>
    <row r="391" spans="2:27" x14ac:dyDescent="0.2">
      <c r="B391" s="2">
        <v>389</v>
      </c>
      <c r="C391" s="2" t="str">
        <f t="shared" si="151"/>
        <v>s</v>
      </c>
      <c r="D391" s="29" t="s">
        <v>1</v>
      </c>
      <c r="E391" s="29" t="s">
        <v>219</v>
      </c>
      <c r="F391" s="2" t="s">
        <v>222</v>
      </c>
      <c r="G391" s="2">
        <f t="shared" si="141"/>
        <v>5</v>
      </c>
      <c r="H391" s="2" t="str">
        <f t="shared" si="161"/>
        <v>神圣</v>
      </c>
      <c r="I391" s="38">
        <f t="shared" si="162"/>
        <v>0.13428571428571429</v>
      </c>
      <c r="J391" s="33">
        <f t="shared" si="158"/>
        <v>96</v>
      </c>
      <c r="K391" s="33">
        <f t="shared" si="159"/>
        <v>93</v>
      </c>
      <c r="L391" s="33">
        <f t="shared" si="159"/>
        <v>17</v>
      </c>
      <c r="M391" s="33">
        <f t="shared" si="159"/>
        <v>63</v>
      </c>
      <c r="N391" s="33">
        <f t="shared" si="159"/>
        <v>66</v>
      </c>
      <c r="O391" s="33">
        <f t="shared" si="159"/>
        <v>74</v>
      </c>
      <c r="P391" s="33">
        <f t="shared" si="159"/>
        <v>33</v>
      </c>
      <c r="Q391" s="33">
        <f t="shared" si="159"/>
        <v>28</v>
      </c>
      <c r="R391" s="35">
        <f t="shared" si="163"/>
        <v>5.5999999999999994E-2</v>
      </c>
      <c r="S391" s="35">
        <f t="shared" si="164"/>
        <v>6.6000000000000003E-2</v>
      </c>
      <c r="T391" s="35">
        <f t="shared" si="165"/>
        <v>3.5000000000000003E-2</v>
      </c>
      <c r="U391" s="35">
        <f t="shared" si="160"/>
        <v>6.5420560747663559E-2</v>
      </c>
      <c r="V391" s="35">
        <f t="shared" si="160"/>
        <v>6.5420560747663559E-2</v>
      </c>
      <c r="W391" s="35">
        <f t="shared" si="160"/>
        <v>6.5420560747663559E-2</v>
      </c>
      <c r="X391" s="35">
        <f t="shared" si="160"/>
        <v>6.5420560747663559E-2</v>
      </c>
      <c r="Y391" s="35">
        <f t="shared" si="160"/>
        <v>0.30069930069930073</v>
      </c>
      <c r="Z391" s="35">
        <f t="shared" si="160"/>
        <v>6.5420560747663559E-2</v>
      </c>
      <c r="AA391" s="35">
        <f t="shared" si="160"/>
        <v>6.5420560747663559E-2</v>
      </c>
    </row>
    <row r="392" spans="2:27" x14ac:dyDescent="0.2">
      <c r="B392" s="2">
        <v>390</v>
      </c>
      <c r="C392" s="2" t="str">
        <f t="shared" si="151"/>
        <v>s</v>
      </c>
      <c r="D392" s="29" t="s">
        <v>1</v>
      </c>
      <c r="E392" s="29" t="s">
        <v>219</v>
      </c>
      <c r="F392" s="2" t="s">
        <v>222</v>
      </c>
      <c r="G392" s="2">
        <f t="shared" si="141"/>
        <v>6</v>
      </c>
      <c r="H392" s="2" t="str">
        <f t="shared" si="161"/>
        <v>神圣</v>
      </c>
      <c r="I392" s="38">
        <f t="shared" si="162"/>
        <v>0.16114285714285714</v>
      </c>
      <c r="J392" s="33">
        <f t="shared" si="158"/>
        <v>115</v>
      </c>
      <c r="K392" s="33">
        <f t="shared" si="159"/>
        <v>112</v>
      </c>
      <c r="L392" s="33">
        <f t="shared" si="159"/>
        <v>20</v>
      </c>
      <c r="M392" s="33">
        <f t="shared" si="159"/>
        <v>76</v>
      </c>
      <c r="N392" s="33">
        <f t="shared" si="159"/>
        <v>79</v>
      </c>
      <c r="O392" s="33">
        <f t="shared" si="159"/>
        <v>89</v>
      </c>
      <c r="P392" s="33">
        <f t="shared" si="159"/>
        <v>39</v>
      </c>
      <c r="Q392" s="33">
        <f t="shared" si="159"/>
        <v>34</v>
      </c>
      <c r="R392" s="35">
        <f t="shared" si="163"/>
        <v>6.8000000000000005E-2</v>
      </c>
      <c r="S392" s="35">
        <f t="shared" si="164"/>
        <v>7.8E-2</v>
      </c>
      <c r="T392" s="35">
        <f t="shared" si="165"/>
        <v>4.2500000000000003E-2</v>
      </c>
      <c r="U392" s="35">
        <f t="shared" si="160"/>
        <v>7.8341013824884786E-2</v>
      </c>
      <c r="V392" s="35">
        <f t="shared" si="160"/>
        <v>7.8341013824884786E-2</v>
      </c>
      <c r="W392" s="35">
        <f t="shared" si="160"/>
        <v>7.8341013824884786E-2</v>
      </c>
      <c r="X392" s="35">
        <f t="shared" si="160"/>
        <v>7.8341013824884786E-2</v>
      </c>
      <c r="Y392" s="35">
        <f t="shared" si="160"/>
        <v>0.34210526315789469</v>
      </c>
      <c r="Z392" s="35">
        <f t="shared" si="160"/>
        <v>7.8341013824884786E-2</v>
      </c>
      <c r="AA392" s="35">
        <f t="shared" si="160"/>
        <v>7.8341013824884786E-2</v>
      </c>
    </row>
    <row r="393" spans="2:27" x14ac:dyDescent="0.2">
      <c r="B393" s="2">
        <v>391</v>
      </c>
      <c r="C393" s="2" t="str">
        <f t="shared" si="151"/>
        <v>s</v>
      </c>
      <c r="D393" s="29" t="s">
        <v>1</v>
      </c>
      <c r="E393" s="29" t="s">
        <v>219</v>
      </c>
      <c r="F393" s="2" t="s">
        <v>222</v>
      </c>
      <c r="G393" s="2">
        <f t="shared" si="141"/>
        <v>7</v>
      </c>
      <c r="H393" s="2" t="str">
        <f t="shared" si="161"/>
        <v>神圣</v>
      </c>
      <c r="I393" s="38">
        <f t="shared" si="162"/>
        <v>0.18828571428571428</v>
      </c>
      <c r="J393" s="33">
        <f t="shared" ref="J393:J402" si="166">INT((1+VLOOKUP($F393,role_property_weight,getpos(J$2),FALSE))*(1+VLOOKUP($F393,drop_property_weight,getpos(J$2),FALSE))*VLOOKUP($E393,role_grow,getpos(J$2),FALSE)*$G393*10*VLOOKUP($C393,drop_grow1,4,FALSE))</f>
        <v>134</v>
      </c>
      <c r="K393" s="33">
        <f t="shared" ref="K393:Q402" si="167">INT((1+VLOOKUP($F393,role_property_weight,getpos(K$2),FALSE))*(1+VLOOKUP($F393,drop_property_weight,getpos(K$2),FALSE))*VLOOKUP($E393,role_grow,getpos(K$2),FALSE)*$G393*10*VLOOKUP($C393,drop_grow1,5,FALSE))</f>
        <v>131</v>
      </c>
      <c r="L393" s="33">
        <f t="shared" si="167"/>
        <v>24</v>
      </c>
      <c r="M393" s="33">
        <f t="shared" si="167"/>
        <v>88</v>
      </c>
      <c r="N393" s="33">
        <f t="shared" si="167"/>
        <v>92</v>
      </c>
      <c r="O393" s="33">
        <f t="shared" si="167"/>
        <v>104</v>
      </c>
      <c r="P393" s="33">
        <f t="shared" si="167"/>
        <v>46</v>
      </c>
      <c r="Q393" s="33">
        <f t="shared" si="167"/>
        <v>40</v>
      </c>
      <c r="R393" s="35">
        <f t="shared" si="163"/>
        <v>0.08</v>
      </c>
      <c r="S393" s="35">
        <f t="shared" si="164"/>
        <v>9.1999999999999998E-2</v>
      </c>
      <c r="T393" s="35">
        <f t="shared" si="165"/>
        <v>0.05</v>
      </c>
      <c r="U393" s="35">
        <f t="shared" ref="U393:AA402" si="168">1-200/(200+ROUND((1+VLOOKUP($F393,role_property_weight,getpos(U$2),FALSE))*VLOOKUP($E393,role_grow,getpos(U$2),FALSE)*$G393*10*VLOOKUP($C393,drop_grow1,5,FALSE),0))</f>
        <v>9.0909090909090939E-2</v>
      </c>
      <c r="V393" s="35">
        <f t="shared" si="168"/>
        <v>9.0909090909090939E-2</v>
      </c>
      <c r="W393" s="35">
        <f t="shared" si="168"/>
        <v>9.0909090909090939E-2</v>
      </c>
      <c r="X393" s="35">
        <f t="shared" si="168"/>
        <v>9.0909090909090939E-2</v>
      </c>
      <c r="Y393" s="35">
        <f t="shared" si="168"/>
        <v>0.37694704049844241</v>
      </c>
      <c r="Z393" s="35">
        <f t="shared" si="168"/>
        <v>9.0909090909090939E-2</v>
      </c>
      <c r="AA393" s="35">
        <f t="shared" si="168"/>
        <v>9.0909090909090939E-2</v>
      </c>
    </row>
    <row r="394" spans="2:27" x14ac:dyDescent="0.2">
      <c r="B394" s="2">
        <v>392</v>
      </c>
      <c r="C394" s="2" t="str">
        <f t="shared" si="151"/>
        <v>s</v>
      </c>
      <c r="D394" s="29" t="s">
        <v>1</v>
      </c>
      <c r="E394" s="29" t="s">
        <v>219</v>
      </c>
      <c r="F394" s="2" t="s">
        <v>222</v>
      </c>
      <c r="G394" s="2">
        <f t="shared" si="141"/>
        <v>8</v>
      </c>
      <c r="H394" s="2" t="str">
        <f t="shared" si="161"/>
        <v>神圣</v>
      </c>
      <c r="I394" s="38">
        <f t="shared" si="162"/>
        <v>0.21485714285714283</v>
      </c>
      <c r="J394" s="33">
        <f t="shared" si="166"/>
        <v>153</v>
      </c>
      <c r="K394" s="33">
        <f t="shared" si="167"/>
        <v>149</v>
      </c>
      <c r="L394" s="33">
        <f t="shared" si="167"/>
        <v>27</v>
      </c>
      <c r="M394" s="33">
        <f t="shared" si="167"/>
        <v>101</v>
      </c>
      <c r="N394" s="33">
        <f t="shared" si="167"/>
        <v>105</v>
      </c>
      <c r="O394" s="33">
        <f t="shared" si="167"/>
        <v>119</v>
      </c>
      <c r="P394" s="33">
        <f t="shared" si="167"/>
        <v>52</v>
      </c>
      <c r="Q394" s="33">
        <f t="shared" si="167"/>
        <v>46</v>
      </c>
      <c r="R394" s="35">
        <f t="shared" si="163"/>
        <v>9.1999999999999998E-2</v>
      </c>
      <c r="S394" s="35">
        <f t="shared" si="164"/>
        <v>0.10400000000000001</v>
      </c>
      <c r="T394" s="35">
        <f t="shared" si="165"/>
        <v>5.7500000000000002E-2</v>
      </c>
      <c r="U394" s="35">
        <f t="shared" si="168"/>
        <v>0.10313901345291476</v>
      </c>
      <c r="V394" s="35">
        <f t="shared" si="168"/>
        <v>0.10313901345291476</v>
      </c>
      <c r="W394" s="35">
        <f t="shared" si="168"/>
        <v>0.10313901345291476</v>
      </c>
      <c r="X394" s="35">
        <f t="shared" si="168"/>
        <v>0.10313901345291476</v>
      </c>
      <c r="Y394" s="35">
        <f t="shared" si="168"/>
        <v>0.40828402366863903</v>
      </c>
      <c r="Z394" s="35">
        <f t="shared" si="168"/>
        <v>0.10313901345291476</v>
      </c>
      <c r="AA394" s="35">
        <f t="shared" si="168"/>
        <v>0.10313901345291476</v>
      </c>
    </row>
    <row r="395" spans="2:27" x14ac:dyDescent="0.2">
      <c r="B395" s="2">
        <v>393</v>
      </c>
      <c r="C395" s="2" t="str">
        <f t="shared" si="151"/>
        <v>a</v>
      </c>
      <c r="D395" s="29" t="s">
        <v>1</v>
      </c>
      <c r="E395" s="29" t="s">
        <v>219</v>
      </c>
      <c r="F395" s="2" t="s">
        <v>222</v>
      </c>
      <c r="G395" s="2">
        <f t="shared" si="141"/>
        <v>1</v>
      </c>
      <c r="H395" s="2" t="str">
        <f t="shared" si="161"/>
        <v>神圣</v>
      </c>
      <c r="I395" s="38">
        <f t="shared" si="162"/>
        <v>0.08</v>
      </c>
      <c r="J395" s="33">
        <f t="shared" si="166"/>
        <v>14</v>
      </c>
      <c r="K395" s="33">
        <f t="shared" si="167"/>
        <v>20</v>
      </c>
      <c r="L395" s="33">
        <f t="shared" si="167"/>
        <v>3</v>
      </c>
      <c r="M395" s="33">
        <f t="shared" si="167"/>
        <v>14</v>
      </c>
      <c r="N395" s="33">
        <f t="shared" si="167"/>
        <v>14</v>
      </c>
      <c r="O395" s="33">
        <f t="shared" si="167"/>
        <v>16</v>
      </c>
      <c r="P395" s="33">
        <f t="shared" si="167"/>
        <v>7</v>
      </c>
      <c r="Q395" s="33">
        <f t="shared" si="167"/>
        <v>6</v>
      </c>
      <c r="R395" s="35">
        <f t="shared" si="163"/>
        <v>1.2E-2</v>
      </c>
      <c r="S395" s="35">
        <f t="shared" si="164"/>
        <v>1.3999999999999999E-2</v>
      </c>
      <c r="T395" s="35">
        <f t="shared" si="165"/>
        <v>7.4999999999999997E-3</v>
      </c>
      <c r="U395" s="35">
        <f t="shared" si="168"/>
        <v>1.4778325123152691E-2</v>
      </c>
      <c r="V395" s="35">
        <f t="shared" si="168"/>
        <v>1.4778325123152691E-2</v>
      </c>
      <c r="W395" s="35">
        <f t="shared" si="168"/>
        <v>1.4778325123152691E-2</v>
      </c>
      <c r="X395" s="35">
        <f t="shared" si="168"/>
        <v>1.4778325123152691E-2</v>
      </c>
      <c r="Y395" s="35">
        <f t="shared" si="168"/>
        <v>8.6757990867579959E-2</v>
      </c>
      <c r="Z395" s="35">
        <f t="shared" si="168"/>
        <v>1.4778325123152691E-2</v>
      </c>
      <c r="AA395" s="35">
        <f t="shared" si="168"/>
        <v>1.4778325123152691E-2</v>
      </c>
    </row>
    <row r="396" spans="2:27" x14ac:dyDescent="0.2">
      <c r="B396" s="2">
        <v>394</v>
      </c>
      <c r="C396" s="2" t="str">
        <f t="shared" si="151"/>
        <v>a</v>
      </c>
      <c r="D396" s="29" t="s">
        <v>1</v>
      </c>
      <c r="E396" s="29" t="s">
        <v>219</v>
      </c>
      <c r="F396" s="2" t="s">
        <v>222</v>
      </c>
      <c r="G396" s="2">
        <f t="shared" ref="G396:G459" si="169">G388</f>
        <v>2</v>
      </c>
      <c r="H396" s="2" t="str">
        <f t="shared" si="161"/>
        <v>神圣</v>
      </c>
      <c r="I396" s="38">
        <f t="shared" si="162"/>
        <v>0.08</v>
      </c>
      <c r="J396" s="33">
        <f t="shared" si="166"/>
        <v>28</v>
      </c>
      <c r="K396" s="33">
        <f t="shared" si="167"/>
        <v>41</v>
      </c>
      <c r="L396" s="33">
        <f t="shared" si="167"/>
        <v>7</v>
      </c>
      <c r="M396" s="33">
        <f t="shared" si="167"/>
        <v>28</v>
      </c>
      <c r="N396" s="33">
        <f t="shared" si="167"/>
        <v>29</v>
      </c>
      <c r="O396" s="33">
        <f t="shared" si="167"/>
        <v>33</v>
      </c>
      <c r="P396" s="33">
        <f t="shared" si="167"/>
        <v>14</v>
      </c>
      <c r="Q396" s="33">
        <f t="shared" si="167"/>
        <v>12</v>
      </c>
      <c r="R396" s="35">
        <f t="shared" si="163"/>
        <v>2.4E-2</v>
      </c>
      <c r="S396" s="35">
        <f t="shared" si="164"/>
        <v>2.7999999999999997E-2</v>
      </c>
      <c r="T396" s="35">
        <f t="shared" si="165"/>
        <v>1.4999999999999999E-2</v>
      </c>
      <c r="U396" s="35">
        <f t="shared" si="168"/>
        <v>2.9126213592232997E-2</v>
      </c>
      <c r="V396" s="35">
        <f t="shared" si="168"/>
        <v>2.9126213592232997E-2</v>
      </c>
      <c r="W396" s="35">
        <f t="shared" si="168"/>
        <v>2.9126213592232997E-2</v>
      </c>
      <c r="X396" s="35">
        <f t="shared" si="168"/>
        <v>2.9126213592232997E-2</v>
      </c>
      <c r="Y396" s="35">
        <f t="shared" si="168"/>
        <v>0.15966386554621848</v>
      </c>
      <c r="Z396" s="35">
        <f t="shared" si="168"/>
        <v>2.9126213592232997E-2</v>
      </c>
      <c r="AA396" s="35">
        <f t="shared" si="168"/>
        <v>2.9126213592232997E-2</v>
      </c>
    </row>
    <row r="397" spans="2:27" x14ac:dyDescent="0.2">
      <c r="B397" s="2">
        <v>395</v>
      </c>
      <c r="C397" s="2" t="str">
        <f t="shared" si="151"/>
        <v>a</v>
      </c>
      <c r="D397" s="29" t="s">
        <v>1</v>
      </c>
      <c r="E397" s="29" t="s">
        <v>219</v>
      </c>
      <c r="F397" s="2" t="s">
        <v>222</v>
      </c>
      <c r="G397" s="2">
        <f t="shared" si="169"/>
        <v>3</v>
      </c>
      <c r="H397" s="2" t="str">
        <f t="shared" si="161"/>
        <v>神圣</v>
      </c>
      <c r="I397" s="38">
        <f t="shared" si="162"/>
        <v>8.3428571428571435E-2</v>
      </c>
      <c r="J397" s="33">
        <f t="shared" si="166"/>
        <v>43</v>
      </c>
      <c r="K397" s="33">
        <f t="shared" si="167"/>
        <v>62</v>
      </c>
      <c r="L397" s="33">
        <f t="shared" si="167"/>
        <v>11</v>
      </c>
      <c r="M397" s="33">
        <f t="shared" si="167"/>
        <v>42</v>
      </c>
      <c r="N397" s="33">
        <f t="shared" si="167"/>
        <v>44</v>
      </c>
      <c r="O397" s="33">
        <f t="shared" si="167"/>
        <v>49</v>
      </c>
      <c r="P397" s="33">
        <f t="shared" si="167"/>
        <v>22</v>
      </c>
      <c r="Q397" s="33">
        <f t="shared" si="167"/>
        <v>19</v>
      </c>
      <c r="R397" s="35">
        <f t="shared" si="163"/>
        <v>3.7999999999999999E-2</v>
      </c>
      <c r="S397" s="35">
        <f t="shared" si="164"/>
        <v>4.4000000000000004E-2</v>
      </c>
      <c r="T397" s="35">
        <f t="shared" si="165"/>
        <v>2.375E-2</v>
      </c>
      <c r="U397" s="35">
        <f t="shared" si="168"/>
        <v>4.7619047619047672E-2</v>
      </c>
      <c r="V397" s="35">
        <f t="shared" si="168"/>
        <v>4.7619047619047672E-2</v>
      </c>
      <c r="W397" s="35">
        <f t="shared" si="168"/>
        <v>4.7619047619047672E-2</v>
      </c>
      <c r="X397" s="35">
        <f t="shared" si="168"/>
        <v>4.7619047619047672E-2</v>
      </c>
      <c r="Y397" s="35">
        <f t="shared" si="168"/>
        <v>0.22480620155038755</v>
      </c>
      <c r="Z397" s="35">
        <f t="shared" si="168"/>
        <v>4.7619047619047672E-2</v>
      </c>
      <c r="AA397" s="35">
        <f t="shared" si="168"/>
        <v>4.7619047619047672E-2</v>
      </c>
    </row>
    <row r="398" spans="2:27" x14ac:dyDescent="0.2">
      <c r="B398" s="2">
        <v>396</v>
      </c>
      <c r="C398" s="2" t="str">
        <f t="shared" si="151"/>
        <v>a</v>
      </c>
      <c r="D398" s="29" t="s">
        <v>1</v>
      </c>
      <c r="E398" s="29" t="s">
        <v>219</v>
      </c>
      <c r="F398" s="2" t="s">
        <v>222</v>
      </c>
      <c r="G398" s="2">
        <f t="shared" si="169"/>
        <v>4</v>
      </c>
      <c r="H398" s="2" t="str">
        <f t="shared" si="161"/>
        <v>神圣</v>
      </c>
      <c r="I398" s="38">
        <f t="shared" si="162"/>
        <v>0.11114285714285714</v>
      </c>
      <c r="J398" s="33">
        <f t="shared" si="166"/>
        <v>57</v>
      </c>
      <c r="K398" s="33">
        <f t="shared" si="167"/>
        <v>83</v>
      </c>
      <c r="L398" s="33">
        <f t="shared" si="167"/>
        <v>15</v>
      </c>
      <c r="M398" s="33">
        <f t="shared" si="167"/>
        <v>56</v>
      </c>
      <c r="N398" s="33">
        <f t="shared" si="167"/>
        <v>58</v>
      </c>
      <c r="O398" s="33">
        <f t="shared" si="167"/>
        <v>66</v>
      </c>
      <c r="P398" s="33">
        <f t="shared" si="167"/>
        <v>29</v>
      </c>
      <c r="Q398" s="33">
        <f t="shared" si="167"/>
        <v>25</v>
      </c>
      <c r="R398" s="35">
        <f t="shared" si="163"/>
        <v>0.05</v>
      </c>
      <c r="S398" s="35">
        <f t="shared" si="164"/>
        <v>5.7999999999999996E-2</v>
      </c>
      <c r="T398" s="35">
        <f t="shared" si="165"/>
        <v>3.125E-2</v>
      </c>
      <c r="U398" s="35">
        <f t="shared" si="168"/>
        <v>6.1032863849765251E-2</v>
      </c>
      <c r="V398" s="35">
        <f t="shared" si="168"/>
        <v>6.1032863849765251E-2</v>
      </c>
      <c r="W398" s="35">
        <f t="shared" si="168"/>
        <v>6.1032863849765251E-2</v>
      </c>
      <c r="X398" s="35">
        <f t="shared" si="168"/>
        <v>6.1032863849765251E-2</v>
      </c>
      <c r="Y398" s="35">
        <f t="shared" si="168"/>
        <v>0.27797833935018046</v>
      </c>
      <c r="Z398" s="35">
        <f t="shared" si="168"/>
        <v>6.1032863849765251E-2</v>
      </c>
      <c r="AA398" s="35">
        <f t="shared" si="168"/>
        <v>6.1032863849765251E-2</v>
      </c>
    </row>
    <row r="399" spans="2:27" x14ac:dyDescent="0.2">
      <c r="B399" s="2">
        <v>397</v>
      </c>
      <c r="C399" s="2" t="str">
        <f t="shared" si="151"/>
        <v>a</v>
      </c>
      <c r="D399" s="29" t="s">
        <v>1</v>
      </c>
      <c r="E399" s="29" t="s">
        <v>219</v>
      </c>
      <c r="F399" s="2" t="s">
        <v>222</v>
      </c>
      <c r="G399" s="2">
        <f t="shared" si="169"/>
        <v>5</v>
      </c>
      <c r="H399" s="2" t="str">
        <f t="shared" si="161"/>
        <v>神圣</v>
      </c>
      <c r="I399" s="38">
        <f t="shared" si="162"/>
        <v>0.13971428571428571</v>
      </c>
      <c r="J399" s="33">
        <f t="shared" si="166"/>
        <v>72</v>
      </c>
      <c r="K399" s="33">
        <f t="shared" si="167"/>
        <v>104</v>
      </c>
      <c r="L399" s="33">
        <f t="shared" si="167"/>
        <v>19</v>
      </c>
      <c r="M399" s="33">
        <f t="shared" si="167"/>
        <v>70</v>
      </c>
      <c r="N399" s="33">
        <f t="shared" si="167"/>
        <v>73</v>
      </c>
      <c r="O399" s="33">
        <f t="shared" si="167"/>
        <v>83</v>
      </c>
      <c r="P399" s="33">
        <f t="shared" si="167"/>
        <v>36</v>
      </c>
      <c r="Q399" s="33">
        <f t="shared" si="167"/>
        <v>32</v>
      </c>
      <c r="R399" s="35">
        <f t="shared" si="163"/>
        <v>6.4000000000000001E-2</v>
      </c>
      <c r="S399" s="35">
        <f t="shared" si="164"/>
        <v>7.2000000000000008E-2</v>
      </c>
      <c r="T399" s="35">
        <f t="shared" si="165"/>
        <v>0.04</v>
      </c>
      <c r="U399" s="35">
        <f t="shared" si="168"/>
        <v>7.407407407407407E-2</v>
      </c>
      <c r="V399" s="35">
        <f t="shared" si="168"/>
        <v>7.407407407407407E-2</v>
      </c>
      <c r="W399" s="35">
        <f t="shared" si="168"/>
        <v>7.407407407407407E-2</v>
      </c>
      <c r="X399" s="35">
        <f t="shared" si="168"/>
        <v>7.407407407407407E-2</v>
      </c>
      <c r="Y399" s="35">
        <f t="shared" si="168"/>
        <v>0.32432432432432434</v>
      </c>
      <c r="Z399" s="35">
        <f t="shared" si="168"/>
        <v>7.407407407407407E-2</v>
      </c>
      <c r="AA399" s="35">
        <f t="shared" si="168"/>
        <v>7.407407407407407E-2</v>
      </c>
    </row>
    <row r="400" spans="2:27" x14ac:dyDescent="0.2">
      <c r="B400" s="2">
        <v>398</v>
      </c>
      <c r="C400" s="2" t="str">
        <f t="shared" si="151"/>
        <v>a</v>
      </c>
      <c r="D400" s="29" t="s">
        <v>1</v>
      </c>
      <c r="E400" s="29" t="s">
        <v>219</v>
      </c>
      <c r="F400" s="2" t="s">
        <v>222</v>
      </c>
      <c r="G400" s="2">
        <f t="shared" si="169"/>
        <v>6</v>
      </c>
      <c r="H400" s="2" t="str">
        <f t="shared" si="161"/>
        <v>神圣</v>
      </c>
      <c r="I400" s="38">
        <f t="shared" si="162"/>
        <v>0.16742857142857143</v>
      </c>
      <c r="J400" s="33">
        <f t="shared" si="166"/>
        <v>86</v>
      </c>
      <c r="K400" s="33">
        <f t="shared" si="167"/>
        <v>124</v>
      </c>
      <c r="L400" s="33">
        <f t="shared" si="167"/>
        <v>23</v>
      </c>
      <c r="M400" s="33">
        <f t="shared" si="167"/>
        <v>84</v>
      </c>
      <c r="N400" s="33">
        <f t="shared" si="167"/>
        <v>88</v>
      </c>
      <c r="O400" s="33">
        <f t="shared" si="167"/>
        <v>99</v>
      </c>
      <c r="P400" s="33">
        <f t="shared" si="167"/>
        <v>44</v>
      </c>
      <c r="Q400" s="33">
        <f t="shared" si="167"/>
        <v>38</v>
      </c>
      <c r="R400" s="35">
        <f t="shared" si="163"/>
        <v>7.5999999999999998E-2</v>
      </c>
      <c r="S400" s="35">
        <f t="shared" si="164"/>
        <v>8.8000000000000009E-2</v>
      </c>
      <c r="T400" s="35">
        <f t="shared" si="165"/>
        <v>4.7500000000000001E-2</v>
      </c>
      <c r="U400" s="35">
        <f t="shared" si="168"/>
        <v>8.6757990867579959E-2</v>
      </c>
      <c r="V400" s="35">
        <f t="shared" si="168"/>
        <v>8.6757990867579959E-2</v>
      </c>
      <c r="W400" s="35">
        <f t="shared" si="168"/>
        <v>8.6757990867579959E-2</v>
      </c>
      <c r="X400" s="35">
        <f t="shared" si="168"/>
        <v>8.6757990867579959E-2</v>
      </c>
      <c r="Y400" s="35">
        <f t="shared" si="168"/>
        <v>0.36507936507936511</v>
      </c>
      <c r="Z400" s="35">
        <f t="shared" si="168"/>
        <v>8.6757990867579959E-2</v>
      </c>
      <c r="AA400" s="35">
        <f t="shared" si="168"/>
        <v>8.6757990867579959E-2</v>
      </c>
    </row>
    <row r="401" spans="2:27" x14ac:dyDescent="0.2">
      <c r="B401" s="2">
        <v>399</v>
      </c>
      <c r="C401" s="2" t="str">
        <f t="shared" si="151"/>
        <v>a</v>
      </c>
      <c r="D401" s="29" t="s">
        <v>1</v>
      </c>
      <c r="E401" s="29" t="s">
        <v>219</v>
      </c>
      <c r="F401" s="2" t="s">
        <v>222</v>
      </c>
      <c r="G401" s="2">
        <f t="shared" si="169"/>
        <v>7</v>
      </c>
      <c r="H401" s="2" t="str">
        <f t="shared" si="161"/>
        <v>神圣</v>
      </c>
      <c r="I401" s="38">
        <f t="shared" si="162"/>
        <v>0.19514285714285717</v>
      </c>
      <c r="J401" s="33">
        <f t="shared" si="166"/>
        <v>100</v>
      </c>
      <c r="K401" s="33">
        <f t="shared" si="167"/>
        <v>145</v>
      </c>
      <c r="L401" s="33">
        <f t="shared" si="167"/>
        <v>26</v>
      </c>
      <c r="M401" s="33">
        <f t="shared" si="167"/>
        <v>98</v>
      </c>
      <c r="N401" s="33">
        <f t="shared" si="167"/>
        <v>103</v>
      </c>
      <c r="O401" s="33">
        <f t="shared" si="167"/>
        <v>116</v>
      </c>
      <c r="P401" s="33">
        <f t="shared" si="167"/>
        <v>51</v>
      </c>
      <c r="Q401" s="33">
        <f t="shared" si="167"/>
        <v>44</v>
      </c>
      <c r="R401" s="35">
        <f t="shared" si="163"/>
        <v>8.8000000000000009E-2</v>
      </c>
      <c r="S401" s="35">
        <f t="shared" si="164"/>
        <v>0.10199999999999999</v>
      </c>
      <c r="T401" s="35">
        <f t="shared" si="165"/>
        <v>5.5E-2</v>
      </c>
      <c r="U401" s="35">
        <f t="shared" si="168"/>
        <v>9.9099099099099086E-2</v>
      </c>
      <c r="V401" s="35">
        <f t="shared" si="168"/>
        <v>9.9099099099099086E-2</v>
      </c>
      <c r="W401" s="35">
        <f t="shared" si="168"/>
        <v>9.9099099099099086E-2</v>
      </c>
      <c r="X401" s="35">
        <f t="shared" si="168"/>
        <v>9.9099099099099086E-2</v>
      </c>
      <c r="Y401" s="35">
        <f t="shared" si="168"/>
        <v>0.40119760479041922</v>
      </c>
      <c r="Z401" s="35">
        <f t="shared" si="168"/>
        <v>9.9099099099099086E-2</v>
      </c>
      <c r="AA401" s="35">
        <f t="shared" si="168"/>
        <v>9.9099099099099086E-2</v>
      </c>
    </row>
    <row r="402" spans="2:27" x14ac:dyDescent="0.2">
      <c r="B402" s="2">
        <v>400</v>
      </c>
      <c r="C402" s="2" t="str">
        <f t="shared" si="151"/>
        <v>a</v>
      </c>
      <c r="D402" s="29" t="s">
        <v>1</v>
      </c>
      <c r="E402" s="29" t="s">
        <v>219</v>
      </c>
      <c r="F402" s="2" t="s">
        <v>222</v>
      </c>
      <c r="G402" s="2">
        <f t="shared" si="169"/>
        <v>8</v>
      </c>
      <c r="H402" s="2" t="str">
        <f t="shared" si="161"/>
        <v>神圣</v>
      </c>
      <c r="I402" s="38">
        <f t="shared" si="162"/>
        <v>0.22342857142857142</v>
      </c>
      <c r="J402" s="33">
        <f t="shared" si="166"/>
        <v>115</v>
      </c>
      <c r="K402" s="33">
        <f t="shared" si="167"/>
        <v>166</v>
      </c>
      <c r="L402" s="33">
        <f t="shared" si="167"/>
        <v>30</v>
      </c>
      <c r="M402" s="33">
        <f t="shared" si="167"/>
        <v>112</v>
      </c>
      <c r="N402" s="33">
        <f t="shared" si="167"/>
        <v>117</v>
      </c>
      <c r="O402" s="33">
        <f t="shared" si="167"/>
        <v>133</v>
      </c>
      <c r="P402" s="33">
        <f t="shared" si="167"/>
        <v>58</v>
      </c>
      <c r="Q402" s="33">
        <f t="shared" si="167"/>
        <v>51</v>
      </c>
      <c r="R402" s="35">
        <f t="shared" si="163"/>
        <v>0.10199999999999999</v>
      </c>
      <c r="S402" s="35">
        <f t="shared" si="164"/>
        <v>0.11599999999999999</v>
      </c>
      <c r="T402" s="35">
        <f t="shared" si="165"/>
        <v>6.3750000000000001E-2</v>
      </c>
      <c r="U402" s="35">
        <f t="shared" si="168"/>
        <v>0.11504424778761058</v>
      </c>
      <c r="V402" s="35">
        <f t="shared" si="168"/>
        <v>0.11504424778761058</v>
      </c>
      <c r="W402" s="35">
        <f t="shared" si="168"/>
        <v>0.11504424778761058</v>
      </c>
      <c r="X402" s="35">
        <f t="shared" si="168"/>
        <v>0.11504424778761058</v>
      </c>
      <c r="Y402" s="35">
        <f t="shared" si="168"/>
        <v>0.43502824858757061</v>
      </c>
      <c r="Z402" s="35">
        <f t="shared" si="168"/>
        <v>0.11504424778761058</v>
      </c>
      <c r="AA402" s="35">
        <f t="shared" si="168"/>
        <v>0.11504424778761058</v>
      </c>
    </row>
    <row r="403" spans="2:27" x14ac:dyDescent="0.2">
      <c r="B403" s="2">
        <v>401</v>
      </c>
      <c r="C403" s="2" t="str">
        <f t="shared" si="151"/>
        <v>b</v>
      </c>
      <c r="D403" s="29" t="s">
        <v>1</v>
      </c>
      <c r="E403" s="29" t="s">
        <v>219</v>
      </c>
      <c r="F403" s="2" t="s">
        <v>222</v>
      </c>
      <c r="G403" s="2">
        <f t="shared" si="169"/>
        <v>1</v>
      </c>
      <c r="H403" s="2" t="str">
        <f t="shared" si="161"/>
        <v>神圣</v>
      </c>
      <c r="I403" s="38">
        <f t="shared" si="162"/>
        <v>0.08</v>
      </c>
      <c r="J403" s="33">
        <f t="shared" ref="J403:J412" si="170">INT((1+VLOOKUP($F403,role_property_weight,getpos(J$2),FALSE))*(1+VLOOKUP($F403,drop_property_weight,getpos(J$2),FALSE))*VLOOKUP($E403,role_grow,getpos(J$2),FALSE)*$G403*10*VLOOKUP($C403,drop_grow1,4,FALSE))</f>
        <v>16</v>
      </c>
      <c r="K403" s="33">
        <f t="shared" ref="K403:Q412" si="171">INT((1+VLOOKUP($F403,role_property_weight,getpos(K$2),FALSE))*(1+VLOOKUP($F403,drop_property_weight,getpos(K$2),FALSE))*VLOOKUP($E403,role_grow,getpos(K$2),FALSE)*$G403*10*VLOOKUP($C403,drop_grow1,5,FALSE))</f>
        <v>31</v>
      </c>
      <c r="L403" s="33">
        <f t="shared" si="171"/>
        <v>5</v>
      </c>
      <c r="M403" s="33">
        <f t="shared" si="171"/>
        <v>21</v>
      </c>
      <c r="N403" s="33">
        <f t="shared" si="171"/>
        <v>22</v>
      </c>
      <c r="O403" s="33">
        <f t="shared" si="171"/>
        <v>24</v>
      </c>
      <c r="P403" s="33">
        <f t="shared" si="171"/>
        <v>11</v>
      </c>
      <c r="Q403" s="33">
        <f t="shared" si="171"/>
        <v>9</v>
      </c>
      <c r="R403" s="35">
        <f t="shared" si="163"/>
        <v>1.8000000000000002E-2</v>
      </c>
      <c r="S403" s="35">
        <f t="shared" si="164"/>
        <v>2.2000000000000002E-2</v>
      </c>
      <c r="T403" s="35">
        <f t="shared" si="165"/>
        <v>1.125E-2</v>
      </c>
      <c r="U403" s="35">
        <f t="shared" ref="U403:AA412" si="172">1-200/(200+ROUND((1+VLOOKUP($F403,role_property_weight,getpos(U$2),FALSE))*VLOOKUP($E403,role_grow,getpos(U$2),FALSE)*$G403*10*VLOOKUP($C403,drop_grow1,5,FALSE),0))</f>
        <v>2.4390243902439046E-2</v>
      </c>
      <c r="V403" s="35">
        <f t="shared" si="172"/>
        <v>2.4390243902439046E-2</v>
      </c>
      <c r="W403" s="35">
        <f t="shared" si="172"/>
        <v>2.4390243902439046E-2</v>
      </c>
      <c r="X403" s="35">
        <f t="shared" si="172"/>
        <v>2.4390243902439046E-2</v>
      </c>
      <c r="Y403" s="35">
        <f t="shared" si="172"/>
        <v>0.1266375545851528</v>
      </c>
      <c r="Z403" s="35">
        <f t="shared" si="172"/>
        <v>2.4390243902439046E-2</v>
      </c>
      <c r="AA403" s="35">
        <f t="shared" si="172"/>
        <v>2.4390243902439046E-2</v>
      </c>
    </row>
    <row r="404" spans="2:27" x14ac:dyDescent="0.2">
      <c r="B404" s="2">
        <v>402</v>
      </c>
      <c r="C404" s="2" t="str">
        <f t="shared" si="151"/>
        <v>b</v>
      </c>
      <c r="D404" s="29" t="s">
        <v>1</v>
      </c>
      <c r="E404" s="29" t="s">
        <v>219</v>
      </c>
      <c r="F404" s="2" t="s">
        <v>222</v>
      </c>
      <c r="G404" s="2">
        <f t="shared" si="169"/>
        <v>2</v>
      </c>
      <c r="H404" s="2" t="str">
        <f t="shared" si="161"/>
        <v>神圣</v>
      </c>
      <c r="I404" s="38">
        <f t="shared" si="162"/>
        <v>8.0571428571428572E-2</v>
      </c>
      <c r="J404" s="33">
        <f t="shared" si="170"/>
        <v>33</v>
      </c>
      <c r="K404" s="33">
        <f t="shared" si="171"/>
        <v>62</v>
      </c>
      <c r="L404" s="33">
        <f t="shared" si="171"/>
        <v>11</v>
      </c>
      <c r="M404" s="33">
        <f t="shared" si="171"/>
        <v>42</v>
      </c>
      <c r="N404" s="33">
        <f t="shared" si="171"/>
        <v>44</v>
      </c>
      <c r="O404" s="33">
        <f t="shared" si="171"/>
        <v>49</v>
      </c>
      <c r="P404" s="33">
        <f t="shared" si="171"/>
        <v>22</v>
      </c>
      <c r="Q404" s="33">
        <f t="shared" si="171"/>
        <v>19</v>
      </c>
      <c r="R404" s="35">
        <f t="shared" si="163"/>
        <v>3.7999999999999999E-2</v>
      </c>
      <c r="S404" s="35">
        <f t="shared" si="164"/>
        <v>4.4000000000000004E-2</v>
      </c>
      <c r="T404" s="35">
        <f t="shared" si="165"/>
        <v>2.375E-2</v>
      </c>
      <c r="U404" s="35">
        <f t="shared" si="172"/>
        <v>4.7619047619047672E-2</v>
      </c>
      <c r="V404" s="35">
        <f t="shared" si="172"/>
        <v>4.7619047619047672E-2</v>
      </c>
      <c r="W404" s="35">
        <f t="shared" si="172"/>
        <v>4.7619047619047672E-2</v>
      </c>
      <c r="X404" s="35">
        <f t="shared" si="172"/>
        <v>4.7619047619047672E-2</v>
      </c>
      <c r="Y404" s="35">
        <f t="shared" si="172"/>
        <v>0.22480620155038755</v>
      </c>
      <c r="Z404" s="35">
        <f t="shared" si="172"/>
        <v>4.7619047619047672E-2</v>
      </c>
      <c r="AA404" s="35">
        <f t="shared" si="172"/>
        <v>4.7619047619047672E-2</v>
      </c>
    </row>
    <row r="405" spans="2:27" x14ac:dyDescent="0.2">
      <c r="B405" s="2">
        <v>403</v>
      </c>
      <c r="C405" s="2" t="str">
        <f t="shared" si="151"/>
        <v>b</v>
      </c>
      <c r="D405" s="29" t="s">
        <v>1</v>
      </c>
      <c r="E405" s="29" t="s">
        <v>219</v>
      </c>
      <c r="F405" s="2" t="s">
        <v>222</v>
      </c>
      <c r="G405" s="2">
        <f t="shared" si="169"/>
        <v>3</v>
      </c>
      <c r="H405" s="2" t="str">
        <f t="shared" si="161"/>
        <v>神圣</v>
      </c>
      <c r="I405" s="38">
        <f t="shared" si="162"/>
        <v>0.12114285714285714</v>
      </c>
      <c r="J405" s="33">
        <f t="shared" si="170"/>
        <v>50</v>
      </c>
      <c r="K405" s="33">
        <f t="shared" si="171"/>
        <v>93</v>
      </c>
      <c r="L405" s="33">
        <f t="shared" si="171"/>
        <v>17</v>
      </c>
      <c r="M405" s="33">
        <f t="shared" si="171"/>
        <v>63</v>
      </c>
      <c r="N405" s="33">
        <f t="shared" si="171"/>
        <v>66</v>
      </c>
      <c r="O405" s="33">
        <f t="shared" si="171"/>
        <v>74</v>
      </c>
      <c r="P405" s="33">
        <f t="shared" si="171"/>
        <v>33</v>
      </c>
      <c r="Q405" s="33">
        <f t="shared" si="171"/>
        <v>28</v>
      </c>
      <c r="R405" s="35">
        <f t="shared" si="163"/>
        <v>5.5999999999999994E-2</v>
      </c>
      <c r="S405" s="35">
        <f t="shared" si="164"/>
        <v>6.6000000000000003E-2</v>
      </c>
      <c r="T405" s="35">
        <f t="shared" si="165"/>
        <v>3.5000000000000003E-2</v>
      </c>
      <c r="U405" s="35">
        <f t="shared" si="172"/>
        <v>6.5420560747663559E-2</v>
      </c>
      <c r="V405" s="35">
        <f t="shared" si="172"/>
        <v>6.5420560747663559E-2</v>
      </c>
      <c r="W405" s="35">
        <f t="shared" si="172"/>
        <v>6.5420560747663559E-2</v>
      </c>
      <c r="X405" s="35">
        <f t="shared" si="172"/>
        <v>6.5420560747663559E-2</v>
      </c>
      <c r="Y405" s="35">
        <f t="shared" si="172"/>
        <v>0.30069930069930073</v>
      </c>
      <c r="Z405" s="35">
        <f t="shared" si="172"/>
        <v>6.5420560747663559E-2</v>
      </c>
      <c r="AA405" s="35">
        <f t="shared" si="172"/>
        <v>6.5420560747663559E-2</v>
      </c>
    </row>
    <row r="406" spans="2:27" x14ac:dyDescent="0.2">
      <c r="B406" s="2">
        <v>404</v>
      </c>
      <c r="C406" s="2" t="str">
        <f t="shared" si="151"/>
        <v>b</v>
      </c>
      <c r="D406" s="29" t="s">
        <v>1</v>
      </c>
      <c r="E406" s="29" t="s">
        <v>219</v>
      </c>
      <c r="F406" s="2" t="s">
        <v>222</v>
      </c>
      <c r="G406" s="2">
        <f t="shared" si="169"/>
        <v>4</v>
      </c>
      <c r="H406" s="2" t="str">
        <f t="shared" si="161"/>
        <v>神圣</v>
      </c>
      <c r="I406" s="38">
        <f t="shared" si="162"/>
        <v>0.16200000000000001</v>
      </c>
      <c r="J406" s="33">
        <f t="shared" si="170"/>
        <v>67</v>
      </c>
      <c r="K406" s="33">
        <f t="shared" si="171"/>
        <v>124</v>
      </c>
      <c r="L406" s="33">
        <f t="shared" si="171"/>
        <v>23</v>
      </c>
      <c r="M406" s="33">
        <f t="shared" si="171"/>
        <v>84</v>
      </c>
      <c r="N406" s="33">
        <f t="shared" si="171"/>
        <v>88</v>
      </c>
      <c r="O406" s="33">
        <f t="shared" si="171"/>
        <v>99</v>
      </c>
      <c r="P406" s="33">
        <f t="shared" si="171"/>
        <v>44</v>
      </c>
      <c r="Q406" s="33">
        <f t="shared" si="171"/>
        <v>38</v>
      </c>
      <c r="R406" s="35">
        <f t="shared" si="163"/>
        <v>7.5999999999999998E-2</v>
      </c>
      <c r="S406" s="35">
        <f t="shared" si="164"/>
        <v>8.8000000000000009E-2</v>
      </c>
      <c r="T406" s="35">
        <f t="shared" si="165"/>
        <v>4.7500000000000001E-2</v>
      </c>
      <c r="U406" s="35">
        <f t="shared" si="172"/>
        <v>8.6757990867579959E-2</v>
      </c>
      <c r="V406" s="35">
        <f t="shared" si="172"/>
        <v>8.6757990867579959E-2</v>
      </c>
      <c r="W406" s="35">
        <f t="shared" si="172"/>
        <v>8.6757990867579959E-2</v>
      </c>
      <c r="X406" s="35">
        <f t="shared" si="172"/>
        <v>8.6757990867579959E-2</v>
      </c>
      <c r="Y406" s="35">
        <f t="shared" si="172"/>
        <v>0.36507936507936511</v>
      </c>
      <c r="Z406" s="35">
        <f t="shared" si="172"/>
        <v>8.6757990867579959E-2</v>
      </c>
      <c r="AA406" s="35">
        <f t="shared" si="172"/>
        <v>8.6757990867579959E-2</v>
      </c>
    </row>
    <row r="407" spans="2:27" x14ac:dyDescent="0.2">
      <c r="B407" s="2">
        <v>405</v>
      </c>
      <c r="C407" s="2" t="str">
        <f t="shared" si="151"/>
        <v>b</v>
      </c>
      <c r="D407" s="29" t="s">
        <v>1</v>
      </c>
      <c r="E407" s="29" t="s">
        <v>219</v>
      </c>
      <c r="F407" s="2" t="s">
        <v>222</v>
      </c>
      <c r="G407" s="2">
        <f t="shared" si="169"/>
        <v>5</v>
      </c>
      <c r="H407" s="2" t="str">
        <f t="shared" si="161"/>
        <v>神圣</v>
      </c>
      <c r="I407" s="38">
        <f t="shared" si="162"/>
        <v>0.20285714285714285</v>
      </c>
      <c r="J407" s="33">
        <f t="shared" si="170"/>
        <v>84</v>
      </c>
      <c r="K407" s="33">
        <f t="shared" si="171"/>
        <v>156</v>
      </c>
      <c r="L407" s="33">
        <f t="shared" si="171"/>
        <v>28</v>
      </c>
      <c r="M407" s="33">
        <f t="shared" si="171"/>
        <v>105</v>
      </c>
      <c r="N407" s="33">
        <f t="shared" si="171"/>
        <v>110</v>
      </c>
      <c r="O407" s="33">
        <f t="shared" si="171"/>
        <v>124</v>
      </c>
      <c r="P407" s="33">
        <f t="shared" si="171"/>
        <v>55</v>
      </c>
      <c r="Q407" s="33">
        <f t="shared" si="171"/>
        <v>48</v>
      </c>
      <c r="R407" s="35">
        <f t="shared" si="163"/>
        <v>9.6000000000000002E-2</v>
      </c>
      <c r="S407" s="35">
        <f t="shared" si="164"/>
        <v>0.11</v>
      </c>
      <c r="T407" s="35">
        <f t="shared" si="165"/>
        <v>0.06</v>
      </c>
      <c r="U407" s="35">
        <f t="shared" si="172"/>
        <v>0.1071428571428571</v>
      </c>
      <c r="V407" s="35">
        <f t="shared" si="172"/>
        <v>0.1071428571428571</v>
      </c>
      <c r="W407" s="35">
        <f t="shared" si="172"/>
        <v>0.1071428571428571</v>
      </c>
      <c r="X407" s="35">
        <f t="shared" si="172"/>
        <v>0.1071428571428571</v>
      </c>
      <c r="Y407" s="35">
        <f t="shared" si="172"/>
        <v>0.41860465116279066</v>
      </c>
      <c r="Z407" s="35">
        <f t="shared" si="172"/>
        <v>0.1071428571428571</v>
      </c>
      <c r="AA407" s="35">
        <f t="shared" si="172"/>
        <v>0.1071428571428571</v>
      </c>
    </row>
    <row r="408" spans="2:27" x14ac:dyDescent="0.2">
      <c r="B408" s="2">
        <v>406</v>
      </c>
      <c r="C408" s="2" t="str">
        <f t="shared" si="151"/>
        <v>b</v>
      </c>
      <c r="D408" s="29" t="s">
        <v>1</v>
      </c>
      <c r="E408" s="29" t="s">
        <v>219</v>
      </c>
      <c r="F408" s="2" t="s">
        <v>222</v>
      </c>
      <c r="G408" s="2">
        <f t="shared" si="169"/>
        <v>6</v>
      </c>
      <c r="H408" s="2" t="str">
        <f t="shared" si="161"/>
        <v>神圣</v>
      </c>
      <c r="I408" s="38">
        <f t="shared" si="162"/>
        <v>0.24314285714285713</v>
      </c>
      <c r="J408" s="33">
        <f t="shared" si="170"/>
        <v>100</v>
      </c>
      <c r="K408" s="33">
        <f t="shared" si="171"/>
        <v>187</v>
      </c>
      <c r="L408" s="33">
        <f t="shared" si="171"/>
        <v>34</v>
      </c>
      <c r="M408" s="33">
        <f t="shared" si="171"/>
        <v>126</v>
      </c>
      <c r="N408" s="33">
        <f t="shared" si="171"/>
        <v>132</v>
      </c>
      <c r="O408" s="33">
        <f t="shared" si="171"/>
        <v>149</v>
      </c>
      <c r="P408" s="33">
        <f t="shared" si="171"/>
        <v>66</v>
      </c>
      <c r="Q408" s="33">
        <f t="shared" si="171"/>
        <v>57</v>
      </c>
      <c r="R408" s="35">
        <f t="shared" si="163"/>
        <v>0.114</v>
      </c>
      <c r="S408" s="35">
        <f t="shared" si="164"/>
        <v>0.13200000000000001</v>
      </c>
      <c r="T408" s="35">
        <f t="shared" si="165"/>
        <v>7.1249999999999994E-2</v>
      </c>
      <c r="U408" s="35">
        <f t="shared" si="172"/>
        <v>0.1266375545851528</v>
      </c>
      <c r="V408" s="35">
        <f t="shared" si="172"/>
        <v>0.1266375545851528</v>
      </c>
      <c r="W408" s="35">
        <f t="shared" si="172"/>
        <v>0.1266375545851528</v>
      </c>
      <c r="X408" s="35">
        <f t="shared" si="172"/>
        <v>0.1266375545851528</v>
      </c>
      <c r="Y408" s="35">
        <f t="shared" si="172"/>
        <v>0.46380697050938335</v>
      </c>
      <c r="Z408" s="35">
        <f t="shared" si="172"/>
        <v>0.1266375545851528</v>
      </c>
      <c r="AA408" s="35">
        <f t="shared" si="172"/>
        <v>0.1266375545851528</v>
      </c>
    </row>
    <row r="409" spans="2:27" x14ac:dyDescent="0.2">
      <c r="B409" s="2">
        <v>407</v>
      </c>
      <c r="C409" s="2" t="str">
        <f t="shared" si="151"/>
        <v>b</v>
      </c>
      <c r="D409" s="29" t="s">
        <v>1</v>
      </c>
      <c r="E409" s="29" t="s">
        <v>219</v>
      </c>
      <c r="F409" s="2" t="s">
        <v>222</v>
      </c>
      <c r="G409" s="2">
        <f t="shared" si="169"/>
        <v>7</v>
      </c>
      <c r="H409" s="2" t="str">
        <f t="shared" si="161"/>
        <v>神圣</v>
      </c>
      <c r="I409" s="38">
        <f t="shared" si="162"/>
        <v>0.28399999999999997</v>
      </c>
      <c r="J409" s="33">
        <f t="shared" si="170"/>
        <v>117</v>
      </c>
      <c r="K409" s="33">
        <f t="shared" si="171"/>
        <v>218</v>
      </c>
      <c r="L409" s="33">
        <f t="shared" si="171"/>
        <v>40</v>
      </c>
      <c r="M409" s="33">
        <f t="shared" si="171"/>
        <v>147</v>
      </c>
      <c r="N409" s="33">
        <f t="shared" si="171"/>
        <v>154</v>
      </c>
      <c r="O409" s="33">
        <f t="shared" si="171"/>
        <v>174</v>
      </c>
      <c r="P409" s="33">
        <f t="shared" si="171"/>
        <v>77</v>
      </c>
      <c r="Q409" s="33">
        <f t="shared" si="171"/>
        <v>67</v>
      </c>
      <c r="R409" s="35">
        <f t="shared" si="163"/>
        <v>0.13400000000000001</v>
      </c>
      <c r="S409" s="35">
        <f t="shared" si="164"/>
        <v>0.154</v>
      </c>
      <c r="T409" s="35">
        <f t="shared" si="165"/>
        <v>8.3750000000000005E-2</v>
      </c>
      <c r="U409" s="35">
        <f t="shared" si="172"/>
        <v>0.14529914529914534</v>
      </c>
      <c r="V409" s="35">
        <f t="shared" si="172"/>
        <v>0.14529914529914534</v>
      </c>
      <c r="W409" s="35">
        <f t="shared" si="172"/>
        <v>0.14529914529914534</v>
      </c>
      <c r="X409" s="35">
        <f t="shared" si="172"/>
        <v>0.14529914529914534</v>
      </c>
      <c r="Y409" s="35">
        <f t="shared" si="172"/>
        <v>0.50248756218905477</v>
      </c>
      <c r="Z409" s="35">
        <f t="shared" si="172"/>
        <v>0.14529914529914534</v>
      </c>
      <c r="AA409" s="35">
        <f t="shared" si="172"/>
        <v>0.14529914529914534</v>
      </c>
    </row>
    <row r="410" spans="2:27" x14ac:dyDescent="0.2">
      <c r="B410" s="2">
        <v>408</v>
      </c>
      <c r="C410" s="2" t="str">
        <f t="shared" si="151"/>
        <v>b</v>
      </c>
      <c r="D410" s="29" t="s">
        <v>1</v>
      </c>
      <c r="E410" s="29" t="s">
        <v>219</v>
      </c>
      <c r="F410" s="2" t="s">
        <v>222</v>
      </c>
      <c r="G410" s="2">
        <f t="shared" si="169"/>
        <v>8</v>
      </c>
      <c r="H410" s="2" t="str">
        <f t="shared" si="161"/>
        <v>神圣</v>
      </c>
      <c r="I410" s="38">
        <f t="shared" si="162"/>
        <v>0.32457142857142857</v>
      </c>
      <c r="J410" s="33">
        <f t="shared" si="170"/>
        <v>134</v>
      </c>
      <c r="K410" s="33">
        <f t="shared" si="171"/>
        <v>249</v>
      </c>
      <c r="L410" s="33">
        <f t="shared" si="171"/>
        <v>46</v>
      </c>
      <c r="M410" s="33">
        <f t="shared" si="171"/>
        <v>168</v>
      </c>
      <c r="N410" s="33">
        <f t="shared" si="171"/>
        <v>176</v>
      </c>
      <c r="O410" s="33">
        <f t="shared" si="171"/>
        <v>199</v>
      </c>
      <c r="P410" s="33">
        <f t="shared" si="171"/>
        <v>88</v>
      </c>
      <c r="Q410" s="33">
        <f t="shared" si="171"/>
        <v>76</v>
      </c>
      <c r="R410" s="35">
        <f t="shared" si="163"/>
        <v>0.152</v>
      </c>
      <c r="S410" s="35">
        <f t="shared" si="164"/>
        <v>0.17600000000000002</v>
      </c>
      <c r="T410" s="35">
        <f t="shared" si="165"/>
        <v>9.5000000000000001E-2</v>
      </c>
      <c r="U410" s="35">
        <f t="shared" si="172"/>
        <v>0.15966386554621848</v>
      </c>
      <c r="V410" s="35">
        <f t="shared" si="172"/>
        <v>0.15966386554621848</v>
      </c>
      <c r="W410" s="35">
        <f t="shared" si="172"/>
        <v>0.15966386554621848</v>
      </c>
      <c r="X410" s="35">
        <f t="shared" si="172"/>
        <v>0.15966386554621848</v>
      </c>
      <c r="Y410" s="35">
        <f t="shared" si="172"/>
        <v>0.53488372093023262</v>
      </c>
      <c r="Z410" s="35">
        <f t="shared" si="172"/>
        <v>0.15966386554621848</v>
      </c>
      <c r="AA410" s="35">
        <f t="shared" si="172"/>
        <v>0.15966386554621848</v>
      </c>
    </row>
    <row r="411" spans="2:27" x14ac:dyDescent="0.2">
      <c r="B411" s="2">
        <v>409</v>
      </c>
      <c r="C411" s="2" t="str">
        <f t="shared" si="151"/>
        <v>c</v>
      </c>
      <c r="D411" s="29" t="s">
        <v>1</v>
      </c>
      <c r="E411" s="29" t="s">
        <v>219</v>
      </c>
      <c r="F411" s="2" t="s">
        <v>222</v>
      </c>
      <c r="G411" s="2">
        <f t="shared" si="169"/>
        <v>1</v>
      </c>
      <c r="H411" s="2" t="str">
        <f t="shared" si="161"/>
        <v>--</v>
      </c>
      <c r="I411" s="38">
        <f t="shared" si="162"/>
        <v>0</v>
      </c>
      <c r="J411" s="33">
        <f t="shared" si="170"/>
        <v>22</v>
      </c>
      <c r="K411" s="33">
        <f t="shared" si="171"/>
        <v>0</v>
      </c>
      <c r="L411" s="33">
        <f t="shared" si="171"/>
        <v>0</v>
      </c>
      <c r="M411" s="33">
        <f t="shared" si="171"/>
        <v>0</v>
      </c>
      <c r="N411" s="33">
        <f t="shared" si="171"/>
        <v>0</v>
      </c>
      <c r="O411" s="33">
        <f t="shared" si="171"/>
        <v>0</v>
      </c>
      <c r="P411" s="33">
        <f t="shared" si="171"/>
        <v>0</v>
      </c>
      <c r="Q411" s="33">
        <f t="shared" si="171"/>
        <v>0</v>
      </c>
      <c r="R411" s="35">
        <f t="shared" si="163"/>
        <v>0</v>
      </c>
      <c r="S411" s="35">
        <f t="shared" si="164"/>
        <v>0</v>
      </c>
      <c r="T411" s="35">
        <f t="shared" si="165"/>
        <v>0</v>
      </c>
      <c r="U411" s="35">
        <f t="shared" si="172"/>
        <v>0</v>
      </c>
      <c r="V411" s="35">
        <f t="shared" si="172"/>
        <v>0</v>
      </c>
      <c r="W411" s="35">
        <f t="shared" si="172"/>
        <v>0</v>
      </c>
      <c r="X411" s="35">
        <f t="shared" si="172"/>
        <v>0</v>
      </c>
      <c r="Y411" s="35">
        <f t="shared" si="172"/>
        <v>0</v>
      </c>
      <c r="Z411" s="35">
        <f t="shared" si="172"/>
        <v>0</v>
      </c>
      <c r="AA411" s="35">
        <f t="shared" si="172"/>
        <v>0</v>
      </c>
    </row>
    <row r="412" spans="2:27" x14ac:dyDescent="0.2">
      <c r="B412" s="2">
        <v>410</v>
      </c>
      <c r="C412" s="2" t="str">
        <f t="shared" si="151"/>
        <v>c</v>
      </c>
      <c r="D412" s="29" t="s">
        <v>1</v>
      </c>
      <c r="E412" s="29" t="s">
        <v>219</v>
      </c>
      <c r="F412" s="2" t="s">
        <v>222</v>
      </c>
      <c r="G412" s="2">
        <f t="shared" si="169"/>
        <v>2</v>
      </c>
      <c r="H412" s="2" t="str">
        <f t="shared" si="161"/>
        <v>--</v>
      </c>
      <c r="I412" s="38">
        <f t="shared" si="162"/>
        <v>0</v>
      </c>
      <c r="J412" s="33">
        <f t="shared" si="170"/>
        <v>45</v>
      </c>
      <c r="K412" s="33">
        <f t="shared" si="171"/>
        <v>0</v>
      </c>
      <c r="L412" s="33">
        <f t="shared" si="171"/>
        <v>0</v>
      </c>
      <c r="M412" s="33">
        <f t="shared" si="171"/>
        <v>0</v>
      </c>
      <c r="N412" s="33">
        <f t="shared" si="171"/>
        <v>0</v>
      </c>
      <c r="O412" s="33">
        <f t="shared" si="171"/>
        <v>0</v>
      </c>
      <c r="P412" s="33">
        <f t="shared" si="171"/>
        <v>0</v>
      </c>
      <c r="Q412" s="33">
        <f t="shared" si="171"/>
        <v>0</v>
      </c>
      <c r="R412" s="35">
        <f t="shared" si="163"/>
        <v>0</v>
      </c>
      <c r="S412" s="35">
        <f t="shared" si="164"/>
        <v>0</v>
      </c>
      <c r="T412" s="35">
        <f t="shared" si="165"/>
        <v>0</v>
      </c>
      <c r="U412" s="35">
        <f t="shared" si="172"/>
        <v>0</v>
      </c>
      <c r="V412" s="35">
        <f t="shared" si="172"/>
        <v>0</v>
      </c>
      <c r="W412" s="35">
        <f t="shared" si="172"/>
        <v>0</v>
      </c>
      <c r="X412" s="35">
        <f t="shared" si="172"/>
        <v>0</v>
      </c>
      <c r="Y412" s="35">
        <f t="shared" si="172"/>
        <v>0</v>
      </c>
      <c r="Z412" s="35">
        <f t="shared" si="172"/>
        <v>0</v>
      </c>
      <c r="AA412" s="35">
        <f t="shared" si="172"/>
        <v>0</v>
      </c>
    </row>
    <row r="413" spans="2:27" x14ac:dyDescent="0.2">
      <c r="B413" s="2">
        <v>411</v>
      </c>
      <c r="C413" s="2" t="str">
        <f t="shared" si="151"/>
        <v>c</v>
      </c>
      <c r="D413" s="29" t="s">
        <v>1</v>
      </c>
      <c r="E413" s="29" t="s">
        <v>219</v>
      </c>
      <c r="F413" s="2" t="s">
        <v>222</v>
      </c>
      <c r="G413" s="2">
        <f t="shared" si="169"/>
        <v>3</v>
      </c>
      <c r="H413" s="2" t="str">
        <f t="shared" si="161"/>
        <v>--</v>
      </c>
      <c r="I413" s="38">
        <f t="shared" si="162"/>
        <v>0</v>
      </c>
      <c r="J413" s="33">
        <f t="shared" ref="J413:J422" si="173">INT((1+VLOOKUP($F413,role_property_weight,getpos(J$2),FALSE))*(1+VLOOKUP($F413,drop_property_weight,getpos(J$2),FALSE))*VLOOKUP($E413,role_grow,getpos(J$2),FALSE)*$G413*10*VLOOKUP($C413,drop_grow1,4,FALSE))</f>
        <v>67</v>
      </c>
      <c r="K413" s="33">
        <f t="shared" ref="K413:Q422" si="174">INT((1+VLOOKUP($F413,role_property_weight,getpos(K$2),FALSE))*(1+VLOOKUP($F413,drop_property_weight,getpos(K$2),FALSE))*VLOOKUP($E413,role_grow,getpos(K$2),FALSE)*$G413*10*VLOOKUP($C413,drop_grow1,5,FALSE))</f>
        <v>0</v>
      </c>
      <c r="L413" s="33">
        <f t="shared" si="174"/>
        <v>0</v>
      </c>
      <c r="M413" s="33">
        <f t="shared" si="174"/>
        <v>0</v>
      </c>
      <c r="N413" s="33">
        <f t="shared" si="174"/>
        <v>0</v>
      </c>
      <c r="O413" s="33">
        <f t="shared" si="174"/>
        <v>0</v>
      </c>
      <c r="P413" s="33">
        <f t="shared" si="174"/>
        <v>0</v>
      </c>
      <c r="Q413" s="33">
        <f t="shared" si="174"/>
        <v>0</v>
      </c>
      <c r="R413" s="35">
        <f t="shared" si="163"/>
        <v>0</v>
      </c>
      <c r="S413" s="35">
        <f t="shared" si="164"/>
        <v>0</v>
      </c>
      <c r="T413" s="35">
        <f t="shared" si="165"/>
        <v>0</v>
      </c>
      <c r="U413" s="35">
        <f t="shared" ref="U413:AA422" si="175">1-200/(200+ROUND((1+VLOOKUP($F413,role_property_weight,getpos(U$2),FALSE))*VLOOKUP($E413,role_grow,getpos(U$2),FALSE)*$G413*10*VLOOKUP($C413,drop_grow1,5,FALSE),0))</f>
        <v>0</v>
      </c>
      <c r="V413" s="35">
        <f t="shared" si="175"/>
        <v>0</v>
      </c>
      <c r="W413" s="35">
        <f t="shared" si="175"/>
        <v>0</v>
      </c>
      <c r="X413" s="35">
        <f t="shared" si="175"/>
        <v>0</v>
      </c>
      <c r="Y413" s="35">
        <f t="shared" si="175"/>
        <v>0</v>
      </c>
      <c r="Z413" s="35">
        <f t="shared" si="175"/>
        <v>0</v>
      </c>
      <c r="AA413" s="35">
        <f t="shared" si="175"/>
        <v>0</v>
      </c>
    </row>
    <row r="414" spans="2:27" x14ac:dyDescent="0.2">
      <c r="B414" s="2">
        <v>412</v>
      </c>
      <c r="C414" s="2" t="str">
        <f t="shared" si="151"/>
        <v>c</v>
      </c>
      <c r="D414" s="29" t="s">
        <v>1</v>
      </c>
      <c r="E414" s="29" t="s">
        <v>219</v>
      </c>
      <c r="F414" s="2" t="s">
        <v>222</v>
      </c>
      <c r="G414" s="2">
        <f t="shared" si="169"/>
        <v>4</v>
      </c>
      <c r="H414" s="2" t="str">
        <f t="shared" si="161"/>
        <v>--</v>
      </c>
      <c r="I414" s="38">
        <f t="shared" si="162"/>
        <v>0</v>
      </c>
      <c r="J414" s="33">
        <f t="shared" si="173"/>
        <v>90</v>
      </c>
      <c r="K414" s="33">
        <f t="shared" si="174"/>
        <v>0</v>
      </c>
      <c r="L414" s="33">
        <f t="shared" si="174"/>
        <v>0</v>
      </c>
      <c r="M414" s="33">
        <f t="shared" si="174"/>
        <v>0</v>
      </c>
      <c r="N414" s="33">
        <f t="shared" si="174"/>
        <v>0</v>
      </c>
      <c r="O414" s="33">
        <f t="shared" si="174"/>
        <v>0</v>
      </c>
      <c r="P414" s="33">
        <f t="shared" si="174"/>
        <v>0</v>
      </c>
      <c r="Q414" s="33">
        <f t="shared" si="174"/>
        <v>0</v>
      </c>
      <c r="R414" s="35">
        <f t="shared" si="163"/>
        <v>0</v>
      </c>
      <c r="S414" s="35">
        <f t="shared" si="164"/>
        <v>0</v>
      </c>
      <c r="T414" s="35">
        <f t="shared" si="165"/>
        <v>0</v>
      </c>
      <c r="U414" s="35">
        <f t="shared" si="175"/>
        <v>0</v>
      </c>
      <c r="V414" s="35">
        <f t="shared" si="175"/>
        <v>0</v>
      </c>
      <c r="W414" s="35">
        <f t="shared" si="175"/>
        <v>0</v>
      </c>
      <c r="X414" s="35">
        <f t="shared" si="175"/>
        <v>0</v>
      </c>
      <c r="Y414" s="35">
        <f t="shared" si="175"/>
        <v>0</v>
      </c>
      <c r="Z414" s="35">
        <f t="shared" si="175"/>
        <v>0</v>
      </c>
      <c r="AA414" s="35">
        <f t="shared" si="175"/>
        <v>0</v>
      </c>
    </row>
    <row r="415" spans="2:27" x14ac:dyDescent="0.2">
      <c r="B415" s="2">
        <v>413</v>
      </c>
      <c r="C415" s="2" t="str">
        <f t="shared" si="151"/>
        <v>c</v>
      </c>
      <c r="D415" s="29" t="s">
        <v>1</v>
      </c>
      <c r="E415" s="29" t="s">
        <v>219</v>
      </c>
      <c r="F415" s="2" t="s">
        <v>222</v>
      </c>
      <c r="G415" s="2">
        <f t="shared" si="169"/>
        <v>5</v>
      </c>
      <c r="H415" s="2" t="str">
        <f t="shared" si="161"/>
        <v>--</v>
      </c>
      <c r="I415" s="38">
        <f t="shared" si="162"/>
        <v>0</v>
      </c>
      <c r="J415" s="33">
        <f t="shared" si="173"/>
        <v>112</v>
      </c>
      <c r="K415" s="33">
        <f t="shared" si="174"/>
        <v>0</v>
      </c>
      <c r="L415" s="33">
        <f t="shared" si="174"/>
        <v>0</v>
      </c>
      <c r="M415" s="33">
        <f t="shared" si="174"/>
        <v>0</v>
      </c>
      <c r="N415" s="33">
        <f t="shared" si="174"/>
        <v>0</v>
      </c>
      <c r="O415" s="33">
        <f t="shared" si="174"/>
        <v>0</v>
      </c>
      <c r="P415" s="33">
        <f t="shared" si="174"/>
        <v>0</v>
      </c>
      <c r="Q415" s="33">
        <f t="shared" si="174"/>
        <v>0</v>
      </c>
      <c r="R415" s="35">
        <f t="shared" si="163"/>
        <v>0</v>
      </c>
      <c r="S415" s="35">
        <f t="shared" si="164"/>
        <v>0</v>
      </c>
      <c r="T415" s="35">
        <f t="shared" si="165"/>
        <v>0</v>
      </c>
      <c r="U415" s="35">
        <f t="shared" si="175"/>
        <v>0</v>
      </c>
      <c r="V415" s="35">
        <f t="shared" si="175"/>
        <v>0</v>
      </c>
      <c r="W415" s="35">
        <f t="shared" si="175"/>
        <v>0</v>
      </c>
      <c r="X415" s="35">
        <f t="shared" si="175"/>
        <v>0</v>
      </c>
      <c r="Y415" s="35">
        <f t="shared" si="175"/>
        <v>0</v>
      </c>
      <c r="Z415" s="35">
        <f t="shared" si="175"/>
        <v>0</v>
      </c>
      <c r="AA415" s="35">
        <f t="shared" si="175"/>
        <v>0</v>
      </c>
    </row>
    <row r="416" spans="2:27" x14ac:dyDescent="0.2">
      <c r="B416" s="2">
        <v>414</v>
      </c>
      <c r="C416" s="2" t="str">
        <f t="shared" si="151"/>
        <v>c</v>
      </c>
      <c r="D416" s="29" t="s">
        <v>1</v>
      </c>
      <c r="E416" s="29" t="s">
        <v>219</v>
      </c>
      <c r="F416" s="2" t="s">
        <v>222</v>
      </c>
      <c r="G416" s="2">
        <f t="shared" si="169"/>
        <v>6</v>
      </c>
      <c r="H416" s="2" t="str">
        <f t="shared" si="161"/>
        <v>--</v>
      </c>
      <c r="I416" s="38">
        <f t="shared" si="162"/>
        <v>0</v>
      </c>
      <c r="J416" s="33">
        <f t="shared" si="173"/>
        <v>135</v>
      </c>
      <c r="K416" s="33">
        <f t="shared" si="174"/>
        <v>0</v>
      </c>
      <c r="L416" s="33">
        <f t="shared" si="174"/>
        <v>0</v>
      </c>
      <c r="M416" s="33">
        <f t="shared" si="174"/>
        <v>0</v>
      </c>
      <c r="N416" s="33">
        <f t="shared" si="174"/>
        <v>0</v>
      </c>
      <c r="O416" s="33">
        <f t="shared" si="174"/>
        <v>0</v>
      </c>
      <c r="P416" s="33">
        <f t="shared" si="174"/>
        <v>0</v>
      </c>
      <c r="Q416" s="33">
        <f t="shared" si="174"/>
        <v>0</v>
      </c>
      <c r="R416" s="35">
        <f t="shared" si="163"/>
        <v>0</v>
      </c>
      <c r="S416" s="35">
        <f t="shared" si="164"/>
        <v>0</v>
      </c>
      <c r="T416" s="35">
        <f t="shared" si="165"/>
        <v>0</v>
      </c>
      <c r="U416" s="35">
        <f t="shared" si="175"/>
        <v>0</v>
      </c>
      <c r="V416" s="35">
        <f t="shared" si="175"/>
        <v>0</v>
      </c>
      <c r="W416" s="35">
        <f t="shared" si="175"/>
        <v>0</v>
      </c>
      <c r="X416" s="35">
        <f t="shared" si="175"/>
        <v>0</v>
      </c>
      <c r="Y416" s="35">
        <f t="shared" si="175"/>
        <v>0</v>
      </c>
      <c r="Z416" s="35">
        <f t="shared" si="175"/>
        <v>0</v>
      </c>
      <c r="AA416" s="35">
        <f t="shared" si="175"/>
        <v>0</v>
      </c>
    </row>
    <row r="417" spans="2:27" x14ac:dyDescent="0.2">
      <c r="B417" s="2">
        <v>415</v>
      </c>
      <c r="C417" s="2" t="str">
        <f t="shared" si="151"/>
        <v>c</v>
      </c>
      <c r="D417" s="29" t="s">
        <v>1</v>
      </c>
      <c r="E417" s="29" t="s">
        <v>219</v>
      </c>
      <c r="F417" s="2" t="s">
        <v>222</v>
      </c>
      <c r="G417" s="2">
        <f t="shared" si="169"/>
        <v>7</v>
      </c>
      <c r="H417" s="2" t="str">
        <f t="shared" si="161"/>
        <v>--</v>
      </c>
      <c r="I417" s="38">
        <f t="shared" si="162"/>
        <v>0</v>
      </c>
      <c r="J417" s="33">
        <f t="shared" si="173"/>
        <v>157</v>
      </c>
      <c r="K417" s="33">
        <f t="shared" si="174"/>
        <v>0</v>
      </c>
      <c r="L417" s="33">
        <f t="shared" si="174"/>
        <v>0</v>
      </c>
      <c r="M417" s="33">
        <f t="shared" si="174"/>
        <v>0</v>
      </c>
      <c r="N417" s="33">
        <f t="shared" si="174"/>
        <v>0</v>
      </c>
      <c r="O417" s="33">
        <f t="shared" si="174"/>
        <v>0</v>
      </c>
      <c r="P417" s="33">
        <f t="shared" si="174"/>
        <v>0</v>
      </c>
      <c r="Q417" s="33">
        <f t="shared" si="174"/>
        <v>0</v>
      </c>
      <c r="R417" s="35">
        <f t="shared" si="163"/>
        <v>0</v>
      </c>
      <c r="S417" s="35">
        <f t="shared" si="164"/>
        <v>0</v>
      </c>
      <c r="T417" s="35">
        <f t="shared" si="165"/>
        <v>0</v>
      </c>
      <c r="U417" s="35">
        <f t="shared" si="175"/>
        <v>0</v>
      </c>
      <c r="V417" s="35">
        <f t="shared" si="175"/>
        <v>0</v>
      </c>
      <c r="W417" s="35">
        <f t="shared" si="175"/>
        <v>0</v>
      </c>
      <c r="X417" s="35">
        <f t="shared" si="175"/>
        <v>0</v>
      </c>
      <c r="Y417" s="35">
        <f t="shared" si="175"/>
        <v>0</v>
      </c>
      <c r="Z417" s="35">
        <f t="shared" si="175"/>
        <v>0</v>
      </c>
      <c r="AA417" s="35">
        <f t="shared" si="175"/>
        <v>0</v>
      </c>
    </row>
    <row r="418" spans="2:27" x14ac:dyDescent="0.2">
      <c r="B418" s="2">
        <v>416</v>
      </c>
      <c r="C418" s="2" t="str">
        <f t="shared" si="151"/>
        <v>c</v>
      </c>
      <c r="D418" s="29" t="s">
        <v>1</v>
      </c>
      <c r="E418" s="29" t="s">
        <v>219</v>
      </c>
      <c r="F418" s="2" t="s">
        <v>222</v>
      </c>
      <c r="G418" s="2">
        <f t="shared" si="169"/>
        <v>8</v>
      </c>
      <c r="H418" s="2" t="str">
        <f t="shared" si="161"/>
        <v>--</v>
      </c>
      <c r="I418" s="38">
        <f t="shared" si="162"/>
        <v>0</v>
      </c>
      <c r="J418" s="33">
        <f t="shared" si="173"/>
        <v>180</v>
      </c>
      <c r="K418" s="33">
        <f t="shared" si="174"/>
        <v>0</v>
      </c>
      <c r="L418" s="33">
        <f t="shared" si="174"/>
        <v>0</v>
      </c>
      <c r="M418" s="33">
        <f t="shared" si="174"/>
        <v>0</v>
      </c>
      <c r="N418" s="33">
        <f t="shared" si="174"/>
        <v>0</v>
      </c>
      <c r="O418" s="33">
        <f t="shared" si="174"/>
        <v>0</v>
      </c>
      <c r="P418" s="33">
        <f t="shared" si="174"/>
        <v>0</v>
      </c>
      <c r="Q418" s="33">
        <f t="shared" si="174"/>
        <v>0</v>
      </c>
      <c r="R418" s="35">
        <f t="shared" si="163"/>
        <v>0</v>
      </c>
      <c r="S418" s="35">
        <f t="shared" si="164"/>
        <v>0</v>
      </c>
      <c r="T418" s="35">
        <f t="shared" si="165"/>
        <v>0</v>
      </c>
      <c r="U418" s="35">
        <f t="shared" si="175"/>
        <v>0</v>
      </c>
      <c r="V418" s="35">
        <f t="shared" si="175"/>
        <v>0</v>
      </c>
      <c r="W418" s="35">
        <f t="shared" si="175"/>
        <v>0</v>
      </c>
      <c r="X418" s="35">
        <f t="shared" si="175"/>
        <v>0</v>
      </c>
      <c r="Y418" s="35">
        <f t="shared" si="175"/>
        <v>0</v>
      </c>
      <c r="Z418" s="35">
        <f t="shared" si="175"/>
        <v>0</v>
      </c>
      <c r="AA418" s="35">
        <f t="shared" si="175"/>
        <v>0</v>
      </c>
    </row>
    <row r="419" spans="2:27" x14ac:dyDescent="0.2">
      <c r="B419" s="2">
        <v>417</v>
      </c>
      <c r="C419" s="2" t="str">
        <f t="shared" si="151"/>
        <v>s</v>
      </c>
      <c r="D419" s="29" t="s">
        <v>1</v>
      </c>
      <c r="E419" s="29" t="s">
        <v>219</v>
      </c>
      <c r="F419" s="2" t="s">
        <v>223</v>
      </c>
      <c r="G419" s="2">
        <f t="shared" si="169"/>
        <v>1</v>
      </c>
      <c r="H419" s="2" t="str">
        <f t="shared" si="161"/>
        <v>火炎</v>
      </c>
      <c r="I419" s="38">
        <f t="shared" si="162"/>
        <v>0.08</v>
      </c>
      <c r="J419" s="33">
        <f t="shared" si="173"/>
        <v>15</v>
      </c>
      <c r="K419" s="33">
        <f t="shared" si="174"/>
        <v>14</v>
      </c>
      <c r="L419" s="33">
        <f t="shared" si="174"/>
        <v>4</v>
      </c>
      <c r="M419" s="33">
        <f t="shared" si="174"/>
        <v>8</v>
      </c>
      <c r="N419" s="33">
        <f t="shared" si="174"/>
        <v>13</v>
      </c>
      <c r="O419" s="33">
        <f t="shared" si="174"/>
        <v>13</v>
      </c>
      <c r="P419" s="33">
        <f t="shared" si="174"/>
        <v>6</v>
      </c>
      <c r="Q419" s="33">
        <f t="shared" si="174"/>
        <v>5</v>
      </c>
      <c r="R419" s="35">
        <f t="shared" si="163"/>
        <v>0.01</v>
      </c>
      <c r="S419" s="35">
        <f t="shared" si="164"/>
        <v>1.2E-2</v>
      </c>
      <c r="T419" s="35">
        <f t="shared" si="165"/>
        <v>6.2500000000000003E-3</v>
      </c>
      <c r="U419" s="35">
        <f t="shared" si="175"/>
        <v>1.4778325123152691E-2</v>
      </c>
      <c r="V419" s="35">
        <f t="shared" si="175"/>
        <v>1.4778325123152691E-2</v>
      </c>
      <c r="W419" s="35">
        <f t="shared" si="175"/>
        <v>1.4778325123152691E-2</v>
      </c>
      <c r="X419" s="35">
        <f t="shared" si="175"/>
        <v>7.8341013824884786E-2</v>
      </c>
      <c r="Y419" s="35">
        <f t="shared" si="175"/>
        <v>1.4778325123152691E-2</v>
      </c>
      <c r="Z419" s="35">
        <f t="shared" si="175"/>
        <v>1.4778325123152691E-2</v>
      </c>
      <c r="AA419" s="35">
        <f t="shared" si="175"/>
        <v>1.4778325123152691E-2</v>
      </c>
    </row>
    <row r="420" spans="2:27" x14ac:dyDescent="0.2">
      <c r="B420" s="2">
        <v>418</v>
      </c>
      <c r="C420" s="2" t="str">
        <f t="shared" ref="C420:C483" si="176">C388</f>
        <v>s</v>
      </c>
      <c r="D420" s="29" t="s">
        <v>1</v>
      </c>
      <c r="E420" s="29" t="s">
        <v>219</v>
      </c>
      <c r="F420" s="2" t="s">
        <v>223</v>
      </c>
      <c r="G420" s="2">
        <f t="shared" si="169"/>
        <v>2</v>
      </c>
      <c r="H420" s="2" t="str">
        <f t="shared" si="161"/>
        <v>火炎</v>
      </c>
      <c r="I420" s="38">
        <f t="shared" si="162"/>
        <v>0.08</v>
      </c>
      <c r="J420" s="33">
        <f t="shared" si="173"/>
        <v>30</v>
      </c>
      <c r="K420" s="33">
        <f t="shared" si="174"/>
        <v>29</v>
      </c>
      <c r="L420" s="33">
        <f t="shared" si="174"/>
        <v>8</v>
      </c>
      <c r="M420" s="33">
        <f t="shared" si="174"/>
        <v>16</v>
      </c>
      <c r="N420" s="33">
        <f t="shared" si="174"/>
        <v>27</v>
      </c>
      <c r="O420" s="33">
        <f t="shared" si="174"/>
        <v>27</v>
      </c>
      <c r="P420" s="33">
        <f t="shared" si="174"/>
        <v>12</v>
      </c>
      <c r="Q420" s="33">
        <f t="shared" si="174"/>
        <v>11</v>
      </c>
      <c r="R420" s="35">
        <f t="shared" si="163"/>
        <v>2.2000000000000002E-2</v>
      </c>
      <c r="S420" s="35">
        <f t="shared" si="164"/>
        <v>2.4E-2</v>
      </c>
      <c r="T420" s="35">
        <f t="shared" si="165"/>
        <v>1.375E-2</v>
      </c>
      <c r="U420" s="35">
        <f t="shared" si="175"/>
        <v>2.9126213592232997E-2</v>
      </c>
      <c r="V420" s="35">
        <f t="shared" si="175"/>
        <v>2.9126213592232997E-2</v>
      </c>
      <c r="W420" s="35">
        <f t="shared" si="175"/>
        <v>2.9126213592232997E-2</v>
      </c>
      <c r="X420" s="35">
        <f t="shared" si="175"/>
        <v>0.14893617021276595</v>
      </c>
      <c r="Y420" s="35">
        <f t="shared" si="175"/>
        <v>2.9126213592232997E-2</v>
      </c>
      <c r="Z420" s="35">
        <f t="shared" si="175"/>
        <v>2.9126213592232997E-2</v>
      </c>
      <c r="AA420" s="35">
        <f t="shared" si="175"/>
        <v>2.9126213592232997E-2</v>
      </c>
    </row>
    <row r="421" spans="2:27" x14ac:dyDescent="0.2">
      <c r="B421" s="2">
        <v>419</v>
      </c>
      <c r="C421" s="2" t="str">
        <f t="shared" si="176"/>
        <v>s</v>
      </c>
      <c r="D421" s="29" t="s">
        <v>1</v>
      </c>
      <c r="E421" s="29" t="s">
        <v>219</v>
      </c>
      <c r="F421" s="2" t="s">
        <v>223</v>
      </c>
      <c r="G421" s="2">
        <f t="shared" si="169"/>
        <v>3</v>
      </c>
      <c r="H421" s="2" t="str">
        <f t="shared" si="161"/>
        <v>火炎</v>
      </c>
      <c r="I421" s="38">
        <f t="shared" si="162"/>
        <v>0.08</v>
      </c>
      <c r="J421" s="33">
        <f t="shared" si="173"/>
        <v>46</v>
      </c>
      <c r="K421" s="33">
        <f t="shared" si="174"/>
        <v>44</v>
      </c>
      <c r="L421" s="33">
        <f t="shared" si="174"/>
        <v>12</v>
      </c>
      <c r="M421" s="33">
        <f t="shared" si="174"/>
        <v>24</v>
      </c>
      <c r="N421" s="33">
        <f t="shared" si="174"/>
        <v>41</v>
      </c>
      <c r="O421" s="33">
        <f t="shared" si="174"/>
        <v>41</v>
      </c>
      <c r="P421" s="33">
        <f t="shared" si="174"/>
        <v>18</v>
      </c>
      <c r="Q421" s="33">
        <f t="shared" si="174"/>
        <v>17</v>
      </c>
      <c r="R421" s="35">
        <f t="shared" si="163"/>
        <v>3.4000000000000002E-2</v>
      </c>
      <c r="S421" s="35">
        <f t="shared" si="164"/>
        <v>3.6000000000000004E-2</v>
      </c>
      <c r="T421" s="35">
        <f t="shared" si="165"/>
        <v>2.1250000000000002E-2</v>
      </c>
      <c r="U421" s="35">
        <f t="shared" si="175"/>
        <v>4.3062200956937802E-2</v>
      </c>
      <c r="V421" s="35">
        <f t="shared" si="175"/>
        <v>4.3062200956937802E-2</v>
      </c>
      <c r="W421" s="35">
        <f t="shared" si="175"/>
        <v>4.3062200956937802E-2</v>
      </c>
      <c r="X421" s="35">
        <f t="shared" si="175"/>
        <v>0.20634920634920639</v>
      </c>
      <c r="Y421" s="35">
        <f t="shared" si="175"/>
        <v>4.3062200956937802E-2</v>
      </c>
      <c r="Z421" s="35">
        <f t="shared" si="175"/>
        <v>4.3062200956937802E-2</v>
      </c>
      <c r="AA421" s="35">
        <f t="shared" si="175"/>
        <v>4.3062200956937802E-2</v>
      </c>
    </row>
    <row r="422" spans="2:27" x14ac:dyDescent="0.2">
      <c r="B422" s="2">
        <v>420</v>
      </c>
      <c r="C422" s="2" t="str">
        <f t="shared" si="176"/>
        <v>s</v>
      </c>
      <c r="D422" s="29" t="s">
        <v>1</v>
      </c>
      <c r="E422" s="29" t="s">
        <v>219</v>
      </c>
      <c r="F422" s="2" t="s">
        <v>223</v>
      </c>
      <c r="G422" s="2">
        <f t="shared" si="169"/>
        <v>4</v>
      </c>
      <c r="H422" s="2" t="str">
        <f t="shared" si="161"/>
        <v>火炎</v>
      </c>
      <c r="I422" s="38">
        <f t="shared" si="162"/>
        <v>9.285714285714286E-2</v>
      </c>
      <c r="J422" s="33">
        <f t="shared" si="173"/>
        <v>61</v>
      </c>
      <c r="K422" s="33">
        <f t="shared" si="174"/>
        <v>59</v>
      </c>
      <c r="L422" s="33">
        <f t="shared" si="174"/>
        <v>16</v>
      </c>
      <c r="M422" s="33">
        <f t="shared" si="174"/>
        <v>32</v>
      </c>
      <c r="N422" s="33">
        <f t="shared" si="174"/>
        <v>55</v>
      </c>
      <c r="O422" s="33">
        <f t="shared" si="174"/>
        <v>55</v>
      </c>
      <c r="P422" s="33">
        <f t="shared" si="174"/>
        <v>24</v>
      </c>
      <c r="Q422" s="33">
        <f t="shared" si="174"/>
        <v>23</v>
      </c>
      <c r="R422" s="35">
        <f t="shared" si="163"/>
        <v>4.5999999999999999E-2</v>
      </c>
      <c r="S422" s="35">
        <f t="shared" si="164"/>
        <v>4.8000000000000001E-2</v>
      </c>
      <c r="T422" s="35">
        <f t="shared" si="165"/>
        <v>2.8750000000000001E-2</v>
      </c>
      <c r="U422" s="35">
        <f t="shared" si="175"/>
        <v>5.6603773584905648E-2</v>
      </c>
      <c r="V422" s="35">
        <f t="shared" si="175"/>
        <v>5.6603773584905648E-2</v>
      </c>
      <c r="W422" s="35">
        <f t="shared" si="175"/>
        <v>5.6603773584905648E-2</v>
      </c>
      <c r="X422" s="35">
        <f t="shared" si="175"/>
        <v>0.25650557620817849</v>
      </c>
      <c r="Y422" s="35">
        <f t="shared" si="175"/>
        <v>5.6603773584905648E-2</v>
      </c>
      <c r="Z422" s="35">
        <f t="shared" si="175"/>
        <v>5.6603773584905648E-2</v>
      </c>
      <c r="AA422" s="35">
        <f t="shared" si="175"/>
        <v>5.6603773584905648E-2</v>
      </c>
    </row>
    <row r="423" spans="2:27" x14ac:dyDescent="0.2">
      <c r="B423" s="2">
        <v>421</v>
      </c>
      <c r="C423" s="2" t="str">
        <f t="shared" si="176"/>
        <v>s</v>
      </c>
      <c r="D423" s="29" t="s">
        <v>1</v>
      </c>
      <c r="E423" s="29" t="s">
        <v>219</v>
      </c>
      <c r="F423" s="2" t="s">
        <v>223</v>
      </c>
      <c r="G423" s="2">
        <f t="shared" si="169"/>
        <v>5</v>
      </c>
      <c r="H423" s="2" t="str">
        <f t="shared" si="161"/>
        <v>火炎</v>
      </c>
      <c r="I423" s="38">
        <f t="shared" si="162"/>
        <v>0.11599999999999999</v>
      </c>
      <c r="J423" s="33">
        <f t="shared" ref="J423:J432" si="177">INT((1+VLOOKUP($F423,role_property_weight,getpos(J$2),FALSE))*(1+VLOOKUP($F423,drop_property_weight,getpos(J$2),FALSE))*VLOOKUP($E423,role_grow,getpos(J$2),FALSE)*$G423*10*VLOOKUP($C423,drop_grow1,4,FALSE))</f>
        <v>76</v>
      </c>
      <c r="K423" s="33">
        <f t="shared" ref="K423:Q432" si="178">INT((1+VLOOKUP($F423,role_property_weight,getpos(K$2),FALSE))*(1+VLOOKUP($F423,drop_property_weight,getpos(K$2),FALSE))*VLOOKUP($E423,role_grow,getpos(K$2),FALSE)*$G423*10*VLOOKUP($C423,drop_grow1,5,FALSE))</f>
        <v>74</v>
      </c>
      <c r="L423" s="33">
        <f t="shared" si="178"/>
        <v>20</v>
      </c>
      <c r="M423" s="33">
        <f t="shared" si="178"/>
        <v>40</v>
      </c>
      <c r="N423" s="33">
        <f t="shared" si="178"/>
        <v>69</v>
      </c>
      <c r="O423" s="33">
        <f t="shared" si="178"/>
        <v>69</v>
      </c>
      <c r="P423" s="33">
        <f t="shared" si="178"/>
        <v>30</v>
      </c>
      <c r="Q423" s="33">
        <f t="shared" si="178"/>
        <v>28</v>
      </c>
      <c r="R423" s="35">
        <f t="shared" si="163"/>
        <v>5.5999999999999994E-2</v>
      </c>
      <c r="S423" s="35">
        <f t="shared" si="164"/>
        <v>0.06</v>
      </c>
      <c r="T423" s="35">
        <f t="shared" si="165"/>
        <v>3.5000000000000003E-2</v>
      </c>
      <c r="U423" s="35">
        <f t="shared" ref="U423:AA432" si="179">1-200/(200+ROUND((1+VLOOKUP($F423,role_property_weight,getpos(U$2),FALSE))*VLOOKUP($E423,role_grow,getpos(U$2),FALSE)*$G423*10*VLOOKUP($C423,drop_grow1,5,FALSE),0))</f>
        <v>6.5420560747663559E-2</v>
      </c>
      <c r="V423" s="35">
        <f t="shared" si="179"/>
        <v>6.5420560747663559E-2</v>
      </c>
      <c r="W423" s="35">
        <f t="shared" si="179"/>
        <v>6.5420560747663559E-2</v>
      </c>
      <c r="X423" s="35">
        <f t="shared" si="179"/>
        <v>0.30069930069930073</v>
      </c>
      <c r="Y423" s="35">
        <f t="shared" si="179"/>
        <v>6.5420560747663559E-2</v>
      </c>
      <c r="Z423" s="35">
        <f t="shared" si="179"/>
        <v>6.5420560747663559E-2</v>
      </c>
      <c r="AA423" s="35">
        <f t="shared" si="179"/>
        <v>6.5420560747663559E-2</v>
      </c>
    </row>
    <row r="424" spans="2:27" x14ac:dyDescent="0.2">
      <c r="B424" s="2">
        <v>422</v>
      </c>
      <c r="C424" s="2" t="str">
        <f t="shared" si="176"/>
        <v>s</v>
      </c>
      <c r="D424" s="29" t="s">
        <v>1</v>
      </c>
      <c r="E424" s="29" t="s">
        <v>219</v>
      </c>
      <c r="F424" s="2" t="s">
        <v>223</v>
      </c>
      <c r="G424" s="2">
        <f t="shared" si="169"/>
        <v>6</v>
      </c>
      <c r="H424" s="2" t="str">
        <f t="shared" si="161"/>
        <v>火炎</v>
      </c>
      <c r="I424" s="38">
        <f t="shared" si="162"/>
        <v>0.13914285714285715</v>
      </c>
      <c r="J424" s="33">
        <f t="shared" si="177"/>
        <v>92</v>
      </c>
      <c r="K424" s="33">
        <f t="shared" si="178"/>
        <v>89</v>
      </c>
      <c r="L424" s="33">
        <f t="shared" si="178"/>
        <v>24</v>
      </c>
      <c r="M424" s="33">
        <f t="shared" si="178"/>
        <v>48</v>
      </c>
      <c r="N424" s="33">
        <f t="shared" si="178"/>
        <v>82</v>
      </c>
      <c r="O424" s="33">
        <f t="shared" si="178"/>
        <v>82</v>
      </c>
      <c r="P424" s="33">
        <f t="shared" si="178"/>
        <v>36</v>
      </c>
      <c r="Q424" s="33">
        <f t="shared" si="178"/>
        <v>34</v>
      </c>
      <c r="R424" s="35">
        <f t="shared" si="163"/>
        <v>6.8000000000000005E-2</v>
      </c>
      <c r="S424" s="35">
        <f t="shared" si="164"/>
        <v>7.2000000000000008E-2</v>
      </c>
      <c r="T424" s="35">
        <f t="shared" si="165"/>
        <v>4.2500000000000003E-2</v>
      </c>
      <c r="U424" s="35">
        <f t="shared" si="179"/>
        <v>7.8341013824884786E-2</v>
      </c>
      <c r="V424" s="35">
        <f t="shared" si="179"/>
        <v>7.8341013824884786E-2</v>
      </c>
      <c r="W424" s="35">
        <f t="shared" si="179"/>
        <v>7.8341013824884786E-2</v>
      </c>
      <c r="X424" s="35">
        <f t="shared" si="179"/>
        <v>0.34210526315789469</v>
      </c>
      <c r="Y424" s="35">
        <f t="shared" si="179"/>
        <v>7.8341013824884786E-2</v>
      </c>
      <c r="Z424" s="35">
        <f t="shared" si="179"/>
        <v>7.8341013824884786E-2</v>
      </c>
      <c r="AA424" s="35">
        <f t="shared" si="179"/>
        <v>7.8341013824884786E-2</v>
      </c>
    </row>
    <row r="425" spans="2:27" x14ac:dyDescent="0.2">
      <c r="B425" s="2">
        <v>423</v>
      </c>
      <c r="C425" s="2" t="str">
        <f t="shared" si="176"/>
        <v>s</v>
      </c>
      <c r="D425" s="29" t="s">
        <v>1</v>
      </c>
      <c r="E425" s="29" t="s">
        <v>219</v>
      </c>
      <c r="F425" s="2" t="s">
        <v>223</v>
      </c>
      <c r="G425" s="2">
        <f t="shared" si="169"/>
        <v>7</v>
      </c>
      <c r="H425" s="2" t="str">
        <f t="shared" si="161"/>
        <v>火炎</v>
      </c>
      <c r="I425" s="38">
        <f t="shared" si="162"/>
        <v>0.16285714285714284</v>
      </c>
      <c r="J425" s="33">
        <f t="shared" si="177"/>
        <v>107</v>
      </c>
      <c r="K425" s="33">
        <f t="shared" si="178"/>
        <v>104</v>
      </c>
      <c r="L425" s="33">
        <f t="shared" si="178"/>
        <v>29</v>
      </c>
      <c r="M425" s="33">
        <f t="shared" si="178"/>
        <v>56</v>
      </c>
      <c r="N425" s="33">
        <f t="shared" si="178"/>
        <v>96</v>
      </c>
      <c r="O425" s="33">
        <f t="shared" si="178"/>
        <v>96</v>
      </c>
      <c r="P425" s="33">
        <f t="shared" si="178"/>
        <v>42</v>
      </c>
      <c r="Q425" s="33">
        <f t="shared" si="178"/>
        <v>40</v>
      </c>
      <c r="R425" s="35">
        <f t="shared" si="163"/>
        <v>0.08</v>
      </c>
      <c r="S425" s="35">
        <f t="shared" si="164"/>
        <v>8.4000000000000005E-2</v>
      </c>
      <c r="T425" s="35">
        <f t="shared" si="165"/>
        <v>0.05</v>
      </c>
      <c r="U425" s="35">
        <f t="shared" si="179"/>
        <v>9.0909090909090939E-2</v>
      </c>
      <c r="V425" s="35">
        <f t="shared" si="179"/>
        <v>9.0909090909090939E-2</v>
      </c>
      <c r="W425" s="35">
        <f t="shared" si="179"/>
        <v>9.0909090909090939E-2</v>
      </c>
      <c r="X425" s="35">
        <f t="shared" si="179"/>
        <v>0.37694704049844241</v>
      </c>
      <c r="Y425" s="35">
        <f t="shared" si="179"/>
        <v>9.0909090909090939E-2</v>
      </c>
      <c r="Z425" s="35">
        <f t="shared" si="179"/>
        <v>9.0909090909090939E-2</v>
      </c>
      <c r="AA425" s="35">
        <f t="shared" si="179"/>
        <v>9.0909090909090939E-2</v>
      </c>
    </row>
    <row r="426" spans="2:27" x14ac:dyDescent="0.2">
      <c r="B426" s="2">
        <v>424</v>
      </c>
      <c r="C426" s="2" t="str">
        <f t="shared" si="176"/>
        <v>s</v>
      </c>
      <c r="D426" s="29" t="s">
        <v>1</v>
      </c>
      <c r="E426" s="29" t="s">
        <v>219</v>
      </c>
      <c r="F426" s="2" t="s">
        <v>223</v>
      </c>
      <c r="G426" s="2">
        <f t="shared" si="169"/>
        <v>8</v>
      </c>
      <c r="H426" s="2" t="str">
        <f t="shared" si="161"/>
        <v>火炎</v>
      </c>
      <c r="I426" s="38">
        <f t="shared" si="162"/>
        <v>0.1862857142857143</v>
      </c>
      <c r="J426" s="33">
        <f t="shared" si="177"/>
        <v>122</v>
      </c>
      <c r="K426" s="33">
        <f t="shared" si="178"/>
        <v>119</v>
      </c>
      <c r="L426" s="33">
        <f t="shared" si="178"/>
        <v>33</v>
      </c>
      <c r="M426" s="33">
        <f t="shared" si="178"/>
        <v>64</v>
      </c>
      <c r="N426" s="33">
        <f t="shared" si="178"/>
        <v>110</v>
      </c>
      <c r="O426" s="33">
        <f t="shared" si="178"/>
        <v>110</v>
      </c>
      <c r="P426" s="33">
        <f t="shared" si="178"/>
        <v>48</v>
      </c>
      <c r="Q426" s="33">
        <f t="shared" si="178"/>
        <v>46</v>
      </c>
      <c r="R426" s="35">
        <f t="shared" si="163"/>
        <v>9.1999999999999998E-2</v>
      </c>
      <c r="S426" s="35">
        <f t="shared" si="164"/>
        <v>9.6000000000000002E-2</v>
      </c>
      <c r="T426" s="35">
        <f t="shared" si="165"/>
        <v>5.7500000000000002E-2</v>
      </c>
      <c r="U426" s="35">
        <f t="shared" si="179"/>
        <v>0.10313901345291476</v>
      </c>
      <c r="V426" s="35">
        <f t="shared" si="179"/>
        <v>0.10313901345291476</v>
      </c>
      <c r="W426" s="35">
        <f t="shared" si="179"/>
        <v>0.10313901345291476</v>
      </c>
      <c r="X426" s="35">
        <f t="shared" si="179"/>
        <v>0.40828402366863903</v>
      </c>
      <c r="Y426" s="35">
        <f t="shared" si="179"/>
        <v>0.10313901345291476</v>
      </c>
      <c r="Z426" s="35">
        <f t="shared" si="179"/>
        <v>0.10313901345291476</v>
      </c>
      <c r="AA426" s="35">
        <f t="shared" si="179"/>
        <v>0.10313901345291476</v>
      </c>
    </row>
    <row r="427" spans="2:27" x14ac:dyDescent="0.2">
      <c r="B427" s="2">
        <v>425</v>
      </c>
      <c r="C427" s="2" t="str">
        <f t="shared" si="176"/>
        <v>a</v>
      </c>
      <c r="D427" s="29" t="s">
        <v>1</v>
      </c>
      <c r="E427" s="29" t="s">
        <v>219</v>
      </c>
      <c r="F427" s="2" t="s">
        <v>223</v>
      </c>
      <c r="G427" s="2">
        <f t="shared" si="169"/>
        <v>1</v>
      </c>
      <c r="H427" s="2" t="str">
        <f t="shared" si="161"/>
        <v>火炎</v>
      </c>
      <c r="I427" s="38">
        <f t="shared" si="162"/>
        <v>0.08</v>
      </c>
      <c r="J427" s="33">
        <f t="shared" si="177"/>
        <v>11</v>
      </c>
      <c r="K427" s="33">
        <f t="shared" si="178"/>
        <v>16</v>
      </c>
      <c r="L427" s="33">
        <f t="shared" si="178"/>
        <v>4</v>
      </c>
      <c r="M427" s="33">
        <f t="shared" si="178"/>
        <v>8</v>
      </c>
      <c r="N427" s="33">
        <f t="shared" si="178"/>
        <v>15</v>
      </c>
      <c r="O427" s="33">
        <f t="shared" si="178"/>
        <v>15</v>
      </c>
      <c r="P427" s="33">
        <f t="shared" si="178"/>
        <v>6</v>
      </c>
      <c r="Q427" s="33">
        <f t="shared" si="178"/>
        <v>6</v>
      </c>
      <c r="R427" s="35">
        <f t="shared" si="163"/>
        <v>1.2E-2</v>
      </c>
      <c r="S427" s="35">
        <f t="shared" si="164"/>
        <v>1.2E-2</v>
      </c>
      <c r="T427" s="35">
        <f t="shared" si="165"/>
        <v>7.4999999999999997E-3</v>
      </c>
      <c r="U427" s="35">
        <f t="shared" si="179"/>
        <v>1.4778325123152691E-2</v>
      </c>
      <c r="V427" s="35">
        <f t="shared" si="179"/>
        <v>1.4778325123152691E-2</v>
      </c>
      <c r="W427" s="35">
        <f t="shared" si="179"/>
        <v>1.4778325123152691E-2</v>
      </c>
      <c r="X427" s="35">
        <f t="shared" si="179"/>
        <v>8.6757990867579959E-2</v>
      </c>
      <c r="Y427" s="35">
        <f t="shared" si="179"/>
        <v>1.4778325123152691E-2</v>
      </c>
      <c r="Z427" s="35">
        <f t="shared" si="179"/>
        <v>1.4778325123152691E-2</v>
      </c>
      <c r="AA427" s="35">
        <f t="shared" si="179"/>
        <v>1.4778325123152691E-2</v>
      </c>
    </row>
    <row r="428" spans="2:27" x14ac:dyDescent="0.2">
      <c r="B428" s="2">
        <v>426</v>
      </c>
      <c r="C428" s="2" t="str">
        <f t="shared" si="176"/>
        <v>a</v>
      </c>
      <c r="D428" s="29" t="s">
        <v>1</v>
      </c>
      <c r="E428" s="29" t="s">
        <v>219</v>
      </c>
      <c r="F428" s="2" t="s">
        <v>223</v>
      </c>
      <c r="G428" s="2">
        <f t="shared" si="169"/>
        <v>2</v>
      </c>
      <c r="H428" s="2" t="str">
        <f t="shared" si="161"/>
        <v>火炎</v>
      </c>
      <c r="I428" s="38">
        <f t="shared" si="162"/>
        <v>0.08</v>
      </c>
      <c r="J428" s="33">
        <f t="shared" si="177"/>
        <v>23</v>
      </c>
      <c r="K428" s="33">
        <f t="shared" si="178"/>
        <v>33</v>
      </c>
      <c r="L428" s="33">
        <f t="shared" si="178"/>
        <v>9</v>
      </c>
      <c r="M428" s="33">
        <f t="shared" si="178"/>
        <v>17</v>
      </c>
      <c r="N428" s="33">
        <f t="shared" si="178"/>
        <v>30</v>
      </c>
      <c r="O428" s="33">
        <f t="shared" si="178"/>
        <v>30</v>
      </c>
      <c r="P428" s="33">
        <f t="shared" si="178"/>
        <v>13</v>
      </c>
      <c r="Q428" s="33">
        <f t="shared" si="178"/>
        <v>12</v>
      </c>
      <c r="R428" s="35">
        <f t="shared" si="163"/>
        <v>2.4E-2</v>
      </c>
      <c r="S428" s="35">
        <f t="shared" si="164"/>
        <v>2.6000000000000002E-2</v>
      </c>
      <c r="T428" s="35">
        <f t="shared" si="165"/>
        <v>1.4999999999999999E-2</v>
      </c>
      <c r="U428" s="35">
        <f t="shared" si="179"/>
        <v>2.9126213592232997E-2</v>
      </c>
      <c r="V428" s="35">
        <f t="shared" si="179"/>
        <v>2.9126213592232997E-2</v>
      </c>
      <c r="W428" s="35">
        <f t="shared" si="179"/>
        <v>2.9126213592232997E-2</v>
      </c>
      <c r="X428" s="35">
        <f t="shared" si="179"/>
        <v>0.15966386554621848</v>
      </c>
      <c r="Y428" s="35">
        <f t="shared" si="179"/>
        <v>2.9126213592232997E-2</v>
      </c>
      <c r="Z428" s="35">
        <f t="shared" si="179"/>
        <v>2.9126213592232997E-2</v>
      </c>
      <c r="AA428" s="35">
        <f t="shared" si="179"/>
        <v>2.9126213592232997E-2</v>
      </c>
    </row>
    <row r="429" spans="2:27" x14ac:dyDescent="0.2">
      <c r="B429" s="2">
        <v>427</v>
      </c>
      <c r="C429" s="2" t="str">
        <f t="shared" si="176"/>
        <v>a</v>
      </c>
      <c r="D429" s="29" t="s">
        <v>1</v>
      </c>
      <c r="E429" s="29" t="s">
        <v>219</v>
      </c>
      <c r="F429" s="2" t="s">
        <v>223</v>
      </c>
      <c r="G429" s="2">
        <f t="shared" si="169"/>
        <v>3</v>
      </c>
      <c r="H429" s="2" t="str">
        <f t="shared" si="161"/>
        <v>火炎</v>
      </c>
      <c r="I429" s="38">
        <f t="shared" si="162"/>
        <v>0.08</v>
      </c>
      <c r="J429" s="33">
        <f t="shared" si="177"/>
        <v>34</v>
      </c>
      <c r="K429" s="33">
        <f t="shared" si="178"/>
        <v>49</v>
      </c>
      <c r="L429" s="33">
        <f t="shared" si="178"/>
        <v>13</v>
      </c>
      <c r="M429" s="33">
        <f t="shared" si="178"/>
        <v>26</v>
      </c>
      <c r="N429" s="33">
        <f t="shared" si="178"/>
        <v>46</v>
      </c>
      <c r="O429" s="33">
        <f t="shared" si="178"/>
        <v>46</v>
      </c>
      <c r="P429" s="33">
        <f t="shared" si="178"/>
        <v>20</v>
      </c>
      <c r="Q429" s="33">
        <f t="shared" si="178"/>
        <v>19</v>
      </c>
      <c r="R429" s="35">
        <f t="shared" si="163"/>
        <v>3.7999999999999999E-2</v>
      </c>
      <c r="S429" s="35">
        <f t="shared" si="164"/>
        <v>0.04</v>
      </c>
      <c r="T429" s="35">
        <f t="shared" si="165"/>
        <v>2.375E-2</v>
      </c>
      <c r="U429" s="35">
        <f t="shared" si="179"/>
        <v>4.7619047619047672E-2</v>
      </c>
      <c r="V429" s="35">
        <f t="shared" si="179"/>
        <v>4.7619047619047672E-2</v>
      </c>
      <c r="W429" s="35">
        <f t="shared" si="179"/>
        <v>4.7619047619047672E-2</v>
      </c>
      <c r="X429" s="35">
        <f t="shared" si="179"/>
        <v>0.22480620155038755</v>
      </c>
      <c r="Y429" s="35">
        <f t="shared" si="179"/>
        <v>4.7619047619047672E-2</v>
      </c>
      <c r="Z429" s="35">
        <f t="shared" si="179"/>
        <v>4.7619047619047672E-2</v>
      </c>
      <c r="AA429" s="35">
        <f t="shared" si="179"/>
        <v>4.7619047619047672E-2</v>
      </c>
    </row>
    <row r="430" spans="2:27" x14ac:dyDescent="0.2">
      <c r="B430" s="2">
        <v>428</v>
      </c>
      <c r="C430" s="2" t="str">
        <f t="shared" si="176"/>
        <v>a</v>
      </c>
      <c r="D430" s="29" t="s">
        <v>1</v>
      </c>
      <c r="E430" s="29" t="s">
        <v>219</v>
      </c>
      <c r="F430" s="2" t="s">
        <v>223</v>
      </c>
      <c r="G430" s="2">
        <f t="shared" si="169"/>
        <v>4</v>
      </c>
      <c r="H430" s="2" t="str">
        <f t="shared" si="161"/>
        <v>火炎</v>
      </c>
      <c r="I430" s="38">
        <f t="shared" si="162"/>
        <v>9.6571428571428572E-2</v>
      </c>
      <c r="J430" s="33">
        <f t="shared" si="177"/>
        <v>46</v>
      </c>
      <c r="K430" s="33">
        <f t="shared" si="178"/>
        <v>66</v>
      </c>
      <c r="L430" s="33">
        <f t="shared" si="178"/>
        <v>18</v>
      </c>
      <c r="M430" s="33">
        <f t="shared" si="178"/>
        <v>35</v>
      </c>
      <c r="N430" s="33">
        <f t="shared" si="178"/>
        <v>61</v>
      </c>
      <c r="O430" s="33">
        <f t="shared" si="178"/>
        <v>61</v>
      </c>
      <c r="P430" s="33">
        <f t="shared" si="178"/>
        <v>26</v>
      </c>
      <c r="Q430" s="33">
        <f t="shared" si="178"/>
        <v>25</v>
      </c>
      <c r="R430" s="35">
        <f t="shared" si="163"/>
        <v>0.05</v>
      </c>
      <c r="S430" s="35">
        <f t="shared" si="164"/>
        <v>5.2000000000000005E-2</v>
      </c>
      <c r="T430" s="35">
        <f t="shared" si="165"/>
        <v>3.125E-2</v>
      </c>
      <c r="U430" s="35">
        <f t="shared" si="179"/>
        <v>6.1032863849765251E-2</v>
      </c>
      <c r="V430" s="35">
        <f t="shared" si="179"/>
        <v>6.1032863849765251E-2</v>
      </c>
      <c r="W430" s="35">
        <f t="shared" si="179"/>
        <v>6.1032863849765251E-2</v>
      </c>
      <c r="X430" s="35">
        <f t="shared" si="179"/>
        <v>0.27797833935018046</v>
      </c>
      <c r="Y430" s="35">
        <f t="shared" si="179"/>
        <v>6.1032863849765251E-2</v>
      </c>
      <c r="Z430" s="35">
        <f t="shared" si="179"/>
        <v>6.1032863849765251E-2</v>
      </c>
      <c r="AA430" s="35">
        <f t="shared" si="179"/>
        <v>6.1032863849765251E-2</v>
      </c>
    </row>
    <row r="431" spans="2:27" x14ac:dyDescent="0.2">
      <c r="B431" s="2">
        <v>429</v>
      </c>
      <c r="C431" s="2" t="str">
        <f t="shared" si="176"/>
        <v>a</v>
      </c>
      <c r="D431" s="29" t="s">
        <v>1</v>
      </c>
      <c r="E431" s="29" t="s">
        <v>219</v>
      </c>
      <c r="F431" s="2" t="s">
        <v>223</v>
      </c>
      <c r="G431" s="2">
        <f t="shared" si="169"/>
        <v>5</v>
      </c>
      <c r="H431" s="2" t="str">
        <f t="shared" si="161"/>
        <v>火炎</v>
      </c>
      <c r="I431" s="38">
        <f t="shared" si="162"/>
        <v>0.12114285714285714</v>
      </c>
      <c r="J431" s="33">
        <f t="shared" si="177"/>
        <v>57</v>
      </c>
      <c r="K431" s="33">
        <f t="shared" si="178"/>
        <v>83</v>
      </c>
      <c r="L431" s="33">
        <f t="shared" si="178"/>
        <v>23</v>
      </c>
      <c r="M431" s="33">
        <f t="shared" si="178"/>
        <v>44</v>
      </c>
      <c r="N431" s="33">
        <f t="shared" si="178"/>
        <v>76</v>
      </c>
      <c r="O431" s="33">
        <f t="shared" si="178"/>
        <v>76</v>
      </c>
      <c r="P431" s="33">
        <f t="shared" si="178"/>
        <v>33</v>
      </c>
      <c r="Q431" s="33">
        <f t="shared" si="178"/>
        <v>32</v>
      </c>
      <c r="R431" s="35">
        <f t="shared" si="163"/>
        <v>6.4000000000000001E-2</v>
      </c>
      <c r="S431" s="35">
        <f t="shared" si="164"/>
        <v>6.6000000000000003E-2</v>
      </c>
      <c r="T431" s="35">
        <f t="shared" si="165"/>
        <v>0.04</v>
      </c>
      <c r="U431" s="35">
        <f t="shared" si="179"/>
        <v>7.407407407407407E-2</v>
      </c>
      <c r="V431" s="35">
        <f t="shared" si="179"/>
        <v>7.407407407407407E-2</v>
      </c>
      <c r="W431" s="35">
        <f t="shared" si="179"/>
        <v>7.407407407407407E-2</v>
      </c>
      <c r="X431" s="35">
        <f t="shared" si="179"/>
        <v>0.32432432432432434</v>
      </c>
      <c r="Y431" s="35">
        <f t="shared" si="179"/>
        <v>7.407407407407407E-2</v>
      </c>
      <c r="Z431" s="35">
        <f t="shared" si="179"/>
        <v>7.407407407407407E-2</v>
      </c>
      <c r="AA431" s="35">
        <f t="shared" si="179"/>
        <v>7.407407407407407E-2</v>
      </c>
    </row>
    <row r="432" spans="2:27" x14ac:dyDescent="0.2">
      <c r="B432" s="2">
        <v>430</v>
      </c>
      <c r="C432" s="2" t="str">
        <f t="shared" si="176"/>
        <v>a</v>
      </c>
      <c r="D432" s="29" t="s">
        <v>1</v>
      </c>
      <c r="E432" s="29" t="s">
        <v>219</v>
      </c>
      <c r="F432" s="2" t="s">
        <v>223</v>
      </c>
      <c r="G432" s="2">
        <f t="shared" si="169"/>
        <v>6</v>
      </c>
      <c r="H432" s="2" t="str">
        <f t="shared" si="161"/>
        <v>火炎</v>
      </c>
      <c r="I432" s="38">
        <f t="shared" si="162"/>
        <v>0.14571428571428571</v>
      </c>
      <c r="J432" s="33">
        <f t="shared" si="177"/>
        <v>69</v>
      </c>
      <c r="K432" s="33">
        <f t="shared" si="178"/>
        <v>99</v>
      </c>
      <c r="L432" s="33">
        <f t="shared" si="178"/>
        <v>27</v>
      </c>
      <c r="M432" s="33">
        <f t="shared" si="178"/>
        <v>53</v>
      </c>
      <c r="N432" s="33">
        <f t="shared" si="178"/>
        <v>92</v>
      </c>
      <c r="O432" s="33">
        <f t="shared" si="178"/>
        <v>92</v>
      </c>
      <c r="P432" s="33">
        <f t="shared" si="178"/>
        <v>40</v>
      </c>
      <c r="Q432" s="33">
        <f t="shared" si="178"/>
        <v>38</v>
      </c>
      <c r="R432" s="35">
        <f t="shared" si="163"/>
        <v>7.5999999999999998E-2</v>
      </c>
      <c r="S432" s="35">
        <f t="shared" si="164"/>
        <v>0.08</v>
      </c>
      <c r="T432" s="35">
        <f t="shared" si="165"/>
        <v>4.7500000000000001E-2</v>
      </c>
      <c r="U432" s="35">
        <f t="shared" si="179"/>
        <v>8.6757990867579959E-2</v>
      </c>
      <c r="V432" s="35">
        <f t="shared" si="179"/>
        <v>8.6757990867579959E-2</v>
      </c>
      <c r="W432" s="35">
        <f t="shared" si="179"/>
        <v>8.6757990867579959E-2</v>
      </c>
      <c r="X432" s="35">
        <f t="shared" si="179"/>
        <v>0.36507936507936511</v>
      </c>
      <c r="Y432" s="35">
        <f t="shared" si="179"/>
        <v>8.6757990867579959E-2</v>
      </c>
      <c r="Z432" s="35">
        <f t="shared" si="179"/>
        <v>8.6757990867579959E-2</v>
      </c>
      <c r="AA432" s="35">
        <f t="shared" si="179"/>
        <v>8.6757990867579959E-2</v>
      </c>
    </row>
    <row r="433" spans="2:27" x14ac:dyDescent="0.2">
      <c r="B433" s="2">
        <v>431</v>
      </c>
      <c r="C433" s="2" t="str">
        <f t="shared" si="176"/>
        <v>a</v>
      </c>
      <c r="D433" s="29" t="s">
        <v>1</v>
      </c>
      <c r="E433" s="29" t="s">
        <v>219</v>
      </c>
      <c r="F433" s="2" t="s">
        <v>223</v>
      </c>
      <c r="G433" s="2">
        <f t="shared" si="169"/>
        <v>7</v>
      </c>
      <c r="H433" s="2" t="str">
        <f t="shared" si="161"/>
        <v>火炎</v>
      </c>
      <c r="I433" s="38">
        <f t="shared" si="162"/>
        <v>0.17</v>
      </c>
      <c r="J433" s="33">
        <f t="shared" ref="J433:J442" si="180">INT((1+VLOOKUP($F433,role_property_weight,getpos(J$2),FALSE))*(1+VLOOKUP($F433,drop_property_weight,getpos(J$2),FALSE))*VLOOKUP($E433,role_grow,getpos(J$2),FALSE)*$G433*10*VLOOKUP($C433,drop_grow1,4,FALSE))</f>
        <v>80</v>
      </c>
      <c r="K433" s="33">
        <f t="shared" ref="K433:Q442" si="181">INT((1+VLOOKUP($F433,role_property_weight,getpos(K$2),FALSE))*(1+VLOOKUP($F433,drop_property_weight,getpos(K$2),FALSE))*VLOOKUP($E433,role_grow,getpos(K$2),FALSE)*$G433*10*VLOOKUP($C433,drop_grow1,5,FALSE))</f>
        <v>116</v>
      </c>
      <c r="L433" s="33">
        <f t="shared" si="181"/>
        <v>32</v>
      </c>
      <c r="M433" s="33">
        <f t="shared" si="181"/>
        <v>62</v>
      </c>
      <c r="N433" s="33">
        <f t="shared" si="181"/>
        <v>107</v>
      </c>
      <c r="O433" s="33">
        <f t="shared" si="181"/>
        <v>107</v>
      </c>
      <c r="P433" s="33">
        <f t="shared" si="181"/>
        <v>47</v>
      </c>
      <c r="Q433" s="33">
        <f t="shared" si="181"/>
        <v>44</v>
      </c>
      <c r="R433" s="35">
        <f t="shared" si="163"/>
        <v>8.8000000000000009E-2</v>
      </c>
      <c r="S433" s="35">
        <f t="shared" si="164"/>
        <v>9.4E-2</v>
      </c>
      <c r="T433" s="35">
        <f t="shared" si="165"/>
        <v>5.5E-2</v>
      </c>
      <c r="U433" s="35">
        <f t="shared" ref="U433:AA442" si="182">1-200/(200+ROUND((1+VLOOKUP($F433,role_property_weight,getpos(U$2),FALSE))*VLOOKUP($E433,role_grow,getpos(U$2),FALSE)*$G433*10*VLOOKUP($C433,drop_grow1,5,FALSE),0))</f>
        <v>9.9099099099099086E-2</v>
      </c>
      <c r="V433" s="35">
        <f t="shared" si="182"/>
        <v>9.9099099099099086E-2</v>
      </c>
      <c r="W433" s="35">
        <f t="shared" si="182"/>
        <v>9.9099099099099086E-2</v>
      </c>
      <c r="X433" s="35">
        <f t="shared" si="182"/>
        <v>0.40119760479041922</v>
      </c>
      <c r="Y433" s="35">
        <f t="shared" si="182"/>
        <v>9.9099099099099086E-2</v>
      </c>
      <c r="Z433" s="35">
        <f t="shared" si="182"/>
        <v>9.9099099099099086E-2</v>
      </c>
      <c r="AA433" s="35">
        <f t="shared" si="182"/>
        <v>9.9099099099099086E-2</v>
      </c>
    </row>
    <row r="434" spans="2:27" x14ac:dyDescent="0.2">
      <c r="B434" s="2">
        <v>432</v>
      </c>
      <c r="C434" s="2" t="str">
        <f t="shared" si="176"/>
        <v>a</v>
      </c>
      <c r="D434" s="29" t="s">
        <v>1</v>
      </c>
      <c r="E434" s="29" t="s">
        <v>219</v>
      </c>
      <c r="F434" s="2" t="s">
        <v>223</v>
      </c>
      <c r="G434" s="2">
        <f t="shared" si="169"/>
        <v>8</v>
      </c>
      <c r="H434" s="2" t="str">
        <f t="shared" si="161"/>
        <v>火炎</v>
      </c>
      <c r="I434" s="38">
        <f t="shared" si="162"/>
        <v>0.19428571428571428</v>
      </c>
      <c r="J434" s="33">
        <f t="shared" si="180"/>
        <v>92</v>
      </c>
      <c r="K434" s="33">
        <f t="shared" si="181"/>
        <v>133</v>
      </c>
      <c r="L434" s="33">
        <f t="shared" si="181"/>
        <v>36</v>
      </c>
      <c r="M434" s="33">
        <f t="shared" si="181"/>
        <v>71</v>
      </c>
      <c r="N434" s="33">
        <f t="shared" si="181"/>
        <v>122</v>
      </c>
      <c r="O434" s="33">
        <f t="shared" si="181"/>
        <v>122</v>
      </c>
      <c r="P434" s="33">
        <f t="shared" si="181"/>
        <v>53</v>
      </c>
      <c r="Q434" s="33">
        <f t="shared" si="181"/>
        <v>51</v>
      </c>
      <c r="R434" s="35">
        <f t="shared" si="163"/>
        <v>0.10199999999999999</v>
      </c>
      <c r="S434" s="35">
        <f t="shared" si="164"/>
        <v>0.106</v>
      </c>
      <c r="T434" s="35">
        <f t="shared" si="165"/>
        <v>6.3750000000000001E-2</v>
      </c>
      <c r="U434" s="35">
        <f t="shared" si="182"/>
        <v>0.11504424778761058</v>
      </c>
      <c r="V434" s="35">
        <f t="shared" si="182"/>
        <v>0.11504424778761058</v>
      </c>
      <c r="W434" s="35">
        <f t="shared" si="182"/>
        <v>0.11504424778761058</v>
      </c>
      <c r="X434" s="35">
        <f t="shared" si="182"/>
        <v>0.43502824858757061</v>
      </c>
      <c r="Y434" s="35">
        <f t="shared" si="182"/>
        <v>0.11504424778761058</v>
      </c>
      <c r="Z434" s="35">
        <f t="shared" si="182"/>
        <v>0.11504424778761058</v>
      </c>
      <c r="AA434" s="35">
        <f t="shared" si="182"/>
        <v>0.11504424778761058</v>
      </c>
    </row>
    <row r="435" spans="2:27" x14ac:dyDescent="0.2">
      <c r="B435" s="2">
        <v>433</v>
      </c>
      <c r="C435" s="2" t="str">
        <f t="shared" si="176"/>
        <v>b</v>
      </c>
      <c r="D435" s="29" t="s">
        <v>1</v>
      </c>
      <c r="E435" s="29" t="s">
        <v>219</v>
      </c>
      <c r="F435" s="2" t="s">
        <v>223</v>
      </c>
      <c r="G435" s="2">
        <f t="shared" si="169"/>
        <v>1</v>
      </c>
      <c r="H435" s="2" t="str">
        <f t="shared" si="161"/>
        <v>火炎</v>
      </c>
      <c r="I435" s="38">
        <f t="shared" si="162"/>
        <v>0.08</v>
      </c>
      <c r="J435" s="33">
        <f t="shared" si="180"/>
        <v>13</v>
      </c>
      <c r="K435" s="33">
        <f t="shared" si="181"/>
        <v>24</v>
      </c>
      <c r="L435" s="33">
        <f t="shared" si="181"/>
        <v>6</v>
      </c>
      <c r="M435" s="33">
        <f t="shared" si="181"/>
        <v>13</v>
      </c>
      <c r="N435" s="33">
        <f t="shared" si="181"/>
        <v>23</v>
      </c>
      <c r="O435" s="33">
        <f t="shared" si="181"/>
        <v>23</v>
      </c>
      <c r="P435" s="33">
        <f t="shared" si="181"/>
        <v>10</v>
      </c>
      <c r="Q435" s="33">
        <f t="shared" si="181"/>
        <v>9</v>
      </c>
      <c r="R435" s="35">
        <f t="shared" si="163"/>
        <v>1.8000000000000002E-2</v>
      </c>
      <c r="S435" s="35">
        <f t="shared" si="164"/>
        <v>0.02</v>
      </c>
      <c r="T435" s="35">
        <f t="shared" si="165"/>
        <v>1.125E-2</v>
      </c>
      <c r="U435" s="35">
        <f t="shared" si="182"/>
        <v>2.4390243902439046E-2</v>
      </c>
      <c r="V435" s="35">
        <f t="shared" si="182"/>
        <v>2.4390243902439046E-2</v>
      </c>
      <c r="W435" s="35">
        <f t="shared" si="182"/>
        <v>2.4390243902439046E-2</v>
      </c>
      <c r="X435" s="35">
        <f t="shared" si="182"/>
        <v>0.1266375545851528</v>
      </c>
      <c r="Y435" s="35">
        <f t="shared" si="182"/>
        <v>2.4390243902439046E-2</v>
      </c>
      <c r="Z435" s="35">
        <f t="shared" si="182"/>
        <v>2.4390243902439046E-2</v>
      </c>
      <c r="AA435" s="35">
        <f t="shared" si="182"/>
        <v>2.4390243902439046E-2</v>
      </c>
    </row>
    <row r="436" spans="2:27" x14ac:dyDescent="0.2">
      <c r="B436" s="2">
        <v>434</v>
      </c>
      <c r="C436" s="2" t="str">
        <f t="shared" si="176"/>
        <v>b</v>
      </c>
      <c r="D436" s="29" t="s">
        <v>1</v>
      </c>
      <c r="E436" s="29" t="s">
        <v>219</v>
      </c>
      <c r="F436" s="2" t="s">
        <v>223</v>
      </c>
      <c r="G436" s="2">
        <f t="shared" si="169"/>
        <v>2</v>
      </c>
      <c r="H436" s="2" t="str">
        <f t="shared" si="161"/>
        <v>火炎</v>
      </c>
      <c r="I436" s="38">
        <f t="shared" si="162"/>
        <v>0.08</v>
      </c>
      <c r="J436" s="33">
        <f t="shared" si="180"/>
        <v>26</v>
      </c>
      <c r="K436" s="33">
        <f t="shared" si="181"/>
        <v>49</v>
      </c>
      <c r="L436" s="33">
        <f t="shared" si="181"/>
        <v>13</v>
      </c>
      <c r="M436" s="33">
        <f t="shared" si="181"/>
        <v>26</v>
      </c>
      <c r="N436" s="33">
        <f t="shared" si="181"/>
        <v>46</v>
      </c>
      <c r="O436" s="33">
        <f t="shared" si="181"/>
        <v>46</v>
      </c>
      <c r="P436" s="33">
        <f t="shared" si="181"/>
        <v>20</v>
      </c>
      <c r="Q436" s="33">
        <f t="shared" si="181"/>
        <v>19</v>
      </c>
      <c r="R436" s="35">
        <f t="shared" si="163"/>
        <v>3.7999999999999999E-2</v>
      </c>
      <c r="S436" s="35">
        <f t="shared" si="164"/>
        <v>0.04</v>
      </c>
      <c r="T436" s="35">
        <f t="shared" si="165"/>
        <v>2.375E-2</v>
      </c>
      <c r="U436" s="35">
        <f t="shared" si="182"/>
        <v>4.7619047619047672E-2</v>
      </c>
      <c r="V436" s="35">
        <f t="shared" si="182"/>
        <v>4.7619047619047672E-2</v>
      </c>
      <c r="W436" s="35">
        <f t="shared" si="182"/>
        <v>4.7619047619047672E-2</v>
      </c>
      <c r="X436" s="35">
        <f t="shared" si="182"/>
        <v>0.22480620155038755</v>
      </c>
      <c r="Y436" s="35">
        <f t="shared" si="182"/>
        <v>4.7619047619047672E-2</v>
      </c>
      <c r="Z436" s="35">
        <f t="shared" si="182"/>
        <v>4.7619047619047672E-2</v>
      </c>
      <c r="AA436" s="35">
        <f t="shared" si="182"/>
        <v>4.7619047619047672E-2</v>
      </c>
    </row>
    <row r="437" spans="2:27" x14ac:dyDescent="0.2">
      <c r="B437" s="2">
        <v>435</v>
      </c>
      <c r="C437" s="2" t="str">
        <f t="shared" si="176"/>
        <v>b</v>
      </c>
      <c r="D437" s="29" t="s">
        <v>1</v>
      </c>
      <c r="E437" s="29" t="s">
        <v>219</v>
      </c>
      <c r="F437" s="2" t="s">
        <v>223</v>
      </c>
      <c r="G437" s="2">
        <f t="shared" si="169"/>
        <v>3</v>
      </c>
      <c r="H437" s="2" t="str">
        <f t="shared" si="161"/>
        <v>火炎</v>
      </c>
      <c r="I437" s="38">
        <f t="shared" si="162"/>
        <v>0.10571428571428571</v>
      </c>
      <c r="J437" s="33">
        <f t="shared" si="180"/>
        <v>40</v>
      </c>
      <c r="K437" s="33">
        <f t="shared" si="181"/>
        <v>74</v>
      </c>
      <c r="L437" s="33">
        <f t="shared" si="181"/>
        <v>20</v>
      </c>
      <c r="M437" s="33">
        <f t="shared" si="181"/>
        <v>40</v>
      </c>
      <c r="N437" s="33">
        <f t="shared" si="181"/>
        <v>69</v>
      </c>
      <c r="O437" s="33">
        <f t="shared" si="181"/>
        <v>69</v>
      </c>
      <c r="P437" s="33">
        <f t="shared" si="181"/>
        <v>30</v>
      </c>
      <c r="Q437" s="33">
        <f t="shared" si="181"/>
        <v>28</v>
      </c>
      <c r="R437" s="35">
        <f t="shared" si="163"/>
        <v>5.5999999999999994E-2</v>
      </c>
      <c r="S437" s="35">
        <f t="shared" si="164"/>
        <v>0.06</v>
      </c>
      <c r="T437" s="35">
        <f t="shared" si="165"/>
        <v>3.5000000000000003E-2</v>
      </c>
      <c r="U437" s="35">
        <f t="shared" si="182"/>
        <v>6.5420560747663559E-2</v>
      </c>
      <c r="V437" s="35">
        <f t="shared" si="182"/>
        <v>6.5420560747663559E-2</v>
      </c>
      <c r="W437" s="35">
        <f t="shared" si="182"/>
        <v>6.5420560747663559E-2</v>
      </c>
      <c r="X437" s="35">
        <f t="shared" si="182"/>
        <v>0.30069930069930073</v>
      </c>
      <c r="Y437" s="35">
        <f t="shared" si="182"/>
        <v>6.5420560747663559E-2</v>
      </c>
      <c r="Z437" s="35">
        <f t="shared" si="182"/>
        <v>6.5420560747663559E-2</v>
      </c>
      <c r="AA437" s="35">
        <f t="shared" si="182"/>
        <v>6.5420560747663559E-2</v>
      </c>
    </row>
    <row r="438" spans="2:27" x14ac:dyDescent="0.2">
      <c r="B438" s="2">
        <v>436</v>
      </c>
      <c r="C438" s="2" t="str">
        <f t="shared" si="176"/>
        <v>b</v>
      </c>
      <c r="D438" s="29" t="s">
        <v>1</v>
      </c>
      <c r="E438" s="29" t="s">
        <v>219</v>
      </c>
      <c r="F438" s="2" t="s">
        <v>223</v>
      </c>
      <c r="G438" s="2">
        <f t="shared" si="169"/>
        <v>4</v>
      </c>
      <c r="H438" s="2" t="str">
        <f t="shared" si="161"/>
        <v>火炎</v>
      </c>
      <c r="I438" s="38">
        <f t="shared" si="162"/>
        <v>0.14114285714285713</v>
      </c>
      <c r="J438" s="33">
        <f t="shared" si="180"/>
        <v>53</v>
      </c>
      <c r="K438" s="33">
        <f t="shared" si="181"/>
        <v>99</v>
      </c>
      <c r="L438" s="33">
        <f t="shared" si="181"/>
        <v>27</v>
      </c>
      <c r="M438" s="33">
        <f t="shared" si="181"/>
        <v>53</v>
      </c>
      <c r="N438" s="33">
        <f t="shared" si="181"/>
        <v>92</v>
      </c>
      <c r="O438" s="33">
        <f t="shared" si="181"/>
        <v>92</v>
      </c>
      <c r="P438" s="33">
        <f t="shared" si="181"/>
        <v>40</v>
      </c>
      <c r="Q438" s="33">
        <f t="shared" si="181"/>
        <v>38</v>
      </c>
      <c r="R438" s="35">
        <f t="shared" si="163"/>
        <v>7.5999999999999998E-2</v>
      </c>
      <c r="S438" s="35">
        <f t="shared" si="164"/>
        <v>0.08</v>
      </c>
      <c r="T438" s="35">
        <f t="shared" si="165"/>
        <v>4.7500000000000001E-2</v>
      </c>
      <c r="U438" s="35">
        <f t="shared" si="182"/>
        <v>8.6757990867579959E-2</v>
      </c>
      <c r="V438" s="35">
        <f t="shared" si="182"/>
        <v>8.6757990867579959E-2</v>
      </c>
      <c r="W438" s="35">
        <f t="shared" si="182"/>
        <v>8.6757990867579959E-2</v>
      </c>
      <c r="X438" s="35">
        <f t="shared" si="182"/>
        <v>0.36507936507936511</v>
      </c>
      <c r="Y438" s="35">
        <f t="shared" si="182"/>
        <v>8.6757990867579959E-2</v>
      </c>
      <c r="Z438" s="35">
        <f t="shared" si="182"/>
        <v>8.6757990867579959E-2</v>
      </c>
      <c r="AA438" s="35">
        <f t="shared" si="182"/>
        <v>8.6757990867579959E-2</v>
      </c>
    </row>
    <row r="439" spans="2:27" x14ac:dyDescent="0.2">
      <c r="B439" s="2">
        <v>437</v>
      </c>
      <c r="C439" s="2" t="str">
        <f t="shared" si="176"/>
        <v>b</v>
      </c>
      <c r="D439" s="29" t="s">
        <v>1</v>
      </c>
      <c r="E439" s="29" t="s">
        <v>219</v>
      </c>
      <c r="F439" s="2" t="s">
        <v>223</v>
      </c>
      <c r="G439" s="2">
        <f t="shared" si="169"/>
        <v>5</v>
      </c>
      <c r="H439" s="2" t="str">
        <f t="shared" si="161"/>
        <v>火炎</v>
      </c>
      <c r="I439" s="38">
        <f t="shared" si="162"/>
        <v>0.17714285714285716</v>
      </c>
      <c r="J439" s="33">
        <f t="shared" si="180"/>
        <v>67</v>
      </c>
      <c r="K439" s="33">
        <f t="shared" si="181"/>
        <v>124</v>
      </c>
      <c r="L439" s="33">
        <f t="shared" si="181"/>
        <v>34</v>
      </c>
      <c r="M439" s="33">
        <f t="shared" si="181"/>
        <v>67</v>
      </c>
      <c r="N439" s="33">
        <f t="shared" si="181"/>
        <v>115</v>
      </c>
      <c r="O439" s="33">
        <f t="shared" si="181"/>
        <v>115</v>
      </c>
      <c r="P439" s="33">
        <f t="shared" si="181"/>
        <v>50</v>
      </c>
      <c r="Q439" s="33">
        <f t="shared" si="181"/>
        <v>48</v>
      </c>
      <c r="R439" s="35">
        <f t="shared" si="163"/>
        <v>9.6000000000000002E-2</v>
      </c>
      <c r="S439" s="35">
        <f t="shared" si="164"/>
        <v>0.1</v>
      </c>
      <c r="T439" s="35">
        <f t="shared" si="165"/>
        <v>0.06</v>
      </c>
      <c r="U439" s="35">
        <f t="shared" si="182"/>
        <v>0.1071428571428571</v>
      </c>
      <c r="V439" s="35">
        <f t="shared" si="182"/>
        <v>0.1071428571428571</v>
      </c>
      <c r="W439" s="35">
        <f t="shared" si="182"/>
        <v>0.1071428571428571</v>
      </c>
      <c r="X439" s="35">
        <f t="shared" si="182"/>
        <v>0.41860465116279066</v>
      </c>
      <c r="Y439" s="35">
        <f t="shared" si="182"/>
        <v>0.1071428571428571</v>
      </c>
      <c r="Z439" s="35">
        <f t="shared" si="182"/>
        <v>0.1071428571428571</v>
      </c>
      <c r="AA439" s="35">
        <f t="shared" si="182"/>
        <v>0.1071428571428571</v>
      </c>
    </row>
    <row r="440" spans="2:27" x14ac:dyDescent="0.2">
      <c r="B440" s="2">
        <v>438</v>
      </c>
      <c r="C440" s="2" t="str">
        <f t="shared" si="176"/>
        <v>b</v>
      </c>
      <c r="D440" s="29" t="s">
        <v>1</v>
      </c>
      <c r="E440" s="29" t="s">
        <v>219</v>
      </c>
      <c r="F440" s="2" t="s">
        <v>223</v>
      </c>
      <c r="G440" s="2">
        <f t="shared" si="169"/>
        <v>6</v>
      </c>
      <c r="H440" s="2" t="str">
        <f t="shared" si="161"/>
        <v>火炎</v>
      </c>
      <c r="I440" s="38">
        <f t="shared" si="162"/>
        <v>0.21228571428571427</v>
      </c>
      <c r="J440" s="33">
        <f t="shared" si="180"/>
        <v>80</v>
      </c>
      <c r="K440" s="33">
        <f t="shared" si="181"/>
        <v>149</v>
      </c>
      <c r="L440" s="33">
        <f t="shared" si="181"/>
        <v>41</v>
      </c>
      <c r="M440" s="33">
        <f t="shared" si="181"/>
        <v>80</v>
      </c>
      <c r="N440" s="33">
        <f t="shared" si="181"/>
        <v>138</v>
      </c>
      <c r="O440" s="33">
        <f t="shared" si="181"/>
        <v>138</v>
      </c>
      <c r="P440" s="33">
        <f t="shared" si="181"/>
        <v>60</v>
      </c>
      <c r="Q440" s="33">
        <f t="shared" si="181"/>
        <v>57</v>
      </c>
      <c r="R440" s="35">
        <f t="shared" si="163"/>
        <v>0.114</v>
      </c>
      <c r="S440" s="35">
        <f t="shared" si="164"/>
        <v>0.12</v>
      </c>
      <c r="T440" s="35">
        <f t="shared" si="165"/>
        <v>7.1249999999999994E-2</v>
      </c>
      <c r="U440" s="35">
        <f t="shared" si="182"/>
        <v>0.1266375545851528</v>
      </c>
      <c r="V440" s="35">
        <f t="shared" si="182"/>
        <v>0.1266375545851528</v>
      </c>
      <c r="W440" s="35">
        <f t="shared" si="182"/>
        <v>0.1266375545851528</v>
      </c>
      <c r="X440" s="35">
        <f t="shared" si="182"/>
        <v>0.46380697050938335</v>
      </c>
      <c r="Y440" s="35">
        <f t="shared" si="182"/>
        <v>0.1266375545851528</v>
      </c>
      <c r="Z440" s="35">
        <f t="shared" si="182"/>
        <v>0.1266375545851528</v>
      </c>
      <c r="AA440" s="35">
        <f t="shared" si="182"/>
        <v>0.1266375545851528</v>
      </c>
    </row>
    <row r="441" spans="2:27" x14ac:dyDescent="0.2">
      <c r="B441" s="2">
        <v>439</v>
      </c>
      <c r="C441" s="2" t="str">
        <f t="shared" si="176"/>
        <v>b</v>
      </c>
      <c r="D441" s="29" t="s">
        <v>1</v>
      </c>
      <c r="E441" s="29" t="s">
        <v>219</v>
      </c>
      <c r="F441" s="2" t="s">
        <v>223</v>
      </c>
      <c r="G441" s="2">
        <f t="shared" si="169"/>
        <v>7</v>
      </c>
      <c r="H441" s="2" t="str">
        <f t="shared" si="161"/>
        <v>火炎</v>
      </c>
      <c r="I441" s="38">
        <f t="shared" si="162"/>
        <v>0.2482857142857143</v>
      </c>
      <c r="J441" s="33">
        <f t="shared" si="180"/>
        <v>94</v>
      </c>
      <c r="K441" s="33">
        <f t="shared" si="181"/>
        <v>174</v>
      </c>
      <c r="L441" s="33">
        <f t="shared" si="181"/>
        <v>48</v>
      </c>
      <c r="M441" s="33">
        <f t="shared" si="181"/>
        <v>94</v>
      </c>
      <c r="N441" s="33">
        <f t="shared" si="181"/>
        <v>161</v>
      </c>
      <c r="O441" s="33">
        <f t="shared" si="181"/>
        <v>161</v>
      </c>
      <c r="P441" s="33">
        <f t="shared" si="181"/>
        <v>70</v>
      </c>
      <c r="Q441" s="33">
        <f t="shared" si="181"/>
        <v>67</v>
      </c>
      <c r="R441" s="35">
        <f t="shared" si="163"/>
        <v>0.13400000000000001</v>
      </c>
      <c r="S441" s="35">
        <f t="shared" si="164"/>
        <v>0.14000000000000001</v>
      </c>
      <c r="T441" s="35">
        <f t="shared" si="165"/>
        <v>8.3750000000000005E-2</v>
      </c>
      <c r="U441" s="35">
        <f t="shared" si="182"/>
        <v>0.14529914529914534</v>
      </c>
      <c r="V441" s="35">
        <f t="shared" si="182"/>
        <v>0.14529914529914534</v>
      </c>
      <c r="W441" s="35">
        <f t="shared" si="182"/>
        <v>0.14529914529914534</v>
      </c>
      <c r="X441" s="35">
        <f t="shared" si="182"/>
        <v>0.50248756218905477</v>
      </c>
      <c r="Y441" s="35">
        <f t="shared" si="182"/>
        <v>0.14529914529914534</v>
      </c>
      <c r="Z441" s="35">
        <f t="shared" si="182"/>
        <v>0.14529914529914534</v>
      </c>
      <c r="AA441" s="35">
        <f t="shared" si="182"/>
        <v>0.14529914529914534</v>
      </c>
    </row>
    <row r="442" spans="2:27" x14ac:dyDescent="0.2">
      <c r="B442" s="2">
        <v>440</v>
      </c>
      <c r="C442" s="2" t="str">
        <f t="shared" si="176"/>
        <v>b</v>
      </c>
      <c r="D442" s="29" t="s">
        <v>1</v>
      </c>
      <c r="E442" s="29" t="s">
        <v>219</v>
      </c>
      <c r="F442" s="2" t="s">
        <v>223</v>
      </c>
      <c r="G442" s="2">
        <f t="shared" si="169"/>
        <v>8</v>
      </c>
      <c r="H442" s="2" t="str">
        <f t="shared" si="161"/>
        <v>火炎</v>
      </c>
      <c r="I442" s="38">
        <f t="shared" si="162"/>
        <v>0.28342857142857142</v>
      </c>
      <c r="J442" s="33">
        <f t="shared" si="180"/>
        <v>107</v>
      </c>
      <c r="K442" s="33">
        <f t="shared" si="181"/>
        <v>199</v>
      </c>
      <c r="L442" s="33">
        <f t="shared" si="181"/>
        <v>55</v>
      </c>
      <c r="M442" s="33">
        <f t="shared" si="181"/>
        <v>107</v>
      </c>
      <c r="N442" s="33">
        <f t="shared" si="181"/>
        <v>184</v>
      </c>
      <c r="O442" s="33">
        <f t="shared" si="181"/>
        <v>184</v>
      </c>
      <c r="P442" s="33">
        <f t="shared" si="181"/>
        <v>80</v>
      </c>
      <c r="Q442" s="33">
        <f t="shared" si="181"/>
        <v>76</v>
      </c>
      <c r="R442" s="35">
        <f t="shared" si="163"/>
        <v>0.152</v>
      </c>
      <c r="S442" s="35">
        <f t="shared" si="164"/>
        <v>0.16</v>
      </c>
      <c r="T442" s="35">
        <f t="shared" si="165"/>
        <v>9.5000000000000001E-2</v>
      </c>
      <c r="U442" s="35">
        <f t="shared" si="182"/>
        <v>0.15966386554621848</v>
      </c>
      <c r="V442" s="35">
        <f t="shared" si="182"/>
        <v>0.15966386554621848</v>
      </c>
      <c r="W442" s="35">
        <f t="shared" si="182"/>
        <v>0.15966386554621848</v>
      </c>
      <c r="X442" s="35">
        <f t="shared" si="182"/>
        <v>0.53488372093023262</v>
      </c>
      <c r="Y442" s="35">
        <f t="shared" si="182"/>
        <v>0.15966386554621848</v>
      </c>
      <c r="Z442" s="35">
        <f t="shared" si="182"/>
        <v>0.15966386554621848</v>
      </c>
      <c r="AA442" s="35">
        <f t="shared" si="182"/>
        <v>0.15966386554621848</v>
      </c>
    </row>
    <row r="443" spans="2:27" x14ac:dyDescent="0.2">
      <c r="B443" s="2">
        <v>441</v>
      </c>
      <c r="C443" s="2" t="str">
        <f t="shared" si="176"/>
        <v>c</v>
      </c>
      <c r="D443" s="29" t="s">
        <v>1</v>
      </c>
      <c r="E443" s="29" t="s">
        <v>219</v>
      </c>
      <c r="F443" s="2" t="s">
        <v>223</v>
      </c>
      <c r="G443" s="2">
        <f t="shared" si="169"/>
        <v>1</v>
      </c>
      <c r="H443" s="2" t="str">
        <f t="shared" si="161"/>
        <v>--</v>
      </c>
      <c r="I443" s="38">
        <f t="shared" si="162"/>
        <v>0</v>
      </c>
      <c r="J443" s="33">
        <f t="shared" ref="J443:J452" si="183">INT((1+VLOOKUP($F443,role_property_weight,getpos(J$2),FALSE))*(1+VLOOKUP($F443,drop_property_weight,getpos(J$2),FALSE))*VLOOKUP($E443,role_grow,getpos(J$2),FALSE)*$G443*10*VLOOKUP($C443,drop_grow1,4,FALSE))</f>
        <v>18</v>
      </c>
      <c r="K443" s="33">
        <f t="shared" ref="K443:Q452" si="184">INT((1+VLOOKUP($F443,role_property_weight,getpos(K$2),FALSE))*(1+VLOOKUP($F443,drop_property_weight,getpos(K$2),FALSE))*VLOOKUP($E443,role_grow,getpos(K$2),FALSE)*$G443*10*VLOOKUP($C443,drop_grow1,5,FALSE))</f>
        <v>0</v>
      </c>
      <c r="L443" s="33">
        <f t="shared" si="184"/>
        <v>0</v>
      </c>
      <c r="M443" s="33">
        <f t="shared" si="184"/>
        <v>0</v>
      </c>
      <c r="N443" s="33">
        <f t="shared" si="184"/>
        <v>0</v>
      </c>
      <c r="O443" s="33">
        <f t="shared" si="184"/>
        <v>0</v>
      </c>
      <c r="P443" s="33">
        <f t="shared" si="184"/>
        <v>0</v>
      </c>
      <c r="Q443" s="33">
        <f t="shared" si="184"/>
        <v>0</v>
      </c>
      <c r="R443" s="35">
        <f t="shared" si="163"/>
        <v>0</v>
      </c>
      <c r="S443" s="35">
        <f t="shared" si="164"/>
        <v>0</v>
      </c>
      <c r="T443" s="35">
        <f t="shared" si="165"/>
        <v>0</v>
      </c>
      <c r="U443" s="35">
        <f t="shared" ref="U443:AA452" si="185">1-200/(200+ROUND((1+VLOOKUP($F443,role_property_weight,getpos(U$2),FALSE))*VLOOKUP($E443,role_grow,getpos(U$2),FALSE)*$G443*10*VLOOKUP($C443,drop_grow1,5,FALSE),0))</f>
        <v>0</v>
      </c>
      <c r="V443" s="35">
        <f t="shared" si="185"/>
        <v>0</v>
      </c>
      <c r="W443" s="35">
        <f t="shared" si="185"/>
        <v>0</v>
      </c>
      <c r="X443" s="35">
        <f t="shared" si="185"/>
        <v>0</v>
      </c>
      <c r="Y443" s="35">
        <f t="shared" si="185"/>
        <v>0</v>
      </c>
      <c r="Z443" s="35">
        <f t="shared" si="185"/>
        <v>0</v>
      </c>
      <c r="AA443" s="35">
        <f t="shared" si="185"/>
        <v>0</v>
      </c>
    </row>
    <row r="444" spans="2:27" x14ac:dyDescent="0.2">
      <c r="B444" s="2">
        <v>442</v>
      </c>
      <c r="C444" s="2" t="str">
        <f t="shared" si="176"/>
        <v>c</v>
      </c>
      <c r="D444" s="29" t="s">
        <v>1</v>
      </c>
      <c r="E444" s="29" t="s">
        <v>219</v>
      </c>
      <c r="F444" s="2" t="s">
        <v>223</v>
      </c>
      <c r="G444" s="2">
        <f t="shared" si="169"/>
        <v>2</v>
      </c>
      <c r="H444" s="2" t="str">
        <f t="shared" si="161"/>
        <v>--</v>
      </c>
      <c r="I444" s="38">
        <f t="shared" si="162"/>
        <v>0</v>
      </c>
      <c r="J444" s="33">
        <f t="shared" si="183"/>
        <v>36</v>
      </c>
      <c r="K444" s="33">
        <f t="shared" si="184"/>
        <v>0</v>
      </c>
      <c r="L444" s="33">
        <f t="shared" si="184"/>
        <v>0</v>
      </c>
      <c r="M444" s="33">
        <f t="shared" si="184"/>
        <v>0</v>
      </c>
      <c r="N444" s="33">
        <f t="shared" si="184"/>
        <v>0</v>
      </c>
      <c r="O444" s="33">
        <f t="shared" si="184"/>
        <v>0</v>
      </c>
      <c r="P444" s="33">
        <f t="shared" si="184"/>
        <v>0</v>
      </c>
      <c r="Q444" s="33">
        <f t="shared" si="184"/>
        <v>0</v>
      </c>
      <c r="R444" s="35">
        <f t="shared" si="163"/>
        <v>0</v>
      </c>
      <c r="S444" s="35">
        <f t="shared" si="164"/>
        <v>0</v>
      </c>
      <c r="T444" s="35">
        <f t="shared" si="165"/>
        <v>0</v>
      </c>
      <c r="U444" s="35">
        <f t="shared" si="185"/>
        <v>0</v>
      </c>
      <c r="V444" s="35">
        <f t="shared" si="185"/>
        <v>0</v>
      </c>
      <c r="W444" s="35">
        <f t="shared" si="185"/>
        <v>0</v>
      </c>
      <c r="X444" s="35">
        <f t="shared" si="185"/>
        <v>0</v>
      </c>
      <c r="Y444" s="35">
        <f t="shared" si="185"/>
        <v>0</v>
      </c>
      <c r="Z444" s="35">
        <f t="shared" si="185"/>
        <v>0</v>
      </c>
      <c r="AA444" s="35">
        <f t="shared" si="185"/>
        <v>0</v>
      </c>
    </row>
    <row r="445" spans="2:27" x14ac:dyDescent="0.2">
      <c r="B445" s="2">
        <v>443</v>
      </c>
      <c r="C445" s="2" t="str">
        <f t="shared" si="176"/>
        <v>c</v>
      </c>
      <c r="D445" s="29" t="s">
        <v>1</v>
      </c>
      <c r="E445" s="29" t="s">
        <v>219</v>
      </c>
      <c r="F445" s="2" t="s">
        <v>223</v>
      </c>
      <c r="G445" s="2">
        <f t="shared" si="169"/>
        <v>3</v>
      </c>
      <c r="H445" s="2" t="str">
        <f t="shared" si="161"/>
        <v>--</v>
      </c>
      <c r="I445" s="38">
        <f t="shared" si="162"/>
        <v>0</v>
      </c>
      <c r="J445" s="33">
        <f t="shared" si="183"/>
        <v>54</v>
      </c>
      <c r="K445" s="33">
        <f t="shared" si="184"/>
        <v>0</v>
      </c>
      <c r="L445" s="33">
        <f t="shared" si="184"/>
        <v>0</v>
      </c>
      <c r="M445" s="33">
        <f t="shared" si="184"/>
        <v>0</v>
      </c>
      <c r="N445" s="33">
        <f t="shared" si="184"/>
        <v>0</v>
      </c>
      <c r="O445" s="33">
        <f t="shared" si="184"/>
        <v>0</v>
      </c>
      <c r="P445" s="33">
        <f t="shared" si="184"/>
        <v>0</v>
      </c>
      <c r="Q445" s="33">
        <f t="shared" si="184"/>
        <v>0</v>
      </c>
      <c r="R445" s="35">
        <f t="shared" si="163"/>
        <v>0</v>
      </c>
      <c r="S445" s="35">
        <f t="shared" si="164"/>
        <v>0</v>
      </c>
      <c r="T445" s="35">
        <f t="shared" si="165"/>
        <v>0</v>
      </c>
      <c r="U445" s="35">
        <f t="shared" si="185"/>
        <v>0</v>
      </c>
      <c r="V445" s="35">
        <f t="shared" si="185"/>
        <v>0</v>
      </c>
      <c r="W445" s="35">
        <f t="shared" si="185"/>
        <v>0</v>
      </c>
      <c r="X445" s="35">
        <f t="shared" si="185"/>
        <v>0</v>
      </c>
      <c r="Y445" s="35">
        <f t="shared" si="185"/>
        <v>0</v>
      </c>
      <c r="Z445" s="35">
        <f t="shared" si="185"/>
        <v>0</v>
      </c>
      <c r="AA445" s="35">
        <f t="shared" si="185"/>
        <v>0</v>
      </c>
    </row>
    <row r="446" spans="2:27" x14ac:dyDescent="0.2">
      <c r="B446" s="2">
        <v>444</v>
      </c>
      <c r="C446" s="2" t="str">
        <f t="shared" si="176"/>
        <v>c</v>
      </c>
      <c r="D446" s="29" t="s">
        <v>1</v>
      </c>
      <c r="E446" s="29" t="s">
        <v>219</v>
      </c>
      <c r="F446" s="2" t="s">
        <v>223</v>
      </c>
      <c r="G446" s="2">
        <f t="shared" si="169"/>
        <v>4</v>
      </c>
      <c r="H446" s="2" t="str">
        <f t="shared" si="161"/>
        <v>--</v>
      </c>
      <c r="I446" s="38">
        <f t="shared" si="162"/>
        <v>0</v>
      </c>
      <c r="J446" s="33">
        <f t="shared" si="183"/>
        <v>72</v>
      </c>
      <c r="K446" s="33">
        <f t="shared" si="184"/>
        <v>0</v>
      </c>
      <c r="L446" s="33">
        <f t="shared" si="184"/>
        <v>0</v>
      </c>
      <c r="M446" s="33">
        <f t="shared" si="184"/>
        <v>0</v>
      </c>
      <c r="N446" s="33">
        <f t="shared" si="184"/>
        <v>0</v>
      </c>
      <c r="O446" s="33">
        <f t="shared" si="184"/>
        <v>0</v>
      </c>
      <c r="P446" s="33">
        <f t="shared" si="184"/>
        <v>0</v>
      </c>
      <c r="Q446" s="33">
        <f t="shared" si="184"/>
        <v>0</v>
      </c>
      <c r="R446" s="35">
        <f t="shared" si="163"/>
        <v>0</v>
      </c>
      <c r="S446" s="35">
        <f t="shared" si="164"/>
        <v>0</v>
      </c>
      <c r="T446" s="35">
        <f t="shared" si="165"/>
        <v>0</v>
      </c>
      <c r="U446" s="35">
        <f t="shared" si="185"/>
        <v>0</v>
      </c>
      <c r="V446" s="35">
        <f t="shared" si="185"/>
        <v>0</v>
      </c>
      <c r="W446" s="35">
        <f t="shared" si="185"/>
        <v>0</v>
      </c>
      <c r="X446" s="35">
        <f t="shared" si="185"/>
        <v>0</v>
      </c>
      <c r="Y446" s="35">
        <f t="shared" si="185"/>
        <v>0</v>
      </c>
      <c r="Z446" s="35">
        <f t="shared" si="185"/>
        <v>0</v>
      </c>
      <c r="AA446" s="35">
        <f t="shared" si="185"/>
        <v>0</v>
      </c>
    </row>
    <row r="447" spans="2:27" x14ac:dyDescent="0.2">
      <c r="B447" s="2">
        <v>445</v>
      </c>
      <c r="C447" s="2" t="str">
        <f t="shared" si="176"/>
        <v>c</v>
      </c>
      <c r="D447" s="29" t="s">
        <v>1</v>
      </c>
      <c r="E447" s="29" t="s">
        <v>219</v>
      </c>
      <c r="F447" s="2" t="s">
        <v>223</v>
      </c>
      <c r="G447" s="2">
        <f t="shared" si="169"/>
        <v>5</v>
      </c>
      <c r="H447" s="2" t="str">
        <f t="shared" si="161"/>
        <v>--</v>
      </c>
      <c r="I447" s="38">
        <f t="shared" si="162"/>
        <v>0</v>
      </c>
      <c r="J447" s="33">
        <f t="shared" si="183"/>
        <v>90</v>
      </c>
      <c r="K447" s="33">
        <f t="shared" si="184"/>
        <v>0</v>
      </c>
      <c r="L447" s="33">
        <f t="shared" si="184"/>
        <v>0</v>
      </c>
      <c r="M447" s="33">
        <f t="shared" si="184"/>
        <v>0</v>
      </c>
      <c r="N447" s="33">
        <f t="shared" si="184"/>
        <v>0</v>
      </c>
      <c r="O447" s="33">
        <f t="shared" si="184"/>
        <v>0</v>
      </c>
      <c r="P447" s="33">
        <f t="shared" si="184"/>
        <v>0</v>
      </c>
      <c r="Q447" s="33">
        <f t="shared" si="184"/>
        <v>0</v>
      </c>
      <c r="R447" s="35">
        <f t="shared" si="163"/>
        <v>0</v>
      </c>
      <c r="S447" s="35">
        <f t="shared" si="164"/>
        <v>0</v>
      </c>
      <c r="T447" s="35">
        <f t="shared" si="165"/>
        <v>0</v>
      </c>
      <c r="U447" s="35">
        <f t="shared" si="185"/>
        <v>0</v>
      </c>
      <c r="V447" s="35">
        <f t="shared" si="185"/>
        <v>0</v>
      </c>
      <c r="W447" s="35">
        <f t="shared" si="185"/>
        <v>0</v>
      </c>
      <c r="X447" s="35">
        <f t="shared" si="185"/>
        <v>0</v>
      </c>
      <c r="Y447" s="35">
        <f t="shared" si="185"/>
        <v>0</v>
      </c>
      <c r="Z447" s="35">
        <f t="shared" si="185"/>
        <v>0</v>
      </c>
      <c r="AA447" s="35">
        <f t="shared" si="185"/>
        <v>0</v>
      </c>
    </row>
    <row r="448" spans="2:27" x14ac:dyDescent="0.2">
      <c r="B448" s="2">
        <v>446</v>
      </c>
      <c r="C448" s="2" t="str">
        <f t="shared" si="176"/>
        <v>c</v>
      </c>
      <c r="D448" s="29" t="s">
        <v>1</v>
      </c>
      <c r="E448" s="29" t="s">
        <v>219</v>
      </c>
      <c r="F448" s="2" t="s">
        <v>223</v>
      </c>
      <c r="G448" s="2">
        <f t="shared" si="169"/>
        <v>6</v>
      </c>
      <c r="H448" s="2" t="str">
        <f t="shared" si="161"/>
        <v>--</v>
      </c>
      <c r="I448" s="38">
        <f t="shared" si="162"/>
        <v>0</v>
      </c>
      <c r="J448" s="33">
        <f t="shared" si="183"/>
        <v>108</v>
      </c>
      <c r="K448" s="33">
        <f t="shared" si="184"/>
        <v>0</v>
      </c>
      <c r="L448" s="33">
        <f t="shared" si="184"/>
        <v>0</v>
      </c>
      <c r="M448" s="33">
        <f t="shared" si="184"/>
        <v>0</v>
      </c>
      <c r="N448" s="33">
        <f t="shared" si="184"/>
        <v>0</v>
      </c>
      <c r="O448" s="33">
        <f t="shared" si="184"/>
        <v>0</v>
      </c>
      <c r="P448" s="33">
        <f t="shared" si="184"/>
        <v>0</v>
      </c>
      <c r="Q448" s="33">
        <f t="shared" si="184"/>
        <v>0</v>
      </c>
      <c r="R448" s="35">
        <f t="shared" si="163"/>
        <v>0</v>
      </c>
      <c r="S448" s="35">
        <f t="shared" si="164"/>
        <v>0</v>
      </c>
      <c r="T448" s="35">
        <f t="shared" si="165"/>
        <v>0</v>
      </c>
      <c r="U448" s="35">
        <f t="shared" si="185"/>
        <v>0</v>
      </c>
      <c r="V448" s="35">
        <f t="shared" si="185"/>
        <v>0</v>
      </c>
      <c r="W448" s="35">
        <f t="shared" si="185"/>
        <v>0</v>
      </c>
      <c r="X448" s="35">
        <f t="shared" si="185"/>
        <v>0</v>
      </c>
      <c r="Y448" s="35">
        <f t="shared" si="185"/>
        <v>0</v>
      </c>
      <c r="Z448" s="35">
        <f t="shared" si="185"/>
        <v>0</v>
      </c>
      <c r="AA448" s="35">
        <f t="shared" si="185"/>
        <v>0</v>
      </c>
    </row>
    <row r="449" spans="2:27" x14ac:dyDescent="0.2">
      <c r="B449" s="2">
        <v>447</v>
      </c>
      <c r="C449" s="2" t="str">
        <f t="shared" si="176"/>
        <v>c</v>
      </c>
      <c r="D449" s="29" t="s">
        <v>1</v>
      </c>
      <c r="E449" s="29" t="s">
        <v>219</v>
      </c>
      <c r="F449" s="2" t="s">
        <v>223</v>
      </c>
      <c r="G449" s="2">
        <f t="shared" si="169"/>
        <v>7</v>
      </c>
      <c r="H449" s="2" t="str">
        <f t="shared" si="161"/>
        <v>--</v>
      </c>
      <c r="I449" s="38">
        <f t="shared" si="162"/>
        <v>0</v>
      </c>
      <c r="J449" s="33">
        <f t="shared" si="183"/>
        <v>126</v>
      </c>
      <c r="K449" s="33">
        <f t="shared" si="184"/>
        <v>0</v>
      </c>
      <c r="L449" s="33">
        <f t="shared" si="184"/>
        <v>0</v>
      </c>
      <c r="M449" s="33">
        <f t="shared" si="184"/>
        <v>0</v>
      </c>
      <c r="N449" s="33">
        <f t="shared" si="184"/>
        <v>0</v>
      </c>
      <c r="O449" s="33">
        <f t="shared" si="184"/>
        <v>0</v>
      </c>
      <c r="P449" s="33">
        <f t="shared" si="184"/>
        <v>0</v>
      </c>
      <c r="Q449" s="33">
        <f t="shared" si="184"/>
        <v>0</v>
      </c>
      <c r="R449" s="35">
        <f t="shared" si="163"/>
        <v>0</v>
      </c>
      <c r="S449" s="35">
        <f t="shared" si="164"/>
        <v>0</v>
      </c>
      <c r="T449" s="35">
        <f t="shared" si="165"/>
        <v>0</v>
      </c>
      <c r="U449" s="35">
        <f t="shared" si="185"/>
        <v>0</v>
      </c>
      <c r="V449" s="35">
        <f t="shared" si="185"/>
        <v>0</v>
      </c>
      <c r="W449" s="35">
        <f t="shared" si="185"/>
        <v>0</v>
      </c>
      <c r="X449" s="35">
        <f t="shared" si="185"/>
        <v>0</v>
      </c>
      <c r="Y449" s="35">
        <f t="shared" si="185"/>
        <v>0</v>
      </c>
      <c r="Z449" s="35">
        <f t="shared" si="185"/>
        <v>0</v>
      </c>
      <c r="AA449" s="35">
        <f t="shared" si="185"/>
        <v>0</v>
      </c>
    </row>
    <row r="450" spans="2:27" x14ac:dyDescent="0.2">
      <c r="B450" s="2">
        <v>448</v>
      </c>
      <c r="C450" s="2" t="str">
        <f t="shared" si="176"/>
        <v>c</v>
      </c>
      <c r="D450" s="29" t="s">
        <v>1</v>
      </c>
      <c r="E450" s="29" t="s">
        <v>219</v>
      </c>
      <c r="F450" s="2" t="s">
        <v>223</v>
      </c>
      <c r="G450" s="2">
        <f t="shared" si="169"/>
        <v>8</v>
      </c>
      <c r="H450" s="2" t="str">
        <f t="shared" si="161"/>
        <v>--</v>
      </c>
      <c r="I450" s="38">
        <f t="shared" si="162"/>
        <v>0</v>
      </c>
      <c r="J450" s="33">
        <f t="shared" si="183"/>
        <v>144</v>
      </c>
      <c r="K450" s="33">
        <f t="shared" si="184"/>
        <v>0</v>
      </c>
      <c r="L450" s="33">
        <f t="shared" si="184"/>
        <v>0</v>
      </c>
      <c r="M450" s="33">
        <f t="shared" si="184"/>
        <v>0</v>
      </c>
      <c r="N450" s="33">
        <f t="shared" si="184"/>
        <v>0</v>
      </c>
      <c r="O450" s="33">
        <f t="shared" si="184"/>
        <v>0</v>
      </c>
      <c r="P450" s="33">
        <f t="shared" si="184"/>
        <v>0</v>
      </c>
      <c r="Q450" s="33">
        <f t="shared" si="184"/>
        <v>0</v>
      </c>
      <c r="R450" s="35">
        <f t="shared" si="163"/>
        <v>0</v>
      </c>
      <c r="S450" s="35">
        <f t="shared" si="164"/>
        <v>0</v>
      </c>
      <c r="T450" s="35">
        <f t="shared" si="165"/>
        <v>0</v>
      </c>
      <c r="U450" s="35">
        <f t="shared" si="185"/>
        <v>0</v>
      </c>
      <c r="V450" s="35">
        <f t="shared" si="185"/>
        <v>0</v>
      </c>
      <c r="W450" s="35">
        <f t="shared" si="185"/>
        <v>0</v>
      </c>
      <c r="X450" s="35">
        <f t="shared" si="185"/>
        <v>0</v>
      </c>
      <c r="Y450" s="35">
        <f t="shared" si="185"/>
        <v>0</v>
      </c>
      <c r="Z450" s="35">
        <f t="shared" si="185"/>
        <v>0</v>
      </c>
      <c r="AA450" s="35">
        <f t="shared" si="185"/>
        <v>0</v>
      </c>
    </row>
    <row r="451" spans="2:27" x14ac:dyDescent="0.2">
      <c r="B451" s="2">
        <v>449</v>
      </c>
      <c r="C451" s="2" t="str">
        <f t="shared" si="176"/>
        <v>s</v>
      </c>
      <c r="D451" s="29" t="s">
        <v>1</v>
      </c>
      <c r="E451" s="29" t="s">
        <v>219</v>
      </c>
      <c r="F451" s="2" t="s">
        <v>224</v>
      </c>
      <c r="G451" s="2">
        <f t="shared" si="169"/>
        <v>1</v>
      </c>
      <c r="H451" s="2" t="str">
        <f t="shared" ref="H451:H514" si="186">IF(C451="c","--",VLOOKUP(F451,role_property_weight,17,FALSE))</f>
        <v>黑暗</v>
      </c>
      <c r="I451" s="38">
        <f t="shared" si="162"/>
        <v>0.08</v>
      </c>
      <c r="J451" s="33">
        <f t="shared" si="183"/>
        <v>19</v>
      </c>
      <c r="K451" s="33">
        <f t="shared" si="184"/>
        <v>17</v>
      </c>
      <c r="L451" s="33">
        <f t="shared" si="184"/>
        <v>3</v>
      </c>
      <c r="M451" s="33">
        <f t="shared" si="184"/>
        <v>11</v>
      </c>
      <c r="N451" s="33">
        <f t="shared" si="184"/>
        <v>13</v>
      </c>
      <c r="O451" s="33">
        <f t="shared" si="184"/>
        <v>11</v>
      </c>
      <c r="P451" s="33">
        <f t="shared" si="184"/>
        <v>6</v>
      </c>
      <c r="Q451" s="33">
        <f t="shared" si="184"/>
        <v>6</v>
      </c>
      <c r="R451" s="35">
        <f t="shared" si="163"/>
        <v>1.2E-2</v>
      </c>
      <c r="S451" s="35">
        <f t="shared" si="164"/>
        <v>1.2E-2</v>
      </c>
      <c r="T451" s="35">
        <f t="shared" si="165"/>
        <v>7.4999999999999997E-3</v>
      </c>
      <c r="U451" s="35">
        <f t="shared" si="185"/>
        <v>1.4778325123152691E-2</v>
      </c>
      <c r="V451" s="35">
        <f t="shared" si="185"/>
        <v>1.4778325123152691E-2</v>
      </c>
      <c r="W451" s="35">
        <f t="shared" si="185"/>
        <v>1.4778325123152691E-2</v>
      </c>
      <c r="X451" s="35">
        <f t="shared" si="185"/>
        <v>1.4778325123152691E-2</v>
      </c>
      <c r="Y451" s="35">
        <f t="shared" si="185"/>
        <v>1.4778325123152691E-2</v>
      </c>
      <c r="Z451" s="35">
        <f t="shared" si="185"/>
        <v>7.8341013824884786E-2</v>
      </c>
      <c r="AA451" s="35">
        <f t="shared" si="185"/>
        <v>1.4778325123152691E-2</v>
      </c>
    </row>
    <row r="452" spans="2:27" x14ac:dyDescent="0.2">
      <c r="B452" s="2">
        <v>450</v>
      </c>
      <c r="C452" s="2" t="str">
        <f t="shared" si="176"/>
        <v>s</v>
      </c>
      <c r="D452" s="29" t="s">
        <v>1</v>
      </c>
      <c r="E452" s="29" t="s">
        <v>219</v>
      </c>
      <c r="F452" s="2" t="s">
        <v>224</v>
      </c>
      <c r="G452" s="2">
        <f t="shared" si="169"/>
        <v>2</v>
      </c>
      <c r="H452" s="2" t="str">
        <f t="shared" si="186"/>
        <v>黑暗</v>
      </c>
      <c r="I452" s="38">
        <f t="shared" ref="I452:I515" si="187">IF(H452="--",0,IF((SUM(J452:Q452)/35)%&lt;8%,8%,(SUM(J452:Q452)/35)%))</f>
        <v>0.08</v>
      </c>
      <c r="J452" s="33">
        <f t="shared" si="183"/>
        <v>38</v>
      </c>
      <c r="K452" s="33">
        <f t="shared" si="184"/>
        <v>35</v>
      </c>
      <c r="L452" s="33">
        <f t="shared" si="184"/>
        <v>6</v>
      </c>
      <c r="M452" s="33">
        <f t="shared" si="184"/>
        <v>23</v>
      </c>
      <c r="N452" s="33">
        <f t="shared" si="184"/>
        <v>27</v>
      </c>
      <c r="O452" s="33">
        <f t="shared" si="184"/>
        <v>23</v>
      </c>
      <c r="P452" s="33">
        <f t="shared" si="184"/>
        <v>12</v>
      </c>
      <c r="Q452" s="33">
        <f t="shared" si="184"/>
        <v>12</v>
      </c>
      <c r="R452" s="35">
        <f t="shared" ref="R452:R515" si="188">(Q452/5)%</f>
        <v>2.4E-2</v>
      </c>
      <c r="S452" s="35">
        <f t="shared" ref="S452:S515" si="189">(P452/5)%</f>
        <v>2.4E-2</v>
      </c>
      <c r="T452" s="35">
        <f t="shared" ref="T452:T515" si="190">(Q452/8)%</f>
        <v>1.4999999999999999E-2</v>
      </c>
      <c r="U452" s="35">
        <f t="shared" si="185"/>
        <v>2.9126213592232997E-2</v>
      </c>
      <c r="V452" s="35">
        <f t="shared" si="185"/>
        <v>2.9126213592232997E-2</v>
      </c>
      <c r="W452" s="35">
        <f t="shared" si="185"/>
        <v>2.9126213592232997E-2</v>
      </c>
      <c r="X452" s="35">
        <f t="shared" si="185"/>
        <v>2.9126213592232997E-2</v>
      </c>
      <c r="Y452" s="35">
        <f t="shared" si="185"/>
        <v>2.9126213592232997E-2</v>
      </c>
      <c r="Z452" s="35">
        <f t="shared" si="185"/>
        <v>0.14893617021276595</v>
      </c>
      <c r="AA452" s="35">
        <f t="shared" si="185"/>
        <v>2.9126213592232997E-2</v>
      </c>
    </row>
    <row r="453" spans="2:27" x14ac:dyDescent="0.2">
      <c r="B453" s="2">
        <v>451</v>
      </c>
      <c r="C453" s="2" t="str">
        <f t="shared" si="176"/>
        <v>s</v>
      </c>
      <c r="D453" s="29" t="s">
        <v>1</v>
      </c>
      <c r="E453" s="29" t="s">
        <v>219</v>
      </c>
      <c r="F453" s="2" t="s">
        <v>224</v>
      </c>
      <c r="G453" s="2">
        <f t="shared" si="169"/>
        <v>3</v>
      </c>
      <c r="H453" s="2" t="str">
        <f t="shared" si="186"/>
        <v>黑暗</v>
      </c>
      <c r="I453" s="38">
        <f t="shared" si="187"/>
        <v>0.08</v>
      </c>
      <c r="J453" s="33">
        <f t="shared" ref="J453:J462" si="191">INT((1+VLOOKUP($F453,role_property_weight,getpos(J$2),FALSE))*(1+VLOOKUP($F453,drop_property_weight,getpos(J$2),FALSE))*VLOOKUP($E453,role_grow,getpos(J$2),FALSE)*$G453*10*VLOOKUP($C453,drop_grow1,4,FALSE))</f>
        <v>57</v>
      </c>
      <c r="K453" s="33">
        <f t="shared" ref="K453:Q462" si="192">INT((1+VLOOKUP($F453,role_property_weight,getpos(K$2),FALSE))*(1+VLOOKUP($F453,drop_property_weight,getpos(K$2),FALSE))*VLOOKUP($E453,role_grow,getpos(K$2),FALSE)*$G453*10*VLOOKUP($C453,drop_grow1,5,FALSE))</f>
        <v>53</v>
      </c>
      <c r="L453" s="33">
        <f t="shared" si="192"/>
        <v>9</v>
      </c>
      <c r="M453" s="33">
        <f t="shared" si="192"/>
        <v>34</v>
      </c>
      <c r="N453" s="33">
        <f t="shared" si="192"/>
        <v>41</v>
      </c>
      <c r="O453" s="33">
        <f t="shared" si="192"/>
        <v>34</v>
      </c>
      <c r="P453" s="33">
        <f t="shared" si="192"/>
        <v>19</v>
      </c>
      <c r="Q453" s="33">
        <f t="shared" si="192"/>
        <v>18</v>
      </c>
      <c r="R453" s="35">
        <f t="shared" si="188"/>
        <v>3.6000000000000004E-2</v>
      </c>
      <c r="S453" s="35">
        <f t="shared" si="189"/>
        <v>3.7999999999999999E-2</v>
      </c>
      <c r="T453" s="35">
        <f t="shared" si="190"/>
        <v>2.2499999999999999E-2</v>
      </c>
      <c r="U453" s="35">
        <f t="shared" ref="U453:AA462" si="193">1-200/(200+ROUND((1+VLOOKUP($F453,role_property_weight,getpos(U$2),FALSE))*VLOOKUP($E453,role_grow,getpos(U$2),FALSE)*$G453*10*VLOOKUP($C453,drop_grow1,5,FALSE),0))</f>
        <v>4.3062200956937802E-2</v>
      </c>
      <c r="V453" s="35">
        <f t="shared" si="193"/>
        <v>4.3062200956937802E-2</v>
      </c>
      <c r="W453" s="35">
        <f t="shared" si="193"/>
        <v>4.3062200956937802E-2</v>
      </c>
      <c r="X453" s="35">
        <f t="shared" si="193"/>
        <v>4.3062200956937802E-2</v>
      </c>
      <c r="Y453" s="35">
        <f t="shared" si="193"/>
        <v>4.3062200956937802E-2</v>
      </c>
      <c r="Z453" s="35">
        <f t="shared" si="193"/>
        <v>0.20634920634920639</v>
      </c>
      <c r="AA453" s="35">
        <f t="shared" si="193"/>
        <v>4.3062200956937802E-2</v>
      </c>
    </row>
    <row r="454" spans="2:27" x14ac:dyDescent="0.2">
      <c r="B454" s="2">
        <v>452</v>
      </c>
      <c r="C454" s="2" t="str">
        <f t="shared" si="176"/>
        <v>s</v>
      </c>
      <c r="D454" s="29" t="s">
        <v>1</v>
      </c>
      <c r="E454" s="29" t="s">
        <v>219</v>
      </c>
      <c r="F454" s="2" t="s">
        <v>224</v>
      </c>
      <c r="G454" s="2">
        <f t="shared" si="169"/>
        <v>4</v>
      </c>
      <c r="H454" s="2" t="str">
        <f t="shared" si="186"/>
        <v>黑暗</v>
      </c>
      <c r="I454" s="38">
        <f t="shared" si="187"/>
        <v>0.1017142857142857</v>
      </c>
      <c r="J454" s="33">
        <f t="shared" si="191"/>
        <v>76</v>
      </c>
      <c r="K454" s="33">
        <f t="shared" si="192"/>
        <v>71</v>
      </c>
      <c r="L454" s="33">
        <f t="shared" si="192"/>
        <v>13</v>
      </c>
      <c r="M454" s="33">
        <f t="shared" si="192"/>
        <v>46</v>
      </c>
      <c r="N454" s="33">
        <f t="shared" si="192"/>
        <v>55</v>
      </c>
      <c r="O454" s="33">
        <f t="shared" si="192"/>
        <v>46</v>
      </c>
      <c r="P454" s="33">
        <f t="shared" si="192"/>
        <v>25</v>
      </c>
      <c r="Q454" s="33">
        <f t="shared" si="192"/>
        <v>24</v>
      </c>
      <c r="R454" s="35">
        <f t="shared" si="188"/>
        <v>4.8000000000000001E-2</v>
      </c>
      <c r="S454" s="35">
        <f t="shared" si="189"/>
        <v>0.05</v>
      </c>
      <c r="T454" s="35">
        <f t="shared" si="190"/>
        <v>0.03</v>
      </c>
      <c r="U454" s="35">
        <f t="shared" si="193"/>
        <v>5.6603773584905648E-2</v>
      </c>
      <c r="V454" s="35">
        <f t="shared" si="193"/>
        <v>5.6603773584905648E-2</v>
      </c>
      <c r="W454" s="35">
        <f t="shared" si="193"/>
        <v>5.6603773584905648E-2</v>
      </c>
      <c r="X454" s="35">
        <f t="shared" si="193"/>
        <v>5.6603773584905648E-2</v>
      </c>
      <c r="Y454" s="35">
        <f t="shared" si="193"/>
        <v>5.6603773584905648E-2</v>
      </c>
      <c r="Z454" s="35">
        <f t="shared" si="193"/>
        <v>0.25650557620817849</v>
      </c>
      <c r="AA454" s="35">
        <f t="shared" si="193"/>
        <v>5.6603773584905648E-2</v>
      </c>
    </row>
    <row r="455" spans="2:27" x14ac:dyDescent="0.2">
      <c r="B455" s="2">
        <v>453</v>
      </c>
      <c r="C455" s="2" t="str">
        <f t="shared" si="176"/>
        <v>s</v>
      </c>
      <c r="D455" s="29" t="s">
        <v>1</v>
      </c>
      <c r="E455" s="29" t="s">
        <v>219</v>
      </c>
      <c r="F455" s="2" t="s">
        <v>224</v>
      </c>
      <c r="G455" s="2">
        <f t="shared" si="169"/>
        <v>5</v>
      </c>
      <c r="H455" s="2" t="str">
        <f t="shared" si="186"/>
        <v>黑暗</v>
      </c>
      <c r="I455" s="38">
        <f t="shared" si="187"/>
        <v>0.12685714285714286</v>
      </c>
      <c r="J455" s="33">
        <f t="shared" si="191"/>
        <v>96</v>
      </c>
      <c r="K455" s="33">
        <f t="shared" si="192"/>
        <v>88</v>
      </c>
      <c r="L455" s="33">
        <f t="shared" si="192"/>
        <v>16</v>
      </c>
      <c r="M455" s="33">
        <f t="shared" si="192"/>
        <v>57</v>
      </c>
      <c r="N455" s="33">
        <f t="shared" si="192"/>
        <v>69</v>
      </c>
      <c r="O455" s="33">
        <f t="shared" si="192"/>
        <v>57</v>
      </c>
      <c r="P455" s="33">
        <f t="shared" si="192"/>
        <v>31</v>
      </c>
      <c r="Q455" s="33">
        <f t="shared" si="192"/>
        <v>30</v>
      </c>
      <c r="R455" s="35">
        <f t="shared" si="188"/>
        <v>0.06</v>
      </c>
      <c r="S455" s="35">
        <f t="shared" si="189"/>
        <v>6.2E-2</v>
      </c>
      <c r="T455" s="35">
        <f t="shared" si="190"/>
        <v>3.7499999999999999E-2</v>
      </c>
      <c r="U455" s="35">
        <f t="shared" si="193"/>
        <v>6.5420560747663559E-2</v>
      </c>
      <c r="V455" s="35">
        <f t="shared" si="193"/>
        <v>6.5420560747663559E-2</v>
      </c>
      <c r="W455" s="35">
        <f t="shared" si="193"/>
        <v>6.5420560747663559E-2</v>
      </c>
      <c r="X455" s="35">
        <f t="shared" si="193"/>
        <v>6.5420560747663559E-2</v>
      </c>
      <c r="Y455" s="35">
        <f t="shared" si="193"/>
        <v>6.5420560747663559E-2</v>
      </c>
      <c r="Z455" s="35">
        <f t="shared" si="193"/>
        <v>0.30069930069930073</v>
      </c>
      <c r="AA455" s="35">
        <f t="shared" si="193"/>
        <v>6.5420560747663559E-2</v>
      </c>
    </row>
    <row r="456" spans="2:27" x14ac:dyDescent="0.2">
      <c r="B456" s="2">
        <v>454</v>
      </c>
      <c r="C456" s="2" t="str">
        <f t="shared" si="176"/>
        <v>s</v>
      </c>
      <c r="D456" s="29" t="s">
        <v>1</v>
      </c>
      <c r="E456" s="29" t="s">
        <v>219</v>
      </c>
      <c r="F456" s="2" t="s">
        <v>224</v>
      </c>
      <c r="G456" s="2">
        <f t="shared" si="169"/>
        <v>6</v>
      </c>
      <c r="H456" s="2" t="str">
        <f t="shared" si="186"/>
        <v>黑暗</v>
      </c>
      <c r="I456" s="38">
        <f t="shared" si="187"/>
        <v>0.15257142857142858</v>
      </c>
      <c r="J456" s="33">
        <f t="shared" si="191"/>
        <v>115</v>
      </c>
      <c r="K456" s="33">
        <f t="shared" si="192"/>
        <v>106</v>
      </c>
      <c r="L456" s="33">
        <f t="shared" si="192"/>
        <v>19</v>
      </c>
      <c r="M456" s="33">
        <f t="shared" si="192"/>
        <v>69</v>
      </c>
      <c r="N456" s="33">
        <f t="shared" si="192"/>
        <v>82</v>
      </c>
      <c r="O456" s="33">
        <f t="shared" si="192"/>
        <v>69</v>
      </c>
      <c r="P456" s="33">
        <f t="shared" si="192"/>
        <v>38</v>
      </c>
      <c r="Q456" s="33">
        <f t="shared" si="192"/>
        <v>36</v>
      </c>
      <c r="R456" s="35">
        <f t="shared" si="188"/>
        <v>7.2000000000000008E-2</v>
      </c>
      <c r="S456" s="35">
        <f t="shared" si="189"/>
        <v>7.5999999999999998E-2</v>
      </c>
      <c r="T456" s="35">
        <f t="shared" si="190"/>
        <v>4.4999999999999998E-2</v>
      </c>
      <c r="U456" s="35">
        <f t="shared" si="193"/>
        <v>7.8341013824884786E-2</v>
      </c>
      <c r="V456" s="35">
        <f t="shared" si="193"/>
        <v>7.8341013824884786E-2</v>
      </c>
      <c r="W456" s="35">
        <f t="shared" si="193"/>
        <v>7.8341013824884786E-2</v>
      </c>
      <c r="X456" s="35">
        <f t="shared" si="193"/>
        <v>7.8341013824884786E-2</v>
      </c>
      <c r="Y456" s="35">
        <f t="shared" si="193"/>
        <v>7.8341013824884786E-2</v>
      </c>
      <c r="Z456" s="35">
        <f t="shared" si="193"/>
        <v>0.34210526315789469</v>
      </c>
      <c r="AA456" s="35">
        <f t="shared" si="193"/>
        <v>7.8341013824884786E-2</v>
      </c>
    </row>
    <row r="457" spans="2:27" x14ac:dyDescent="0.2">
      <c r="B457" s="2">
        <v>455</v>
      </c>
      <c r="C457" s="2" t="str">
        <f t="shared" si="176"/>
        <v>s</v>
      </c>
      <c r="D457" s="29" t="s">
        <v>1</v>
      </c>
      <c r="E457" s="29" t="s">
        <v>219</v>
      </c>
      <c r="F457" s="2" t="s">
        <v>224</v>
      </c>
      <c r="G457" s="2">
        <f t="shared" si="169"/>
        <v>7</v>
      </c>
      <c r="H457" s="2" t="str">
        <f t="shared" si="186"/>
        <v>黑暗</v>
      </c>
      <c r="I457" s="38">
        <f t="shared" si="187"/>
        <v>0.17771428571428571</v>
      </c>
      <c r="J457" s="33">
        <f t="shared" si="191"/>
        <v>134</v>
      </c>
      <c r="K457" s="33">
        <f t="shared" si="192"/>
        <v>124</v>
      </c>
      <c r="L457" s="33">
        <f t="shared" si="192"/>
        <v>22</v>
      </c>
      <c r="M457" s="33">
        <f t="shared" si="192"/>
        <v>80</v>
      </c>
      <c r="N457" s="33">
        <f t="shared" si="192"/>
        <v>96</v>
      </c>
      <c r="O457" s="33">
        <f t="shared" si="192"/>
        <v>80</v>
      </c>
      <c r="P457" s="33">
        <f t="shared" si="192"/>
        <v>44</v>
      </c>
      <c r="Q457" s="33">
        <f t="shared" si="192"/>
        <v>42</v>
      </c>
      <c r="R457" s="35">
        <f t="shared" si="188"/>
        <v>8.4000000000000005E-2</v>
      </c>
      <c r="S457" s="35">
        <f t="shared" si="189"/>
        <v>8.8000000000000009E-2</v>
      </c>
      <c r="T457" s="35">
        <f t="shared" si="190"/>
        <v>5.2499999999999998E-2</v>
      </c>
      <c r="U457" s="35">
        <f t="shared" si="193"/>
        <v>9.0909090909090939E-2</v>
      </c>
      <c r="V457" s="35">
        <f t="shared" si="193"/>
        <v>9.0909090909090939E-2</v>
      </c>
      <c r="W457" s="35">
        <f t="shared" si="193"/>
        <v>9.0909090909090939E-2</v>
      </c>
      <c r="X457" s="35">
        <f t="shared" si="193"/>
        <v>9.0909090909090939E-2</v>
      </c>
      <c r="Y457" s="35">
        <f t="shared" si="193"/>
        <v>9.0909090909090939E-2</v>
      </c>
      <c r="Z457" s="35">
        <f t="shared" si="193"/>
        <v>0.37694704049844241</v>
      </c>
      <c r="AA457" s="35">
        <f t="shared" si="193"/>
        <v>9.0909090909090939E-2</v>
      </c>
    </row>
    <row r="458" spans="2:27" x14ac:dyDescent="0.2">
      <c r="B458" s="2">
        <v>456</v>
      </c>
      <c r="C458" s="2" t="str">
        <f t="shared" si="176"/>
        <v>s</v>
      </c>
      <c r="D458" s="29" t="s">
        <v>1</v>
      </c>
      <c r="E458" s="29" t="s">
        <v>219</v>
      </c>
      <c r="F458" s="2" t="s">
        <v>224</v>
      </c>
      <c r="G458" s="2">
        <f t="shared" si="169"/>
        <v>8</v>
      </c>
      <c r="H458" s="2" t="str">
        <f t="shared" si="186"/>
        <v>黑暗</v>
      </c>
      <c r="I458" s="38">
        <f t="shared" si="187"/>
        <v>0.20371428571428571</v>
      </c>
      <c r="J458" s="33">
        <f t="shared" si="191"/>
        <v>153</v>
      </c>
      <c r="K458" s="33">
        <f t="shared" si="192"/>
        <v>142</v>
      </c>
      <c r="L458" s="33">
        <f t="shared" si="192"/>
        <v>26</v>
      </c>
      <c r="M458" s="33">
        <f t="shared" si="192"/>
        <v>92</v>
      </c>
      <c r="N458" s="33">
        <f t="shared" si="192"/>
        <v>110</v>
      </c>
      <c r="O458" s="33">
        <f t="shared" si="192"/>
        <v>92</v>
      </c>
      <c r="P458" s="33">
        <f t="shared" si="192"/>
        <v>50</v>
      </c>
      <c r="Q458" s="33">
        <f t="shared" si="192"/>
        <v>48</v>
      </c>
      <c r="R458" s="35">
        <f t="shared" si="188"/>
        <v>9.6000000000000002E-2</v>
      </c>
      <c r="S458" s="35">
        <f t="shared" si="189"/>
        <v>0.1</v>
      </c>
      <c r="T458" s="35">
        <f t="shared" si="190"/>
        <v>0.06</v>
      </c>
      <c r="U458" s="35">
        <f t="shared" si="193"/>
        <v>0.10313901345291476</v>
      </c>
      <c r="V458" s="35">
        <f t="shared" si="193"/>
        <v>0.10313901345291476</v>
      </c>
      <c r="W458" s="35">
        <f t="shared" si="193"/>
        <v>0.10313901345291476</v>
      </c>
      <c r="X458" s="35">
        <f t="shared" si="193"/>
        <v>0.10313901345291476</v>
      </c>
      <c r="Y458" s="35">
        <f t="shared" si="193"/>
        <v>0.10313901345291476</v>
      </c>
      <c r="Z458" s="35">
        <f t="shared" si="193"/>
        <v>0.40828402366863903</v>
      </c>
      <c r="AA458" s="35">
        <f t="shared" si="193"/>
        <v>0.10313901345291476</v>
      </c>
    </row>
    <row r="459" spans="2:27" x14ac:dyDescent="0.2">
      <c r="B459" s="2">
        <v>457</v>
      </c>
      <c r="C459" s="2" t="str">
        <f t="shared" si="176"/>
        <v>a</v>
      </c>
      <c r="D459" s="29" t="s">
        <v>1</v>
      </c>
      <c r="E459" s="29" t="s">
        <v>219</v>
      </c>
      <c r="F459" s="2" t="s">
        <v>224</v>
      </c>
      <c r="G459" s="2">
        <f t="shared" si="169"/>
        <v>1</v>
      </c>
      <c r="H459" s="2" t="str">
        <f t="shared" si="186"/>
        <v>黑暗</v>
      </c>
      <c r="I459" s="38">
        <f t="shared" si="187"/>
        <v>0.08</v>
      </c>
      <c r="J459" s="33">
        <f t="shared" si="191"/>
        <v>14</v>
      </c>
      <c r="K459" s="33">
        <f t="shared" si="192"/>
        <v>19</v>
      </c>
      <c r="L459" s="33">
        <f t="shared" si="192"/>
        <v>3</v>
      </c>
      <c r="M459" s="33">
        <f t="shared" si="192"/>
        <v>12</v>
      </c>
      <c r="N459" s="33">
        <f t="shared" si="192"/>
        <v>15</v>
      </c>
      <c r="O459" s="33">
        <f t="shared" si="192"/>
        <v>12</v>
      </c>
      <c r="P459" s="33">
        <f t="shared" si="192"/>
        <v>7</v>
      </c>
      <c r="Q459" s="33">
        <f t="shared" si="192"/>
        <v>6</v>
      </c>
      <c r="R459" s="35">
        <f t="shared" si="188"/>
        <v>1.2E-2</v>
      </c>
      <c r="S459" s="35">
        <f t="shared" si="189"/>
        <v>1.3999999999999999E-2</v>
      </c>
      <c r="T459" s="35">
        <f t="shared" si="190"/>
        <v>7.4999999999999997E-3</v>
      </c>
      <c r="U459" s="35">
        <f t="shared" si="193"/>
        <v>1.4778325123152691E-2</v>
      </c>
      <c r="V459" s="35">
        <f t="shared" si="193"/>
        <v>1.4778325123152691E-2</v>
      </c>
      <c r="W459" s="35">
        <f t="shared" si="193"/>
        <v>1.4778325123152691E-2</v>
      </c>
      <c r="X459" s="35">
        <f t="shared" si="193"/>
        <v>1.4778325123152691E-2</v>
      </c>
      <c r="Y459" s="35">
        <f t="shared" si="193"/>
        <v>1.4778325123152691E-2</v>
      </c>
      <c r="Z459" s="35">
        <f t="shared" si="193"/>
        <v>8.6757990867579959E-2</v>
      </c>
      <c r="AA459" s="35">
        <f t="shared" si="193"/>
        <v>1.4778325123152691E-2</v>
      </c>
    </row>
    <row r="460" spans="2:27" x14ac:dyDescent="0.2">
      <c r="B460" s="2">
        <v>458</v>
      </c>
      <c r="C460" s="2" t="str">
        <f t="shared" si="176"/>
        <v>a</v>
      </c>
      <c r="D460" s="29" t="s">
        <v>1</v>
      </c>
      <c r="E460" s="29" t="s">
        <v>219</v>
      </c>
      <c r="F460" s="2" t="s">
        <v>224</v>
      </c>
      <c r="G460" s="2">
        <f t="shared" ref="G460:G523" si="194">G452</f>
        <v>2</v>
      </c>
      <c r="H460" s="2" t="str">
        <f t="shared" si="186"/>
        <v>黑暗</v>
      </c>
      <c r="I460" s="38">
        <f t="shared" si="187"/>
        <v>0.08</v>
      </c>
      <c r="J460" s="33">
        <f t="shared" si="191"/>
        <v>28</v>
      </c>
      <c r="K460" s="33">
        <f t="shared" si="192"/>
        <v>39</v>
      </c>
      <c r="L460" s="33">
        <f t="shared" si="192"/>
        <v>7</v>
      </c>
      <c r="M460" s="33">
        <f t="shared" si="192"/>
        <v>25</v>
      </c>
      <c r="N460" s="33">
        <f t="shared" si="192"/>
        <v>30</v>
      </c>
      <c r="O460" s="33">
        <f t="shared" si="192"/>
        <v>25</v>
      </c>
      <c r="P460" s="33">
        <f t="shared" si="192"/>
        <v>14</v>
      </c>
      <c r="Q460" s="33">
        <f t="shared" si="192"/>
        <v>13</v>
      </c>
      <c r="R460" s="35">
        <f t="shared" si="188"/>
        <v>2.6000000000000002E-2</v>
      </c>
      <c r="S460" s="35">
        <f t="shared" si="189"/>
        <v>2.7999999999999997E-2</v>
      </c>
      <c r="T460" s="35">
        <f t="shared" si="190"/>
        <v>1.6250000000000001E-2</v>
      </c>
      <c r="U460" s="35">
        <f t="shared" si="193"/>
        <v>2.9126213592232997E-2</v>
      </c>
      <c r="V460" s="35">
        <f t="shared" si="193"/>
        <v>2.9126213592232997E-2</v>
      </c>
      <c r="W460" s="35">
        <f t="shared" si="193"/>
        <v>2.9126213592232997E-2</v>
      </c>
      <c r="X460" s="35">
        <f t="shared" si="193"/>
        <v>2.9126213592232997E-2</v>
      </c>
      <c r="Y460" s="35">
        <f t="shared" si="193"/>
        <v>2.9126213592232997E-2</v>
      </c>
      <c r="Z460" s="35">
        <f t="shared" si="193"/>
        <v>0.15966386554621848</v>
      </c>
      <c r="AA460" s="35">
        <f t="shared" si="193"/>
        <v>2.9126213592232997E-2</v>
      </c>
    </row>
    <row r="461" spans="2:27" x14ac:dyDescent="0.2">
      <c r="B461" s="2">
        <v>459</v>
      </c>
      <c r="C461" s="2" t="str">
        <f t="shared" si="176"/>
        <v>a</v>
      </c>
      <c r="D461" s="29" t="s">
        <v>1</v>
      </c>
      <c r="E461" s="29" t="s">
        <v>219</v>
      </c>
      <c r="F461" s="2" t="s">
        <v>224</v>
      </c>
      <c r="G461" s="2">
        <f t="shared" si="194"/>
        <v>3</v>
      </c>
      <c r="H461" s="2" t="str">
        <f t="shared" si="186"/>
        <v>黑暗</v>
      </c>
      <c r="I461" s="38">
        <f t="shared" si="187"/>
        <v>0.08</v>
      </c>
      <c r="J461" s="33">
        <f t="shared" si="191"/>
        <v>43</v>
      </c>
      <c r="K461" s="33">
        <f t="shared" si="192"/>
        <v>59</v>
      </c>
      <c r="L461" s="33">
        <f t="shared" si="192"/>
        <v>10</v>
      </c>
      <c r="M461" s="33">
        <f t="shared" si="192"/>
        <v>38</v>
      </c>
      <c r="N461" s="33">
        <f t="shared" si="192"/>
        <v>46</v>
      </c>
      <c r="O461" s="33">
        <f t="shared" si="192"/>
        <v>38</v>
      </c>
      <c r="P461" s="33">
        <f t="shared" si="192"/>
        <v>21</v>
      </c>
      <c r="Q461" s="33">
        <f t="shared" si="192"/>
        <v>20</v>
      </c>
      <c r="R461" s="35">
        <f t="shared" si="188"/>
        <v>0.04</v>
      </c>
      <c r="S461" s="35">
        <f t="shared" si="189"/>
        <v>4.2000000000000003E-2</v>
      </c>
      <c r="T461" s="35">
        <f t="shared" si="190"/>
        <v>2.5000000000000001E-2</v>
      </c>
      <c r="U461" s="35">
        <f t="shared" si="193"/>
        <v>4.7619047619047672E-2</v>
      </c>
      <c r="V461" s="35">
        <f t="shared" si="193"/>
        <v>4.7619047619047672E-2</v>
      </c>
      <c r="W461" s="35">
        <f t="shared" si="193"/>
        <v>4.7619047619047672E-2</v>
      </c>
      <c r="X461" s="35">
        <f t="shared" si="193"/>
        <v>4.7619047619047672E-2</v>
      </c>
      <c r="Y461" s="35">
        <f t="shared" si="193"/>
        <v>4.7619047619047672E-2</v>
      </c>
      <c r="Z461" s="35">
        <f t="shared" si="193"/>
        <v>0.22480620155038755</v>
      </c>
      <c r="AA461" s="35">
        <f t="shared" si="193"/>
        <v>4.7619047619047672E-2</v>
      </c>
    </row>
    <row r="462" spans="2:27" x14ac:dyDescent="0.2">
      <c r="B462" s="2">
        <v>460</v>
      </c>
      <c r="C462" s="2" t="str">
        <f t="shared" si="176"/>
        <v>a</v>
      </c>
      <c r="D462" s="29" t="s">
        <v>1</v>
      </c>
      <c r="E462" s="29" t="s">
        <v>219</v>
      </c>
      <c r="F462" s="2" t="s">
        <v>224</v>
      </c>
      <c r="G462" s="2">
        <f t="shared" si="194"/>
        <v>4</v>
      </c>
      <c r="H462" s="2" t="str">
        <f t="shared" si="186"/>
        <v>黑暗</v>
      </c>
      <c r="I462" s="38">
        <f t="shared" si="187"/>
        <v>0.10485714285714286</v>
      </c>
      <c r="J462" s="33">
        <f t="shared" si="191"/>
        <v>57</v>
      </c>
      <c r="K462" s="33">
        <f t="shared" si="192"/>
        <v>79</v>
      </c>
      <c r="L462" s="33">
        <f t="shared" si="192"/>
        <v>14</v>
      </c>
      <c r="M462" s="33">
        <f t="shared" si="192"/>
        <v>51</v>
      </c>
      <c r="N462" s="33">
        <f t="shared" si="192"/>
        <v>61</v>
      </c>
      <c r="O462" s="33">
        <f t="shared" si="192"/>
        <v>51</v>
      </c>
      <c r="P462" s="33">
        <f t="shared" si="192"/>
        <v>28</v>
      </c>
      <c r="Q462" s="33">
        <f t="shared" si="192"/>
        <v>26</v>
      </c>
      <c r="R462" s="35">
        <f t="shared" si="188"/>
        <v>5.2000000000000005E-2</v>
      </c>
      <c r="S462" s="35">
        <f t="shared" si="189"/>
        <v>5.5999999999999994E-2</v>
      </c>
      <c r="T462" s="35">
        <f t="shared" si="190"/>
        <v>3.2500000000000001E-2</v>
      </c>
      <c r="U462" s="35">
        <f t="shared" si="193"/>
        <v>6.1032863849765251E-2</v>
      </c>
      <c r="V462" s="35">
        <f t="shared" si="193"/>
        <v>6.1032863849765251E-2</v>
      </c>
      <c r="W462" s="35">
        <f t="shared" si="193"/>
        <v>6.1032863849765251E-2</v>
      </c>
      <c r="X462" s="35">
        <f t="shared" si="193"/>
        <v>6.1032863849765251E-2</v>
      </c>
      <c r="Y462" s="35">
        <f t="shared" si="193"/>
        <v>6.1032863849765251E-2</v>
      </c>
      <c r="Z462" s="35">
        <f t="shared" si="193"/>
        <v>0.27797833935018046</v>
      </c>
      <c r="AA462" s="35">
        <f t="shared" si="193"/>
        <v>6.1032863849765251E-2</v>
      </c>
    </row>
    <row r="463" spans="2:27" x14ac:dyDescent="0.2">
      <c r="B463" s="2">
        <v>461</v>
      </c>
      <c r="C463" s="2" t="str">
        <f t="shared" si="176"/>
        <v>a</v>
      </c>
      <c r="D463" s="29" t="s">
        <v>1</v>
      </c>
      <c r="E463" s="29" t="s">
        <v>219</v>
      </c>
      <c r="F463" s="2" t="s">
        <v>224</v>
      </c>
      <c r="G463" s="2">
        <f t="shared" si="194"/>
        <v>5</v>
      </c>
      <c r="H463" s="2" t="str">
        <f t="shared" si="186"/>
        <v>黑暗</v>
      </c>
      <c r="I463" s="38">
        <f t="shared" si="187"/>
        <v>0.13142857142857142</v>
      </c>
      <c r="J463" s="33">
        <f t="shared" ref="J463:J472" si="195">INT((1+VLOOKUP($F463,role_property_weight,getpos(J$2),FALSE))*(1+VLOOKUP($F463,drop_property_weight,getpos(J$2),FALSE))*VLOOKUP($E463,role_grow,getpos(J$2),FALSE)*$G463*10*VLOOKUP($C463,drop_grow1,4,FALSE))</f>
        <v>72</v>
      </c>
      <c r="K463" s="33">
        <f t="shared" ref="K463:Q472" si="196">INT((1+VLOOKUP($F463,role_property_weight,getpos(K$2),FALSE))*(1+VLOOKUP($F463,drop_property_weight,getpos(K$2),FALSE))*VLOOKUP($E463,role_grow,getpos(K$2),FALSE)*$G463*10*VLOOKUP($C463,drop_grow1,5,FALSE))</f>
        <v>98</v>
      </c>
      <c r="L463" s="33">
        <f t="shared" si="196"/>
        <v>18</v>
      </c>
      <c r="M463" s="33">
        <f t="shared" si="196"/>
        <v>64</v>
      </c>
      <c r="N463" s="33">
        <f t="shared" si="196"/>
        <v>76</v>
      </c>
      <c r="O463" s="33">
        <f t="shared" si="196"/>
        <v>64</v>
      </c>
      <c r="P463" s="33">
        <f t="shared" si="196"/>
        <v>35</v>
      </c>
      <c r="Q463" s="33">
        <f t="shared" si="196"/>
        <v>33</v>
      </c>
      <c r="R463" s="35">
        <f t="shared" si="188"/>
        <v>6.6000000000000003E-2</v>
      </c>
      <c r="S463" s="35">
        <f t="shared" si="189"/>
        <v>7.0000000000000007E-2</v>
      </c>
      <c r="T463" s="35">
        <f t="shared" si="190"/>
        <v>4.1250000000000002E-2</v>
      </c>
      <c r="U463" s="35">
        <f t="shared" ref="U463:AA472" si="197">1-200/(200+ROUND((1+VLOOKUP($F463,role_property_weight,getpos(U$2),FALSE))*VLOOKUP($E463,role_grow,getpos(U$2),FALSE)*$G463*10*VLOOKUP($C463,drop_grow1,5,FALSE),0))</f>
        <v>7.407407407407407E-2</v>
      </c>
      <c r="V463" s="35">
        <f t="shared" si="197"/>
        <v>7.407407407407407E-2</v>
      </c>
      <c r="W463" s="35">
        <f t="shared" si="197"/>
        <v>7.407407407407407E-2</v>
      </c>
      <c r="X463" s="35">
        <f t="shared" si="197"/>
        <v>7.407407407407407E-2</v>
      </c>
      <c r="Y463" s="35">
        <f t="shared" si="197"/>
        <v>7.407407407407407E-2</v>
      </c>
      <c r="Z463" s="35">
        <f t="shared" si="197"/>
        <v>0.32432432432432434</v>
      </c>
      <c r="AA463" s="35">
        <f t="shared" si="197"/>
        <v>7.407407407407407E-2</v>
      </c>
    </row>
    <row r="464" spans="2:27" x14ac:dyDescent="0.2">
      <c r="B464" s="2">
        <v>462</v>
      </c>
      <c r="C464" s="2" t="str">
        <f t="shared" si="176"/>
        <v>a</v>
      </c>
      <c r="D464" s="29" t="s">
        <v>1</v>
      </c>
      <c r="E464" s="29" t="s">
        <v>219</v>
      </c>
      <c r="F464" s="2" t="s">
        <v>224</v>
      </c>
      <c r="G464" s="2">
        <f t="shared" si="194"/>
        <v>6</v>
      </c>
      <c r="H464" s="2" t="str">
        <f t="shared" si="186"/>
        <v>黑暗</v>
      </c>
      <c r="I464" s="38">
        <f t="shared" si="187"/>
        <v>0.15742857142857142</v>
      </c>
      <c r="J464" s="33">
        <f t="shared" si="195"/>
        <v>86</v>
      </c>
      <c r="K464" s="33">
        <f t="shared" si="196"/>
        <v>118</v>
      </c>
      <c r="L464" s="33">
        <f t="shared" si="196"/>
        <v>21</v>
      </c>
      <c r="M464" s="33">
        <f t="shared" si="196"/>
        <v>76</v>
      </c>
      <c r="N464" s="33">
        <f t="shared" si="196"/>
        <v>92</v>
      </c>
      <c r="O464" s="33">
        <f t="shared" si="196"/>
        <v>76</v>
      </c>
      <c r="P464" s="33">
        <f t="shared" si="196"/>
        <v>42</v>
      </c>
      <c r="Q464" s="33">
        <f t="shared" si="196"/>
        <v>40</v>
      </c>
      <c r="R464" s="35">
        <f t="shared" si="188"/>
        <v>0.08</v>
      </c>
      <c r="S464" s="35">
        <f t="shared" si="189"/>
        <v>8.4000000000000005E-2</v>
      </c>
      <c r="T464" s="35">
        <f t="shared" si="190"/>
        <v>0.05</v>
      </c>
      <c r="U464" s="35">
        <f t="shared" si="197"/>
        <v>8.6757990867579959E-2</v>
      </c>
      <c r="V464" s="35">
        <f t="shared" si="197"/>
        <v>8.6757990867579959E-2</v>
      </c>
      <c r="W464" s="35">
        <f t="shared" si="197"/>
        <v>8.6757990867579959E-2</v>
      </c>
      <c r="X464" s="35">
        <f t="shared" si="197"/>
        <v>8.6757990867579959E-2</v>
      </c>
      <c r="Y464" s="35">
        <f t="shared" si="197"/>
        <v>8.6757990867579959E-2</v>
      </c>
      <c r="Z464" s="35">
        <f t="shared" si="197"/>
        <v>0.36507936507936511</v>
      </c>
      <c r="AA464" s="35">
        <f t="shared" si="197"/>
        <v>8.6757990867579959E-2</v>
      </c>
    </row>
    <row r="465" spans="2:27" x14ac:dyDescent="0.2">
      <c r="B465" s="2">
        <v>463</v>
      </c>
      <c r="C465" s="2" t="str">
        <f t="shared" si="176"/>
        <v>a</v>
      </c>
      <c r="D465" s="29" t="s">
        <v>1</v>
      </c>
      <c r="E465" s="29" t="s">
        <v>219</v>
      </c>
      <c r="F465" s="2" t="s">
        <v>224</v>
      </c>
      <c r="G465" s="2">
        <f t="shared" si="194"/>
        <v>7</v>
      </c>
      <c r="H465" s="2" t="str">
        <f t="shared" si="186"/>
        <v>黑暗</v>
      </c>
      <c r="I465" s="38">
        <f t="shared" si="187"/>
        <v>0.184</v>
      </c>
      <c r="J465" s="33">
        <f t="shared" si="195"/>
        <v>100</v>
      </c>
      <c r="K465" s="33">
        <f t="shared" si="196"/>
        <v>138</v>
      </c>
      <c r="L465" s="33">
        <f t="shared" si="196"/>
        <v>25</v>
      </c>
      <c r="M465" s="33">
        <f t="shared" si="196"/>
        <v>89</v>
      </c>
      <c r="N465" s="33">
        <f t="shared" si="196"/>
        <v>107</v>
      </c>
      <c r="O465" s="33">
        <f t="shared" si="196"/>
        <v>89</v>
      </c>
      <c r="P465" s="33">
        <f t="shared" si="196"/>
        <v>49</v>
      </c>
      <c r="Q465" s="33">
        <f t="shared" si="196"/>
        <v>47</v>
      </c>
      <c r="R465" s="35">
        <f t="shared" si="188"/>
        <v>9.4E-2</v>
      </c>
      <c r="S465" s="35">
        <f t="shared" si="189"/>
        <v>9.8000000000000004E-2</v>
      </c>
      <c r="T465" s="35">
        <f t="shared" si="190"/>
        <v>5.8749999999999997E-2</v>
      </c>
      <c r="U465" s="35">
        <f t="shared" si="197"/>
        <v>9.9099099099099086E-2</v>
      </c>
      <c r="V465" s="35">
        <f t="shared" si="197"/>
        <v>9.9099099099099086E-2</v>
      </c>
      <c r="W465" s="35">
        <f t="shared" si="197"/>
        <v>9.9099099099099086E-2</v>
      </c>
      <c r="X465" s="35">
        <f t="shared" si="197"/>
        <v>9.9099099099099086E-2</v>
      </c>
      <c r="Y465" s="35">
        <f t="shared" si="197"/>
        <v>9.9099099099099086E-2</v>
      </c>
      <c r="Z465" s="35">
        <f t="shared" si="197"/>
        <v>0.40119760479041922</v>
      </c>
      <c r="AA465" s="35">
        <f t="shared" si="197"/>
        <v>9.9099099099099086E-2</v>
      </c>
    </row>
    <row r="466" spans="2:27" x14ac:dyDescent="0.2">
      <c r="B466" s="2">
        <v>464</v>
      </c>
      <c r="C466" s="2" t="str">
        <f t="shared" si="176"/>
        <v>a</v>
      </c>
      <c r="D466" s="29" t="s">
        <v>1</v>
      </c>
      <c r="E466" s="29" t="s">
        <v>219</v>
      </c>
      <c r="F466" s="2" t="s">
        <v>224</v>
      </c>
      <c r="G466" s="2">
        <f t="shared" si="194"/>
        <v>8</v>
      </c>
      <c r="H466" s="2" t="str">
        <f t="shared" si="186"/>
        <v>黑暗</v>
      </c>
      <c r="I466" s="38">
        <f t="shared" si="187"/>
        <v>0.21057142857142858</v>
      </c>
      <c r="J466" s="33">
        <f t="shared" si="195"/>
        <v>115</v>
      </c>
      <c r="K466" s="33">
        <f t="shared" si="196"/>
        <v>158</v>
      </c>
      <c r="L466" s="33">
        <f t="shared" si="196"/>
        <v>29</v>
      </c>
      <c r="M466" s="33">
        <f t="shared" si="196"/>
        <v>102</v>
      </c>
      <c r="N466" s="33">
        <f t="shared" si="196"/>
        <v>122</v>
      </c>
      <c r="O466" s="33">
        <f t="shared" si="196"/>
        <v>102</v>
      </c>
      <c r="P466" s="33">
        <f t="shared" si="196"/>
        <v>56</v>
      </c>
      <c r="Q466" s="33">
        <f t="shared" si="196"/>
        <v>53</v>
      </c>
      <c r="R466" s="35">
        <f t="shared" si="188"/>
        <v>0.106</v>
      </c>
      <c r="S466" s="35">
        <f t="shared" si="189"/>
        <v>0.11199999999999999</v>
      </c>
      <c r="T466" s="35">
        <f t="shared" si="190"/>
        <v>6.6250000000000003E-2</v>
      </c>
      <c r="U466" s="35">
        <f t="shared" si="197"/>
        <v>0.11504424778761058</v>
      </c>
      <c r="V466" s="35">
        <f t="shared" si="197"/>
        <v>0.11504424778761058</v>
      </c>
      <c r="W466" s="35">
        <f t="shared" si="197"/>
        <v>0.11504424778761058</v>
      </c>
      <c r="X466" s="35">
        <f t="shared" si="197"/>
        <v>0.11504424778761058</v>
      </c>
      <c r="Y466" s="35">
        <f t="shared" si="197"/>
        <v>0.11504424778761058</v>
      </c>
      <c r="Z466" s="35">
        <f t="shared" si="197"/>
        <v>0.43502824858757061</v>
      </c>
      <c r="AA466" s="35">
        <f t="shared" si="197"/>
        <v>0.11504424778761058</v>
      </c>
    </row>
    <row r="467" spans="2:27" x14ac:dyDescent="0.2">
      <c r="B467" s="2">
        <v>465</v>
      </c>
      <c r="C467" s="2" t="str">
        <f t="shared" si="176"/>
        <v>b</v>
      </c>
      <c r="D467" s="29" t="s">
        <v>1</v>
      </c>
      <c r="E467" s="29" t="s">
        <v>219</v>
      </c>
      <c r="F467" s="2" t="s">
        <v>224</v>
      </c>
      <c r="G467" s="2">
        <f t="shared" si="194"/>
        <v>1</v>
      </c>
      <c r="H467" s="2" t="str">
        <f t="shared" si="186"/>
        <v>黑暗</v>
      </c>
      <c r="I467" s="38">
        <f t="shared" si="187"/>
        <v>0.08</v>
      </c>
      <c r="J467" s="33">
        <f t="shared" si="195"/>
        <v>16</v>
      </c>
      <c r="K467" s="33">
        <f t="shared" si="196"/>
        <v>29</v>
      </c>
      <c r="L467" s="33">
        <f t="shared" si="196"/>
        <v>5</v>
      </c>
      <c r="M467" s="33">
        <f t="shared" si="196"/>
        <v>19</v>
      </c>
      <c r="N467" s="33">
        <f t="shared" si="196"/>
        <v>23</v>
      </c>
      <c r="O467" s="33">
        <f t="shared" si="196"/>
        <v>19</v>
      </c>
      <c r="P467" s="33">
        <f t="shared" si="196"/>
        <v>10</v>
      </c>
      <c r="Q467" s="33">
        <f t="shared" si="196"/>
        <v>10</v>
      </c>
      <c r="R467" s="35">
        <f t="shared" si="188"/>
        <v>0.02</v>
      </c>
      <c r="S467" s="35">
        <f t="shared" si="189"/>
        <v>0.02</v>
      </c>
      <c r="T467" s="35">
        <f t="shared" si="190"/>
        <v>1.2500000000000001E-2</v>
      </c>
      <c r="U467" s="35">
        <f t="shared" si="197"/>
        <v>2.4390243902439046E-2</v>
      </c>
      <c r="V467" s="35">
        <f t="shared" si="197"/>
        <v>2.4390243902439046E-2</v>
      </c>
      <c r="W467" s="35">
        <f t="shared" si="197"/>
        <v>2.4390243902439046E-2</v>
      </c>
      <c r="X467" s="35">
        <f t="shared" si="197"/>
        <v>2.4390243902439046E-2</v>
      </c>
      <c r="Y467" s="35">
        <f t="shared" si="197"/>
        <v>2.4390243902439046E-2</v>
      </c>
      <c r="Z467" s="35">
        <f t="shared" si="197"/>
        <v>0.1266375545851528</v>
      </c>
      <c r="AA467" s="35">
        <f t="shared" si="197"/>
        <v>2.4390243902439046E-2</v>
      </c>
    </row>
    <row r="468" spans="2:27" x14ac:dyDescent="0.2">
      <c r="B468" s="2">
        <v>466</v>
      </c>
      <c r="C468" s="2" t="str">
        <f t="shared" si="176"/>
        <v>b</v>
      </c>
      <c r="D468" s="29" t="s">
        <v>1</v>
      </c>
      <c r="E468" s="29" t="s">
        <v>219</v>
      </c>
      <c r="F468" s="2" t="s">
        <v>224</v>
      </c>
      <c r="G468" s="2">
        <f t="shared" si="194"/>
        <v>2</v>
      </c>
      <c r="H468" s="2" t="str">
        <f t="shared" si="186"/>
        <v>黑暗</v>
      </c>
      <c r="I468" s="38">
        <f t="shared" si="187"/>
        <v>0.08</v>
      </c>
      <c r="J468" s="33">
        <f t="shared" si="195"/>
        <v>33</v>
      </c>
      <c r="K468" s="33">
        <f t="shared" si="196"/>
        <v>59</v>
      </c>
      <c r="L468" s="33">
        <f t="shared" si="196"/>
        <v>10</v>
      </c>
      <c r="M468" s="33">
        <f t="shared" si="196"/>
        <v>38</v>
      </c>
      <c r="N468" s="33">
        <f t="shared" si="196"/>
        <v>46</v>
      </c>
      <c r="O468" s="33">
        <f t="shared" si="196"/>
        <v>38</v>
      </c>
      <c r="P468" s="33">
        <f t="shared" si="196"/>
        <v>21</v>
      </c>
      <c r="Q468" s="33">
        <f t="shared" si="196"/>
        <v>20</v>
      </c>
      <c r="R468" s="35">
        <f t="shared" si="188"/>
        <v>0.04</v>
      </c>
      <c r="S468" s="35">
        <f t="shared" si="189"/>
        <v>4.2000000000000003E-2</v>
      </c>
      <c r="T468" s="35">
        <f t="shared" si="190"/>
        <v>2.5000000000000001E-2</v>
      </c>
      <c r="U468" s="35">
        <f t="shared" si="197"/>
        <v>4.7619047619047672E-2</v>
      </c>
      <c r="V468" s="35">
        <f t="shared" si="197"/>
        <v>4.7619047619047672E-2</v>
      </c>
      <c r="W468" s="35">
        <f t="shared" si="197"/>
        <v>4.7619047619047672E-2</v>
      </c>
      <c r="X468" s="35">
        <f t="shared" si="197"/>
        <v>4.7619047619047672E-2</v>
      </c>
      <c r="Y468" s="35">
        <f t="shared" si="197"/>
        <v>4.7619047619047672E-2</v>
      </c>
      <c r="Z468" s="35">
        <f t="shared" si="197"/>
        <v>0.22480620155038755</v>
      </c>
      <c r="AA468" s="35">
        <f t="shared" si="197"/>
        <v>4.7619047619047672E-2</v>
      </c>
    </row>
    <row r="469" spans="2:27" x14ac:dyDescent="0.2">
      <c r="B469" s="2">
        <v>467</v>
      </c>
      <c r="C469" s="2" t="str">
        <f t="shared" si="176"/>
        <v>b</v>
      </c>
      <c r="D469" s="29" t="s">
        <v>1</v>
      </c>
      <c r="E469" s="29" t="s">
        <v>219</v>
      </c>
      <c r="F469" s="2" t="s">
        <v>224</v>
      </c>
      <c r="G469" s="2">
        <f t="shared" si="194"/>
        <v>3</v>
      </c>
      <c r="H469" s="2" t="str">
        <f t="shared" si="186"/>
        <v>黑暗</v>
      </c>
      <c r="I469" s="38">
        <f t="shared" si="187"/>
        <v>0.11371428571428571</v>
      </c>
      <c r="J469" s="33">
        <f t="shared" si="195"/>
        <v>50</v>
      </c>
      <c r="K469" s="33">
        <f t="shared" si="196"/>
        <v>88</v>
      </c>
      <c r="L469" s="33">
        <f t="shared" si="196"/>
        <v>16</v>
      </c>
      <c r="M469" s="33">
        <f t="shared" si="196"/>
        <v>57</v>
      </c>
      <c r="N469" s="33">
        <f t="shared" si="196"/>
        <v>69</v>
      </c>
      <c r="O469" s="33">
        <f t="shared" si="196"/>
        <v>57</v>
      </c>
      <c r="P469" s="33">
        <f t="shared" si="196"/>
        <v>31</v>
      </c>
      <c r="Q469" s="33">
        <f t="shared" si="196"/>
        <v>30</v>
      </c>
      <c r="R469" s="35">
        <f t="shared" si="188"/>
        <v>0.06</v>
      </c>
      <c r="S469" s="35">
        <f t="shared" si="189"/>
        <v>6.2E-2</v>
      </c>
      <c r="T469" s="35">
        <f t="shared" si="190"/>
        <v>3.7499999999999999E-2</v>
      </c>
      <c r="U469" s="35">
        <f t="shared" si="197"/>
        <v>6.5420560747663559E-2</v>
      </c>
      <c r="V469" s="35">
        <f t="shared" si="197"/>
        <v>6.5420560747663559E-2</v>
      </c>
      <c r="W469" s="35">
        <f t="shared" si="197"/>
        <v>6.5420560747663559E-2</v>
      </c>
      <c r="X469" s="35">
        <f t="shared" si="197"/>
        <v>6.5420560747663559E-2</v>
      </c>
      <c r="Y469" s="35">
        <f t="shared" si="197"/>
        <v>6.5420560747663559E-2</v>
      </c>
      <c r="Z469" s="35">
        <f t="shared" si="197"/>
        <v>0.30069930069930073</v>
      </c>
      <c r="AA469" s="35">
        <f t="shared" si="197"/>
        <v>6.5420560747663559E-2</v>
      </c>
    </row>
    <row r="470" spans="2:27" x14ac:dyDescent="0.2">
      <c r="B470" s="2">
        <v>468</v>
      </c>
      <c r="C470" s="2" t="str">
        <f t="shared" si="176"/>
        <v>b</v>
      </c>
      <c r="D470" s="29" t="s">
        <v>1</v>
      </c>
      <c r="E470" s="29" t="s">
        <v>219</v>
      </c>
      <c r="F470" s="2" t="s">
        <v>224</v>
      </c>
      <c r="G470" s="2">
        <f t="shared" si="194"/>
        <v>4</v>
      </c>
      <c r="H470" s="2" t="str">
        <f t="shared" si="186"/>
        <v>黑暗</v>
      </c>
      <c r="I470" s="38">
        <f t="shared" si="187"/>
        <v>0.152</v>
      </c>
      <c r="J470" s="33">
        <f t="shared" si="195"/>
        <v>67</v>
      </c>
      <c r="K470" s="33">
        <f t="shared" si="196"/>
        <v>118</v>
      </c>
      <c r="L470" s="33">
        <f t="shared" si="196"/>
        <v>21</v>
      </c>
      <c r="M470" s="33">
        <f t="shared" si="196"/>
        <v>76</v>
      </c>
      <c r="N470" s="33">
        <f t="shared" si="196"/>
        <v>92</v>
      </c>
      <c r="O470" s="33">
        <f t="shared" si="196"/>
        <v>76</v>
      </c>
      <c r="P470" s="33">
        <f t="shared" si="196"/>
        <v>42</v>
      </c>
      <c r="Q470" s="33">
        <f t="shared" si="196"/>
        <v>40</v>
      </c>
      <c r="R470" s="35">
        <f t="shared" si="188"/>
        <v>0.08</v>
      </c>
      <c r="S470" s="35">
        <f t="shared" si="189"/>
        <v>8.4000000000000005E-2</v>
      </c>
      <c r="T470" s="35">
        <f t="shared" si="190"/>
        <v>0.05</v>
      </c>
      <c r="U470" s="35">
        <f t="shared" si="197"/>
        <v>8.6757990867579959E-2</v>
      </c>
      <c r="V470" s="35">
        <f t="shared" si="197"/>
        <v>8.6757990867579959E-2</v>
      </c>
      <c r="W470" s="35">
        <f t="shared" si="197"/>
        <v>8.6757990867579959E-2</v>
      </c>
      <c r="X470" s="35">
        <f t="shared" si="197"/>
        <v>8.6757990867579959E-2</v>
      </c>
      <c r="Y470" s="35">
        <f t="shared" si="197"/>
        <v>8.6757990867579959E-2</v>
      </c>
      <c r="Z470" s="35">
        <f t="shared" si="197"/>
        <v>0.36507936507936511</v>
      </c>
      <c r="AA470" s="35">
        <f t="shared" si="197"/>
        <v>8.6757990867579959E-2</v>
      </c>
    </row>
    <row r="471" spans="2:27" x14ac:dyDescent="0.2">
      <c r="B471" s="2">
        <v>469</v>
      </c>
      <c r="C471" s="2" t="str">
        <f t="shared" si="176"/>
        <v>b</v>
      </c>
      <c r="D471" s="29" t="s">
        <v>1</v>
      </c>
      <c r="E471" s="29" t="s">
        <v>219</v>
      </c>
      <c r="F471" s="2" t="s">
        <v>224</v>
      </c>
      <c r="G471" s="2">
        <f t="shared" si="194"/>
        <v>5</v>
      </c>
      <c r="H471" s="2" t="str">
        <f t="shared" si="186"/>
        <v>黑暗</v>
      </c>
      <c r="I471" s="38">
        <f t="shared" si="187"/>
        <v>0.19085714285714286</v>
      </c>
      <c r="J471" s="33">
        <f t="shared" si="195"/>
        <v>84</v>
      </c>
      <c r="K471" s="33">
        <f t="shared" si="196"/>
        <v>148</v>
      </c>
      <c r="L471" s="33">
        <f t="shared" si="196"/>
        <v>27</v>
      </c>
      <c r="M471" s="33">
        <f t="shared" si="196"/>
        <v>96</v>
      </c>
      <c r="N471" s="33">
        <f t="shared" si="196"/>
        <v>115</v>
      </c>
      <c r="O471" s="33">
        <f t="shared" si="196"/>
        <v>96</v>
      </c>
      <c r="P471" s="33">
        <f t="shared" si="196"/>
        <v>52</v>
      </c>
      <c r="Q471" s="33">
        <f t="shared" si="196"/>
        <v>50</v>
      </c>
      <c r="R471" s="35">
        <f t="shared" si="188"/>
        <v>0.1</v>
      </c>
      <c r="S471" s="35">
        <f t="shared" si="189"/>
        <v>0.10400000000000001</v>
      </c>
      <c r="T471" s="35">
        <f t="shared" si="190"/>
        <v>6.25E-2</v>
      </c>
      <c r="U471" s="35">
        <f t="shared" si="197"/>
        <v>0.1071428571428571</v>
      </c>
      <c r="V471" s="35">
        <f t="shared" si="197"/>
        <v>0.1071428571428571</v>
      </c>
      <c r="W471" s="35">
        <f t="shared" si="197"/>
        <v>0.1071428571428571</v>
      </c>
      <c r="X471" s="35">
        <f t="shared" si="197"/>
        <v>0.1071428571428571</v>
      </c>
      <c r="Y471" s="35">
        <f t="shared" si="197"/>
        <v>0.1071428571428571</v>
      </c>
      <c r="Z471" s="35">
        <f t="shared" si="197"/>
        <v>0.41860465116279066</v>
      </c>
      <c r="AA471" s="35">
        <f t="shared" si="197"/>
        <v>0.1071428571428571</v>
      </c>
    </row>
    <row r="472" spans="2:27" x14ac:dyDescent="0.2">
      <c r="B472" s="2">
        <v>470</v>
      </c>
      <c r="C472" s="2" t="str">
        <f t="shared" si="176"/>
        <v>b</v>
      </c>
      <c r="D472" s="29" t="s">
        <v>1</v>
      </c>
      <c r="E472" s="29" t="s">
        <v>219</v>
      </c>
      <c r="F472" s="2" t="s">
        <v>224</v>
      </c>
      <c r="G472" s="2">
        <f t="shared" si="194"/>
        <v>6</v>
      </c>
      <c r="H472" s="2" t="str">
        <f t="shared" si="186"/>
        <v>黑暗</v>
      </c>
      <c r="I472" s="38">
        <f t="shared" si="187"/>
        <v>0.22857142857142856</v>
      </c>
      <c r="J472" s="33">
        <f t="shared" si="195"/>
        <v>100</v>
      </c>
      <c r="K472" s="33">
        <f t="shared" si="196"/>
        <v>177</v>
      </c>
      <c r="L472" s="33">
        <f t="shared" si="196"/>
        <v>32</v>
      </c>
      <c r="M472" s="33">
        <f t="shared" si="196"/>
        <v>115</v>
      </c>
      <c r="N472" s="33">
        <f t="shared" si="196"/>
        <v>138</v>
      </c>
      <c r="O472" s="33">
        <f t="shared" si="196"/>
        <v>115</v>
      </c>
      <c r="P472" s="33">
        <f t="shared" si="196"/>
        <v>63</v>
      </c>
      <c r="Q472" s="33">
        <f t="shared" si="196"/>
        <v>60</v>
      </c>
      <c r="R472" s="35">
        <f t="shared" si="188"/>
        <v>0.12</v>
      </c>
      <c r="S472" s="35">
        <f t="shared" si="189"/>
        <v>0.126</v>
      </c>
      <c r="T472" s="35">
        <f t="shared" si="190"/>
        <v>7.4999999999999997E-2</v>
      </c>
      <c r="U472" s="35">
        <f t="shared" si="197"/>
        <v>0.1266375545851528</v>
      </c>
      <c r="V472" s="35">
        <f t="shared" si="197"/>
        <v>0.1266375545851528</v>
      </c>
      <c r="W472" s="35">
        <f t="shared" si="197"/>
        <v>0.1266375545851528</v>
      </c>
      <c r="X472" s="35">
        <f t="shared" si="197"/>
        <v>0.1266375545851528</v>
      </c>
      <c r="Y472" s="35">
        <f t="shared" si="197"/>
        <v>0.1266375545851528</v>
      </c>
      <c r="Z472" s="35">
        <f t="shared" si="197"/>
        <v>0.46380697050938335</v>
      </c>
      <c r="AA472" s="35">
        <f t="shared" si="197"/>
        <v>0.1266375545851528</v>
      </c>
    </row>
    <row r="473" spans="2:27" x14ac:dyDescent="0.2">
      <c r="B473" s="2">
        <v>471</v>
      </c>
      <c r="C473" s="2" t="str">
        <f t="shared" si="176"/>
        <v>b</v>
      </c>
      <c r="D473" s="29" t="s">
        <v>1</v>
      </c>
      <c r="E473" s="29" t="s">
        <v>219</v>
      </c>
      <c r="F473" s="2" t="s">
        <v>224</v>
      </c>
      <c r="G473" s="2">
        <f t="shared" si="194"/>
        <v>7</v>
      </c>
      <c r="H473" s="2" t="str">
        <f t="shared" si="186"/>
        <v>黑暗</v>
      </c>
      <c r="I473" s="38">
        <f t="shared" si="187"/>
        <v>0.26685714285714285</v>
      </c>
      <c r="J473" s="33">
        <f t="shared" ref="J473:J482" si="198">INT((1+VLOOKUP($F473,role_property_weight,getpos(J$2),FALSE))*(1+VLOOKUP($F473,drop_property_weight,getpos(J$2),FALSE))*VLOOKUP($E473,role_grow,getpos(J$2),FALSE)*$G473*10*VLOOKUP($C473,drop_grow1,4,FALSE))</f>
        <v>117</v>
      </c>
      <c r="K473" s="33">
        <f t="shared" ref="K473:Q482" si="199">INT((1+VLOOKUP($F473,role_property_weight,getpos(K$2),FALSE))*(1+VLOOKUP($F473,drop_property_weight,getpos(K$2),FALSE))*VLOOKUP($E473,role_grow,getpos(K$2),FALSE)*$G473*10*VLOOKUP($C473,drop_grow1,5,FALSE))</f>
        <v>207</v>
      </c>
      <c r="L473" s="33">
        <f t="shared" si="199"/>
        <v>38</v>
      </c>
      <c r="M473" s="33">
        <f t="shared" si="199"/>
        <v>134</v>
      </c>
      <c r="N473" s="33">
        <f t="shared" si="199"/>
        <v>161</v>
      </c>
      <c r="O473" s="33">
        <f t="shared" si="199"/>
        <v>134</v>
      </c>
      <c r="P473" s="33">
        <f t="shared" si="199"/>
        <v>73</v>
      </c>
      <c r="Q473" s="33">
        <f t="shared" si="199"/>
        <v>70</v>
      </c>
      <c r="R473" s="35">
        <f t="shared" si="188"/>
        <v>0.14000000000000001</v>
      </c>
      <c r="S473" s="35">
        <f t="shared" si="189"/>
        <v>0.14599999999999999</v>
      </c>
      <c r="T473" s="35">
        <f t="shared" si="190"/>
        <v>8.7499999999999994E-2</v>
      </c>
      <c r="U473" s="35">
        <f t="shared" ref="U473:AA482" si="200">1-200/(200+ROUND((1+VLOOKUP($F473,role_property_weight,getpos(U$2),FALSE))*VLOOKUP($E473,role_grow,getpos(U$2),FALSE)*$G473*10*VLOOKUP($C473,drop_grow1,5,FALSE),0))</f>
        <v>0.14529914529914534</v>
      </c>
      <c r="V473" s="35">
        <f t="shared" si="200"/>
        <v>0.14529914529914534</v>
      </c>
      <c r="W473" s="35">
        <f t="shared" si="200"/>
        <v>0.14529914529914534</v>
      </c>
      <c r="X473" s="35">
        <f t="shared" si="200"/>
        <v>0.14529914529914534</v>
      </c>
      <c r="Y473" s="35">
        <f t="shared" si="200"/>
        <v>0.14529914529914534</v>
      </c>
      <c r="Z473" s="35">
        <f t="shared" si="200"/>
        <v>0.50248756218905477</v>
      </c>
      <c r="AA473" s="35">
        <f t="shared" si="200"/>
        <v>0.14529914529914534</v>
      </c>
    </row>
    <row r="474" spans="2:27" x14ac:dyDescent="0.2">
      <c r="B474" s="2">
        <v>472</v>
      </c>
      <c r="C474" s="2" t="str">
        <f t="shared" si="176"/>
        <v>b</v>
      </c>
      <c r="D474" s="29" t="s">
        <v>1</v>
      </c>
      <c r="E474" s="29" t="s">
        <v>219</v>
      </c>
      <c r="F474" s="2" t="s">
        <v>224</v>
      </c>
      <c r="G474" s="2">
        <f t="shared" si="194"/>
        <v>8</v>
      </c>
      <c r="H474" s="2" t="str">
        <f t="shared" si="186"/>
        <v>黑暗</v>
      </c>
      <c r="I474" s="38">
        <f t="shared" si="187"/>
        <v>0.30514285714285716</v>
      </c>
      <c r="J474" s="33">
        <f t="shared" si="198"/>
        <v>134</v>
      </c>
      <c r="K474" s="33">
        <f t="shared" si="199"/>
        <v>237</v>
      </c>
      <c r="L474" s="33">
        <f t="shared" si="199"/>
        <v>43</v>
      </c>
      <c r="M474" s="33">
        <f t="shared" si="199"/>
        <v>153</v>
      </c>
      <c r="N474" s="33">
        <f t="shared" si="199"/>
        <v>184</v>
      </c>
      <c r="O474" s="33">
        <f t="shared" si="199"/>
        <v>153</v>
      </c>
      <c r="P474" s="33">
        <f t="shared" si="199"/>
        <v>84</v>
      </c>
      <c r="Q474" s="33">
        <f t="shared" si="199"/>
        <v>80</v>
      </c>
      <c r="R474" s="35">
        <f t="shared" si="188"/>
        <v>0.16</v>
      </c>
      <c r="S474" s="35">
        <f t="shared" si="189"/>
        <v>0.16800000000000001</v>
      </c>
      <c r="T474" s="35">
        <f t="shared" si="190"/>
        <v>0.1</v>
      </c>
      <c r="U474" s="35">
        <f t="shared" si="200"/>
        <v>0.15966386554621848</v>
      </c>
      <c r="V474" s="35">
        <f t="shared" si="200"/>
        <v>0.15966386554621848</v>
      </c>
      <c r="W474" s="35">
        <f t="shared" si="200"/>
        <v>0.15966386554621848</v>
      </c>
      <c r="X474" s="35">
        <f t="shared" si="200"/>
        <v>0.15966386554621848</v>
      </c>
      <c r="Y474" s="35">
        <f t="shared" si="200"/>
        <v>0.15966386554621848</v>
      </c>
      <c r="Z474" s="35">
        <f t="shared" si="200"/>
        <v>0.53488372093023262</v>
      </c>
      <c r="AA474" s="35">
        <f t="shared" si="200"/>
        <v>0.15966386554621848</v>
      </c>
    </row>
    <row r="475" spans="2:27" x14ac:dyDescent="0.2">
      <c r="B475" s="2">
        <v>473</v>
      </c>
      <c r="C475" s="2" t="str">
        <f t="shared" si="176"/>
        <v>c</v>
      </c>
      <c r="D475" s="29" t="s">
        <v>1</v>
      </c>
      <c r="E475" s="29" t="s">
        <v>219</v>
      </c>
      <c r="F475" s="2" t="s">
        <v>224</v>
      </c>
      <c r="G475" s="2">
        <f t="shared" si="194"/>
        <v>1</v>
      </c>
      <c r="H475" s="2" t="str">
        <f t="shared" si="186"/>
        <v>--</v>
      </c>
      <c r="I475" s="38">
        <f t="shared" si="187"/>
        <v>0</v>
      </c>
      <c r="J475" s="33">
        <f t="shared" si="198"/>
        <v>22</v>
      </c>
      <c r="K475" s="33">
        <f t="shared" si="199"/>
        <v>0</v>
      </c>
      <c r="L475" s="33">
        <f t="shared" si="199"/>
        <v>0</v>
      </c>
      <c r="M475" s="33">
        <f t="shared" si="199"/>
        <v>0</v>
      </c>
      <c r="N475" s="33">
        <f t="shared" si="199"/>
        <v>0</v>
      </c>
      <c r="O475" s="33">
        <f t="shared" si="199"/>
        <v>0</v>
      </c>
      <c r="P475" s="33">
        <f t="shared" si="199"/>
        <v>0</v>
      </c>
      <c r="Q475" s="33">
        <f t="shared" si="199"/>
        <v>0</v>
      </c>
      <c r="R475" s="35">
        <f t="shared" si="188"/>
        <v>0</v>
      </c>
      <c r="S475" s="35">
        <f t="shared" si="189"/>
        <v>0</v>
      </c>
      <c r="T475" s="35">
        <f t="shared" si="190"/>
        <v>0</v>
      </c>
      <c r="U475" s="35">
        <f t="shared" si="200"/>
        <v>0</v>
      </c>
      <c r="V475" s="35">
        <f t="shared" si="200"/>
        <v>0</v>
      </c>
      <c r="W475" s="35">
        <f t="shared" si="200"/>
        <v>0</v>
      </c>
      <c r="X475" s="35">
        <f t="shared" si="200"/>
        <v>0</v>
      </c>
      <c r="Y475" s="35">
        <f t="shared" si="200"/>
        <v>0</v>
      </c>
      <c r="Z475" s="35">
        <f t="shared" si="200"/>
        <v>0</v>
      </c>
      <c r="AA475" s="35">
        <f t="shared" si="200"/>
        <v>0</v>
      </c>
    </row>
    <row r="476" spans="2:27" x14ac:dyDescent="0.2">
      <c r="B476" s="2">
        <v>474</v>
      </c>
      <c r="C476" s="2" t="str">
        <f t="shared" si="176"/>
        <v>c</v>
      </c>
      <c r="D476" s="29" t="s">
        <v>1</v>
      </c>
      <c r="E476" s="29" t="s">
        <v>219</v>
      </c>
      <c r="F476" s="2" t="s">
        <v>224</v>
      </c>
      <c r="G476" s="2">
        <f t="shared" si="194"/>
        <v>2</v>
      </c>
      <c r="H476" s="2" t="str">
        <f t="shared" si="186"/>
        <v>--</v>
      </c>
      <c r="I476" s="38">
        <f t="shared" si="187"/>
        <v>0</v>
      </c>
      <c r="J476" s="33">
        <f t="shared" si="198"/>
        <v>45</v>
      </c>
      <c r="K476" s="33">
        <f t="shared" si="199"/>
        <v>0</v>
      </c>
      <c r="L476" s="33">
        <f t="shared" si="199"/>
        <v>0</v>
      </c>
      <c r="M476" s="33">
        <f t="shared" si="199"/>
        <v>0</v>
      </c>
      <c r="N476" s="33">
        <f t="shared" si="199"/>
        <v>0</v>
      </c>
      <c r="O476" s="33">
        <f t="shared" si="199"/>
        <v>0</v>
      </c>
      <c r="P476" s="33">
        <f t="shared" si="199"/>
        <v>0</v>
      </c>
      <c r="Q476" s="33">
        <f t="shared" si="199"/>
        <v>0</v>
      </c>
      <c r="R476" s="35">
        <f t="shared" si="188"/>
        <v>0</v>
      </c>
      <c r="S476" s="35">
        <f t="shared" si="189"/>
        <v>0</v>
      </c>
      <c r="T476" s="35">
        <f t="shared" si="190"/>
        <v>0</v>
      </c>
      <c r="U476" s="35">
        <f t="shared" si="200"/>
        <v>0</v>
      </c>
      <c r="V476" s="35">
        <f t="shared" si="200"/>
        <v>0</v>
      </c>
      <c r="W476" s="35">
        <f t="shared" si="200"/>
        <v>0</v>
      </c>
      <c r="X476" s="35">
        <f t="shared" si="200"/>
        <v>0</v>
      </c>
      <c r="Y476" s="35">
        <f t="shared" si="200"/>
        <v>0</v>
      </c>
      <c r="Z476" s="35">
        <f t="shared" si="200"/>
        <v>0</v>
      </c>
      <c r="AA476" s="35">
        <f t="shared" si="200"/>
        <v>0</v>
      </c>
    </row>
    <row r="477" spans="2:27" x14ac:dyDescent="0.2">
      <c r="B477" s="2">
        <v>475</v>
      </c>
      <c r="C477" s="2" t="str">
        <f t="shared" si="176"/>
        <v>c</v>
      </c>
      <c r="D477" s="29" t="s">
        <v>1</v>
      </c>
      <c r="E477" s="29" t="s">
        <v>219</v>
      </c>
      <c r="F477" s="2" t="s">
        <v>224</v>
      </c>
      <c r="G477" s="2">
        <f t="shared" si="194"/>
        <v>3</v>
      </c>
      <c r="H477" s="2" t="str">
        <f t="shared" si="186"/>
        <v>--</v>
      </c>
      <c r="I477" s="38">
        <f t="shared" si="187"/>
        <v>0</v>
      </c>
      <c r="J477" s="33">
        <f t="shared" si="198"/>
        <v>67</v>
      </c>
      <c r="K477" s="33">
        <f t="shared" si="199"/>
        <v>0</v>
      </c>
      <c r="L477" s="33">
        <f t="shared" si="199"/>
        <v>0</v>
      </c>
      <c r="M477" s="33">
        <f t="shared" si="199"/>
        <v>0</v>
      </c>
      <c r="N477" s="33">
        <f t="shared" si="199"/>
        <v>0</v>
      </c>
      <c r="O477" s="33">
        <f t="shared" si="199"/>
        <v>0</v>
      </c>
      <c r="P477" s="33">
        <f t="shared" si="199"/>
        <v>0</v>
      </c>
      <c r="Q477" s="33">
        <f t="shared" si="199"/>
        <v>0</v>
      </c>
      <c r="R477" s="35">
        <f t="shared" si="188"/>
        <v>0</v>
      </c>
      <c r="S477" s="35">
        <f t="shared" si="189"/>
        <v>0</v>
      </c>
      <c r="T477" s="35">
        <f t="shared" si="190"/>
        <v>0</v>
      </c>
      <c r="U477" s="35">
        <f t="shared" si="200"/>
        <v>0</v>
      </c>
      <c r="V477" s="35">
        <f t="shared" si="200"/>
        <v>0</v>
      </c>
      <c r="W477" s="35">
        <f t="shared" si="200"/>
        <v>0</v>
      </c>
      <c r="X477" s="35">
        <f t="shared" si="200"/>
        <v>0</v>
      </c>
      <c r="Y477" s="35">
        <f t="shared" si="200"/>
        <v>0</v>
      </c>
      <c r="Z477" s="35">
        <f t="shared" si="200"/>
        <v>0</v>
      </c>
      <c r="AA477" s="35">
        <f t="shared" si="200"/>
        <v>0</v>
      </c>
    </row>
    <row r="478" spans="2:27" x14ac:dyDescent="0.2">
      <c r="B478" s="2">
        <v>476</v>
      </c>
      <c r="C478" s="2" t="str">
        <f t="shared" si="176"/>
        <v>c</v>
      </c>
      <c r="D478" s="29" t="s">
        <v>1</v>
      </c>
      <c r="E478" s="29" t="s">
        <v>219</v>
      </c>
      <c r="F478" s="2" t="s">
        <v>224</v>
      </c>
      <c r="G478" s="2">
        <f t="shared" si="194"/>
        <v>4</v>
      </c>
      <c r="H478" s="2" t="str">
        <f t="shared" si="186"/>
        <v>--</v>
      </c>
      <c r="I478" s="38">
        <f t="shared" si="187"/>
        <v>0</v>
      </c>
      <c r="J478" s="33">
        <f t="shared" si="198"/>
        <v>90</v>
      </c>
      <c r="K478" s="33">
        <f t="shared" si="199"/>
        <v>0</v>
      </c>
      <c r="L478" s="33">
        <f t="shared" si="199"/>
        <v>0</v>
      </c>
      <c r="M478" s="33">
        <f t="shared" si="199"/>
        <v>0</v>
      </c>
      <c r="N478" s="33">
        <f t="shared" si="199"/>
        <v>0</v>
      </c>
      <c r="O478" s="33">
        <f t="shared" si="199"/>
        <v>0</v>
      </c>
      <c r="P478" s="33">
        <f t="shared" si="199"/>
        <v>0</v>
      </c>
      <c r="Q478" s="33">
        <f t="shared" si="199"/>
        <v>0</v>
      </c>
      <c r="R478" s="35">
        <f t="shared" si="188"/>
        <v>0</v>
      </c>
      <c r="S478" s="35">
        <f t="shared" si="189"/>
        <v>0</v>
      </c>
      <c r="T478" s="35">
        <f t="shared" si="190"/>
        <v>0</v>
      </c>
      <c r="U478" s="35">
        <f t="shared" si="200"/>
        <v>0</v>
      </c>
      <c r="V478" s="35">
        <f t="shared" si="200"/>
        <v>0</v>
      </c>
      <c r="W478" s="35">
        <f t="shared" si="200"/>
        <v>0</v>
      </c>
      <c r="X478" s="35">
        <f t="shared" si="200"/>
        <v>0</v>
      </c>
      <c r="Y478" s="35">
        <f t="shared" si="200"/>
        <v>0</v>
      </c>
      <c r="Z478" s="35">
        <f t="shared" si="200"/>
        <v>0</v>
      </c>
      <c r="AA478" s="35">
        <f t="shared" si="200"/>
        <v>0</v>
      </c>
    </row>
    <row r="479" spans="2:27" x14ac:dyDescent="0.2">
      <c r="B479" s="2">
        <v>477</v>
      </c>
      <c r="C479" s="2" t="str">
        <f t="shared" si="176"/>
        <v>c</v>
      </c>
      <c r="D479" s="29" t="s">
        <v>1</v>
      </c>
      <c r="E479" s="29" t="s">
        <v>219</v>
      </c>
      <c r="F479" s="2" t="s">
        <v>224</v>
      </c>
      <c r="G479" s="2">
        <f t="shared" si="194"/>
        <v>5</v>
      </c>
      <c r="H479" s="2" t="str">
        <f t="shared" si="186"/>
        <v>--</v>
      </c>
      <c r="I479" s="38">
        <f t="shared" si="187"/>
        <v>0</v>
      </c>
      <c r="J479" s="33">
        <f t="shared" si="198"/>
        <v>112</v>
      </c>
      <c r="K479" s="33">
        <f t="shared" si="199"/>
        <v>0</v>
      </c>
      <c r="L479" s="33">
        <f t="shared" si="199"/>
        <v>0</v>
      </c>
      <c r="M479" s="33">
        <f t="shared" si="199"/>
        <v>0</v>
      </c>
      <c r="N479" s="33">
        <f t="shared" si="199"/>
        <v>0</v>
      </c>
      <c r="O479" s="33">
        <f t="shared" si="199"/>
        <v>0</v>
      </c>
      <c r="P479" s="33">
        <f t="shared" si="199"/>
        <v>0</v>
      </c>
      <c r="Q479" s="33">
        <f t="shared" si="199"/>
        <v>0</v>
      </c>
      <c r="R479" s="35">
        <f t="shared" si="188"/>
        <v>0</v>
      </c>
      <c r="S479" s="35">
        <f t="shared" si="189"/>
        <v>0</v>
      </c>
      <c r="T479" s="35">
        <f t="shared" si="190"/>
        <v>0</v>
      </c>
      <c r="U479" s="35">
        <f t="shared" si="200"/>
        <v>0</v>
      </c>
      <c r="V479" s="35">
        <f t="shared" si="200"/>
        <v>0</v>
      </c>
      <c r="W479" s="35">
        <f t="shared" si="200"/>
        <v>0</v>
      </c>
      <c r="X479" s="35">
        <f t="shared" si="200"/>
        <v>0</v>
      </c>
      <c r="Y479" s="35">
        <f t="shared" si="200"/>
        <v>0</v>
      </c>
      <c r="Z479" s="35">
        <f t="shared" si="200"/>
        <v>0</v>
      </c>
      <c r="AA479" s="35">
        <f t="shared" si="200"/>
        <v>0</v>
      </c>
    </row>
    <row r="480" spans="2:27" x14ac:dyDescent="0.2">
      <c r="B480" s="2">
        <v>478</v>
      </c>
      <c r="C480" s="2" t="str">
        <f t="shared" si="176"/>
        <v>c</v>
      </c>
      <c r="D480" s="29" t="s">
        <v>1</v>
      </c>
      <c r="E480" s="29" t="s">
        <v>219</v>
      </c>
      <c r="F480" s="2" t="s">
        <v>224</v>
      </c>
      <c r="G480" s="2">
        <f t="shared" si="194"/>
        <v>6</v>
      </c>
      <c r="H480" s="2" t="str">
        <f t="shared" si="186"/>
        <v>--</v>
      </c>
      <c r="I480" s="38">
        <f t="shared" si="187"/>
        <v>0</v>
      </c>
      <c r="J480" s="33">
        <f t="shared" si="198"/>
        <v>135</v>
      </c>
      <c r="K480" s="33">
        <f t="shared" si="199"/>
        <v>0</v>
      </c>
      <c r="L480" s="33">
        <f t="shared" si="199"/>
        <v>0</v>
      </c>
      <c r="M480" s="33">
        <f t="shared" si="199"/>
        <v>0</v>
      </c>
      <c r="N480" s="33">
        <f t="shared" si="199"/>
        <v>0</v>
      </c>
      <c r="O480" s="33">
        <f t="shared" si="199"/>
        <v>0</v>
      </c>
      <c r="P480" s="33">
        <f t="shared" si="199"/>
        <v>0</v>
      </c>
      <c r="Q480" s="33">
        <f t="shared" si="199"/>
        <v>0</v>
      </c>
      <c r="R480" s="35">
        <f t="shared" si="188"/>
        <v>0</v>
      </c>
      <c r="S480" s="35">
        <f t="shared" si="189"/>
        <v>0</v>
      </c>
      <c r="T480" s="35">
        <f t="shared" si="190"/>
        <v>0</v>
      </c>
      <c r="U480" s="35">
        <f t="shared" si="200"/>
        <v>0</v>
      </c>
      <c r="V480" s="35">
        <f t="shared" si="200"/>
        <v>0</v>
      </c>
      <c r="W480" s="35">
        <f t="shared" si="200"/>
        <v>0</v>
      </c>
      <c r="X480" s="35">
        <f t="shared" si="200"/>
        <v>0</v>
      </c>
      <c r="Y480" s="35">
        <f t="shared" si="200"/>
        <v>0</v>
      </c>
      <c r="Z480" s="35">
        <f t="shared" si="200"/>
        <v>0</v>
      </c>
      <c r="AA480" s="35">
        <f t="shared" si="200"/>
        <v>0</v>
      </c>
    </row>
    <row r="481" spans="2:27" x14ac:dyDescent="0.2">
      <c r="B481" s="2">
        <v>479</v>
      </c>
      <c r="C481" s="2" t="str">
        <f t="shared" si="176"/>
        <v>c</v>
      </c>
      <c r="D481" s="29" t="s">
        <v>1</v>
      </c>
      <c r="E481" s="29" t="s">
        <v>219</v>
      </c>
      <c r="F481" s="2" t="s">
        <v>224</v>
      </c>
      <c r="G481" s="2">
        <f t="shared" si="194"/>
        <v>7</v>
      </c>
      <c r="H481" s="2" t="str">
        <f t="shared" si="186"/>
        <v>--</v>
      </c>
      <c r="I481" s="38">
        <f t="shared" si="187"/>
        <v>0</v>
      </c>
      <c r="J481" s="33">
        <f t="shared" si="198"/>
        <v>157</v>
      </c>
      <c r="K481" s="33">
        <f t="shared" si="199"/>
        <v>0</v>
      </c>
      <c r="L481" s="33">
        <f t="shared" si="199"/>
        <v>0</v>
      </c>
      <c r="M481" s="33">
        <f t="shared" si="199"/>
        <v>0</v>
      </c>
      <c r="N481" s="33">
        <f t="shared" si="199"/>
        <v>0</v>
      </c>
      <c r="O481" s="33">
        <f t="shared" si="199"/>
        <v>0</v>
      </c>
      <c r="P481" s="33">
        <f t="shared" si="199"/>
        <v>0</v>
      </c>
      <c r="Q481" s="33">
        <f t="shared" si="199"/>
        <v>0</v>
      </c>
      <c r="R481" s="35">
        <f t="shared" si="188"/>
        <v>0</v>
      </c>
      <c r="S481" s="35">
        <f t="shared" si="189"/>
        <v>0</v>
      </c>
      <c r="T481" s="35">
        <f t="shared" si="190"/>
        <v>0</v>
      </c>
      <c r="U481" s="35">
        <f t="shared" si="200"/>
        <v>0</v>
      </c>
      <c r="V481" s="35">
        <f t="shared" si="200"/>
        <v>0</v>
      </c>
      <c r="W481" s="35">
        <f t="shared" si="200"/>
        <v>0</v>
      </c>
      <c r="X481" s="35">
        <f t="shared" si="200"/>
        <v>0</v>
      </c>
      <c r="Y481" s="35">
        <f t="shared" si="200"/>
        <v>0</v>
      </c>
      <c r="Z481" s="35">
        <f t="shared" si="200"/>
        <v>0</v>
      </c>
      <c r="AA481" s="35">
        <f t="shared" si="200"/>
        <v>0</v>
      </c>
    </row>
    <row r="482" spans="2:27" x14ac:dyDescent="0.2">
      <c r="B482" s="2">
        <v>480</v>
      </c>
      <c r="C482" s="2" t="str">
        <f t="shared" si="176"/>
        <v>c</v>
      </c>
      <c r="D482" s="29" t="s">
        <v>1</v>
      </c>
      <c r="E482" s="29" t="s">
        <v>219</v>
      </c>
      <c r="F482" s="2" t="s">
        <v>224</v>
      </c>
      <c r="G482" s="2">
        <f t="shared" si="194"/>
        <v>8</v>
      </c>
      <c r="H482" s="2" t="str">
        <f t="shared" si="186"/>
        <v>--</v>
      </c>
      <c r="I482" s="38">
        <f t="shared" si="187"/>
        <v>0</v>
      </c>
      <c r="J482" s="33">
        <f t="shared" si="198"/>
        <v>180</v>
      </c>
      <c r="K482" s="33">
        <f t="shared" si="199"/>
        <v>0</v>
      </c>
      <c r="L482" s="33">
        <f t="shared" si="199"/>
        <v>0</v>
      </c>
      <c r="M482" s="33">
        <f t="shared" si="199"/>
        <v>0</v>
      </c>
      <c r="N482" s="33">
        <f t="shared" si="199"/>
        <v>0</v>
      </c>
      <c r="O482" s="33">
        <f t="shared" si="199"/>
        <v>0</v>
      </c>
      <c r="P482" s="33">
        <f t="shared" si="199"/>
        <v>0</v>
      </c>
      <c r="Q482" s="33">
        <f t="shared" si="199"/>
        <v>0</v>
      </c>
      <c r="R482" s="35">
        <f t="shared" si="188"/>
        <v>0</v>
      </c>
      <c r="S482" s="35">
        <f t="shared" si="189"/>
        <v>0</v>
      </c>
      <c r="T482" s="35">
        <f t="shared" si="190"/>
        <v>0</v>
      </c>
      <c r="U482" s="35">
        <f t="shared" si="200"/>
        <v>0</v>
      </c>
      <c r="V482" s="35">
        <f t="shared" si="200"/>
        <v>0</v>
      </c>
      <c r="W482" s="35">
        <f t="shared" si="200"/>
        <v>0</v>
      </c>
      <c r="X482" s="35">
        <f t="shared" si="200"/>
        <v>0</v>
      </c>
      <c r="Y482" s="35">
        <f t="shared" si="200"/>
        <v>0</v>
      </c>
      <c r="Z482" s="35">
        <f t="shared" si="200"/>
        <v>0</v>
      </c>
      <c r="AA482" s="35">
        <f t="shared" si="200"/>
        <v>0</v>
      </c>
    </row>
    <row r="483" spans="2:27" x14ac:dyDescent="0.2">
      <c r="B483" s="2">
        <v>481</v>
      </c>
      <c r="C483" s="2" t="str">
        <f t="shared" si="176"/>
        <v>s</v>
      </c>
      <c r="D483" s="29" t="s">
        <v>1</v>
      </c>
      <c r="E483" s="29" t="s">
        <v>219</v>
      </c>
      <c r="F483" s="2" t="s">
        <v>225</v>
      </c>
      <c r="G483" s="2">
        <f t="shared" si="194"/>
        <v>1</v>
      </c>
      <c r="H483" s="2" t="str">
        <f t="shared" si="186"/>
        <v>冷却</v>
      </c>
      <c r="I483" s="38">
        <f t="shared" si="187"/>
        <v>0.08</v>
      </c>
      <c r="J483" s="33">
        <f t="shared" ref="J483:J492" si="201">INT((1+VLOOKUP($F483,role_property_weight,getpos(J$2),FALSE))*(1+VLOOKUP($F483,drop_property_weight,getpos(J$2),FALSE))*VLOOKUP($E483,role_grow,getpos(J$2),FALSE)*$G483*10*VLOOKUP($C483,drop_grow1,4,FALSE))</f>
        <v>23</v>
      </c>
      <c r="K483" s="33">
        <f t="shared" ref="K483:Q492" si="202">INT((1+VLOOKUP($F483,role_property_weight,getpos(K$2),FALSE))*(1+VLOOKUP($F483,drop_property_weight,getpos(K$2),FALSE))*VLOOKUP($E483,role_grow,getpos(K$2),FALSE)*$G483*10*VLOOKUP($C483,drop_grow1,5,FALSE))</f>
        <v>19</v>
      </c>
      <c r="L483" s="33">
        <f t="shared" si="202"/>
        <v>3</v>
      </c>
      <c r="M483" s="33">
        <f t="shared" si="202"/>
        <v>12</v>
      </c>
      <c r="N483" s="33">
        <f t="shared" si="202"/>
        <v>10</v>
      </c>
      <c r="O483" s="33">
        <f t="shared" si="202"/>
        <v>11</v>
      </c>
      <c r="P483" s="33">
        <f t="shared" si="202"/>
        <v>6</v>
      </c>
      <c r="Q483" s="33">
        <f t="shared" si="202"/>
        <v>5</v>
      </c>
      <c r="R483" s="35">
        <f t="shared" si="188"/>
        <v>0.01</v>
      </c>
      <c r="S483" s="35">
        <f t="shared" si="189"/>
        <v>1.2E-2</v>
      </c>
      <c r="T483" s="35">
        <f t="shared" si="190"/>
        <v>6.2500000000000003E-3</v>
      </c>
      <c r="U483" s="35">
        <f t="shared" ref="U483:AA492" si="203">1-200/(200+ROUND((1+VLOOKUP($F483,role_property_weight,getpos(U$2),FALSE))*VLOOKUP($E483,role_grow,getpos(U$2),FALSE)*$G483*10*VLOOKUP($C483,drop_grow1,5,FALSE),0))</f>
        <v>1.4778325123152691E-2</v>
      </c>
      <c r="V483" s="35">
        <f t="shared" si="203"/>
        <v>1.4778325123152691E-2</v>
      </c>
      <c r="W483" s="35">
        <f t="shared" si="203"/>
        <v>7.8341013824884786E-2</v>
      </c>
      <c r="X483" s="35">
        <f t="shared" si="203"/>
        <v>1.4778325123152691E-2</v>
      </c>
      <c r="Y483" s="35">
        <f t="shared" si="203"/>
        <v>1.4778325123152691E-2</v>
      </c>
      <c r="Z483" s="35">
        <f t="shared" si="203"/>
        <v>1.4778325123152691E-2</v>
      </c>
      <c r="AA483" s="35">
        <f t="shared" si="203"/>
        <v>1.4778325123152691E-2</v>
      </c>
    </row>
    <row r="484" spans="2:27" x14ac:dyDescent="0.2">
      <c r="B484" s="2">
        <v>482</v>
      </c>
      <c r="C484" s="2" t="str">
        <f t="shared" ref="C484:C547" si="204">C452</f>
        <v>s</v>
      </c>
      <c r="D484" s="29" t="s">
        <v>1</v>
      </c>
      <c r="E484" s="29" t="s">
        <v>219</v>
      </c>
      <c r="F484" s="2" t="s">
        <v>225</v>
      </c>
      <c r="G484" s="2">
        <f t="shared" si="194"/>
        <v>2</v>
      </c>
      <c r="H484" s="2" t="str">
        <f t="shared" si="186"/>
        <v>冷却</v>
      </c>
      <c r="I484" s="38">
        <f t="shared" si="187"/>
        <v>0.08</v>
      </c>
      <c r="J484" s="33">
        <f t="shared" si="201"/>
        <v>46</v>
      </c>
      <c r="K484" s="33">
        <f t="shared" si="202"/>
        <v>39</v>
      </c>
      <c r="L484" s="33">
        <f t="shared" si="202"/>
        <v>6</v>
      </c>
      <c r="M484" s="33">
        <f t="shared" si="202"/>
        <v>25</v>
      </c>
      <c r="N484" s="33">
        <f t="shared" si="202"/>
        <v>20</v>
      </c>
      <c r="O484" s="33">
        <f t="shared" si="202"/>
        <v>23</v>
      </c>
      <c r="P484" s="33">
        <f t="shared" si="202"/>
        <v>12</v>
      </c>
      <c r="Q484" s="33">
        <f t="shared" si="202"/>
        <v>11</v>
      </c>
      <c r="R484" s="35">
        <f t="shared" si="188"/>
        <v>2.2000000000000002E-2</v>
      </c>
      <c r="S484" s="35">
        <f t="shared" si="189"/>
        <v>2.4E-2</v>
      </c>
      <c r="T484" s="35">
        <f t="shared" si="190"/>
        <v>1.375E-2</v>
      </c>
      <c r="U484" s="35">
        <f t="shared" si="203"/>
        <v>2.9126213592232997E-2</v>
      </c>
      <c r="V484" s="35">
        <f t="shared" si="203"/>
        <v>2.9126213592232997E-2</v>
      </c>
      <c r="W484" s="35">
        <f t="shared" si="203"/>
        <v>0.14893617021276595</v>
      </c>
      <c r="X484" s="35">
        <f t="shared" si="203"/>
        <v>2.9126213592232997E-2</v>
      </c>
      <c r="Y484" s="35">
        <f t="shared" si="203"/>
        <v>2.9126213592232997E-2</v>
      </c>
      <c r="Z484" s="35">
        <f t="shared" si="203"/>
        <v>2.9126213592232997E-2</v>
      </c>
      <c r="AA484" s="35">
        <f t="shared" si="203"/>
        <v>2.9126213592232997E-2</v>
      </c>
    </row>
    <row r="485" spans="2:27" x14ac:dyDescent="0.2">
      <c r="B485" s="2">
        <v>483</v>
      </c>
      <c r="C485" s="2" t="str">
        <f t="shared" si="204"/>
        <v>s</v>
      </c>
      <c r="D485" s="29" t="s">
        <v>1</v>
      </c>
      <c r="E485" s="29" t="s">
        <v>219</v>
      </c>
      <c r="F485" s="2" t="s">
        <v>225</v>
      </c>
      <c r="G485" s="2">
        <f t="shared" si="194"/>
        <v>3</v>
      </c>
      <c r="H485" s="2" t="str">
        <f t="shared" si="186"/>
        <v>冷却</v>
      </c>
      <c r="I485" s="38">
        <f t="shared" si="187"/>
        <v>0.08</v>
      </c>
      <c r="J485" s="33">
        <f t="shared" si="201"/>
        <v>69</v>
      </c>
      <c r="K485" s="33">
        <f t="shared" si="202"/>
        <v>58</v>
      </c>
      <c r="L485" s="33">
        <f t="shared" si="202"/>
        <v>9</v>
      </c>
      <c r="M485" s="33">
        <f t="shared" si="202"/>
        <v>38</v>
      </c>
      <c r="N485" s="33">
        <f t="shared" si="202"/>
        <v>31</v>
      </c>
      <c r="O485" s="33">
        <f t="shared" si="202"/>
        <v>34</v>
      </c>
      <c r="P485" s="33">
        <f t="shared" si="202"/>
        <v>19</v>
      </c>
      <c r="Q485" s="33">
        <f t="shared" si="202"/>
        <v>17</v>
      </c>
      <c r="R485" s="35">
        <f t="shared" si="188"/>
        <v>3.4000000000000002E-2</v>
      </c>
      <c r="S485" s="35">
        <f t="shared" si="189"/>
        <v>3.7999999999999999E-2</v>
      </c>
      <c r="T485" s="35">
        <f t="shared" si="190"/>
        <v>2.1250000000000002E-2</v>
      </c>
      <c r="U485" s="35">
        <f t="shared" si="203"/>
        <v>4.3062200956937802E-2</v>
      </c>
      <c r="V485" s="35">
        <f t="shared" si="203"/>
        <v>4.3062200956937802E-2</v>
      </c>
      <c r="W485" s="35">
        <f t="shared" si="203"/>
        <v>0.20634920634920639</v>
      </c>
      <c r="X485" s="35">
        <f t="shared" si="203"/>
        <v>4.3062200956937802E-2</v>
      </c>
      <c r="Y485" s="35">
        <f t="shared" si="203"/>
        <v>4.3062200956937802E-2</v>
      </c>
      <c r="Z485" s="35">
        <f t="shared" si="203"/>
        <v>4.3062200956937802E-2</v>
      </c>
      <c r="AA485" s="35">
        <f t="shared" si="203"/>
        <v>4.3062200956937802E-2</v>
      </c>
    </row>
    <row r="486" spans="2:27" x14ac:dyDescent="0.2">
      <c r="B486" s="2">
        <v>484</v>
      </c>
      <c r="C486" s="2" t="str">
        <f t="shared" si="204"/>
        <v>s</v>
      </c>
      <c r="D486" s="29" t="s">
        <v>1</v>
      </c>
      <c r="E486" s="29" t="s">
        <v>219</v>
      </c>
      <c r="F486" s="2" t="s">
        <v>225</v>
      </c>
      <c r="G486" s="2">
        <f t="shared" si="194"/>
        <v>4</v>
      </c>
      <c r="H486" s="2" t="str">
        <f t="shared" si="186"/>
        <v>冷却</v>
      </c>
      <c r="I486" s="38">
        <f t="shared" si="187"/>
        <v>0.10485714285714286</v>
      </c>
      <c r="J486" s="33">
        <f t="shared" si="201"/>
        <v>92</v>
      </c>
      <c r="K486" s="33">
        <f t="shared" si="202"/>
        <v>78</v>
      </c>
      <c r="L486" s="33">
        <f t="shared" si="202"/>
        <v>12</v>
      </c>
      <c r="M486" s="33">
        <f t="shared" si="202"/>
        <v>50</v>
      </c>
      <c r="N486" s="33">
        <f t="shared" si="202"/>
        <v>41</v>
      </c>
      <c r="O486" s="33">
        <f t="shared" si="202"/>
        <v>46</v>
      </c>
      <c r="P486" s="33">
        <f t="shared" si="202"/>
        <v>25</v>
      </c>
      <c r="Q486" s="33">
        <f t="shared" si="202"/>
        <v>23</v>
      </c>
      <c r="R486" s="35">
        <f t="shared" si="188"/>
        <v>4.5999999999999999E-2</v>
      </c>
      <c r="S486" s="35">
        <f t="shared" si="189"/>
        <v>0.05</v>
      </c>
      <c r="T486" s="35">
        <f t="shared" si="190"/>
        <v>2.8750000000000001E-2</v>
      </c>
      <c r="U486" s="35">
        <f t="shared" si="203"/>
        <v>5.6603773584905648E-2</v>
      </c>
      <c r="V486" s="35">
        <f t="shared" si="203"/>
        <v>5.6603773584905648E-2</v>
      </c>
      <c r="W486" s="35">
        <f t="shared" si="203"/>
        <v>0.25650557620817849</v>
      </c>
      <c r="X486" s="35">
        <f t="shared" si="203"/>
        <v>5.6603773584905648E-2</v>
      </c>
      <c r="Y486" s="35">
        <f t="shared" si="203"/>
        <v>5.6603773584905648E-2</v>
      </c>
      <c r="Z486" s="35">
        <f t="shared" si="203"/>
        <v>5.6603773584905648E-2</v>
      </c>
      <c r="AA486" s="35">
        <f t="shared" si="203"/>
        <v>5.6603773584905648E-2</v>
      </c>
    </row>
    <row r="487" spans="2:27" x14ac:dyDescent="0.2">
      <c r="B487" s="2">
        <v>485</v>
      </c>
      <c r="C487" s="2" t="str">
        <f t="shared" si="204"/>
        <v>s</v>
      </c>
      <c r="D487" s="29" t="s">
        <v>1</v>
      </c>
      <c r="E487" s="29" t="s">
        <v>219</v>
      </c>
      <c r="F487" s="2" t="s">
        <v>225</v>
      </c>
      <c r="G487" s="2">
        <f t="shared" si="194"/>
        <v>5</v>
      </c>
      <c r="H487" s="2" t="str">
        <f t="shared" si="186"/>
        <v>冷却</v>
      </c>
      <c r="I487" s="38">
        <f t="shared" si="187"/>
        <v>0.13085714285714287</v>
      </c>
      <c r="J487" s="33">
        <f t="shared" si="201"/>
        <v>115</v>
      </c>
      <c r="K487" s="33">
        <f t="shared" si="202"/>
        <v>98</v>
      </c>
      <c r="L487" s="33">
        <f t="shared" si="202"/>
        <v>15</v>
      </c>
      <c r="M487" s="33">
        <f t="shared" si="202"/>
        <v>63</v>
      </c>
      <c r="N487" s="33">
        <f t="shared" si="202"/>
        <v>51</v>
      </c>
      <c r="O487" s="33">
        <f t="shared" si="202"/>
        <v>57</v>
      </c>
      <c r="P487" s="33">
        <f t="shared" si="202"/>
        <v>31</v>
      </c>
      <c r="Q487" s="33">
        <f t="shared" si="202"/>
        <v>28</v>
      </c>
      <c r="R487" s="35">
        <f t="shared" si="188"/>
        <v>5.5999999999999994E-2</v>
      </c>
      <c r="S487" s="35">
        <f t="shared" si="189"/>
        <v>6.2E-2</v>
      </c>
      <c r="T487" s="35">
        <f t="shared" si="190"/>
        <v>3.5000000000000003E-2</v>
      </c>
      <c r="U487" s="35">
        <f t="shared" si="203"/>
        <v>6.5420560747663559E-2</v>
      </c>
      <c r="V487" s="35">
        <f t="shared" si="203"/>
        <v>6.5420560747663559E-2</v>
      </c>
      <c r="W487" s="35">
        <f t="shared" si="203"/>
        <v>0.30069930069930073</v>
      </c>
      <c r="X487" s="35">
        <f t="shared" si="203"/>
        <v>6.5420560747663559E-2</v>
      </c>
      <c r="Y487" s="35">
        <f t="shared" si="203"/>
        <v>6.5420560747663559E-2</v>
      </c>
      <c r="Z487" s="35">
        <f t="shared" si="203"/>
        <v>6.5420560747663559E-2</v>
      </c>
      <c r="AA487" s="35">
        <f t="shared" si="203"/>
        <v>6.5420560747663559E-2</v>
      </c>
    </row>
    <row r="488" spans="2:27" x14ac:dyDescent="0.2">
      <c r="B488" s="2">
        <v>486</v>
      </c>
      <c r="C488" s="2" t="str">
        <f t="shared" si="204"/>
        <v>s</v>
      </c>
      <c r="D488" s="29" t="s">
        <v>1</v>
      </c>
      <c r="E488" s="29" t="s">
        <v>219</v>
      </c>
      <c r="F488" s="2" t="s">
        <v>225</v>
      </c>
      <c r="G488" s="2">
        <f t="shared" si="194"/>
        <v>6</v>
      </c>
      <c r="H488" s="2" t="str">
        <f t="shared" si="186"/>
        <v>冷却</v>
      </c>
      <c r="I488" s="38">
        <f t="shared" si="187"/>
        <v>0.15771428571428572</v>
      </c>
      <c r="J488" s="33">
        <f t="shared" si="201"/>
        <v>138</v>
      </c>
      <c r="K488" s="33">
        <f t="shared" si="202"/>
        <v>117</v>
      </c>
      <c r="L488" s="33">
        <f t="shared" si="202"/>
        <v>18</v>
      </c>
      <c r="M488" s="33">
        <f t="shared" si="202"/>
        <v>76</v>
      </c>
      <c r="N488" s="33">
        <f t="shared" si="202"/>
        <v>62</v>
      </c>
      <c r="O488" s="33">
        <f t="shared" si="202"/>
        <v>69</v>
      </c>
      <c r="P488" s="33">
        <f t="shared" si="202"/>
        <v>38</v>
      </c>
      <c r="Q488" s="33">
        <f t="shared" si="202"/>
        <v>34</v>
      </c>
      <c r="R488" s="35">
        <f t="shared" si="188"/>
        <v>6.8000000000000005E-2</v>
      </c>
      <c r="S488" s="35">
        <f t="shared" si="189"/>
        <v>7.5999999999999998E-2</v>
      </c>
      <c r="T488" s="35">
        <f t="shared" si="190"/>
        <v>4.2500000000000003E-2</v>
      </c>
      <c r="U488" s="35">
        <f t="shared" si="203"/>
        <v>7.8341013824884786E-2</v>
      </c>
      <c r="V488" s="35">
        <f t="shared" si="203"/>
        <v>7.8341013824884786E-2</v>
      </c>
      <c r="W488" s="35">
        <f t="shared" si="203"/>
        <v>0.34210526315789469</v>
      </c>
      <c r="X488" s="35">
        <f t="shared" si="203"/>
        <v>7.8341013824884786E-2</v>
      </c>
      <c r="Y488" s="35">
        <f t="shared" si="203"/>
        <v>7.8341013824884786E-2</v>
      </c>
      <c r="Z488" s="35">
        <f t="shared" si="203"/>
        <v>7.8341013824884786E-2</v>
      </c>
      <c r="AA488" s="35">
        <f t="shared" si="203"/>
        <v>7.8341013824884786E-2</v>
      </c>
    </row>
    <row r="489" spans="2:27" x14ac:dyDescent="0.2">
      <c r="B489" s="2">
        <v>487</v>
      </c>
      <c r="C489" s="2" t="str">
        <f t="shared" si="204"/>
        <v>s</v>
      </c>
      <c r="D489" s="29" t="s">
        <v>1</v>
      </c>
      <c r="E489" s="29" t="s">
        <v>219</v>
      </c>
      <c r="F489" s="2" t="s">
        <v>225</v>
      </c>
      <c r="G489" s="2">
        <f t="shared" si="194"/>
        <v>7</v>
      </c>
      <c r="H489" s="2" t="str">
        <f t="shared" si="186"/>
        <v>冷却</v>
      </c>
      <c r="I489" s="38">
        <f t="shared" si="187"/>
        <v>0.18371428571428569</v>
      </c>
      <c r="J489" s="33">
        <f t="shared" si="201"/>
        <v>161</v>
      </c>
      <c r="K489" s="33">
        <f t="shared" si="202"/>
        <v>137</v>
      </c>
      <c r="L489" s="33">
        <f t="shared" si="202"/>
        <v>21</v>
      </c>
      <c r="M489" s="33">
        <f t="shared" si="202"/>
        <v>88</v>
      </c>
      <c r="N489" s="33">
        <f t="shared" si="202"/>
        <v>72</v>
      </c>
      <c r="O489" s="33">
        <f t="shared" si="202"/>
        <v>80</v>
      </c>
      <c r="P489" s="33">
        <f t="shared" si="202"/>
        <v>44</v>
      </c>
      <c r="Q489" s="33">
        <f t="shared" si="202"/>
        <v>40</v>
      </c>
      <c r="R489" s="35">
        <f t="shared" si="188"/>
        <v>0.08</v>
      </c>
      <c r="S489" s="35">
        <f t="shared" si="189"/>
        <v>8.8000000000000009E-2</v>
      </c>
      <c r="T489" s="35">
        <f t="shared" si="190"/>
        <v>0.05</v>
      </c>
      <c r="U489" s="35">
        <f t="shared" si="203"/>
        <v>9.0909090909090939E-2</v>
      </c>
      <c r="V489" s="35">
        <f t="shared" si="203"/>
        <v>9.0909090909090939E-2</v>
      </c>
      <c r="W489" s="35">
        <f t="shared" si="203"/>
        <v>0.37694704049844241</v>
      </c>
      <c r="X489" s="35">
        <f t="shared" si="203"/>
        <v>9.0909090909090939E-2</v>
      </c>
      <c r="Y489" s="35">
        <f t="shared" si="203"/>
        <v>9.0909090909090939E-2</v>
      </c>
      <c r="Z489" s="35">
        <f t="shared" si="203"/>
        <v>9.0909090909090939E-2</v>
      </c>
      <c r="AA489" s="35">
        <f t="shared" si="203"/>
        <v>9.0909090909090939E-2</v>
      </c>
    </row>
    <row r="490" spans="2:27" x14ac:dyDescent="0.2">
      <c r="B490" s="2">
        <v>488</v>
      </c>
      <c r="C490" s="2" t="str">
        <f t="shared" si="204"/>
        <v>s</v>
      </c>
      <c r="D490" s="29" t="s">
        <v>1</v>
      </c>
      <c r="E490" s="29" t="s">
        <v>219</v>
      </c>
      <c r="F490" s="2" t="s">
        <v>225</v>
      </c>
      <c r="G490" s="2">
        <f t="shared" si="194"/>
        <v>8</v>
      </c>
      <c r="H490" s="2" t="str">
        <f t="shared" si="186"/>
        <v>冷却</v>
      </c>
      <c r="I490" s="38">
        <f t="shared" si="187"/>
        <v>0.2102857142857143</v>
      </c>
      <c r="J490" s="33">
        <f t="shared" si="201"/>
        <v>184</v>
      </c>
      <c r="K490" s="33">
        <f t="shared" si="202"/>
        <v>157</v>
      </c>
      <c r="L490" s="33">
        <f t="shared" si="202"/>
        <v>24</v>
      </c>
      <c r="M490" s="33">
        <f t="shared" si="202"/>
        <v>101</v>
      </c>
      <c r="N490" s="33">
        <f t="shared" si="202"/>
        <v>82</v>
      </c>
      <c r="O490" s="33">
        <f t="shared" si="202"/>
        <v>92</v>
      </c>
      <c r="P490" s="33">
        <f t="shared" si="202"/>
        <v>50</v>
      </c>
      <c r="Q490" s="33">
        <f t="shared" si="202"/>
        <v>46</v>
      </c>
      <c r="R490" s="35">
        <f t="shared" si="188"/>
        <v>9.1999999999999998E-2</v>
      </c>
      <c r="S490" s="35">
        <f t="shared" si="189"/>
        <v>0.1</v>
      </c>
      <c r="T490" s="35">
        <f t="shared" si="190"/>
        <v>5.7500000000000002E-2</v>
      </c>
      <c r="U490" s="35">
        <f t="shared" si="203"/>
        <v>0.10313901345291476</v>
      </c>
      <c r="V490" s="35">
        <f t="shared" si="203"/>
        <v>0.10313901345291476</v>
      </c>
      <c r="W490" s="35">
        <f t="shared" si="203"/>
        <v>0.40828402366863903</v>
      </c>
      <c r="X490" s="35">
        <f t="shared" si="203"/>
        <v>0.10313901345291476</v>
      </c>
      <c r="Y490" s="35">
        <f t="shared" si="203"/>
        <v>0.10313901345291476</v>
      </c>
      <c r="Z490" s="35">
        <f t="shared" si="203"/>
        <v>0.10313901345291476</v>
      </c>
      <c r="AA490" s="35">
        <f t="shared" si="203"/>
        <v>0.10313901345291476</v>
      </c>
    </row>
    <row r="491" spans="2:27" x14ac:dyDescent="0.2">
      <c r="B491" s="2">
        <v>489</v>
      </c>
      <c r="C491" s="2" t="str">
        <f t="shared" si="204"/>
        <v>a</v>
      </c>
      <c r="D491" s="29" t="s">
        <v>1</v>
      </c>
      <c r="E491" s="29" t="s">
        <v>219</v>
      </c>
      <c r="F491" s="2" t="s">
        <v>225</v>
      </c>
      <c r="G491" s="2">
        <f t="shared" si="194"/>
        <v>1</v>
      </c>
      <c r="H491" s="2" t="str">
        <f t="shared" si="186"/>
        <v>冷却</v>
      </c>
      <c r="I491" s="38">
        <f t="shared" si="187"/>
        <v>0.08</v>
      </c>
      <c r="J491" s="33">
        <f t="shared" si="201"/>
        <v>17</v>
      </c>
      <c r="K491" s="33">
        <f t="shared" si="202"/>
        <v>21</v>
      </c>
      <c r="L491" s="33">
        <f t="shared" si="202"/>
        <v>3</v>
      </c>
      <c r="M491" s="33">
        <f t="shared" si="202"/>
        <v>14</v>
      </c>
      <c r="N491" s="33">
        <f t="shared" si="202"/>
        <v>11</v>
      </c>
      <c r="O491" s="33">
        <f t="shared" si="202"/>
        <v>12</v>
      </c>
      <c r="P491" s="33">
        <f t="shared" si="202"/>
        <v>7</v>
      </c>
      <c r="Q491" s="33">
        <f t="shared" si="202"/>
        <v>6</v>
      </c>
      <c r="R491" s="35">
        <f t="shared" si="188"/>
        <v>1.2E-2</v>
      </c>
      <c r="S491" s="35">
        <f t="shared" si="189"/>
        <v>1.3999999999999999E-2</v>
      </c>
      <c r="T491" s="35">
        <f t="shared" si="190"/>
        <v>7.4999999999999997E-3</v>
      </c>
      <c r="U491" s="35">
        <f t="shared" si="203"/>
        <v>1.4778325123152691E-2</v>
      </c>
      <c r="V491" s="35">
        <f t="shared" si="203"/>
        <v>1.4778325123152691E-2</v>
      </c>
      <c r="W491" s="35">
        <f t="shared" si="203"/>
        <v>8.6757990867579959E-2</v>
      </c>
      <c r="X491" s="35">
        <f t="shared" si="203"/>
        <v>1.4778325123152691E-2</v>
      </c>
      <c r="Y491" s="35">
        <f t="shared" si="203"/>
        <v>1.4778325123152691E-2</v>
      </c>
      <c r="Z491" s="35">
        <f t="shared" si="203"/>
        <v>1.4778325123152691E-2</v>
      </c>
      <c r="AA491" s="35">
        <f t="shared" si="203"/>
        <v>1.4778325123152691E-2</v>
      </c>
    </row>
    <row r="492" spans="2:27" x14ac:dyDescent="0.2">
      <c r="B492" s="2">
        <v>490</v>
      </c>
      <c r="C492" s="2" t="str">
        <f t="shared" si="204"/>
        <v>a</v>
      </c>
      <c r="D492" s="29" t="s">
        <v>1</v>
      </c>
      <c r="E492" s="29" t="s">
        <v>219</v>
      </c>
      <c r="F492" s="2" t="s">
        <v>225</v>
      </c>
      <c r="G492" s="2">
        <f t="shared" si="194"/>
        <v>2</v>
      </c>
      <c r="H492" s="2" t="str">
        <f t="shared" si="186"/>
        <v>冷却</v>
      </c>
      <c r="I492" s="38">
        <f t="shared" si="187"/>
        <v>0.08</v>
      </c>
      <c r="J492" s="33">
        <f t="shared" si="201"/>
        <v>34</v>
      </c>
      <c r="K492" s="33">
        <f t="shared" si="202"/>
        <v>43</v>
      </c>
      <c r="L492" s="33">
        <f t="shared" si="202"/>
        <v>6</v>
      </c>
      <c r="M492" s="33">
        <f t="shared" si="202"/>
        <v>28</v>
      </c>
      <c r="N492" s="33">
        <f t="shared" si="202"/>
        <v>23</v>
      </c>
      <c r="O492" s="33">
        <f t="shared" si="202"/>
        <v>25</v>
      </c>
      <c r="P492" s="33">
        <f t="shared" si="202"/>
        <v>14</v>
      </c>
      <c r="Q492" s="33">
        <f t="shared" si="202"/>
        <v>12</v>
      </c>
      <c r="R492" s="35">
        <f t="shared" si="188"/>
        <v>2.4E-2</v>
      </c>
      <c r="S492" s="35">
        <f t="shared" si="189"/>
        <v>2.7999999999999997E-2</v>
      </c>
      <c r="T492" s="35">
        <f t="shared" si="190"/>
        <v>1.4999999999999999E-2</v>
      </c>
      <c r="U492" s="35">
        <f t="shared" si="203"/>
        <v>2.9126213592232997E-2</v>
      </c>
      <c r="V492" s="35">
        <f t="shared" si="203"/>
        <v>2.9126213592232997E-2</v>
      </c>
      <c r="W492" s="35">
        <f t="shared" si="203"/>
        <v>0.15966386554621848</v>
      </c>
      <c r="X492" s="35">
        <f t="shared" si="203"/>
        <v>2.9126213592232997E-2</v>
      </c>
      <c r="Y492" s="35">
        <f t="shared" si="203"/>
        <v>2.9126213592232997E-2</v>
      </c>
      <c r="Z492" s="35">
        <f t="shared" si="203"/>
        <v>2.9126213592232997E-2</v>
      </c>
      <c r="AA492" s="35">
        <f t="shared" si="203"/>
        <v>2.9126213592232997E-2</v>
      </c>
    </row>
    <row r="493" spans="2:27" x14ac:dyDescent="0.2">
      <c r="B493" s="2">
        <v>491</v>
      </c>
      <c r="C493" s="2" t="str">
        <f t="shared" si="204"/>
        <v>a</v>
      </c>
      <c r="D493" s="29" t="s">
        <v>1</v>
      </c>
      <c r="E493" s="29" t="s">
        <v>219</v>
      </c>
      <c r="F493" s="2" t="s">
        <v>225</v>
      </c>
      <c r="G493" s="2">
        <f t="shared" si="194"/>
        <v>3</v>
      </c>
      <c r="H493" s="2" t="str">
        <f t="shared" si="186"/>
        <v>冷却</v>
      </c>
      <c r="I493" s="38">
        <f t="shared" si="187"/>
        <v>0.08</v>
      </c>
      <c r="J493" s="33">
        <f t="shared" ref="J493:J502" si="205">INT((1+VLOOKUP($F493,role_property_weight,getpos(J$2),FALSE))*(1+VLOOKUP($F493,drop_property_weight,getpos(J$2),FALSE))*VLOOKUP($E493,role_grow,getpos(J$2),FALSE)*$G493*10*VLOOKUP($C493,drop_grow1,4,FALSE))</f>
        <v>51</v>
      </c>
      <c r="K493" s="33">
        <f t="shared" ref="K493:Q502" si="206">INT((1+VLOOKUP($F493,role_property_weight,getpos(K$2),FALSE))*(1+VLOOKUP($F493,drop_property_weight,getpos(K$2),FALSE))*VLOOKUP($E493,role_grow,getpos(K$2),FALSE)*$G493*10*VLOOKUP($C493,drop_grow1,5,FALSE))</f>
        <v>65</v>
      </c>
      <c r="L493" s="33">
        <f t="shared" si="206"/>
        <v>10</v>
      </c>
      <c r="M493" s="33">
        <f t="shared" si="206"/>
        <v>42</v>
      </c>
      <c r="N493" s="33">
        <f t="shared" si="206"/>
        <v>34</v>
      </c>
      <c r="O493" s="33">
        <f t="shared" si="206"/>
        <v>38</v>
      </c>
      <c r="P493" s="33">
        <f t="shared" si="206"/>
        <v>21</v>
      </c>
      <c r="Q493" s="33">
        <f t="shared" si="206"/>
        <v>19</v>
      </c>
      <c r="R493" s="35">
        <f t="shared" si="188"/>
        <v>3.7999999999999999E-2</v>
      </c>
      <c r="S493" s="35">
        <f t="shared" si="189"/>
        <v>4.2000000000000003E-2</v>
      </c>
      <c r="T493" s="35">
        <f t="shared" si="190"/>
        <v>2.375E-2</v>
      </c>
      <c r="U493" s="35">
        <f t="shared" ref="U493:AA502" si="207">1-200/(200+ROUND((1+VLOOKUP($F493,role_property_weight,getpos(U$2),FALSE))*VLOOKUP($E493,role_grow,getpos(U$2),FALSE)*$G493*10*VLOOKUP($C493,drop_grow1,5,FALSE),0))</f>
        <v>4.7619047619047672E-2</v>
      </c>
      <c r="V493" s="35">
        <f t="shared" si="207"/>
        <v>4.7619047619047672E-2</v>
      </c>
      <c r="W493" s="35">
        <f t="shared" si="207"/>
        <v>0.22480620155038755</v>
      </c>
      <c r="X493" s="35">
        <f t="shared" si="207"/>
        <v>4.7619047619047672E-2</v>
      </c>
      <c r="Y493" s="35">
        <f t="shared" si="207"/>
        <v>4.7619047619047672E-2</v>
      </c>
      <c r="Z493" s="35">
        <f t="shared" si="207"/>
        <v>4.7619047619047672E-2</v>
      </c>
      <c r="AA493" s="35">
        <f t="shared" si="207"/>
        <v>4.7619047619047672E-2</v>
      </c>
    </row>
    <row r="494" spans="2:27" x14ac:dyDescent="0.2">
      <c r="B494" s="2">
        <v>492</v>
      </c>
      <c r="C494" s="2" t="str">
        <f t="shared" si="204"/>
        <v>a</v>
      </c>
      <c r="D494" s="29" t="s">
        <v>1</v>
      </c>
      <c r="E494" s="29" t="s">
        <v>219</v>
      </c>
      <c r="F494" s="2" t="s">
        <v>225</v>
      </c>
      <c r="G494" s="2">
        <f t="shared" si="194"/>
        <v>4</v>
      </c>
      <c r="H494" s="2" t="str">
        <f t="shared" si="186"/>
        <v>冷却</v>
      </c>
      <c r="I494" s="38">
        <f t="shared" si="187"/>
        <v>0.10714285714285714</v>
      </c>
      <c r="J494" s="33">
        <f t="shared" si="205"/>
        <v>69</v>
      </c>
      <c r="K494" s="33">
        <f t="shared" si="206"/>
        <v>87</v>
      </c>
      <c r="L494" s="33">
        <f t="shared" si="206"/>
        <v>13</v>
      </c>
      <c r="M494" s="33">
        <f t="shared" si="206"/>
        <v>56</v>
      </c>
      <c r="N494" s="33">
        <f t="shared" si="206"/>
        <v>46</v>
      </c>
      <c r="O494" s="33">
        <f t="shared" si="206"/>
        <v>51</v>
      </c>
      <c r="P494" s="33">
        <f t="shared" si="206"/>
        <v>28</v>
      </c>
      <c r="Q494" s="33">
        <f t="shared" si="206"/>
        <v>25</v>
      </c>
      <c r="R494" s="35">
        <f t="shared" si="188"/>
        <v>0.05</v>
      </c>
      <c r="S494" s="35">
        <f t="shared" si="189"/>
        <v>5.5999999999999994E-2</v>
      </c>
      <c r="T494" s="35">
        <f t="shared" si="190"/>
        <v>3.125E-2</v>
      </c>
      <c r="U494" s="35">
        <f t="shared" si="207"/>
        <v>6.1032863849765251E-2</v>
      </c>
      <c r="V494" s="35">
        <f t="shared" si="207"/>
        <v>6.1032863849765251E-2</v>
      </c>
      <c r="W494" s="35">
        <f t="shared" si="207"/>
        <v>0.27797833935018046</v>
      </c>
      <c r="X494" s="35">
        <f t="shared" si="207"/>
        <v>6.1032863849765251E-2</v>
      </c>
      <c r="Y494" s="35">
        <f t="shared" si="207"/>
        <v>6.1032863849765251E-2</v>
      </c>
      <c r="Z494" s="35">
        <f t="shared" si="207"/>
        <v>6.1032863849765251E-2</v>
      </c>
      <c r="AA494" s="35">
        <f t="shared" si="207"/>
        <v>6.1032863849765251E-2</v>
      </c>
    </row>
    <row r="495" spans="2:27" x14ac:dyDescent="0.2">
      <c r="B495" s="2">
        <v>493</v>
      </c>
      <c r="C495" s="2" t="str">
        <f t="shared" si="204"/>
        <v>a</v>
      </c>
      <c r="D495" s="29" t="s">
        <v>1</v>
      </c>
      <c r="E495" s="29" t="s">
        <v>219</v>
      </c>
      <c r="F495" s="2" t="s">
        <v>225</v>
      </c>
      <c r="G495" s="2">
        <f t="shared" si="194"/>
        <v>5</v>
      </c>
      <c r="H495" s="2" t="str">
        <f t="shared" si="186"/>
        <v>冷却</v>
      </c>
      <c r="I495" s="38">
        <f t="shared" si="187"/>
        <v>0.13428571428571429</v>
      </c>
      <c r="J495" s="33">
        <f t="shared" si="205"/>
        <v>86</v>
      </c>
      <c r="K495" s="33">
        <f t="shared" si="206"/>
        <v>109</v>
      </c>
      <c r="L495" s="33">
        <f t="shared" si="206"/>
        <v>17</v>
      </c>
      <c r="M495" s="33">
        <f t="shared" si="206"/>
        <v>70</v>
      </c>
      <c r="N495" s="33">
        <f t="shared" si="206"/>
        <v>57</v>
      </c>
      <c r="O495" s="33">
        <f t="shared" si="206"/>
        <v>64</v>
      </c>
      <c r="P495" s="33">
        <f t="shared" si="206"/>
        <v>35</v>
      </c>
      <c r="Q495" s="33">
        <f t="shared" si="206"/>
        <v>32</v>
      </c>
      <c r="R495" s="35">
        <f t="shared" si="188"/>
        <v>6.4000000000000001E-2</v>
      </c>
      <c r="S495" s="35">
        <f t="shared" si="189"/>
        <v>7.0000000000000007E-2</v>
      </c>
      <c r="T495" s="35">
        <f t="shared" si="190"/>
        <v>0.04</v>
      </c>
      <c r="U495" s="35">
        <f t="shared" si="207"/>
        <v>7.407407407407407E-2</v>
      </c>
      <c r="V495" s="35">
        <f t="shared" si="207"/>
        <v>7.407407407407407E-2</v>
      </c>
      <c r="W495" s="35">
        <f t="shared" si="207"/>
        <v>0.32432432432432434</v>
      </c>
      <c r="X495" s="35">
        <f t="shared" si="207"/>
        <v>7.407407407407407E-2</v>
      </c>
      <c r="Y495" s="35">
        <f t="shared" si="207"/>
        <v>7.407407407407407E-2</v>
      </c>
      <c r="Z495" s="35">
        <f t="shared" si="207"/>
        <v>7.407407407407407E-2</v>
      </c>
      <c r="AA495" s="35">
        <f t="shared" si="207"/>
        <v>7.407407407407407E-2</v>
      </c>
    </row>
    <row r="496" spans="2:27" x14ac:dyDescent="0.2">
      <c r="B496" s="2">
        <v>494</v>
      </c>
      <c r="C496" s="2" t="str">
        <f t="shared" si="204"/>
        <v>a</v>
      </c>
      <c r="D496" s="29" t="s">
        <v>1</v>
      </c>
      <c r="E496" s="29" t="s">
        <v>219</v>
      </c>
      <c r="F496" s="2" t="s">
        <v>225</v>
      </c>
      <c r="G496" s="2">
        <f t="shared" si="194"/>
        <v>6</v>
      </c>
      <c r="H496" s="2" t="str">
        <f t="shared" si="186"/>
        <v>冷却</v>
      </c>
      <c r="I496" s="38">
        <f t="shared" si="187"/>
        <v>0.16085714285714287</v>
      </c>
      <c r="J496" s="33">
        <f t="shared" si="205"/>
        <v>103</v>
      </c>
      <c r="K496" s="33">
        <f t="shared" si="206"/>
        <v>131</v>
      </c>
      <c r="L496" s="33">
        <f t="shared" si="206"/>
        <v>20</v>
      </c>
      <c r="M496" s="33">
        <f t="shared" si="206"/>
        <v>84</v>
      </c>
      <c r="N496" s="33">
        <f t="shared" si="206"/>
        <v>69</v>
      </c>
      <c r="O496" s="33">
        <f t="shared" si="206"/>
        <v>76</v>
      </c>
      <c r="P496" s="33">
        <f t="shared" si="206"/>
        <v>42</v>
      </c>
      <c r="Q496" s="33">
        <f t="shared" si="206"/>
        <v>38</v>
      </c>
      <c r="R496" s="35">
        <f t="shared" si="188"/>
        <v>7.5999999999999998E-2</v>
      </c>
      <c r="S496" s="35">
        <f t="shared" si="189"/>
        <v>8.4000000000000005E-2</v>
      </c>
      <c r="T496" s="35">
        <f t="shared" si="190"/>
        <v>4.7500000000000001E-2</v>
      </c>
      <c r="U496" s="35">
        <f t="shared" si="207"/>
        <v>8.6757990867579959E-2</v>
      </c>
      <c r="V496" s="35">
        <f t="shared" si="207"/>
        <v>8.6757990867579959E-2</v>
      </c>
      <c r="W496" s="35">
        <f t="shared" si="207"/>
        <v>0.36507936507936511</v>
      </c>
      <c r="X496" s="35">
        <f t="shared" si="207"/>
        <v>8.6757990867579959E-2</v>
      </c>
      <c r="Y496" s="35">
        <f t="shared" si="207"/>
        <v>8.6757990867579959E-2</v>
      </c>
      <c r="Z496" s="35">
        <f t="shared" si="207"/>
        <v>8.6757990867579959E-2</v>
      </c>
      <c r="AA496" s="35">
        <f t="shared" si="207"/>
        <v>8.6757990867579959E-2</v>
      </c>
    </row>
    <row r="497" spans="2:27" x14ac:dyDescent="0.2">
      <c r="B497" s="2">
        <v>495</v>
      </c>
      <c r="C497" s="2" t="str">
        <f t="shared" si="204"/>
        <v>a</v>
      </c>
      <c r="D497" s="29" t="s">
        <v>1</v>
      </c>
      <c r="E497" s="29" t="s">
        <v>219</v>
      </c>
      <c r="F497" s="2" t="s">
        <v>225</v>
      </c>
      <c r="G497" s="2">
        <f t="shared" si="194"/>
        <v>7</v>
      </c>
      <c r="H497" s="2" t="str">
        <f t="shared" si="186"/>
        <v>冷却</v>
      </c>
      <c r="I497" s="38">
        <f t="shared" si="187"/>
        <v>0.18742857142857144</v>
      </c>
      <c r="J497" s="33">
        <f t="shared" si="205"/>
        <v>120</v>
      </c>
      <c r="K497" s="33">
        <f t="shared" si="206"/>
        <v>152</v>
      </c>
      <c r="L497" s="33">
        <f t="shared" si="206"/>
        <v>24</v>
      </c>
      <c r="M497" s="33">
        <f t="shared" si="206"/>
        <v>98</v>
      </c>
      <c r="N497" s="33">
        <f t="shared" si="206"/>
        <v>80</v>
      </c>
      <c r="O497" s="33">
        <f t="shared" si="206"/>
        <v>89</v>
      </c>
      <c r="P497" s="33">
        <f t="shared" si="206"/>
        <v>49</v>
      </c>
      <c r="Q497" s="33">
        <f t="shared" si="206"/>
        <v>44</v>
      </c>
      <c r="R497" s="35">
        <f t="shared" si="188"/>
        <v>8.8000000000000009E-2</v>
      </c>
      <c r="S497" s="35">
        <f t="shared" si="189"/>
        <v>9.8000000000000004E-2</v>
      </c>
      <c r="T497" s="35">
        <f t="shared" si="190"/>
        <v>5.5E-2</v>
      </c>
      <c r="U497" s="35">
        <f t="shared" si="207"/>
        <v>9.9099099099099086E-2</v>
      </c>
      <c r="V497" s="35">
        <f t="shared" si="207"/>
        <v>9.9099099099099086E-2</v>
      </c>
      <c r="W497" s="35">
        <f t="shared" si="207"/>
        <v>0.40119760479041922</v>
      </c>
      <c r="X497" s="35">
        <f t="shared" si="207"/>
        <v>9.9099099099099086E-2</v>
      </c>
      <c r="Y497" s="35">
        <f t="shared" si="207"/>
        <v>9.9099099099099086E-2</v>
      </c>
      <c r="Z497" s="35">
        <f t="shared" si="207"/>
        <v>9.9099099099099086E-2</v>
      </c>
      <c r="AA497" s="35">
        <f t="shared" si="207"/>
        <v>9.9099099099099086E-2</v>
      </c>
    </row>
    <row r="498" spans="2:27" x14ac:dyDescent="0.2">
      <c r="B498" s="2">
        <v>496</v>
      </c>
      <c r="C498" s="2" t="str">
        <f t="shared" si="204"/>
        <v>a</v>
      </c>
      <c r="D498" s="29" t="s">
        <v>1</v>
      </c>
      <c r="E498" s="29" t="s">
        <v>219</v>
      </c>
      <c r="F498" s="2" t="s">
        <v>225</v>
      </c>
      <c r="G498" s="2">
        <f t="shared" si="194"/>
        <v>8</v>
      </c>
      <c r="H498" s="2" t="str">
        <f t="shared" si="186"/>
        <v>冷却</v>
      </c>
      <c r="I498" s="38">
        <f t="shared" si="187"/>
        <v>0.21485714285714283</v>
      </c>
      <c r="J498" s="33">
        <f t="shared" si="205"/>
        <v>138</v>
      </c>
      <c r="K498" s="33">
        <f t="shared" si="206"/>
        <v>174</v>
      </c>
      <c r="L498" s="33">
        <f t="shared" si="206"/>
        <v>27</v>
      </c>
      <c r="M498" s="33">
        <f t="shared" si="206"/>
        <v>112</v>
      </c>
      <c r="N498" s="33">
        <f t="shared" si="206"/>
        <v>92</v>
      </c>
      <c r="O498" s="33">
        <f t="shared" si="206"/>
        <v>102</v>
      </c>
      <c r="P498" s="33">
        <f t="shared" si="206"/>
        <v>56</v>
      </c>
      <c r="Q498" s="33">
        <f t="shared" si="206"/>
        <v>51</v>
      </c>
      <c r="R498" s="35">
        <f t="shared" si="188"/>
        <v>0.10199999999999999</v>
      </c>
      <c r="S498" s="35">
        <f t="shared" si="189"/>
        <v>0.11199999999999999</v>
      </c>
      <c r="T498" s="35">
        <f t="shared" si="190"/>
        <v>6.3750000000000001E-2</v>
      </c>
      <c r="U498" s="35">
        <f t="shared" si="207"/>
        <v>0.11504424778761058</v>
      </c>
      <c r="V498" s="35">
        <f t="shared" si="207"/>
        <v>0.11504424778761058</v>
      </c>
      <c r="W498" s="35">
        <f t="shared" si="207"/>
        <v>0.43502824858757061</v>
      </c>
      <c r="X498" s="35">
        <f t="shared" si="207"/>
        <v>0.11504424778761058</v>
      </c>
      <c r="Y498" s="35">
        <f t="shared" si="207"/>
        <v>0.11504424778761058</v>
      </c>
      <c r="Z498" s="35">
        <f t="shared" si="207"/>
        <v>0.11504424778761058</v>
      </c>
      <c r="AA498" s="35">
        <f t="shared" si="207"/>
        <v>0.11504424778761058</v>
      </c>
    </row>
    <row r="499" spans="2:27" x14ac:dyDescent="0.2">
      <c r="B499" s="2">
        <v>497</v>
      </c>
      <c r="C499" s="2" t="str">
        <f t="shared" si="204"/>
        <v>b</v>
      </c>
      <c r="D499" s="29" t="s">
        <v>1</v>
      </c>
      <c r="E499" s="29" t="s">
        <v>219</v>
      </c>
      <c r="F499" s="2" t="s">
        <v>225</v>
      </c>
      <c r="G499" s="2">
        <f t="shared" si="194"/>
        <v>1</v>
      </c>
      <c r="H499" s="2" t="str">
        <f t="shared" si="186"/>
        <v>冷却</v>
      </c>
      <c r="I499" s="38">
        <f t="shared" si="187"/>
        <v>0.08</v>
      </c>
      <c r="J499" s="33">
        <f t="shared" si="205"/>
        <v>20</v>
      </c>
      <c r="K499" s="33">
        <f t="shared" si="206"/>
        <v>32</v>
      </c>
      <c r="L499" s="33">
        <f t="shared" si="206"/>
        <v>5</v>
      </c>
      <c r="M499" s="33">
        <f t="shared" si="206"/>
        <v>21</v>
      </c>
      <c r="N499" s="33">
        <f t="shared" si="206"/>
        <v>17</v>
      </c>
      <c r="O499" s="33">
        <f t="shared" si="206"/>
        <v>19</v>
      </c>
      <c r="P499" s="33">
        <f t="shared" si="206"/>
        <v>10</v>
      </c>
      <c r="Q499" s="33">
        <f t="shared" si="206"/>
        <v>9</v>
      </c>
      <c r="R499" s="35">
        <f t="shared" si="188"/>
        <v>1.8000000000000002E-2</v>
      </c>
      <c r="S499" s="35">
        <f t="shared" si="189"/>
        <v>0.02</v>
      </c>
      <c r="T499" s="35">
        <f t="shared" si="190"/>
        <v>1.125E-2</v>
      </c>
      <c r="U499" s="35">
        <f t="shared" si="207"/>
        <v>2.4390243902439046E-2</v>
      </c>
      <c r="V499" s="35">
        <f t="shared" si="207"/>
        <v>2.4390243902439046E-2</v>
      </c>
      <c r="W499" s="35">
        <f t="shared" si="207"/>
        <v>0.1266375545851528</v>
      </c>
      <c r="X499" s="35">
        <f t="shared" si="207"/>
        <v>2.4390243902439046E-2</v>
      </c>
      <c r="Y499" s="35">
        <f t="shared" si="207"/>
        <v>2.4390243902439046E-2</v>
      </c>
      <c r="Z499" s="35">
        <f t="shared" si="207"/>
        <v>2.4390243902439046E-2</v>
      </c>
      <c r="AA499" s="35">
        <f t="shared" si="207"/>
        <v>2.4390243902439046E-2</v>
      </c>
    </row>
    <row r="500" spans="2:27" x14ac:dyDescent="0.2">
      <c r="B500" s="2">
        <v>498</v>
      </c>
      <c r="C500" s="2" t="str">
        <f t="shared" si="204"/>
        <v>b</v>
      </c>
      <c r="D500" s="29" t="s">
        <v>1</v>
      </c>
      <c r="E500" s="29" t="s">
        <v>219</v>
      </c>
      <c r="F500" s="2" t="s">
        <v>225</v>
      </c>
      <c r="G500" s="2">
        <f t="shared" si="194"/>
        <v>2</v>
      </c>
      <c r="H500" s="2" t="str">
        <f t="shared" si="186"/>
        <v>冷却</v>
      </c>
      <c r="I500" s="38">
        <f t="shared" si="187"/>
        <v>0.08</v>
      </c>
      <c r="J500" s="33">
        <f t="shared" si="205"/>
        <v>40</v>
      </c>
      <c r="K500" s="33">
        <f t="shared" si="206"/>
        <v>65</v>
      </c>
      <c r="L500" s="33">
        <f t="shared" si="206"/>
        <v>10</v>
      </c>
      <c r="M500" s="33">
        <f t="shared" si="206"/>
        <v>42</v>
      </c>
      <c r="N500" s="33">
        <f t="shared" si="206"/>
        <v>34</v>
      </c>
      <c r="O500" s="33">
        <f t="shared" si="206"/>
        <v>38</v>
      </c>
      <c r="P500" s="33">
        <f t="shared" si="206"/>
        <v>21</v>
      </c>
      <c r="Q500" s="33">
        <f t="shared" si="206"/>
        <v>19</v>
      </c>
      <c r="R500" s="35">
        <f t="shared" si="188"/>
        <v>3.7999999999999999E-2</v>
      </c>
      <c r="S500" s="35">
        <f t="shared" si="189"/>
        <v>4.2000000000000003E-2</v>
      </c>
      <c r="T500" s="35">
        <f t="shared" si="190"/>
        <v>2.375E-2</v>
      </c>
      <c r="U500" s="35">
        <f t="shared" si="207"/>
        <v>4.7619047619047672E-2</v>
      </c>
      <c r="V500" s="35">
        <f t="shared" si="207"/>
        <v>4.7619047619047672E-2</v>
      </c>
      <c r="W500" s="35">
        <f t="shared" si="207"/>
        <v>0.22480620155038755</v>
      </c>
      <c r="X500" s="35">
        <f t="shared" si="207"/>
        <v>4.7619047619047672E-2</v>
      </c>
      <c r="Y500" s="35">
        <f t="shared" si="207"/>
        <v>4.7619047619047672E-2</v>
      </c>
      <c r="Z500" s="35">
        <f t="shared" si="207"/>
        <v>4.7619047619047672E-2</v>
      </c>
      <c r="AA500" s="35">
        <f t="shared" si="207"/>
        <v>4.7619047619047672E-2</v>
      </c>
    </row>
    <row r="501" spans="2:27" x14ac:dyDescent="0.2">
      <c r="B501" s="2">
        <v>499</v>
      </c>
      <c r="C501" s="2" t="str">
        <f t="shared" si="204"/>
        <v>b</v>
      </c>
      <c r="D501" s="29" t="s">
        <v>1</v>
      </c>
      <c r="E501" s="29" t="s">
        <v>219</v>
      </c>
      <c r="F501" s="2" t="s">
        <v>225</v>
      </c>
      <c r="G501" s="2">
        <f t="shared" si="194"/>
        <v>3</v>
      </c>
      <c r="H501" s="2" t="str">
        <f t="shared" si="186"/>
        <v>冷却</v>
      </c>
      <c r="I501" s="38">
        <f t="shared" si="187"/>
        <v>0.11514285714285714</v>
      </c>
      <c r="J501" s="33">
        <f t="shared" si="205"/>
        <v>60</v>
      </c>
      <c r="K501" s="33">
        <f t="shared" si="206"/>
        <v>98</v>
      </c>
      <c r="L501" s="33">
        <f t="shared" si="206"/>
        <v>15</v>
      </c>
      <c r="M501" s="33">
        <f t="shared" si="206"/>
        <v>63</v>
      </c>
      <c r="N501" s="33">
        <f t="shared" si="206"/>
        <v>51</v>
      </c>
      <c r="O501" s="33">
        <f t="shared" si="206"/>
        <v>57</v>
      </c>
      <c r="P501" s="33">
        <f t="shared" si="206"/>
        <v>31</v>
      </c>
      <c r="Q501" s="33">
        <f t="shared" si="206"/>
        <v>28</v>
      </c>
      <c r="R501" s="35">
        <f t="shared" si="188"/>
        <v>5.5999999999999994E-2</v>
      </c>
      <c r="S501" s="35">
        <f t="shared" si="189"/>
        <v>6.2E-2</v>
      </c>
      <c r="T501" s="35">
        <f t="shared" si="190"/>
        <v>3.5000000000000003E-2</v>
      </c>
      <c r="U501" s="35">
        <f t="shared" si="207"/>
        <v>6.5420560747663559E-2</v>
      </c>
      <c r="V501" s="35">
        <f t="shared" si="207"/>
        <v>6.5420560747663559E-2</v>
      </c>
      <c r="W501" s="35">
        <f t="shared" si="207"/>
        <v>0.30069930069930073</v>
      </c>
      <c r="X501" s="35">
        <f t="shared" si="207"/>
        <v>6.5420560747663559E-2</v>
      </c>
      <c r="Y501" s="35">
        <f t="shared" si="207"/>
        <v>6.5420560747663559E-2</v>
      </c>
      <c r="Z501" s="35">
        <f t="shared" si="207"/>
        <v>6.5420560747663559E-2</v>
      </c>
      <c r="AA501" s="35">
        <f t="shared" si="207"/>
        <v>6.5420560747663559E-2</v>
      </c>
    </row>
    <row r="502" spans="2:27" x14ac:dyDescent="0.2">
      <c r="B502" s="2">
        <v>500</v>
      </c>
      <c r="C502" s="2" t="str">
        <f t="shared" si="204"/>
        <v>b</v>
      </c>
      <c r="D502" s="29" t="s">
        <v>1</v>
      </c>
      <c r="E502" s="29" t="s">
        <v>219</v>
      </c>
      <c r="F502" s="2" t="s">
        <v>225</v>
      </c>
      <c r="G502" s="2">
        <f t="shared" si="194"/>
        <v>4</v>
      </c>
      <c r="H502" s="2" t="str">
        <f t="shared" si="186"/>
        <v>冷却</v>
      </c>
      <c r="I502" s="38">
        <f t="shared" si="187"/>
        <v>0.15428571428571428</v>
      </c>
      <c r="J502" s="33">
        <f t="shared" si="205"/>
        <v>80</v>
      </c>
      <c r="K502" s="33">
        <f t="shared" si="206"/>
        <v>131</v>
      </c>
      <c r="L502" s="33">
        <f t="shared" si="206"/>
        <v>20</v>
      </c>
      <c r="M502" s="33">
        <f t="shared" si="206"/>
        <v>84</v>
      </c>
      <c r="N502" s="33">
        <f t="shared" si="206"/>
        <v>69</v>
      </c>
      <c r="O502" s="33">
        <f t="shared" si="206"/>
        <v>76</v>
      </c>
      <c r="P502" s="33">
        <f t="shared" si="206"/>
        <v>42</v>
      </c>
      <c r="Q502" s="33">
        <f t="shared" si="206"/>
        <v>38</v>
      </c>
      <c r="R502" s="35">
        <f t="shared" si="188"/>
        <v>7.5999999999999998E-2</v>
      </c>
      <c r="S502" s="35">
        <f t="shared" si="189"/>
        <v>8.4000000000000005E-2</v>
      </c>
      <c r="T502" s="35">
        <f t="shared" si="190"/>
        <v>4.7500000000000001E-2</v>
      </c>
      <c r="U502" s="35">
        <f t="shared" si="207"/>
        <v>8.6757990867579959E-2</v>
      </c>
      <c r="V502" s="35">
        <f t="shared" si="207"/>
        <v>8.6757990867579959E-2</v>
      </c>
      <c r="W502" s="35">
        <f t="shared" si="207"/>
        <v>0.36507936507936511</v>
      </c>
      <c r="X502" s="35">
        <f t="shared" si="207"/>
        <v>8.6757990867579959E-2</v>
      </c>
      <c r="Y502" s="35">
        <f t="shared" si="207"/>
        <v>8.6757990867579959E-2</v>
      </c>
      <c r="Z502" s="35">
        <f t="shared" si="207"/>
        <v>8.6757990867579959E-2</v>
      </c>
      <c r="AA502" s="35">
        <f t="shared" si="207"/>
        <v>8.6757990867579959E-2</v>
      </c>
    </row>
    <row r="503" spans="2:27" x14ac:dyDescent="0.2">
      <c r="B503" s="2">
        <v>501</v>
      </c>
      <c r="C503" s="2" t="str">
        <f t="shared" si="204"/>
        <v>b</v>
      </c>
      <c r="D503" s="29" t="s">
        <v>1</v>
      </c>
      <c r="E503" s="29" t="s">
        <v>219</v>
      </c>
      <c r="F503" s="2" t="s">
        <v>225</v>
      </c>
      <c r="G503" s="2">
        <f t="shared" si="194"/>
        <v>5</v>
      </c>
      <c r="H503" s="2" t="str">
        <f t="shared" si="186"/>
        <v>冷却</v>
      </c>
      <c r="I503" s="38">
        <f t="shared" si="187"/>
        <v>0.19285714285714284</v>
      </c>
      <c r="J503" s="33">
        <f t="shared" ref="J503:J512" si="208">INT((1+VLOOKUP($F503,role_property_weight,getpos(J$2),FALSE))*(1+VLOOKUP($F503,drop_property_weight,getpos(J$2),FALSE))*VLOOKUP($E503,role_grow,getpos(J$2),FALSE)*$G503*10*VLOOKUP($C503,drop_grow1,4,FALSE))</f>
        <v>100</v>
      </c>
      <c r="K503" s="33">
        <f t="shared" ref="K503:Q512" si="209">INT((1+VLOOKUP($F503,role_property_weight,getpos(K$2),FALSE))*(1+VLOOKUP($F503,drop_property_weight,getpos(K$2),FALSE))*VLOOKUP($E503,role_grow,getpos(K$2),FALSE)*$G503*10*VLOOKUP($C503,drop_grow1,5,FALSE))</f>
        <v>163</v>
      </c>
      <c r="L503" s="33">
        <f t="shared" si="209"/>
        <v>25</v>
      </c>
      <c r="M503" s="33">
        <f t="shared" si="209"/>
        <v>105</v>
      </c>
      <c r="N503" s="33">
        <f t="shared" si="209"/>
        <v>86</v>
      </c>
      <c r="O503" s="33">
        <f t="shared" si="209"/>
        <v>96</v>
      </c>
      <c r="P503" s="33">
        <f t="shared" si="209"/>
        <v>52</v>
      </c>
      <c r="Q503" s="33">
        <f t="shared" si="209"/>
        <v>48</v>
      </c>
      <c r="R503" s="35">
        <f t="shared" si="188"/>
        <v>9.6000000000000002E-2</v>
      </c>
      <c r="S503" s="35">
        <f t="shared" si="189"/>
        <v>0.10400000000000001</v>
      </c>
      <c r="T503" s="35">
        <f t="shared" si="190"/>
        <v>0.06</v>
      </c>
      <c r="U503" s="35">
        <f t="shared" ref="U503:AA512" si="210">1-200/(200+ROUND((1+VLOOKUP($F503,role_property_weight,getpos(U$2),FALSE))*VLOOKUP($E503,role_grow,getpos(U$2),FALSE)*$G503*10*VLOOKUP($C503,drop_grow1,5,FALSE),0))</f>
        <v>0.1071428571428571</v>
      </c>
      <c r="V503" s="35">
        <f t="shared" si="210"/>
        <v>0.1071428571428571</v>
      </c>
      <c r="W503" s="35">
        <f t="shared" si="210"/>
        <v>0.41860465116279066</v>
      </c>
      <c r="X503" s="35">
        <f t="shared" si="210"/>
        <v>0.1071428571428571</v>
      </c>
      <c r="Y503" s="35">
        <f t="shared" si="210"/>
        <v>0.1071428571428571</v>
      </c>
      <c r="Z503" s="35">
        <f t="shared" si="210"/>
        <v>0.1071428571428571</v>
      </c>
      <c r="AA503" s="35">
        <f t="shared" si="210"/>
        <v>0.1071428571428571</v>
      </c>
    </row>
    <row r="504" spans="2:27" x14ac:dyDescent="0.2">
      <c r="B504" s="2">
        <v>502</v>
      </c>
      <c r="C504" s="2" t="str">
        <f t="shared" si="204"/>
        <v>b</v>
      </c>
      <c r="D504" s="29" t="s">
        <v>1</v>
      </c>
      <c r="E504" s="29" t="s">
        <v>219</v>
      </c>
      <c r="F504" s="2" t="s">
        <v>225</v>
      </c>
      <c r="G504" s="2">
        <f t="shared" si="194"/>
        <v>6</v>
      </c>
      <c r="H504" s="2" t="str">
        <f t="shared" si="186"/>
        <v>冷却</v>
      </c>
      <c r="I504" s="38">
        <f t="shared" si="187"/>
        <v>0.23171428571428571</v>
      </c>
      <c r="J504" s="33">
        <f t="shared" si="208"/>
        <v>120</v>
      </c>
      <c r="K504" s="33">
        <f t="shared" si="209"/>
        <v>196</v>
      </c>
      <c r="L504" s="33">
        <f t="shared" si="209"/>
        <v>31</v>
      </c>
      <c r="M504" s="33">
        <f t="shared" si="209"/>
        <v>126</v>
      </c>
      <c r="N504" s="33">
        <f t="shared" si="209"/>
        <v>103</v>
      </c>
      <c r="O504" s="33">
        <f t="shared" si="209"/>
        <v>115</v>
      </c>
      <c r="P504" s="33">
        <f t="shared" si="209"/>
        <v>63</v>
      </c>
      <c r="Q504" s="33">
        <f t="shared" si="209"/>
        <v>57</v>
      </c>
      <c r="R504" s="35">
        <f t="shared" si="188"/>
        <v>0.114</v>
      </c>
      <c r="S504" s="35">
        <f t="shared" si="189"/>
        <v>0.126</v>
      </c>
      <c r="T504" s="35">
        <f t="shared" si="190"/>
        <v>7.1249999999999994E-2</v>
      </c>
      <c r="U504" s="35">
        <f t="shared" si="210"/>
        <v>0.1266375545851528</v>
      </c>
      <c r="V504" s="35">
        <f t="shared" si="210"/>
        <v>0.1266375545851528</v>
      </c>
      <c r="W504" s="35">
        <f t="shared" si="210"/>
        <v>0.46380697050938335</v>
      </c>
      <c r="X504" s="35">
        <f t="shared" si="210"/>
        <v>0.1266375545851528</v>
      </c>
      <c r="Y504" s="35">
        <f t="shared" si="210"/>
        <v>0.1266375545851528</v>
      </c>
      <c r="Z504" s="35">
        <f t="shared" si="210"/>
        <v>0.1266375545851528</v>
      </c>
      <c r="AA504" s="35">
        <f t="shared" si="210"/>
        <v>0.1266375545851528</v>
      </c>
    </row>
    <row r="505" spans="2:27" x14ac:dyDescent="0.2">
      <c r="B505" s="2">
        <v>503</v>
      </c>
      <c r="C505" s="2" t="str">
        <f t="shared" si="204"/>
        <v>b</v>
      </c>
      <c r="D505" s="29" t="s">
        <v>1</v>
      </c>
      <c r="E505" s="29" t="s">
        <v>219</v>
      </c>
      <c r="F505" s="2" t="s">
        <v>225</v>
      </c>
      <c r="G505" s="2">
        <f t="shared" si="194"/>
        <v>7</v>
      </c>
      <c r="H505" s="2" t="str">
        <f t="shared" si="186"/>
        <v>冷却</v>
      </c>
      <c r="I505" s="38">
        <f t="shared" si="187"/>
        <v>0.27057142857142857</v>
      </c>
      <c r="J505" s="33">
        <f t="shared" si="208"/>
        <v>141</v>
      </c>
      <c r="K505" s="33">
        <f t="shared" si="209"/>
        <v>229</v>
      </c>
      <c r="L505" s="33">
        <f t="shared" si="209"/>
        <v>36</v>
      </c>
      <c r="M505" s="33">
        <f t="shared" si="209"/>
        <v>147</v>
      </c>
      <c r="N505" s="33">
        <f t="shared" si="209"/>
        <v>120</v>
      </c>
      <c r="O505" s="33">
        <f t="shared" si="209"/>
        <v>134</v>
      </c>
      <c r="P505" s="33">
        <f t="shared" si="209"/>
        <v>73</v>
      </c>
      <c r="Q505" s="33">
        <f t="shared" si="209"/>
        <v>67</v>
      </c>
      <c r="R505" s="35">
        <f t="shared" si="188"/>
        <v>0.13400000000000001</v>
      </c>
      <c r="S505" s="35">
        <f t="shared" si="189"/>
        <v>0.14599999999999999</v>
      </c>
      <c r="T505" s="35">
        <f t="shared" si="190"/>
        <v>8.3750000000000005E-2</v>
      </c>
      <c r="U505" s="35">
        <f t="shared" si="210"/>
        <v>0.14529914529914534</v>
      </c>
      <c r="V505" s="35">
        <f t="shared" si="210"/>
        <v>0.14529914529914534</v>
      </c>
      <c r="W505" s="35">
        <f t="shared" si="210"/>
        <v>0.50248756218905477</v>
      </c>
      <c r="X505" s="35">
        <f t="shared" si="210"/>
        <v>0.14529914529914534</v>
      </c>
      <c r="Y505" s="35">
        <f t="shared" si="210"/>
        <v>0.14529914529914534</v>
      </c>
      <c r="Z505" s="35">
        <f t="shared" si="210"/>
        <v>0.14529914529914534</v>
      </c>
      <c r="AA505" s="35">
        <f t="shared" si="210"/>
        <v>0.14529914529914534</v>
      </c>
    </row>
    <row r="506" spans="2:27" x14ac:dyDescent="0.2">
      <c r="B506" s="2">
        <v>504</v>
      </c>
      <c r="C506" s="2" t="str">
        <f t="shared" si="204"/>
        <v>b</v>
      </c>
      <c r="D506" s="29" t="s">
        <v>1</v>
      </c>
      <c r="E506" s="29" t="s">
        <v>219</v>
      </c>
      <c r="F506" s="2" t="s">
        <v>225</v>
      </c>
      <c r="G506" s="2">
        <f t="shared" si="194"/>
        <v>8</v>
      </c>
      <c r="H506" s="2" t="str">
        <f t="shared" si="186"/>
        <v>冷却</v>
      </c>
      <c r="I506" s="38">
        <f t="shared" si="187"/>
        <v>0.30942857142857144</v>
      </c>
      <c r="J506" s="33">
        <f t="shared" si="208"/>
        <v>161</v>
      </c>
      <c r="K506" s="33">
        <f t="shared" si="209"/>
        <v>262</v>
      </c>
      <c r="L506" s="33">
        <f t="shared" si="209"/>
        <v>41</v>
      </c>
      <c r="M506" s="33">
        <f t="shared" si="209"/>
        <v>168</v>
      </c>
      <c r="N506" s="33">
        <f t="shared" si="209"/>
        <v>138</v>
      </c>
      <c r="O506" s="33">
        <f t="shared" si="209"/>
        <v>153</v>
      </c>
      <c r="P506" s="33">
        <f t="shared" si="209"/>
        <v>84</v>
      </c>
      <c r="Q506" s="33">
        <f t="shared" si="209"/>
        <v>76</v>
      </c>
      <c r="R506" s="35">
        <f t="shared" si="188"/>
        <v>0.152</v>
      </c>
      <c r="S506" s="35">
        <f t="shared" si="189"/>
        <v>0.16800000000000001</v>
      </c>
      <c r="T506" s="35">
        <f t="shared" si="190"/>
        <v>9.5000000000000001E-2</v>
      </c>
      <c r="U506" s="35">
        <f t="shared" si="210"/>
        <v>0.15966386554621848</v>
      </c>
      <c r="V506" s="35">
        <f t="shared" si="210"/>
        <v>0.15966386554621848</v>
      </c>
      <c r="W506" s="35">
        <f t="shared" si="210"/>
        <v>0.53488372093023262</v>
      </c>
      <c r="X506" s="35">
        <f t="shared" si="210"/>
        <v>0.15966386554621848</v>
      </c>
      <c r="Y506" s="35">
        <f t="shared" si="210"/>
        <v>0.15966386554621848</v>
      </c>
      <c r="Z506" s="35">
        <f t="shared" si="210"/>
        <v>0.15966386554621848</v>
      </c>
      <c r="AA506" s="35">
        <f t="shared" si="210"/>
        <v>0.15966386554621848</v>
      </c>
    </row>
    <row r="507" spans="2:27" x14ac:dyDescent="0.2">
      <c r="B507" s="2">
        <v>505</v>
      </c>
      <c r="C507" s="2" t="str">
        <f t="shared" si="204"/>
        <v>c</v>
      </c>
      <c r="D507" s="29" t="s">
        <v>1</v>
      </c>
      <c r="E507" s="29" t="s">
        <v>219</v>
      </c>
      <c r="F507" s="2" t="s">
        <v>225</v>
      </c>
      <c r="G507" s="2">
        <f t="shared" si="194"/>
        <v>1</v>
      </c>
      <c r="H507" s="2" t="str">
        <f t="shared" si="186"/>
        <v>--</v>
      </c>
      <c r="I507" s="38">
        <f t="shared" si="187"/>
        <v>0</v>
      </c>
      <c r="J507" s="33">
        <f t="shared" si="208"/>
        <v>27</v>
      </c>
      <c r="K507" s="33">
        <f t="shared" si="209"/>
        <v>0</v>
      </c>
      <c r="L507" s="33">
        <f t="shared" si="209"/>
        <v>0</v>
      </c>
      <c r="M507" s="33">
        <f t="shared" si="209"/>
        <v>0</v>
      </c>
      <c r="N507" s="33">
        <f t="shared" si="209"/>
        <v>0</v>
      </c>
      <c r="O507" s="33">
        <f t="shared" si="209"/>
        <v>0</v>
      </c>
      <c r="P507" s="33">
        <f t="shared" si="209"/>
        <v>0</v>
      </c>
      <c r="Q507" s="33">
        <f t="shared" si="209"/>
        <v>0</v>
      </c>
      <c r="R507" s="35">
        <f t="shared" si="188"/>
        <v>0</v>
      </c>
      <c r="S507" s="35">
        <f t="shared" si="189"/>
        <v>0</v>
      </c>
      <c r="T507" s="35">
        <f t="shared" si="190"/>
        <v>0</v>
      </c>
      <c r="U507" s="35">
        <f t="shared" si="210"/>
        <v>0</v>
      </c>
      <c r="V507" s="35">
        <f t="shared" si="210"/>
        <v>0</v>
      </c>
      <c r="W507" s="35">
        <f t="shared" si="210"/>
        <v>0</v>
      </c>
      <c r="X507" s="35">
        <f t="shared" si="210"/>
        <v>0</v>
      </c>
      <c r="Y507" s="35">
        <f t="shared" si="210"/>
        <v>0</v>
      </c>
      <c r="Z507" s="35">
        <f t="shared" si="210"/>
        <v>0</v>
      </c>
      <c r="AA507" s="35">
        <f t="shared" si="210"/>
        <v>0</v>
      </c>
    </row>
    <row r="508" spans="2:27" x14ac:dyDescent="0.2">
      <c r="B508" s="2">
        <v>506</v>
      </c>
      <c r="C508" s="2" t="str">
        <f t="shared" si="204"/>
        <v>c</v>
      </c>
      <c r="D508" s="29" t="s">
        <v>1</v>
      </c>
      <c r="E508" s="29" t="s">
        <v>219</v>
      </c>
      <c r="F508" s="2" t="s">
        <v>225</v>
      </c>
      <c r="G508" s="2">
        <f t="shared" si="194"/>
        <v>2</v>
      </c>
      <c r="H508" s="2" t="str">
        <f t="shared" si="186"/>
        <v>--</v>
      </c>
      <c r="I508" s="38">
        <f t="shared" si="187"/>
        <v>0</v>
      </c>
      <c r="J508" s="33">
        <f t="shared" si="208"/>
        <v>54</v>
      </c>
      <c r="K508" s="33">
        <f t="shared" si="209"/>
        <v>0</v>
      </c>
      <c r="L508" s="33">
        <f t="shared" si="209"/>
        <v>0</v>
      </c>
      <c r="M508" s="33">
        <f t="shared" si="209"/>
        <v>0</v>
      </c>
      <c r="N508" s="33">
        <f t="shared" si="209"/>
        <v>0</v>
      </c>
      <c r="O508" s="33">
        <f t="shared" si="209"/>
        <v>0</v>
      </c>
      <c r="P508" s="33">
        <f t="shared" si="209"/>
        <v>0</v>
      </c>
      <c r="Q508" s="33">
        <f t="shared" si="209"/>
        <v>0</v>
      </c>
      <c r="R508" s="35">
        <f t="shared" si="188"/>
        <v>0</v>
      </c>
      <c r="S508" s="35">
        <f t="shared" si="189"/>
        <v>0</v>
      </c>
      <c r="T508" s="35">
        <f t="shared" si="190"/>
        <v>0</v>
      </c>
      <c r="U508" s="35">
        <f t="shared" si="210"/>
        <v>0</v>
      </c>
      <c r="V508" s="35">
        <f t="shared" si="210"/>
        <v>0</v>
      </c>
      <c r="W508" s="35">
        <f t="shared" si="210"/>
        <v>0</v>
      </c>
      <c r="X508" s="35">
        <f t="shared" si="210"/>
        <v>0</v>
      </c>
      <c r="Y508" s="35">
        <f t="shared" si="210"/>
        <v>0</v>
      </c>
      <c r="Z508" s="35">
        <f t="shared" si="210"/>
        <v>0</v>
      </c>
      <c r="AA508" s="35">
        <f t="shared" si="210"/>
        <v>0</v>
      </c>
    </row>
    <row r="509" spans="2:27" x14ac:dyDescent="0.2">
      <c r="B509" s="2">
        <v>507</v>
      </c>
      <c r="C509" s="2" t="str">
        <f t="shared" si="204"/>
        <v>c</v>
      </c>
      <c r="D509" s="29" t="s">
        <v>1</v>
      </c>
      <c r="E509" s="29" t="s">
        <v>219</v>
      </c>
      <c r="F509" s="2" t="s">
        <v>225</v>
      </c>
      <c r="G509" s="2">
        <f t="shared" si="194"/>
        <v>3</v>
      </c>
      <c r="H509" s="2" t="str">
        <f t="shared" si="186"/>
        <v>--</v>
      </c>
      <c r="I509" s="38">
        <f t="shared" si="187"/>
        <v>0</v>
      </c>
      <c r="J509" s="33">
        <f t="shared" si="208"/>
        <v>81</v>
      </c>
      <c r="K509" s="33">
        <f t="shared" si="209"/>
        <v>0</v>
      </c>
      <c r="L509" s="33">
        <f t="shared" si="209"/>
        <v>0</v>
      </c>
      <c r="M509" s="33">
        <f t="shared" si="209"/>
        <v>0</v>
      </c>
      <c r="N509" s="33">
        <f t="shared" si="209"/>
        <v>0</v>
      </c>
      <c r="O509" s="33">
        <f t="shared" si="209"/>
        <v>0</v>
      </c>
      <c r="P509" s="33">
        <f t="shared" si="209"/>
        <v>0</v>
      </c>
      <c r="Q509" s="33">
        <f t="shared" si="209"/>
        <v>0</v>
      </c>
      <c r="R509" s="35">
        <f t="shared" si="188"/>
        <v>0</v>
      </c>
      <c r="S509" s="35">
        <f t="shared" si="189"/>
        <v>0</v>
      </c>
      <c r="T509" s="35">
        <f t="shared" si="190"/>
        <v>0</v>
      </c>
      <c r="U509" s="35">
        <f t="shared" si="210"/>
        <v>0</v>
      </c>
      <c r="V509" s="35">
        <f t="shared" si="210"/>
        <v>0</v>
      </c>
      <c r="W509" s="35">
        <f t="shared" si="210"/>
        <v>0</v>
      </c>
      <c r="X509" s="35">
        <f t="shared" si="210"/>
        <v>0</v>
      </c>
      <c r="Y509" s="35">
        <f t="shared" si="210"/>
        <v>0</v>
      </c>
      <c r="Z509" s="35">
        <f t="shared" si="210"/>
        <v>0</v>
      </c>
      <c r="AA509" s="35">
        <f t="shared" si="210"/>
        <v>0</v>
      </c>
    </row>
    <row r="510" spans="2:27" x14ac:dyDescent="0.2">
      <c r="B510" s="2">
        <v>508</v>
      </c>
      <c r="C510" s="2" t="str">
        <f t="shared" si="204"/>
        <v>c</v>
      </c>
      <c r="D510" s="29" t="s">
        <v>1</v>
      </c>
      <c r="E510" s="29" t="s">
        <v>219</v>
      </c>
      <c r="F510" s="2" t="s">
        <v>225</v>
      </c>
      <c r="G510" s="2">
        <f t="shared" si="194"/>
        <v>4</v>
      </c>
      <c r="H510" s="2" t="str">
        <f t="shared" si="186"/>
        <v>--</v>
      </c>
      <c r="I510" s="38">
        <f t="shared" si="187"/>
        <v>0</v>
      </c>
      <c r="J510" s="33">
        <f t="shared" si="208"/>
        <v>108</v>
      </c>
      <c r="K510" s="33">
        <f t="shared" si="209"/>
        <v>0</v>
      </c>
      <c r="L510" s="33">
        <f t="shared" si="209"/>
        <v>0</v>
      </c>
      <c r="M510" s="33">
        <f t="shared" si="209"/>
        <v>0</v>
      </c>
      <c r="N510" s="33">
        <f t="shared" si="209"/>
        <v>0</v>
      </c>
      <c r="O510" s="33">
        <f t="shared" si="209"/>
        <v>0</v>
      </c>
      <c r="P510" s="33">
        <f t="shared" si="209"/>
        <v>0</v>
      </c>
      <c r="Q510" s="33">
        <f t="shared" si="209"/>
        <v>0</v>
      </c>
      <c r="R510" s="35">
        <f t="shared" si="188"/>
        <v>0</v>
      </c>
      <c r="S510" s="35">
        <f t="shared" si="189"/>
        <v>0</v>
      </c>
      <c r="T510" s="35">
        <f t="shared" si="190"/>
        <v>0</v>
      </c>
      <c r="U510" s="35">
        <f t="shared" si="210"/>
        <v>0</v>
      </c>
      <c r="V510" s="35">
        <f t="shared" si="210"/>
        <v>0</v>
      </c>
      <c r="W510" s="35">
        <f t="shared" si="210"/>
        <v>0</v>
      </c>
      <c r="X510" s="35">
        <f t="shared" si="210"/>
        <v>0</v>
      </c>
      <c r="Y510" s="35">
        <f t="shared" si="210"/>
        <v>0</v>
      </c>
      <c r="Z510" s="35">
        <f t="shared" si="210"/>
        <v>0</v>
      </c>
      <c r="AA510" s="35">
        <f t="shared" si="210"/>
        <v>0</v>
      </c>
    </row>
    <row r="511" spans="2:27" x14ac:dyDescent="0.2">
      <c r="B511" s="2">
        <v>509</v>
      </c>
      <c r="C511" s="2" t="str">
        <f t="shared" si="204"/>
        <v>c</v>
      </c>
      <c r="D511" s="29" t="s">
        <v>1</v>
      </c>
      <c r="E511" s="29" t="s">
        <v>219</v>
      </c>
      <c r="F511" s="2" t="s">
        <v>225</v>
      </c>
      <c r="G511" s="2">
        <f t="shared" si="194"/>
        <v>5</v>
      </c>
      <c r="H511" s="2" t="str">
        <f t="shared" si="186"/>
        <v>--</v>
      </c>
      <c r="I511" s="38">
        <f t="shared" si="187"/>
        <v>0</v>
      </c>
      <c r="J511" s="33">
        <f t="shared" si="208"/>
        <v>135</v>
      </c>
      <c r="K511" s="33">
        <f t="shared" si="209"/>
        <v>0</v>
      </c>
      <c r="L511" s="33">
        <f t="shared" si="209"/>
        <v>0</v>
      </c>
      <c r="M511" s="33">
        <f t="shared" si="209"/>
        <v>0</v>
      </c>
      <c r="N511" s="33">
        <f t="shared" si="209"/>
        <v>0</v>
      </c>
      <c r="O511" s="33">
        <f t="shared" si="209"/>
        <v>0</v>
      </c>
      <c r="P511" s="33">
        <f t="shared" si="209"/>
        <v>0</v>
      </c>
      <c r="Q511" s="33">
        <f t="shared" si="209"/>
        <v>0</v>
      </c>
      <c r="R511" s="35">
        <f t="shared" si="188"/>
        <v>0</v>
      </c>
      <c r="S511" s="35">
        <f t="shared" si="189"/>
        <v>0</v>
      </c>
      <c r="T511" s="35">
        <f t="shared" si="190"/>
        <v>0</v>
      </c>
      <c r="U511" s="35">
        <f t="shared" si="210"/>
        <v>0</v>
      </c>
      <c r="V511" s="35">
        <f t="shared" si="210"/>
        <v>0</v>
      </c>
      <c r="W511" s="35">
        <f t="shared" si="210"/>
        <v>0</v>
      </c>
      <c r="X511" s="35">
        <f t="shared" si="210"/>
        <v>0</v>
      </c>
      <c r="Y511" s="35">
        <f t="shared" si="210"/>
        <v>0</v>
      </c>
      <c r="Z511" s="35">
        <f t="shared" si="210"/>
        <v>0</v>
      </c>
      <c r="AA511" s="35">
        <f t="shared" si="210"/>
        <v>0</v>
      </c>
    </row>
    <row r="512" spans="2:27" x14ac:dyDescent="0.2">
      <c r="B512" s="2">
        <v>510</v>
      </c>
      <c r="C512" s="2" t="str">
        <f t="shared" si="204"/>
        <v>c</v>
      </c>
      <c r="D512" s="29" t="s">
        <v>1</v>
      </c>
      <c r="E512" s="29" t="s">
        <v>219</v>
      </c>
      <c r="F512" s="2" t="s">
        <v>225</v>
      </c>
      <c r="G512" s="2">
        <f t="shared" si="194"/>
        <v>6</v>
      </c>
      <c r="H512" s="2" t="str">
        <f t="shared" si="186"/>
        <v>--</v>
      </c>
      <c r="I512" s="38">
        <f t="shared" si="187"/>
        <v>0</v>
      </c>
      <c r="J512" s="33">
        <f t="shared" si="208"/>
        <v>162</v>
      </c>
      <c r="K512" s="33">
        <f t="shared" si="209"/>
        <v>0</v>
      </c>
      <c r="L512" s="33">
        <f t="shared" si="209"/>
        <v>0</v>
      </c>
      <c r="M512" s="33">
        <f t="shared" si="209"/>
        <v>0</v>
      </c>
      <c r="N512" s="33">
        <f t="shared" si="209"/>
        <v>0</v>
      </c>
      <c r="O512" s="33">
        <f t="shared" si="209"/>
        <v>0</v>
      </c>
      <c r="P512" s="33">
        <f t="shared" si="209"/>
        <v>0</v>
      </c>
      <c r="Q512" s="33">
        <f t="shared" si="209"/>
        <v>0</v>
      </c>
      <c r="R512" s="35">
        <f t="shared" si="188"/>
        <v>0</v>
      </c>
      <c r="S512" s="35">
        <f t="shared" si="189"/>
        <v>0</v>
      </c>
      <c r="T512" s="35">
        <f t="shared" si="190"/>
        <v>0</v>
      </c>
      <c r="U512" s="35">
        <f t="shared" si="210"/>
        <v>0</v>
      </c>
      <c r="V512" s="35">
        <f t="shared" si="210"/>
        <v>0</v>
      </c>
      <c r="W512" s="35">
        <f t="shared" si="210"/>
        <v>0</v>
      </c>
      <c r="X512" s="35">
        <f t="shared" si="210"/>
        <v>0</v>
      </c>
      <c r="Y512" s="35">
        <f t="shared" si="210"/>
        <v>0</v>
      </c>
      <c r="Z512" s="35">
        <f t="shared" si="210"/>
        <v>0</v>
      </c>
      <c r="AA512" s="35">
        <f t="shared" si="210"/>
        <v>0</v>
      </c>
    </row>
    <row r="513" spans="2:27" x14ac:dyDescent="0.2">
      <c r="B513" s="2">
        <v>511</v>
      </c>
      <c r="C513" s="2" t="str">
        <f t="shared" si="204"/>
        <v>c</v>
      </c>
      <c r="D513" s="29" t="s">
        <v>1</v>
      </c>
      <c r="E513" s="29" t="s">
        <v>219</v>
      </c>
      <c r="F513" s="2" t="s">
        <v>225</v>
      </c>
      <c r="G513" s="2">
        <f t="shared" si="194"/>
        <v>7</v>
      </c>
      <c r="H513" s="2" t="str">
        <f t="shared" si="186"/>
        <v>--</v>
      </c>
      <c r="I513" s="38">
        <f t="shared" si="187"/>
        <v>0</v>
      </c>
      <c r="J513" s="33">
        <f t="shared" ref="J513:J522" si="211">INT((1+VLOOKUP($F513,role_property_weight,getpos(J$2),FALSE))*(1+VLOOKUP($F513,drop_property_weight,getpos(J$2),FALSE))*VLOOKUP($E513,role_grow,getpos(J$2),FALSE)*$G513*10*VLOOKUP($C513,drop_grow1,4,FALSE))</f>
        <v>189</v>
      </c>
      <c r="K513" s="33">
        <f t="shared" ref="K513:Q522" si="212">INT((1+VLOOKUP($F513,role_property_weight,getpos(K$2),FALSE))*(1+VLOOKUP($F513,drop_property_weight,getpos(K$2),FALSE))*VLOOKUP($E513,role_grow,getpos(K$2),FALSE)*$G513*10*VLOOKUP($C513,drop_grow1,5,FALSE))</f>
        <v>0</v>
      </c>
      <c r="L513" s="33">
        <f t="shared" si="212"/>
        <v>0</v>
      </c>
      <c r="M513" s="33">
        <f t="shared" si="212"/>
        <v>0</v>
      </c>
      <c r="N513" s="33">
        <f t="shared" si="212"/>
        <v>0</v>
      </c>
      <c r="O513" s="33">
        <f t="shared" si="212"/>
        <v>0</v>
      </c>
      <c r="P513" s="33">
        <f t="shared" si="212"/>
        <v>0</v>
      </c>
      <c r="Q513" s="33">
        <f t="shared" si="212"/>
        <v>0</v>
      </c>
      <c r="R513" s="35">
        <f t="shared" si="188"/>
        <v>0</v>
      </c>
      <c r="S513" s="35">
        <f t="shared" si="189"/>
        <v>0</v>
      </c>
      <c r="T513" s="35">
        <f t="shared" si="190"/>
        <v>0</v>
      </c>
      <c r="U513" s="35">
        <f t="shared" ref="U513:AA522" si="213">1-200/(200+ROUND((1+VLOOKUP($F513,role_property_weight,getpos(U$2),FALSE))*VLOOKUP($E513,role_grow,getpos(U$2),FALSE)*$G513*10*VLOOKUP($C513,drop_grow1,5,FALSE),0))</f>
        <v>0</v>
      </c>
      <c r="V513" s="35">
        <f t="shared" si="213"/>
        <v>0</v>
      </c>
      <c r="W513" s="35">
        <f t="shared" si="213"/>
        <v>0</v>
      </c>
      <c r="X513" s="35">
        <f t="shared" si="213"/>
        <v>0</v>
      </c>
      <c r="Y513" s="35">
        <f t="shared" si="213"/>
        <v>0</v>
      </c>
      <c r="Z513" s="35">
        <f t="shared" si="213"/>
        <v>0</v>
      </c>
      <c r="AA513" s="35">
        <f t="shared" si="213"/>
        <v>0</v>
      </c>
    </row>
    <row r="514" spans="2:27" x14ac:dyDescent="0.2">
      <c r="B514" s="2">
        <v>512</v>
      </c>
      <c r="C514" s="2" t="str">
        <f t="shared" si="204"/>
        <v>c</v>
      </c>
      <c r="D514" s="29" t="s">
        <v>1</v>
      </c>
      <c r="E514" s="29" t="s">
        <v>219</v>
      </c>
      <c r="F514" s="2" t="s">
        <v>225</v>
      </c>
      <c r="G514" s="2">
        <f t="shared" si="194"/>
        <v>8</v>
      </c>
      <c r="H514" s="2" t="str">
        <f t="shared" si="186"/>
        <v>--</v>
      </c>
      <c r="I514" s="38">
        <f t="shared" si="187"/>
        <v>0</v>
      </c>
      <c r="J514" s="33">
        <f t="shared" si="211"/>
        <v>216</v>
      </c>
      <c r="K514" s="33">
        <f t="shared" si="212"/>
        <v>0</v>
      </c>
      <c r="L514" s="33">
        <f t="shared" si="212"/>
        <v>0</v>
      </c>
      <c r="M514" s="33">
        <f t="shared" si="212"/>
        <v>0</v>
      </c>
      <c r="N514" s="33">
        <f t="shared" si="212"/>
        <v>0</v>
      </c>
      <c r="O514" s="33">
        <f t="shared" si="212"/>
        <v>0</v>
      </c>
      <c r="P514" s="33">
        <f t="shared" si="212"/>
        <v>0</v>
      </c>
      <c r="Q514" s="33">
        <f t="shared" si="212"/>
        <v>0</v>
      </c>
      <c r="R514" s="35">
        <f t="shared" si="188"/>
        <v>0</v>
      </c>
      <c r="S514" s="35">
        <f t="shared" si="189"/>
        <v>0</v>
      </c>
      <c r="T514" s="35">
        <f t="shared" si="190"/>
        <v>0</v>
      </c>
      <c r="U514" s="35">
        <f t="shared" si="213"/>
        <v>0</v>
      </c>
      <c r="V514" s="35">
        <f t="shared" si="213"/>
        <v>0</v>
      </c>
      <c r="W514" s="35">
        <f t="shared" si="213"/>
        <v>0</v>
      </c>
      <c r="X514" s="35">
        <f t="shared" si="213"/>
        <v>0</v>
      </c>
      <c r="Y514" s="35">
        <f t="shared" si="213"/>
        <v>0</v>
      </c>
      <c r="Z514" s="35">
        <f t="shared" si="213"/>
        <v>0</v>
      </c>
      <c r="AA514" s="35">
        <f t="shared" si="213"/>
        <v>0</v>
      </c>
    </row>
    <row r="515" spans="2:27" x14ac:dyDescent="0.2">
      <c r="B515" s="2">
        <v>513</v>
      </c>
      <c r="C515" s="2" t="str">
        <f t="shared" si="204"/>
        <v>s</v>
      </c>
      <c r="D515" s="29" t="s">
        <v>1</v>
      </c>
      <c r="E515" s="29" t="s">
        <v>219</v>
      </c>
      <c r="F515" s="2" t="s">
        <v>226</v>
      </c>
      <c r="G515" s="2">
        <f t="shared" si="194"/>
        <v>1</v>
      </c>
      <c r="H515" s="2" t="str">
        <f t="shared" ref="H515:H578" si="214">IF(C515="c","--",VLOOKUP(F515,role_property_weight,17,FALSE))</f>
        <v>物理</v>
      </c>
      <c r="I515" s="38">
        <f t="shared" si="187"/>
        <v>0.08</v>
      </c>
      <c r="J515" s="33">
        <f t="shared" si="211"/>
        <v>17</v>
      </c>
      <c r="K515" s="33">
        <f t="shared" si="212"/>
        <v>14</v>
      </c>
      <c r="L515" s="33">
        <f t="shared" si="212"/>
        <v>3</v>
      </c>
      <c r="M515" s="33">
        <f t="shared" si="212"/>
        <v>9</v>
      </c>
      <c r="N515" s="33">
        <f t="shared" si="212"/>
        <v>11</v>
      </c>
      <c r="O515" s="33">
        <f t="shared" si="212"/>
        <v>11</v>
      </c>
      <c r="P515" s="33">
        <f t="shared" si="212"/>
        <v>5</v>
      </c>
      <c r="Q515" s="33">
        <f t="shared" si="212"/>
        <v>6</v>
      </c>
      <c r="R515" s="35">
        <f t="shared" si="188"/>
        <v>1.2E-2</v>
      </c>
      <c r="S515" s="35">
        <f t="shared" si="189"/>
        <v>0.01</v>
      </c>
      <c r="T515" s="35">
        <f t="shared" si="190"/>
        <v>7.4999999999999997E-3</v>
      </c>
      <c r="U515" s="35">
        <f t="shared" si="213"/>
        <v>2.9126213592232997E-2</v>
      </c>
      <c r="V515" s="35">
        <f t="shared" si="213"/>
        <v>1.4778325123152691E-2</v>
      </c>
      <c r="W515" s="35">
        <f t="shared" si="213"/>
        <v>1.4778325123152691E-2</v>
      </c>
      <c r="X515" s="35">
        <f t="shared" si="213"/>
        <v>1.4778325123152691E-2</v>
      </c>
      <c r="Y515" s="35">
        <f t="shared" si="213"/>
        <v>1.4778325123152691E-2</v>
      </c>
      <c r="Z515" s="35">
        <f t="shared" si="213"/>
        <v>1.4778325123152691E-2</v>
      </c>
      <c r="AA515" s="35">
        <f t="shared" si="213"/>
        <v>1.4778325123152691E-2</v>
      </c>
    </row>
    <row r="516" spans="2:27" x14ac:dyDescent="0.2">
      <c r="B516" s="2">
        <v>514</v>
      </c>
      <c r="C516" s="2" t="str">
        <f t="shared" si="204"/>
        <v>s</v>
      </c>
      <c r="D516" s="29" t="s">
        <v>1</v>
      </c>
      <c r="E516" s="29" t="s">
        <v>219</v>
      </c>
      <c r="F516" s="2" t="s">
        <v>226</v>
      </c>
      <c r="G516" s="2">
        <f t="shared" si="194"/>
        <v>2</v>
      </c>
      <c r="H516" s="2" t="str">
        <f t="shared" si="214"/>
        <v>物理</v>
      </c>
      <c r="I516" s="38">
        <f t="shared" ref="I516:I579" si="215">IF(H516="--",0,IF((SUM(J516:Q516)/35)%&lt;8%,8%,(SUM(J516:Q516)/35)%))</f>
        <v>0.08</v>
      </c>
      <c r="J516" s="33">
        <f t="shared" si="211"/>
        <v>34</v>
      </c>
      <c r="K516" s="33">
        <f t="shared" si="212"/>
        <v>29</v>
      </c>
      <c r="L516" s="33">
        <f t="shared" si="212"/>
        <v>6</v>
      </c>
      <c r="M516" s="33">
        <f t="shared" si="212"/>
        <v>18</v>
      </c>
      <c r="N516" s="33">
        <f t="shared" si="212"/>
        <v>23</v>
      </c>
      <c r="O516" s="33">
        <f t="shared" si="212"/>
        <v>23</v>
      </c>
      <c r="P516" s="33">
        <f t="shared" si="212"/>
        <v>10</v>
      </c>
      <c r="Q516" s="33">
        <f t="shared" si="212"/>
        <v>13</v>
      </c>
      <c r="R516" s="35">
        <f t="shared" ref="R516:R579" si="216">(Q516/5)%</f>
        <v>2.6000000000000002E-2</v>
      </c>
      <c r="S516" s="35">
        <f t="shared" ref="S516:S579" si="217">(P516/5)%</f>
        <v>0.02</v>
      </c>
      <c r="T516" s="35">
        <f t="shared" ref="T516:T579" si="218">(Q516/8)%</f>
        <v>1.6250000000000001E-2</v>
      </c>
      <c r="U516" s="35">
        <f t="shared" si="213"/>
        <v>5.6603773584905648E-2</v>
      </c>
      <c r="V516" s="35">
        <f t="shared" si="213"/>
        <v>2.9126213592232997E-2</v>
      </c>
      <c r="W516" s="35">
        <f t="shared" si="213"/>
        <v>2.9126213592232997E-2</v>
      </c>
      <c r="X516" s="35">
        <f t="shared" si="213"/>
        <v>2.9126213592232997E-2</v>
      </c>
      <c r="Y516" s="35">
        <f t="shared" si="213"/>
        <v>2.9126213592232997E-2</v>
      </c>
      <c r="Z516" s="35">
        <f t="shared" si="213"/>
        <v>2.9126213592232997E-2</v>
      </c>
      <c r="AA516" s="35">
        <f t="shared" si="213"/>
        <v>2.9126213592232997E-2</v>
      </c>
    </row>
    <row r="517" spans="2:27" x14ac:dyDescent="0.2">
      <c r="B517" s="2">
        <v>515</v>
      </c>
      <c r="C517" s="2" t="str">
        <f t="shared" si="204"/>
        <v>s</v>
      </c>
      <c r="D517" s="29" t="s">
        <v>1</v>
      </c>
      <c r="E517" s="29" t="s">
        <v>219</v>
      </c>
      <c r="F517" s="2" t="s">
        <v>226</v>
      </c>
      <c r="G517" s="2">
        <f t="shared" si="194"/>
        <v>3</v>
      </c>
      <c r="H517" s="2" t="str">
        <f t="shared" si="214"/>
        <v>物理</v>
      </c>
      <c r="I517" s="38">
        <f t="shared" si="215"/>
        <v>0.08</v>
      </c>
      <c r="J517" s="33">
        <f t="shared" si="211"/>
        <v>51</v>
      </c>
      <c r="K517" s="33">
        <f t="shared" si="212"/>
        <v>44</v>
      </c>
      <c r="L517" s="33">
        <f t="shared" si="212"/>
        <v>9</v>
      </c>
      <c r="M517" s="33">
        <f t="shared" si="212"/>
        <v>27</v>
      </c>
      <c r="N517" s="33">
        <f t="shared" si="212"/>
        <v>34</v>
      </c>
      <c r="O517" s="33">
        <f t="shared" si="212"/>
        <v>34</v>
      </c>
      <c r="P517" s="33">
        <f t="shared" si="212"/>
        <v>15</v>
      </c>
      <c r="Q517" s="33">
        <f t="shared" si="212"/>
        <v>19</v>
      </c>
      <c r="R517" s="35">
        <f t="shared" si="216"/>
        <v>3.7999999999999999E-2</v>
      </c>
      <c r="S517" s="35">
        <f t="shared" si="217"/>
        <v>0.03</v>
      </c>
      <c r="T517" s="35">
        <f t="shared" si="218"/>
        <v>2.375E-2</v>
      </c>
      <c r="U517" s="35">
        <f t="shared" si="213"/>
        <v>7.8341013824884786E-2</v>
      </c>
      <c r="V517" s="35">
        <f t="shared" si="213"/>
        <v>4.3062200956937802E-2</v>
      </c>
      <c r="W517" s="35">
        <f t="shared" si="213"/>
        <v>4.3062200956937802E-2</v>
      </c>
      <c r="X517" s="35">
        <f t="shared" si="213"/>
        <v>4.3062200956937802E-2</v>
      </c>
      <c r="Y517" s="35">
        <f t="shared" si="213"/>
        <v>4.3062200956937802E-2</v>
      </c>
      <c r="Z517" s="35">
        <f t="shared" si="213"/>
        <v>4.3062200956937802E-2</v>
      </c>
      <c r="AA517" s="35">
        <f t="shared" si="213"/>
        <v>4.3062200956937802E-2</v>
      </c>
    </row>
    <row r="518" spans="2:27" x14ac:dyDescent="0.2">
      <c r="B518" s="2">
        <v>516</v>
      </c>
      <c r="C518" s="2" t="str">
        <f t="shared" si="204"/>
        <v>s</v>
      </c>
      <c r="D518" s="29" t="s">
        <v>1</v>
      </c>
      <c r="E518" s="29" t="s">
        <v>219</v>
      </c>
      <c r="F518" s="2" t="s">
        <v>226</v>
      </c>
      <c r="G518" s="2">
        <f t="shared" si="194"/>
        <v>4</v>
      </c>
      <c r="H518" s="2" t="str">
        <f t="shared" si="214"/>
        <v>物理</v>
      </c>
      <c r="I518" s="38">
        <f t="shared" si="215"/>
        <v>8.9714285714285719E-2</v>
      </c>
      <c r="J518" s="33">
        <f t="shared" si="211"/>
        <v>69</v>
      </c>
      <c r="K518" s="33">
        <f t="shared" si="212"/>
        <v>59</v>
      </c>
      <c r="L518" s="33">
        <f t="shared" si="212"/>
        <v>12</v>
      </c>
      <c r="M518" s="33">
        <f t="shared" si="212"/>
        <v>36</v>
      </c>
      <c r="N518" s="33">
        <f t="shared" si="212"/>
        <v>46</v>
      </c>
      <c r="O518" s="33">
        <f t="shared" si="212"/>
        <v>46</v>
      </c>
      <c r="P518" s="33">
        <f t="shared" si="212"/>
        <v>20</v>
      </c>
      <c r="Q518" s="33">
        <f t="shared" si="212"/>
        <v>26</v>
      </c>
      <c r="R518" s="35">
        <f t="shared" si="216"/>
        <v>5.2000000000000005E-2</v>
      </c>
      <c r="S518" s="35">
        <f t="shared" si="217"/>
        <v>0.04</v>
      </c>
      <c r="T518" s="35">
        <f t="shared" si="218"/>
        <v>3.2500000000000001E-2</v>
      </c>
      <c r="U518" s="35">
        <f t="shared" si="213"/>
        <v>0.10313901345291476</v>
      </c>
      <c r="V518" s="35">
        <f t="shared" si="213"/>
        <v>5.6603773584905648E-2</v>
      </c>
      <c r="W518" s="35">
        <f t="shared" si="213"/>
        <v>5.6603773584905648E-2</v>
      </c>
      <c r="X518" s="35">
        <f t="shared" si="213"/>
        <v>5.6603773584905648E-2</v>
      </c>
      <c r="Y518" s="35">
        <f t="shared" si="213"/>
        <v>5.6603773584905648E-2</v>
      </c>
      <c r="Z518" s="35">
        <f t="shared" si="213"/>
        <v>5.6603773584905648E-2</v>
      </c>
      <c r="AA518" s="35">
        <f t="shared" si="213"/>
        <v>5.6603773584905648E-2</v>
      </c>
    </row>
    <row r="519" spans="2:27" x14ac:dyDescent="0.2">
      <c r="B519" s="2">
        <v>517</v>
      </c>
      <c r="C519" s="2" t="str">
        <f t="shared" si="204"/>
        <v>s</v>
      </c>
      <c r="D519" s="29" t="s">
        <v>1</v>
      </c>
      <c r="E519" s="29" t="s">
        <v>219</v>
      </c>
      <c r="F519" s="2" t="s">
        <v>226</v>
      </c>
      <c r="G519" s="2">
        <f t="shared" si="194"/>
        <v>5</v>
      </c>
      <c r="H519" s="2" t="str">
        <f t="shared" si="214"/>
        <v>物理</v>
      </c>
      <c r="I519" s="38">
        <f t="shared" si="215"/>
        <v>0.11228571428571428</v>
      </c>
      <c r="J519" s="33">
        <f t="shared" si="211"/>
        <v>86</v>
      </c>
      <c r="K519" s="33">
        <f t="shared" si="212"/>
        <v>74</v>
      </c>
      <c r="L519" s="33">
        <f t="shared" si="212"/>
        <v>15</v>
      </c>
      <c r="M519" s="33">
        <f t="shared" si="212"/>
        <v>46</v>
      </c>
      <c r="N519" s="33">
        <f t="shared" si="212"/>
        <v>57</v>
      </c>
      <c r="O519" s="33">
        <f t="shared" si="212"/>
        <v>57</v>
      </c>
      <c r="P519" s="33">
        <f t="shared" si="212"/>
        <v>25</v>
      </c>
      <c r="Q519" s="33">
        <f t="shared" si="212"/>
        <v>33</v>
      </c>
      <c r="R519" s="35">
        <f t="shared" si="216"/>
        <v>6.6000000000000003E-2</v>
      </c>
      <c r="S519" s="35">
        <f t="shared" si="217"/>
        <v>0.05</v>
      </c>
      <c r="T519" s="35">
        <f t="shared" si="218"/>
        <v>4.1250000000000002E-2</v>
      </c>
      <c r="U519" s="35">
        <f t="shared" si="213"/>
        <v>0.1266375545851528</v>
      </c>
      <c r="V519" s="35">
        <f t="shared" si="213"/>
        <v>6.5420560747663559E-2</v>
      </c>
      <c r="W519" s="35">
        <f t="shared" si="213"/>
        <v>6.5420560747663559E-2</v>
      </c>
      <c r="X519" s="35">
        <f t="shared" si="213"/>
        <v>6.5420560747663559E-2</v>
      </c>
      <c r="Y519" s="35">
        <f t="shared" si="213"/>
        <v>6.5420560747663559E-2</v>
      </c>
      <c r="Z519" s="35">
        <f t="shared" si="213"/>
        <v>6.5420560747663559E-2</v>
      </c>
      <c r="AA519" s="35">
        <f t="shared" si="213"/>
        <v>6.5420560747663559E-2</v>
      </c>
    </row>
    <row r="520" spans="2:27" x14ac:dyDescent="0.2">
      <c r="B520" s="2">
        <v>518</v>
      </c>
      <c r="C520" s="2" t="str">
        <f t="shared" si="204"/>
        <v>s</v>
      </c>
      <c r="D520" s="29" t="s">
        <v>1</v>
      </c>
      <c r="E520" s="29" t="s">
        <v>219</v>
      </c>
      <c r="F520" s="2" t="s">
        <v>226</v>
      </c>
      <c r="G520" s="2">
        <f t="shared" si="194"/>
        <v>6</v>
      </c>
      <c r="H520" s="2" t="str">
        <f t="shared" si="214"/>
        <v>物理</v>
      </c>
      <c r="I520" s="38">
        <f t="shared" si="215"/>
        <v>0.13514285714285715</v>
      </c>
      <c r="J520" s="33">
        <f t="shared" si="211"/>
        <v>103</v>
      </c>
      <c r="K520" s="33">
        <f t="shared" si="212"/>
        <v>89</v>
      </c>
      <c r="L520" s="33">
        <f t="shared" si="212"/>
        <v>18</v>
      </c>
      <c r="M520" s="33">
        <f t="shared" si="212"/>
        <v>55</v>
      </c>
      <c r="N520" s="33">
        <f t="shared" si="212"/>
        <v>69</v>
      </c>
      <c r="O520" s="33">
        <f t="shared" si="212"/>
        <v>69</v>
      </c>
      <c r="P520" s="33">
        <f t="shared" si="212"/>
        <v>31</v>
      </c>
      <c r="Q520" s="33">
        <f t="shared" si="212"/>
        <v>39</v>
      </c>
      <c r="R520" s="35">
        <f t="shared" si="216"/>
        <v>7.8E-2</v>
      </c>
      <c r="S520" s="35">
        <f t="shared" si="217"/>
        <v>6.2E-2</v>
      </c>
      <c r="T520" s="35">
        <f t="shared" si="218"/>
        <v>4.8750000000000002E-2</v>
      </c>
      <c r="U520" s="35">
        <f t="shared" si="213"/>
        <v>0.14893617021276595</v>
      </c>
      <c r="V520" s="35">
        <f t="shared" si="213"/>
        <v>7.8341013824884786E-2</v>
      </c>
      <c r="W520" s="35">
        <f t="shared" si="213"/>
        <v>7.8341013824884786E-2</v>
      </c>
      <c r="X520" s="35">
        <f t="shared" si="213"/>
        <v>7.8341013824884786E-2</v>
      </c>
      <c r="Y520" s="35">
        <f t="shared" si="213"/>
        <v>7.8341013824884786E-2</v>
      </c>
      <c r="Z520" s="35">
        <f t="shared" si="213"/>
        <v>7.8341013824884786E-2</v>
      </c>
      <c r="AA520" s="35">
        <f t="shared" si="213"/>
        <v>7.8341013824884786E-2</v>
      </c>
    </row>
    <row r="521" spans="2:27" x14ac:dyDescent="0.2">
      <c r="B521" s="2">
        <v>519</v>
      </c>
      <c r="C521" s="2" t="str">
        <f t="shared" si="204"/>
        <v>s</v>
      </c>
      <c r="D521" s="29" t="s">
        <v>1</v>
      </c>
      <c r="E521" s="29" t="s">
        <v>219</v>
      </c>
      <c r="F521" s="2" t="s">
        <v>226</v>
      </c>
      <c r="G521" s="2">
        <f t="shared" si="194"/>
        <v>7</v>
      </c>
      <c r="H521" s="2" t="str">
        <f t="shared" si="214"/>
        <v>物理</v>
      </c>
      <c r="I521" s="38">
        <f t="shared" si="215"/>
        <v>0.15742857142857142</v>
      </c>
      <c r="J521" s="33">
        <f t="shared" si="211"/>
        <v>120</v>
      </c>
      <c r="K521" s="33">
        <f t="shared" si="212"/>
        <v>104</v>
      </c>
      <c r="L521" s="33">
        <f t="shared" si="212"/>
        <v>21</v>
      </c>
      <c r="M521" s="33">
        <f t="shared" si="212"/>
        <v>64</v>
      </c>
      <c r="N521" s="33">
        <f t="shared" si="212"/>
        <v>80</v>
      </c>
      <c r="O521" s="33">
        <f t="shared" si="212"/>
        <v>80</v>
      </c>
      <c r="P521" s="33">
        <f t="shared" si="212"/>
        <v>36</v>
      </c>
      <c r="Q521" s="33">
        <f t="shared" si="212"/>
        <v>46</v>
      </c>
      <c r="R521" s="35">
        <f t="shared" si="216"/>
        <v>9.1999999999999998E-2</v>
      </c>
      <c r="S521" s="35">
        <f t="shared" si="217"/>
        <v>7.2000000000000008E-2</v>
      </c>
      <c r="T521" s="35">
        <f t="shared" si="218"/>
        <v>5.7500000000000002E-2</v>
      </c>
      <c r="U521" s="35">
        <f t="shared" si="213"/>
        <v>0.16666666666666663</v>
      </c>
      <c r="V521" s="35">
        <f t="shared" si="213"/>
        <v>9.0909090909090939E-2</v>
      </c>
      <c r="W521" s="35">
        <f t="shared" si="213"/>
        <v>9.0909090909090939E-2</v>
      </c>
      <c r="X521" s="35">
        <f t="shared" si="213"/>
        <v>9.0909090909090939E-2</v>
      </c>
      <c r="Y521" s="35">
        <f t="shared" si="213"/>
        <v>9.0909090909090939E-2</v>
      </c>
      <c r="Z521" s="35">
        <f t="shared" si="213"/>
        <v>9.0909090909090939E-2</v>
      </c>
      <c r="AA521" s="35">
        <f t="shared" si="213"/>
        <v>9.0909090909090939E-2</v>
      </c>
    </row>
    <row r="522" spans="2:27" x14ac:dyDescent="0.2">
      <c r="B522" s="2">
        <v>520</v>
      </c>
      <c r="C522" s="2" t="str">
        <f t="shared" si="204"/>
        <v>s</v>
      </c>
      <c r="D522" s="29" t="s">
        <v>1</v>
      </c>
      <c r="E522" s="29" t="s">
        <v>219</v>
      </c>
      <c r="F522" s="2" t="s">
        <v>226</v>
      </c>
      <c r="G522" s="2">
        <f t="shared" si="194"/>
        <v>8</v>
      </c>
      <c r="H522" s="2" t="str">
        <f t="shared" si="214"/>
        <v>物理</v>
      </c>
      <c r="I522" s="38">
        <f t="shared" si="215"/>
        <v>0.18028571428571427</v>
      </c>
      <c r="J522" s="33">
        <f t="shared" si="211"/>
        <v>138</v>
      </c>
      <c r="K522" s="33">
        <f t="shared" si="212"/>
        <v>119</v>
      </c>
      <c r="L522" s="33">
        <f t="shared" si="212"/>
        <v>24</v>
      </c>
      <c r="M522" s="33">
        <f t="shared" si="212"/>
        <v>73</v>
      </c>
      <c r="N522" s="33">
        <f t="shared" si="212"/>
        <v>92</v>
      </c>
      <c r="O522" s="33">
        <f t="shared" si="212"/>
        <v>92</v>
      </c>
      <c r="P522" s="33">
        <f t="shared" si="212"/>
        <v>41</v>
      </c>
      <c r="Q522" s="33">
        <f t="shared" si="212"/>
        <v>52</v>
      </c>
      <c r="R522" s="35">
        <f t="shared" si="216"/>
        <v>0.10400000000000001</v>
      </c>
      <c r="S522" s="35">
        <f t="shared" si="217"/>
        <v>8.199999999999999E-2</v>
      </c>
      <c r="T522" s="35">
        <f t="shared" si="218"/>
        <v>6.5000000000000002E-2</v>
      </c>
      <c r="U522" s="35">
        <f t="shared" si="213"/>
        <v>0.18699186991869921</v>
      </c>
      <c r="V522" s="35">
        <f t="shared" si="213"/>
        <v>0.10313901345291476</v>
      </c>
      <c r="W522" s="35">
        <f t="shared" si="213"/>
        <v>0.10313901345291476</v>
      </c>
      <c r="X522" s="35">
        <f t="shared" si="213"/>
        <v>0.10313901345291476</v>
      </c>
      <c r="Y522" s="35">
        <f t="shared" si="213"/>
        <v>0.10313901345291476</v>
      </c>
      <c r="Z522" s="35">
        <f t="shared" si="213"/>
        <v>0.10313901345291476</v>
      </c>
      <c r="AA522" s="35">
        <f t="shared" si="213"/>
        <v>0.10313901345291476</v>
      </c>
    </row>
    <row r="523" spans="2:27" x14ac:dyDescent="0.2">
      <c r="B523" s="2">
        <v>521</v>
      </c>
      <c r="C523" s="2" t="str">
        <f t="shared" si="204"/>
        <v>a</v>
      </c>
      <c r="D523" s="29" t="s">
        <v>1</v>
      </c>
      <c r="E523" s="29" t="s">
        <v>219</v>
      </c>
      <c r="F523" s="2" t="s">
        <v>226</v>
      </c>
      <c r="G523" s="2">
        <f t="shared" si="194"/>
        <v>1</v>
      </c>
      <c r="H523" s="2" t="str">
        <f t="shared" si="214"/>
        <v>物理</v>
      </c>
      <c r="I523" s="38">
        <f t="shared" si="215"/>
        <v>0.08</v>
      </c>
      <c r="J523" s="33">
        <f t="shared" ref="J523:J532" si="219">INT((1+VLOOKUP($F523,role_property_weight,getpos(J$2),FALSE))*(1+VLOOKUP($F523,drop_property_weight,getpos(J$2),FALSE))*VLOOKUP($E523,role_grow,getpos(J$2),FALSE)*$G523*10*VLOOKUP($C523,drop_grow1,4,FALSE))</f>
        <v>12</v>
      </c>
      <c r="K523" s="33">
        <f t="shared" ref="K523:Q532" si="220">INT((1+VLOOKUP($F523,role_property_weight,getpos(K$2),FALSE))*(1+VLOOKUP($F523,drop_property_weight,getpos(K$2),FALSE))*VLOOKUP($E523,role_grow,getpos(K$2),FALSE)*$G523*10*VLOOKUP($C523,drop_grow1,5,FALSE))</f>
        <v>16</v>
      </c>
      <c r="L523" s="33">
        <f t="shared" si="220"/>
        <v>3</v>
      </c>
      <c r="M523" s="33">
        <f t="shared" si="220"/>
        <v>10</v>
      </c>
      <c r="N523" s="33">
        <f t="shared" si="220"/>
        <v>12</v>
      </c>
      <c r="O523" s="33">
        <f t="shared" si="220"/>
        <v>12</v>
      </c>
      <c r="P523" s="33">
        <f t="shared" si="220"/>
        <v>5</v>
      </c>
      <c r="Q523" s="33">
        <f t="shared" si="220"/>
        <v>7</v>
      </c>
      <c r="R523" s="35">
        <f t="shared" si="216"/>
        <v>1.3999999999999999E-2</v>
      </c>
      <c r="S523" s="35">
        <f t="shared" si="217"/>
        <v>0.01</v>
      </c>
      <c r="T523" s="35">
        <f t="shared" si="218"/>
        <v>8.7500000000000008E-3</v>
      </c>
      <c r="U523" s="35">
        <f t="shared" ref="U523:AA532" si="221">1-200/(200+ROUND((1+VLOOKUP($F523,role_property_weight,getpos(U$2),FALSE))*VLOOKUP($E523,role_grow,getpos(U$2),FALSE)*$G523*10*VLOOKUP($C523,drop_grow1,5,FALSE),0))</f>
        <v>2.9126213592232997E-2</v>
      </c>
      <c r="V523" s="35">
        <f t="shared" si="221"/>
        <v>1.4778325123152691E-2</v>
      </c>
      <c r="W523" s="35">
        <f t="shared" si="221"/>
        <v>1.4778325123152691E-2</v>
      </c>
      <c r="X523" s="35">
        <f t="shared" si="221"/>
        <v>1.4778325123152691E-2</v>
      </c>
      <c r="Y523" s="35">
        <f t="shared" si="221"/>
        <v>1.4778325123152691E-2</v>
      </c>
      <c r="Z523" s="35">
        <f t="shared" si="221"/>
        <v>1.4778325123152691E-2</v>
      </c>
      <c r="AA523" s="35">
        <f t="shared" si="221"/>
        <v>1.4778325123152691E-2</v>
      </c>
    </row>
    <row r="524" spans="2:27" x14ac:dyDescent="0.2">
      <c r="B524" s="2">
        <v>522</v>
      </c>
      <c r="C524" s="2" t="str">
        <f t="shared" si="204"/>
        <v>a</v>
      </c>
      <c r="D524" s="29" t="s">
        <v>1</v>
      </c>
      <c r="E524" s="29" t="s">
        <v>219</v>
      </c>
      <c r="F524" s="2" t="s">
        <v>226</v>
      </c>
      <c r="G524" s="2">
        <f t="shared" ref="G524:G587" si="222">G516</f>
        <v>2</v>
      </c>
      <c r="H524" s="2" t="str">
        <f t="shared" si="214"/>
        <v>物理</v>
      </c>
      <c r="I524" s="38">
        <f t="shared" si="215"/>
        <v>0.08</v>
      </c>
      <c r="J524" s="33">
        <f t="shared" si="219"/>
        <v>25</v>
      </c>
      <c r="K524" s="33">
        <f t="shared" si="220"/>
        <v>33</v>
      </c>
      <c r="L524" s="33">
        <f t="shared" si="220"/>
        <v>6</v>
      </c>
      <c r="M524" s="33">
        <f t="shared" si="220"/>
        <v>20</v>
      </c>
      <c r="N524" s="33">
        <f t="shared" si="220"/>
        <v>25</v>
      </c>
      <c r="O524" s="33">
        <f t="shared" si="220"/>
        <v>25</v>
      </c>
      <c r="P524" s="33">
        <f t="shared" si="220"/>
        <v>11</v>
      </c>
      <c r="Q524" s="33">
        <f t="shared" si="220"/>
        <v>14</v>
      </c>
      <c r="R524" s="35">
        <f t="shared" si="216"/>
        <v>2.7999999999999997E-2</v>
      </c>
      <c r="S524" s="35">
        <f t="shared" si="217"/>
        <v>2.2000000000000002E-2</v>
      </c>
      <c r="T524" s="35">
        <f t="shared" si="218"/>
        <v>1.7500000000000002E-2</v>
      </c>
      <c r="U524" s="35">
        <f t="shared" si="221"/>
        <v>6.1032863849765251E-2</v>
      </c>
      <c r="V524" s="35">
        <f t="shared" si="221"/>
        <v>2.9126213592232997E-2</v>
      </c>
      <c r="W524" s="35">
        <f t="shared" si="221"/>
        <v>2.9126213592232997E-2</v>
      </c>
      <c r="X524" s="35">
        <f t="shared" si="221"/>
        <v>2.9126213592232997E-2</v>
      </c>
      <c r="Y524" s="35">
        <f t="shared" si="221"/>
        <v>2.9126213592232997E-2</v>
      </c>
      <c r="Z524" s="35">
        <f t="shared" si="221"/>
        <v>2.9126213592232997E-2</v>
      </c>
      <c r="AA524" s="35">
        <f t="shared" si="221"/>
        <v>2.9126213592232997E-2</v>
      </c>
    </row>
    <row r="525" spans="2:27" x14ac:dyDescent="0.2">
      <c r="B525" s="2">
        <v>523</v>
      </c>
      <c r="C525" s="2" t="str">
        <f t="shared" si="204"/>
        <v>a</v>
      </c>
      <c r="D525" s="29" t="s">
        <v>1</v>
      </c>
      <c r="E525" s="29" t="s">
        <v>219</v>
      </c>
      <c r="F525" s="2" t="s">
        <v>226</v>
      </c>
      <c r="G525" s="2">
        <f t="shared" si="222"/>
        <v>3</v>
      </c>
      <c r="H525" s="2" t="str">
        <f t="shared" si="214"/>
        <v>物理</v>
      </c>
      <c r="I525" s="38">
        <f t="shared" si="215"/>
        <v>0.08</v>
      </c>
      <c r="J525" s="33">
        <f t="shared" si="219"/>
        <v>38</v>
      </c>
      <c r="K525" s="33">
        <f t="shared" si="220"/>
        <v>49</v>
      </c>
      <c r="L525" s="33">
        <f t="shared" si="220"/>
        <v>10</v>
      </c>
      <c r="M525" s="33">
        <f t="shared" si="220"/>
        <v>30</v>
      </c>
      <c r="N525" s="33">
        <f t="shared" si="220"/>
        <v>38</v>
      </c>
      <c r="O525" s="33">
        <f t="shared" si="220"/>
        <v>38</v>
      </c>
      <c r="P525" s="33">
        <f t="shared" si="220"/>
        <v>17</v>
      </c>
      <c r="Q525" s="33">
        <f t="shared" si="220"/>
        <v>22</v>
      </c>
      <c r="R525" s="35">
        <f t="shared" si="216"/>
        <v>4.4000000000000004E-2</v>
      </c>
      <c r="S525" s="35">
        <f t="shared" si="217"/>
        <v>3.4000000000000002E-2</v>
      </c>
      <c r="T525" s="35">
        <f t="shared" si="218"/>
        <v>2.75E-2</v>
      </c>
      <c r="U525" s="35">
        <f t="shared" si="221"/>
        <v>8.6757990867579959E-2</v>
      </c>
      <c r="V525" s="35">
        <f t="shared" si="221"/>
        <v>4.7619047619047672E-2</v>
      </c>
      <c r="W525" s="35">
        <f t="shared" si="221"/>
        <v>4.7619047619047672E-2</v>
      </c>
      <c r="X525" s="35">
        <f t="shared" si="221"/>
        <v>4.7619047619047672E-2</v>
      </c>
      <c r="Y525" s="35">
        <f t="shared" si="221"/>
        <v>4.7619047619047672E-2</v>
      </c>
      <c r="Z525" s="35">
        <f t="shared" si="221"/>
        <v>4.7619047619047672E-2</v>
      </c>
      <c r="AA525" s="35">
        <f t="shared" si="221"/>
        <v>4.7619047619047672E-2</v>
      </c>
    </row>
    <row r="526" spans="2:27" x14ac:dyDescent="0.2">
      <c r="B526" s="2">
        <v>524</v>
      </c>
      <c r="C526" s="2" t="str">
        <f t="shared" si="204"/>
        <v>a</v>
      </c>
      <c r="D526" s="29" t="s">
        <v>1</v>
      </c>
      <c r="E526" s="29" t="s">
        <v>219</v>
      </c>
      <c r="F526" s="2" t="s">
        <v>226</v>
      </c>
      <c r="G526" s="2">
        <f t="shared" si="222"/>
        <v>4</v>
      </c>
      <c r="H526" s="2" t="str">
        <f t="shared" si="214"/>
        <v>物理</v>
      </c>
      <c r="I526" s="38">
        <f t="shared" si="215"/>
        <v>9.2571428571428582E-2</v>
      </c>
      <c r="J526" s="33">
        <f t="shared" si="219"/>
        <v>51</v>
      </c>
      <c r="K526" s="33">
        <f t="shared" si="220"/>
        <v>66</v>
      </c>
      <c r="L526" s="33">
        <f t="shared" si="220"/>
        <v>13</v>
      </c>
      <c r="M526" s="33">
        <f t="shared" si="220"/>
        <v>40</v>
      </c>
      <c r="N526" s="33">
        <f t="shared" si="220"/>
        <v>51</v>
      </c>
      <c r="O526" s="33">
        <f t="shared" si="220"/>
        <v>51</v>
      </c>
      <c r="P526" s="33">
        <f t="shared" si="220"/>
        <v>23</v>
      </c>
      <c r="Q526" s="33">
        <f t="shared" si="220"/>
        <v>29</v>
      </c>
      <c r="R526" s="35">
        <f t="shared" si="216"/>
        <v>5.7999999999999996E-2</v>
      </c>
      <c r="S526" s="35">
        <f t="shared" si="217"/>
        <v>4.5999999999999999E-2</v>
      </c>
      <c r="T526" s="35">
        <f t="shared" si="218"/>
        <v>3.6249999999999998E-2</v>
      </c>
      <c r="U526" s="35">
        <f t="shared" si="221"/>
        <v>0.11504424778761058</v>
      </c>
      <c r="V526" s="35">
        <f t="shared" si="221"/>
        <v>6.1032863849765251E-2</v>
      </c>
      <c r="W526" s="35">
        <f t="shared" si="221"/>
        <v>6.1032863849765251E-2</v>
      </c>
      <c r="X526" s="35">
        <f t="shared" si="221"/>
        <v>6.1032863849765251E-2</v>
      </c>
      <c r="Y526" s="35">
        <f t="shared" si="221"/>
        <v>6.1032863849765251E-2</v>
      </c>
      <c r="Z526" s="35">
        <f t="shared" si="221"/>
        <v>6.1032863849765251E-2</v>
      </c>
      <c r="AA526" s="35">
        <f t="shared" si="221"/>
        <v>6.1032863849765251E-2</v>
      </c>
    </row>
    <row r="527" spans="2:27" x14ac:dyDescent="0.2">
      <c r="B527" s="2">
        <v>525</v>
      </c>
      <c r="C527" s="2" t="str">
        <f t="shared" si="204"/>
        <v>a</v>
      </c>
      <c r="D527" s="29" t="s">
        <v>1</v>
      </c>
      <c r="E527" s="29" t="s">
        <v>219</v>
      </c>
      <c r="F527" s="2" t="s">
        <v>226</v>
      </c>
      <c r="G527" s="2">
        <f t="shared" si="222"/>
        <v>5</v>
      </c>
      <c r="H527" s="2" t="str">
        <f t="shared" si="214"/>
        <v>物理</v>
      </c>
      <c r="I527" s="38">
        <f t="shared" si="215"/>
        <v>0.11628571428571428</v>
      </c>
      <c r="J527" s="33">
        <f t="shared" si="219"/>
        <v>64</v>
      </c>
      <c r="K527" s="33">
        <f t="shared" si="220"/>
        <v>83</v>
      </c>
      <c r="L527" s="33">
        <f t="shared" si="220"/>
        <v>17</v>
      </c>
      <c r="M527" s="33">
        <f t="shared" si="220"/>
        <v>51</v>
      </c>
      <c r="N527" s="33">
        <f t="shared" si="220"/>
        <v>64</v>
      </c>
      <c r="O527" s="33">
        <f t="shared" si="220"/>
        <v>64</v>
      </c>
      <c r="P527" s="33">
        <f t="shared" si="220"/>
        <v>28</v>
      </c>
      <c r="Q527" s="33">
        <f t="shared" si="220"/>
        <v>36</v>
      </c>
      <c r="R527" s="35">
        <f t="shared" si="216"/>
        <v>7.2000000000000008E-2</v>
      </c>
      <c r="S527" s="35">
        <f t="shared" si="217"/>
        <v>5.5999999999999994E-2</v>
      </c>
      <c r="T527" s="35">
        <f t="shared" si="218"/>
        <v>4.4999999999999998E-2</v>
      </c>
      <c r="U527" s="35">
        <f t="shared" si="221"/>
        <v>0.13793103448275867</v>
      </c>
      <c r="V527" s="35">
        <f t="shared" si="221"/>
        <v>7.407407407407407E-2</v>
      </c>
      <c r="W527" s="35">
        <f t="shared" si="221"/>
        <v>7.407407407407407E-2</v>
      </c>
      <c r="X527" s="35">
        <f t="shared" si="221"/>
        <v>7.407407407407407E-2</v>
      </c>
      <c r="Y527" s="35">
        <f t="shared" si="221"/>
        <v>7.407407407407407E-2</v>
      </c>
      <c r="Z527" s="35">
        <f t="shared" si="221"/>
        <v>7.407407407407407E-2</v>
      </c>
      <c r="AA527" s="35">
        <f t="shared" si="221"/>
        <v>7.407407407407407E-2</v>
      </c>
    </row>
    <row r="528" spans="2:27" x14ac:dyDescent="0.2">
      <c r="B528" s="2">
        <v>526</v>
      </c>
      <c r="C528" s="2" t="str">
        <f t="shared" si="204"/>
        <v>a</v>
      </c>
      <c r="D528" s="29" t="s">
        <v>1</v>
      </c>
      <c r="E528" s="29" t="s">
        <v>219</v>
      </c>
      <c r="F528" s="2" t="s">
        <v>226</v>
      </c>
      <c r="G528" s="2">
        <f t="shared" si="222"/>
        <v>6</v>
      </c>
      <c r="H528" s="2" t="str">
        <f t="shared" si="214"/>
        <v>物理</v>
      </c>
      <c r="I528" s="38">
        <f t="shared" si="215"/>
        <v>0.13914285714285715</v>
      </c>
      <c r="J528" s="33">
        <f t="shared" si="219"/>
        <v>77</v>
      </c>
      <c r="K528" s="33">
        <f t="shared" si="220"/>
        <v>99</v>
      </c>
      <c r="L528" s="33">
        <f t="shared" si="220"/>
        <v>20</v>
      </c>
      <c r="M528" s="33">
        <f t="shared" si="220"/>
        <v>61</v>
      </c>
      <c r="N528" s="33">
        <f t="shared" si="220"/>
        <v>76</v>
      </c>
      <c r="O528" s="33">
        <f t="shared" si="220"/>
        <v>76</v>
      </c>
      <c r="P528" s="33">
        <f t="shared" si="220"/>
        <v>34</v>
      </c>
      <c r="Q528" s="33">
        <f t="shared" si="220"/>
        <v>44</v>
      </c>
      <c r="R528" s="35">
        <f t="shared" si="216"/>
        <v>8.8000000000000009E-2</v>
      </c>
      <c r="S528" s="35">
        <f t="shared" si="217"/>
        <v>6.8000000000000005E-2</v>
      </c>
      <c r="T528" s="35">
        <f t="shared" si="218"/>
        <v>5.5E-2</v>
      </c>
      <c r="U528" s="35">
        <f t="shared" si="221"/>
        <v>0.15966386554621848</v>
      </c>
      <c r="V528" s="35">
        <f t="shared" si="221"/>
        <v>8.6757990867579959E-2</v>
      </c>
      <c r="W528" s="35">
        <f t="shared" si="221"/>
        <v>8.6757990867579959E-2</v>
      </c>
      <c r="X528" s="35">
        <f t="shared" si="221"/>
        <v>8.6757990867579959E-2</v>
      </c>
      <c r="Y528" s="35">
        <f t="shared" si="221"/>
        <v>8.6757990867579959E-2</v>
      </c>
      <c r="Z528" s="35">
        <f t="shared" si="221"/>
        <v>8.6757990867579959E-2</v>
      </c>
      <c r="AA528" s="35">
        <f t="shared" si="221"/>
        <v>8.6757990867579959E-2</v>
      </c>
    </row>
    <row r="529" spans="2:27" x14ac:dyDescent="0.2">
      <c r="B529" s="2">
        <v>527</v>
      </c>
      <c r="C529" s="2" t="str">
        <f t="shared" si="204"/>
        <v>a</v>
      </c>
      <c r="D529" s="29" t="s">
        <v>1</v>
      </c>
      <c r="E529" s="29" t="s">
        <v>219</v>
      </c>
      <c r="F529" s="2" t="s">
        <v>226</v>
      </c>
      <c r="G529" s="2">
        <f t="shared" si="222"/>
        <v>7</v>
      </c>
      <c r="H529" s="2" t="str">
        <f t="shared" si="214"/>
        <v>物理</v>
      </c>
      <c r="I529" s="38">
        <f t="shared" si="215"/>
        <v>0.16285714285714284</v>
      </c>
      <c r="J529" s="33">
        <f t="shared" si="219"/>
        <v>90</v>
      </c>
      <c r="K529" s="33">
        <f t="shared" si="220"/>
        <v>116</v>
      </c>
      <c r="L529" s="33">
        <f t="shared" si="220"/>
        <v>24</v>
      </c>
      <c r="M529" s="33">
        <f t="shared" si="220"/>
        <v>71</v>
      </c>
      <c r="N529" s="33">
        <f t="shared" si="220"/>
        <v>89</v>
      </c>
      <c r="O529" s="33">
        <f t="shared" si="220"/>
        <v>89</v>
      </c>
      <c r="P529" s="33">
        <f t="shared" si="220"/>
        <v>40</v>
      </c>
      <c r="Q529" s="33">
        <f t="shared" si="220"/>
        <v>51</v>
      </c>
      <c r="R529" s="35">
        <f t="shared" si="216"/>
        <v>0.10199999999999999</v>
      </c>
      <c r="S529" s="35">
        <f t="shared" si="217"/>
        <v>0.08</v>
      </c>
      <c r="T529" s="35">
        <f t="shared" si="218"/>
        <v>6.3750000000000001E-2</v>
      </c>
      <c r="U529" s="35">
        <f t="shared" si="221"/>
        <v>0.18367346938775508</v>
      </c>
      <c r="V529" s="35">
        <f t="shared" si="221"/>
        <v>9.9099099099099086E-2</v>
      </c>
      <c r="W529" s="35">
        <f t="shared" si="221"/>
        <v>9.9099099099099086E-2</v>
      </c>
      <c r="X529" s="35">
        <f t="shared" si="221"/>
        <v>9.9099099099099086E-2</v>
      </c>
      <c r="Y529" s="35">
        <f t="shared" si="221"/>
        <v>9.9099099099099086E-2</v>
      </c>
      <c r="Z529" s="35">
        <f t="shared" si="221"/>
        <v>9.9099099099099086E-2</v>
      </c>
      <c r="AA529" s="35">
        <f t="shared" si="221"/>
        <v>9.9099099099099086E-2</v>
      </c>
    </row>
    <row r="530" spans="2:27" x14ac:dyDescent="0.2">
      <c r="B530" s="2">
        <v>528</v>
      </c>
      <c r="C530" s="2" t="str">
        <f t="shared" si="204"/>
        <v>a</v>
      </c>
      <c r="D530" s="29" t="s">
        <v>1</v>
      </c>
      <c r="E530" s="29" t="s">
        <v>219</v>
      </c>
      <c r="F530" s="2" t="s">
        <v>226</v>
      </c>
      <c r="G530" s="2">
        <f t="shared" si="222"/>
        <v>8</v>
      </c>
      <c r="H530" s="2" t="str">
        <f t="shared" si="214"/>
        <v>物理</v>
      </c>
      <c r="I530" s="38">
        <f t="shared" si="215"/>
        <v>0.1862857142857143</v>
      </c>
      <c r="J530" s="33">
        <f t="shared" si="219"/>
        <v>103</v>
      </c>
      <c r="K530" s="33">
        <f t="shared" si="220"/>
        <v>133</v>
      </c>
      <c r="L530" s="33">
        <f t="shared" si="220"/>
        <v>27</v>
      </c>
      <c r="M530" s="33">
        <f t="shared" si="220"/>
        <v>81</v>
      </c>
      <c r="N530" s="33">
        <f t="shared" si="220"/>
        <v>102</v>
      </c>
      <c r="O530" s="33">
        <f t="shared" si="220"/>
        <v>102</v>
      </c>
      <c r="P530" s="33">
        <f t="shared" si="220"/>
        <v>46</v>
      </c>
      <c r="Q530" s="33">
        <f t="shared" si="220"/>
        <v>58</v>
      </c>
      <c r="R530" s="35">
        <f t="shared" si="216"/>
        <v>0.11599999999999999</v>
      </c>
      <c r="S530" s="35">
        <f t="shared" si="217"/>
        <v>9.1999999999999998E-2</v>
      </c>
      <c r="T530" s="35">
        <f t="shared" si="218"/>
        <v>7.2499999999999995E-2</v>
      </c>
      <c r="U530" s="35">
        <f t="shared" si="221"/>
        <v>0.20318725099601598</v>
      </c>
      <c r="V530" s="35">
        <f t="shared" si="221"/>
        <v>0.11504424778761058</v>
      </c>
      <c r="W530" s="35">
        <f t="shared" si="221"/>
        <v>0.11504424778761058</v>
      </c>
      <c r="X530" s="35">
        <f t="shared" si="221"/>
        <v>0.11504424778761058</v>
      </c>
      <c r="Y530" s="35">
        <f t="shared" si="221"/>
        <v>0.11504424778761058</v>
      </c>
      <c r="Z530" s="35">
        <f t="shared" si="221"/>
        <v>0.11504424778761058</v>
      </c>
      <c r="AA530" s="35">
        <f t="shared" si="221"/>
        <v>0.11504424778761058</v>
      </c>
    </row>
    <row r="531" spans="2:27" x14ac:dyDescent="0.2">
      <c r="B531" s="2">
        <v>529</v>
      </c>
      <c r="C531" s="2" t="str">
        <f t="shared" si="204"/>
        <v>b</v>
      </c>
      <c r="D531" s="29" t="s">
        <v>1</v>
      </c>
      <c r="E531" s="29" t="s">
        <v>219</v>
      </c>
      <c r="F531" s="2" t="s">
        <v>226</v>
      </c>
      <c r="G531" s="2">
        <f t="shared" si="222"/>
        <v>1</v>
      </c>
      <c r="H531" s="2" t="str">
        <f t="shared" si="214"/>
        <v>物理</v>
      </c>
      <c r="I531" s="38">
        <f t="shared" si="215"/>
        <v>0.08</v>
      </c>
      <c r="J531" s="33">
        <f t="shared" si="219"/>
        <v>15</v>
      </c>
      <c r="K531" s="33">
        <f t="shared" si="220"/>
        <v>24</v>
      </c>
      <c r="L531" s="33">
        <f t="shared" si="220"/>
        <v>5</v>
      </c>
      <c r="M531" s="33">
        <f t="shared" si="220"/>
        <v>15</v>
      </c>
      <c r="N531" s="33">
        <f t="shared" si="220"/>
        <v>19</v>
      </c>
      <c r="O531" s="33">
        <f t="shared" si="220"/>
        <v>19</v>
      </c>
      <c r="P531" s="33">
        <f t="shared" si="220"/>
        <v>8</v>
      </c>
      <c r="Q531" s="33">
        <f t="shared" si="220"/>
        <v>11</v>
      </c>
      <c r="R531" s="35">
        <f t="shared" si="216"/>
        <v>2.2000000000000002E-2</v>
      </c>
      <c r="S531" s="35">
        <f t="shared" si="217"/>
        <v>1.6E-2</v>
      </c>
      <c r="T531" s="35">
        <f t="shared" si="218"/>
        <v>1.375E-2</v>
      </c>
      <c r="U531" s="35">
        <f t="shared" si="221"/>
        <v>4.7619047619047672E-2</v>
      </c>
      <c r="V531" s="35">
        <f t="shared" si="221"/>
        <v>2.4390243902439046E-2</v>
      </c>
      <c r="W531" s="35">
        <f t="shared" si="221"/>
        <v>2.4390243902439046E-2</v>
      </c>
      <c r="X531" s="35">
        <f t="shared" si="221"/>
        <v>2.4390243902439046E-2</v>
      </c>
      <c r="Y531" s="35">
        <f t="shared" si="221"/>
        <v>2.4390243902439046E-2</v>
      </c>
      <c r="Z531" s="35">
        <f t="shared" si="221"/>
        <v>2.4390243902439046E-2</v>
      </c>
      <c r="AA531" s="35">
        <f t="shared" si="221"/>
        <v>2.4390243902439046E-2</v>
      </c>
    </row>
    <row r="532" spans="2:27" x14ac:dyDescent="0.2">
      <c r="B532" s="2">
        <v>530</v>
      </c>
      <c r="C532" s="2" t="str">
        <f t="shared" si="204"/>
        <v>b</v>
      </c>
      <c r="D532" s="29" t="s">
        <v>1</v>
      </c>
      <c r="E532" s="29" t="s">
        <v>219</v>
      </c>
      <c r="F532" s="2" t="s">
        <v>226</v>
      </c>
      <c r="G532" s="2">
        <f t="shared" si="222"/>
        <v>2</v>
      </c>
      <c r="H532" s="2" t="str">
        <f t="shared" si="214"/>
        <v>物理</v>
      </c>
      <c r="I532" s="38">
        <f t="shared" si="215"/>
        <v>0.08</v>
      </c>
      <c r="J532" s="33">
        <f t="shared" si="219"/>
        <v>30</v>
      </c>
      <c r="K532" s="33">
        <f t="shared" si="220"/>
        <v>49</v>
      </c>
      <c r="L532" s="33">
        <f t="shared" si="220"/>
        <v>10</v>
      </c>
      <c r="M532" s="33">
        <f t="shared" si="220"/>
        <v>30</v>
      </c>
      <c r="N532" s="33">
        <f t="shared" si="220"/>
        <v>38</v>
      </c>
      <c r="O532" s="33">
        <f t="shared" si="220"/>
        <v>38</v>
      </c>
      <c r="P532" s="33">
        <f t="shared" si="220"/>
        <v>17</v>
      </c>
      <c r="Q532" s="33">
        <f t="shared" si="220"/>
        <v>22</v>
      </c>
      <c r="R532" s="35">
        <f t="shared" si="216"/>
        <v>4.4000000000000004E-2</v>
      </c>
      <c r="S532" s="35">
        <f t="shared" si="217"/>
        <v>3.4000000000000002E-2</v>
      </c>
      <c r="T532" s="35">
        <f t="shared" si="218"/>
        <v>2.75E-2</v>
      </c>
      <c r="U532" s="35">
        <f t="shared" si="221"/>
        <v>8.6757990867579959E-2</v>
      </c>
      <c r="V532" s="35">
        <f t="shared" si="221"/>
        <v>4.7619047619047672E-2</v>
      </c>
      <c r="W532" s="35">
        <f t="shared" si="221"/>
        <v>4.7619047619047672E-2</v>
      </c>
      <c r="X532" s="35">
        <f t="shared" si="221"/>
        <v>4.7619047619047672E-2</v>
      </c>
      <c r="Y532" s="35">
        <f t="shared" si="221"/>
        <v>4.7619047619047672E-2</v>
      </c>
      <c r="Z532" s="35">
        <f t="shared" si="221"/>
        <v>4.7619047619047672E-2</v>
      </c>
      <c r="AA532" s="35">
        <f t="shared" si="221"/>
        <v>4.7619047619047672E-2</v>
      </c>
    </row>
    <row r="533" spans="2:27" x14ac:dyDescent="0.2">
      <c r="B533" s="2">
        <v>531</v>
      </c>
      <c r="C533" s="2" t="str">
        <f t="shared" si="204"/>
        <v>b</v>
      </c>
      <c r="D533" s="29" t="s">
        <v>1</v>
      </c>
      <c r="E533" s="29" t="s">
        <v>219</v>
      </c>
      <c r="F533" s="2" t="s">
        <v>226</v>
      </c>
      <c r="G533" s="2">
        <f t="shared" si="222"/>
        <v>3</v>
      </c>
      <c r="H533" s="2" t="str">
        <f t="shared" si="214"/>
        <v>物理</v>
      </c>
      <c r="I533" s="38">
        <f t="shared" si="215"/>
        <v>0.10057142857142858</v>
      </c>
      <c r="J533" s="33">
        <f t="shared" ref="J533:J542" si="223">INT((1+VLOOKUP($F533,role_property_weight,getpos(J$2),FALSE))*(1+VLOOKUP($F533,drop_property_weight,getpos(J$2),FALSE))*VLOOKUP($E533,role_grow,getpos(J$2),FALSE)*$G533*10*VLOOKUP($C533,drop_grow1,4,FALSE))</f>
        <v>45</v>
      </c>
      <c r="K533" s="33">
        <f t="shared" ref="K533:Q542" si="224">INT((1+VLOOKUP($F533,role_property_weight,getpos(K$2),FALSE))*(1+VLOOKUP($F533,drop_property_weight,getpos(K$2),FALSE))*VLOOKUP($E533,role_grow,getpos(K$2),FALSE)*$G533*10*VLOOKUP($C533,drop_grow1,5,FALSE))</f>
        <v>74</v>
      </c>
      <c r="L533" s="33">
        <f t="shared" si="224"/>
        <v>15</v>
      </c>
      <c r="M533" s="33">
        <f t="shared" si="224"/>
        <v>46</v>
      </c>
      <c r="N533" s="33">
        <f t="shared" si="224"/>
        <v>57</v>
      </c>
      <c r="O533" s="33">
        <f t="shared" si="224"/>
        <v>57</v>
      </c>
      <c r="P533" s="33">
        <f t="shared" si="224"/>
        <v>25</v>
      </c>
      <c r="Q533" s="33">
        <f t="shared" si="224"/>
        <v>33</v>
      </c>
      <c r="R533" s="35">
        <f t="shared" si="216"/>
        <v>6.6000000000000003E-2</v>
      </c>
      <c r="S533" s="35">
        <f t="shared" si="217"/>
        <v>0.05</v>
      </c>
      <c r="T533" s="35">
        <f t="shared" si="218"/>
        <v>4.1250000000000002E-2</v>
      </c>
      <c r="U533" s="35">
        <f t="shared" ref="U533:AA542" si="225">1-200/(200+ROUND((1+VLOOKUP($F533,role_property_weight,getpos(U$2),FALSE))*VLOOKUP($E533,role_grow,getpos(U$2),FALSE)*$G533*10*VLOOKUP($C533,drop_grow1,5,FALSE),0))</f>
        <v>0.1266375545851528</v>
      </c>
      <c r="V533" s="35">
        <f t="shared" si="225"/>
        <v>6.5420560747663559E-2</v>
      </c>
      <c r="W533" s="35">
        <f t="shared" si="225"/>
        <v>6.5420560747663559E-2</v>
      </c>
      <c r="X533" s="35">
        <f t="shared" si="225"/>
        <v>6.5420560747663559E-2</v>
      </c>
      <c r="Y533" s="35">
        <f t="shared" si="225"/>
        <v>6.5420560747663559E-2</v>
      </c>
      <c r="Z533" s="35">
        <f t="shared" si="225"/>
        <v>6.5420560747663559E-2</v>
      </c>
      <c r="AA533" s="35">
        <f t="shared" si="225"/>
        <v>6.5420560747663559E-2</v>
      </c>
    </row>
    <row r="534" spans="2:27" x14ac:dyDescent="0.2">
      <c r="B534" s="2">
        <v>532</v>
      </c>
      <c r="C534" s="2" t="str">
        <f t="shared" si="204"/>
        <v>b</v>
      </c>
      <c r="D534" s="29" t="s">
        <v>1</v>
      </c>
      <c r="E534" s="29" t="s">
        <v>219</v>
      </c>
      <c r="F534" s="2" t="s">
        <v>226</v>
      </c>
      <c r="G534" s="2">
        <f t="shared" si="222"/>
        <v>4</v>
      </c>
      <c r="H534" s="2" t="str">
        <f t="shared" si="214"/>
        <v>物理</v>
      </c>
      <c r="I534" s="38">
        <f t="shared" si="215"/>
        <v>0.13428571428571429</v>
      </c>
      <c r="J534" s="33">
        <f t="shared" si="223"/>
        <v>60</v>
      </c>
      <c r="K534" s="33">
        <f t="shared" si="224"/>
        <v>99</v>
      </c>
      <c r="L534" s="33">
        <f t="shared" si="224"/>
        <v>20</v>
      </c>
      <c r="M534" s="33">
        <f t="shared" si="224"/>
        <v>61</v>
      </c>
      <c r="N534" s="33">
        <f t="shared" si="224"/>
        <v>76</v>
      </c>
      <c r="O534" s="33">
        <f t="shared" si="224"/>
        <v>76</v>
      </c>
      <c r="P534" s="33">
        <f t="shared" si="224"/>
        <v>34</v>
      </c>
      <c r="Q534" s="33">
        <f t="shared" si="224"/>
        <v>44</v>
      </c>
      <c r="R534" s="35">
        <f t="shared" si="216"/>
        <v>8.8000000000000009E-2</v>
      </c>
      <c r="S534" s="35">
        <f t="shared" si="217"/>
        <v>6.8000000000000005E-2</v>
      </c>
      <c r="T534" s="35">
        <f t="shared" si="218"/>
        <v>5.5E-2</v>
      </c>
      <c r="U534" s="35">
        <f t="shared" si="225"/>
        <v>0.15966386554621848</v>
      </c>
      <c r="V534" s="35">
        <f t="shared" si="225"/>
        <v>8.6757990867579959E-2</v>
      </c>
      <c r="W534" s="35">
        <f t="shared" si="225"/>
        <v>8.6757990867579959E-2</v>
      </c>
      <c r="X534" s="35">
        <f t="shared" si="225"/>
        <v>8.6757990867579959E-2</v>
      </c>
      <c r="Y534" s="35">
        <f t="shared" si="225"/>
        <v>8.6757990867579959E-2</v>
      </c>
      <c r="Z534" s="35">
        <f t="shared" si="225"/>
        <v>8.6757990867579959E-2</v>
      </c>
      <c r="AA534" s="35">
        <f t="shared" si="225"/>
        <v>8.6757990867579959E-2</v>
      </c>
    </row>
    <row r="535" spans="2:27" x14ac:dyDescent="0.2">
      <c r="B535" s="2">
        <v>533</v>
      </c>
      <c r="C535" s="2" t="str">
        <f t="shared" si="204"/>
        <v>b</v>
      </c>
      <c r="D535" s="29" t="s">
        <v>1</v>
      </c>
      <c r="E535" s="29" t="s">
        <v>219</v>
      </c>
      <c r="F535" s="2" t="s">
        <v>226</v>
      </c>
      <c r="G535" s="2">
        <f t="shared" si="222"/>
        <v>5</v>
      </c>
      <c r="H535" s="2" t="str">
        <f t="shared" si="214"/>
        <v>物理</v>
      </c>
      <c r="I535" s="38">
        <f t="shared" si="215"/>
        <v>0.16857142857142857</v>
      </c>
      <c r="J535" s="33">
        <f t="shared" si="223"/>
        <v>75</v>
      </c>
      <c r="K535" s="33">
        <f t="shared" si="224"/>
        <v>124</v>
      </c>
      <c r="L535" s="33">
        <f t="shared" si="224"/>
        <v>25</v>
      </c>
      <c r="M535" s="33">
        <f t="shared" si="224"/>
        <v>76</v>
      </c>
      <c r="N535" s="33">
        <f t="shared" si="224"/>
        <v>96</v>
      </c>
      <c r="O535" s="33">
        <f t="shared" si="224"/>
        <v>96</v>
      </c>
      <c r="P535" s="33">
        <f t="shared" si="224"/>
        <v>43</v>
      </c>
      <c r="Q535" s="33">
        <f t="shared" si="224"/>
        <v>55</v>
      </c>
      <c r="R535" s="35">
        <f t="shared" si="216"/>
        <v>0.11</v>
      </c>
      <c r="S535" s="35">
        <f t="shared" si="217"/>
        <v>8.5999999999999993E-2</v>
      </c>
      <c r="T535" s="35">
        <f t="shared" si="218"/>
        <v>6.8750000000000006E-2</v>
      </c>
      <c r="U535" s="35">
        <f t="shared" si="225"/>
        <v>0.19354838709677424</v>
      </c>
      <c r="V535" s="35">
        <f t="shared" si="225"/>
        <v>0.1071428571428571</v>
      </c>
      <c r="W535" s="35">
        <f t="shared" si="225"/>
        <v>0.1071428571428571</v>
      </c>
      <c r="X535" s="35">
        <f t="shared" si="225"/>
        <v>0.1071428571428571</v>
      </c>
      <c r="Y535" s="35">
        <f t="shared" si="225"/>
        <v>0.1071428571428571</v>
      </c>
      <c r="Z535" s="35">
        <f t="shared" si="225"/>
        <v>0.1071428571428571</v>
      </c>
      <c r="AA535" s="35">
        <f t="shared" si="225"/>
        <v>0.1071428571428571</v>
      </c>
    </row>
    <row r="536" spans="2:27" x14ac:dyDescent="0.2">
      <c r="B536" s="2">
        <v>534</v>
      </c>
      <c r="C536" s="2" t="str">
        <f t="shared" si="204"/>
        <v>b</v>
      </c>
      <c r="D536" s="29" t="s">
        <v>1</v>
      </c>
      <c r="E536" s="29" t="s">
        <v>219</v>
      </c>
      <c r="F536" s="2" t="s">
        <v>226</v>
      </c>
      <c r="G536" s="2">
        <f t="shared" si="222"/>
        <v>6</v>
      </c>
      <c r="H536" s="2" t="str">
        <f t="shared" si="214"/>
        <v>物理</v>
      </c>
      <c r="I536" s="38">
        <f t="shared" si="215"/>
        <v>0.20257142857142857</v>
      </c>
      <c r="J536" s="33">
        <f t="shared" si="223"/>
        <v>90</v>
      </c>
      <c r="K536" s="33">
        <f t="shared" si="224"/>
        <v>149</v>
      </c>
      <c r="L536" s="33">
        <f t="shared" si="224"/>
        <v>31</v>
      </c>
      <c r="M536" s="33">
        <f t="shared" si="224"/>
        <v>92</v>
      </c>
      <c r="N536" s="33">
        <f t="shared" si="224"/>
        <v>115</v>
      </c>
      <c r="O536" s="33">
        <f t="shared" si="224"/>
        <v>115</v>
      </c>
      <c r="P536" s="33">
        <f t="shared" si="224"/>
        <v>51</v>
      </c>
      <c r="Q536" s="33">
        <f t="shared" si="224"/>
        <v>66</v>
      </c>
      <c r="R536" s="35">
        <f t="shared" si="216"/>
        <v>0.13200000000000001</v>
      </c>
      <c r="S536" s="35">
        <f t="shared" si="217"/>
        <v>0.10199999999999999</v>
      </c>
      <c r="T536" s="35">
        <f t="shared" si="218"/>
        <v>8.2500000000000004E-2</v>
      </c>
      <c r="U536" s="35">
        <f t="shared" si="225"/>
        <v>0.22480620155038755</v>
      </c>
      <c r="V536" s="35">
        <f t="shared" si="225"/>
        <v>0.1266375545851528</v>
      </c>
      <c r="W536" s="35">
        <f t="shared" si="225"/>
        <v>0.1266375545851528</v>
      </c>
      <c r="X536" s="35">
        <f t="shared" si="225"/>
        <v>0.1266375545851528</v>
      </c>
      <c r="Y536" s="35">
        <f t="shared" si="225"/>
        <v>0.1266375545851528</v>
      </c>
      <c r="Z536" s="35">
        <f t="shared" si="225"/>
        <v>0.1266375545851528</v>
      </c>
      <c r="AA536" s="35">
        <f t="shared" si="225"/>
        <v>0.1266375545851528</v>
      </c>
    </row>
    <row r="537" spans="2:27" x14ac:dyDescent="0.2">
      <c r="B537" s="2">
        <v>535</v>
      </c>
      <c r="C537" s="2" t="str">
        <f t="shared" si="204"/>
        <v>b</v>
      </c>
      <c r="D537" s="29" t="s">
        <v>1</v>
      </c>
      <c r="E537" s="29" t="s">
        <v>219</v>
      </c>
      <c r="F537" s="2" t="s">
        <v>226</v>
      </c>
      <c r="G537" s="2">
        <f t="shared" si="222"/>
        <v>7</v>
      </c>
      <c r="H537" s="2" t="str">
        <f t="shared" si="214"/>
        <v>物理</v>
      </c>
      <c r="I537" s="38">
        <f t="shared" si="215"/>
        <v>0.23628571428571429</v>
      </c>
      <c r="J537" s="33">
        <f t="shared" si="223"/>
        <v>105</v>
      </c>
      <c r="K537" s="33">
        <f t="shared" si="224"/>
        <v>174</v>
      </c>
      <c r="L537" s="33">
        <f t="shared" si="224"/>
        <v>36</v>
      </c>
      <c r="M537" s="33">
        <f t="shared" si="224"/>
        <v>107</v>
      </c>
      <c r="N537" s="33">
        <f t="shared" si="224"/>
        <v>134</v>
      </c>
      <c r="O537" s="33">
        <f t="shared" si="224"/>
        <v>134</v>
      </c>
      <c r="P537" s="33">
        <f t="shared" si="224"/>
        <v>60</v>
      </c>
      <c r="Q537" s="33">
        <f t="shared" si="224"/>
        <v>77</v>
      </c>
      <c r="R537" s="35">
        <f t="shared" si="216"/>
        <v>0.154</v>
      </c>
      <c r="S537" s="35">
        <f t="shared" si="217"/>
        <v>0.12</v>
      </c>
      <c r="T537" s="35">
        <f t="shared" si="218"/>
        <v>9.6250000000000002E-2</v>
      </c>
      <c r="U537" s="35">
        <f t="shared" si="225"/>
        <v>0.25093632958801493</v>
      </c>
      <c r="V537" s="35">
        <f t="shared" si="225"/>
        <v>0.14529914529914534</v>
      </c>
      <c r="W537" s="35">
        <f t="shared" si="225"/>
        <v>0.14529914529914534</v>
      </c>
      <c r="X537" s="35">
        <f t="shared" si="225"/>
        <v>0.14529914529914534</v>
      </c>
      <c r="Y537" s="35">
        <f t="shared" si="225"/>
        <v>0.14529914529914534</v>
      </c>
      <c r="Z537" s="35">
        <f t="shared" si="225"/>
        <v>0.14529914529914534</v>
      </c>
      <c r="AA537" s="35">
        <f t="shared" si="225"/>
        <v>0.14529914529914534</v>
      </c>
    </row>
    <row r="538" spans="2:27" x14ac:dyDescent="0.2">
      <c r="B538" s="2">
        <v>536</v>
      </c>
      <c r="C538" s="2" t="str">
        <f t="shared" si="204"/>
        <v>b</v>
      </c>
      <c r="D538" s="29" t="s">
        <v>1</v>
      </c>
      <c r="E538" s="29" t="s">
        <v>219</v>
      </c>
      <c r="F538" s="2" t="s">
        <v>226</v>
      </c>
      <c r="G538" s="2">
        <f t="shared" si="222"/>
        <v>8</v>
      </c>
      <c r="H538" s="2" t="str">
        <f t="shared" si="214"/>
        <v>物理</v>
      </c>
      <c r="I538" s="38">
        <f t="shared" si="215"/>
        <v>0.27</v>
      </c>
      <c r="J538" s="33">
        <f t="shared" si="223"/>
        <v>120</v>
      </c>
      <c r="K538" s="33">
        <f t="shared" si="224"/>
        <v>199</v>
      </c>
      <c r="L538" s="33">
        <f t="shared" si="224"/>
        <v>41</v>
      </c>
      <c r="M538" s="33">
        <f t="shared" si="224"/>
        <v>122</v>
      </c>
      <c r="N538" s="33">
        <f t="shared" si="224"/>
        <v>153</v>
      </c>
      <c r="O538" s="33">
        <f t="shared" si="224"/>
        <v>153</v>
      </c>
      <c r="P538" s="33">
        <f t="shared" si="224"/>
        <v>69</v>
      </c>
      <c r="Q538" s="33">
        <f t="shared" si="224"/>
        <v>88</v>
      </c>
      <c r="R538" s="35">
        <f t="shared" si="216"/>
        <v>0.17600000000000002</v>
      </c>
      <c r="S538" s="35">
        <f t="shared" si="217"/>
        <v>0.13800000000000001</v>
      </c>
      <c r="T538" s="35">
        <f t="shared" si="218"/>
        <v>0.11</v>
      </c>
      <c r="U538" s="35">
        <f t="shared" si="225"/>
        <v>0.27797833935018046</v>
      </c>
      <c r="V538" s="35">
        <f t="shared" si="225"/>
        <v>0.15966386554621848</v>
      </c>
      <c r="W538" s="35">
        <f t="shared" si="225"/>
        <v>0.15966386554621848</v>
      </c>
      <c r="X538" s="35">
        <f t="shared" si="225"/>
        <v>0.15966386554621848</v>
      </c>
      <c r="Y538" s="35">
        <f t="shared" si="225"/>
        <v>0.15966386554621848</v>
      </c>
      <c r="Z538" s="35">
        <f t="shared" si="225"/>
        <v>0.15966386554621848</v>
      </c>
      <c r="AA538" s="35">
        <f t="shared" si="225"/>
        <v>0.15966386554621848</v>
      </c>
    </row>
    <row r="539" spans="2:27" x14ac:dyDescent="0.2">
      <c r="B539" s="2">
        <v>537</v>
      </c>
      <c r="C539" s="2" t="str">
        <f t="shared" si="204"/>
        <v>c</v>
      </c>
      <c r="D539" s="29" t="s">
        <v>1</v>
      </c>
      <c r="E539" s="29" t="s">
        <v>219</v>
      </c>
      <c r="F539" s="2" t="s">
        <v>226</v>
      </c>
      <c r="G539" s="2">
        <f t="shared" si="222"/>
        <v>1</v>
      </c>
      <c r="H539" s="2" t="str">
        <f t="shared" si="214"/>
        <v>--</v>
      </c>
      <c r="I539" s="38">
        <f t="shared" si="215"/>
        <v>0</v>
      </c>
      <c r="J539" s="33">
        <f t="shared" si="223"/>
        <v>20</v>
      </c>
      <c r="K539" s="33">
        <f t="shared" si="224"/>
        <v>0</v>
      </c>
      <c r="L539" s="33">
        <f t="shared" si="224"/>
        <v>0</v>
      </c>
      <c r="M539" s="33">
        <f t="shared" si="224"/>
        <v>0</v>
      </c>
      <c r="N539" s="33">
        <f t="shared" si="224"/>
        <v>0</v>
      </c>
      <c r="O539" s="33">
        <f t="shared" si="224"/>
        <v>0</v>
      </c>
      <c r="P539" s="33">
        <f t="shared" si="224"/>
        <v>0</v>
      </c>
      <c r="Q539" s="33">
        <f t="shared" si="224"/>
        <v>0</v>
      </c>
      <c r="R539" s="35">
        <f t="shared" si="216"/>
        <v>0</v>
      </c>
      <c r="S539" s="35">
        <f t="shared" si="217"/>
        <v>0</v>
      </c>
      <c r="T539" s="35">
        <f t="shared" si="218"/>
        <v>0</v>
      </c>
      <c r="U539" s="35">
        <f t="shared" si="225"/>
        <v>0</v>
      </c>
      <c r="V539" s="35">
        <f t="shared" si="225"/>
        <v>0</v>
      </c>
      <c r="W539" s="35">
        <f t="shared" si="225"/>
        <v>0</v>
      </c>
      <c r="X539" s="35">
        <f t="shared" si="225"/>
        <v>0</v>
      </c>
      <c r="Y539" s="35">
        <f t="shared" si="225"/>
        <v>0</v>
      </c>
      <c r="Z539" s="35">
        <f t="shared" si="225"/>
        <v>0</v>
      </c>
      <c r="AA539" s="35">
        <f t="shared" si="225"/>
        <v>0</v>
      </c>
    </row>
    <row r="540" spans="2:27" x14ac:dyDescent="0.2">
      <c r="B540" s="2">
        <v>538</v>
      </c>
      <c r="C540" s="2" t="str">
        <f t="shared" si="204"/>
        <v>c</v>
      </c>
      <c r="D540" s="29" t="s">
        <v>1</v>
      </c>
      <c r="E540" s="29" t="s">
        <v>219</v>
      </c>
      <c r="F540" s="2" t="s">
        <v>226</v>
      </c>
      <c r="G540" s="2">
        <f t="shared" si="222"/>
        <v>2</v>
      </c>
      <c r="H540" s="2" t="str">
        <f t="shared" si="214"/>
        <v>--</v>
      </c>
      <c r="I540" s="38">
        <f t="shared" si="215"/>
        <v>0</v>
      </c>
      <c r="J540" s="33">
        <f t="shared" si="223"/>
        <v>40</v>
      </c>
      <c r="K540" s="33">
        <f t="shared" si="224"/>
        <v>0</v>
      </c>
      <c r="L540" s="33">
        <f t="shared" si="224"/>
        <v>0</v>
      </c>
      <c r="M540" s="33">
        <f t="shared" si="224"/>
        <v>0</v>
      </c>
      <c r="N540" s="33">
        <f t="shared" si="224"/>
        <v>0</v>
      </c>
      <c r="O540" s="33">
        <f t="shared" si="224"/>
        <v>0</v>
      </c>
      <c r="P540" s="33">
        <f t="shared" si="224"/>
        <v>0</v>
      </c>
      <c r="Q540" s="33">
        <f t="shared" si="224"/>
        <v>0</v>
      </c>
      <c r="R540" s="35">
        <f t="shared" si="216"/>
        <v>0</v>
      </c>
      <c r="S540" s="35">
        <f t="shared" si="217"/>
        <v>0</v>
      </c>
      <c r="T540" s="35">
        <f t="shared" si="218"/>
        <v>0</v>
      </c>
      <c r="U540" s="35">
        <f t="shared" si="225"/>
        <v>0</v>
      </c>
      <c r="V540" s="35">
        <f t="shared" si="225"/>
        <v>0</v>
      </c>
      <c r="W540" s="35">
        <f t="shared" si="225"/>
        <v>0</v>
      </c>
      <c r="X540" s="35">
        <f t="shared" si="225"/>
        <v>0</v>
      </c>
      <c r="Y540" s="35">
        <f t="shared" si="225"/>
        <v>0</v>
      </c>
      <c r="Z540" s="35">
        <f t="shared" si="225"/>
        <v>0</v>
      </c>
      <c r="AA540" s="35">
        <f t="shared" si="225"/>
        <v>0</v>
      </c>
    </row>
    <row r="541" spans="2:27" x14ac:dyDescent="0.2">
      <c r="B541" s="2">
        <v>539</v>
      </c>
      <c r="C541" s="2" t="str">
        <f t="shared" si="204"/>
        <v>c</v>
      </c>
      <c r="D541" s="29" t="s">
        <v>1</v>
      </c>
      <c r="E541" s="29" t="s">
        <v>219</v>
      </c>
      <c r="F541" s="2" t="s">
        <v>226</v>
      </c>
      <c r="G541" s="2">
        <f t="shared" si="222"/>
        <v>3</v>
      </c>
      <c r="H541" s="2" t="str">
        <f t="shared" si="214"/>
        <v>--</v>
      </c>
      <c r="I541" s="38">
        <f t="shared" si="215"/>
        <v>0</v>
      </c>
      <c r="J541" s="33">
        <f t="shared" si="223"/>
        <v>60</v>
      </c>
      <c r="K541" s="33">
        <f t="shared" si="224"/>
        <v>0</v>
      </c>
      <c r="L541" s="33">
        <f t="shared" si="224"/>
        <v>0</v>
      </c>
      <c r="M541" s="33">
        <f t="shared" si="224"/>
        <v>0</v>
      </c>
      <c r="N541" s="33">
        <f t="shared" si="224"/>
        <v>0</v>
      </c>
      <c r="O541" s="33">
        <f t="shared" si="224"/>
        <v>0</v>
      </c>
      <c r="P541" s="33">
        <f t="shared" si="224"/>
        <v>0</v>
      </c>
      <c r="Q541" s="33">
        <f t="shared" si="224"/>
        <v>0</v>
      </c>
      <c r="R541" s="35">
        <f t="shared" si="216"/>
        <v>0</v>
      </c>
      <c r="S541" s="35">
        <f t="shared" si="217"/>
        <v>0</v>
      </c>
      <c r="T541" s="35">
        <f t="shared" si="218"/>
        <v>0</v>
      </c>
      <c r="U541" s="35">
        <f t="shared" si="225"/>
        <v>0</v>
      </c>
      <c r="V541" s="35">
        <f t="shared" si="225"/>
        <v>0</v>
      </c>
      <c r="W541" s="35">
        <f t="shared" si="225"/>
        <v>0</v>
      </c>
      <c r="X541" s="35">
        <f t="shared" si="225"/>
        <v>0</v>
      </c>
      <c r="Y541" s="35">
        <f t="shared" si="225"/>
        <v>0</v>
      </c>
      <c r="Z541" s="35">
        <f t="shared" si="225"/>
        <v>0</v>
      </c>
      <c r="AA541" s="35">
        <f t="shared" si="225"/>
        <v>0</v>
      </c>
    </row>
    <row r="542" spans="2:27" x14ac:dyDescent="0.2">
      <c r="B542" s="2">
        <v>540</v>
      </c>
      <c r="C542" s="2" t="str">
        <f t="shared" si="204"/>
        <v>c</v>
      </c>
      <c r="D542" s="29" t="s">
        <v>1</v>
      </c>
      <c r="E542" s="29" t="s">
        <v>219</v>
      </c>
      <c r="F542" s="2" t="s">
        <v>226</v>
      </c>
      <c r="G542" s="2">
        <f t="shared" si="222"/>
        <v>4</v>
      </c>
      <c r="H542" s="2" t="str">
        <f t="shared" si="214"/>
        <v>--</v>
      </c>
      <c r="I542" s="38">
        <f t="shared" si="215"/>
        <v>0</v>
      </c>
      <c r="J542" s="33">
        <f t="shared" si="223"/>
        <v>81</v>
      </c>
      <c r="K542" s="33">
        <f t="shared" si="224"/>
        <v>0</v>
      </c>
      <c r="L542" s="33">
        <f t="shared" si="224"/>
        <v>0</v>
      </c>
      <c r="M542" s="33">
        <f t="shared" si="224"/>
        <v>0</v>
      </c>
      <c r="N542" s="33">
        <f t="shared" si="224"/>
        <v>0</v>
      </c>
      <c r="O542" s="33">
        <f t="shared" si="224"/>
        <v>0</v>
      </c>
      <c r="P542" s="33">
        <f t="shared" si="224"/>
        <v>0</v>
      </c>
      <c r="Q542" s="33">
        <f t="shared" si="224"/>
        <v>0</v>
      </c>
      <c r="R542" s="35">
        <f t="shared" si="216"/>
        <v>0</v>
      </c>
      <c r="S542" s="35">
        <f t="shared" si="217"/>
        <v>0</v>
      </c>
      <c r="T542" s="35">
        <f t="shared" si="218"/>
        <v>0</v>
      </c>
      <c r="U542" s="35">
        <f t="shared" si="225"/>
        <v>0</v>
      </c>
      <c r="V542" s="35">
        <f t="shared" si="225"/>
        <v>0</v>
      </c>
      <c r="W542" s="35">
        <f t="shared" si="225"/>
        <v>0</v>
      </c>
      <c r="X542" s="35">
        <f t="shared" si="225"/>
        <v>0</v>
      </c>
      <c r="Y542" s="35">
        <f t="shared" si="225"/>
        <v>0</v>
      </c>
      <c r="Z542" s="35">
        <f t="shared" si="225"/>
        <v>0</v>
      </c>
      <c r="AA542" s="35">
        <f t="shared" si="225"/>
        <v>0</v>
      </c>
    </row>
    <row r="543" spans="2:27" x14ac:dyDescent="0.2">
      <c r="B543" s="2">
        <v>541</v>
      </c>
      <c r="C543" s="2" t="str">
        <f t="shared" si="204"/>
        <v>c</v>
      </c>
      <c r="D543" s="29" t="s">
        <v>1</v>
      </c>
      <c r="E543" s="29" t="s">
        <v>219</v>
      </c>
      <c r="F543" s="2" t="s">
        <v>226</v>
      </c>
      <c r="G543" s="2">
        <f t="shared" si="222"/>
        <v>5</v>
      </c>
      <c r="H543" s="2" t="str">
        <f t="shared" si="214"/>
        <v>--</v>
      </c>
      <c r="I543" s="38">
        <f t="shared" si="215"/>
        <v>0</v>
      </c>
      <c r="J543" s="33">
        <f t="shared" ref="J543:J552" si="226">INT((1+VLOOKUP($F543,role_property_weight,getpos(J$2),FALSE))*(1+VLOOKUP($F543,drop_property_weight,getpos(J$2),FALSE))*VLOOKUP($E543,role_grow,getpos(J$2),FALSE)*$G543*10*VLOOKUP($C543,drop_grow1,4,FALSE))</f>
        <v>101</v>
      </c>
      <c r="K543" s="33">
        <f t="shared" ref="K543:Q552" si="227">INT((1+VLOOKUP($F543,role_property_weight,getpos(K$2),FALSE))*(1+VLOOKUP($F543,drop_property_weight,getpos(K$2),FALSE))*VLOOKUP($E543,role_grow,getpos(K$2),FALSE)*$G543*10*VLOOKUP($C543,drop_grow1,5,FALSE))</f>
        <v>0</v>
      </c>
      <c r="L543" s="33">
        <f t="shared" si="227"/>
        <v>0</v>
      </c>
      <c r="M543" s="33">
        <f t="shared" si="227"/>
        <v>0</v>
      </c>
      <c r="N543" s="33">
        <f t="shared" si="227"/>
        <v>0</v>
      </c>
      <c r="O543" s="33">
        <f t="shared" si="227"/>
        <v>0</v>
      </c>
      <c r="P543" s="33">
        <f t="shared" si="227"/>
        <v>0</v>
      </c>
      <c r="Q543" s="33">
        <f t="shared" si="227"/>
        <v>0</v>
      </c>
      <c r="R543" s="35">
        <f t="shared" si="216"/>
        <v>0</v>
      </c>
      <c r="S543" s="35">
        <f t="shared" si="217"/>
        <v>0</v>
      </c>
      <c r="T543" s="35">
        <f t="shared" si="218"/>
        <v>0</v>
      </c>
      <c r="U543" s="35">
        <f t="shared" ref="U543:AA552" si="228">1-200/(200+ROUND((1+VLOOKUP($F543,role_property_weight,getpos(U$2),FALSE))*VLOOKUP($E543,role_grow,getpos(U$2),FALSE)*$G543*10*VLOOKUP($C543,drop_grow1,5,FALSE),0))</f>
        <v>0</v>
      </c>
      <c r="V543" s="35">
        <f t="shared" si="228"/>
        <v>0</v>
      </c>
      <c r="W543" s="35">
        <f t="shared" si="228"/>
        <v>0</v>
      </c>
      <c r="X543" s="35">
        <f t="shared" si="228"/>
        <v>0</v>
      </c>
      <c r="Y543" s="35">
        <f t="shared" si="228"/>
        <v>0</v>
      </c>
      <c r="Z543" s="35">
        <f t="shared" si="228"/>
        <v>0</v>
      </c>
      <c r="AA543" s="35">
        <f t="shared" si="228"/>
        <v>0</v>
      </c>
    </row>
    <row r="544" spans="2:27" x14ac:dyDescent="0.2">
      <c r="B544" s="2">
        <v>542</v>
      </c>
      <c r="C544" s="2" t="str">
        <f t="shared" si="204"/>
        <v>c</v>
      </c>
      <c r="D544" s="29" t="s">
        <v>1</v>
      </c>
      <c r="E544" s="29" t="s">
        <v>219</v>
      </c>
      <c r="F544" s="2" t="s">
        <v>226</v>
      </c>
      <c r="G544" s="2">
        <f t="shared" si="222"/>
        <v>6</v>
      </c>
      <c r="H544" s="2" t="str">
        <f t="shared" si="214"/>
        <v>--</v>
      </c>
      <c r="I544" s="38">
        <f t="shared" si="215"/>
        <v>0</v>
      </c>
      <c r="J544" s="33">
        <f t="shared" si="226"/>
        <v>121</v>
      </c>
      <c r="K544" s="33">
        <f t="shared" si="227"/>
        <v>0</v>
      </c>
      <c r="L544" s="33">
        <f t="shared" si="227"/>
        <v>0</v>
      </c>
      <c r="M544" s="33">
        <f t="shared" si="227"/>
        <v>0</v>
      </c>
      <c r="N544" s="33">
        <f t="shared" si="227"/>
        <v>0</v>
      </c>
      <c r="O544" s="33">
        <f t="shared" si="227"/>
        <v>0</v>
      </c>
      <c r="P544" s="33">
        <f t="shared" si="227"/>
        <v>0</v>
      </c>
      <c r="Q544" s="33">
        <f t="shared" si="227"/>
        <v>0</v>
      </c>
      <c r="R544" s="35">
        <f t="shared" si="216"/>
        <v>0</v>
      </c>
      <c r="S544" s="35">
        <f t="shared" si="217"/>
        <v>0</v>
      </c>
      <c r="T544" s="35">
        <f t="shared" si="218"/>
        <v>0</v>
      </c>
      <c r="U544" s="35">
        <f t="shared" si="228"/>
        <v>0</v>
      </c>
      <c r="V544" s="35">
        <f t="shared" si="228"/>
        <v>0</v>
      </c>
      <c r="W544" s="35">
        <f t="shared" si="228"/>
        <v>0</v>
      </c>
      <c r="X544" s="35">
        <f t="shared" si="228"/>
        <v>0</v>
      </c>
      <c r="Y544" s="35">
        <f t="shared" si="228"/>
        <v>0</v>
      </c>
      <c r="Z544" s="35">
        <f t="shared" si="228"/>
        <v>0</v>
      </c>
      <c r="AA544" s="35">
        <f t="shared" si="228"/>
        <v>0</v>
      </c>
    </row>
    <row r="545" spans="2:27" x14ac:dyDescent="0.2">
      <c r="B545" s="2">
        <v>543</v>
      </c>
      <c r="C545" s="2" t="str">
        <f t="shared" si="204"/>
        <v>c</v>
      </c>
      <c r="D545" s="29" t="s">
        <v>1</v>
      </c>
      <c r="E545" s="29" t="s">
        <v>219</v>
      </c>
      <c r="F545" s="2" t="s">
        <v>226</v>
      </c>
      <c r="G545" s="2">
        <f t="shared" si="222"/>
        <v>7</v>
      </c>
      <c r="H545" s="2" t="str">
        <f t="shared" si="214"/>
        <v>--</v>
      </c>
      <c r="I545" s="38">
        <f t="shared" si="215"/>
        <v>0</v>
      </c>
      <c r="J545" s="33">
        <f t="shared" si="226"/>
        <v>142</v>
      </c>
      <c r="K545" s="33">
        <f t="shared" si="227"/>
        <v>0</v>
      </c>
      <c r="L545" s="33">
        <f t="shared" si="227"/>
        <v>0</v>
      </c>
      <c r="M545" s="33">
        <f t="shared" si="227"/>
        <v>0</v>
      </c>
      <c r="N545" s="33">
        <f t="shared" si="227"/>
        <v>0</v>
      </c>
      <c r="O545" s="33">
        <f t="shared" si="227"/>
        <v>0</v>
      </c>
      <c r="P545" s="33">
        <f t="shared" si="227"/>
        <v>0</v>
      </c>
      <c r="Q545" s="33">
        <f t="shared" si="227"/>
        <v>0</v>
      </c>
      <c r="R545" s="35">
        <f t="shared" si="216"/>
        <v>0</v>
      </c>
      <c r="S545" s="35">
        <f t="shared" si="217"/>
        <v>0</v>
      </c>
      <c r="T545" s="35">
        <f t="shared" si="218"/>
        <v>0</v>
      </c>
      <c r="U545" s="35">
        <f t="shared" si="228"/>
        <v>0</v>
      </c>
      <c r="V545" s="35">
        <f t="shared" si="228"/>
        <v>0</v>
      </c>
      <c r="W545" s="35">
        <f t="shared" si="228"/>
        <v>0</v>
      </c>
      <c r="X545" s="35">
        <f t="shared" si="228"/>
        <v>0</v>
      </c>
      <c r="Y545" s="35">
        <f t="shared" si="228"/>
        <v>0</v>
      </c>
      <c r="Z545" s="35">
        <f t="shared" si="228"/>
        <v>0</v>
      </c>
      <c r="AA545" s="35">
        <f t="shared" si="228"/>
        <v>0</v>
      </c>
    </row>
    <row r="546" spans="2:27" x14ac:dyDescent="0.2">
      <c r="B546" s="2">
        <v>544</v>
      </c>
      <c r="C546" s="2" t="str">
        <f t="shared" si="204"/>
        <v>c</v>
      </c>
      <c r="D546" s="29" t="s">
        <v>1</v>
      </c>
      <c r="E546" s="29" t="s">
        <v>219</v>
      </c>
      <c r="F546" s="2" t="s">
        <v>226</v>
      </c>
      <c r="G546" s="2">
        <f t="shared" si="222"/>
        <v>8</v>
      </c>
      <c r="H546" s="2" t="str">
        <f t="shared" si="214"/>
        <v>--</v>
      </c>
      <c r="I546" s="38">
        <f t="shared" si="215"/>
        <v>0</v>
      </c>
      <c r="J546" s="33">
        <f t="shared" si="226"/>
        <v>162</v>
      </c>
      <c r="K546" s="33">
        <f t="shared" si="227"/>
        <v>0</v>
      </c>
      <c r="L546" s="33">
        <f t="shared" si="227"/>
        <v>0</v>
      </c>
      <c r="M546" s="33">
        <f t="shared" si="227"/>
        <v>0</v>
      </c>
      <c r="N546" s="33">
        <f t="shared" si="227"/>
        <v>0</v>
      </c>
      <c r="O546" s="33">
        <f t="shared" si="227"/>
        <v>0</v>
      </c>
      <c r="P546" s="33">
        <f t="shared" si="227"/>
        <v>0</v>
      </c>
      <c r="Q546" s="33">
        <f t="shared" si="227"/>
        <v>0</v>
      </c>
      <c r="R546" s="35">
        <f t="shared" si="216"/>
        <v>0</v>
      </c>
      <c r="S546" s="35">
        <f t="shared" si="217"/>
        <v>0</v>
      </c>
      <c r="T546" s="35">
        <f t="shared" si="218"/>
        <v>0</v>
      </c>
      <c r="U546" s="35">
        <f t="shared" si="228"/>
        <v>0</v>
      </c>
      <c r="V546" s="35">
        <f t="shared" si="228"/>
        <v>0</v>
      </c>
      <c r="W546" s="35">
        <f t="shared" si="228"/>
        <v>0</v>
      </c>
      <c r="X546" s="35">
        <f t="shared" si="228"/>
        <v>0</v>
      </c>
      <c r="Y546" s="35">
        <f t="shared" si="228"/>
        <v>0</v>
      </c>
      <c r="Z546" s="35">
        <f t="shared" si="228"/>
        <v>0</v>
      </c>
      <c r="AA546" s="35">
        <f t="shared" si="228"/>
        <v>0</v>
      </c>
    </row>
    <row r="547" spans="2:27" x14ac:dyDescent="0.2">
      <c r="B547" s="2">
        <v>545</v>
      </c>
      <c r="C547" s="2" t="str">
        <f t="shared" si="204"/>
        <v>s</v>
      </c>
      <c r="D547" s="29" t="s">
        <v>1</v>
      </c>
      <c r="E547" s="29" t="s">
        <v>219</v>
      </c>
      <c r="F547" s="2" t="s">
        <v>184</v>
      </c>
      <c r="G547" s="2">
        <f t="shared" si="222"/>
        <v>1</v>
      </c>
      <c r="H547" s="2" t="str">
        <f t="shared" si="214"/>
        <v>电击</v>
      </c>
      <c r="I547" s="38">
        <f t="shared" si="215"/>
        <v>0.08</v>
      </c>
      <c r="J547" s="33">
        <f t="shared" si="226"/>
        <v>17</v>
      </c>
      <c r="K547" s="33">
        <f t="shared" si="227"/>
        <v>18</v>
      </c>
      <c r="L547" s="33">
        <f t="shared" si="227"/>
        <v>4</v>
      </c>
      <c r="M547" s="33">
        <f t="shared" si="227"/>
        <v>10</v>
      </c>
      <c r="N547" s="33">
        <f t="shared" si="227"/>
        <v>14</v>
      </c>
      <c r="O547" s="33">
        <f t="shared" si="227"/>
        <v>12</v>
      </c>
      <c r="P547" s="33">
        <f t="shared" si="227"/>
        <v>6</v>
      </c>
      <c r="Q547" s="33">
        <f t="shared" si="227"/>
        <v>5</v>
      </c>
      <c r="R547" s="35">
        <f t="shared" si="216"/>
        <v>0.01</v>
      </c>
      <c r="S547" s="35">
        <f t="shared" si="217"/>
        <v>1.2E-2</v>
      </c>
      <c r="T547" s="35">
        <f t="shared" si="218"/>
        <v>6.2500000000000003E-3</v>
      </c>
      <c r="U547" s="35">
        <f t="shared" si="228"/>
        <v>1.4778325123152691E-2</v>
      </c>
      <c r="V547" s="35">
        <f t="shared" si="228"/>
        <v>1.4778325123152691E-2</v>
      </c>
      <c r="W547" s="35">
        <f t="shared" si="228"/>
        <v>1.4778325123152691E-2</v>
      </c>
      <c r="X547" s="35">
        <f t="shared" si="228"/>
        <v>1.4778325123152691E-2</v>
      </c>
      <c r="Y547" s="35">
        <f t="shared" si="228"/>
        <v>1.4778325123152691E-2</v>
      </c>
      <c r="Z547" s="35">
        <f t="shared" si="228"/>
        <v>1.4778325123152691E-2</v>
      </c>
      <c r="AA547" s="35">
        <f t="shared" si="228"/>
        <v>7.8341013824884786E-2</v>
      </c>
    </row>
    <row r="548" spans="2:27" x14ac:dyDescent="0.2">
      <c r="B548" s="2">
        <v>546</v>
      </c>
      <c r="C548" s="2" t="str">
        <f t="shared" ref="C548:C611" si="229">C516</f>
        <v>s</v>
      </c>
      <c r="D548" s="29" t="s">
        <v>1</v>
      </c>
      <c r="E548" s="29" t="s">
        <v>219</v>
      </c>
      <c r="F548" s="2" t="s">
        <v>184</v>
      </c>
      <c r="G548" s="2">
        <f t="shared" si="222"/>
        <v>2</v>
      </c>
      <c r="H548" s="2" t="str">
        <f t="shared" si="214"/>
        <v>电击</v>
      </c>
      <c r="I548" s="38">
        <f t="shared" si="215"/>
        <v>0.08</v>
      </c>
      <c r="J548" s="33">
        <f t="shared" si="226"/>
        <v>34</v>
      </c>
      <c r="K548" s="33">
        <f t="shared" si="227"/>
        <v>37</v>
      </c>
      <c r="L548" s="33">
        <f t="shared" si="227"/>
        <v>8</v>
      </c>
      <c r="M548" s="33">
        <f t="shared" si="227"/>
        <v>20</v>
      </c>
      <c r="N548" s="33">
        <f t="shared" si="227"/>
        <v>29</v>
      </c>
      <c r="O548" s="33">
        <f t="shared" si="227"/>
        <v>25</v>
      </c>
      <c r="P548" s="33">
        <f t="shared" si="227"/>
        <v>13</v>
      </c>
      <c r="Q548" s="33">
        <f t="shared" si="227"/>
        <v>11</v>
      </c>
      <c r="R548" s="35">
        <f t="shared" si="216"/>
        <v>2.2000000000000002E-2</v>
      </c>
      <c r="S548" s="35">
        <f t="shared" si="217"/>
        <v>2.6000000000000002E-2</v>
      </c>
      <c r="T548" s="35">
        <f t="shared" si="218"/>
        <v>1.375E-2</v>
      </c>
      <c r="U548" s="35">
        <f t="shared" si="228"/>
        <v>2.9126213592232997E-2</v>
      </c>
      <c r="V548" s="35">
        <f t="shared" si="228"/>
        <v>2.9126213592232997E-2</v>
      </c>
      <c r="W548" s="35">
        <f t="shared" si="228"/>
        <v>2.9126213592232997E-2</v>
      </c>
      <c r="X548" s="35">
        <f t="shared" si="228"/>
        <v>2.9126213592232997E-2</v>
      </c>
      <c r="Y548" s="35">
        <f t="shared" si="228"/>
        <v>2.9126213592232997E-2</v>
      </c>
      <c r="Z548" s="35">
        <f t="shared" si="228"/>
        <v>2.9126213592232997E-2</v>
      </c>
      <c r="AA548" s="35">
        <f t="shared" si="228"/>
        <v>0.14893617021276595</v>
      </c>
    </row>
    <row r="549" spans="2:27" x14ac:dyDescent="0.2">
      <c r="B549" s="2">
        <v>547</v>
      </c>
      <c r="C549" s="2" t="str">
        <f t="shared" si="229"/>
        <v>s</v>
      </c>
      <c r="D549" s="29" t="s">
        <v>1</v>
      </c>
      <c r="E549" s="29" t="s">
        <v>219</v>
      </c>
      <c r="F549" s="2" t="s">
        <v>184</v>
      </c>
      <c r="G549" s="2">
        <f t="shared" si="222"/>
        <v>3</v>
      </c>
      <c r="H549" s="2" t="str">
        <f t="shared" si="214"/>
        <v>电击</v>
      </c>
      <c r="I549" s="38">
        <f t="shared" si="215"/>
        <v>0.08</v>
      </c>
      <c r="J549" s="33">
        <f t="shared" si="226"/>
        <v>51</v>
      </c>
      <c r="K549" s="33">
        <f t="shared" si="227"/>
        <v>56</v>
      </c>
      <c r="L549" s="33">
        <f t="shared" si="227"/>
        <v>12</v>
      </c>
      <c r="M549" s="33">
        <f t="shared" si="227"/>
        <v>31</v>
      </c>
      <c r="N549" s="33">
        <f t="shared" si="227"/>
        <v>44</v>
      </c>
      <c r="O549" s="33">
        <f t="shared" si="227"/>
        <v>38</v>
      </c>
      <c r="P549" s="33">
        <f t="shared" si="227"/>
        <v>19</v>
      </c>
      <c r="Q549" s="33">
        <f t="shared" si="227"/>
        <v>17</v>
      </c>
      <c r="R549" s="35">
        <f t="shared" si="216"/>
        <v>3.4000000000000002E-2</v>
      </c>
      <c r="S549" s="35">
        <f t="shared" si="217"/>
        <v>3.7999999999999999E-2</v>
      </c>
      <c r="T549" s="35">
        <f t="shared" si="218"/>
        <v>2.1250000000000002E-2</v>
      </c>
      <c r="U549" s="35">
        <f t="shared" si="228"/>
        <v>4.3062200956937802E-2</v>
      </c>
      <c r="V549" s="35">
        <f t="shared" si="228"/>
        <v>4.3062200956937802E-2</v>
      </c>
      <c r="W549" s="35">
        <f t="shared" si="228"/>
        <v>4.3062200956937802E-2</v>
      </c>
      <c r="X549" s="35">
        <f t="shared" si="228"/>
        <v>4.3062200956937802E-2</v>
      </c>
      <c r="Y549" s="35">
        <f t="shared" si="228"/>
        <v>4.3062200956937802E-2</v>
      </c>
      <c r="Z549" s="35">
        <f t="shared" si="228"/>
        <v>4.3062200956937802E-2</v>
      </c>
      <c r="AA549" s="35">
        <f t="shared" si="228"/>
        <v>0.20634920634920639</v>
      </c>
    </row>
    <row r="550" spans="2:27" x14ac:dyDescent="0.2">
      <c r="B550" s="2">
        <v>548</v>
      </c>
      <c r="C550" s="2" t="str">
        <f t="shared" si="229"/>
        <v>s</v>
      </c>
      <c r="D550" s="29" t="s">
        <v>1</v>
      </c>
      <c r="E550" s="29" t="s">
        <v>219</v>
      </c>
      <c r="F550" s="2" t="s">
        <v>184</v>
      </c>
      <c r="G550" s="2">
        <f t="shared" si="222"/>
        <v>4</v>
      </c>
      <c r="H550" s="2" t="str">
        <f t="shared" si="214"/>
        <v>电击</v>
      </c>
      <c r="I550" s="38">
        <f t="shared" si="215"/>
        <v>0.10228571428571427</v>
      </c>
      <c r="J550" s="33">
        <f t="shared" si="226"/>
        <v>69</v>
      </c>
      <c r="K550" s="33">
        <f t="shared" si="227"/>
        <v>74</v>
      </c>
      <c r="L550" s="33">
        <f t="shared" si="227"/>
        <v>16</v>
      </c>
      <c r="M550" s="33">
        <f t="shared" si="227"/>
        <v>41</v>
      </c>
      <c r="N550" s="33">
        <f t="shared" si="227"/>
        <v>59</v>
      </c>
      <c r="O550" s="33">
        <f t="shared" si="227"/>
        <v>50</v>
      </c>
      <c r="P550" s="33">
        <f t="shared" si="227"/>
        <v>26</v>
      </c>
      <c r="Q550" s="33">
        <f t="shared" si="227"/>
        <v>23</v>
      </c>
      <c r="R550" s="35">
        <f t="shared" si="216"/>
        <v>4.5999999999999999E-2</v>
      </c>
      <c r="S550" s="35">
        <f t="shared" si="217"/>
        <v>5.2000000000000005E-2</v>
      </c>
      <c r="T550" s="35">
        <f t="shared" si="218"/>
        <v>2.8750000000000001E-2</v>
      </c>
      <c r="U550" s="35">
        <f t="shared" si="228"/>
        <v>5.6603773584905648E-2</v>
      </c>
      <c r="V550" s="35">
        <f t="shared" si="228"/>
        <v>5.6603773584905648E-2</v>
      </c>
      <c r="W550" s="35">
        <f t="shared" si="228"/>
        <v>5.6603773584905648E-2</v>
      </c>
      <c r="X550" s="35">
        <f t="shared" si="228"/>
        <v>5.6603773584905648E-2</v>
      </c>
      <c r="Y550" s="35">
        <f t="shared" si="228"/>
        <v>5.6603773584905648E-2</v>
      </c>
      <c r="Z550" s="35">
        <f t="shared" si="228"/>
        <v>5.6603773584905648E-2</v>
      </c>
      <c r="AA550" s="35">
        <f t="shared" si="228"/>
        <v>0.25650557620817849</v>
      </c>
    </row>
    <row r="551" spans="2:27" x14ac:dyDescent="0.2">
      <c r="B551" s="2">
        <v>549</v>
      </c>
      <c r="C551" s="2" t="str">
        <f t="shared" si="229"/>
        <v>s</v>
      </c>
      <c r="D551" s="29" t="s">
        <v>1</v>
      </c>
      <c r="E551" s="29" t="s">
        <v>219</v>
      </c>
      <c r="F551" s="2" t="s">
        <v>184</v>
      </c>
      <c r="G551" s="2">
        <f t="shared" si="222"/>
        <v>5</v>
      </c>
      <c r="H551" s="2" t="str">
        <f t="shared" si="214"/>
        <v>电击</v>
      </c>
      <c r="I551" s="38">
        <f t="shared" si="215"/>
        <v>0.128</v>
      </c>
      <c r="J551" s="33">
        <f t="shared" si="226"/>
        <v>86</v>
      </c>
      <c r="K551" s="33">
        <f t="shared" si="227"/>
        <v>93</v>
      </c>
      <c r="L551" s="33">
        <f t="shared" si="227"/>
        <v>20</v>
      </c>
      <c r="M551" s="33">
        <f t="shared" si="227"/>
        <v>51</v>
      </c>
      <c r="N551" s="33">
        <f t="shared" si="227"/>
        <v>74</v>
      </c>
      <c r="O551" s="33">
        <f t="shared" si="227"/>
        <v>63</v>
      </c>
      <c r="P551" s="33">
        <f t="shared" si="227"/>
        <v>33</v>
      </c>
      <c r="Q551" s="33">
        <f t="shared" si="227"/>
        <v>28</v>
      </c>
      <c r="R551" s="35">
        <f t="shared" si="216"/>
        <v>5.5999999999999994E-2</v>
      </c>
      <c r="S551" s="35">
        <f t="shared" si="217"/>
        <v>6.6000000000000003E-2</v>
      </c>
      <c r="T551" s="35">
        <f t="shared" si="218"/>
        <v>3.5000000000000003E-2</v>
      </c>
      <c r="U551" s="35">
        <f t="shared" si="228"/>
        <v>6.5420560747663559E-2</v>
      </c>
      <c r="V551" s="35">
        <f t="shared" si="228"/>
        <v>6.5420560747663559E-2</v>
      </c>
      <c r="W551" s="35">
        <f t="shared" si="228"/>
        <v>6.5420560747663559E-2</v>
      </c>
      <c r="X551" s="35">
        <f t="shared" si="228"/>
        <v>6.5420560747663559E-2</v>
      </c>
      <c r="Y551" s="35">
        <f t="shared" si="228"/>
        <v>6.5420560747663559E-2</v>
      </c>
      <c r="Z551" s="35">
        <f t="shared" si="228"/>
        <v>6.5420560747663559E-2</v>
      </c>
      <c r="AA551" s="35">
        <f t="shared" si="228"/>
        <v>0.30069930069930073</v>
      </c>
    </row>
    <row r="552" spans="2:27" x14ac:dyDescent="0.2">
      <c r="B552" s="2">
        <v>550</v>
      </c>
      <c r="C552" s="2" t="str">
        <f t="shared" si="229"/>
        <v>s</v>
      </c>
      <c r="D552" s="29" t="s">
        <v>1</v>
      </c>
      <c r="E552" s="29" t="s">
        <v>219</v>
      </c>
      <c r="F552" s="2" t="s">
        <v>184</v>
      </c>
      <c r="G552" s="2">
        <f t="shared" si="222"/>
        <v>6</v>
      </c>
      <c r="H552" s="2" t="str">
        <f t="shared" si="214"/>
        <v>电击</v>
      </c>
      <c r="I552" s="38">
        <f t="shared" si="215"/>
        <v>0.154</v>
      </c>
      <c r="J552" s="33">
        <f t="shared" si="226"/>
        <v>103</v>
      </c>
      <c r="K552" s="33">
        <f t="shared" si="227"/>
        <v>112</v>
      </c>
      <c r="L552" s="33">
        <f t="shared" si="227"/>
        <v>24</v>
      </c>
      <c r="M552" s="33">
        <f t="shared" si="227"/>
        <v>62</v>
      </c>
      <c r="N552" s="33">
        <f t="shared" si="227"/>
        <v>89</v>
      </c>
      <c r="O552" s="33">
        <f t="shared" si="227"/>
        <v>76</v>
      </c>
      <c r="P552" s="33">
        <f t="shared" si="227"/>
        <v>39</v>
      </c>
      <c r="Q552" s="33">
        <f t="shared" si="227"/>
        <v>34</v>
      </c>
      <c r="R552" s="35">
        <f t="shared" si="216"/>
        <v>6.8000000000000005E-2</v>
      </c>
      <c r="S552" s="35">
        <f t="shared" si="217"/>
        <v>7.8E-2</v>
      </c>
      <c r="T552" s="35">
        <f t="shared" si="218"/>
        <v>4.2500000000000003E-2</v>
      </c>
      <c r="U552" s="35">
        <f t="shared" si="228"/>
        <v>7.8341013824884786E-2</v>
      </c>
      <c r="V552" s="35">
        <f t="shared" si="228"/>
        <v>7.8341013824884786E-2</v>
      </c>
      <c r="W552" s="35">
        <f t="shared" si="228"/>
        <v>7.8341013824884786E-2</v>
      </c>
      <c r="X552" s="35">
        <f t="shared" si="228"/>
        <v>7.8341013824884786E-2</v>
      </c>
      <c r="Y552" s="35">
        <f t="shared" si="228"/>
        <v>7.8341013824884786E-2</v>
      </c>
      <c r="Z552" s="35">
        <f t="shared" si="228"/>
        <v>7.8341013824884786E-2</v>
      </c>
      <c r="AA552" s="35">
        <f t="shared" si="228"/>
        <v>0.34210526315789469</v>
      </c>
    </row>
    <row r="553" spans="2:27" x14ac:dyDescent="0.2">
      <c r="B553" s="2">
        <v>551</v>
      </c>
      <c r="C553" s="2" t="str">
        <f t="shared" si="229"/>
        <v>s</v>
      </c>
      <c r="D553" s="29" t="s">
        <v>1</v>
      </c>
      <c r="E553" s="29" t="s">
        <v>219</v>
      </c>
      <c r="F553" s="2" t="s">
        <v>184</v>
      </c>
      <c r="G553" s="2">
        <f t="shared" si="222"/>
        <v>7</v>
      </c>
      <c r="H553" s="2" t="str">
        <f t="shared" si="214"/>
        <v>电击</v>
      </c>
      <c r="I553" s="38">
        <f t="shared" si="215"/>
        <v>0.18</v>
      </c>
      <c r="J553" s="33">
        <f t="shared" ref="J553:J562" si="230">INT((1+VLOOKUP($F553,role_property_weight,getpos(J$2),FALSE))*(1+VLOOKUP($F553,drop_property_weight,getpos(J$2),FALSE))*VLOOKUP($E553,role_grow,getpos(J$2),FALSE)*$G553*10*VLOOKUP($C553,drop_grow1,4,FALSE))</f>
        <v>120</v>
      </c>
      <c r="K553" s="33">
        <f t="shared" ref="K553:Q562" si="231">INT((1+VLOOKUP($F553,role_property_weight,getpos(K$2),FALSE))*(1+VLOOKUP($F553,drop_property_weight,getpos(K$2),FALSE))*VLOOKUP($E553,role_grow,getpos(K$2),FALSE)*$G553*10*VLOOKUP($C553,drop_grow1,5,FALSE))</f>
        <v>131</v>
      </c>
      <c r="L553" s="33">
        <f t="shared" si="231"/>
        <v>29</v>
      </c>
      <c r="M553" s="33">
        <f t="shared" si="231"/>
        <v>72</v>
      </c>
      <c r="N553" s="33">
        <f t="shared" si="231"/>
        <v>104</v>
      </c>
      <c r="O553" s="33">
        <f t="shared" si="231"/>
        <v>88</v>
      </c>
      <c r="P553" s="33">
        <f t="shared" si="231"/>
        <v>46</v>
      </c>
      <c r="Q553" s="33">
        <f t="shared" si="231"/>
        <v>40</v>
      </c>
      <c r="R553" s="35">
        <f t="shared" si="216"/>
        <v>0.08</v>
      </c>
      <c r="S553" s="35">
        <f t="shared" si="217"/>
        <v>9.1999999999999998E-2</v>
      </c>
      <c r="T553" s="35">
        <f t="shared" si="218"/>
        <v>0.05</v>
      </c>
      <c r="U553" s="35">
        <f t="shared" ref="U553:AA562" si="232">1-200/(200+ROUND((1+VLOOKUP($F553,role_property_weight,getpos(U$2),FALSE))*VLOOKUP($E553,role_grow,getpos(U$2),FALSE)*$G553*10*VLOOKUP($C553,drop_grow1,5,FALSE),0))</f>
        <v>9.0909090909090939E-2</v>
      </c>
      <c r="V553" s="35">
        <f t="shared" si="232"/>
        <v>9.0909090909090939E-2</v>
      </c>
      <c r="W553" s="35">
        <f t="shared" si="232"/>
        <v>9.0909090909090939E-2</v>
      </c>
      <c r="X553" s="35">
        <f t="shared" si="232"/>
        <v>9.0909090909090939E-2</v>
      </c>
      <c r="Y553" s="35">
        <f t="shared" si="232"/>
        <v>9.0909090909090939E-2</v>
      </c>
      <c r="Z553" s="35">
        <f t="shared" si="232"/>
        <v>9.0909090909090939E-2</v>
      </c>
      <c r="AA553" s="35">
        <f t="shared" si="232"/>
        <v>0.37694704049844241</v>
      </c>
    </row>
    <row r="554" spans="2:27" x14ac:dyDescent="0.2">
      <c r="B554" s="2">
        <v>552</v>
      </c>
      <c r="C554" s="2" t="str">
        <f t="shared" si="229"/>
        <v>s</v>
      </c>
      <c r="D554" s="29" t="s">
        <v>1</v>
      </c>
      <c r="E554" s="29" t="s">
        <v>219</v>
      </c>
      <c r="F554" s="2" t="s">
        <v>184</v>
      </c>
      <c r="G554" s="2">
        <f t="shared" si="222"/>
        <v>8</v>
      </c>
      <c r="H554" s="2" t="str">
        <f t="shared" si="214"/>
        <v>电击</v>
      </c>
      <c r="I554" s="38">
        <f t="shared" si="215"/>
        <v>0.20571428571428574</v>
      </c>
      <c r="J554" s="33">
        <f t="shared" si="230"/>
        <v>138</v>
      </c>
      <c r="K554" s="33">
        <f t="shared" si="231"/>
        <v>149</v>
      </c>
      <c r="L554" s="33">
        <f t="shared" si="231"/>
        <v>33</v>
      </c>
      <c r="M554" s="33">
        <f t="shared" si="231"/>
        <v>82</v>
      </c>
      <c r="N554" s="33">
        <f t="shared" si="231"/>
        <v>119</v>
      </c>
      <c r="O554" s="33">
        <f t="shared" si="231"/>
        <v>101</v>
      </c>
      <c r="P554" s="33">
        <f t="shared" si="231"/>
        <v>52</v>
      </c>
      <c r="Q554" s="33">
        <f t="shared" si="231"/>
        <v>46</v>
      </c>
      <c r="R554" s="35">
        <f t="shared" si="216"/>
        <v>9.1999999999999998E-2</v>
      </c>
      <c r="S554" s="35">
        <f t="shared" si="217"/>
        <v>0.10400000000000001</v>
      </c>
      <c r="T554" s="35">
        <f t="shared" si="218"/>
        <v>5.7500000000000002E-2</v>
      </c>
      <c r="U554" s="35">
        <f t="shared" si="232"/>
        <v>0.10313901345291476</v>
      </c>
      <c r="V554" s="35">
        <f t="shared" si="232"/>
        <v>0.10313901345291476</v>
      </c>
      <c r="W554" s="35">
        <f t="shared" si="232"/>
        <v>0.10313901345291476</v>
      </c>
      <c r="X554" s="35">
        <f t="shared" si="232"/>
        <v>0.10313901345291476</v>
      </c>
      <c r="Y554" s="35">
        <f t="shared" si="232"/>
        <v>0.10313901345291476</v>
      </c>
      <c r="Z554" s="35">
        <f t="shared" si="232"/>
        <v>0.10313901345291476</v>
      </c>
      <c r="AA554" s="35">
        <f t="shared" si="232"/>
        <v>0.40828402366863903</v>
      </c>
    </row>
    <row r="555" spans="2:27" x14ac:dyDescent="0.2">
      <c r="B555" s="2">
        <v>553</v>
      </c>
      <c r="C555" s="2" t="str">
        <f t="shared" si="229"/>
        <v>a</v>
      </c>
      <c r="D555" s="29" t="s">
        <v>1</v>
      </c>
      <c r="E555" s="29" t="s">
        <v>219</v>
      </c>
      <c r="F555" s="2" t="s">
        <v>184</v>
      </c>
      <c r="G555" s="2">
        <f t="shared" si="222"/>
        <v>1</v>
      </c>
      <c r="H555" s="2" t="str">
        <f t="shared" si="214"/>
        <v>电击</v>
      </c>
      <c r="I555" s="38">
        <f t="shared" si="215"/>
        <v>0.08</v>
      </c>
      <c r="J555" s="33">
        <f t="shared" si="230"/>
        <v>12</v>
      </c>
      <c r="K555" s="33">
        <f t="shared" si="231"/>
        <v>20</v>
      </c>
      <c r="L555" s="33">
        <f t="shared" si="231"/>
        <v>4</v>
      </c>
      <c r="M555" s="33">
        <f t="shared" si="231"/>
        <v>11</v>
      </c>
      <c r="N555" s="33">
        <f t="shared" si="231"/>
        <v>16</v>
      </c>
      <c r="O555" s="33">
        <f t="shared" si="231"/>
        <v>14</v>
      </c>
      <c r="P555" s="33">
        <f t="shared" si="231"/>
        <v>7</v>
      </c>
      <c r="Q555" s="33">
        <f t="shared" si="231"/>
        <v>6</v>
      </c>
      <c r="R555" s="35">
        <f t="shared" si="216"/>
        <v>1.2E-2</v>
      </c>
      <c r="S555" s="35">
        <f t="shared" si="217"/>
        <v>1.3999999999999999E-2</v>
      </c>
      <c r="T555" s="35">
        <f t="shared" si="218"/>
        <v>7.4999999999999997E-3</v>
      </c>
      <c r="U555" s="35">
        <f t="shared" si="232"/>
        <v>1.4778325123152691E-2</v>
      </c>
      <c r="V555" s="35">
        <f t="shared" si="232"/>
        <v>1.4778325123152691E-2</v>
      </c>
      <c r="W555" s="35">
        <f t="shared" si="232"/>
        <v>1.4778325123152691E-2</v>
      </c>
      <c r="X555" s="35">
        <f t="shared" si="232"/>
        <v>1.4778325123152691E-2</v>
      </c>
      <c r="Y555" s="35">
        <f t="shared" si="232"/>
        <v>1.4778325123152691E-2</v>
      </c>
      <c r="Z555" s="35">
        <f t="shared" si="232"/>
        <v>1.4778325123152691E-2</v>
      </c>
      <c r="AA555" s="35">
        <f t="shared" si="232"/>
        <v>8.6757990867579959E-2</v>
      </c>
    </row>
    <row r="556" spans="2:27" x14ac:dyDescent="0.2">
      <c r="B556" s="2">
        <v>554</v>
      </c>
      <c r="C556" s="2" t="str">
        <f t="shared" si="229"/>
        <v>a</v>
      </c>
      <c r="D556" s="29" t="s">
        <v>1</v>
      </c>
      <c r="E556" s="29" t="s">
        <v>219</v>
      </c>
      <c r="F556" s="2" t="s">
        <v>184</v>
      </c>
      <c r="G556" s="2">
        <f t="shared" si="222"/>
        <v>2</v>
      </c>
      <c r="H556" s="2" t="str">
        <f t="shared" si="214"/>
        <v>电击</v>
      </c>
      <c r="I556" s="38">
        <f t="shared" si="215"/>
        <v>0.08</v>
      </c>
      <c r="J556" s="33">
        <f t="shared" si="230"/>
        <v>25</v>
      </c>
      <c r="K556" s="33">
        <f t="shared" si="231"/>
        <v>41</v>
      </c>
      <c r="L556" s="33">
        <f t="shared" si="231"/>
        <v>9</v>
      </c>
      <c r="M556" s="33">
        <f t="shared" si="231"/>
        <v>23</v>
      </c>
      <c r="N556" s="33">
        <f t="shared" si="231"/>
        <v>33</v>
      </c>
      <c r="O556" s="33">
        <f t="shared" si="231"/>
        <v>28</v>
      </c>
      <c r="P556" s="33">
        <f t="shared" si="231"/>
        <v>14</v>
      </c>
      <c r="Q556" s="33">
        <f t="shared" si="231"/>
        <v>12</v>
      </c>
      <c r="R556" s="35">
        <f t="shared" si="216"/>
        <v>2.4E-2</v>
      </c>
      <c r="S556" s="35">
        <f t="shared" si="217"/>
        <v>2.7999999999999997E-2</v>
      </c>
      <c r="T556" s="35">
        <f t="shared" si="218"/>
        <v>1.4999999999999999E-2</v>
      </c>
      <c r="U556" s="35">
        <f t="shared" si="232"/>
        <v>2.9126213592232997E-2</v>
      </c>
      <c r="V556" s="35">
        <f t="shared" si="232"/>
        <v>2.9126213592232997E-2</v>
      </c>
      <c r="W556" s="35">
        <f t="shared" si="232"/>
        <v>2.9126213592232997E-2</v>
      </c>
      <c r="X556" s="35">
        <f t="shared" si="232"/>
        <v>2.9126213592232997E-2</v>
      </c>
      <c r="Y556" s="35">
        <f t="shared" si="232"/>
        <v>2.9126213592232997E-2</v>
      </c>
      <c r="Z556" s="35">
        <f t="shared" si="232"/>
        <v>2.9126213592232997E-2</v>
      </c>
      <c r="AA556" s="35">
        <f t="shared" si="232"/>
        <v>0.15966386554621848</v>
      </c>
    </row>
    <row r="557" spans="2:27" x14ac:dyDescent="0.2">
      <c r="B557" s="2">
        <v>555</v>
      </c>
      <c r="C557" s="2" t="str">
        <f t="shared" si="229"/>
        <v>a</v>
      </c>
      <c r="D557" s="29" t="s">
        <v>1</v>
      </c>
      <c r="E557" s="29" t="s">
        <v>219</v>
      </c>
      <c r="F557" s="2" t="s">
        <v>184</v>
      </c>
      <c r="G557" s="2">
        <f t="shared" si="222"/>
        <v>3</v>
      </c>
      <c r="H557" s="2" t="str">
        <f t="shared" si="214"/>
        <v>电击</v>
      </c>
      <c r="I557" s="38">
        <f t="shared" si="215"/>
        <v>0.08</v>
      </c>
      <c r="J557" s="33">
        <f t="shared" si="230"/>
        <v>38</v>
      </c>
      <c r="K557" s="33">
        <f t="shared" si="231"/>
        <v>62</v>
      </c>
      <c r="L557" s="33">
        <f t="shared" si="231"/>
        <v>13</v>
      </c>
      <c r="M557" s="33">
        <f t="shared" si="231"/>
        <v>34</v>
      </c>
      <c r="N557" s="33">
        <f t="shared" si="231"/>
        <v>49</v>
      </c>
      <c r="O557" s="33">
        <f t="shared" si="231"/>
        <v>42</v>
      </c>
      <c r="P557" s="33">
        <f t="shared" si="231"/>
        <v>22</v>
      </c>
      <c r="Q557" s="33">
        <f t="shared" si="231"/>
        <v>19</v>
      </c>
      <c r="R557" s="35">
        <f t="shared" si="216"/>
        <v>3.7999999999999999E-2</v>
      </c>
      <c r="S557" s="35">
        <f t="shared" si="217"/>
        <v>4.4000000000000004E-2</v>
      </c>
      <c r="T557" s="35">
        <f t="shared" si="218"/>
        <v>2.375E-2</v>
      </c>
      <c r="U557" s="35">
        <f t="shared" si="232"/>
        <v>4.7619047619047672E-2</v>
      </c>
      <c r="V557" s="35">
        <f t="shared" si="232"/>
        <v>4.7619047619047672E-2</v>
      </c>
      <c r="W557" s="35">
        <f t="shared" si="232"/>
        <v>4.7619047619047672E-2</v>
      </c>
      <c r="X557" s="35">
        <f t="shared" si="232"/>
        <v>4.7619047619047672E-2</v>
      </c>
      <c r="Y557" s="35">
        <f t="shared" si="232"/>
        <v>4.7619047619047672E-2</v>
      </c>
      <c r="Z557" s="35">
        <f t="shared" si="232"/>
        <v>4.7619047619047672E-2</v>
      </c>
      <c r="AA557" s="35">
        <f t="shared" si="232"/>
        <v>0.22480620155038755</v>
      </c>
    </row>
    <row r="558" spans="2:27" x14ac:dyDescent="0.2">
      <c r="B558" s="2">
        <v>556</v>
      </c>
      <c r="C558" s="2" t="str">
        <f t="shared" si="229"/>
        <v>a</v>
      </c>
      <c r="D558" s="29" t="s">
        <v>1</v>
      </c>
      <c r="E558" s="29" t="s">
        <v>219</v>
      </c>
      <c r="F558" s="2" t="s">
        <v>184</v>
      </c>
      <c r="G558" s="2">
        <f t="shared" si="222"/>
        <v>4</v>
      </c>
      <c r="H558" s="2" t="str">
        <f t="shared" si="214"/>
        <v>电击</v>
      </c>
      <c r="I558" s="38">
        <f t="shared" si="215"/>
        <v>0.10685714285714284</v>
      </c>
      <c r="J558" s="33">
        <f t="shared" si="230"/>
        <v>51</v>
      </c>
      <c r="K558" s="33">
        <f t="shared" si="231"/>
        <v>83</v>
      </c>
      <c r="L558" s="33">
        <f t="shared" si="231"/>
        <v>18</v>
      </c>
      <c r="M558" s="33">
        <f t="shared" si="231"/>
        <v>46</v>
      </c>
      <c r="N558" s="33">
        <f t="shared" si="231"/>
        <v>66</v>
      </c>
      <c r="O558" s="33">
        <f t="shared" si="231"/>
        <v>56</v>
      </c>
      <c r="P558" s="33">
        <f t="shared" si="231"/>
        <v>29</v>
      </c>
      <c r="Q558" s="33">
        <f t="shared" si="231"/>
        <v>25</v>
      </c>
      <c r="R558" s="35">
        <f t="shared" si="216"/>
        <v>0.05</v>
      </c>
      <c r="S558" s="35">
        <f t="shared" si="217"/>
        <v>5.7999999999999996E-2</v>
      </c>
      <c r="T558" s="35">
        <f t="shared" si="218"/>
        <v>3.125E-2</v>
      </c>
      <c r="U558" s="35">
        <f t="shared" si="232"/>
        <v>6.1032863849765251E-2</v>
      </c>
      <c r="V558" s="35">
        <f t="shared" si="232"/>
        <v>6.1032863849765251E-2</v>
      </c>
      <c r="W558" s="35">
        <f t="shared" si="232"/>
        <v>6.1032863849765251E-2</v>
      </c>
      <c r="X558" s="35">
        <f t="shared" si="232"/>
        <v>6.1032863849765251E-2</v>
      </c>
      <c r="Y558" s="35">
        <f t="shared" si="232"/>
        <v>6.1032863849765251E-2</v>
      </c>
      <c r="Z558" s="35">
        <f t="shared" si="232"/>
        <v>6.1032863849765251E-2</v>
      </c>
      <c r="AA558" s="35">
        <f t="shared" si="232"/>
        <v>0.27797833935018046</v>
      </c>
    </row>
    <row r="559" spans="2:27" x14ac:dyDescent="0.2">
      <c r="B559" s="2">
        <v>557</v>
      </c>
      <c r="C559" s="2" t="str">
        <f t="shared" si="229"/>
        <v>a</v>
      </c>
      <c r="D559" s="29" t="s">
        <v>1</v>
      </c>
      <c r="E559" s="29" t="s">
        <v>219</v>
      </c>
      <c r="F559" s="2" t="s">
        <v>184</v>
      </c>
      <c r="G559" s="2">
        <f t="shared" si="222"/>
        <v>5</v>
      </c>
      <c r="H559" s="2" t="str">
        <f t="shared" si="214"/>
        <v>电击</v>
      </c>
      <c r="I559" s="38">
        <f t="shared" si="215"/>
        <v>0.13400000000000001</v>
      </c>
      <c r="J559" s="33">
        <f t="shared" si="230"/>
        <v>64</v>
      </c>
      <c r="K559" s="33">
        <f t="shared" si="231"/>
        <v>104</v>
      </c>
      <c r="L559" s="33">
        <f t="shared" si="231"/>
        <v>23</v>
      </c>
      <c r="M559" s="33">
        <f t="shared" si="231"/>
        <v>57</v>
      </c>
      <c r="N559" s="33">
        <f t="shared" si="231"/>
        <v>83</v>
      </c>
      <c r="O559" s="33">
        <f t="shared" si="231"/>
        <v>70</v>
      </c>
      <c r="P559" s="33">
        <f t="shared" si="231"/>
        <v>36</v>
      </c>
      <c r="Q559" s="33">
        <f t="shared" si="231"/>
        <v>32</v>
      </c>
      <c r="R559" s="35">
        <f t="shared" si="216"/>
        <v>6.4000000000000001E-2</v>
      </c>
      <c r="S559" s="35">
        <f t="shared" si="217"/>
        <v>7.2000000000000008E-2</v>
      </c>
      <c r="T559" s="35">
        <f t="shared" si="218"/>
        <v>0.04</v>
      </c>
      <c r="U559" s="35">
        <f t="shared" si="232"/>
        <v>7.407407407407407E-2</v>
      </c>
      <c r="V559" s="35">
        <f t="shared" si="232"/>
        <v>7.407407407407407E-2</v>
      </c>
      <c r="W559" s="35">
        <f t="shared" si="232"/>
        <v>7.407407407407407E-2</v>
      </c>
      <c r="X559" s="35">
        <f t="shared" si="232"/>
        <v>7.407407407407407E-2</v>
      </c>
      <c r="Y559" s="35">
        <f t="shared" si="232"/>
        <v>7.407407407407407E-2</v>
      </c>
      <c r="Z559" s="35">
        <f t="shared" si="232"/>
        <v>7.407407407407407E-2</v>
      </c>
      <c r="AA559" s="35">
        <f t="shared" si="232"/>
        <v>0.32432432432432434</v>
      </c>
    </row>
    <row r="560" spans="2:27" x14ac:dyDescent="0.2">
      <c r="B560" s="2">
        <v>558</v>
      </c>
      <c r="C560" s="2" t="str">
        <f t="shared" si="229"/>
        <v>a</v>
      </c>
      <c r="D560" s="29" t="s">
        <v>1</v>
      </c>
      <c r="E560" s="29" t="s">
        <v>219</v>
      </c>
      <c r="F560" s="2" t="s">
        <v>184</v>
      </c>
      <c r="G560" s="2">
        <f t="shared" si="222"/>
        <v>6</v>
      </c>
      <c r="H560" s="2" t="str">
        <f t="shared" si="214"/>
        <v>电击</v>
      </c>
      <c r="I560" s="38">
        <f t="shared" si="215"/>
        <v>0.16057142857142856</v>
      </c>
      <c r="J560" s="33">
        <f t="shared" si="230"/>
        <v>77</v>
      </c>
      <c r="K560" s="33">
        <f t="shared" si="231"/>
        <v>124</v>
      </c>
      <c r="L560" s="33">
        <f t="shared" si="231"/>
        <v>27</v>
      </c>
      <c r="M560" s="33">
        <f t="shared" si="231"/>
        <v>69</v>
      </c>
      <c r="N560" s="33">
        <f t="shared" si="231"/>
        <v>99</v>
      </c>
      <c r="O560" s="33">
        <f t="shared" si="231"/>
        <v>84</v>
      </c>
      <c r="P560" s="33">
        <f t="shared" si="231"/>
        <v>44</v>
      </c>
      <c r="Q560" s="33">
        <f t="shared" si="231"/>
        <v>38</v>
      </c>
      <c r="R560" s="35">
        <f t="shared" si="216"/>
        <v>7.5999999999999998E-2</v>
      </c>
      <c r="S560" s="35">
        <f t="shared" si="217"/>
        <v>8.8000000000000009E-2</v>
      </c>
      <c r="T560" s="35">
        <f t="shared" si="218"/>
        <v>4.7500000000000001E-2</v>
      </c>
      <c r="U560" s="35">
        <f t="shared" si="232"/>
        <v>8.6757990867579959E-2</v>
      </c>
      <c r="V560" s="35">
        <f t="shared" si="232"/>
        <v>8.6757990867579959E-2</v>
      </c>
      <c r="W560" s="35">
        <f t="shared" si="232"/>
        <v>8.6757990867579959E-2</v>
      </c>
      <c r="X560" s="35">
        <f t="shared" si="232"/>
        <v>8.6757990867579959E-2</v>
      </c>
      <c r="Y560" s="35">
        <f t="shared" si="232"/>
        <v>8.6757990867579959E-2</v>
      </c>
      <c r="Z560" s="35">
        <f t="shared" si="232"/>
        <v>8.6757990867579959E-2</v>
      </c>
      <c r="AA560" s="35">
        <f t="shared" si="232"/>
        <v>0.36507936507936511</v>
      </c>
    </row>
    <row r="561" spans="2:27" x14ac:dyDescent="0.2">
      <c r="B561" s="2">
        <v>559</v>
      </c>
      <c r="C561" s="2" t="str">
        <f t="shared" si="229"/>
        <v>a</v>
      </c>
      <c r="D561" s="29" t="s">
        <v>1</v>
      </c>
      <c r="E561" s="29" t="s">
        <v>219</v>
      </c>
      <c r="F561" s="2" t="s">
        <v>184</v>
      </c>
      <c r="G561" s="2">
        <f t="shared" si="222"/>
        <v>7</v>
      </c>
      <c r="H561" s="2" t="str">
        <f t="shared" si="214"/>
        <v>电击</v>
      </c>
      <c r="I561" s="38">
        <f t="shared" si="215"/>
        <v>0.18742857142857144</v>
      </c>
      <c r="J561" s="33">
        <f t="shared" si="230"/>
        <v>90</v>
      </c>
      <c r="K561" s="33">
        <f t="shared" si="231"/>
        <v>145</v>
      </c>
      <c r="L561" s="33">
        <f t="shared" si="231"/>
        <v>32</v>
      </c>
      <c r="M561" s="33">
        <f t="shared" si="231"/>
        <v>80</v>
      </c>
      <c r="N561" s="33">
        <f t="shared" si="231"/>
        <v>116</v>
      </c>
      <c r="O561" s="33">
        <f t="shared" si="231"/>
        <v>98</v>
      </c>
      <c r="P561" s="33">
        <f t="shared" si="231"/>
        <v>51</v>
      </c>
      <c r="Q561" s="33">
        <f t="shared" si="231"/>
        <v>44</v>
      </c>
      <c r="R561" s="35">
        <f t="shared" si="216"/>
        <v>8.8000000000000009E-2</v>
      </c>
      <c r="S561" s="35">
        <f t="shared" si="217"/>
        <v>0.10199999999999999</v>
      </c>
      <c r="T561" s="35">
        <f t="shared" si="218"/>
        <v>5.5E-2</v>
      </c>
      <c r="U561" s="35">
        <f t="shared" si="232"/>
        <v>9.9099099099099086E-2</v>
      </c>
      <c r="V561" s="35">
        <f t="shared" si="232"/>
        <v>9.9099099099099086E-2</v>
      </c>
      <c r="W561" s="35">
        <f t="shared" si="232"/>
        <v>9.9099099099099086E-2</v>
      </c>
      <c r="X561" s="35">
        <f t="shared" si="232"/>
        <v>9.9099099099099086E-2</v>
      </c>
      <c r="Y561" s="35">
        <f t="shared" si="232"/>
        <v>9.9099099099099086E-2</v>
      </c>
      <c r="Z561" s="35">
        <f t="shared" si="232"/>
        <v>9.9099099099099086E-2</v>
      </c>
      <c r="AA561" s="35">
        <f t="shared" si="232"/>
        <v>0.40119760479041922</v>
      </c>
    </row>
    <row r="562" spans="2:27" x14ac:dyDescent="0.2">
      <c r="B562" s="2">
        <v>560</v>
      </c>
      <c r="C562" s="2" t="str">
        <f t="shared" si="229"/>
        <v>a</v>
      </c>
      <c r="D562" s="29" t="s">
        <v>1</v>
      </c>
      <c r="E562" s="29" t="s">
        <v>219</v>
      </c>
      <c r="F562" s="2" t="s">
        <v>184</v>
      </c>
      <c r="G562" s="2">
        <f t="shared" si="222"/>
        <v>8</v>
      </c>
      <c r="H562" s="2" t="str">
        <f t="shared" si="214"/>
        <v>电击</v>
      </c>
      <c r="I562" s="38">
        <f t="shared" si="215"/>
        <v>0.21457142857142855</v>
      </c>
      <c r="J562" s="33">
        <f t="shared" si="230"/>
        <v>103</v>
      </c>
      <c r="K562" s="33">
        <f t="shared" si="231"/>
        <v>166</v>
      </c>
      <c r="L562" s="33">
        <f t="shared" si="231"/>
        <v>36</v>
      </c>
      <c r="M562" s="33">
        <f t="shared" si="231"/>
        <v>92</v>
      </c>
      <c r="N562" s="33">
        <f t="shared" si="231"/>
        <v>133</v>
      </c>
      <c r="O562" s="33">
        <f t="shared" si="231"/>
        <v>112</v>
      </c>
      <c r="P562" s="33">
        <f t="shared" si="231"/>
        <v>58</v>
      </c>
      <c r="Q562" s="33">
        <f t="shared" si="231"/>
        <v>51</v>
      </c>
      <c r="R562" s="35">
        <f t="shared" si="216"/>
        <v>0.10199999999999999</v>
      </c>
      <c r="S562" s="35">
        <f t="shared" si="217"/>
        <v>0.11599999999999999</v>
      </c>
      <c r="T562" s="35">
        <f t="shared" si="218"/>
        <v>6.3750000000000001E-2</v>
      </c>
      <c r="U562" s="35">
        <f t="shared" si="232"/>
        <v>0.11504424778761058</v>
      </c>
      <c r="V562" s="35">
        <f t="shared" si="232"/>
        <v>0.11504424778761058</v>
      </c>
      <c r="W562" s="35">
        <f t="shared" si="232"/>
        <v>0.11504424778761058</v>
      </c>
      <c r="X562" s="35">
        <f t="shared" si="232"/>
        <v>0.11504424778761058</v>
      </c>
      <c r="Y562" s="35">
        <f t="shared" si="232"/>
        <v>0.11504424778761058</v>
      </c>
      <c r="Z562" s="35">
        <f t="shared" si="232"/>
        <v>0.11504424778761058</v>
      </c>
      <c r="AA562" s="35">
        <f t="shared" si="232"/>
        <v>0.43502824858757061</v>
      </c>
    </row>
    <row r="563" spans="2:27" x14ac:dyDescent="0.2">
      <c r="B563" s="2">
        <v>561</v>
      </c>
      <c r="C563" s="2" t="str">
        <f t="shared" si="229"/>
        <v>b</v>
      </c>
      <c r="D563" s="29" t="s">
        <v>1</v>
      </c>
      <c r="E563" s="29" t="s">
        <v>219</v>
      </c>
      <c r="F563" s="2" t="s">
        <v>184</v>
      </c>
      <c r="G563" s="2">
        <f t="shared" si="222"/>
        <v>1</v>
      </c>
      <c r="H563" s="2" t="str">
        <f t="shared" si="214"/>
        <v>电击</v>
      </c>
      <c r="I563" s="38">
        <f t="shared" si="215"/>
        <v>0.08</v>
      </c>
      <c r="J563" s="33">
        <f t="shared" ref="J563:J572" si="233">INT((1+VLOOKUP($F563,role_property_weight,getpos(J$2),FALSE))*(1+VLOOKUP($F563,drop_property_weight,getpos(J$2),FALSE))*VLOOKUP($E563,role_grow,getpos(J$2),FALSE)*$G563*10*VLOOKUP($C563,drop_grow1,4,FALSE))</f>
        <v>15</v>
      </c>
      <c r="K563" s="33">
        <f t="shared" ref="K563:Q572" si="234">INT((1+VLOOKUP($F563,role_property_weight,getpos(K$2),FALSE))*(1+VLOOKUP($F563,drop_property_weight,getpos(K$2),FALSE))*VLOOKUP($E563,role_grow,getpos(K$2),FALSE)*$G563*10*VLOOKUP($C563,drop_grow1,5,FALSE))</f>
        <v>31</v>
      </c>
      <c r="L563" s="33">
        <f t="shared" si="234"/>
        <v>6</v>
      </c>
      <c r="M563" s="33">
        <f t="shared" si="234"/>
        <v>17</v>
      </c>
      <c r="N563" s="33">
        <f t="shared" si="234"/>
        <v>24</v>
      </c>
      <c r="O563" s="33">
        <f t="shared" si="234"/>
        <v>21</v>
      </c>
      <c r="P563" s="33">
        <f t="shared" si="234"/>
        <v>11</v>
      </c>
      <c r="Q563" s="33">
        <f t="shared" si="234"/>
        <v>9</v>
      </c>
      <c r="R563" s="35">
        <f t="shared" si="216"/>
        <v>1.8000000000000002E-2</v>
      </c>
      <c r="S563" s="35">
        <f t="shared" si="217"/>
        <v>2.2000000000000002E-2</v>
      </c>
      <c r="T563" s="35">
        <f t="shared" si="218"/>
        <v>1.125E-2</v>
      </c>
      <c r="U563" s="35">
        <f t="shared" ref="U563:AA572" si="235">1-200/(200+ROUND((1+VLOOKUP($F563,role_property_weight,getpos(U$2),FALSE))*VLOOKUP($E563,role_grow,getpos(U$2),FALSE)*$G563*10*VLOOKUP($C563,drop_grow1,5,FALSE),0))</f>
        <v>2.4390243902439046E-2</v>
      </c>
      <c r="V563" s="35">
        <f t="shared" si="235"/>
        <v>2.4390243902439046E-2</v>
      </c>
      <c r="W563" s="35">
        <f t="shared" si="235"/>
        <v>2.4390243902439046E-2</v>
      </c>
      <c r="X563" s="35">
        <f t="shared" si="235"/>
        <v>2.4390243902439046E-2</v>
      </c>
      <c r="Y563" s="35">
        <f t="shared" si="235"/>
        <v>2.4390243902439046E-2</v>
      </c>
      <c r="Z563" s="35">
        <f t="shared" si="235"/>
        <v>2.4390243902439046E-2</v>
      </c>
      <c r="AA563" s="35">
        <f t="shared" si="235"/>
        <v>0.1266375545851528</v>
      </c>
    </row>
    <row r="564" spans="2:27" x14ac:dyDescent="0.2">
      <c r="B564" s="2">
        <v>562</v>
      </c>
      <c r="C564" s="2" t="str">
        <f t="shared" si="229"/>
        <v>b</v>
      </c>
      <c r="D564" s="29" t="s">
        <v>1</v>
      </c>
      <c r="E564" s="29" t="s">
        <v>219</v>
      </c>
      <c r="F564" s="2" t="s">
        <v>184</v>
      </c>
      <c r="G564" s="2">
        <f t="shared" si="222"/>
        <v>2</v>
      </c>
      <c r="H564" s="2" t="str">
        <f t="shared" si="214"/>
        <v>电击</v>
      </c>
      <c r="I564" s="38">
        <f t="shared" si="215"/>
        <v>0.08</v>
      </c>
      <c r="J564" s="33">
        <f t="shared" si="233"/>
        <v>30</v>
      </c>
      <c r="K564" s="33">
        <f t="shared" si="234"/>
        <v>62</v>
      </c>
      <c r="L564" s="33">
        <f t="shared" si="234"/>
        <v>13</v>
      </c>
      <c r="M564" s="33">
        <f t="shared" si="234"/>
        <v>34</v>
      </c>
      <c r="N564" s="33">
        <f t="shared" si="234"/>
        <v>49</v>
      </c>
      <c r="O564" s="33">
        <f t="shared" si="234"/>
        <v>42</v>
      </c>
      <c r="P564" s="33">
        <f t="shared" si="234"/>
        <v>22</v>
      </c>
      <c r="Q564" s="33">
        <f t="shared" si="234"/>
        <v>19</v>
      </c>
      <c r="R564" s="35">
        <f t="shared" si="216"/>
        <v>3.7999999999999999E-2</v>
      </c>
      <c r="S564" s="35">
        <f t="shared" si="217"/>
        <v>4.4000000000000004E-2</v>
      </c>
      <c r="T564" s="35">
        <f t="shared" si="218"/>
        <v>2.375E-2</v>
      </c>
      <c r="U564" s="35">
        <f t="shared" si="235"/>
        <v>4.7619047619047672E-2</v>
      </c>
      <c r="V564" s="35">
        <f t="shared" si="235"/>
        <v>4.7619047619047672E-2</v>
      </c>
      <c r="W564" s="35">
        <f t="shared" si="235"/>
        <v>4.7619047619047672E-2</v>
      </c>
      <c r="X564" s="35">
        <f t="shared" si="235"/>
        <v>4.7619047619047672E-2</v>
      </c>
      <c r="Y564" s="35">
        <f t="shared" si="235"/>
        <v>4.7619047619047672E-2</v>
      </c>
      <c r="Z564" s="35">
        <f t="shared" si="235"/>
        <v>4.7619047619047672E-2</v>
      </c>
      <c r="AA564" s="35">
        <f t="shared" si="235"/>
        <v>0.22480620155038755</v>
      </c>
    </row>
    <row r="565" spans="2:27" x14ac:dyDescent="0.2">
      <c r="B565" s="2">
        <v>563</v>
      </c>
      <c r="C565" s="2" t="str">
        <f t="shared" si="229"/>
        <v>b</v>
      </c>
      <c r="D565" s="29" t="s">
        <v>1</v>
      </c>
      <c r="E565" s="29" t="s">
        <v>219</v>
      </c>
      <c r="F565" s="2" t="s">
        <v>184</v>
      </c>
      <c r="G565" s="2">
        <f t="shared" si="222"/>
        <v>3</v>
      </c>
      <c r="H565" s="2" t="str">
        <f t="shared" si="214"/>
        <v>电击</v>
      </c>
      <c r="I565" s="38">
        <f t="shared" si="215"/>
        <v>0.11628571428571428</v>
      </c>
      <c r="J565" s="33">
        <f t="shared" si="233"/>
        <v>45</v>
      </c>
      <c r="K565" s="33">
        <f t="shared" si="234"/>
        <v>93</v>
      </c>
      <c r="L565" s="33">
        <f t="shared" si="234"/>
        <v>20</v>
      </c>
      <c r="M565" s="33">
        <f t="shared" si="234"/>
        <v>51</v>
      </c>
      <c r="N565" s="33">
        <f t="shared" si="234"/>
        <v>74</v>
      </c>
      <c r="O565" s="33">
        <f t="shared" si="234"/>
        <v>63</v>
      </c>
      <c r="P565" s="33">
        <f t="shared" si="234"/>
        <v>33</v>
      </c>
      <c r="Q565" s="33">
        <f t="shared" si="234"/>
        <v>28</v>
      </c>
      <c r="R565" s="35">
        <f t="shared" si="216"/>
        <v>5.5999999999999994E-2</v>
      </c>
      <c r="S565" s="35">
        <f t="shared" si="217"/>
        <v>6.6000000000000003E-2</v>
      </c>
      <c r="T565" s="35">
        <f t="shared" si="218"/>
        <v>3.5000000000000003E-2</v>
      </c>
      <c r="U565" s="35">
        <f t="shared" si="235"/>
        <v>6.5420560747663559E-2</v>
      </c>
      <c r="V565" s="35">
        <f t="shared" si="235"/>
        <v>6.5420560747663559E-2</v>
      </c>
      <c r="W565" s="35">
        <f t="shared" si="235"/>
        <v>6.5420560747663559E-2</v>
      </c>
      <c r="X565" s="35">
        <f t="shared" si="235"/>
        <v>6.5420560747663559E-2</v>
      </c>
      <c r="Y565" s="35">
        <f t="shared" si="235"/>
        <v>6.5420560747663559E-2</v>
      </c>
      <c r="Z565" s="35">
        <f t="shared" si="235"/>
        <v>6.5420560747663559E-2</v>
      </c>
      <c r="AA565" s="35">
        <f t="shared" si="235"/>
        <v>0.30069930069930073</v>
      </c>
    </row>
    <row r="566" spans="2:27" x14ac:dyDescent="0.2">
      <c r="B566" s="2">
        <v>564</v>
      </c>
      <c r="C566" s="2" t="str">
        <f t="shared" si="229"/>
        <v>b</v>
      </c>
      <c r="D566" s="29" t="s">
        <v>1</v>
      </c>
      <c r="E566" s="29" t="s">
        <v>219</v>
      </c>
      <c r="F566" s="2" t="s">
        <v>184</v>
      </c>
      <c r="G566" s="2">
        <f t="shared" si="222"/>
        <v>4</v>
      </c>
      <c r="H566" s="2" t="str">
        <f t="shared" si="214"/>
        <v>电击</v>
      </c>
      <c r="I566" s="38">
        <f t="shared" si="215"/>
        <v>0.15571428571428572</v>
      </c>
      <c r="J566" s="33">
        <f t="shared" si="233"/>
        <v>60</v>
      </c>
      <c r="K566" s="33">
        <f t="shared" si="234"/>
        <v>124</v>
      </c>
      <c r="L566" s="33">
        <f t="shared" si="234"/>
        <v>27</v>
      </c>
      <c r="M566" s="33">
        <f t="shared" si="234"/>
        <v>69</v>
      </c>
      <c r="N566" s="33">
        <f t="shared" si="234"/>
        <v>99</v>
      </c>
      <c r="O566" s="33">
        <f t="shared" si="234"/>
        <v>84</v>
      </c>
      <c r="P566" s="33">
        <f t="shared" si="234"/>
        <v>44</v>
      </c>
      <c r="Q566" s="33">
        <f t="shared" si="234"/>
        <v>38</v>
      </c>
      <c r="R566" s="35">
        <f t="shared" si="216"/>
        <v>7.5999999999999998E-2</v>
      </c>
      <c r="S566" s="35">
        <f t="shared" si="217"/>
        <v>8.8000000000000009E-2</v>
      </c>
      <c r="T566" s="35">
        <f t="shared" si="218"/>
        <v>4.7500000000000001E-2</v>
      </c>
      <c r="U566" s="35">
        <f t="shared" si="235"/>
        <v>8.6757990867579959E-2</v>
      </c>
      <c r="V566" s="35">
        <f t="shared" si="235"/>
        <v>8.6757990867579959E-2</v>
      </c>
      <c r="W566" s="35">
        <f t="shared" si="235"/>
        <v>8.6757990867579959E-2</v>
      </c>
      <c r="X566" s="35">
        <f t="shared" si="235"/>
        <v>8.6757990867579959E-2</v>
      </c>
      <c r="Y566" s="35">
        <f t="shared" si="235"/>
        <v>8.6757990867579959E-2</v>
      </c>
      <c r="Z566" s="35">
        <f t="shared" si="235"/>
        <v>8.6757990867579959E-2</v>
      </c>
      <c r="AA566" s="35">
        <f t="shared" si="235"/>
        <v>0.36507936507936511</v>
      </c>
    </row>
    <row r="567" spans="2:27" x14ac:dyDescent="0.2">
      <c r="B567" s="2">
        <v>565</v>
      </c>
      <c r="C567" s="2" t="str">
        <f t="shared" si="229"/>
        <v>b</v>
      </c>
      <c r="D567" s="29" t="s">
        <v>1</v>
      </c>
      <c r="E567" s="29" t="s">
        <v>219</v>
      </c>
      <c r="F567" s="2" t="s">
        <v>184</v>
      </c>
      <c r="G567" s="2">
        <f t="shared" si="222"/>
        <v>5</v>
      </c>
      <c r="H567" s="2" t="str">
        <f t="shared" si="214"/>
        <v>电击</v>
      </c>
      <c r="I567" s="38">
        <f t="shared" si="215"/>
        <v>0.19514285714285717</v>
      </c>
      <c r="J567" s="33">
        <f t="shared" si="233"/>
        <v>75</v>
      </c>
      <c r="K567" s="33">
        <f t="shared" si="234"/>
        <v>156</v>
      </c>
      <c r="L567" s="33">
        <f t="shared" si="234"/>
        <v>34</v>
      </c>
      <c r="M567" s="33">
        <f t="shared" si="234"/>
        <v>86</v>
      </c>
      <c r="N567" s="33">
        <f t="shared" si="234"/>
        <v>124</v>
      </c>
      <c r="O567" s="33">
        <f t="shared" si="234"/>
        <v>105</v>
      </c>
      <c r="P567" s="33">
        <f t="shared" si="234"/>
        <v>55</v>
      </c>
      <c r="Q567" s="33">
        <f t="shared" si="234"/>
        <v>48</v>
      </c>
      <c r="R567" s="35">
        <f t="shared" si="216"/>
        <v>9.6000000000000002E-2</v>
      </c>
      <c r="S567" s="35">
        <f t="shared" si="217"/>
        <v>0.11</v>
      </c>
      <c r="T567" s="35">
        <f t="shared" si="218"/>
        <v>0.06</v>
      </c>
      <c r="U567" s="35">
        <f t="shared" si="235"/>
        <v>0.1071428571428571</v>
      </c>
      <c r="V567" s="35">
        <f t="shared" si="235"/>
        <v>0.1071428571428571</v>
      </c>
      <c r="W567" s="35">
        <f t="shared" si="235"/>
        <v>0.1071428571428571</v>
      </c>
      <c r="X567" s="35">
        <f t="shared" si="235"/>
        <v>0.1071428571428571</v>
      </c>
      <c r="Y567" s="35">
        <f t="shared" si="235"/>
        <v>0.1071428571428571</v>
      </c>
      <c r="Z567" s="35">
        <f t="shared" si="235"/>
        <v>0.1071428571428571</v>
      </c>
      <c r="AA567" s="35">
        <f t="shared" si="235"/>
        <v>0.41860465116279066</v>
      </c>
    </row>
    <row r="568" spans="2:27" x14ac:dyDescent="0.2">
      <c r="B568" s="2">
        <v>566</v>
      </c>
      <c r="C568" s="2" t="str">
        <f t="shared" si="229"/>
        <v>b</v>
      </c>
      <c r="D568" s="29" t="s">
        <v>1</v>
      </c>
      <c r="E568" s="29" t="s">
        <v>219</v>
      </c>
      <c r="F568" s="2" t="s">
        <v>184</v>
      </c>
      <c r="G568" s="2">
        <f t="shared" si="222"/>
        <v>6</v>
      </c>
      <c r="H568" s="2" t="str">
        <f t="shared" si="214"/>
        <v>电击</v>
      </c>
      <c r="I568" s="38">
        <f t="shared" si="215"/>
        <v>0.23399999999999999</v>
      </c>
      <c r="J568" s="33">
        <f t="shared" si="233"/>
        <v>90</v>
      </c>
      <c r="K568" s="33">
        <f t="shared" si="234"/>
        <v>187</v>
      </c>
      <c r="L568" s="33">
        <f t="shared" si="234"/>
        <v>41</v>
      </c>
      <c r="M568" s="33">
        <f t="shared" si="234"/>
        <v>103</v>
      </c>
      <c r="N568" s="33">
        <f t="shared" si="234"/>
        <v>149</v>
      </c>
      <c r="O568" s="33">
        <f t="shared" si="234"/>
        <v>126</v>
      </c>
      <c r="P568" s="33">
        <f t="shared" si="234"/>
        <v>66</v>
      </c>
      <c r="Q568" s="33">
        <f t="shared" si="234"/>
        <v>57</v>
      </c>
      <c r="R568" s="35">
        <f t="shared" si="216"/>
        <v>0.114</v>
      </c>
      <c r="S568" s="35">
        <f t="shared" si="217"/>
        <v>0.13200000000000001</v>
      </c>
      <c r="T568" s="35">
        <f t="shared" si="218"/>
        <v>7.1249999999999994E-2</v>
      </c>
      <c r="U568" s="35">
        <f t="shared" si="235"/>
        <v>0.1266375545851528</v>
      </c>
      <c r="V568" s="35">
        <f t="shared" si="235"/>
        <v>0.1266375545851528</v>
      </c>
      <c r="W568" s="35">
        <f t="shared" si="235"/>
        <v>0.1266375545851528</v>
      </c>
      <c r="X568" s="35">
        <f t="shared" si="235"/>
        <v>0.1266375545851528</v>
      </c>
      <c r="Y568" s="35">
        <f t="shared" si="235"/>
        <v>0.1266375545851528</v>
      </c>
      <c r="Z568" s="35">
        <f t="shared" si="235"/>
        <v>0.1266375545851528</v>
      </c>
      <c r="AA568" s="35">
        <f t="shared" si="235"/>
        <v>0.46380697050938335</v>
      </c>
    </row>
    <row r="569" spans="2:27" x14ac:dyDescent="0.2">
      <c r="B569" s="2">
        <v>567</v>
      </c>
      <c r="C569" s="2" t="str">
        <f t="shared" si="229"/>
        <v>b</v>
      </c>
      <c r="D569" s="29" t="s">
        <v>1</v>
      </c>
      <c r="E569" s="29" t="s">
        <v>219</v>
      </c>
      <c r="F569" s="2" t="s">
        <v>184</v>
      </c>
      <c r="G569" s="2">
        <f t="shared" si="222"/>
        <v>7</v>
      </c>
      <c r="H569" s="2" t="str">
        <f t="shared" si="214"/>
        <v>电击</v>
      </c>
      <c r="I569" s="38">
        <f t="shared" si="215"/>
        <v>0.27314285714285713</v>
      </c>
      <c r="J569" s="33">
        <f t="shared" si="233"/>
        <v>105</v>
      </c>
      <c r="K569" s="33">
        <f t="shared" si="234"/>
        <v>218</v>
      </c>
      <c r="L569" s="33">
        <f t="shared" si="234"/>
        <v>48</v>
      </c>
      <c r="M569" s="33">
        <f t="shared" si="234"/>
        <v>120</v>
      </c>
      <c r="N569" s="33">
        <f t="shared" si="234"/>
        <v>174</v>
      </c>
      <c r="O569" s="33">
        <f t="shared" si="234"/>
        <v>147</v>
      </c>
      <c r="P569" s="33">
        <f t="shared" si="234"/>
        <v>77</v>
      </c>
      <c r="Q569" s="33">
        <f t="shared" si="234"/>
        <v>67</v>
      </c>
      <c r="R569" s="35">
        <f t="shared" si="216"/>
        <v>0.13400000000000001</v>
      </c>
      <c r="S569" s="35">
        <f t="shared" si="217"/>
        <v>0.154</v>
      </c>
      <c r="T569" s="35">
        <f t="shared" si="218"/>
        <v>8.3750000000000005E-2</v>
      </c>
      <c r="U569" s="35">
        <f t="shared" si="235"/>
        <v>0.14529914529914534</v>
      </c>
      <c r="V569" s="35">
        <f t="shared" si="235"/>
        <v>0.14529914529914534</v>
      </c>
      <c r="W569" s="35">
        <f t="shared" si="235"/>
        <v>0.14529914529914534</v>
      </c>
      <c r="X569" s="35">
        <f t="shared" si="235"/>
        <v>0.14529914529914534</v>
      </c>
      <c r="Y569" s="35">
        <f t="shared" si="235"/>
        <v>0.14529914529914534</v>
      </c>
      <c r="Z569" s="35">
        <f t="shared" si="235"/>
        <v>0.14529914529914534</v>
      </c>
      <c r="AA569" s="35">
        <f t="shared" si="235"/>
        <v>0.50248756218905477</v>
      </c>
    </row>
    <row r="570" spans="2:27" x14ac:dyDescent="0.2">
      <c r="B570" s="2">
        <v>568</v>
      </c>
      <c r="C570" s="2" t="str">
        <f t="shared" si="229"/>
        <v>b</v>
      </c>
      <c r="D570" s="29" t="s">
        <v>1</v>
      </c>
      <c r="E570" s="29" t="s">
        <v>219</v>
      </c>
      <c r="F570" s="2" t="s">
        <v>184</v>
      </c>
      <c r="G570" s="2">
        <f t="shared" si="222"/>
        <v>8</v>
      </c>
      <c r="H570" s="2" t="str">
        <f t="shared" si="214"/>
        <v>电击</v>
      </c>
      <c r="I570" s="38">
        <f t="shared" si="215"/>
        <v>0.31228571428571428</v>
      </c>
      <c r="J570" s="33">
        <f t="shared" si="233"/>
        <v>120</v>
      </c>
      <c r="K570" s="33">
        <f t="shared" si="234"/>
        <v>249</v>
      </c>
      <c r="L570" s="33">
        <f t="shared" si="234"/>
        <v>55</v>
      </c>
      <c r="M570" s="33">
        <f t="shared" si="234"/>
        <v>138</v>
      </c>
      <c r="N570" s="33">
        <f t="shared" si="234"/>
        <v>199</v>
      </c>
      <c r="O570" s="33">
        <f t="shared" si="234"/>
        <v>168</v>
      </c>
      <c r="P570" s="33">
        <f t="shared" si="234"/>
        <v>88</v>
      </c>
      <c r="Q570" s="33">
        <f t="shared" si="234"/>
        <v>76</v>
      </c>
      <c r="R570" s="35">
        <f t="shared" si="216"/>
        <v>0.152</v>
      </c>
      <c r="S570" s="35">
        <f t="shared" si="217"/>
        <v>0.17600000000000002</v>
      </c>
      <c r="T570" s="35">
        <f t="shared" si="218"/>
        <v>9.5000000000000001E-2</v>
      </c>
      <c r="U570" s="35">
        <f t="shared" si="235"/>
        <v>0.15966386554621848</v>
      </c>
      <c r="V570" s="35">
        <f t="shared" si="235"/>
        <v>0.15966386554621848</v>
      </c>
      <c r="W570" s="35">
        <f t="shared" si="235"/>
        <v>0.15966386554621848</v>
      </c>
      <c r="X570" s="35">
        <f t="shared" si="235"/>
        <v>0.15966386554621848</v>
      </c>
      <c r="Y570" s="35">
        <f t="shared" si="235"/>
        <v>0.15966386554621848</v>
      </c>
      <c r="Z570" s="35">
        <f t="shared" si="235"/>
        <v>0.15966386554621848</v>
      </c>
      <c r="AA570" s="35">
        <f t="shared" si="235"/>
        <v>0.53488372093023262</v>
      </c>
    </row>
    <row r="571" spans="2:27" x14ac:dyDescent="0.2">
      <c r="B571" s="2">
        <v>569</v>
      </c>
      <c r="C571" s="2" t="str">
        <f t="shared" si="229"/>
        <v>c</v>
      </c>
      <c r="D571" s="29" t="s">
        <v>1</v>
      </c>
      <c r="E571" s="29" t="s">
        <v>219</v>
      </c>
      <c r="F571" s="2" t="s">
        <v>184</v>
      </c>
      <c r="G571" s="2">
        <f t="shared" si="222"/>
        <v>1</v>
      </c>
      <c r="H571" s="2" t="str">
        <f t="shared" si="214"/>
        <v>--</v>
      </c>
      <c r="I571" s="38">
        <f t="shared" si="215"/>
        <v>0</v>
      </c>
      <c r="J571" s="33">
        <f t="shared" si="233"/>
        <v>20</v>
      </c>
      <c r="K571" s="33">
        <f t="shared" si="234"/>
        <v>0</v>
      </c>
      <c r="L571" s="33">
        <f t="shared" si="234"/>
        <v>0</v>
      </c>
      <c r="M571" s="33">
        <f t="shared" si="234"/>
        <v>0</v>
      </c>
      <c r="N571" s="33">
        <f t="shared" si="234"/>
        <v>0</v>
      </c>
      <c r="O571" s="33">
        <f t="shared" si="234"/>
        <v>0</v>
      </c>
      <c r="P571" s="33">
        <f t="shared" si="234"/>
        <v>0</v>
      </c>
      <c r="Q571" s="33">
        <f t="shared" si="234"/>
        <v>0</v>
      </c>
      <c r="R571" s="35">
        <f t="shared" si="216"/>
        <v>0</v>
      </c>
      <c r="S571" s="35">
        <f t="shared" si="217"/>
        <v>0</v>
      </c>
      <c r="T571" s="35">
        <f t="shared" si="218"/>
        <v>0</v>
      </c>
      <c r="U571" s="35">
        <f t="shared" si="235"/>
        <v>0</v>
      </c>
      <c r="V571" s="35">
        <f t="shared" si="235"/>
        <v>0</v>
      </c>
      <c r="W571" s="35">
        <f t="shared" si="235"/>
        <v>0</v>
      </c>
      <c r="X571" s="35">
        <f t="shared" si="235"/>
        <v>0</v>
      </c>
      <c r="Y571" s="35">
        <f t="shared" si="235"/>
        <v>0</v>
      </c>
      <c r="Z571" s="35">
        <f t="shared" si="235"/>
        <v>0</v>
      </c>
      <c r="AA571" s="35">
        <f t="shared" si="235"/>
        <v>0</v>
      </c>
    </row>
    <row r="572" spans="2:27" x14ac:dyDescent="0.2">
      <c r="B572" s="2">
        <v>570</v>
      </c>
      <c r="C572" s="2" t="str">
        <f t="shared" si="229"/>
        <v>c</v>
      </c>
      <c r="D572" s="29" t="s">
        <v>1</v>
      </c>
      <c r="E572" s="29" t="s">
        <v>219</v>
      </c>
      <c r="F572" s="2" t="s">
        <v>184</v>
      </c>
      <c r="G572" s="2">
        <f t="shared" si="222"/>
        <v>2</v>
      </c>
      <c r="H572" s="2" t="str">
        <f t="shared" si="214"/>
        <v>--</v>
      </c>
      <c r="I572" s="38">
        <f t="shared" si="215"/>
        <v>0</v>
      </c>
      <c r="J572" s="33">
        <f t="shared" si="233"/>
        <v>40</v>
      </c>
      <c r="K572" s="33">
        <f t="shared" si="234"/>
        <v>0</v>
      </c>
      <c r="L572" s="33">
        <f t="shared" si="234"/>
        <v>0</v>
      </c>
      <c r="M572" s="33">
        <f t="shared" si="234"/>
        <v>0</v>
      </c>
      <c r="N572" s="33">
        <f t="shared" si="234"/>
        <v>0</v>
      </c>
      <c r="O572" s="33">
        <f t="shared" si="234"/>
        <v>0</v>
      </c>
      <c r="P572" s="33">
        <f t="shared" si="234"/>
        <v>0</v>
      </c>
      <c r="Q572" s="33">
        <f t="shared" si="234"/>
        <v>0</v>
      </c>
      <c r="R572" s="35">
        <f t="shared" si="216"/>
        <v>0</v>
      </c>
      <c r="S572" s="35">
        <f t="shared" si="217"/>
        <v>0</v>
      </c>
      <c r="T572" s="35">
        <f t="shared" si="218"/>
        <v>0</v>
      </c>
      <c r="U572" s="35">
        <f t="shared" si="235"/>
        <v>0</v>
      </c>
      <c r="V572" s="35">
        <f t="shared" si="235"/>
        <v>0</v>
      </c>
      <c r="W572" s="35">
        <f t="shared" si="235"/>
        <v>0</v>
      </c>
      <c r="X572" s="35">
        <f t="shared" si="235"/>
        <v>0</v>
      </c>
      <c r="Y572" s="35">
        <f t="shared" si="235"/>
        <v>0</v>
      </c>
      <c r="Z572" s="35">
        <f t="shared" si="235"/>
        <v>0</v>
      </c>
      <c r="AA572" s="35">
        <f t="shared" si="235"/>
        <v>0</v>
      </c>
    </row>
    <row r="573" spans="2:27" x14ac:dyDescent="0.2">
      <c r="B573" s="2">
        <v>571</v>
      </c>
      <c r="C573" s="2" t="str">
        <f t="shared" si="229"/>
        <v>c</v>
      </c>
      <c r="D573" s="29" t="s">
        <v>1</v>
      </c>
      <c r="E573" s="29" t="s">
        <v>219</v>
      </c>
      <c r="F573" s="2" t="s">
        <v>184</v>
      </c>
      <c r="G573" s="2">
        <f t="shared" si="222"/>
        <v>3</v>
      </c>
      <c r="H573" s="2" t="str">
        <f t="shared" si="214"/>
        <v>--</v>
      </c>
      <c r="I573" s="38">
        <f t="shared" si="215"/>
        <v>0</v>
      </c>
      <c r="J573" s="33">
        <f t="shared" ref="J573:J582" si="236">INT((1+VLOOKUP($F573,role_property_weight,getpos(J$2),FALSE))*(1+VLOOKUP($F573,drop_property_weight,getpos(J$2),FALSE))*VLOOKUP($E573,role_grow,getpos(J$2),FALSE)*$G573*10*VLOOKUP($C573,drop_grow1,4,FALSE))</f>
        <v>60</v>
      </c>
      <c r="K573" s="33">
        <f t="shared" ref="K573:Q582" si="237">INT((1+VLOOKUP($F573,role_property_weight,getpos(K$2),FALSE))*(1+VLOOKUP($F573,drop_property_weight,getpos(K$2),FALSE))*VLOOKUP($E573,role_grow,getpos(K$2),FALSE)*$G573*10*VLOOKUP($C573,drop_grow1,5,FALSE))</f>
        <v>0</v>
      </c>
      <c r="L573" s="33">
        <f t="shared" si="237"/>
        <v>0</v>
      </c>
      <c r="M573" s="33">
        <f t="shared" si="237"/>
        <v>0</v>
      </c>
      <c r="N573" s="33">
        <f t="shared" si="237"/>
        <v>0</v>
      </c>
      <c r="O573" s="33">
        <f t="shared" si="237"/>
        <v>0</v>
      </c>
      <c r="P573" s="33">
        <f t="shared" si="237"/>
        <v>0</v>
      </c>
      <c r="Q573" s="33">
        <f t="shared" si="237"/>
        <v>0</v>
      </c>
      <c r="R573" s="35">
        <f t="shared" si="216"/>
        <v>0</v>
      </c>
      <c r="S573" s="35">
        <f t="shared" si="217"/>
        <v>0</v>
      </c>
      <c r="T573" s="35">
        <f t="shared" si="218"/>
        <v>0</v>
      </c>
      <c r="U573" s="35">
        <f t="shared" ref="U573:AA582" si="238">1-200/(200+ROUND((1+VLOOKUP($F573,role_property_weight,getpos(U$2),FALSE))*VLOOKUP($E573,role_grow,getpos(U$2),FALSE)*$G573*10*VLOOKUP($C573,drop_grow1,5,FALSE),0))</f>
        <v>0</v>
      </c>
      <c r="V573" s="35">
        <f t="shared" si="238"/>
        <v>0</v>
      </c>
      <c r="W573" s="35">
        <f t="shared" si="238"/>
        <v>0</v>
      </c>
      <c r="X573" s="35">
        <f t="shared" si="238"/>
        <v>0</v>
      </c>
      <c r="Y573" s="35">
        <f t="shared" si="238"/>
        <v>0</v>
      </c>
      <c r="Z573" s="35">
        <f t="shared" si="238"/>
        <v>0</v>
      </c>
      <c r="AA573" s="35">
        <f t="shared" si="238"/>
        <v>0</v>
      </c>
    </row>
    <row r="574" spans="2:27" x14ac:dyDescent="0.2">
      <c r="B574" s="2">
        <v>572</v>
      </c>
      <c r="C574" s="2" t="str">
        <f t="shared" si="229"/>
        <v>c</v>
      </c>
      <c r="D574" s="29" t="s">
        <v>1</v>
      </c>
      <c r="E574" s="29" t="s">
        <v>219</v>
      </c>
      <c r="F574" s="2" t="s">
        <v>184</v>
      </c>
      <c r="G574" s="2">
        <f t="shared" si="222"/>
        <v>4</v>
      </c>
      <c r="H574" s="2" t="str">
        <f t="shared" si="214"/>
        <v>--</v>
      </c>
      <c r="I574" s="38">
        <f t="shared" si="215"/>
        <v>0</v>
      </c>
      <c r="J574" s="33">
        <f t="shared" si="236"/>
        <v>81</v>
      </c>
      <c r="K574" s="33">
        <f t="shared" si="237"/>
        <v>0</v>
      </c>
      <c r="L574" s="33">
        <f t="shared" si="237"/>
        <v>0</v>
      </c>
      <c r="M574" s="33">
        <f t="shared" si="237"/>
        <v>0</v>
      </c>
      <c r="N574" s="33">
        <f t="shared" si="237"/>
        <v>0</v>
      </c>
      <c r="O574" s="33">
        <f t="shared" si="237"/>
        <v>0</v>
      </c>
      <c r="P574" s="33">
        <f t="shared" si="237"/>
        <v>0</v>
      </c>
      <c r="Q574" s="33">
        <f t="shared" si="237"/>
        <v>0</v>
      </c>
      <c r="R574" s="35">
        <f t="shared" si="216"/>
        <v>0</v>
      </c>
      <c r="S574" s="35">
        <f t="shared" si="217"/>
        <v>0</v>
      </c>
      <c r="T574" s="35">
        <f t="shared" si="218"/>
        <v>0</v>
      </c>
      <c r="U574" s="35">
        <f t="shared" si="238"/>
        <v>0</v>
      </c>
      <c r="V574" s="35">
        <f t="shared" si="238"/>
        <v>0</v>
      </c>
      <c r="W574" s="35">
        <f t="shared" si="238"/>
        <v>0</v>
      </c>
      <c r="X574" s="35">
        <f t="shared" si="238"/>
        <v>0</v>
      </c>
      <c r="Y574" s="35">
        <f t="shared" si="238"/>
        <v>0</v>
      </c>
      <c r="Z574" s="35">
        <f t="shared" si="238"/>
        <v>0</v>
      </c>
      <c r="AA574" s="35">
        <f t="shared" si="238"/>
        <v>0</v>
      </c>
    </row>
    <row r="575" spans="2:27" x14ac:dyDescent="0.2">
      <c r="B575" s="2">
        <v>573</v>
      </c>
      <c r="C575" s="2" t="str">
        <f t="shared" si="229"/>
        <v>c</v>
      </c>
      <c r="D575" s="29" t="s">
        <v>1</v>
      </c>
      <c r="E575" s="29" t="s">
        <v>219</v>
      </c>
      <c r="F575" s="2" t="s">
        <v>184</v>
      </c>
      <c r="G575" s="2">
        <f t="shared" si="222"/>
        <v>5</v>
      </c>
      <c r="H575" s="2" t="str">
        <f t="shared" si="214"/>
        <v>--</v>
      </c>
      <c r="I575" s="38">
        <f t="shared" si="215"/>
        <v>0</v>
      </c>
      <c r="J575" s="33">
        <f t="shared" si="236"/>
        <v>101</v>
      </c>
      <c r="K575" s="33">
        <f t="shared" si="237"/>
        <v>0</v>
      </c>
      <c r="L575" s="33">
        <f t="shared" si="237"/>
        <v>0</v>
      </c>
      <c r="M575" s="33">
        <f t="shared" si="237"/>
        <v>0</v>
      </c>
      <c r="N575" s="33">
        <f t="shared" si="237"/>
        <v>0</v>
      </c>
      <c r="O575" s="33">
        <f t="shared" si="237"/>
        <v>0</v>
      </c>
      <c r="P575" s="33">
        <f t="shared" si="237"/>
        <v>0</v>
      </c>
      <c r="Q575" s="33">
        <f t="shared" si="237"/>
        <v>0</v>
      </c>
      <c r="R575" s="35">
        <f t="shared" si="216"/>
        <v>0</v>
      </c>
      <c r="S575" s="35">
        <f t="shared" si="217"/>
        <v>0</v>
      </c>
      <c r="T575" s="35">
        <f t="shared" si="218"/>
        <v>0</v>
      </c>
      <c r="U575" s="35">
        <f t="shared" si="238"/>
        <v>0</v>
      </c>
      <c r="V575" s="35">
        <f t="shared" si="238"/>
        <v>0</v>
      </c>
      <c r="W575" s="35">
        <f t="shared" si="238"/>
        <v>0</v>
      </c>
      <c r="X575" s="35">
        <f t="shared" si="238"/>
        <v>0</v>
      </c>
      <c r="Y575" s="35">
        <f t="shared" si="238"/>
        <v>0</v>
      </c>
      <c r="Z575" s="35">
        <f t="shared" si="238"/>
        <v>0</v>
      </c>
      <c r="AA575" s="35">
        <f t="shared" si="238"/>
        <v>0</v>
      </c>
    </row>
    <row r="576" spans="2:27" x14ac:dyDescent="0.2">
      <c r="B576" s="2">
        <v>574</v>
      </c>
      <c r="C576" s="2" t="str">
        <f t="shared" si="229"/>
        <v>c</v>
      </c>
      <c r="D576" s="29" t="s">
        <v>1</v>
      </c>
      <c r="E576" s="29" t="s">
        <v>219</v>
      </c>
      <c r="F576" s="2" t="s">
        <v>184</v>
      </c>
      <c r="G576" s="2">
        <f t="shared" si="222"/>
        <v>6</v>
      </c>
      <c r="H576" s="2" t="str">
        <f t="shared" si="214"/>
        <v>--</v>
      </c>
      <c r="I576" s="38">
        <f t="shared" si="215"/>
        <v>0</v>
      </c>
      <c r="J576" s="33">
        <f t="shared" si="236"/>
        <v>121</v>
      </c>
      <c r="K576" s="33">
        <f t="shared" si="237"/>
        <v>0</v>
      </c>
      <c r="L576" s="33">
        <f t="shared" si="237"/>
        <v>0</v>
      </c>
      <c r="M576" s="33">
        <f t="shared" si="237"/>
        <v>0</v>
      </c>
      <c r="N576" s="33">
        <f t="shared" si="237"/>
        <v>0</v>
      </c>
      <c r="O576" s="33">
        <f t="shared" si="237"/>
        <v>0</v>
      </c>
      <c r="P576" s="33">
        <f t="shared" si="237"/>
        <v>0</v>
      </c>
      <c r="Q576" s="33">
        <f t="shared" si="237"/>
        <v>0</v>
      </c>
      <c r="R576" s="35">
        <f t="shared" si="216"/>
        <v>0</v>
      </c>
      <c r="S576" s="35">
        <f t="shared" si="217"/>
        <v>0</v>
      </c>
      <c r="T576" s="35">
        <f t="shared" si="218"/>
        <v>0</v>
      </c>
      <c r="U576" s="35">
        <f t="shared" si="238"/>
        <v>0</v>
      </c>
      <c r="V576" s="35">
        <f t="shared" si="238"/>
        <v>0</v>
      </c>
      <c r="W576" s="35">
        <f t="shared" si="238"/>
        <v>0</v>
      </c>
      <c r="X576" s="35">
        <f t="shared" si="238"/>
        <v>0</v>
      </c>
      <c r="Y576" s="35">
        <f t="shared" si="238"/>
        <v>0</v>
      </c>
      <c r="Z576" s="35">
        <f t="shared" si="238"/>
        <v>0</v>
      </c>
      <c r="AA576" s="35">
        <f t="shared" si="238"/>
        <v>0</v>
      </c>
    </row>
    <row r="577" spans="2:27" x14ac:dyDescent="0.2">
      <c r="B577" s="2">
        <v>575</v>
      </c>
      <c r="C577" s="2" t="str">
        <f t="shared" si="229"/>
        <v>c</v>
      </c>
      <c r="D577" s="29" t="s">
        <v>1</v>
      </c>
      <c r="E577" s="29" t="s">
        <v>219</v>
      </c>
      <c r="F577" s="2" t="s">
        <v>184</v>
      </c>
      <c r="G577" s="2">
        <f t="shared" si="222"/>
        <v>7</v>
      </c>
      <c r="H577" s="2" t="str">
        <f t="shared" si="214"/>
        <v>--</v>
      </c>
      <c r="I577" s="38">
        <f t="shared" si="215"/>
        <v>0</v>
      </c>
      <c r="J577" s="33">
        <f t="shared" si="236"/>
        <v>142</v>
      </c>
      <c r="K577" s="33">
        <f t="shared" si="237"/>
        <v>0</v>
      </c>
      <c r="L577" s="33">
        <f t="shared" si="237"/>
        <v>0</v>
      </c>
      <c r="M577" s="33">
        <f t="shared" si="237"/>
        <v>0</v>
      </c>
      <c r="N577" s="33">
        <f t="shared" si="237"/>
        <v>0</v>
      </c>
      <c r="O577" s="33">
        <f t="shared" si="237"/>
        <v>0</v>
      </c>
      <c r="P577" s="33">
        <f t="shared" si="237"/>
        <v>0</v>
      </c>
      <c r="Q577" s="33">
        <f t="shared" si="237"/>
        <v>0</v>
      </c>
      <c r="R577" s="35">
        <f t="shared" si="216"/>
        <v>0</v>
      </c>
      <c r="S577" s="35">
        <f t="shared" si="217"/>
        <v>0</v>
      </c>
      <c r="T577" s="35">
        <f t="shared" si="218"/>
        <v>0</v>
      </c>
      <c r="U577" s="35">
        <f t="shared" si="238"/>
        <v>0</v>
      </c>
      <c r="V577" s="35">
        <f t="shared" si="238"/>
        <v>0</v>
      </c>
      <c r="W577" s="35">
        <f t="shared" si="238"/>
        <v>0</v>
      </c>
      <c r="X577" s="35">
        <f t="shared" si="238"/>
        <v>0</v>
      </c>
      <c r="Y577" s="35">
        <f t="shared" si="238"/>
        <v>0</v>
      </c>
      <c r="Z577" s="35">
        <f t="shared" si="238"/>
        <v>0</v>
      </c>
      <c r="AA577" s="35">
        <f t="shared" si="238"/>
        <v>0</v>
      </c>
    </row>
    <row r="578" spans="2:27" x14ac:dyDescent="0.2">
      <c r="B578" s="2">
        <v>576</v>
      </c>
      <c r="C578" s="2" t="str">
        <f t="shared" si="229"/>
        <v>c</v>
      </c>
      <c r="D578" s="29" t="s">
        <v>1</v>
      </c>
      <c r="E578" s="29" t="s">
        <v>219</v>
      </c>
      <c r="F578" s="2" t="s">
        <v>184</v>
      </c>
      <c r="G578" s="2">
        <f t="shared" si="222"/>
        <v>8</v>
      </c>
      <c r="H578" s="2" t="str">
        <f t="shared" si="214"/>
        <v>--</v>
      </c>
      <c r="I578" s="38">
        <f t="shared" si="215"/>
        <v>0</v>
      </c>
      <c r="J578" s="33">
        <f t="shared" si="236"/>
        <v>162</v>
      </c>
      <c r="K578" s="33">
        <f t="shared" si="237"/>
        <v>0</v>
      </c>
      <c r="L578" s="33">
        <f t="shared" si="237"/>
        <v>0</v>
      </c>
      <c r="M578" s="33">
        <f t="shared" si="237"/>
        <v>0</v>
      </c>
      <c r="N578" s="33">
        <f t="shared" si="237"/>
        <v>0</v>
      </c>
      <c r="O578" s="33">
        <f t="shared" si="237"/>
        <v>0</v>
      </c>
      <c r="P578" s="33">
        <f t="shared" si="237"/>
        <v>0</v>
      </c>
      <c r="Q578" s="33">
        <f t="shared" si="237"/>
        <v>0</v>
      </c>
      <c r="R578" s="35">
        <f t="shared" si="216"/>
        <v>0</v>
      </c>
      <c r="S578" s="35">
        <f t="shared" si="217"/>
        <v>0</v>
      </c>
      <c r="T578" s="35">
        <f t="shared" si="218"/>
        <v>0</v>
      </c>
      <c r="U578" s="35">
        <f t="shared" si="238"/>
        <v>0</v>
      </c>
      <c r="V578" s="35">
        <f t="shared" si="238"/>
        <v>0</v>
      </c>
      <c r="W578" s="35">
        <f t="shared" si="238"/>
        <v>0</v>
      </c>
      <c r="X578" s="35">
        <f t="shared" si="238"/>
        <v>0</v>
      </c>
      <c r="Y578" s="35">
        <f t="shared" si="238"/>
        <v>0</v>
      </c>
      <c r="Z578" s="35">
        <f t="shared" si="238"/>
        <v>0</v>
      </c>
      <c r="AA578" s="35">
        <f t="shared" si="238"/>
        <v>0</v>
      </c>
    </row>
    <row r="579" spans="2:27" x14ac:dyDescent="0.2">
      <c r="B579" s="2">
        <v>577</v>
      </c>
      <c r="C579" s="2" t="str">
        <f t="shared" si="229"/>
        <v>s</v>
      </c>
      <c r="D579" s="29" t="s">
        <v>1</v>
      </c>
      <c r="E579" s="29" t="s">
        <v>227</v>
      </c>
      <c r="F579" s="2" t="s">
        <v>228</v>
      </c>
      <c r="G579" s="2">
        <f t="shared" si="222"/>
        <v>1</v>
      </c>
      <c r="H579" s="2" t="str">
        <f t="shared" ref="H579:H642" si="239">IF(C579="c","--",VLOOKUP(F579,role_property_weight,17,FALSE))</f>
        <v>神圣</v>
      </c>
      <c r="I579" s="38">
        <f t="shared" si="215"/>
        <v>0.08</v>
      </c>
      <c r="J579" s="33">
        <f t="shared" si="236"/>
        <v>24</v>
      </c>
      <c r="K579" s="33">
        <f t="shared" si="237"/>
        <v>24</v>
      </c>
      <c r="L579" s="33">
        <f t="shared" si="237"/>
        <v>3</v>
      </c>
      <c r="M579" s="33">
        <f t="shared" si="237"/>
        <v>17</v>
      </c>
      <c r="N579" s="33">
        <f t="shared" si="237"/>
        <v>13</v>
      </c>
      <c r="O579" s="33">
        <f t="shared" si="237"/>
        <v>13</v>
      </c>
      <c r="P579" s="33">
        <f t="shared" si="237"/>
        <v>7</v>
      </c>
      <c r="Q579" s="33">
        <f t="shared" si="237"/>
        <v>6</v>
      </c>
      <c r="R579" s="35">
        <f t="shared" si="216"/>
        <v>1.2E-2</v>
      </c>
      <c r="S579" s="35">
        <f t="shared" si="217"/>
        <v>1.3999999999999999E-2</v>
      </c>
      <c r="T579" s="35">
        <f t="shared" si="218"/>
        <v>7.4999999999999997E-3</v>
      </c>
      <c r="U579" s="35">
        <f t="shared" si="238"/>
        <v>1.4778325123152691E-2</v>
      </c>
      <c r="V579" s="35">
        <f t="shared" si="238"/>
        <v>1.4778325123152691E-2</v>
      </c>
      <c r="W579" s="35">
        <f t="shared" si="238"/>
        <v>1.4778325123152691E-2</v>
      </c>
      <c r="X579" s="35">
        <f t="shared" si="238"/>
        <v>1.4778325123152691E-2</v>
      </c>
      <c r="Y579" s="35">
        <f t="shared" si="238"/>
        <v>9.5022624434389136E-2</v>
      </c>
      <c r="Z579" s="35">
        <f t="shared" si="238"/>
        <v>1.4778325123152691E-2</v>
      </c>
      <c r="AA579" s="35">
        <f t="shared" si="238"/>
        <v>1.4778325123152691E-2</v>
      </c>
    </row>
    <row r="580" spans="2:27" x14ac:dyDescent="0.2">
      <c r="B580" s="2">
        <v>578</v>
      </c>
      <c r="C580" s="2" t="str">
        <f t="shared" si="229"/>
        <v>s</v>
      </c>
      <c r="D580" s="29" t="s">
        <v>1</v>
      </c>
      <c r="E580" s="29" t="s">
        <v>227</v>
      </c>
      <c r="F580" s="2" t="s">
        <v>228</v>
      </c>
      <c r="G580" s="2">
        <f t="shared" si="222"/>
        <v>2</v>
      </c>
      <c r="H580" s="2" t="str">
        <f t="shared" si="239"/>
        <v>神圣</v>
      </c>
      <c r="I580" s="38">
        <f t="shared" ref="I580:I642" si="240">IF(H580="--",0,IF((SUM(J580:Q580)/35)%&lt;8%,8%,(SUM(J580:Q580)/35)%))</f>
        <v>0.08</v>
      </c>
      <c r="J580" s="33">
        <f t="shared" si="236"/>
        <v>48</v>
      </c>
      <c r="K580" s="33">
        <f t="shared" si="237"/>
        <v>49</v>
      </c>
      <c r="L580" s="33">
        <f t="shared" si="237"/>
        <v>7</v>
      </c>
      <c r="M580" s="33">
        <f t="shared" si="237"/>
        <v>34</v>
      </c>
      <c r="N580" s="33">
        <f t="shared" si="237"/>
        <v>27</v>
      </c>
      <c r="O580" s="33">
        <f t="shared" si="237"/>
        <v>27</v>
      </c>
      <c r="P580" s="33">
        <f t="shared" si="237"/>
        <v>15</v>
      </c>
      <c r="Q580" s="33">
        <f t="shared" si="237"/>
        <v>13</v>
      </c>
      <c r="R580" s="35">
        <f t="shared" ref="R580:R642" si="241">(Q580/5)%</f>
        <v>2.6000000000000002E-2</v>
      </c>
      <c r="S580" s="35">
        <f t="shared" ref="S580:S642" si="242">(P580/5)%</f>
        <v>0.03</v>
      </c>
      <c r="T580" s="35">
        <f t="shared" ref="T580:T642" si="243">(Q580/8)%</f>
        <v>1.6250000000000001E-2</v>
      </c>
      <c r="U580" s="35">
        <f t="shared" si="238"/>
        <v>3.3816425120772986E-2</v>
      </c>
      <c r="V580" s="35">
        <f t="shared" si="238"/>
        <v>3.3816425120772986E-2</v>
      </c>
      <c r="W580" s="35">
        <f t="shared" si="238"/>
        <v>3.3816425120772986E-2</v>
      </c>
      <c r="X580" s="35">
        <f t="shared" si="238"/>
        <v>3.3816425120772986E-2</v>
      </c>
      <c r="Y580" s="35">
        <f t="shared" si="238"/>
        <v>0.17012448132780078</v>
      </c>
      <c r="Z580" s="35">
        <f t="shared" si="238"/>
        <v>3.3816425120772986E-2</v>
      </c>
      <c r="AA580" s="35">
        <f t="shared" si="238"/>
        <v>3.3816425120772986E-2</v>
      </c>
    </row>
    <row r="581" spans="2:27" x14ac:dyDescent="0.2">
      <c r="B581" s="2">
        <v>579</v>
      </c>
      <c r="C581" s="2" t="str">
        <f t="shared" si="229"/>
        <v>s</v>
      </c>
      <c r="D581" s="29" t="s">
        <v>1</v>
      </c>
      <c r="E581" s="29" t="s">
        <v>227</v>
      </c>
      <c r="F581" s="2" t="s">
        <v>228</v>
      </c>
      <c r="G581" s="2">
        <f t="shared" si="222"/>
        <v>3</v>
      </c>
      <c r="H581" s="2" t="str">
        <f t="shared" si="239"/>
        <v>神圣</v>
      </c>
      <c r="I581" s="38">
        <f t="shared" si="240"/>
        <v>9.4857142857142862E-2</v>
      </c>
      <c r="J581" s="33">
        <f t="shared" si="236"/>
        <v>72</v>
      </c>
      <c r="K581" s="33">
        <f t="shared" si="237"/>
        <v>74</v>
      </c>
      <c r="L581" s="33">
        <f t="shared" si="237"/>
        <v>11</v>
      </c>
      <c r="M581" s="33">
        <f t="shared" si="237"/>
        <v>51</v>
      </c>
      <c r="N581" s="33">
        <f t="shared" si="237"/>
        <v>41</v>
      </c>
      <c r="O581" s="33">
        <f t="shared" si="237"/>
        <v>41</v>
      </c>
      <c r="P581" s="33">
        <f t="shared" si="237"/>
        <v>22</v>
      </c>
      <c r="Q581" s="33">
        <f t="shared" si="237"/>
        <v>20</v>
      </c>
      <c r="R581" s="35">
        <f t="shared" si="241"/>
        <v>0.04</v>
      </c>
      <c r="S581" s="35">
        <f t="shared" si="242"/>
        <v>4.4000000000000004E-2</v>
      </c>
      <c r="T581" s="35">
        <f t="shared" si="243"/>
        <v>2.5000000000000001E-2</v>
      </c>
      <c r="U581" s="35">
        <f t="shared" si="238"/>
        <v>4.7619047619047672E-2</v>
      </c>
      <c r="V581" s="35">
        <f t="shared" si="238"/>
        <v>4.7619047619047672E-2</v>
      </c>
      <c r="W581" s="35">
        <f t="shared" si="238"/>
        <v>4.7619047619047672E-2</v>
      </c>
      <c r="X581" s="35">
        <f t="shared" si="238"/>
        <v>4.7619047619047672E-2</v>
      </c>
      <c r="Y581" s="35">
        <f t="shared" si="238"/>
        <v>0.23664122137404575</v>
      </c>
      <c r="Z581" s="35">
        <f t="shared" si="238"/>
        <v>4.7619047619047672E-2</v>
      </c>
      <c r="AA581" s="35">
        <f t="shared" si="238"/>
        <v>4.7619047619047672E-2</v>
      </c>
    </row>
    <row r="582" spans="2:27" x14ac:dyDescent="0.2">
      <c r="B582" s="2">
        <v>580</v>
      </c>
      <c r="C582" s="2" t="str">
        <f t="shared" si="229"/>
        <v>s</v>
      </c>
      <c r="D582" s="29" t="s">
        <v>1</v>
      </c>
      <c r="E582" s="29" t="s">
        <v>227</v>
      </c>
      <c r="F582" s="2" t="s">
        <v>228</v>
      </c>
      <c r="G582" s="2">
        <f t="shared" si="222"/>
        <v>4</v>
      </c>
      <c r="H582" s="2" t="str">
        <f t="shared" si="239"/>
        <v>神圣</v>
      </c>
      <c r="I582" s="38">
        <f t="shared" si="240"/>
        <v>0.12685714285714286</v>
      </c>
      <c r="J582" s="33">
        <f t="shared" si="236"/>
        <v>96</v>
      </c>
      <c r="K582" s="33">
        <f t="shared" si="237"/>
        <v>98</v>
      </c>
      <c r="L582" s="33">
        <f t="shared" si="237"/>
        <v>14</v>
      </c>
      <c r="M582" s="33">
        <f t="shared" si="237"/>
        <v>69</v>
      </c>
      <c r="N582" s="33">
        <f t="shared" si="237"/>
        <v>55</v>
      </c>
      <c r="O582" s="33">
        <f t="shared" si="237"/>
        <v>55</v>
      </c>
      <c r="P582" s="33">
        <f t="shared" si="237"/>
        <v>30</v>
      </c>
      <c r="Q582" s="33">
        <f t="shared" si="237"/>
        <v>27</v>
      </c>
      <c r="R582" s="35">
        <f t="shared" si="241"/>
        <v>5.4000000000000006E-2</v>
      </c>
      <c r="S582" s="35">
        <f t="shared" si="242"/>
        <v>0.06</v>
      </c>
      <c r="T582" s="35">
        <f t="shared" si="243"/>
        <v>3.3750000000000002E-2</v>
      </c>
      <c r="U582" s="35">
        <f t="shared" si="238"/>
        <v>6.5420560747663559E-2</v>
      </c>
      <c r="V582" s="35">
        <f t="shared" si="238"/>
        <v>6.5420560747663559E-2</v>
      </c>
      <c r="W582" s="35">
        <f t="shared" si="238"/>
        <v>6.5420560747663559E-2</v>
      </c>
      <c r="X582" s="35">
        <f t="shared" si="238"/>
        <v>6.5420560747663559E-2</v>
      </c>
      <c r="Y582" s="35">
        <f t="shared" si="238"/>
        <v>0.29328621908127206</v>
      </c>
      <c r="Z582" s="35">
        <f t="shared" si="238"/>
        <v>6.5420560747663559E-2</v>
      </c>
      <c r="AA582" s="35">
        <f t="shared" si="238"/>
        <v>6.5420560747663559E-2</v>
      </c>
    </row>
    <row r="583" spans="2:27" x14ac:dyDescent="0.2">
      <c r="B583" s="2">
        <v>581</v>
      </c>
      <c r="C583" s="2" t="str">
        <f t="shared" si="229"/>
        <v>s</v>
      </c>
      <c r="D583" s="29" t="s">
        <v>1</v>
      </c>
      <c r="E583" s="29" t="s">
        <v>227</v>
      </c>
      <c r="F583" s="2" t="s">
        <v>228</v>
      </c>
      <c r="G583" s="2">
        <f t="shared" si="222"/>
        <v>5</v>
      </c>
      <c r="H583" s="2" t="str">
        <f t="shared" si="239"/>
        <v>神圣</v>
      </c>
      <c r="I583" s="38">
        <f t="shared" si="240"/>
        <v>0.15914285714285714</v>
      </c>
      <c r="J583" s="33">
        <f t="shared" ref="J583:J592" si="244">INT((1+VLOOKUP($F583,role_property_weight,getpos(J$2),FALSE))*(1+VLOOKUP($F583,drop_property_weight,getpos(J$2),FALSE))*VLOOKUP($E583,role_grow,getpos(J$2),FALSE)*$G583*10*VLOOKUP($C583,drop_grow1,4,FALSE))</f>
        <v>120</v>
      </c>
      <c r="K583" s="33">
        <f t="shared" ref="K583:Q592" si="245">INT((1+VLOOKUP($F583,role_property_weight,getpos(K$2),FALSE))*(1+VLOOKUP($F583,drop_property_weight,getpos(K$2),FALSE))*VLOOKUP($E583,role_grow,getpos(K$2),FALSE)*$G583*10*VLOOKUP($C583,drop_grow1,5,FALSE))</f>
        <v>123</v>
      </c>
      <c r="L583" s="33">
        <f t="shared" si="245"/>
        <v>18</v>
      </c>
      <c r="M583" s="33">
        <f t="shared" si="245"/>
        <v>86</v>
      </c>
      <c r="N583" s="33">
        <f t="shared" si="245"/>
        <v>69</v>
      </c>
      <c r="O583" s="33">
        <f t="shared" si="245"/>
        <v>69</v>
      </c>
      <c r="P583" s="33">
        <f t="shared" si="245"/>
        <v>38</v>
      </c>
      <c r="Q583" s="33">
        <f t="shared" si="245"/>
        <v>34</v>
      </c>
      <c r="R583" s="35">
        <f t="shared" si="241"/>
        <v>6.8000000000000005E-2</v>
      </c>
      <c r="S583" s="35">
        <f t="shared" si="242"/>
        <v>7.5999999999999998E-2</v>
      </c>
      <c r="T583" s="35">
        <f t="shared" si="243"/>
        <v>4.2500000000000003E-2</v>
      </c>
      <c r="U583" s="35">
        <f t="shared" ref="U583:AA592" si="246">1-200/(200+ROUND((1+VLOOKUP($F583,role_property_weight,getpos(U$2),FALSE))*VLOOKUP($E583,role_grow,getpos(U$2),FALSE)*$G583*10*VLOOKUP($C583,drop_grow1,5,FALSE),0))</f>
        <v>7.8341013824884786E-2</v>
      </c>
      <c r="V583" s="35">
        <f t="shared" si="246"/>
        <v>7.8341013824884786E-2</v>
      </c>
      <c r="W583" s="35">
        <f t="shared" si="246"/>
        <v>7.8341013824884786E-2</v>
      </c>
      <c r="X583" s="35">
        <f t="shared" si="246"/>
        <v>7.8341013824884786E-2</v>
      </c>
      <c r="Y583" s="35">
        <f t="shared" si="246"/>
        <v>0.34210526315789469</v>
      </c>
      <c r="Z583" s="35">
        <f t="shared" si="246"/>
        <v>7.8341013824884786E-2</v>
      </c>
      <c r="AA583" s="35">
        <f t="shared" si="246"/>
        <v>7.8341013824884786E-2</v>
      </c>
    </row>
    <row r="584" spans="2:27" x14ac:dyDescent="0.2">
      <c r="B584" s="2">
        <v>582</v>
      </c>
      <c r="C584" s="2" t="str">
        <f t="shared" si="229"/>
        <v>s</v>
      </c>
      <c r="D584" s="29" t="s">
        <v>1</v>
      </c>
      <c r="E584" s="29" t="s">
        <v>227</v>
      </c>
      <c r="F584" s="2" t="s">
        <v>228</v>
      </c>
      <c r="G584" s="2">
        <f t="shared" si="222"/>
        <v>6</v>
      </c>
      <c r="H584" s="2" t="str">
        <f t="shared" si="239"/>
        <v>神圣</v>
      </c>
      <c r="I584" s="38">
        <f t="shared" si="240"/>
        <v>0.19085714285714286</v>
      </c>
      <c r="J584" s="33">
        <f t="shared" si="244"/>
        <v>145</v>
      </c>
      <c r="K584" s="33">
        <f t="shared" si="245"/>
        <v>148</v>
      </c>
      <c r="L584" s="33">
        <f t="shared" si="245"/>
        <v>22</v>
      </c>
      <c r="M584" s="33">
        <f t="shared" si="245"/>
        <v>103</v>
      </c>
      <c r="N584" s="33">
        <f t="shared" si="245"/>
        <v>82</v>
      </c>
      <c r="O584" s="33">
        <f t="shared" si="245"/>
        <v>82</v>
      </c>
      <c r="P584" s="33">
        <f t="shared" si="245"/>
        <v>45</v>
      </c>
      <c r="Q584" s="33">
        <f t="shared" si="245"/>
        <v>41</v>
      </c>
      <c r="R584" s="35">
        <f t="shared" si="241"/>
        <v>8.199999999999999E-2</v>
      </c>
      <c r="S584" s="35">
        <f t="shared" si="242"/>
        <v>0.09</v>
      </c>
      <c r="T584" s="35">
        <f t="shared" si="243"/>
        <v>5.1249999999999997E-2</v>
      </c>
      <c r="U584" s="35">
        <f t="shared" si="246"/>
        <v>9.5022624434389136E-2</v>
      </c>
      <c r="V584" s="35">
        <f t="shared" si="246"/>
        <v>9.5022624434389136E-2</v>
      </c>
      <c r="W584" s="35">
        <f t="shared" si="246"/>
        <v>9.5022624434389136E-2</v>
      </c>
      <c r="X584" s="35">
        <f t="shared" si="246"/>
        <v>9.5022624434389136E-2</v>
      </c>
      <c r="Y584" s="35">
        <f t="shared" si="246"/>
        <v>0.38271604938271608</v>
      </c>
      <c r="Z584" s="35">
        <f t="shared" si="246"/>
        <v>9.5022624434389136E-2</v>
      </c>
      <c r="AA584" s="35">
        <f t="shared" si="246"/>
        <v>9.5022624434389136E-2</v>
      </c>
    </row>
    <row r="585" spans="2:27" x14ac:dyDescent="0.2">
      <c r="B585" s="2">
        <v>583</v>
      </c>
      <c r="C585" s="2" t="str">
        <f t="shared" si="229"/>
        <v>s</v>
      </c>
      <c r="D585" s="29" t="s">
        <v>1</v>
      </c>
      <c r="E585" s="29" t="s">
        <v>227</v>
      </c>
      <c r="F585" s="2" t="s">
        <v>228</v>
      </c>
      <c r="G585" s="2">
        <f t="shared" si="222"/>
        <v>7</v>
      </c>
      <c r="H585" s="2" t="str">
        <f t="shared" si="239"/>
        <v>神圣</v>
      </c>
      <c r="I585" s="38">
        <f t="shared" si="240"/>
        <v>0.22285714285714284</v>
      </c>
      <c r="J585" s="33">
        <f t="shared" si="244"/>
        <v>169</v>
      </c>
      <c r="K585" s="33">
        <f t="shared" si="245"/>
        <v>172</v>
      </c>
      <c r="L585" s="33">
        <f t="shared" si="245"/>
        <v>26</v>
      </c>
      <c r="M585" s="33">
        <f t="shared" si="245"/>
        <v>120</v>
      </c>
      <c r="N585" s="33">
        <f t="shared" si="245"/>
        <v>96</v>
      </c>
      <c r="O585" s="33">
        <f t="shared" si="245"/>
        <v>96</v>
      </c>
      <c r="P585" s="33">
        <f t="shared" si="245"/>
        <v>53</v>
      </c>
      <c r="Q585" s="33">
        <f t="shared" si="245"/>
        <v>48</v>
      </c>
      <c r="R585" s="35">
        <f t="shared" si="241"/>
        <v>9.6000000000000002E-2</v>
      </c>
      <c r="S585" s="35">
        <f t="shared" si="242"/>
        <v>0.106</v>
      </c>
      <c r="T585" s="35">
        <f t="shared" si="243"/>
        <v>0.06</v>
      </c>
      <c r="U585" s="35">
        <f t="shared" si="246"/>
        <v>0.1071428571428571</v>
      </c>
      <c r="V585" s="35">
        <f t="shared" si="246"/>
        <v>0.1071428571428571</v>
      </c>
      <c r="W585" s="35">
        <f t="shared" si="246"/>
        <v>0.1071428571428571</v>
      </c>
      <c r="X585" s="35">
        <f t="shared" si="246"/>
        <v>0.1071428571428571</v>
      </c>
      <c r="Y585" s="35">
        <f t="shared" si="246"/>
        <v>0.42028985507246375</v>
      </c>
      <c r="Z585" s="35">
        <f t="shared" si="246"/>
        <v>0.1071428571428571</v>
      </c>
      <c r="AA585" s="35">
        <f t="shared" si="246"/>
        <v>0.1071428571428571</v>
      </c>
    </row>
    <row r="586" spans="2:27" x14ac:dyDescent="0.2">
      <c r="B586" s="2">
        <v>584</v>
      </c>
      <c r="C586" s="2" t="str">
        <f t="shared" si="229"/>
        <v>s</v>
      </c>
      <c r="D586" s="29" t="s">
        <v>1</v>
      </c>
      <c r="E586" s="29" t="s">
        <v>227</v>
      </c>
      <c r="F586" s="2" t="s">
        <v>228</v>
      </c>
      <c r="G586" s="2">
        <f t="shared" si="222"/>
        <v>8</v>
      </c>
      <c r="H586" s="2" t="str">
        <f t="shared" si="239"/>
        <v>神圣</v>
      </c>
      <c r="I586" s="38">
        <f t="shared" si="240"/>
        <v>0.25485714285714284</v>
      </c>
      <c r="J586" s="33">
        <f t="shared" si="244"/>
        <v>193</v>
      </c>
      <c r="K586" s="33">
        <f t="shared" si="245"/>
        <v>197</v>
      </c>
      <c r="L586" s="33">
        <f t="shared" si="245"/>
        <v>29</v>
      </c>
      <c r="M586" s="33">
        <f t="shared" si="245"/>
        <v>138</v>
      </c>
      <c r="N586" s="33">
        <f t="shared" si="245"/>
        <v>110</v>
      </c>
      <c r="O586" s="33">
        <f t="shared" si="245"/>
        <v>110</v>
      </c>
      <c r="P586" s="33">
        <f t="shared" si="245"/>
        <v>60</v>
      </c>
      <c r="Q586" s="33">
        <f t="shared" si="245"/>
        <v>55</v>
      </c>
      <c r="R586" s="35">
        <f t="shared" si="241"/>
        <v>0.11</v>
      </c>
      <c r="S586" s="35">
        <f t="shared" si="242"/>
        <v>0.12</v>
      </c>
      <c r="T586" s="35">
        <f t="shared" si="243"/>
        <v>6.8750000000000006E-2</v>
      </c>
      <c r="U586" s="35">
        <f t="shared" si="246"/>
        <v>0.1228070175438597</v>
      </c>
      <c r="V586" s="35">
        <f t="shared" si="246"/>
        <v>0.1228070175438597</v>
      </c>
      <c r="W586" s="35">
        <f t="shared" si="246"/>
        <v>0.1228070175438597</v>
      </c>
      <c r="X586" s="35">
        <f t="shared" si="246"/>
        <v>0.1228070175438597</v>
      </c>
      <c r="Y586" s="35">
        <f t="shared" si="246"/>
        <v>0.45355191256830596</v>
      </c>
      <c r="Z586" s="35">
        <f t="shared" si="246"/>
        <v>0.1228070175438597</v>
      </c>
      <c r="AA586" s="35">
        <f t="shared" si="246"/>
        <v>0.1228070175438597</v>
      </c>
    </row>
    <row r="587" spans="2:27" x14ac:dyDescent="0.2">
      <c r="B587" s="2">
        <v>585</v>
      </c>
      <c r="C587" s="2" t="str">
        <f t="shared" si="229"/>
        <v>a</v>
      </c>
      <c r="D587" s="29" t="s">
        <v>1</v>
      </c>
      <c r="E587" s="29" t="s">
        <v>227</v>
      </c>
      <c r="F587" s="2" t="s">
        <v>228</v>
      </c>
      <c r="G587" s="2">
        <f t="shared" si="222"/>
        <v>1</v>
      </c>
      <c r="H587" s="2" t="str">
        <f t="shared" si="239"/>
        <v>神圣</v>
      </c>
      <c r="I587" s="38">
        <f t="shared" si="240"/>
        <v>0.08</v>
      </c>
      <c r="J587" s="33">
        <f t="shared" si="244"/>
        <v>18</v>
      </c>
      <c r="K587" s="33">
        <f t="shared" si="245"/>
        <v>27</v>
      </c>
      <c r="L587" s="33">
        <f t="shared" si="245"/>
        <v>4</v>
      </c>
      <c r="M587" s="33">
        <f t="shared" si="245"/>
        <v>19</v>
      </c>
      <c r="N587" s="33">
        <f t="shared" si="245"/>
        <v>15</v>
      </c>
      <c r="O587" s="33">
        <f t="shared" si="245"/>
        <v>15</v>
      </c>
      <c r="P587" s="33">
        <f t="shared" si="245"/>
        <v>8</v>
      </c>
      <c r="Q587" s="33">
        <f t="shared" si="245"/>
        <v>7</v>
      </c>
      <c r="R587" s="35">
        <f t="shared" si="241"/>
        <v>1.3999999999999999E-2</v>
      </c>
      <c r="S587" s="35">
        <f t="shared" si="242"/>
        <v>1.6E-2</v>
      </c>
      <c r="T587" s="35">
        <f t="shared" si="243"/>
        <v>8.7500000000000008E-3</v>
      </c>
      <c r="U587" s="35">
        <f t="shared" si="246"/>
        <v>1.9607843137254943E-2</v>
      </c>
      <c r="V587" s="35">
        <f t="shared" si="246"/>
        <v>1.9607843137254943E-2</v>
      </c>
      <c r="W587" s="35">
        <f t="shared" si="246"/>
        <v>1.9607843137254943E-2</v>
      </c>
      <c r="X587" s="35">
        <f t="shared" si="246"/>
        <v>1.9607843137254943E-2</v>
      </c>
      <c r="Y587" s="35">
        <f t="shared" si="246"/>
        <v>0.10313901345291476</v>
      </c>
      <c r="Z587" s="35">
        <f t="shared" si="246"/>
        <v>1.9607843137254943E-2</v>
      </c>
      <c r="AA587" s="35">
        <f t="shared" si="246"/>
        <v>1.9607843137254943E-2</v>
      </c>
    </row>
    <row r="588" spans="2:27" x14ac:dyDescent="0.2">
      <c r="B588" s="2">
        <v>586</v>
      </c>
      <c r="C588" s="2" t="str">
        <f t="shared" si="229"/>
        <v>a</v>
      </c>
      <c r="D588" s="29" t="s">
        <v>1</v>
      </c>
      <c r="E588" s="29" t="s">
        <v>227</v>
      </c>
      <c r="F588" s="2" t="s">
        <v>228</v>
      </c>
      <c r="G588" s="2">
        <f t="shared" ref="G588:G642" si="247">G580</f>
        <v>2</v>
      </c>
      <c r="H588" s="2" t="str">
        <f t="shared" si="239"/>
        <v>神圣</v>
      </c>
      <c r="I588" s="38">
        <f t="shared" si="240"/>
        <v>0.08</v>
      </c>
      <c r="J588" s="33">
        <f t="shared" si="244"/>
        <v>36</v>
      </c>
      <c r="K588" s="33">
        <f t="shared" si="245"/>
        <v>54</v>
      </c>
      <c r="L588" s="33">
        <f t="shared" si="245"/>
        <v>8</v>
      </c>
      <c r="M588" s="33">
        <f t="shared" si="245"/>
        <v>38</v>
      </c>
      <c r="N588" s="33">
        <f t="shared" si="245"/>
        <v>30</v>
      </c>
      <c r="O588" s="33">
        <f t="shared" si="245"/>
        <v>30</v>
      </c>
      <c r="P588" s="33">
        <f t="shared" si="245"/>
        <v>16</v>
      </c>
      <c r="Q588" s="33">
        <f t="shared" si="245"/>
        <v>15</v>
      </c>
      <c r="R588" s="35">
        <f t="shared" si="241"/>
        <v>0.03</v>
      </c>
      <c r="S588" s="35">
        <f t="shared" si="242"/>
        <v>3.2000000000000001E-2</v>
      </c>
      <c r="T588" s="35">
        <f t="shared" si="243"/>
        <v>1.8749999999999999E-2</v>
      </c>
      <c r="U588" s="35">
        <f t="shared" si="246"/>
        <v>3.8461538461538436E-2</v>
      </c>
      <c r="V588" s="35">
        <f t="shared" si="246"/>
        <v>3.8461538461538436E-2</v>
      </c>
      <c r="W588" s="35">
        <f t="shared" si="246"/>
        <v>3.8461538461538436E-2</v>
      </c>
      <c r="X588" s="35">
        <f t="shared" si="246"/>
        <v>3.8461538461538436E-2</v>
      </c>
      <c r="Y588" s="35">
        <f t="shared" si="246"/>
        <v>0.18699186991869921</v>
      </c>
      <c r="Z588" s="35">
        <f t="shared" si="246"/>
        <v>3.8461538461538436E-2</v>
      </c>
      <c r="AA588" s="35">
        <f t="shared" si="246"/>
        <v>3.8461538461538436E-2</v>
      </c>
    </row>
    <row r="589" spans="2:27" x14ac:dyDescent="0.2">
      <c r="B589" s="2">
        <v>587</v>
      </c>
      <c r="C589" s="2" t="str">
        <f t="shared" si="229"/>
        <v>a</v>
      </c>
      <c r="D589" s="29" t="s">
        <v>1</v>
      </c>
      <c r="E589" s="29" t="s">
        <v>227</v>
      </c>
      <c r="F589" s="2" t="s">
        <v>228</v>
      </c>
      <c r="G589" s="2">
        <f t="shared" si="247"/>
        <v>3</v>
      </c>
      <c r="H589" s="2" t="str">
        <f t="shared" si="239"/>
        <v>神圣</v>
      </c>
      <c r="I589" s="38">
        <f t="shared" si="240"/>
        <v>9.8571428571428574E-2</v>
      </c>
      <c r="J589" s="33">
        <f t="shared" si="244"/>
        <v>54</v>
      </c>
      <c r="K589" s="33">
        <f t="shared" si="245"/>
        <v>82</v>
      </c>
      <c r="L589" s="33">
        <f t="shared" si="245"/>
        <v>12</v>
      </c>
      <c r="M589" s="33">
        <f t="shared" si="245"/>
        <v>57</v>
      </c>
      <c r="N589" s="33">
        <f t="shared" si="245"/>
        <v>46</v>
      </c>
      <c r="O589" s="33">
        <f t="shared" si="245"/>
        <v>46</v>
      </c>
      <c r="P589" s="33">
        <f t="shared" si="245"/>
        <v>25</v>
      </c>
      <c r="Q589" s="33">
        <f t="shared" si="245"/>
        <v>23</v>
      </c>
      <c r="R589" s="35">
        <f t="shared" si="241"/>
        <v>4.5999999999999999E-2</v>
      </c>
      <c r="S589" s="35">
        <f t="shared" si="242"/>
        <v>0.05</v>
      </c>
      <c r="T589" s="35">
        <f t="shared" si="243"/>
        <v>2.8750000000000001E-2</v>
      </c>
      <c r="U589" s="35">
        <f t="shared" si="246"/>
        <v>5.6603773584905648E-2</v>
      </c>
      <c r="V589" s="35">
        <f t="shared" si="246"/>
        <v>5.6603773584905648E-2</v>
      </c>
      <c r="W589" s="35">
        <f t="shared" si="246"/>
        <v>5.6603773584905648E-2</v>
      </c>
      <c r="X589" s="35">
        <f t="shared" si="246"/>
        <v>5.6603773584905648E-2</v>
      </c>
      <c r="Y589" s="35">
        <f t="shared" si="246"/>
        <v>0.25650557620817849</v>
      </c>
      <c r="Z589" s="35">
        <f t="shared" si="246"/>
        <v>5.6603773584905648E-2</v>
      </c>
      <c r="AA589" s="35">
        <f t="shared" si="246"/>
        <v>5.6603773584905648E-2</v>
      </c>
    </row>
    <row r="590" spans="2:27" x14ac:dyDescent="0.2">
      <c r="B590" s="2">
        <v>588</v>
      </c>
      <c r="C590" s="2" t="str">
        <f t="shared" si="229"/>
        <v>a</v>
      </c>
      <c r="D590" s="29" t="s">
        <v>1</v>
      </c>
      <c r="E590" s="29" t="s">
        <v>227</v>
      </c>
      <c r="F590" s="2" t="s">
        <v>228</v>
      </c>
      <c r="G590" s="2">
        <f t="shared" si="247"/>
        <v>4</v>
      </c>
      <c r="H590" s="2" t="str">
        <f t="shared" si="239"/>
        <v>神圣</v>
      </c>
      <c r="I590" s="38">
        <f t="shared" si="240"/>
        <v>0.13085714285714287</v>
      </c>
      <c r="J590" s="33">
        <f t="shared" si="244"/>
        <v>72</v>
      </c>
      <c r="K590" s="33">
        <f t="shared" si="245"/>
        <v>109</v>
      </c>
      <c r="L590" s="33">
        <f t="shared" si="245"/>
        <v>16</v>
      </c>
      <c r="M590" s="33">
        <f t="shared" si="245"/>
        <v>76</v>
      </c>
      <c r="N590" s="33">
        <f t="shared" si="245"/>
        <v>61</v>
      </c>
      <c r="O590" s="33">
        <f t="shared" si="245"/>
        <v>61</v>
      </c>
      <c r="P590" s="33">
        <f t="shared" si="245"/>
        <v>33</v>
      </c>
      <c r="Q590" s="33">
        <f t="shared" si="245"/>
        <v>30</v>
      </c>
      <c r="R590" s="35">
        <f t="shared" si="241"/>
        <v>0.06</v>
      </c>
      <c r="S590" s="35">
        <f t="shared" si="242"/>
        <v>6.6000000000000003E-2</v>
      </c>
      <c r="T590" s="35">
        <f t="shared" si="243"/>
        <v>3.7499999999999999E-2</v>
      </c>
      <c r="U590" s="35">
        <f t="shared" si="246"/>
        <v>6.9767441860465129E-2</v>
      </c>
      <c r="V590" s="35">
        <f t="shared" si="246"/>
        <v>6.9767441860465129E-2</v>
      </c>
      <c r="W590" s="35">
        <f t="shared" si="246"/>
        <v>6.9767441860465129E-2</v>
      </c>
      <c r="X590" s="35">
        <f t="shared" si="246"/>
        <v>6.9767441860465129E-2</v>
      </c>
      <c r="Y590" s="35">
        <f t="shared" si="246"/>
        <v>0.31506849315068497</v>
      </c>
      <c r="Z590" s="35">
        <f t="shared" si="246"/>
        <v>6.9767441860465129E-2</v>
      </c>
      <c r="AA590" s="35">
        <f t="shared" si="246"/>
        <v>6.9767441860465129E-2</v>
      </c>
    </row>
    <row r="591" spans="2:27" x14ac:dyDescent="0.2">
      <c r="B591" s="2">
        <v>589</v>
      </c>
      <c r="C591" s="2" t="str">
        <f t="shared" si="229"/>
        <v>a</v>
      </c>
      <c r="D591" s="29" t="s">
        <v>1</v>
      </c>
      <c r="E591" s="29" t="s">
        <v>227</v>
      </c>
      <c r="F591" s="2" t="s">
        <v>228</v>
      </c>
      <c r="G591" s="2">
        <f t="shared" si="247"/>
        <v>5</v>
      </c>
      <c r="H591" s="2" t="str">
        <f t="shared" si="239"/>
        <v>神圣</v>
      </c>
      <c r="I591" s="38">
        <f t="shared" si="240"/>
        <v>0.16428571428571426</v>
      </c>
      <c r="J591" s="33">
        <f t="shared" si="244"/>
        <v>90</v>
      </c>
      <c r="K591" s="33">
        <f t="shared" si="245"/>
        <v>137</v>
      </c>
      <c r="L591" s="33">
        <f t="shared" si="245"/>
        <v>20</v>
      </c>
      <c r="M591" s="33">
        <f t="shared" si="245"/>
        <v>96</v>
      </c>
      <c r="N591" s="33">
        <f t="shared" si="245"/>
        <v>76</v>
      </c>
      <c r="O591" s="33">
        <f t="shared" si="245"/>
        <v>76</v>
      </c>
      <c r="P591" s="33">
        <f t="shared" si="245"/>
        <v>42</v>
      </c>
      <c r="Q591" s="33">
        <f t="shared" si="245"/>
        <v>38</v>
      </c>
      <c r="R591" s="35">
        <f t="shared" si="241"/>
        <v>7.5999999999999998E-2</v>
      </c>
      <c r="S591" s="35">
        <f t="shared" si="242"/>
        <v>8.4000000000000005E-2</v>
      </c>
      <c r="T591" s="35">
        <f t="shared" si="243"/>
        <v>4.7500000000000001E-2</v>
      </c>
      <c r="U591" s="35">
        <f t="shared" si="246"/>
        <v>8.6757990867579959E-2</v>
      </c>
      <c r="V591" s="35">
        <f t="shared" si="246"/>
        <v>8.6757990867579959E-2</v>
      </c>
      <c r="W591" s="35">
        <f t="shared" si="246"/>
        <v>8.6757990867579959E-2</v>
      </c>
      <c r="X591" s="35">
        <f t="shared" si="246"/>
        <v>8.6757990867579959E-2</v>
      </c>
      <c r="Y591" s="35">
        <f t="shared" si="246"/>
        <v>0.36507936507936511</v>
      </c>
      <c r="Z591" s="35">
        <f t="shared" si="246"/>
        <v>8.6757990867579959E-2</v>
      </c>
      <c r="AA591" s="35">
        <f t="shared" si="246"/>
        <v>8.6757990867579959E-2</v>
      </c>
    </row>
    <row r="592" spans="2:27" x14ac:dyDescent="0.2">
      <c r="B592" s="2">
        <v>590</v>
      </c>
      <c r="C592" s="2" t="str">
        <f t="shared" si="229"/>
        <v>a</v>
      </c>
      <c r="D592" s="29" t="s">
        <v>1</v>
      </c>
      <c r="E592" s="29" t="s">
        <v>227</v>
      </c>
      <c r="F592" s="2" t="s">
        <v>228</v>
      </c>
      <c r="G592" s="2">
        <f t="shared" si="247"/>
        <v>6</v>
      </c>
      <c r="H592" s="2" t="str">
        <f t="shared" si="239"/>
        <v>神圣</v>
      </c>
      <c r="I592" s="38">
        <f t="shared" si="240"/>
        <v>0.19742857142857143</v>
      </c>
      <c r="J592" s="33">
        <f t="shared" si="244"/>
        <v>108</v>
      </c>
      <c r="K592" s="33">
        <f t="shared" si="245"/>
        <v>164</v>
      </c>
      <c r="L592" s="33">
        <f t="shared" si="245"/>
        <v>24</v>
      </c>
      <c r="M592" s="33">
        <f t="shared" si="245"/>
        <v>115</v>
      </c>
      <c r="N592" s="33">
        <f t="shared" si="245"/>
        <v>92</v>
      </c>
      <c r="O592" s="33">
        <f t="shared" si="245"/>
        <v>92</v>
      </c>
      <c r="P592" s="33">
        <f t="shared" si="245"/>
        <v>50</v>
      </c>
      <c r="Q592" s="33">
        <f t="shared" si="245"/>
        <v>46</v>
      </c>
      <c r="R592" s="35">
        <f t="shared" si="241"/>
        <v>9.1999999999999998E-2</v>
      </c>
      <c r="S592" s="35">
        <f t="shared" si="242"/>
        <v>0.1</v>
      </c>
      <c r="T592" s="35">
        <f t="shared" si="243"/>
        <v>5.7500000000000002E-2</v>
      </c>
      <c r="U592" s="35">
        <f t="shared" si="246"/>
        <v>0.10313901345291476</v>
      </c>
      <c r="V592" s="35">
        <f t="shared" si="246"/>
        <v>0.10313901345291476</v>
      </c>
      <c r="W592" s="35">
        <f t="shared" si="246"/>
        <v>0.10313901345291476</v>
      </c>
      <c r="X592" s="35">
        <f t="shared" si="246"/>
        <v>0.10313901345291476</v>
      </c>
      <c r="Y592" s="35">
        <f t="shared" si="246"/>
        <v>0.40828402366863903</v>
      </c>
      <c r="Z592" s="35">
        <f t="shared" si="246"/>
        <v>0.10313901345291476</v>
      </c>
      <c r="AA592" s="35">
        <f t="shared" si="246"/>
        <v>0.10313901345291476</v>
      </c>
    </row>
    <row r="593" spans="2:27" x14ac:dyDescent="0.2">
      <c r="B593" s="2">
        <v>591</v>
      </c>
      <c r="C593" s="2" t="str">
        <f t="shared" si="229"/>
        <v>a</v>
      </c>
      <c r="D593" s="29" t="s">
        <v>1</v>
      </c>
      <c r="E593" s="29" t="s">
        <v>227</v>
      </c>
      <c r="F593" s="2" t="s">
        <v>228</v>
      </c>
      <c r="G593" s="2">
        <f t="shared" si="247"/>
        <v>7</v>
      </c>
      <c r="H593" s="2" t="str">
        <f t="shared" si="239"/>
        <v>神圣</v>
      </c>
      <c r="I593" s="38">
        <f t="shared" si="240"/>
        <v>0.23085714285714284</v>
      </c>
      <c r="J593" s="33">
        <f t="shared" ref="J593:J602" si="248">INT((1+VLOOKUP($F593,role_property_weight,getpos(J$2),FALSE))*(1+VLOOKUP($F593,drop_property_weight,getpos(J$2),FALSE))*VLOOKUP($E593,role_grow,getpos(J$2),FALSE)*$G593*10*VLOOKUP($C593,drop_grow1,4,FALSE))</f>
        <v>127</v>
      </c>
      <c r="K593" s="33">
        <f t="shared" ref="K593:Q602" si="249">INT((1+VLOOKUP($F593,role_property_weight,getpos(K$2),FALSE))*(1+VLOOKUP($F593,drop_property_weight,getpos(K$2),FALSE))*VLOOKUP($E593,role_grow,getpos(K$2),FALSE)*$G593*10*VLOOKUP($C593,drop_grow1,5,FALSE))</f>
        <v>192</v>
      </c>
      <c r="L593" s="33">
        <f t="shared" si="249"/>
        <v>29</v>
      </c>
      <c r="M593" s="33">
        <f t="shared" si="249"/>
        <v>134</v>
      </c>
      <c r="N593" s="33">
        <f t="shared" si="249"/>
        <v>107</v>
      </c>
      <c r="O593" s="33">
        <f t="shared" si="249"/>
        <v>107</v>
      </c>
      <c r="P593" s="33">
        <f t="shared" si="249"/>
        <v>59</v>
      </c>
      <c r="Q593" s="33">
        <f t="shared" si="249"/>
        <v>53</v>
      </c>
      <c r="R593" s="35">
        <f t="shared" si="241"/>
        <v>0.106</v>
      </c>
      <c r="S593" s="35">
        <f t="shared" si="242"/>
        <v>0.11800000000000001</v>
      </c>
      <c r="T593" s="35">
        <f t="shared" si="243"/>
        <v>6.6250000000000003E-2</v>
      </c>
      <c r="U593" s="35">
        <f t="shared" ref="U593:AA602" si="250">1-200/(200+ROUND((1+VLOOKUP($F593,role_property_weight,getpos(U$2),FALSE))*VLOOKUP($E593,role_grow,getpos(U$2),FALSE)*$G593*10*VLOOKUP($C593,drop_grow1,5,FALSE),0))</f>
        <v>0.11894273127753308</v>
      </c>
      <c r="V593" s="35">
        <f t="shared" si="250"/>
        <v>0.11894273127753308</v>
      </c>
      <c r="W593" s="35">
        <f t="shared" si="250"/>
        <v>0.11894273127753308</v>
      </c>
      <c r="X593" s="35">
        <f t="shared" si="250"/>
        <v>0.11894273127753308</v>
      </c>
      <c r="Y593" s="35">
        <f t="shared" si="250"/>
        <v>0.445983379501385</v>
      </c>
      <c r="Z593" s="35">
        <f t="shared" si="250"/>
        <v>0.11894273127753308</v>
      </c>
      <c r="AA593" s="35">
        <f t="shared" si="250"/>
        <v>0.11894273127753308</v>
      </c>
    </row>
    <row r="594" spans="2:27" x14ac:dyDescent="0.2">
      <c r="B594" s="2">
        <v>592</v>
      </c>
      <c r="C594" s="2" t="str">
        <f t="shared" si="229"/>
        <v>a</v>
      </c>
      <c r="D594" s="29" t="s">
        <v>1</v>
      </c>
      <c r="E594" s="29" t="s">
        <v>227</v>
      </c>
      <c r="F594" s="2" t="s">
        <v>228</v>
      </c>
      <c r="G594" s="2">
        <f t="shared" si="247"/>
        <v>8</v>
      </c>
      <c r="H594" s="2" t="str">
        <f t="shared" si="239"/>
        <v>神圣</v>
      </c>
      <c r="I594" s="38">
        <f t="shared" si="240"/>
        <v>0.2634285714285714</v>
      </c>
      <c r="J594" s="33">
        <f t="shared" si="248"/>
        <v>145</v>
      </c>
      <c r="K594" s="33">
        <f t="shared" si="249"/>
        <v>219</v>
      </c>
      <c r="L594" s="33">
        <f t="shared" si="249"/>
        <v>33</v>
      </c>
      <c r="M594" s="33">
        <f t="shared" si="249"/>
        <v>153</v>
      </c>
      <c r="N594" s="33">
        <f t="shared" si="249"/>
        <v>122</v>
      </c>
      <c r="O594" s="33">
        <f t="shared" si="249"/>
        <v>122</v>
      </c>
      <c r="P594" s="33">
        <f t="shared" si="249"/>
        <v>67</v>
      </c>
      <c r="Q594" s="33">
        <f t="shared" si="249"/>
        <v>61</v>
      </c>
      <c r="R594" s="35">
        <f t="shared" si="241"/>
        <v>0.122</v>
      </c>
      <c r="S594" s="35">
        <f t="shared" si="242"/>
        <v>0.13400000000000001</v>
      </c>
      <c r="T594" s="35">
        <f t="shared" si="243"/>
        <v>7.6249999999999998E-2</v>
      </c>
      <c r="U594" s="35">
        <f t="shared" si="250"/>
        <v>0.13419913419913421</v>
      </c>
      <c r="V594" s="35">
        <f t="shared" si="250"/>
        <v>0.13419913419913421</v>
      </c>
      <c r="W594" s="35">
        <f t="shared" si="250"/>
        <v>0.13419913419913421</v>
      </c>
      <c r="X594" s="35">
        <f t="shared" si="250"/>
        <v>0.13419913419913421</v>
      </c>
      <c r="Y594" s="35">
        <f t="shared" si="250"/>
        <v>0.47916666666666663</v>
      </c>
      <c r="Z594" s="35">
        <f t="shared" si="250"/>
        <v>0.13419913419913421</v>
      </c>
      <c r="AA594" s="35">
        <f t="shared" si="250"/>
        <v>0.13419913419913421</v>
      </c>
    </row>
    <row r="595" spans="2:27" x14ac:dyDescent="0.2">
      <c r="B595" s="2">
        <v>593</v>
      </c>
      <c r="C595" s="2" t="str">
        <f t="shared" si="229"/>
        <v>b</v>
      </c>
      <c r="D595" s="29" t="s">
        <v>1</v>
      </c>
      <c r="E595" s="29" t="s">
        <v>227</v>
      </c>
      <c r="F595" s="2" t="s">
        <v>228</v>
      </c>
      <c r="G595" s="2">
        <f t="shared" si="247"/>
        <v>1</v>
      </c>
      <c r="H595" s="2" t="str">
        <f t="shared" si="239"/>
        <v>神圣</v>
      </c>
      <c r="I595" s="38">
        <f t="shared" si="240"/>
        <v>0.08</v>
      </c>
      <c r="J595" s="33">
        <f t="shared" si="248"/>
        <v>21</v>
      </c>
      <c r="K595" s="33">
        <f t="shared" si="249"/>
        <v>41</v>
      </c>
      <c r="L595" s="33">
        <f t="shared" si="249"/>
        <v>6</v>
      </c>
      <c r="M595" s="33">
        <f t="shared" si="249"/>
        <v>28</v>
      </c>
      <c r="N595" s="33">
        <f t="shared" si="249"/>
        <v>23</v>
      </c>
      <c r="O595" s="33">
        <f t="shared" si="249"/>
        <v>23</v>
      </c>
      <c r="P595" s="33">
        <f t="shared" si="249"/>
        <v>12</v>
      </c>
      <c r="Q595" s="33">
        <f t="shared" si="249"/>
        <v>11</v>
      </c>
      <c r="R595" s="35">
        <f t="shared" si="241"/>
        <v>2.2000000000000002E-2</v>
      </c>
      <c r="S595" s="35">
        <f t="shared" si="242"/>
        <v>2.4E-2</v>
      </c>
      <c r="T595" s="35">
        <f t="shared" si="243"/>
        <v>1.375E-2</v>
      </c>
      <c r="U595" s="35">
        <f t="shared" si="250"/>
        <v>2.9126213592232997E-2</v>
      </c>
      <c r="V595" s="35">
        <f t="shared" si="250"/>
        <v>2.9126213592232997E-2</v>
      </c>
      <c r="W595" s="35">
        <f t="shared" si="250"/>
        <v>2.9126213592232997E-2</v>
      </c>
      <c r="X595" s="35">
        <f t="shared" si="250"/>
        <v>2.9126213592232997E-2</v>
      </c>
      <c r="Y595" s="35">
        <f t="shared" si="250"/>
        <v>0.14893617021276595</v>
      </c>
      <c r="Z595" s="35">
        <f t="shared" si="250"/>
        <v>2.9126213592232997E-2</v>
      </c>
      <c r="AA595" s="35">
        <f t="shared" si="250"/>
        <v>2.9126213592232997E-2</v>
      </c>
    </row>
    <row r="596" spans="2:27" x14ac:dyDescent="0.2">
      <c r="B596" s="2">
        <v>594</v>
      </c>
      <c r="C596" s="2" t="str">
        <f t="shared" si="229"/>
        <v>b</v>
      </c>
      <c r="D596" s="29" t="s">
        <v>1</v>
      </c>
      <c r="E596" s="29" t="s">
        <v>227</v>
      </c>
      <c r="F596" s="2" t="s">
        <v>228</v>
      </c>
      <c r="G596" s="2">
        <f t="shared" si="247"/>
        <v>2</v>
      </c>
      <c r="H596" s="2" t="str">
        <f t="shared" si="239"/>
        <v>神圣</v>
      </c>
      <c r="I596" s="38">
        <f t="shared" si="240"/>
        <v>9.514285714285714E-2</v>
      </c>
      <c r="J596" s="33">
        <f t="shared" si="248"/>
        <v>42</v>
      </c>
      <c r="K596" s="33">
        <f t="shared" si="249"/>
        <v>82</v>
      </c>
      <c r="L596" s="33">
        <f t="shared" si="249"/>
        <v>12</v>
      </c>
      <c r="M596" s="33">
        <f t="shared" si="249"/>
        <v>57</v>
      </c>
      <c r="N596" s="33">
        <f t="shared" si="249"/>
        <v>46</v>
      </c>
      <c r="O596" s="33">
        <f t="shared" si="249"/>
        <v>46</v>
      </c>
      <c r="P596" s="33">
        <f t="shared" si="249"/>
        <v>25</v>
      </c>
      <c r="Q596" s="33">
        <f t="shared" si="249"/>
        <v>23</v>
      </c>
      <c r="R596" s="35">
        <f t="shared" si="241"/>
        <v>4.5999999999999999E-2</v>
      </c>
      <c r="S596" s="35">
        <f t="shared" si="242"/>
        <v>0.05</v>
      </c>
      <c r="T596" s="35">
        <f t="shared" si="243"/>
        <v>2.8750000000000001E-2</v>
      </c>
      <c r="U596" s="35">
        <f t="shared" si="250"/>
        <v>5.6603773584905648E-2</v>
      </c>
      <c r="V596" s="35">
        <f t="shared" si="250"/>
        <v>5.6603773584905648E-2</v>
      </c>
      <c r="W596" s="35">
        <f t="shared" si="250"/>
        <v>5.6603773584905648E-2</v>
      </c>
      <c r="X596" s="35">
        <f t="shared" si="250"/>
        <v>5.6603773584905648E-2</v>
      </c>
      <c r="Y596" s="35">
        <f t="shared" si="250"/>
        <v>0.25650557620817849</v>
      </c>
      <c r="Z596" s="35">
        <f t="shared" si="250"/>
        <v>5.6603773584905648E-2</v>
      </c>
      <c r="AA596" s="35">
        <f t="shared" si="250"/>
        <v>5.6603773584905648E-2</v>
      </c>
    </row>
    <row r="597" spans="2:27" x14ac:dyDescent="0.2">
      <c r="B597" s="2">
        <v>595</v>
      </c>
      <c r="C597" s="2" t="str">
        <f t="shared" si="229"/>
        <v>b</v>
      </c>
      <c r="D597" s="29" t="s">
        <v>1</v>
      </c>
      <c r="E597" s="29" t="s">
        <v>227</v>
      </c>
      <c r="F597" s="2" t="s">
        <v>228</v>
      </c>
      <c r="G597" s="2">
        <f t="shared" si="247"/>
        <v>3</v>
      </c>
      <c r="H597" s="2" t="str">
        <f t="shared" si="239"/>
        <v>神圣</v>
      </c>
      <c r="I597" s="38">
        <f t="shared" si="240"/>
        <v>0.14285714285714288</v>
      </c>
      <c r="J597" s="33">
        <f t="shared" si="248"/>
        <v>63</v>
      </c>
      <c r="K597" s="33">
        <f t="shared" si="249"/>
        <v>123</v>
      </c>
      <c r="L597" s="33">
        <f t="shared" si="249"/>
        <v>18</v>
      </c>
      <c r="M597" s="33">
        <f t="shared" si="249"/>
        <v>86</v>
      </c>
      <c r="N597" s="33">
        <f t="shared" si="249"/>
        <v>69</v>
      </c>
      <c r="O597" s="33">
        <f t="shared" si="249"/>
        <v>69</v>
      </c>
      <c r="P597" s="33">
        <f t="shared" si="249"/>
        <v>38</v>
      </c>
      <c r="Q597" s="33">
        <f t="shared" si="249"/>
        <v>34</v>
      </c>
      <c r="R597" s="35">
        <f t="shared" si="241"/>
        <v>6.8000000000000005E-2</v>
      </c>
      <c r="S597" s="35">
        <f t="shared" si="242"/>
        <v>7.5999999999999998E-2</v>
      </c>
      <c r="T597" s="35">
        <f t="shared" si="243"/>
        <v>4.2500000000000003E-2</v>
      </c>
      <c r="U597" s="35">
        <f t="shared" si="250"/>
        <v>7.8341013824884786E-2</v>
      </c>
      <c r="V597" s="35">
        <f t="shared" si="250"/>
        <v>7.8341013824884786E-2</v>
      </c>
      <c r="W597" s="35">
        <f t="shared" si="250"/>
        <v>7.8341013824884786E-2</v>
      </c>
      <c r="X597" s="35">
        <f t="shared" si="250"/>
        <v>7.8341013824884786E-2</v>
      </c>
      <c r="Y597" s="35">
        <f t="shared" si="250"/>
        <v>0.34210526315789469</v>
      </c>
      <c r="Z597" s="35">
        <f t="shared" si="250"/>
        <v>7.8341013824884786E-2</v>
      </c>
      <c r="AA597" s="35">
        <f t="shared" si="250"/>
        <v>7.8341013824884786E-2</v>
      </c>
    </row>
    <row r="598" spans="2:27" x14ac:dyDescent="0.2">
      <c r="B598" s="2">
        <v>596</v>
      </c>
      <c r="C598" s="2" t="str">
        <f t="shared" si="229"/>
        <v>b</v>
      </c>
      <c r="D598" s="29" t="s">
        <v>1</v>
      </c>
      <c r="E598" s="29" t="s">
        <v>227</v>
      </c>
      <c r="F598" s="2" t="s">
        <v>228</v>
      </c>
      <c r="G598" s="2">
        <f t="shared" si="247"/>
        <v>4</v>
      </c>
      <c r="H598" s="2" t="str">
        <f t="shared" si="239"/>
        <v>神圣</v>
      </c>
      <c r="I598" s="38">
        <f t="shared" si="240"/>
        <v>0.19057142857142856</v>
      </c>
      <c r="J598" s="33">
        <f t="shared" si="248"/>
        <v>84</v>
      </c>
      <c r="K598" s="33">
        <f t="shared" si="249"/>
        <v>164</v>
      </c>
      <c r="L598" s="33">
        <f t="shared" si="249"/>
        <v>24</v>
      </c>
      <c r="M598" s="33">
        <f t="shared" si="249"/>
        <v>115</v>
      </c>
      <c r="N598" s="33">
        <f t="shared" si="249"/>
        <v>92</v>
      </c>
      <c r="O598" s="33">
        <f t="shared" si="249"/>
        <v>92</v>
      </c>
      <c r="P598" s="33">
        <f t="shared" si="249"/>
        <v>50</v>
      </c>
      <c r="Q598" s="33">
        <f t="shared" si="249"/>
        <v>46</v>
      </c>
      <c r="R598" s="35">
        <f t="shared" si="241"/>
        <v>9.1999999999999998E-2</v>
      </c>
      <c r="S598" s="35">
        <f t="shared" si="242"/>
        <v>0.1</v>
      </c>
      <c r="T598" s="35">
        <f t="shared" si="243"/>
        <v>5.7500000000000002E-2</v>
      </c>
      <c r="U598" s="35">
        <f t="shared" si="250"/>
        <v>0.10313901345291476</v>
      </c>
      <c r="V598" s="35">
        <f t="shared" si="250"/>
        <v>0.10313901345291476</v>
      </c>
      <c r="W598" s="35">
        <f t="shared" si="250"/>
        <v>0.10313901345291476</v>
      </c>
      <c r="X598" s="35">
        <f t="shared" si="250"/>
        <v>0.10313901345291476</v>
      </c>
      <c r="Y598" s="35">
        <f t="shared" si="250"/>
        <v>0.40828402366863903</v>
      </c>
      <c r="Z598" s="35">
        <f t="shared" si="250"/>
        <v>0.10313901345291476</v>
      </c>
      <c r="AA598" s="35">
        <f t="shared" si="250"/>
        <v>0.10313901345291476</v>
      </c>
    </row>
    <row r="599" spans="2:27" x14ac:dyDescent="0.2">
      <c r="B599" s="2">
        <v>597</v>
      </c>
      <c r="C599" s="2" t="str">
        <f t="shared" si="229"/>
        <v>b</v>
      </c>
      <c r="D599" s="29" t="s">
        <v>1</v>
      </c>
      <c r="E599" s="29" t="s">
        <v>227</v>
      </c>
      <c r="F599" s="2" t="s">
        <v>228</v>
      </c>
      <c r="G599" s="2">
        <f t="shared" si="247"/>
        <v>5</v>
      </c>
      <c r="H599" s="2" t="str">
        <f t="shared" si="239"/>
        <v>神圣</v>
      </c>
      <c r="I599" s="38">
        <f t="shared" si="240"/>
        <v>0.23857142857142857</v>
      </c>
      <c r="J599" s="33">
        <f t="shared" si="248"/>
        <v>105</v>
      </c>
      <c r="K599" s="33">
        <f t="shared" si="249"/>
        <v>205</v>
      </c>
      <c r="L599" s="33">
        <f t="shared" si="249"/>
        <v>31</v>
      </c>
      <c r="M599" s="33">
        <f t="shared" si="249"/>
        <v>144</v>
      </c>
      <c r="N599" s="33">
        <f t="shared" si="249"/>
        <v>115</v>
      </c>
      <c r="O599" s="33">
        <f t="shared" si="249"/>
        <v>115</v>
      </c>
      <c r="P599" s="33">
        <f t="shared" si="249"/>
        <v>63</v>
      </c>
      <c r="Q599" s="33">
        <f t="shared" si="249"/>
        <v>57</v>
      </c>
      <c r="R599" s="35">
        <f t="shared" si="241"/>
        <v>0.114</v>
      </c>
      <c r="S599" s="35">
        <f t="shared" si="242"/>
        <v>0.126</v>
      </c>
      <c r="T599" s="35">
        <f t="shared" si="243"/>
        <v>7.1249999999999994E-2</v>
      </c>
      <c r="U599" s="35">
        <f t="shared" si="250"/>
        <v>0.1266375545851528</v>
      </c>
      <c r="V599" s="35">
        <f t="shared" si="250"/>
        <v>0.1266375545851528</v>
      </c>
      <c r="W599" s="35">
        <f t="shared" si="250"/>
        <v>0.1266375545851528</v>
      </c>
      <c r="X599" s="35">
        <f t="shared" si="250"/>
        <v>0.1266375545851528</v>
      </c>
      <c r="Y599" s="35">
        <f t="shared" si="250"/>
        <v>0.46380697050938335</v>
      </c>
      <c r="Z599" s="35">
        <f t="shared" si="250"/>
        <v>0.1266375545851528</v>
      </c>
      <c r="AA599" s="35">
        <f t="shared" si="250"/>
        <v>0.1266375545851528</v>
      </c>
    </row>
    <row r="600" spans="2:27" x14ac:dyDescent="0.2">
      <c r="B600" s="2">
        <v>598</v>
      </c>
      <c r="C600" s="2" t="str">
        <f t="shared" si="229"/>
        <v>b</v>
      </c>
      <c r="D600" s="29" t="s">
        <v>1</v>
      </c>
      <c r="E600" s="29" t="s">
        <v>227</v>
      </c>
      <c r="F600" s="2" t="s">
        <v>228</v>
      </c>
      <c r="G600" s="2">
        <f t="shared" si="247"/>
        <v>6</v>
      </c>
      <c r="H600" s="2" t="str">
        <f t="shared" si="239"/>
        <v>神圣</v>
      </c>
      <c r="I600" s="38">
        <f t="shared" si="240"/>
        <v>0.28685714285714287</v>
      </c>
      <c r="J600" s="33">
        <f t="shared" si="248"/>
        <v>127</v>
      </c>
      <c r="K600" s="33">
        <f t="shared" si="249"/>
        <v>247</v>
      </c>
      <c r="L600" s="33">
        <f t="shared" si="249"/>
        <v>37</v>
      </c>
      <c r="M600" s="33">
        <f t="shared" si="249"/>
        <v>172</v>
      </c>
      <c r="N600" s="33">
        <f t="shared" si="249"/>
        <v>138</v>
      </c>
      <c r="O600" s="33">
        <f t="shared" si="249"/>
        <v>138</v>
      </c>
      <c r="P600" s="33">
        <f t="shared" si="249"/>
        <v>76</v>
      </c>
      <c r="Q600" s="33">
        <f t="shared" si="249"/>
        <v>69</v>
      </c>
      <c r="R600" s="35">
        <f t="shared" si="241"/>
        <v>0.13800000000000001</v>
      </c>
      <c r="S600" s="35">
        <f t="shared" si="242"/>
        <v>0.152</v>
      </c>
      <c r="T600" s="35">
        <f t="shared" si="243"/>
        <v>8.6249999999999993E-2</v>
      </c>
      <c r="U600" s="35">
        <f t="shared" si="250"/>
        <v>0.14893617021276595</v>
      </c>
      <c r="V600" s="35">
        <f t="shared" si="250"/>
        <v>0.14893617021276595</v>
      </c>
      <c r="W600" s="35">
        <f t="shared" si="250"/>
        <v>0.14893617021276595</v>
      </c>
      <c r="X600" s="35">
        <f t="shared" si="250"/>
        <v>0.14893617021276595</v>
      </c>
      <c r="Y600" s="35">
        <f t="shared" si="250"/>
        <v>0.50859950859950853</v>
      </c>
      <c r="Z600" s="35">
        <f t="shared" si="250"/>
        <v>0.14893617021276595</v>
      </c>
      <c r="AA600" s="35">
        <f t="shared" si="250"/>
        <v>0.14893617021276595</v>
      </c>
    </row>
    <row r="601" spans="2:27" x14ac:dyDescent="0.2">
      <c r="B601" s="2">
        <v>599</v>
      </c>
      <c r="C601" s="2" t="str">
        <f t="shared" si="229"/>
        <v>b</v>
      </c>
      <c r="D601" s="29" t="s">
        <v>1</v>
      </c>
      <c r="E601" s="29" t="s">
        <v>227</v>
      </c>
      <c r="F601" s="2" t="s">
        <v>228</v>
      </c>
      <c r="G601" s="2">
        <f t="shared" si="247"/>
        <v>7</v>
      </c>
      <c r="H601" s="2" t="str">
        <f t="shared" si="239"/>
        <v>神圣</v>
      </c>
      <c r="I601" s="38">
        <f t="shared" si="240"/>
        <v>0.3342857142857143</v>
      </c>
      <c r="J601" s="33">
        <f t="shared" si="248"/>
        <v>148</v>
      </c>
      <c r="K601" s="33">
        <f t="shared" si="249"/>
        <v>288</v>
      </c>
      <c r="L601" s="33">
        <f t="shared" si="249"/>
        <v>43</v>
      </c>
      <c r="M601" s="33">
        <f t="shared" si="249"/>
        <v>201</v>
      </c>
      <c r="N601" s="33">
        <f t="shared" si="249"/>
        <v>161</v>
      </c>
      <c r="O601" s="33">
        <f t="shared" si="249"/>
        <v>161</v>
      </c>
      <c r="P601" s="33">
        <f t="shared" si="249"/>
        <v>88</v>
      </c>
      <c r="Q601" s="33">
        <f t="shared" si="249"/>
        <v>80</v>
      </c>
      <c r="R601" s="35">
        <f t="shared" si="241"/>
        <v>0.16</v>
      </c>
      <c r="S601" s="35">
        <f t="shared" si="242"/>
        <v>0.17600000000000002</v>
      </c>
      <c r="T601" s="35">
        <f t="shared" si="243"/>
        <v>0.1</v>
      </c>
      <c r="U601" s="35">
        <f t="shared" si="250"/>
        <v>0.16666666666666663</v>
      </c>
      <c r="V601" s="35">
        <f t="shared" si="250"/>
        <v>0.16666666666666663</v>
      </c>
      <c r="W601" s="35">
        <f t="shared" si="250"/>
        <v>0.16666666666666663</v>
      </c>
      <c r="X601" s="35">
        <f t="shared" si="250"/>
        <v>0.16666666666666663</v>
      </c>
      <c r="Y601" s="35">
        <f t="shared" si="250"/>
        <v>0.54751131221719462</v>
      </c>
      <c r="Z601" s="35">
        <f t="shared" si="250"/>
        <v>0.16666666666666663</v>
      </c>
      <c r="AA601" s="35">
        <f t="shared" si="250"/>
        <v>0.16666666666666663</v>
      </c>
    </row>
    <row r="602" spans="2:27" x14ac:dyDescent="0.2">
      <c r="B602" s="2">
        <v>600</v>
      </c>
      <c r="C602" s="2" t="str">
        <f t="shared" si="229"/>
        <v>b</v>
      </c>
      <c r="D602" s="29" t="s">
        <v>1</v>
      </c>
      <c r="E602" s="29" t="s">
        <v>227</v>
      </c>
      <c r="F602" s="2" t="s">
        <v>228</v>
      </c>
      <c r="G602" s="2">
        <f t="shared" si="247"/>
        <v>8</v>
      </c>
      <c r="H602" s="2" t="str">
        <f t="shared" si="239"/>
        <v>神圣</v>
      </c>
      <c r="I602" s="38">
        <f t="shared" si="240"/>
        <v>0.38228571428571428</v>
      </c>
      <c r="J602" s="33">
        <f t="shared" si="248"/>
        <v>169</v>
      </c>
      <c r="K602" s="33">
        <f t="shared" si="249"/>
        <v>329</v>
      </c>
      <c r="L602" s="33">
        <f t="shared" si="249"/>
        <v>49</v>
      </c>
      <c r="M602" s="33">
        <f t="shared" si="249"/>
        <v>230</v>
      </c>
      <c r="N602" s="33">
        <f t="shared" si="249"/>
        <v>184</v>
      </c>
      <c r="O602" s="33">
        <f t="shared" si="249"/>
        <v>184</v>
      </c>
      <c r="P602" s="33">
        <f t="shared" si="249"/>
        <v>101</v>
      </c>
      <c r="Q602" s="33">
        <f t="shared" si="249"/>
        <v>92</v>
      </c>
      <c r="R602" s="35">
        <f t="shared" si="241"/>
        <v>0.184</v>
      </c>
      <c r="S602" s="35">
        <f t="shared" si="242"/>
        <v>0.20199999999999999</v>
      </c>
      <c r="T602" s="35">
        <f t="shared" si="243"/>
        <v>0.115</v>
      </c>
      <c r="U602" s="35">
        <f t="shared" si="250"/>
        <v>0.18699186991869921</v>
      </c>
      <c r="V602" s="35">
        <f t="shared" si="250"/>
        <v>0.18699186991869921</v>
      </c>
      <c r="W602" s="35">
        <f t="shared" si="250"/>
        <v>0.18699186991869921</v>
      </c>
      <c r="X602" s="35">
        <f t="shared" si="250"/>
        <v>0.18699186991869921</v>
      </c>
      <c r="Y602" s="35">
        <f t="shared" si="250"/>
        <v>0.57983193277310918</v>
      </c>
      <c r="Z602" s="35">
        <f t="shared" si="250"/>
        <v>0.18699186991869921</v>
      </c>
      <c r="AA602" s="35">
        <f t="shared" si="250"/>
        <v>0.18699186991869921</v>
      </c>
    </row>
    <row r="603" spans="2:27" x14ac:dyDescent="0.2">
      <c r="B603" s="2">
        <v>601</v>
      </c>
      <c r="C603" s="2" t="str">
        <f t="shared" si="229"/>
        <v>c</v>
      </c>
      <c r="D603" s="29" t="s">
        <v>1</v>
      </c>
      <c r="E603" s="29" t="s">
        <v>227</v>
      </c>
      <c r="F603" s="2" t="s">
        <v>228</v>
      </c>
      <c r="G603" s="2">
        <f t="shared" si="247"/>
        <v>1</v>
      </c>
      <c r="H603" s="2" t="str">
        <f t="shared" si="239"/>
        <v>--</v>
      </c>
      <c r="I603" s="38">
        <f t="shared" si="240"/>
        <v>0</v>
      </c>
      <c r="J603" s="33">
        <f t="shared" ref="J603:J612" si="251">INT((1+VLOOKUP($F603,role_property_weight,getpos(J$2),FALSE))*(1+VLOOKUP($F603,drop_property_weight,getpos(J$2),FALSE))*VLOOKUP($E603,role_grow,getpos(J$2),FALSE)*$G603*10*VLOOKUP($C603,drop_grow1,4,FALSE))</f>
        <v>28</v>
      </c>
      <c r="K603" s="33">
        <f t="shared" ref="K603:Q612" si="252">INT((1+VLOOKUP($F603,role_property_weight,getpos(K$2),FALSE))*(1+VLOOKUP($F603,drop_property_weight,getpos(K$2),FALSE))*VLOOKUP($E603,role_grow,getpos(K$2),FALSE)*$G603*10*VLOOKUP($C603,drop_grow1,5,FALSE))</f>
        <v>0</v>
      </c>
      <c r="L603" s="33">
        <f t="shared" si="252"/>
        <v>0</v>
      </c>
      <c r="M603" s="33">
        <f t="shared" si="252"/>
        <v>0</v>
      </c>
      <c r="N603" s="33">
        <f t="shared" si="252"/>
        <v>0</v>
      </c>
      <c r="O603" s="33">
        <f t="shared" si="252"/>
        <v>0</v>
      </c>
      <c r="P603" s="33">
        <f t="shared" si="252"/>
        <v>0</v>
      </c>
      <c r="Q603" s="33">
        <f t="shared" si="252"/>
        <v>0</v>
      </c>
      <c r="R603" s="35">
        <f t="shared" si="241"/>
        <v>0</v>
      </c>
      <c r="S603" s="35">
        <f t="shared" si="242"/>
        <v>0</v>
      </c>
      <c r="T603" s="35">
        <f t="shared" si="243"/>
        <v>0</v>
      </c>
      <c r="U603" s="35">
        <f t="shared" ref="U603:AA612" si="253">1-200/(200+ROUND((1+VLOOKUP($F603,role_property_weight,getpos(U$2),FALSE))*VLOOKUP($E603,role_grow,getpos(U$2),FALSE)*$G603*10*VLOOKUP($C603,drop_grow1,5,FALSE),0))</f>
        <v>0</v>
      </c>
      <c r="V603" s="35">
        <f t="shared" si="253"/>
        <v>0</v>
      </c>
      <c r="W603" s="35">
        <f t="shared" si="253"/>
        <v>0</v>
      </c>
      <c r="X603" s="35">
        <f t="shared" si="253"/>
        <v>0</v>
      </c>
      <c r="Y603" s="35">
        <f t="shared" si="253"/>
        <v>0</v>
      </c>
      <c r="Z603" s="35">
        <f t="shared" si="253"/>
        <v>0</v>
      </c>
      <c r="AA603" s="35">
        <f t="shared" si="253"/>
        <v>0</v>
      </c>
    </row>
    <row r="604" spans="2:27" x14ac:dyDescent="0.2">
      <c r="B604" s="2">
        <v>602</v>
      </c>
      <c r="C604" s="2" t="str">
        <f t="shared" si="229"/>
        <v>c</v>
      </c>
      <c r="D604" s="29" t="s">
        <v>1</v>
      </c>
      <c r="E604" s="29" t="s">
        <v>227</v>
      </c>
      <c r="F604" s="2" t="s">
        <v>228</v>
      </c>
      <c r="G604" s="2">
        <f t="shared" si="247"/>
        <v>2</v>
      </c>
      <c r="H604" s="2" t="str">
        <f t="shared" si="239"/>
        <v>--</v>
      </c>
      <c r="I604" s="38">
        <f t="shared" si="240"/>
        <v>0</v>
      </c>
      <c r="J604" s="33">
        <f t="shared" si="251"/>
        <v>56</v>
      </c>
      <c r="K604" s="33">
        <f t="shared" si="252"/>
        <v>0</v>
      </c>
      <c r="L604" s="33">
        <f t="shared" si="252"/>
        <v>0</v>
      </c>
      <c r="M604" s="33">
        <f t="shared" si="252"/>
        <v>0</v>
      </c>
      <c r="N604" s="33">
        <f t="shared" si="252"/>
        <v>0</v>
      </c>
      <c r="O604" s="33">
        <f t="shared" si="252"/>
        <v>0</v>
      </c>
      <c r="P604" s="33">
        <f t="shared" si="252"/>
        <v>0</v>
      </c>
      <c r="Q604" s="33">
        <f t="shared" si="252"/>
        <v>0</v>
      </c>
      <c r="R604" s="35">
        <f t="shared" si="241"/>
        <v>0</v>
      </c>
      <c r="S604" s="35">
        <f t="shared" si="242"/>
        <v>0</v>
      </c>
      <c r="T604" s="35">
        <f t="shared" si="243"/>
        <v>0</v>
      </c>
      <c r="U604" s="35">
        <f t="shared" si="253"/>
        <v>0</v>
      </c>
      <c r="V604" s="35">
        <f t="shared" si="253"/>
        <v>0</v>
      </c>
      <c r="W604" s="35">
        <f t="shared" si="253"/>
        <v>0</v>
      </c>
      <c r="X604" s="35">
        <f t="shared" si="253"/>
        <v>0</v>
      </c>
      <c r="Y604" s="35">
        <f t="shared" si="253"/>
        <v>0</v>
      </c>
      <c r="Z604" s="35">
        <f t="shared" si="253"/>
        <v>0</v>
      </c>
      <c r="AA604" s="35">
        <f t="shared" si="253"/>
        <v>0</v>
      </c>
    </row>
    <row r="605" spans="2:27" x14ac:dyDescent="0.2">
      <c r="B605" s="2">
        <v>603</v>
      </c>
      <c r="C605" s="2" t="str">
        <f t="shared" si="229"/>
        <v>c</v>
      </c>
      <c r="D605" s="29" t="s">
        <v>1</v>
      </c>
      <c r="E605" s="29" t="s">
        <v>227</v>
      </c>
      <c r="F605" s="2" t="s">
        <v>228</v>
      </c>
      <c r="G605" s="2">
        <f t="shared" si="247"/>
        <v>3</v>
      </c>
      <c r="H605" s="2" t="str">
        <f t="shared" si="239"/>
        <v>--</v>
      </c>
      <c r="I605" s="38">
        <f t="shared" si="240"/>
        <v>0</v>
      </c>
      <c r="J605" s="33">
        <f t="shared" si="251"/>
        <v>85</v>
      </c>
      <c r="K605" s="33">
        <f t="shared" si="252"/>
        <v>0</v>
      </c>
      <c r="L605" s="33">
        <f t="shared" si="252"/>
        <v>0</v>
      </c>
      <c r="M605" s="33">
        <f t="shared" si="252"/>
        <v>0</v>
      </c>
      <c r="N605" s="33">
        <f t="shared" si="252"/>
        <v>0</v>
      </c>
      <c r="O605" s="33">
        <f t="shared" si="252"/>
        <v>0</v>
      </c>
      <c r="P605" s="33">
        <f t="shared" si="252"/>
        <v>0</v>
      </c>
      <c r="Q605" s="33">
        <f t="shared" si="252"/>
        <v>0</v>
      </c>
      <c r="R605" s="35">
        <f t="shared" si="241"/>
        <v>0</v>
      </c>
      <c r="S605" s="35">
        <f t="shared" si="242"/>
        <v>0</v>
      </c>
      <c r="T605" s="35">
        <f t="shared" si="243"/>
        <v>0</v>
      </c>
      <c r="U605" s="35">
        <f t="shared" si="253"/>
        <v>0</v>
      </c>
      <c r="V605" s="35">
        <f t="shared" si="253"/>
        <v>0</v>
      </c>
      <c r="W605" s="35">
        <f t="shared" si="253"/>
        <v>0</v>
      </c>
      <c r="X605" s="35">
        <f t="shared" si="253"/>
        <v>0</v>
      </c>
      <c r="Y605" s="35">
        <f t="shared" si="253"/>
        <v>0</v>
      </c>
      <c r="Z605" s="35">
        <f t="shared" si="253"/>
        <v>0</v>
      </c>
      <c r="AA605" s="35">
        <f t="shared" si="253"/>
        <v>0</v>
      </c>
    </row>
    <row r="606" spans="2:27" x14ac:dyDescent="0.2">
      <c r="B606" s="2">
        <v>604</v>
      </c>
      <c r="C606" s="2" t="str">
        <f t="shared" si="229"/>
        <v>c</v>
      </c>
      <c r="D606" s="29" t="s">
        <v>1</v>
      </c>
      <c r="E606" s="29" t="s">
        <v>227</v>
      </c>
      <c r="F606" s="2" t="s">
        <v>228</v>
      </c>
      <c r="G606" s="2">
        <f t="shared" si="247"/>
        <v>4</v>
      </c>
      <c r="H606" s="2" t="str">
        <f t="shared" si="239"/>
        <v>--</v>
      </c>
      <c r="I606" s="38">
        <f t="shared" si="240"/>
        <v>0</v>
      </c>
      <c r="J606" s="33">
        <f t="shared" si="251"/>
        <v>113</v>
      </c>
      <c r="K606" s="33">
        <f t="shared" si="252"/>
        <v>0</v>
      </c>
      <c r="L606" s="33">
        <f t="shared" si="252"/>
        <v>0</v>
      </c>
      <c r="M606" s="33">
        <f t="shared" si="252"/>
        <v>0</v>
      </c>
      <c r="N606" s="33">
        <f t="shared" si="252"/>
        <v>0</v>
      </c>
      <c r="O606" s="33">
        <f t="shared" si="252"/>
        <v>0</v>
      </c>
      <c r="P606" s="33">
        <f t="shared" si="252"/>
        <v>0</v>
      </c>
      <c r="Q606" s="33">
        <f t="shared" si="252"/>
        <v>0</v>
      </c>
      <c r="R606" s="35">
        <f t="shared" si="241"/>
        <v>0</v>
      </c>
      <c r="S606" s="35">
        <f t="shared" si="242"/>
        <v>0</v>
      </c>
      <c r="T606" s="35">
        <f t="shared" si="243"/>
        <v>0</v>
      </c>
      <c r="U606" s="35">
        <f t="shared" si="253"/>
        <v>0</v>
      </c>
      <c r="V606" s="35">
        <f t="shared" si="253"/>
        <v>0</v>
      </c>
      <c r="W606" s="35">
        <f t="shared" si="253"/>
        <v>0</v>
      </c>
      <c r="X606" s="35">
        <f t="shared" si="253"/>
        <v>0</v>
      </c>
      <c r="Y606" s="35">
        <f t="shared" si="253"/>
        <v>0</v>
      </c>
      <c r="Z606" s="35">
        <f t="shared" si="253"/>
        <v>0</v>
      </c>
      <c r="AA606" s="35">
        <f t="shared" si="253"/>
        <v>0</v>
      </c>
    </row>
    <row r="607" spans="2:27" x14ac:dyDescent="0.2">
      <c r="B607" s="2">
        <v>605</v>
      </c>
      <c r="C607" s="2" t="str">
        <f t="shared" si="229"/>
        <v>c</v>
      </c>
      <c r="D607" s="29" t="s">
        <v>1</v>
      </c>
      <c r="E607" s="29" t="s">
        <v>227</v>
      </c>
      <c r="F607" s="2" t="s">
        <v>228</v>
      </c>
      <c r="G607" s="2">
        <f t="shared" si="247"/>
        <v>5</v>
      </c>
      <c r="H607" s="2" t="str">
        <f t="shared" si="239"/>
        <v>--</v>
      </c>
      <c r="I607" s="38">
        <f t="shared" si="240"/>
        <v>0</v>
      </c>
      <c r="J607" s="33">
        <f t="shared" si="251"/>
        <v>142</v>
      </c>
      <c r="K607" s="33">
        <f t="shared" si="252"/>
        <v>0</v>
      </c>
      <c r="L607" s="33">
        <f t="shared" si="252"/>
        <v>0</v>
      </c>
      <c r="M607" s="33">
        <f t="shared" si="252"/>
        <v>0</v>
      </c>
      <c r="N607" s="33">
        <f t="shared" si="252"/>
        <v>0</v>
      </c>
      <c r="O607" s="33">
        <f t="shared" si="252"/>
        <v>0</v>
      </c>
      <c r="P607" s="33">
        <f t="shared" si="252"/>
        <v>0</v>
      </c>
      <c r="Q607" s="33">
        <f t="shared" si="252"/>
        <v>0</v>
      </c>
      <c r="R607" s="35">
        <f t="shared" si="241"/>
        <v>0</v>
      </c>
      <c r="S607" s="35">
        <f t="shared" si="242"/>
        <v>0</v>
      </c>
      <c r="T607" s="35">
        <f t="shared" si="243"/>
        <v>0</v>
      </c>
      <c r="U607" s="35">
        <f t="shared" si="253"/>
        <v>0</v>
      </c>
      <c r="V607" s="35">
        <f t="shared" si="253"/>
        <v>0</v>
      </c>
      <c r="W607" s="35">
        <f t="shared" si="253"/>
        <v>0</v>
      </c>
      <c r="X607" s="35">
        <f t="shared" si="253"/>
        <v>0</v>
      </c>
      <c r="Y607" s="35">
        <f t="shared" si="253"/>
        <v>0</v>
      </c>
      <c r="Z607" s="35">
        <f t="shared" si="253"/>
        <v>0</v>
      </c>
      <c r="AA607" s="35">
        <f t="shared" si="253"/>
        <v>0</v>
      </c>
    </row>
    <row r="608" spans="2:27" x14ac:dyDescent="0.2">
      <c r="B608" s="2">
        <v>606</v>
      </c>
      <c r="C608" s="2" t="str">
        <f t="shared" si="229"/>
        <v>c</v>
      </c>
      <c r="D608" s="29" t="s">
        <v>1</v>
      </c>
      <c r="E608" s="29" t="s">
        <v>227</v>
      </c>
      <c r="F608" s="2" t="s">
        <v>228</v>
      </c>
      <c r="G608" s="2">
        <f t="shared" si="247"/>
        <v>6</v>
      </c>
      <c r="H608" s="2" t="str">
        <f t="shared" si="239"/>
        <v>--</v>
      </c>
      <c r="I608" s="38">
        <f t="shared" si="240"/>
        <v>0</v>
      </c>
      <c r="J608" s="33">
        <f t="shared" si="251"/>
        <v>170</v>
      </c>
      <c r="K608" s="33">
        <f t="shared" si="252"/>
        <v>0</v>
      </c>
      <c r="L608" s="33">
        <f t="shared" si="252"/>
        <v>0</v>
      </c>
      <c r="M608" s="33">
        <f t="shared" si="252"/>
        <v>0</v>
      </c>
      <c r="N608" s="33">
        <f t="shared" si="252"/>
        <v>0</v>
      </c>
      <c r="O608" s="33">
        <f t="shared" si="252"/>
        <v>0</v>
      </c>
      <c r="P608" s="33">
        <f t="shared" si="252"/>
        <v>0</v>
      </c>
      <c r="Q608" s="33">
        <f t="shared" si="252"/>
        <v>0</v>
      </c>
      <c r="R608" s="35">
        <f t="shared" si="241"/>
        <v>0</v>
      </c>
      <c r="S608" s="35">
        <f t="shared" si="242"/>
        <v>0</v>
      </c>
      <c r="T608" s="35">
        <f t="shared" si="243"/>
        <v>0</v>
      </c>
      <c r="U608" s="35">
        <f t="shared" si="253"/>
        <v>0</v>
      </c>
      <c r="V608" s="35">
        <f t="shared" si="253"/>
        <v>0</v>
      </c>
      <c r="W608" s="35">
        <f t="shared" si="253"/>
        <v>0</v>
      </c>
      <c r="X608" s="35">
        <f t="shared" si="253"/>
        <v>0</v>
      </c>
      <c r="Y608" s="35">
        <f t="shared" si="253"/>
        <v>0</v>
      </c>
      <c r="Z608" s="35">
        <f t="shared" si="253"/>
        <v>0</v>
      </c>
      <c r="AA608" s="35">
        <f t="shared" si="253"/>
        <v>0</v>
      </c>
    </row>
    <row r="609" spans="2:27" x14ac:dyDescent="0.2">
      <c r="B609" s="2">
        <v>607</v>
      </c>
      <c r="C609" s="2" t="str">
        <f t="shared" si="229"/>
        <v>c</v>
      </c>
      <c r="D609" s="29" t="s">
        <v>1</v>
      </c>
      <c r="E609" s="29" t="s">
        <v>227</v>
      </c>
      <c r="F609" s="2" t="s">
        <v>228</v>
      </c>
      <c r="G609" s="2">
        <f t="shared" si="247"/>
        <v>7</v>
      </c>
      <c r="H609" s="2" t="str">
        <f t="shared" si="239"/>
        <v>--</v>
      </c>
      <c r="I609" s="38">
        <f t="shared" si="240"/>
        <v>0</v>
      </c>
      <c r="J609" s="33">
        <f t="shared" si="251"/>
        <v>198</v>
      </c>
      <c r="K609" s="33">
        <f t="shared" si="252"/>
        <v>0</v>
      </c>
      <c r="L609" s="33">
        <f t="shared" si="252"/>
        <v>0</v>
      </c>
      <c r="M609" s="33">
        <f t="shared" si="252"/>
        <v>0</v>
      </c>
      <c r="N609" s="33">
        <f t="shared" si="252"/>
        <v>0</v>
      </c>
      <c r="O609" s="33">
        <f t="shared" si="252"/>
        <v>0</v>
      </c>
      <c r="P609" s="33">
        <f t="shared" si="252"/>
        <v>0</v>
      </c>
      <c r="Q609" s="33">
        <f t="shared" si="252"/>
        <v>0</v>
      </c>
      <c r="R609" s="35">
        <f t="shared" si="241"/>
        <v>0</v>
      </c>
      <c r="S609" s="35">
        <f t="shared" si="242"/>
        <v>0</v>
      </c>
      <c r="T609" s="35">
        <f t="shared" si="243"/>
        <v>0</v>
      </c>
      <c r="U609" s="35">
        <f t="shared" si="253"/>
        <v>0</v>
      </c>
      <c r="V609" s="35">
        <f t="shared" si="253"/>
        <v>0</v>
      </c>
      <c r="W609" s="35">
        <f t="shared" si="253"/>
        <v>0</v>
      </c>
      <c r="X609" s="35">
        <f t="shared" si="253"/>
        <v>0</v>
      </c>
      <c r="Y609" s="35">
        <f t="shared" si="253"/>
        <v>0</v>
      </c>
      <c r="Z609" s="35">
        <f t="shared" si="253"/>
        <v>0</v>
      </c>
      <c r="AA609" s="35">
        <f t="shared" si="253"/>
        <v>0</v>
      </c>
    </row>
    <row r="610" spans="2:27" x14ac:dyDescent="0.2">
      <c r="B610" s="2">
        <v>608</v>
      </c>
      <c r="C610" s="2" t="str">
        <f t="shared" si="229"/>
        <v>c</v>
      </c>
      <c r="D610" s="29" t="s">
        <v>1</v>
      </c>
      <c r="E610" s="29" t="s">
        <v>227</v>
      </c>
      <c r="F610" s="2" t="s">
        <v>228</v>
      </c>
      <c r="G610" s="2">
        <f t="shared" si="247"/>
        <v>8</v>
      </c>
      <c r="H610" s="2" t="str">
        <f t="shared" si="239"/>
        <v>--</v>
      </c>
      <c r="I610" s="38">
        <f t="shared" si="240"/>
        <v>0</v>
      </c>
      <c r="J610" s="33">
        <f t="shared" si="251"/>
        <v>227</v>
      </c>
      <c r="K610" s="33">
        <f t="shared" si="252"/>
        <v>0</v>
      </c>
      <c r="L610" s="33">
        <f t="shared" si="252"/>
        <v>0</v>
      </c>
      <c r="M610" s="33">
        <f t="shared" si="252"/>
        <v>0</v>
      </c>
      <c r="N610" s="33">
        <f t="shared" si="252"/>
        <v>0</v>
      </c>
      <c r="O610" s="33">
        <f t="shared" si="252"/>
        <v>0</v>
      </c>
      <c r="P610" s="33">
        <f t="shared" si="252"/>
        <v>0</v>
      </c>
      <c r="Q610" s="33">
        <f t="shared" si="252"/>
        <v>0</v>
      </c>
      <c r="R610" s="35">
        <f t="shared" si="241"/>
        <v>0</v>
      </c>
      <c r="S610" s="35">
        <f t="shared" si="242"/>
        <v>0</v>
      </c>
      <c r="T610" s="35">
        <f t="shared" si="243"/>
        <v>0</v>
      </c>
      <c r="U610" s="35">
        <f t="shared" si="253"/>
        <v>0</v>
      </c>
      <c r="V610" s="35">
        <f t="shared" si="253"/>
        <v>0</v>
      </c>
      <c r="W610" s="35">
        <f t="shared" si="253"/>
        <v>0</v>
      </c>
      <c r="X610" s="35">
        <f t="shared" si="253"/>
        <v>0</v>
      </c>
      <c r="Y610" s="35">
        <f t="shared" si="253"/>
        <v>0</v>
      </c>
      <c r="Z610" s="35">
        <f t="shared" si="253"/>
        <v>0</v>
      </c>
      <c r="AA610" s="35">
        <f t="shared" si="253"/>
        <v>0</v>
      </c>
    </row>
    <row r="611" spans="2:27" x14ac:dyDescent="0.2">
      <c r="B611" s="2">
        <v>609</v>
      </c>
      <c r="C611" s="2" t="str">
        <f t="shared" si="229"/>
        <v>s</v>
      </c>
      <c r="D611" s="29" t="s">
        <v>1</v>
      </c>
      <c r="E611" s="29" t="s">
        <v>227</v>
      </c>
      <c r="F611" s="2" t="s">
        <v>229</v>
      </c>
      <c r="G611" s="2">
        <f t="shared" si="247"/>
        <v>1</v>
      </c>
      <c r="H611" s="2" t="str">
        <f t="shared" si="239"/>
        <v>地脉</v>
      </c>
      <c r="I611" s="38">
        <f t="shared" si="240"/>
        <v>0.08</v>
      </c>
      <c r="J611" s="33">
        <f t="shared" si="251"/>
        <v>23</v>
      </c>
      <c r="K611" s="33">
        <f t="shared" si="252"/>
        <v>24</v>
      </c>
      <c r="L611" s="33">
        <f t="shared" si="252"/>
        <v>4</v>
      </c>
      <c r="M611" s="33">
        <f t="shared" si="252"/>
        <v>15</v>
      </c>
      <c r="N611" s="33">
        <f t="shared" si="252"/>
        <v>15</v>
      </c>
      <c r="O611" s="33">
        <f t="shared" si="252"/>
        <v>13</v>
      </c>
      <c r="P611" s="33">
        <f t="shared" si="252"/>
        <v>6</v>
      </c>
      <c r="Q611" s="33">
        <f t="shared" si="252"/>
        <v>7</v>
      </c>
      <c r="R611" s="35">
        <f t="shared" si="241"/>
        <v>1.3999999999999999E-2</v>
      </c>
      <c r="S611" s="35">
        <f t="shared" si="242"/>
        <v>1.2E-2</v>
      </c>
      <c r="T611" s="35">
        <f t="shared" si="243"/>
        <v>8.7500000000000008E-3</v>
      </c>
      <c r="U611" s="35">
        <f t="shared" si="253"/>
        <v>1.4778325123152691E-2</v>
      </c>
      <c r="V611" s="35">
        <f t="shared" si="253"/>
        <v>9.5022624434389136E-2</v>
      </c>
      <c r="W611" s="35">
        <f t="shared" si="253"/>
        <v>1.4778325123152691E-2</v>
      </c>
      <c r="X611" s="35">
        <f t="shared" si="253"/>
        <v>1.4778325123152691E-2</v>
      </c>
      <c r="Y611" s="35">
        <f t="shared" si="253"/>
        <v>1.4778325123152691E-2</v>
      </c>
      <c r="Z611" s="35">
        <f t="shared" si="253"/>
        <v>1.4778325123152691E-2</v>
      </c>
      <c r="AA611" s="35">
        <f t="shared" si="253"/>
        <v>1.4778325123152691E-2</v>
      </c>
    </row>
    <row r="612" spans="2:27" x14ac:dyDescent="0.2">
      <c r="B612" s="2">
        <v>610</v>
      </c>
      <c r="C612" s="2" t="str">
        <f t="shared" ref="C612:C642" si="254">C580</f>
        <v>s</v>
      </c>
      <c r="D612" s="29" t="s">
        <v>1</v>
      </c>
      <c r="E612" s="29" t="s">
        <v>227</v>
      </c>
      <c r="F612" s="2" t="s">
        <v>229</v>
      </c>
      <c r="G612" s="2">
        <f t="shared" si="247"/>
        <v>2</v>
      </c>
      <c r="H612" s="2" t="str">
        <f t="shared" si="239"/>
        <v>地脉</v>
      </c>
      <c r="I612" s="38">
        <f t="shared" si="240"/>
        <v>0.08</v>
      </c>
      <c r="J612" s="33">
        <f t="shared" si="251"/>
        <v>46</v>
      </c>
      <c r="K612" s="33">
        <f t="shared" si="252"/>
        <v>49</v>
      </c>
      <c r="L612" s="33">
        <f t="shared" si="252"/>
        <v>9</v>
      </c>
      <c r="M612" s="33">
        <f t="shared" si="252"/>
        <v>30</v>
      </c>
      <c r="N612" s="33">
        <f t="shared" si="252"/>
        <v>30</v>
      </c>
      <c r="O612" s="33">
        <f t="shared" si="252"/>
        <v>27</v>
      </c>
      <c r="P612" s="33">
        <f t="shared" si="252"/>
        <v>13</v>
      </c>
      <c r="Q612" s="33">
        <f t="shared" si="252"/>
        <v>15</v>
      </c>
      <c r="R612" s="35">
        <f t="shared" si="241"/>
        <v>0.03</v>
      </c>
      <c r="S612" s="35">
        <f t="shared" si="242"/>
        <v>2.6000000000000002E-2</v>
      </c>
      <c r="T612" s="35">
        <f t="shared" si="243"/>
        <v>1.8749999999999999E-2</v>
      </c>
      <c r="U612" s="35">
        <f t="shared" si="253"/>
        <v>3.3816425120772986E-2</v>
      </c>
      <c r="V612" s="35">
        <f t="shared" si="253"/>
        <v>0.17012448132780078</v>
      </c>
      <c r="W612" s="35">
        <f t="shared" si="253"/>
        <v>3.3816425120772986E-2</v>
      </c>
      <c r="X612" s="35">
        <f t="shared" si="253"/>
        <v>3.3816425120772986E-2</v>
      </c>
      <c r="Y612" s="35">
        <f t="shared" si="253"/>
        <v>3.3816425120772986E-2</v>
      </c>
      <c r="Z612" s="35">
        <f t="shared" si="253"/>
        <v>3.3816425120772986E-2</v>
      </c>
      <c r="AA612" s="35">
        <f t="shared" si="253"/>
        <v>3.3816425120772986E-2</v>
      </c>
    </row>
    <row r="613" spans="2:27" x14ac:dyDescent="0.2">
      <c r="B613" s="2">
        <v>611</v>
      </c>
      <c r="C613" s="2" t="str">
        <f t="shared" si="254"/>
        <v>s</v>
      </c>
      <c r="D613" s="29" t="s">
        <v>1</v>
      </c>
      <c r="E613" s="29" t="s">
        <v>227</v>
      </c>
      <c r="F613" s="2" t="s">
        <v>229</v>
      </c>
      <c r="G613" s="2">
        <f t="shared" si="247"/>
        <v>3</v>
      </c>
      <c r="H613" s="2" t="str">
        <f t="shared" si="239"/>
        <v>地脉</v>
      </c>
      <c r="I613" s="38">
        <f t="shared" si="240"/>
        <v>9.4E-2</v>
      </c>
      <c r="J613" s="33">
        <f t="shared" ref="J613:J622" si="255">INT((1+VLOOKUP($F613,role_property_weight,getpos(J$2),FALSE))*(1+VLOOKUP($F613,drop_property_weight,getpos(J$2),FALSE))*VLOOKUP($E613,role_grow,getpos(J$2),FALSE)*$G613*10*VLOOKUP($C613,drop_grow1,4,FALSE))</f>
        <v>69</v>
      </c>
      <c r="K613" s="33">
        <f t="shared" ref="K613:Q622" si="256">INT((1+VLOOKUP($F613,role_property_weight,getpos(K$2),FALSE))*(1+VLOOKUP($F613,drop_property_weight,getpos(K$2),FALSE))*VLOOKUP($E613,role_grow,getpos(K$2),FALSE)*$G613*10*VLOOKUP($C613,drop_grow1,5,FALSE))</f>
        <v>74</v>
      </c>
      <c r="L613" s="33">
        <f t="shared" si="256"/>
        <v>13</v>
      </c>
      <c r="M613" s="33">
        <f t="shared" si="256"/>
        <v>45</v>
      </c>
      <c r="N613" s="33">
        <f t="shared" si="256"/>
        <v>45</v>
      </c>
      <c r="O613" s="33">
        <f t="shared" si="256"/>
        <v>41</v>
      </c>
      <c r="P613" s="33">
        <f t="shared" si="256"/>
        <v>20</v>
      </c>
      <c r="Q613" s="33">
        <f t="shared" si="256"/>
        <v>22</v>
      </c>
      <c r="R613" s="35">
        <f t="shared" si="241"/>
        <v>4.4000000000000004E-2</v>
      </c>
      <c r="S613" s="35">
        <f t="shared" si="242"/>
        <v>0.04</v>
      </c>
      <c r="T613" s="35">
        <f t="shared" si="243"/>
        <v>2.75E-2</v>
      </c>
      <c r="U613" s="35">
        <f t="shared" ref="U613:AA622" si="257">1-200/(200+ROUND((1+VLOOKUP($F613,role_property_weight,getpos(U$2),FALSE))*VLOOKUP($E613,role_grow,getpos(U$2),FALSE)*$G613*10*VLOOKUP($C613,drop_grow1,5,FALSE),0))</f>
        <v>4.7619047619047672E-2</v>
      </c>
      <c r="V613" s="35">
        <f t="shared" si="257"/>
        <v>0.23664122137404575</v>
      </c>
      <c r="W613" s="35">
        <f t="shared" si="257"/>
        <v>4.7619047619047672E-2</v>
      </c>
      <c r="X613" s="35">
        <f t="shared" si="257"/>
        <v>4.7619047619047672E-2</v>
      </c>
      <c r="Y613" s="35">
        <f t="shared" si="257"/>
        <v>4.7619047619047672E-2</v>
      </c>
      <c r="Z613" s="35">
        <f t="shared" si="257"/>
        <v>4.7619047619047672E-2</v>
      </c>
      <c r="AA613" s="35">
        <f t="shared" si="257"/>
        <v>4.7619047619047672E-2</v>
      </c>
    </row>
    <row r="614" spans="2:27" x14ac:dyDescent="0.2">
      <c r="B614" s="2">
        <v>612</v>
      </c>
      <c r="C614" s="2" t="str">
        <f t="shared" si="254"/>
        <v>s</v>
      </c>
      <c r="D614" s="29" t="s">
        <v>1</v>
      </c>
      <c r="E614" s="29" t="s">
        <v>227</v>
      </c>
      <c r="F614" s="2" t="s">
        <v>229</v>
      </c>
      <c r="G614" s="2">
        <f t="shared" si="247"/>
        <v>4</v>
      </c>
      <c r="H614" s="2" t="str">
        <f t="shared" si="239"/>
        <v>地脉</v>
      </c>
      <c r="I614" s="38">
        <f t="shared" si="240"/>
        <v>0.12571428571428572</v>
      </c>
      <c r="J614" s="33">
        <f t="shared" si="255"/>
        <v>92</v>
      </c>
      <c r="K614" s="33">
        <f t="shared" si="256"/>
        <v>98</v>
      </c>
      <c r="L614" s="33">
        <f t="shared" si="256"/>
        <v>18</v>
      </c>
      <c r="M614" s="33">
        <f t="shared" si="256"/>
        <v>60</v>
      </c>
      <c r="N614" s="33">
        <f t="shared" si="256"/>
        <v>60</v>
      </c>
      <c r="O614" s="33">
        <f t="shared" si="256"/>
        <v>55</v>
      </c>
      <c r="P614" s="33">
        <f t="shared" si="256"/>
        <v>27</v>
      </c>
      <c r="Q614" s="33">
        <f t="shared" si="256"/>
        <v>30</v>
      </c>
      <c r="R614" s="35">
        <f t="shared" si="241"/>
        <v>0.06</v>
      </c>
      <c r="S614" s="35">
        <f t="shared" si="242"/>
        <v>5.4000000000000006E-2</v>
      </c>
      <c r="T614" s="35">
        <f t="shared" si="243"/>
        <v>3.7499999999999999E-2</v>
      </c>
      <c r="U614" s="35">
        <f t="shared" si="257"/>
        <v>6.5420560747663559E-2</v>
      </c>
      <c r="V614" s="35">
        <f t="shared" si="257"/>
        <v>0.29328621908127206</v>
      </c>
      <c r="W614" s="35">
        <f t="shared" si="257"/>
        <v>6.5420560747663559E-2</v>
      </c>
      <c r="X614" s="35">
        <f t="shared" si="257"/>
        <v>6.5420560747663559E-2</v>
      </c>
      <c r="Y614" s="35">
        <f t="shared" si="257"/>
        <v>6.5420560747663559E-2</v>
      </c>
      <c r="Z614" s="35">
        <f t="shared" si="257"/>
        <v>6.5420560747663559E-2</v>
      </c>
      <c r="AA614" s="35">
        <f t="shared" si="257"/>
        <v>6.5420560747663559E-2</v>
      </c>
    </row>
    <row r="615" spans="2:27" x14ac:dyDescent="0.2">
      <c r="B615" s="2">
        <v>613</v>
      </c>
      <c r="C615" s="2" t="str">
        <f t="shared" si="254"/>
        <v>s</v>
      </c>
      <c r="D615" s="29" t="s">
        <v>1</v>
      </c>
      <c r="E615" s="29" t="s">
        <v>227</v>
      </c>
      <c r="F615" s="2" t="s">
        <v>229</v>
      </c>
      <c r="G615" s="2">
        <f t="shared" si="247"/>
        <v>5</v>
      </c>
      <c r="H615" s="2" t="str">
        <f t="shared" si="239"/>
        <v>地脉</v>
      </c>
      <c r="I615" s="38">
        <f t="shared" si="240"/>
        <v>0.158</v>
      </c>
      <c r="J615" s="33">
        <f t="shared" si="255"/>
        <v>115</v>
      </c>
      <c r="K615" s="33">
        <f t="shared" si="256"/>
        <v>123</v>
      </c>
      <c r="L615" s="33">
        <f t="shared" si="256"/>
        <v>22</v>
      </c>
      <c r="M615" s="33">
        <f t="shared" si="256"/>
        <v>76</v>
      </c>
      <c r="N615" s="33">
        <f t="shared" si="256"/>
        <v>76</v>
      </c>
      <c r="O615" s="33">
        <f t="shared" si="256"/>
        <v>69</v>
      </c>
      <c r="P615" s="33">
        <f t="shared" si="256"/>
        <v>34</v>
      </c>
      <c r="Q615" s="33">
        <f t="shared" si="256"/>
        <v>38</v>
      </c>
      <c r="R615" s="35">
        <f t="shared" si="241"/>
        <v>7.5999999999999998E-2</v>
      </c>
      <c r="S615" s="35">
        <f t="shared" si="242"/>
        <v>6.8000000000000005E-2</v>
      </c>
      <c r="T615" s="35">
        <f t="shared" si="243"/>
        <v>4.7500000000000001E-2</v>
      </c>
      <c r="U615" s="35">
        <f t="shared" si="257"/>
        <v>7.8341013824884786E-2</v>
      </c>
      <c r="V615" s="35">
        <f t="shared" si="257"/>
        <v>0.34210526315789469</v>
      </c>
      <c r="W615" s="35">
        <f t="shared" si="257"/>
        <v>7.8341013824884786E-2</v>
      </c>
      <c r="X615" s="35">
        <f t="shared" si="257"/>
        <v>7.8341013824884786E-2</v>
      </c>
      <c r="Y615" s="35">
        <f t="shared" si="257"/>
        <v>7.8341013824884786E-2</v>
      </c>
      <c r="Z615" s="35">
        <f t="shared" si="257"/>
        <v>7.8341013824884786E-2</v>
      </c>
      <c r="AA615" s="35">
        <f t="shared" si="257"/>
        <v>7.8341013824884786E-2</v>
      </c>
    </row>
    <row r="616" spans="2:27" x14ac:dyDescent="0.2">
      <c r="B616" s="2">
        <v>614</v>
      </c>
      <c r="C616" s="2" t="str">
        <f t="shared" si="254"/>
        <v>s</v>
      </c>
      <c r="D616" s="29" t="s">
        <v>1</v>
      </c>
      <c r="E616" s="29" t="s">
        <v>227</v>
      </c>
      <c r="F616" s="2" t="s">
        <v>229</v>
      </c>
      <c r="G616" s="2">
        <f t="shared" si="247"/>
        <v>6</v>
      </c>
      <c r="H616" s="2" t="str">
        <f t="shared" si="239"/>
        <v>地脉</v>
      </c>
      <c r="I616" s="38">
        <f t="shared" si="240"/>
        <v>0.18942857142857142</v>
      </c>
      <c r="J616" s="33">
        <f t="shared" si="255"/>
        <v>138</v>
      </c>
      <c r="K616" s="33">
        <f t="shared" si="256"/>
        <v>148</v>
      </c>
      <c r="L616" s="33">
        <f t="shared" si="256"/>
        <v>27</v>
      </c>
      <c r="M616" s="33">
        <f t="shared" si="256"/>
        <v>91</v>
      </c>
      <c r="N616" s="33">
        <f t="shared" si="256"/>
        <v>91</v>
      </c>
      <c r="O616" s="33">
        <f t="shared" si="256"/>
        <v>82</v>
      </c>
      <c r="P616" s="33">
        <f t="shared" si="256"/>
        <v>41</v>
      </c>
      <c r="Q616" s="33">
        <f t="shared" si="256"/>
        <v>45</v>
      </c>
      <c r="R616" s="35">
        <f t="shared" si="241"/>
        <v>0.09</v>
      </c>
      <c r="S616" s="35">
        <f t="shared" si="242"/>
        <v>8.199999999999999E-2</v>
      </c>
      <c r="T616" s="35">
        <f t="shared" si="243"/>
        <v>5.6250000000000001E-2</v>
      </c>
      <c r="U616" s="35">
        <f t="shared" si="257"/>
        <v>9.5022624434389136E-2</v>
      </c>
      <c r="V616" s="35">
        <f t="shared" si="257"/>
        <v>0.38271604938271608</v>
      </c>
      <c r="W616" s="35">
        <f t="shared" si="257"/>
        <v>9.5022624434389136E-2</v>
      </c>
      <c r="X616" s="35">
        <f t="shared" si="257"/>
        <v>9.5022624434389136E-2</v>
      </c>
      <c r="Y616" s="35">
        <f t="shared" si="257"/>
        <v>9.5022624434389136E-2</v>
      </c>
      <c r="Z616" s="35">
        <f t="shared" si="257"/>
        <v>9.5022624434389136E-2</v>
      </c>
      <c r="AA616" s="35">
        <f t="shared" si="257"/>
        <v>9.5022624434389136E-2</v>
      </c>
    </row>
    <row r="617" spans="2:27" x14ac:dyDescent="0.2">
      <c r="B617" s="2">
        <v>615</v>
      </c>
      <c r="C617" s="2" t="str">
        <f t="shared" si="254"/>
        <v>s</v>
      </c>
      <c r="D617" s="29" t="s">
        <v>1</v>
      </c>
      <c r="E617" s="29" t="s">
        <v>227</v>
      </c>
      <c r="F617" s="2" t="s">
        <v>229</v>
      </c>
      <c r="G617" s="2">
        <f t="shared" si="247"/>
        <v>7</v>
      </c>
      <c r="H617" s="2" t="str">
        <f t="shared" si="239"/>
        <v>地脉</v>
      </c>
      <c r="I617" s="38">
        <f t="shared" si="240"/>
        <v>0.22085714285714286</v>
      </c>
      <c r="J617" s="33">
        <f t="shared" si="255"/>
        <v>161</v>
      </c>
      <c r="K617" s="33">
        <f t="shared" si="256"/>
        <v>172</v>
      </c>
      <c r="L617" s="33">
        <f t="shared" si="256"/>
        <v>31</v>
      </c>
      <c r="M617" s="33">
        <f t="shared" si="256"/>
        <v>106</v>
      </c>
      <c r="N617" s="33">
        <f t="shared" si="256"/>
        <v>106</v>
      </c>
      <c r="O617" s="33">
        <f t="shared" si="256"/>
        <v>96</v>
      </c>
      <c r="P617" s="33">
        <f t="shared" si="256"/>
        <v>48</v>
      </c>
      <c r="Q617" s="33">
        <f t="shared" si="256"/>
        <v>53</v>
      </c>
      <c r="R617" s="35">
        <f t="shared" si="241"/>
        <v>0.106</v>
      </c>
      <c r="S617" s="35">
        <f t="shared" si="242"/>
        <v>9.6000000000000002E-2</v>
      </c>
      <c r="T617" s="35">
        <f t="shared" si="243"/>
        <v>6.6250000000000003E-2</v>
      </c>
      <c r="U617" s="35">
        <f t="shared" si="257"/>
        <v>0.1071428571428571</v>
      </c>
      <c r="V617" s="35">
        <f t="shared" si="257"/>
        <v>0.42028985507246375</v>
      </c>
      <c r="W617" s="35">
        <f t="shared" si="257"/>
        <v>0.1071428571428571</v>
      </c>
      <c r="X617" s="35">
        <f t="shared" si="257"/>
        <v>0.1071428571428571</v>
      </c>
      <c r="Y617" s="35">
        <f t="shared" si="257"/>
        <v>0.1071428571428571</v>
      </c>
      <c r="Z617" s="35">
        <f t="shared" si="257"/>
        <v>0.1071428571428571</v>
      </c>
      <c r="AA617" s="35">
        <f t="shared" si="257"/>
        <v>0.1071428571428571</v>
      </c>
    </row>
    <row r="618" spans="2:27" x14ac:dyDescent="0.2">
      <c r="B618" s="2">
        <v>616</v>
      </c>
      <c r="C618" s="2" t="str">
        <f t="shared" si="254"/>
        <v>s</v>
      </c>
      <c r="D618" s="29" t="s">
        <v>1</v>
      </c>
      <c r="E618" s="29" t="s">
        <v>227</v>
      </c>
      <c r="F618" s="2" t="s">
        <v>229</v>
      </c>
      <c r="G618" s="2">
        <f t="shared" si="247"/>
        <v>8</v>
      </c>
      <c r="H618" s="2" t="str">
        <f t="shared" si="239"/>
        <v>地脉</v>
      </c>
      <c r="I618" s="38">
        <f t="shared" si="240"/>
        <v>0.25257142857142856</v>
      </c>
      <c r="J618" s="33">
        <f t="shared" si="255"/>
        <v>184</v>
      </c>
      <c r="K618" s="33">
        <f t="shared" si="256"/>
        <v>197</v>
      </c>
      <c r="L618" s="33">
        <f t="shared" si="256"/>
        <v>36</v>
      </c>
      <c r="M618" s="33">
        <f t="shared" si="256"/>
        <v>121</v>
      </c>
      <c r="N618" s="33">
        <f t="shared" si="256"/>
        <v>121</v>
      </c>
      <c r="O618" s="33">
        <f t="shared" si="256"/>
        <v>110</v>
      </c>
      <c r="P618" s="33">
        <f t="shared" si="256"/>
        <v>55</v>
      </c>
      <c r="Q618" s="33">
        <f t="shared" si="256"/>
        <v>60</v>
      </c>
      <c r="R618" s="35">
        <f t="shared" si="241"/>
        <v>0.12</v>
      </c>
      <c r="S618" s="35">
        <f t="shared" si="242"/>
        <v>0.11</v>
      </c>
      <c r="T618" s="35">
        <f t="shared" si="243"/>
        <v>7.4999999999999997E-2</v>
      </c>
      <c r="U618" s="35">
        <f t="shared" si="257"/>
        <v>0.1228070175438597</v>
      </c>
      <c r="V618" s="35">
        <f t="shared" si="257"/>
        <v>0.45355191256830596</v>
      </c>
      <c r="W618" s="35">
        <f t="shared" si="257"/>
        <v>0.1228070175438597</v>
      </c>
      <c r="X618" s="35">
        <f t="shared" si="257"/>
        <v>0.1228070175438597</v>
      </c>
      <c r="Y618" s="35">
        <f t="shared" si="257"/>
        <v>0.1228070175438597</v>
      </c>
      <c r="Z618" s="35">
        <f t="shared" si="257"/>
        <v>0.1228070175438597</v>
      </c>
      <c r="AA618" s="35">
        <f t="shared" si="257"/>
        <v>0.1228070175438597</v>
      </c>
    </row>
    <row r="619" spans="2:27" x14ac:dyDescent="0.2">
      <c r="B619" s="2">
        <v>617</v>
      </c>
      <c r="C619" s="2" t="str">
        <f t="shared" si="254"/>
        <v>a</v>
      </c>
      <c r="D619" s="29" t="s">
        <v>1</v>
      </c>
      <c r="E619" s="29" t="s">
        <v>227</v>
      </c>
      <c r="F619" s="2" t="s">
        <v>229</v>
      </c>
      <c r="G619" s="2">
        <f t="shared" si="247"/>
        <v>1</v>
      </c>
      <c r="H619" s="2" t="str">
        <f t="shared" si="239"/>
        <v>地脉</v>
      </c>
      <c r="I619" s="38">
        <f t="shared" si="240"/>
        <v>0.08</v>
      </c>
      <c r="J619" s="33">
        <f t="shared" si="255"/>
        <v>17</v>
      </c>
      <c r="K619" s="33">
        <f t="shared" si="256"/>
        <v>27</v>
      </c>
      <c r="L619" s="33">
        <f t="shared" si="256"/>
        <v>5</v>
      </c>
      <c r="M619" s="33">
        <f t="shared" si="256"/>
        <v>16</v>
      </c>
      <c r="N619" s="33">
        <f t="shared" si="256"/>
        <v>16</v>
      </c>
      <c r="O619" s="33">
        <f t="shared" si="256"/>
        <v>15</v>
      </c>
      <c r="P619" s="33">
        <f t="shared" si="256"/>
        <v>7</v>
      </c>
      <c r="Q619" s="33">
        <f t="shared" si="256"/>
        <v>8</v>
      </c>
      <c r="R619" s="35">
        <f t="shared" si="241"/>
        <v>1.6E-2</v>
      </c>
      <c r="S619" s="35">
        <f t="shared" si="242"/>
        <v>1.3999999999999999E-2</v>
      </c>
      <c r="T619" s="35">
        <f t="shared" si="243"/>
        <v>0.01</v>
      </c>
      <c r="U619" s="35">
        <f t="shared" si="257"/>
        <v>1.9607843137254943E-2</v>
      </c>
      <c r="V619" s="35">
        <f t="shared" si="257"/>
        <v>0.10313901345291476</v>
      </c>
      <c r="W619" s="35">
        <f t="shared" si="257"/>
        <v>1.9607843137254943E-2</v>
      </c>
      <c r="X619" s="35">
        <f t="shared" si="257"/>
        <v>1.9607843137254943E-2</v>
      </c>
      <c r="Y619" s="35">
        <f t="shared" si="257"/>
        <v>1.9607843137254943E-2</v>
      </c>
      <c r="Z619" s="35">
        <f t="shared" si="257"/>
        <v>1.9607843137254943E-2</v>
      </c>
      <c r="AA619" s="35">
        <f t="shared" si="257"/>
        <v>1.9607843137254943E-2</v>
      </c>
    </row>
    <row r="620" spans="2:27" x14ac:dyDescent="0.2">
      <c r="B620" s="2">
        <v>618</v>
      </c>
      <c r="C620" s="2" t="str">
        <f t="shared" si="254"/>
        <v>a</v>
      </c>
      <c r="D620" s="29" t="s">
        <v>1</v>
      </c>
      <c r="E620" s="29" t="s">
        <v>227</v>
      </c>
      <c r="F620" s="2" t="s">
        <v>229</v>
      </c>
      <c r="G620" s="2">
        <f t="shared" si="247"/>
        <v>2</v>
      </c>
      <c r="H620" s="2" t="str">
        <f t="shared" si="239"/>
        <v>地脉</v>
      </c>
      <c r="I620" s="38">
        <f t="shared" si="240"/>
        <v>0.08</v>
      </c>
      <c r="J620" s="33">
        <f t="shared" si="255"/>
        <v>34</v>
      </c>
      <c r="K620" s="33">
        <f t="shared" si="256"/>
        <v>54</v>
      </c>
      <c r="L620" s="33">
        <f t="shared" si="256"/>
        <v>10</v>
      </c>
      <c r="M620" s="33">
        <f t="shared" si="256"/>
        <v>33</v>
      </c>
      <c r="N620" s="33">
        <f t="shared" si="256"/>
        <v>33</v>
      </c>
      <c r="O620" s="33">
        <f t="shared" si="256"/>
        <v>30</v>
      </c>
      <c r="P620" s="33">
        <f t="shared" si="256"/>
        <v>15</v>
      </c>
      <c r="Q620" s="33">
        <f t="shared" si="256"/>
        <v>16</v>
      </c>
      <c r="R620" s="35">
        <f t="shared" si="241"/>
        <v>3.2000000000000001E-2</v>
      </c>
      <c r="S620" s="35">
        <f t="shared" si="242"/>
        <v>0.03</v>
      </c>
      <c r="T620" s="35">
        <f t="shared" si="243"/>
        <v>0.02</v>
      </c>
      <c r="U620" s="35">
        <f t="shared" si="257"/>
        <v>3.8461538461538436E-2</v>
      </c>
      <c r="V620" s="35">
        <f t="shared" si="257"/>
        <v>0.18699186991869921</v>
      </c>
      <c r="W620" s="35">
        <f t="shared" si="257"/>
        <v>3.8461538461538436E-2</v>
      </c>
      <c r="X620" s="35">
        <f t="shared" si="257"/>
        <v>3.8461538461538436E-2</v>
      </c>
      <c r="Y620" s="35">
        <f t="shared" si="257"/>
        <v>3.8461538461538436E-2</v>
      </c>
      <c r="Z620" s="35">
        <f t="shared" si="257"/>
        <v>3.8461538461538436E-2</v>
      </c>
      <c r="AA620" s="35">
        <f t="shared" si="257"/>
        <v>3.8461538461538436E-2</v>
      </c>
    </row>
    <row r="621" spans="2:27" x14ac:dyDescent="0.2">
      <c r="B621" s="2">
        <v>619</v>
      </c>
      <c r="C621" s="2" t="str">
        <f t="shared" si="254"/>
        <v>a</v>
      </c>
      <c r="D621" s="29" t="s">
        <v>1</v>
      </c>
      <c r="E621" s="29" t="s">
        <v>227</v>
      </c>
      <c r="F621" s="2" t="s">
        <v>229</v>
      </c>
      <c r="G621" s="2">
        <f t="shared" si="247"/>
        <v>3</v>
      </c>
      <c r="H621" s="2" t="str">
        <f t="shared" si="239"/>
        <v>地脉</v>
      </c>
      <c r="I621" s="38">
        <f t="shared" si="240"/>
        <v>9.7714285714285726E-2</v>
      </c>
      <c r="J621" s="33">
        <f t="shared" si="255"/>
        <v>51</v>
      </c>
      <c r="K621" s="33">
        <f t="shared" si="256"/>
        <v>82</v>
      </c>
      <c r="L621" s="33">
        <f t="shared" si="256"/>
        <v>15</v>
      </c>
      <c r="M621" s="33">
        <f t="shared" si="256"/>
        <v>50</v>
      </c>
      <c r="N621" s="33">
        <f t="shared" si="256"/>
        <v>50</v>
      </c>
      <c r="O621" s="33">
        <f t="shared" si="256"/>
        <v>46</v>
      </c>
      <c r="P621" s="33">
        <f t="shared" si="256"/>
        <v>23</v>
      </c>
      <c r="Q621" s="33">
        <f t="shared" si="256"/>
        <v>25</v>
      </c>
      <c r="R621" s="35">
        <f t="shared" si="241"/>
        <v>0.05</v>
      </c>
      <c r="S621" s="35">
        <f t="shared" si="242"/>
        <v>4.5999999999999999E-2</v>
      </c>
      <c r="T621" s="35">
        <f t="shared" si="243"/>
        <v>3.125E-2</v>
      </c>
      <c r="U621" s="35">
        <f t="shared" si="257"/>
        <v>5.6603773584905648E-2</v>
      </c>
      <c r="V621" s="35">
        <f t="shared" si="257"/>
        <v>0.25650557620817849</v>
      </c>
      <c r="W621" s="35">
        <f t="shared" si="257"/>
        <v>5.6603773584905648E-2</v>
      </c>
      <c r="X621" s="35">
        <f t="shared" si="257"/>
        <v>5.6603773584905648E-2</v>
      </c>
      <c r="Y621" s="35">
        <f t="shared" si="257"/>
        <v>5.6603773584905648E-2</v>
      </c>
      <c r="Z621" s="35">
        <f t="shared" si="257"/>
        <v>5.6603773584905648E-2</v>
      </c>
      <c r="AA621" s="35">
        <f t="shared" si="257"/>
        <v>5.6603773584905648E-2</v>
      </c>
    </row>
    <row r="622" spans="2:27" x14ac:dyDescent="0.2">
      <c r="B622" s="2">
        <v>620</v>
      </c>
      <c r="C622" s="2" t="str">
        <f t="shared" si="254"/>
        <v>a</v>
      </c>
      <c r="D622" s="29" t="s">
        <v>1</v>
      </c>
      <c r="E622" s="29" t="s">
        <v>227</v>
      </c>
      <c r="F622" s="2" t="s">
        <v>229</v>
      </c>
      <c r="G622" s="2">
        <f t="shared" si="247"/>
        <v>4</v>
      </c>
      <c r="H622" s="2" t="str">
        <f t="shared" si="239"/>
        <v>地脉</v>
      </c>
      <c r="I622" s="38">
        <f t="shared" si="240"/>
        <v>0.13028571428571428</v>
      </c>
      <c r="J622" s="33">
        <f t="shared" si="255"/>
        <v>69</v>
      </c>
      <c r="K622" s="33">
        <f t="shared" si="256"/>
        <v>109</v>
      </c>
      <c r="L622" s="33">
        <f t="shared" si="256"/>
        <v>20</v>
      </c>
      <c r="M622" s="33">
        <f t="shared" si="256"/>
        <v>67</v>
      </c>
      <c r="N622" s="33">
        <f t="shared" si="256"/>
        <v>67</v>
      </c>
      <c r="O622" s="33">
        <f t="shared" si="256"/>
        <v>61</v>
      </c>
      <c r="P622" s="33">
        <f t="shared" si="256"/>
        <v>30</v>
      </c>
      <c r="Q622" s="33">
        <f t="shared" si="256"/>
        <v>33</v>
      </c>
      <c r="R622" s="35">
        <f t="shared" si="241"/>
        <v>6.6000000000000003E-2</v>
      </c>
      <c r="S622" s="35">
        <f t="shared" si="242"/>
        <v>0.06</v>
      </c>
      <c r="T622" s="35">
        <f t="shared" si="243"/>
        <v>4.1250000000000002E-2</v>
      </c>
      <c r="U622" s="35">
        <f t="shared" si="257"/>
        <v>6.9767441860465129E-2</v>
      </c>
      <c r="V622" s="35">
        <f t="shared" si="257"/>
        <v>0.31506849315068497</v>
      </c>
      <c r="W622" s="35">
        <f t="shared" si="257"/>
        <v>6.9767441860465129E-2</v>
      </c>
      <c r="X622" s="35">
        <f t="shared" si="257"/>
        <v>6.9767441860465129E-2</v>
      </c>
      <c r="Y622" s="35">
        <f t="shared" si="257"/>
        <v>6.9767441860465129E-2</v>
      </c>
      <c r="Z622" s="35">
        <f t="shared" si="257"/>
        <v>6.9767441860465129E-2</v>
      </c>
      <c r="AA622" s="35">
        <f t="shared" si="257"/>
        <v>6.9767441860465129E-2</v>
      </c>
    </row>
    <row r="623" spans="2:27" x14ac:dyDescent="0.2">
      <c r="B623" s="2">
        <v>621</v>
      </c>
      <c r="C623" s="2" t="str">
        <f t="shared" si="254"/>
        <v>a</v>
      </c>
      <c r="D623" s="29" t="s">
        <v>1</v>
      </c>
      <c r="E623" s="29" t="s">
        <v>227</v>
      </c>
      <c r="F623" s="2" t="s">
        <v>229</v>
      </c>
      <c r="G623" s="2">
        <f t="shared" si="247"/>
        <v>5</v>
      </c>
      <c r="H623" s="2" t="str">
        <f t="shared" si="239"/>
        <v>地脉</v>
      </c>
      <c r="I623" s="38">
        <f t="shared" si="240"/>
        <v>0.16342857142857142</v>
      </c>
      <c r="J623" s="33">
        <f t="shared" ref="J623:J632" si="258">INT((1+VLOOKUP($F623,role_property_weight,getpos(J$2),FALSE))*(1+VLOOKUP($F623,drop_property_weight,getpos(J$2),FALSE))*VLOOKUP($E623,role_grow,getpos(J$2),FALSE)*$G623*10*VLOOKUP($C623,drop_grow1,4,FALSE))</f>
        <v>86</v>
      </c>
      <c r="K623" s="33">
        <f t="shared" ref="K623:Q632" si="259">INT((1+VLOOKUP($F623,role_property_weight,getpos(K$2),FALSE))*(1+VLOOKUP($F623,drop_property_weight,getpos(K$2),FALSE))*VLOOKUP($E623,role_grow,getpos(K$2),FALSE)*$G623*10*VLOOKUP($C623,drop_grow1,5,FALSE))</f>
        <v>137</v>
      </c>
      <c r="L623" s="33">
        <f t="shared" si="259"/>
        <v>25</v>
      </c>
      <c r="M623" s="33">
        <f t="shared" si="259"/>
        <v>84</v>
      </c>
      <c r="N623" s="33">
        <f t="shared" si="259"/>
        <v>84</v>
      </c>
      <c r="O623" s="33">
        <f t="shared" si="259"/>
        <v>76</v>
      </c>
      <c r="P623" s="33">
        <f t="shared" si="259"/>
        <v>38</v>
      </c>
      <c r="Q623" s="33">
        <f t="shared" si="259"/>
        <v>42</v>
      </c>
      <c r="R623" s="35">
        <f t="shared" si="241"/>
        <v>8.4000000000000005E-2</v>
      </c>
      <c r="S623" s="35">
        <f t="shared" si="242"/>
        <v>7.5999999999999998E-2</v>
      </c>
      <c r="T623" s="35">
        <f t="shared" si="243"/>
        <v>5.2499999999999998E-2</v>
      </c>
      <c r="U623" s="35">
        <f t="shared" ref="U623:AA632" si="260">1-200/(200+ROUND((1+VLOOKUP($F623,role_property_weight,getpos(U$2),FALSE))*VLOOKUP($E623,role_grow,getpos(U$2),FALSE)*$G623*10*VLOOKUP($C623,drop_grow1,5,FALSE),0))</f>
        <v>8.6757990867579959E-2</v>
      </c>
      <c r="V623" s="35">
        <f t="shared" si="260"/>
        <v>0.36507936507936511</v>
      </c>
      <c r="W623" s="35">
        <f t="shared" si="260"/>
        <v>8.6757990867579959E-2</v>
      </c>
      <c r="X623" s="35">
        <f t="shared" si="260"/>
        <v>8.6757990867579959E-2</v>
      </c>
      <c r="Y623" s="35">
        <f t="shared" si="260"/>
        <v>8.6757990867579959E-2</v>
      </c>
      <c r="Z623" s="35">
        <f t="shared" si="260"/>
        <v>8.6757990867579959E-2</v>
      </c>
      <c r="AA623" s="35">
        <f t="shared" si="260"/>
        <v>8.6757990867579959E-2</v>
      </c>
    </row>
    <row r="624" spans="2:27" x14ac:dyDescent="0.2">
      <c r="B624" s="2">
        <v>622</v>
      </c>
      <c r="C624" s="2" t="str">
        <f t="shared" si="254"/>
        <v>a</v>
      </c>
      <c r="D624" s="29" t="s">
        <v>1</v>
      </c>
      <c r="E624" s="29" t="s">
        <v>227</v>
      </c>
      <c r="F624" s="2" t="s">
        <v>229</v>
      </c>
      <c r="G624" s="2">
        <f t="shared" si="247"/>
        <v>6</v>
      </c>
      <c r="H624" s="2" t="str">
        <f t="shared" si="239"/>
        <v>地脉</v>
      </c>
      <c r="I624" s="38">
        <f t="shared" si="240"/>
        <v>0.19628571428571429</v>
      </c>
      <c r="J624" s="33">
        <f t="shared" si="258"/>
        <v>103</v>
      </c>
      <c r="K624" s="33">
        <f t="shared" si="259"/>
        <v>164</v>
      </c>
      <c r="L624" s="33">
        <f t="shared" si="259"/>
        <v>30</v>
      </c>
      <c r="M624" s="33">
        <f t="shared" si="259"/>
        <v>101</v>
      </c>
      <c r="N624" s="33">
        <f t="shared" si="259"/>
        <v>101</v>
      </c>
      <c r="O624" s="33">
        <f t="shared" si="259"/>
        <v>92</v>
      </c>
      <c r="P624" s="33">
        <f t="shared" si="259"/>
        <v>46</v>
      </c>
      <c r="Q624" s="33">
        <f t="shared" si="259"/>
        <v>50</v>
      </c>
      <c r="R624" s="35">
        <f t="shared" si="241"/>
        <v>0.1</v>
      </c>
      <c r="S624" s="35">
        <f t="shared" si="242"/>
        <v>9.1999999999999998E-2</v>
      </c>
      <c r="T624" s="35">
        <f t="shared" si="243"/>
        <v>6.25E-2</v>
      </c>
      <c r="U624" s="35">
        <f t="shared" si="260"/>
        <v>0.10313901345291476</v>
      </c>
      <c r="V624" s="35">
        <f t="shared" si="260"/>
        <v>0.40828402366863903</v>
      </c>
      <c r="W624" s="35">
        <f t="shared" si="260"/>
        <v>0.10313901345291476</v>
      </c>
      <c r="X624" s="35">
        <f t="shared" si="260"/>
        <v>0.10313901345291476</v>
      </c>
      <c r="Y624" s="35">
        <f t="shared" si="260"/>
        <v>0.10313901345291476</v>
      </c>
      <c r="Z624" s="35">
        <f t="shared" si="260"/>
        <v>0.10313901345291476</v>
      </c>
      <c r="AA624" s="35">
        <f t="shared" si="260"/>
        <v>0.10313901345291476</v>
      </c>
    </row>
    <row r="625" spans="2:27" x14ac:dyDescent="0.2">
      <c r="B625" s="2">
        <v>623</v>
      </c>
      <c r="C625" s="2" t="str">
        <f t="shared" si="254"/>
        <v>a</v>
      </c>
      <c r="D625" s="29" t="s">
        <v>1</v>
      </c>
      <c r="E625" s="29" t="s">
        <v>227</v>
      </c>
      <c r="F625" s="2" t="s">
        <v>229</v>
      </c>
      <c r="G625" s="2">
        <f t="shared" si="247"/>
        <v>7</v>
      </c>
      <c r="H625" s="2" t="str">
        <f t="shared" si="239"/>
        <v>地脉</v>
      </c>
      <c r="I625" s="38">
        <f t="shared" si="240"/>
        <v>0.22914285714285715</v>
      </c>
      <c r="J625" s="33">
        <f t="shared" si="258"/>
        <v>120</v>
      </c>
      <c r="K625" s="33">
        <f t="shared" si="259"/>
        <v>192</v>
      </c>
      <c r="L625" s="33">
        <f t="shared" si="259"/>
        <v>35</v>
      </c>
      <c r="M625" s="33">
        <f t="shared" si="259"/>
        <v>118</v>
      </c>
      <c r="N625" s="33">
        <f t="shared" si="259"/>
        <v>118</v>
      </c>
      <c r="O625" s="33">
        <f t="shared" si="259"/>
        <v>107</v>
      </c>
      <c r="P625" s="33">
        <f t="shared" si="259"/>
        <v>53</v>
      </c>
      <c r="Q625" s="33">
        <f t="shared" si="259"/>
        <v>59</v>
      </c>
      <c r="R625" s="35">
        <f t="shared" si="241"/>
        <v>0.11800000000000001</v>
      </c>
      <c r="S625" s="35">
        <f t="shared" si="242"/>
        <v>0.106</v>
      </c>
      <c r="T625" s="35">
        <f t="shared" si="243"/>
        <v>7.3749999999999996E-2</v>
      </c>
      <c r="U625" s="35">
        <f t="shared" si="260"/>
        <v>0.11894273127753308</v>
      </c>
      <c r="V625" s="35">
        <f t="shared" si="260"/>
        <v>0.445983379501385</v>
      </c>
      <c r="W625" s="35">
        <f t="shared" si="260"/>
        <v>0.11894273127753308</v>
      </c>
      <c r="X625" s="35">
        <f t="shared" si="260"/>
        <v>0.11894273127753308</v>
      </c>
      <c r="Y625" s="35">
        <f t="shared" si="260"/>
        <v>0.11894273127753308</v>
      </c>
      <c r="Z625" s="35">
        <f t="shared" si="260"/>
        <v>0.11894273127753308</v>
      </c>
      <c r="AA625" s="35">
        <f t="shared" si="260"/>
        <v>0.11894273127753308</v>
      </c>
    </row>
    <row r="626" spans="2:27" x14ac:dyDescent="0.2">
      <c r="B626" s="2">
        <v>624</v>
      </c>
      <c r="C626" s="2" t="str">
        <f t="shared" si="254"/>
        <v>a</v>
      </c>
      <c r="D626" s="29" t="s">
        <v>1</v>
      </c>
      <c r="E626" s="29" t="s">
        <v>227</v>
      </c>
      <c r="F626" s="2" t="s">
        <v>229</v>
      </c>
      <c r="G626" s="2">
        <f t="shared" si="247"/>
        <v>8</v>
      </c>
      <c r="H626" s="2" t="str">
        <f t="shared" si="239"/>
        <v>地脉</v>
      </c>
      <c r="I626" s="38">
        <f t="shared" si="240"/>
        <v>0.26200000000000001</v>
      </c>
      <c r="J626" s="33">
        <f t="shared" si="258"/>
        <v>138</v>
      </c>
      <c r="K626" s="33">
        <f t="shared" si="259"/>
        <v>219</v>
      </c>
      <c r="L626" s="33">
        <f t="shared" si="259"/>
        <v>40</v>
      </c>
      <c r="M626" s="33">
        <f t="shared" si="259"/>
        <v>135</v>
      </c>
      <c r="N626" s="33">
        <f t="shared" si="259"/>
        <v>135</v>
      </c>
      <c r="O626" s="33">
        <f t="shared" si="259"/>
        <v>122</v>
      </c>
      <c r="P626" s="33">
        <f t="shared" si="259"/>
        <v>61</v>
      </c>
      <c r="Q626" s="33">
        <f t="shared" si="259"/>
        <v>67</v>
      </c>
      <c r="R626" s="35">
        <f t="shared" si="241"/>
        <v>0.13400000000000001</v>
      </c>
      <c r="S626" s="35">
        <f t="shared" si="242"/>
        <v>0.122</v>
      </c>
      <c r="T626" s="35">
        <f t="shared" si="243"/>
        <v>8.3750000000000005E-2</v>
      </c>
      <c r="U626" s="35">
        <f t="shared" si="260"/>
        <v>0.13419913419913421</v>
      </c>
      <c r="V626" s="35">
        <f t="shared" si="260"/>
        <v>0.47916666666666663</v>
      </c>
      <c r="W626" s="35">
        <f t="shared" si="260"/>
        <v>0.13419913419913421</v>
      </c>
      <c r="X626" s="35">
        <f t="shared" si="260"/>
        <v>0.13419913419913421</v>
      </c>
      <c r="Y626" s="35">
        <f t="shared" si="260"/>
        <v>0.13419913419913421</v>
      </c>
      <c r="Z626" s="35">
        <f t="shared" si="260"/>
        <v>0.13419913419913421</v>
      </c>
      <c r="AA626" s="35">
        <f t="shared" si="260"/>
        <v>0.13419913419913421</v>
      </c>
    </row>
    <row r="627" spans="2:27" x14ac:dyDescent="0.2">
      <c r="B627" s="2">
        <v>625</v>
      </c>
      <c r="C627" s="2" t="str">
        <f t="shared" si="254"/>
        <v>b</v>
      </c>
      <c r="D627" s="29" t="s">
        <v>1</v>
      </c>
      <c r="E627" s="29" t="s">
        <v>227</v>
      </c>
      <c r="F627" s="2" t="s">
        <v>229</v>
      </c>
      <c r="G627" s="2">
        <f t="shared" si="247"/>
        <v>1</v>
      </c>
      <c r="H627" s="2" t="str">
        <f t="shared" si="239"/>
        <v>地脉</v>
      </c>
      <c r="I627" s="38">
        <f t="shared" si="240"/>
        <v>0.08</v>
      </c>
      <c r="J627" s="33">
        <f t="shared" si="258"/>
        <v>20</v>
      </c>
      <c r="K627" s="33">
        <f t="shared" si="259"/>
        <v>41</v>
      </c>
      <c r="L627" s="33">
        <f t="shared" si="259"/>
        <v>7</v>
      </c>
      <c r="M627" s="33">
        <f t="shared" si="259"/>
        <v>25</v>
      </c>
      <c r="N627" s="33">
        <f t="shared" si="259"/>
        <v>25</v>
      </c>
      <c r="O627" s="33">
        <f t="shared" si="259"/>
        <v>23</v>
      </c>
      <c r="P627" s="33">
        <f t="shared" si="259"/>
        <v>11</v>
      </c>
      <c r="Q627" s="33">
        <f t="shared" si="259"/>
        <v>12</v>
      </c>
      <c r="R627" s="35">
        <f t="shared" si="241"/>
        <v>2.4E-2</v>
      </c>
      <c r="S627" s="35">
        <f t="shared" si="242"/>
        <v>2.2000000000000002E-2</v>
      </c>
      <c r="T627" s="35">
        <f t="shared" si="243"/>
        <v>1.4999999999999999E-2</v>
      </c>
      <c r="U627" s="35">
        <f t="shared" si="260"/>
        <v>2.9126213592232997E-2</v>
      </c>
      <c r="V627" s="35">
        <f t="shared" si="260"/>
        <v>0.14893617021276595</v>
      </c>
      <c r="W627" s="35">
        <f t="shared" si="260"/>
        <v>2.9126213592232997E-2</v>
      </c>
      <c r="X627" s="35">
        <f t="shared" si="260"/>
        <v>2.9126213592232997E-2</v>
      </c>
      <c r="Y627" s="35">
        <f t="shared" si="260"/>
        <v>2.9126213592232997E-2</v>
      </c>
      <c r="Z627" s="35">
        <f t="shared" si="260"/>
        <v>2.9126213592232997E-2</v>
      </c>
      <c r="AA627" s="35">
        <f t="shared" si="260"/>
        <v>2.9126213592232997E-2</v>
      </c>
    </row>
    <row r="628" spans="2:27" x14ac:dyDescent="0.2">
      <c r="B628" s="2">
        <v>626</v>
      </c>
      <c r="C628" s="2" t="str">
        <f t="shared" si="254"/>
        <v>b</v>
      </c>
      <c r="D628" s="29" t="s">
        <v>1</v>
      </c>
      <c r="E628" s="29" t="s">
        <v>227</v>
      </c>
      <c r="F628" s="2" t="s">
        <v>229</v>
      </c>
      <c r="G628" s="2">
        <f t="shared" si="247"/>
        <v>2</v>
      </c>
      <c r="H628" s="2" t="str">
        <f t="shared" si="239"/>
        <v>地脉</v>
      </c>
      <c r="I628" s="38">
        <f t="shared" si="240"/>
        <v>9.457142857142857E-2</v>
      </c>
      <c r="J628" s="33">
        <f t="shared" si="258"/>
        <v>40</v>
      </c>
      <c r="K628" s="33">
        <f t="shared" si="259"/>
        <v>82</v>
      </c>
      <c r="L628" s="33">
        <f t="shared" si="259"/>
        <v>15</v>
      </c>
      <c r="M628" s="33">
        <f t="shared" si="259"/>
        <v>50</v>
      </c>
      <c r="N628" s="33">
        <f t="shared" si="259"/>
        <v>50</v>
      </c>
      <c r="O628" s="33">
        <f t="shared" si="259"/>
        <v>46</v>
      </c>
      <c r="P628" s="33">
        <f t="shared" si="259"/>
        <v>23</v>
      </c>
      <c r="Q628" s="33">
        <f t="shared" si="259"/>
        <v>25</v>
      </c>
      <c r="R628" s="35">
        <f t="shared" si="241"/>
        <v>0.05</v>
      </c>
      <c r="S628" s="35">
        <f t="shared" si="242"/>
        <v>4.5999999999999999E-2</v>
      </c>
      <c r="T628" s="35">
        <f t="shared" si="243"/>
        <v>3.125E-2</v>
      </c>
      <c r="U628" s="35">
        <f t="shared" si="260"/>
        <v>5.6603773584905648E-2</v>
      </c>
      <c r="V628" s="35">
        <f t="shared" si="260"/>
        <v>0.25650557620817849</v>
      </c>
      <c r="W628" s="35">
        <f t="shared" si="260"/>
        <v>5.6603773584905648E-2</v>
      </c>
      <c r="X628" s="35">
        <f t="shared" si="260"/>
        <v>5.6603773584905648E-2</v>
      </c>
      <c r="Y628" s="35">
        <f t="shared" si="260"/>
        <v>5.6603773584905648E-2</v>
      </c>
      <c r="Z628" s="35">
        <f t="shared" si="260"/>
        <v>5.6603773584905648E-2</v>
      </c>
      <c r="AA628" s="35">
        <f t="shared" si="260"/>
        <v>5.6603773584905648E-2</v>
      </c>
    </row>
    <row r="629" spans="2:27" x14ac:dyDescent="0.2">
      <c r="B629" s="2">
        <v>627</v>
      </c>
      <c r="C629" s="2" t="str">
        <f t="shared" si="254"/>
        <v>b</v>
      </c>
      <c r="D629" s="29" t="s">
        <v>1</v>
      </c>
      <c r="E629" s="29" t="s">
        <v>227</v>
      </c>
      <c r="F629" s="2" t="s">
        <v>229</v>
      </c>
      <c r="G629" s="2">
        <f t="shared" si="247"/>
        <v>3</v>
      </c>
      <c r="H629" s="2" t="str">
        <f t="shared" si="239"/>
        <v>地脉</v>
      </c>
      <c r="I629" s="38">
        <f t="shared" si="240"/>
        <v>0.14228571428571427</v>
      </c>
      <c r="J629" s="33">
        <f t="shared" si="258"/>
        <v>60</v>
      </c>
      <c r="K629" s="33">
        <f t="shared" si="259"/>
        <v>123</v>
      </c>
      <c r="L629" s="33">
        <f t="shared" si="259"/>
        <v>22</v>
      </c>
      <c r="M629" s="33">
        <f t="shared" si="259"/>
        <v>76</v>
      </c>
      <c r="N629" s="33">
        <f t="shared" si="259"/>
        <v>76</v>
      </c>
      <c r="O629" s="33">
        <f t="shared" si="259"/>
        <v>69</v>
      </c>
      <c r="P629" s="33">
        <f t="shared" si="259"/>
        <v>34</v>
      </c>
      <c r="Q629" s="33">
        <f t="shared" si="259"/>
        <v>38</v>
      </c>
      <c r="R629" s="35">
        <f t="shared" si="241"/>
        <v>7.5999999999999998E-2</v>
      </c>
      <c r="S629" s="35">
        <f t="shared" si="242"/>
        <v>6.8000000000000005E-2</v>
      </c>
      <c r="T629" s="35">
        <f t="shared" si="243"/>
        <v>4.7500000000000001E-2</v>
      </c>
      <c r="U629" s="35">
        <f t="shared" si="260"/>
        <v>7.8341013824884786E-2</v>
      </c>
      <c r="V629" s="35">
        <f t="shared" si="260"/>
        <v>0.34210526315789469</v>
      </c>
      <c r="W629" s="35">
        <f t="shared" si="260"/>
        <v>7.8341013824884786E-2</v>
      </c>
      <c r="X629" s="35">
        <f t="shared" si="260"/>
        <v>7.8341013824884786E-2</v>
      </c>
      <c r="Y629" s="35">
        <f t="shared" si="260"/>
        <v>7.8341013824884786E-2</v>
      </c>
      <c r="Z629" s="35">
        <f t="shared" si="260"/>
        <v>7.8341013824884786E-2</v>
      </c>
      <c r="AA629" s="35">
        <f t="shared" si="260"/>
        <v>7.8341013824884786E-2</v>
      </c>
    </row>
    <row r="630" spans="2:27" x14ac:dyDescent="0.2">
      <c r="B630" s="2">
        <v>628</v>
      </c>
      <c r="C630" s="2" t="str">
        <f t="shared" si="254"/>
        <v>b</v>
      </c>
      <c r="D630" s="29" t="s">
        <v>1</v>
      </c>
      <c r="E630" s="29" t="s">
        <v>227</v>
      </c>
      <c r="F630" s="2" t="s">
        <v>229</v>
      </c>
      <c r="G630" s="2">
        <f t="shared" si="247"/>
        <v>4</v>
      </c>
      <c r="H630" s="2" t="str">
        <f t="shared" si="239"/>
        <v>地脉</v>
      </c>
      <c r="I630" s="38">
        <f t="shared" si="240"/>
        <v>0.18971428571428572</v>
      </c>
      <c r="J630" s="33">
        <f t="shared" si="258"/>
        <v>80</v>
      </c>
      <c r="K630" s="33">
        <f t="shared" si="259"/>
        <v>164</v>
      </c>
      <c r="L630" s="33">
        <f t="shared" si="259"/>
        <v>30</v>
      </c>
      <c r="M630" s="33">
        <f t="shared" si="259"/>
        <v>101</v>
      </c>
      <c r="N630" s="33">
        <f t="shared" si="259"/>
        <v>101</v>
      </c>
      <c r="O630" s="33">
        <f t="shared" si="259"/>
        <v>92</v>
      </c>
      <c r="P630" s="33">
        <f t="shared" si="259"/>
        <v>46</v>
      </c>
      <c r="Q630" s="33">
        <f t="shared" si="259"/>
        <v>50</v>
      </c>
      <c r="R630" s="35">
        <f t="shared" si="241"/>
        <v>0.1</v>
      </c>
      <c r="S630" s="35">
        <f t="shared" si="242"/>
        <v>9.1999999999999998E-2</v>
      </c>
      <c r="T630" s="35">
        <f t="shared" si="243"/>
        <v>6.25E-2</v>
      </c>
      <c r="U630" s="35">
        <f t="shared" si="260"/>
        <v>0.10313901345291476</v>
      </c>
      <c r="V630" s="35">
        <f t="shared" si="260"/>
        <v>0.40828402366863903</v>
      </c>
      <c r="W630" s="35">
        <f t="shared" si="260"/>
        <v>0.10313901345291476</v>
      </c>
      <c r="X630" s="35">
        <f t="shared" si="260"/>
        <v>0.10313901345291476</v>
      </c>
      <c r="Y630" s="35">
        <f t="shared" si="260"/>
        <v>0.10313901345291476</v>
      </c>
      <c r="Z630" s="35">
        <f t="shared" si="260"/>
        <v>0.10313901345291476</v>
      </c>
      <c r="AA630" s="35">
        <f t="shared" si="260"/>
        <v>0.10313901345291476</v>
      </c>
    </row>
    <row r="631" spans="2:27" x14ac:dyDescent="0.2">
      <c r="B631" s="2">
        <v>629</v>
      </c>
      <c r="C631" s="2" t="str">
        <f t="shared" si="254"/>
        <v>b</v>
      </c>
      <c r="D631" s="29" t="s">
        <v>1</v>
      </c>
      <c r="E631" s="29" t="s">
        <v>227</v>
      </c>
      <c r="F631" s="2" t="s">
        <v>229</v>
      </c>
      <c r="G631" s="2">
        <f t="shared" si="247"/>
        <v>5</v>
      </c>
      <c r="H631" s="2" t="str">
        <f t="shared" si="239"/>
        <v>地脉</v>
      </c>
      <c r="I631" s="38">
        <f t="shared" si="240"/>
        <v>0.23714285714285716</v>
      </c>
      <c r="J631" s="33">
        <f t="shared" si="258"/>
        <v>100</v>
      </c>
      <c r="K631" s="33">
        <f t="shared" si="259"/>
        <v>205</v>
      </c>
      <c r="L631" s="33">
        <f t="shared" si="259"/>
        <v>38</v>
      </c>
      <c r="M631" s="33">
        <f t="shared" si="259"/>
        <v>126</v>
      </c>
      <c r="N631" s="33">
        <f t="shared" si="259"/>
        <v>126</v>
      </c>
      <c r="O631" s="33">
        <f t="shared" si="259"/>
        <v>115</v>
      </c>
      <c r="P631" s="33">
        <f t="shared" si="259"/>
        <v>57</v>
      </c>
      <c r="Q631" s="33">
        <f t="shared" si="259"/>
        <v>63</v>
      </c>
      <c r="R631" s="35">
        <f t="shared" si="241"/>
        <v>0.126</v>
      </c>
      <c r="S631" s="35">
        <f t="shared" si="242"/>
        <v>0.114</v>
      </c>
      <c r="T631" s="35">
        <f t="shared" si="243"/>
        <v>7.8750000000000001E-2</v>
      </c>
      <c r="U631" s="35">
        <f t="shared" si="260"/>
        <v>0.1266375545851528</v>
      </c>
      <c r="V631" s="35">
        <f t="shared" si="260"/>
        <v>0.46380697050938335</v>
      </c>
      <c r="W631" s="35">
        <f t="shared" si="260"/>
        <v>0.1266375545851528</v>
      </c>
      <c r="X631" s="35">
        <f t="shared" si="260"/>
        <v>0.1266375545851528</v>
      </c>
      <c r="Y631" s="35">
        <f t="shared" si="260"/>
        <v>0.1266375545851528</v>
      </c>
      <c r="Z631" s="35">
        <f t="shared" si="260"/>
        <v>0.1266375545851528</v>
      </c>
      <c r="AA631" s="35">
        <f t="shared" si="260"/>
        <v>0.1266375545851528</v>
      </c>
    </row>
    <row r="632" spans="2:27" x14ac:dyDescent="0.2">
      <c r="B632" s="2">
        <v>630</v>
      </c>
      <c r="C632" s="2" t="str">
        <f t="shared" si="254"/>
        <v>b</v>
      </c>
      <c r="D632" s="29" t="s">
        <v>1</v>
      </c>
      <c r="E632" s="29" t="s">
        <v>227</v>
      </c>
      <c r="F632" s="2" t="s">
        <v>229</v>
      </c>
      <c r="G632" s="2">
        <f t="shared" si="247"/>
        <v>6</v>
      </c>
      <c r="H632" s="2" t="str">
        <f t="shared" si="239"/>
        <v>地脉</v>
      </c>
      <c r="I632" s="38">
        <f t="shared" si="240"/>
        <v>0.28542857142857142</v>
      </c>
      <c r="J632" s="33">
        <f t="shared" si="258"/>
        <v>120</v>
      </c>
      <c r="K632" s="33">
        <f t="shared" si="259"/>
        <v>247</v>
      </c>
      <c r="L632" s="33">
        <f t="shared" si="259"/>
        <v>45</v>
      </c>
      <c r="M632" s="33">
        <f t="shared" si="259"/>
        <v>152</v>
      </c>
      <c r="N632" s="33">
        <f t="shared" si="259"/>
        <v>152</v>
      </c>
      <c r="O632" s="33">
        <f t="shared" si="259"/>
        <v>138</v>
      </c>
      <c r="P632" s="33">
        <f t="shared" si="259"/>
        <v>69</v>
      </c>
      <c r="Q632" s="33">
        <f t="shared" si="259"/>
        <v>76</v>
      </c>
      <c r="R632" s="35">
        <f t="shared" si="241"/>
        <v>0.152</v>
      </c>
      <c r="S632" s="35">
        <f t="shared" si="242"/>
        <v>0.13800000000000001</v>
      </c>
      <c r="T632" s="35">
        <f t="shared" si="243"/>
        <v>9.5000000000000001E-2</v>
      </c>
      <c r="U632" s="35">
        <f t="shared" si="260"/>
        <v>0.14893617021276595</v>
      </c>
      <c r="V632" s="35">
        <f t="shared" si="260"/>
        <v>0.50859950859950853</v>
      </c>
      <c r="W632" s="35">
        <f t="shared" si="260"/>
        <v>0.14893617021276595</v>
      </c>
      <c r="X632" s="35">
        <f t="shared" si="260"/>
        <v>0.14893617021276595</v>
      </c>
      <c r="Y632" s="35">
        <f t="shared" si="260"/>
        <v>0.14893617021276595</v>
      </c>
      <c r="Z632" s="35">
        <f t="shared" si="260"/>
        <v>0.14893617021276595</v>
      </c>
      <c r="AA632" s="35">
        <f t="shared" si="260"/>
        <v>0.14893617021276595</v>
      </c>
    </row>
    <row r="633" spans="2:27" x14ac:dyDescent="0.2">
      <c r="B633" s="2">
        <v>631</v>
      </c>
      <c r="C633" s="2" t="str">
        <f t="shared" si="254"/>
        <v>b</v>
      </c>
      <c r="D633" s="29" t="s">
        <v>1</v>
      </c>
      <c r="E633" s="29" t="s">
        <v>227</v>
      </c>
      <c r="F633" s="2" t="s">
        <v>229</v>
      </c>
      <c r="G633" s="2">
        <f t="shared" si="247"/>
        <v>7</v>
      </c>
      <c r="H633" s="2" t="str">
        <f t="shared" si="239"/>
        <v>地脉</v>
      </c>
      <c r="I633" s="38">
        <f t="shared" si="240"/>
        <v>0.33285714285714285</v>
      </c>
      <c r="J633" s="33">
        <f t="shared" ref="J633:J642" si="261">INT((1+VLOOKUP($F633,role_property_weight,getpos(J$2),FALSE))*(1+VLOOKUP($F633,drop_property_weight,getpos(J$2),FALSE))*VLOOKUP($E633,role_grow,getpos(J$2),FALSE)*$G633*10*VLOOKUP($C633,drop_grow1,4,FALSE))</f>
        <v>141</v>
      </c>
      <c r="K633" s="33">
        <f t="shared" ref="K633:Q642" si="262">INT((1+VLOOKUP($F633,role_property_weight,getpos(K$2),FALSE))*(1+VLOOKUP($F633,drop_property_weight,getpos(K$2),FALSE))*VLOOKUP($E633,role_grow,getpos(K$2),FALSE)*$G633*10*VLOOKUP($C633,drop_grow1,5,FALSE))</f>
        <v>288</v>
      </c>
      <c r="L633" s="33">
        <f t="shared" si="262"/>
        <v>53</v>
      </c>
      <c r="M633" s="33">
        <f t="shared" si="262"/>
        <v>177</v>
      </c>
      <c r="N633" s="33">
        <f t="shared" si="262"/>
        <v>177</v>
      </c>
      <c r="O633" s="33">
        <f t="shared" si="262"/>
        <v>161</v>
      </c>
      <c r="P633" s="33">
        <f t="shared" si="262"/>
        <v>80</v>
      </c>
      <c r="Q633" s="33">
        <f t="shared" si="262"/>
        <v>88</v>
      </c>
      <c r="R633" s="35">
        <f t="shared" si="241"/>
        <v>0.17600000000000002</v>
      </c>
      <c r="S633" s="35">
        <f t="shared" si="242"/>
        <v>0.16</v>
      </c>
      <c r="T633" s="35">
        <f t="shared" si="243"/>
        <v>0.11</v>
      </c>
      <c r="U633" s="35">
        <f t="shared" ref="U633:AA642" si="263">1-200/(200+ROUND((1+VLOOKUP($F633,role_property_weight,getpos(U$2),FALSE))*VLOOKUP($E633,role_grow,getpos(U$2),FALSE)*$G633*10*VLOOKUP($C633,drop_grow1,5,FALSE),0))</f>
        <v>0.16666666666666663</v>
      </c>
      <c r="V633" s="35">
        <f t="shared" si="263"/>
        <v>0.54751131221719462</v>
      </c>
      <c r="W633" s="35">
        <f t="shared" si="263"/>
        <v>0.16666666666666663</v>
      </c>
      <c r="X633" s="35">
        <f t="shared" si="263"/>
        <v>0.16666666666666663</v>
      </c>
      <c r="Y633" s="35">
        <f t="shared" si="263"/>
        <v>0.16666666666666663</v>
      </c>
      <c r="Z633" s="35">
        <f t="shared" si="263"/>
        <v>0.16666666666666663</v>
      </c>
      <c r="AA633" s="35">
        <f t="shared" si="263"/>
        <v>0.16666666666666663</v>
      </c>
    </row>
    <row r="634" spans="2:27" x14ac:dyDescent="0.2">
      <c r="B634" s="2">
        <v>632</v>
      </c>
      <c r="C634" s="2" t="str">
        <f t="shared" si="254"/>
        <v>b</v>
      </c>
      <c r="D634" s="29" t="s">
        <v>1</v>
      </c>
      <c r="E634" s="29" t="s">
        <v>227</v>
      </c>
      <c r="F634" s="2" t="s">
        <v>229</v>
      </c>
      <c r="G634" s="2">
        <f t="shared" si="247"/>
        <v>8</v>
      </c>
      <c r="H634" s="2" t="str">
        <f t="shared" si="239"/>
        <v>地脉</v>
      </c>
      <c r="I634" s="38">
        <f t="shared" si="240"/>
        <v>0.38028571428571434</v>
      </c>
      <c r="J634" s="33">
        <f t="shared" si="261"/>
        <v>161</v>
      </c>
      <c r="K634" s="33">
        <f t="shared" si="262"/>
        <v>329</v>
      </c>
      <c r="L634" s="33">
        <f t="shared" si="262"/>
        <v>60</v>
      </c>
      <c r="M634" s="33">
        <f t="shared" si="262"/>
        <v>202</v>
      </c>
      <c r="N634" s="33">
        <f t="shared" si="262"/>
        <v>202</v>
      </c>
      <c r="O634" s="33">
        <f t="shared" si="262"/>
        <v>184</v>
      </c>
      <c r="P634" s="33">
        <f t="shared" si="262"/>
        <v>92</v>
      </c>
      <c r="Q634" s="33">
        <f t="shared" si="262"/>
        <v>101</v>
      </c>
      <c r="R634" s="35">
        <f t="shared" si="241"/>
        <v>0.20199999999999999</v>
      </c>
      <c r="S634" s="35">
        <f t="shared" si="242"/>
        <v>0.184</v>
      </c>
      <c r="T634" s="35">
        <f t="shared" si="243"/>
        <v>0.12625</v>
      </c>
      <c r="U634" s="35">
        <f t="shared" si="263"/>
        <v>0.18699186991869921</v>
      </c>
      <c r="V634" s="35">
        <f t="shared" si="263"/>
        <v>0.57983193277310918</v>
      </c>
      <c r="W634" s="35">
        <f t="shared" si="263"/>
        <v>0.18699186991869921</v>
      </c>
      <c r="X634" s="35">
        <f t="shared" si="263"/>
        <v>0.18699186991869921</v>
      </c>
      <c r="Y634" s="35">
        <f t="shared" si="263"/>
        <v>0.18699186991869921</v>
      </c>
      <c r="Z634" s="35">
        <f t="shared" si="263"/>
        <v>0.18699186991869921</v>
      </c>
      <c r="AA634" s="35">
        <f t="shared" si="263"/>
        <v>0.18699186991869921</v>
      </c>
    </row>
    <row r="635" spans="2:27" x14ac:dyDescent="0.2">
      <c r="B635" s="2">
        <v>633</v>
      </c>
      <c r="C635" s="2" t="str">
        <f t="shared" si="254"/>
        <v>c</v>
      </c>
      <c r="D635" s="29" t="s">
        <v>1</v>
      </c>
      <c r="E635" s="29" t="s">
        <v>227</v>
      </c>
      <c r="F635" s="2" t="s">
        <v>229</v>
      </c>
      <c r="G635" s="2">
        <f t="shared" si="247"/>
        <v>1</v>
      </c>
      <c r="H635" s="2" t="str">
        <f t="shared" si="239"/>
        <v>--</v>
      </c>
      <c r="I635" s="38">
        <f t="shared" si="240"/>
        <v>0</v>
      </c>
      <c r="J635" s="33">
        <f t="shared" si="261"/>
        <v>27</v>
      </c>
      <c r="K635" s="33">
        <f t="shared" si="262"/>
        <v>0</v>
      </c>
      <c r="L635" s="33">
        <f t="shared" si="262"/>
        <v>0</v>
      </c>
      <c r="M635" s="33">
        <f t="shared" si="262"/>
        <v>0</v>
      </c>
      <c r="N635" s="33">
        <f t="shared" si="262"/>
        <v>0</v>
      </c>
      <c r="O635" s="33">
        <f t="shared" si="262"/>
        <v>0</v>
      </c>
      <c r="P635" s="33">
        <f t="shared" si="262"/>
        <v>0</v>
      </c>
      <c r="Q635" s="33">
        <f t="shared" si="262"/>
        <v>0</v>
      </c>
      <c r="R635" s="35">
        <f t="shared" si="241"/>
        <v>0</v>
      </c>
      <c r="S635" s="35">
        <f t="shared" si="242"/>
        <v>0</v>
      </c>
      <c r="T635" s="35">
        <f t="shared" si="243"/>
        <v>0</v>
      </c>
      <c r="U635" s="35">
        <f t="shared" si="263"/>
        <v>0</v>
      </c>
      <c r="V635" s="35">
        <f t="shared" si="263"/>
        <v>0</v>
      </c>
      <c r="W635" s="35">
        <f t="shared" si="263"/>
        <v>0</v>
      </c>
      <c r="X635" s="35">
        <f t="shared" si="263"/>
        <v>0</v>
      </c>
      <c r="Y635" s="35">
        <f t="shared" si="263"/>
        <v>0</v>
      </c>
      <c r="Z635" s="35">
        <f t="shared" si="263"/>
        <v>0</v>
      </c>
      <c r="AA635" s="35">
        <f t="shared" si="263"/>
        <v>0</v>
      </c>
    </row>
    <row r="636" spans="2:27" x14ac:dyDescent="0.2">
      <c r="B636" s="2">
        <v>634</v>
      </c>
      <c r="C636" s="2" t="str">
        <f t="shared" si="254"/>
        <v>c</v>
      </c>
      <c r="D636" s="29" t="s">
        <v>1</v>
      </c>
      <c r="E636" s="29" t="s">
        <v>227</v>
      </c>
      <c r="F636" s="2" t="s">
        <v>229</v>
      </c>
      <c r="G636" s="2">
        <f t="shared" si="247"/>
        <v>2</v>
      </c>
      <c r="H636" s="2" t="str">
        <f t="shared" si="239"/>
        <v>--</v>
      </c>
      <c r="I636" s="38">
        <f t="shared" si="240"/>
        <v>0</v>
      </c>
      <c r="J636" s="33">
        <f t="shared" si="261"/>
        <v>54</v>
      </c>
      <c r="K636" s="33">
        <f t="shared" si="262"/>
        <v>0</v>
      </c>
      <c r="L636" s="33">
        <f t="shared" si="262"/>
        <v>0</v>
      </c>
      <c r="M636" s="33">
        <f t="shared" si="262"/>
        <v>0</v>
      </c>
      <c r="N636" s="33">
        <f t="shared" si="262"/>
        <v>0</v>
      </c>
      <c r="O636" s="33">
        <f t="shared" si="262"/>
        <v>0</v>
      </c>
      <c r="P636" s="33">
        <f t="shared" si="262"/>
        <v>0</v>
      </c>
      <c r="Q636" s="33">
        <f t="shared" si="262"/>
        <v>0</v>
      </c>
      <c r="R636" s="35">
        <f t="shared" si="241"/>
        <v>0</v>
      </c>
      <c r="S636" s="35">
        <f t="shared" si="242"/>
        <v>0</v>
      </c>
      <c r="T636" s="35">
        <f t="shared" si="243"/>
        <v>0</v>
      </c>
      <c r="U636" s="35">
        <f t="shared" si="263"/>
        <v>0</v>
      </c>
      <c r="V636" s="35">
        <f t="shared" si="263"/>
        <v>0</v>
      </c>
      <c r="W636" s="35">
        <f t="shared" si="263"/>
        <v>0</v>
      </c>
      <c r="X636" s="35">
        <f t="shared" si="263"/>
        <v>0</v>
      </c>
      <c r="Y636" s="35">
        <f t="shared" si="263"/>
        <v>0</v>
      </c>
      <c r="Z636" s="35">
        <f t="shared" si="263"/>
        <v>0</v>
      </c>
      <c r="AA636" s="35">
        <f t="shared" si="263"/>
        <v>0</v>
      </c>
    </row>
    <row r="637" spans="2:27" x14ac:dyDescent="0.2">
      <c r="B637" s="2">
        <v>635</v>
      </c>
      <c r="C637" s="2" t="str">
        <f t="shared" si="254"/>
        <v>c</v>
      </c>
      <c r="D637" s="29" t="s">
        <v>1</v>
      </c>
      <c r="E637" s="29" t="s">
        <v>227</v>
      </c>
      <c r="F637" s="2" t="s">
        <v>229</v>
      </c>
      <c r="G637" s="2">
        <f t="shared" si="247"/>
        <v>3</v>
      </c>
      <c r="H637" s="2" t="str">
        <f t="shared" si="239"/>
        <v>--</v>
      </c>
      <c r="I637" s="38">
        <f t="shared" si="240"/>
        <v>0</v>
      </c>
      <c r="J637" s="33">
        <f t="shared" si="261"/>
        <v>81</v>
      </c>
      <c r="K637" s="33">
        <f t="shared" si="262"/>
        <v>0</v>
      </c>
      <c r="L637" s="33">
        <f t="shared" si="262"/>
        <v>0</v>
      </c>
      <c r="M637" s="33">
        <f t="shared" si="262"/>
        <v>0</v>
      </c>
      <c r="N637" s="33">
        <f t="shared" si="262"/>
        <v>0</v>
      </c>
      <c r="O637" s="33">
        <f t="shared" si="262"/>
        <v>0</v>
      </c>
      <c r="P637" s="33">
        <f t="shared" si="262"/>
        <v>0</v>
      </c>
      <c r="Q637" s="33">
        <f t="shared" si="262"/>
        <v>0</v>
      </c>
      <c r="R637" s="35">
        <f t="shared" si="241"/>
        <v>0</v>
      </c>
      <c r="S637" s="35">
        <f t="shared" si="242"/>
        <v>0</v>
      </c>
      <c r="T637" s="35">
        <f t="shared" si="243"/>
        <v>0</v>
      </c>
      <c r="U637" s="35">
        <f t="shared" si="263"/>
        <v>0</v>
      </c>
      <c r="V637" s="35">
        <f t="shared" si="263"/>
        <v>0</v>
      </c>
      <c r="W637" s="35">
        <f t="shared" si="263"/>
        <v>0</v>
      </c>
      <c r="X637" s="35">
        <f t="shared" si="263"/>
        <v>0</v>
      </c>
      <c r="Y637" s="35">
        <f t="shared" si="263"/>
        <v>0</v>
      </c>
      <c r="Z637" s="35">
        <f t="shared" si="263"/>
        <v>0</v>
      </c>
      <c r="AA637" s="35">
        <f t="shared" si="263"/>
        <v>0</v>
      </c>
    </row>
    <row r="638" spans="2:27" x14ac:dyDescent="0.2">
      <c r="B638" s="2">
        <v>636</v>
      </c>
      <c r="C638" s="2" t="str">
        <f t="shared" si="254"/>
        <v>c</v>
      </c>
      <c r="D638" s="29" t="s">
        <v>1</v>
      </c>
      <c r="E638" s="29" t="s">
        <v>227</v>
      </c>
      <c r="F638" s="2" t="s">
        <v>229</v>
      </c>
      <c r="G638" s="2">
        <f t="shared" si="247"/>
        <v>4</v>
      </c>
      <c r="H638" s="2" t="str">
        <f t="shared" si="239"/>
        <v>--</v>
      </c>
      <c r="I638" s="38">
        <f t="shared" si="240"/>
        <v>0</v>
      </c>
      <c r="J638" s="33">
        <f t="shared" si="261"/>
        <v>108</v>
      </c>
      <c r="K638" s="33">
        <f t="shared" si="262"/>
        <v>0</v>
      </c>
      <c r="L638" s="33">
        <f t="shared" si="262"/>
        <v>0</v>
      </c>
      <c r="M638" s="33">
        <f t="shared" si="262"/>
        <v>0</v>
      </c>
      <c r="N638" s="33">
        <f t="shared" si="262"/>
        <v>0</v>
      </c>
      <c r="O638" s="33">
        <f t="shared" si="262"/>
        <v>0</v>
      </c>
      <c r="P638" s="33">
        <f t="shared" si="262"/>
        <v>0</v>
      </c>
      <c r="Q638" s="33">
        <f t="shared" si="262"/>
        <v>0</v>
      </c>
      <c r="R638" s="35">
        <f t="shared" si="241"/>
        <v>0</v>
      </c>
      <c r="S638" s="35">
        <f t="shared" si="242"/>
        <v>0</v>
      </c>
      <c r="T638" s="35">
        <f t="shared" si="243"/>
        <v>0</v>
      </c>
      <c r="U638" s="35">
        <f t="shared" si="263"/>
        <v>0</v>
      </c>
      <c r="V638" s="35">
        <f t="shared" si="263"/>
        <v>0</v>
      </c>
      <c r="W638" s="35">
        <f t="shared" si="263"/>
        <v>0</v>
      </c>
      <c r="X638" s="35">
        <f t="shared" si="263"/>
        <v>0</v>
      </c>
      <c r="Y638" s="35">
        <f t="shared" si="263"/>
        <v>0</v>
      </c>
      <c r="Z638" s="35">
        <f t="shared" si="263"/>
        <v>0</v>
      </c>
      <c r="AA638" s="35">
        <f t="shared" si="263"/>
        <v>0</v>
      </c>
    </row>
    <row r="639" spans="2:27" x14ac:dyDescent="0.2">
      <c r="B639" s="2">
        <v>637</v>
      </c>
      <c r="C639" s="2" t="str">
        <f t="shared" si="254"/>
        <v>c</v>
      </c>
      <c r="D639" s="29" t="s">
        <v>1</v>
      </c>
      <c r="E639" s="29" t="s">
        <v>227</v>
      </c>
      <c r="F639" s="2" t="s">
        <v>229</v>
      </c>
      <c r="G639" s="2">
        <f t="shared" si="247"/>
        <v>5</v>
      </c>
      <c r="H639" s="2" t="str">
        <f t="shared" si="239"/>
        <v>--</v>
      </c>
      <c r="I639" s="38">
        <f t="shared" si="240"/>
        <v>0</v>
      </c>
      <c r="J639" s="33">
        <f t="shared" si="261"/>
        <v>135</v>
      </c>
      <c r="K639" s="33">
        <f t="shared" si="262"/>
        <v>0</v>
      </c>
      <c r="L639" s="33">
        <f t="shared" si="262"/>
        <v>0</v>
      </c>
      <c r="M639" s="33">
        <f t="shared" si="262"/>
        <v>0</v>
      </c>
      <c r="N639" s="33">
        <f t="shared" si="262"/>
        <v>0</v>
      </c>
      <c r="O639" s="33">
        <f t="shared" si="262"/>
        <v>0</v>
      </c>
      <c r="P639" s="33">
        <f t="shared" si="262"/>
        <v>0</v>
      </c>
      <c r="Q639" s="33">
        <f t="shared" si="262"/>
        <v>0</v>
      </c>
      <c r="R639" s="35">
        <f t="shared" si="241"/>
        <v>0</v>
      </c>
      <c r="S639" s="35">
        <f t="shared" si="242"/>
        <v>0</v>
      </c>
      <c r="T639" s="35">
        <f t="shared" si="243"/>
        <v>0</v>
      </c>
      <c r="U639" s="35">
        <f t="shared" si="263"/>
        <v>0</v>
      </c>
      <c r="V639" s="35">
        <f t="shared" si="263"/>
        <v>0</v>
      </c>
      <c r="W639" s="35">
        <f t="shared" si="263"/>
        <v>0</v>
      </c>
      <c r="X639" s="35">
        <f t="shared" si="263"/>
        <v>0</v>
      </c>
      <c r="Y639" s="35">
        <f t="shared" si="263"/>
        <v>0</v>
      </c>
      <c r="Z639" s="35">
        <f t="shared" si="263"/>
        <v>0</v>
      </c>
      <c r="AA639" s="35">
        <f t="shared" si="263"/>
        <v>0</v>
      </c>
    </row>
    <row r="640" spans="2:27" x14ac:dyDescent="0.2">
      <c r="B640" s="2">
        <v>638</v>
      </c>
      <c r="C640" s="2" t="str">
        <f t="shared" si="254"/>
        <v>c</v>
      </c>
      <c r="D640" s="29" t="s">
        <v>1</v>
      </c>
      <c r="E640" s="29" t="s">
        <v>227</v>
      </c>
      <c r="F640" s="2" t="s">
        <v>229</v>
      </c>
      <c r="G640" s="2">
        <f t="shared" si="247"/>
        <v>6</v>
      </c>
      <c r="H640" s="2" t="str">
        <f t="shared" si="239"/>
        <v>--</v>
      </c>
      <c r="I640" s="38">
        <f t="shared" si="240"/>
        <v>0</v>
      </c>
      <c r="J640" s="33">
        <f t="shared" si="261"/>
        <v>162</v>
      </c>
      <c r="K640" s="33">
        <f t="shared" si="262"/>
        <v>0</v>
      </c>
      <c r="L640" s="33">
        <f t="shared" si="262"/>
        <v>0</v>
      </c>
      <c r="M640" s="33">
        <f t="shared" si="262"/>
        <v>0</v>
      </c>
      <c r="N640" s="33">
        <f t="shared" si="262"/>
        <v>0</v>
      </c>
      <c r="O640" s="33">
        <f t="shared" si="262"/>
        <v>0</v>
      </c>
      <c r="P640" s="33">
        <f t="shared" si="262"/>
        <v>0</v>
      </c>
      <c r="Q640" s="33">
        <f t="shared" si="262"/>
        <v>0</v>
      </c>
      <c r="R640" s="35">
        <f t="shared" si="241"/>
        <v>0</v>
      </c>
      <c r="S640" s="35">
        <f t="shared" si="242"/>
        <v>0</v>
      </c>
      <c r="T640" s="35">
        <f t="shared" si="243"/>
        <v>0</v>
      </c>
      <c r="U640" s="35">
        <f t="shared" si="263"/>
        <v>0</v>
      </c>
      <c r="V640" s="35">
        <f t="shared" si="263"/>
        <v>0</v>
      </c>
      <c r="W640" s="35">
        <f t="shared" si="263"/>
        <v>0</v>
      </c>
      <c r="X640" s="35">
        <f t="shared" si="263"/>
        <v>0</v>
      </c>
      <c r="Y640" s="35">
        <f t="shared" si="263"/>
        <v>0</v>
      </c>
      <c r="Z640" s="35">
        <f t="shared" si="263"/>
        <v>0</v>
      </c>
      <c r="AA640" s="35">
        <f t="shared" si="263"/>
        <v>0</v>
      </c>
    </row>
    <row r="641" spans="2:27" x14ac:dyDescent="0.2">
      <c r="B641" s="2">
        <v>639</v>
      </c>
      <c r="C641" s="2" t="str">
        <f t="shared" si="254"/>
        <v>c</v>
      </c>
      <c r="D641" s="29" t="s">
        <v>1</v>
      </c>
      <c r="E641" s="29" t="s">
        <v>227</v>
      </c>
      <c r="F641" s="2" t="s">
        <v>229</v>
      </c>
      <c r="G641" s="2">
        <f t="shared" si="247"/>
        <v>7</v>
      </c>
      <c r="H641" s="2" t="str">
        <f t="shared" si="239"/>
        <v>--</v>
      </c>
      <c r="I641" s="38">
        <f t="shared" si="240"/>
        <v>0</v>
      </c>
      <c r="J641" s="33">
        <f t="shared" si="261"/>
        <v>189</v>
      </c>
      <c r="K641" s="33">
        <f t="shared" si="262"/>
        <v>0</v>
      </c>
      <c r="L641" s="33">
        <f t="shared" si="262"/>
        <v>0</v>
      </c>
      <c r="M641" s="33">
        <f t="shared" si="262"/>
        <v>0</v>
      </c>
      <c r="N641" s="33">
        <f t="shared" si="262"/>
        <v>0</v>
      </c>
      <c r="O641" s="33">
        <f t="shared" si="262"/>
        <v>0</v>
      </c>
      <c r="P641" s="33">
        <f t="shared" si="262"/>
        <v>0</v>
      </c>
      <c r="Q641" s="33">
        <f t="shared" si="262"/>
        <v>0</v>
      </c>
      <c r="R641" s="35">
        <f t="shared" si="241"/>
        <v>0</v>
      </c>
      <c r="S641" s="35">
        <f t="shared" si="242"/>
        <v>0</v>
      </c>
      <c r="T641" s="35">
        <f t="shared" si="243"/>
        <v>0</v>
      </c>
      <c r="U641" s="35">
        <f t="shared" si="263"/>
        <v>0</v>
      </c>
      <c r="V641" s="35">
        <f t="shared" si="263"/>
        <v>0</v>
      </c>
      <c r="W641" s="35">
        <f t="shared" si="263"/>
        <v>0</v>
      </c>
      <c r="X641" s="35">
        <f t="shared" si="263"/>
        <v>0</v>
      </c>
      <c r="Y641" s="35">
        <f t="shared" si="263"/>
        <v>0</v>
      </c>
      <c r="Z641" s="35">
        <f t="shared" si="263"/>
        <v>0</v>
      </c>
      <c r="AA641" s="35">
        <f t="shared" si="263"/>
        <v>0</v>
      </c>
    </row>
    <row r="642" spans="2:27" x14ac:dyDescent="0.2">
      <c r="B642" s="2">
        <v>640</v>
      </c>
      <c r="C642" s="2" t="str">
        <f t="shared" si="254"/>
        <v>c</v>
      </c>
      <c r="D642" s="29" t="s">
        <v>1</v>
      </c>
      <c r="E642" s="29" t="s">
        <v>227</v>
      </c>
      <c r="F642" s="2" t="s">
        <v>229</v>
      </c>
      <c r="G642" s="2">
        <f t="shared" si="247"/>
        <v>8</v>
      </c>
      <c r="H642" s="2" t="str">
        <f t="shared" si="239"/>
        <v>--</v>
      </c>
      <c r="I642" s="38">
        <f t="shared" si="240"/>
        <v>0</v>
      </c>
      <c r="J642" s="33">
        <f t="shared" si="261"/>
        <v>216</v>
      </c>
      <c r="K642" s="33">
        <f t="shared" si="262"/>
        <v>0</v>
      </c>
      <c r="L642" s="33">
        <f t="shared" si="262"/>
        <v>0</v>
      </c>
      <c r="M642" s="33">
        <f t="shared" si="262"/>
        <v>0</v>
      </c>
      <c r="N642" s="33">
        <f t="shared" si="262"/>
        <v>0</v>
      </c>
      <c r="O642" s="33">
        <f t="shared" si="262"/>
        <v>0</v>
      </c>
      <c r="P642" s="33">
        <f t="shared" si="262"/>
        <v>0</v>
      </c>
      <c r="Q642" s="33">
        <f t="shared" si="262"/>
        <v>0</v>
      </c>
      <c r="R642" s="35">
        <f t="shared" si="241"/>
        <v>0</v>
      </c>
      <c r="S642" s="35">
        <f t="shared" si="242"/>
        <v>0</v>
      </c>
      <c r="T642" s="35">
        <f t="shared" si="243"/>
        <v>0</v>
      </c>
      <c r="U642" s="35">
        <f t="shared" si="263"/>
        <v>0</v>
      </c>
      <c r="V642" s="35">
        <f t="shared" si="263"/>
        <v>0</v>
      </c>
      <c r="W642" s="35">
        <f t="shared" si="263"/>
        <v>0</v>
      </c>
      <c r="X642" s="35">
        <f t="shared" si="263"/>
        <v>0</v>
      </c>
      <c r="Y642" s="35">
        <f t="shared" si="263"/>
        <v>0</v>
      </c>
      <c r="Z642" s="35">
        <f t="shared" si="263"/>
        <v>0</v>
      </c>
      <c r="AA642" s="35">
        <f t="shared" si="263"/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F6:G17"/>
  <sheetViews>
    <sheetView workbookViewId="0">
      <selection activeCell="G25" sqref="G25"/>
    </sheetView>
  </sheetViews>
  <sheetFormatPr defaultRowHeight="13.5" x14ac:dyDescent="0.15"/>
  <cols>
    <col min="7" max="7" width="22.5" customWidth="1"/>
  </cols>
  <sheetData>
    <row r="6" spans="6:7" x14ac:dyDescent="0.15">
      <c r="F6" s="18" t="s">
        <v>242</v>
      </c>
      <c r="G6" s="19" t="s">
        <v>243</v>
      </c>
    </row>
    <row r="7" spans="6:7" ht="15" x14ac:dyDescent="0.15">
      <c r="F7" s="6" t="s">
        <v>14</v>
      </c>
      <c r="G7" s="7" t="s">
        <v>15</v>
      </c>
    </row>
    <row r="8" spans="6:7" ht="15" x14ac:dyDescent="0.15">
      <c r="F8" s="6" t="s">
        <v>16</v>
      </c>
      <c r="G8" s="7" t="s">
        <v>17</v>
      </c>
    </row>
    <row r="9" spans="6:7" ht="15" x14ac:dyDescent="0.15">
      <c r="F9" s="6" t="s">
        <v>18</v>
      </c>
      <c r="G9" s="7" t="s">
        <v>244</v>
      </c>
    </row>
    <row r="10" spans="6:7" ht="15" x14ac:dyDescent="0.15">
      <c r="F10" s="6" t="s">
        <v>20</v>
      </c>
      <c r="G10" s="7" t="s">
        <v>21</v>
      </c>
    </row>
    <row r="11" spans="6:7" ht="15" x14ac:dyDescent="0.15">
      <c r="F11" s="6" t="s">
        <v>22</v>
      </c>
      <c r="G11" s="7" t="s">
        <v>245</v>
      </c>
    </row>
    <row r="12" spans="6:7" ht="15" x14ac:dyDescent="0.15">
      <c r="F12" s="6" t="s">
        <v>24</v>
      </c>
      <c r="G12" s="7" t="s">
        <v>246</v>
      </c>
    </row>
    <row r="13" spans="6:7" ht="15" x14ac:dyDescent="0.15">
      <c r="F13" s="6" t="s">
        <v>26</v>
      </c>
      <c r="G13" s="7" t="s">
        <v>27</v>
      </c>
    </row>
    <row r="14" spans="6:7" x14ac:dyDescent="0.15">
      <c r="F14" s="18" t="s">
        <v>242</v>
      </c>
      <c r="G14" s="19" t="s">
        <v>243</v>
      </c>
    </row>
    <row r="15" spans="6:7" ht="15" x14ac:dyDescent="0.15">
      <c r="F15" s="6" t="s">
        <v>33</v>
      </c>
      <c r="G15" s="7" t="s">
        <v>34</v>
      </c>
    </row>
    <row r="16" spans="6:7" ht="15" x14ac:dyDescent="0.15">
      <c r="F16" s="6" t="s">
        <v>35</v>
      </c>
      <c r="G16" s="7" t="s">
        <v>36</v>
      </c>
    </row>
    <row r="17" spans="6:7" ht="15" x14ac:dyDescent="0.15">
      <c r="F17" s="6" t="s">
        <v>37</v>
      </c>
      <c r="G17" s="50" t="s">
        <v>241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101"/>
  <sheetViews>
    <sheetView workbookViewId="0">
      <selection activeCell="G5" sqref="G5"/>
    </sheetView>
  </sheetViews>
  <sheetFormatPr defaultRowHeight="12.75" x14ac:dyDescent="0.15"/>
  <cols>
    <col min="1" max="5" width="9" style="8"/>
    <col min="6" max="6" width="15" style="8" customWidth="1"/>
    <col min="7" max="7" width="14.875" style="8" customWidth="1"/>
    <col min="8" max="16384" width="9" style="8"/>
  </cols>
  <sheetData>
    <row r="2" spans="2:7" x14ac:dyDescent="0.15">
      <c r="B2" s="8" t="s">
        <v>309</v>
      </c>
      <c r="C2" s="67" t="s">
        <v>312</v>
      </c>
      <c r="D2" s="64" t="s">
        <v>313</v>
      </c>
      <c r="F2" s="64" t="s">
        <v>310</v>
      </c>
      <c r="G2" s="64" t="s">
        <v>311</v>
      </c>
    </row>
    <row r="3" spans="2:7" x14ac:dyDescent="0.15">
      <c r="B3" s="8">
        <v>1</v>
      </c>
      <c r="C3" s="8">
        <v>2</v>
      </c>
      <c r="D3" s="8">
        <v>3</v>
      </c>
      <c r="F3" s="65">
        <f>C3/(C3+B3*10)</f>
        <v>0.16666666666666666</v>
      </c>
      <c r="G3" s="65">
        <f>(C3+D3)/(B3*10+D3+C3)</f>
        <v>0.33333333333333331</v>
      </c>
    </row>
    <row r="4" spans="2:7" x14ac:dyDescent="0.15">
      <c r="B4" s="8">
        <v>2</v>
      </c>
      <c r="C4" s="8">
        <f>C3+2</f>
        <v>4</v>
      </c>
      <c r="D4" s="8">
        <f>D3+3</f>
        <v>6</v>
      </c>
      <c r="F4" s="65">
        <f t="shared" ref="F4:F67" si="0">C4/(C4+B4*10)</f>
        <v>0.16666666666666666</v>
      </c>
      <c r="G4" s="65">
        <f t="shared" ref="G4:G67" si="1">(C4+D4)/(B4*10+D4+C4)</f>
        <v>0.33333333333333331</v>
      </c>
    </row>
    <row r="5" spans="2:7" x14ac:dyDescent="0.15">
      <c r="B5" s="8">
        <v>3</v>
      </c>
      <c r="C5" s="8">
        <f t="shared" ref="C5:C68" si="2">C4+2</f>
        <v>6</v>
      </c>
      <c r="D5" s="8">
        <f t="shared" ref="D5:D68" si="3">D4+3</f>
        <v>9</v>
      </c>
      <c r="F5" s="65">
        <f t="shared" si="0"/>
        <v>0.16666666666666666</v>
      </c>
      <c r="G5" s="65">
        <f t="shared" si="1"/>
        <v>0.33333333333333331</v>
      </c>
    </row>
    <row r="6" spans="2:7" x14ac:dyDescent="0.15">
      <c r="B6" s="8">
        <v>4</v>
      </c>
      <c r="C6" s="8">
        <f t="shared" si="2"/>
        <v>8</v>
      </c>
      <c r="D6" s="8">
        <f t="shared" si="3"/>
        <v>12</v>
      </c>
      <c r="F6" s="65">
        <f t="shared" si="0"/>
        <v>0.16666666666666666</v>
      </c>
      <c r="G6" s="65">
        <f t="shared" si="1"/>
        <v>0.33333333333333331</v>
      </c>
    </row>
    <row r="7" spans="2:7" x14ac:dyDescent="0.15">
      <c r="B7" s="8">
        <v>5</v>
      </c>
      <c r="C7" s="8">
        <f t="shared" si="2"/>
        <v>10</v>
      </c>
      <c r="D7" s="8">
        <f t="shared" si="3"/>
        <v>15</v>
      </c>
      <c r="F7" s="65">
        <f t="shared" si="0"/>
        <v>0.16666666666666666</v>
      </c>
      <c r="G7" s="65">
        <f t="shared" si="1"/>
        <v>0.33333333333333331</v>
      </c>
    </row>
    <row r="8" spans="2:7" x14ac:dyDescent="0.15">
      <c r="B8" s="8">
        <v>6</v>
      </c>
      <c r="C8" s="8">
        <f t="shared" si="2"/>
        <v>12</v>
      </c>
      <c r="D8" s="8">
        <f t="shared" si="3"/>
        <v>18</v>
      </c>
      <c r="F8" s="65">
        <f t="shared" si="0"/>
        <v>0.16666666666666666</v>
      </c>
      <c r="G8" s="65">
        <f t="shared" si="1"/>
        <v>0.33333333333333331</v>
      </c>
    </row>
    <row r="9" spans="2:7" x14ac:dyDescent="0.15">
      <c r="B9" s="8">
        <v>7</v>
      </c>
      <c r="C9" s="8">
        <f t="shared" si="2"/>
        <v>14</v>
      </c>
      <c r="D9" s="8">
        <f t="shared" si="3"/>
        <v>21</v>
      </c>
      <c r="F9" s="65">
        <f t="shared" si="0"/>
        <v>0.16666666666666666</v>
      </c>
      <c r="G9" s="65">
        <f t="shared" si="1"/>
        <v>0.33333333333333331</v>
      </c>
    </row>
    <row r="10" spans="2:7" x14ac:dyDescent="0.15">
      <c r="B10" s="8">
        <v>8</v>
      </c>
      <c r="C10" s="8">
        <f t="shared" si="2"/>
        <v>16</v>
      </c>
      <c r="D10" s="8">
        <f t="shared" si="3"/>
        <v>24</v>
      </c>
      <c r="F10" s="65">
        <f t="shared" si="0"/>
        <v>0.16666666666666666</v>
      </c>
      <c r="G10" s="65">
        <f t="shared" si="1"/>
        <v>0.33333333333333331</v>
      </c>
    </row>
    <row r="11" spans="2:7" x14ac:dyDescent="0.15">
      <c r="B11" s="8">
        <v>9</v>
      </c>
      <c r="C11" s="8">
        <f t="shared" si="2"/>
        <v>18</v>
      </c>
      <c r="D11" s="8">
        <f t="shared" si="3"/>
        <v>27</v>
      </c>
      <c r="F11" s="65">
        <f t="shared" si="0"/>
        <v>0.16666666666666666</v>
      </c>
      <c r="G11" s="65">
        <f t="shared" si="1"/>
        <v>0.33333333333333331</v>
      </c>
    </row>
    <row r="12" spans="2:7" x14ac:dyDescent="0.15">
      <c r="B12" s="8">
        <v>10</v>
      </c>
      <c r="C12" s="8">
        <f t="shared" si="2"/>
        <v>20</v>
      </c>
      <c r="D12" s="8">
        <f t="shared" si="3"/>
        <v>30</v>
      </c>
      <c r="F12" s="65">
        <f t="shared" si="0"/>
        <v>0.16666666666666666</v>
      </c>
      <c r="G12" s="65">
        <f t="shared" si="1"/>
        <v>0.33333333333333331</v>
      </c>
    </row>
    <row r="13" spans="2:7" x14ac:dyDescent="0.15">
      <c r="B13" s="8">
        <v>11</v>
      </c>
      <c r="C13" s="8">
        <f t="shared" si="2"/>
        <v>22</v>
      </c>
      <c r="D13" s="8">
        <f t="shared" si="3"/>
        <v>33</v>
      </c>
      <c r="F13" s="65">
        <f t="shared" si="0"/>
        <v>0.16666666666666666</v>
      </c>
      <c r="G13" s="65">
        <f t="shared" si="1"/>
        <v>0.33333333333333331</v>
      </c>
    </row>
    <row r="14" spans="2:7" x14ac:dyDescent="0.15">
      <c r="B14" s="8">
        <v>12</v>
      </c>
      <c r="C14" s="8">
        <f t="shared" si="2"/>
        <v>24</v>
      </c>
      <c r="D14" s="8">
        <f t="shared" si="3"/>
        <v>36</v>
      </c>
      <c r="F14" s="65">
        <f t="shared" si="0"/>
        <v>0.16666666666666666</v>
      </c>
      <c r="G14" s="65">
        <f t="shared" si="1"/>
        <v>0.33333333333333331</v>
      </c>
    </row>
    <row r="15" spans="2:7" x14ac:dyDescent="0.15">
      <c r="B15" s="8">
        <v>13</v>
      </c>
      <c r="C15" s="8">
        <f t="shared" si="2"/>
        <v>26</v>
      </c>
      <c r="D15" s="8">
        <f t="shared" si="3"/>
        <v>39</v>
      </c>
      <c r="F15" s="65">
        <f t="shared" si="0"/>
        <v>0.16666666666666666</v>
      </c>
      <c r="G15" s="65">
        <f t="shared" si="1"/>
        <v>0.33333333333333331</v>
      </c>
    </row>
    <row r="16" spans="2:7" x14ac:dyDescent="0.15">
      <c r="B16" s="8">
        <v>14</v>
      </c>
      <c r="C16" s="8">
        <f t="shared" si="2"/>
        <v>28</v>
      </c>
      <c r="D16" s="8">
        <f t="shared" si="3"/>
        <v>42</v>
      </c>
      <c r="F16" s="65">
        <f t="shared" si="0"/>
        <v>0.16666666666666666</v>
      </c>
      <c r="G16" s="65">
        <f t="shared" si="1"/>
        <v>0.33333333333333331</v>
      </c>
    </row>
    <row r="17" spans="2:7" x14ac:dyDescent="0.15">
      <c r="B17" s="8">
        <v>15</v>
      </c>
      <c r="C17" s="8">
        <f t="shared" si="2"/>
        <v>30</v>
      </c>
      <c r="D17" s="8">
        <f t="shared" si="3"/>
        <v>45</v>
      </c>
      <c r="F17" s="65">
        <f t="shared" si="0"/>
        <v>0.16666666666666666</v>
      </c>
      <c r="G17" s="65">
        <f t="shared" si="1"/>
        <v>0.33333333333333331</v>
      </c>
    </row>
    <row r="18" spans="2:7" x14ac:dyDescent="0.15">
      <c r="B18" s="8">
        <v>16</v>
      </c>
      <c r="C18" s="8">
        <f t="shared" si="2"/>
        <v>32</v>
      </c>
      <c r="D18" s="8">
        <f t="shared" si="3"/>
        <v>48</v>
      </c>
      <c r="F18" s="65">
        <f t="shared" si="0"/>
        <v>0.16666666666666666</v>
      </c>
      <c r="G18" s="65">
        <f t="shared" si="1"/>
        <v>0.33333333333333331</v>
      </c>
    </row>
    <row r="19" spans="2:7" x14ac:dyDescent="0.15">
      <c r="B19" s="8">
        <v>17</v>
      </c>
      <c r="C19" s="8">
        <f t="shared" si="2"/>
        <v>34</v>
      </c>
      <c r="D19" s="8">
        <f t="shared" si="3"/>
        <v>51</v>
      </c>
      <c r="F19" s="65">
        <f t="shared" si="0"/>
        <v>0.16666666666666666</v>
      </c>
      <c r="G19" s="65">
        <f t="shared" si="1"/>
        <v>0.33333333333333331</v>
      </c>
    </row>
    <row r="20" spans="2:7" x14ac:dyDescent="0.15">
      <c r="B20" s="8">
        <v>18</v>
      </c>
      <c r="C20" s="8">
        <f t="shared" si="2"/>
        <v>36</v>
      </c>
      <c r="D20" s="8">
        <f t="shared" si="3"/>
        <v>54</v>
      </c>
      <c r="F20" s="65">
        <f t="shared" si="0"/>
        <v>0.16666666666666666</v>
      </c>
      <c r="G20" s="65">
        <f t="shared" si="1"/>
        <v>0.33333333333333331</v>
      </c>
    </row>
    <row r="21" spans="2:7" x14ac:dyDescent="0.15">
      <c r="B21" s="8">
        <v>19</v>
      </c>
      <c r="C21" s="8">
        <f t="shared" si="2"/>
        <v>38</v>
      </c>
      <c r="D21" s="8">
        <f t="shared" si="3"/>
        <v>57</v>
      </c>
      <c r="F21" s="65">
        <f t="shared" si="0"/>
        <v>0.16666666666666666</v>
      </c>
      <c r="G21" s="65">
        <f t="shared" si="1"/>
        <v>0.33333333333333331</v>
      </c>
    </row>
    <row r="22" spans="2:7" x14ac:dyDescent="0.15">
      <c r="B22" s="8">
        <v>20</v>
      </c>
      <c r="C22" s="8">
        <f t="shared" si="2"/>
        <v>40</v>
      </c>
      <c r="D22" s="8">
        <f t="shared" si="3"/>
        <v>60</v>
      </c>
      <c r="F22" s="65">
        <f t="shared" si="0"/>
        <v>0.16666666666666666</v>
      </c>
      <c r="G22" s="65">
        <f t="shared" si="1"/>
        <v>0.33333333333333331</v>
      </c>
    </row>
    <row r="23" spans="2:7" x14ac:dyDescent="0.15">
      <c r="B23" s="8">
        <v>21</v>
      </c>
      <c r="C23" s="8">
        <f t="shared" si="2"/>
        <v>42</v>
      </c>
      <c r="D23" s="8">
        <f t="shared" si="3"/>
        <v>63</v>
      </c>
      <c r="F23" s="65">
        <f t="shared" si="0"/>
        <v>0.16666666666666666</v>
      </c>
      <c r="G23" s="65">
        <f t="shared" si="1"/>
        <v>0.33333333333333331</v>
      </c>
    </row>
    <row r="24" spans="2:7" x14ac:dyDescent="0.15">
      <c r="B24" s="8">
        <v>22</v>
      </c>
      <c r="C24" s="8">
        <f t="shared" si="2"/>
        <v>44</v>
      </c>
      <c r="D24" s="8">
        <f t="shared" si="3"/>
        <v>66</v>
      </c>
      <c r="F24" s="65">
        <f t="shared" si="0"/>
        <v>0.16666666666666666</v>
      </c>
      <c r="G24" s="65">
        <f t="shared" si="1"/>
        <v>0.33333333333333331</v>
      </c>
    </row>
    <row r="25" spans="2:7" x14ac:dyDescent="0.15">
      <c r="B25" s="8">
        <v>23</v>
      </c>
      <c r="C25" s="8">
        <f t="shared" si="2"/>
        <v>46</v>
      </c>
      <c r="D25" s="8">
        <f t="shared" si="3"/>
        <v>69</v>
      </c>
      <c r="F25" s="65">
        <f t="shared" si="0"/>
        <v>0.16666666666666666</v>
      </c>
      <c r="G25" s="65">
        <f t="shared" si="1"/>
        <v>0.33333333333333331</v>
      </c>
    </row>
    <row r="26" spans="2:7" x14ac:dyDescent="0.15">
      <c r="B26" s="8">
        <v>24</v>
      </c>
      <c r="C26" s="8">
        <f t="shared" si="2"/>
        <v>48</v>
      </c>
      <c r="D26" s="8">
        <f t="shared" si="3"/>
        <v>72</v>
      </c>
      <c r="F26" s="65">
        <f t="shared" si="0"/>
        <v>0.16666666666666666</v>
      </c>
      <c r="G26" s="65">
        <f t="shared" si="1"/>
        <v>0.33333333333333331</v>
      </c>
    </row>
    <row r="27" spans="2:7" x14ac:dyDescent="0.15">
      <c r="B27" s="8">
        <v>25</v>
      </c>
      <c r="C27" s="8">
        <f t="shared" si="2"/>
        <v>50</v>
      </c>
      <c r="D27" s="8">
        <f t="shared" si="3"/>
        <v>75</v>
      </c>
      <c r="F27" s="65">
        <f t="shared" si="0"/>
        <v>0.16666666666666666</v>
      </c>
      <c r="G27" s="65">
        <f t="shared" si="1"/>
        <v>0.33333333333333331</v>
      </c>
    </row>
    <row r="28" spans="2:7" x14ac:dyDescent="0.15">
      <c r="B28" s="8">
        <v>26</v>
      </c>
      <c r="C28" s="8">
        <f t="shared" si="2"/>
        <v>52</v>
      </c>
      <c r="D28" s="8">
        <f t="shared" si="3"/>
        <v>78</v>
      </c>
      <c r="F28" s="65">
        <f t="shared" si="0"/>
        <v>0.16666666666666666</v>
      </c>
      <c r="G28" s="65">
        <f t="shared" si="1"/>
        <v>0.33333333333333331</v>
      </c>
    </row>
    <row r="29" spans="2:7" x14ac:dyDescent="0.15">
      <c r="B29" s="8">
        <v>27</v>
      </c>
      <c r="C29" s="8">
        <f t="shared" si="2"/>
        <v>54</v>
      </c>
      <c r="D29" s="8">
        <f t="shared" si="3"/>
        <v>81</v>
      </c>
      <c r="F29" s="65">
        <f t="shared" si="0"/>
        <v>0.16666666666666666</v>
      </c>
      <c r="G29" s="65">
        <f t="shared" si="1"/>
        <v>0.33333333333333331</v>
      </c>
    </row>
    <row r="30" spans="2:7" x14ac:dyDescent="0.15">
      <c r="B30" s="8">
        <v>28</v>
      </c>
      <c r="C30" s="8">
        <f t="shared" si="2"/>
        <v>56</v>
      </c>
      <c r="D30" s="8">
        <f t="shared" si="3"/>
        <v>84</v>
      </c>
      <c r="F30" s="65">
        <f t="shared" si="0"/>
        <v>0.16666666666666666</v>
      </c>
      <c r="G30" s="65">
        <f t="shared" si="1"/>
        <v>0.33333333333333331</v>
      </c>
    </row>
    <row r="31" spans="2:7" x14ac:dyDescent="0.15">
      <c r="B31" s="8">
        <v>29</v>
      </c>
      <c r="C31" s="8">
        <f t="shared" si="2"/>
        <v>58</v>
      </c>
      <c r="D31" s="8">
        <f t="shared" si="3"/>
        <v>87</v>
      </c>
      <c r="F31" s="65">
        <f t="shared" si="0"/>
        <v>0.16666666666666666</v>
      </c>
      <c r="G31" s="65">
        <f t="shared" si="1"/>
        <v>0.33333333333333331</v>
      </c>
    </row>
    <row r="32" spans="2:7" x14ac:dyDescent="0.15">
      <c r="B32" s="8">
        <v>30</v>
      </c>
      <c r="C32" s="8">
        <f t="shared" si="2"/>
        <v>60</v>
      </c>
      <c r="D32" s="8">
        <f t="shared" si="3"/>
        <v>90</v>
      </c>
      <c r="F32" s="65">
        <f t="shared" si="0"/>
        <v>0.16666666666666666</v>
      </c>
      <c r="G32" s="65">
        <f t="shared" si="1"/>
        <v>0.33333333333333331</v>
      </c>
    </row>
    <row r="33" spans="2:7" x14ac:dyDescent="0.15">
      <c r="B33" s="8">
        <v>31</v>
      </c>
      <c r="C33" s="8">
        <f t="shared" si="2"/>
        <v>62</v>
      </c>
      <c r="D33" s="8">
        <f t="shared" si="3"/>
        <v>93</v>
      </c>
      <c r="F33" s="65">
        <f t="shared" si="0"/>
        <v>0.16666666666666666</v>
      </c>
      <c r="G33" s="65">
        <f t="shared" si="1"/>
        <v>0.33333333333333331</v>
      </c>
    </row>
    <row r="34" spans="2:7" x14ac:dyDescent="0.15">
      <c r="B34" s="8">
        <v>32</v>
      </c>
      <c r="C34" s="8">
        <f t="shared" si="2"/>
        <v>64</v>
      </c>
      <c r="D34" s="8">
        <f t="shared" si="3"/>
        <v>96</v>
      </c>
      <c r="F34" s="65">
        <f t="shared" si="0"/>
        <v>0.16666666666666666</v>
      </c>
      <c r="G34" s="65">
        <f t="shared" si="1"/>
        <v>0.33333333333333331</v>
      </c>
    </row>
    <row r="35" spans="2:7" x14ac:dyDescent="0.15">
      <c r="B35" s="8">
        <v>33</v>
      </c>
      <c r="C35" s="8">
        <f t="shared" si="2"/>
        <v>66</v>
      </c>
      <c r="D35" s="8">
        <f t="shared" si="3"/>
        <v>99</v>
      </c>
      <c r="F35" s="65">
        <f t="shared" si="0"/>
        <v>0.16666666666666666</v>
      </c>
      <c r="G35" s="65">
        <f t="shared" si="1"/>
        <v>0.33333333333333331</v>
      </c>
    </row>
    <row r="36" spans="2:7" x14ac:dyDescent="0.15">
      <c r="B36" s="8">
        <v>34</v>
      </c>
      <c r="C36" s="8">
        <f t="shared" si="2"/>
        <v>68</v>
      </c>
      <c r="D36" s="8">
        <f t="shared" si="3"/>
        <v>102</v>
      </c>
      <c r="F36" s="65">
        <f t="shared" si="0"/>
        <v>0.16666666666666666</v>
      </c>
      <c r="G36" s="65">
        <f t="shared" si="1"/>
        <v>0.33333333333333331</v>
      </c>
    </row>
    <row r="37" spans="2:7" x14ac:dyDescent="0.15">
      <c r="B37" s="8">
        <v>35</v>
      </c>
      <c r="C37" s="8">
        <f t="shared" si="2"/>
        <v>70</v>
      </c>
      <c r="D37" s="8">
        <f t="shared" si="3"/>
        <v>105</v>
      </c>
      <c r="F37" s="65">
        <f t="shared" si="0"/>
        <v>0.16666666666666666</v>
      </c>
      <c r="G37" s="65">
        <f t="shared" si="1"/>
        <v>0.33333333333333331</v>
      </c>
    </row>
    <row r="38" spans="2:7" x14ac:dyDescent="0.15">
      <c r="B38" s="8">
        <v>36</v>
      </c>
      <c r="C38" s="8">
        <f t="shared" si="2"/>
        <v>72</v>
      </c>
      <c r="D38" s="8">
        <f t="shared" si="3"/>
        <v>108</v>
      </c>
      <c r="F38" s="65">
        <f t="shared" si="0"/>
        <v>0.16666666666666666</v>
      </c>
      <c r="G38" s="65">
        <f t="shared" si="1"/>
        <v>0.33333333333333331</v>
      </c>
    </row>
    <row r="39" spans="2:7" x14ac:dyDescent="0.15">
      <c r="B39" s="8">
        <v>37</v>
      </c>
      <c r="C39" s="8">
        <f t="shared" si="2"/>
        <v>74</v>
      </c>
      <c r="D39" s="8">
        <f t="shared" si="3"/>
        <v>111</v>
      </c>
      <c r="F39" s="65">
        <f t="shared" si="0"/>
        <v>0.16666666666666666</v>
      </c>
      <c r="G39" s="65">
        <f t="shared" si="1"/>
        <v>0.33333333333333331</v>
      </c>
    </row>
    <row r="40" spans="2:7" x14ac:dyDescent="0.15">
      <c r="B40" s="8">
        <v>38</v>
      </c>
      <c r="C40" s="8">
        <f t="shared" si="2"/>
        <v>76</v>
      </c>
      <c r="D40" s="8">
        <f t="shared" si="3"/>
        <v>114</v>
      </c>
      <c r="F40" s="65">
        <f t="shared" si="0"/>
        <v>0.16666666666666666</v>
      </c>
      <c r="G40" s="65">
        <f t="shared" si="1"/>
        <v>0.33333333333333331</v>
      </c>
    </row>
    <row r="41" spans="2:7" x14ac:dyDescent="0.15">
      <c r="B41" s="8">
        <v>39</v>
      </c>
      <c r="C41" s="8">
        <f t="shared" si="2"/>
        <v>78</v>
      </c>
      <c r="D41" s="8">
        <f t="shared" si="3"/>
        <v>117</v>
      </c>
      <c r="F41" s="65">
        <f t="shared" si="0"/>
        <v>0.16666666666666666</v>
      </c>
      <c r="G41" s="65">
        <f t="shared" si="1"/>
        <v>0.33333333333333331</v>
      </c>
    </row>
    <row r="42" spans="2:7" x14ac:dyDescent="0.15">
      <c r="B42" s="8">
        <v>40</v>
      </c>
      <c r="C42" s="8">
        <f t="shared" si="2"/>
        <v>80</v>
      </c>
      <c r="D42" s="8">
        <f t="shared" si="3"/>
        <v>120</v>
      </c>
      <c r="F42" s="65">
        <f t="shared" si="0"/>
        <v>0.16666666666666666</v>
      </c>
      <c r="G42" s="65">
        <f t="shared" si="1"/>
        <v>0.33333333333333331</v>
      </c>
    </row>
    <row r="43" spans="2:7" x14ac:dyDescent="0.15">
      <c r="B43" s="8">
        <v>41</v>
      </c>
      <c r="C43" s="8">
        <f t="shared" si="2"/>
        <v>82</v>
      </c>
      <c r="D43" s="8">
        <f t="shared" si="3"/>
        <v>123</v>
      </c>
      <c r="F43" s="65">
        <f t="shared" si="0"/>
        <v>0.16666666666666666</v>
      </c>
      <c r="G43" s="65">
        <f t="shared" si="1"/>
        <v>0.33333333333333331</v>
      </c>
    </row>
    <row r="44" spans="2:7" x14ac:dyDescent="0.15">
      <c r="B44" s="8">
        <v>42</v>
      </c>
      <c r="C44" s="8">
        <f t="shared" si="2"/>
        <v>84</v>
      </c>
      <c r="D44" s="8">
        <f t="shared" si="3"/>
        <v>126</v>
      </c>
      <c r="F44" s="65">
        <f t="shared" si="0"/>
        <v>0.16666666666666666</v>
      </c>
      <c r="G44" s="65">
        <f t="shared" si="1"/>
        <v>0.33333333333333331</v>
      </c>
    </row>
    <row r="45" spans="2:7" x14ac:dyDescent="0.15">
      <c r="B45" s="8">
        <v>43</v>
      </c>
      <c r="C45" s="8">
        <f t="shared" si="2"/>
        <v>86</v>
      </c>
      <c r="D45" s="8">
        <f t="shared" si="3"/>
        <v>129</v>
      </c>
      <c r="F45" s="65">
        <f t="shared" si="0"/>
        <v>0.16666666666666666</v>
      </c>
      <c r="G45" s="65">
        <f t="shared" si="1"/>
        <v>0.33333333333333331</v>
      </c>
    </row>
    <row r="46" spans="2:7" x14ac:dyDescent="0.15">
      <c r="B46" s="8">
        <v>44</v>
      </c>
      <c r="C46" s="8">
        <f t="shared" si="2"/>
        <v>88</v>
      </c>
      <c r="D46" s="8">
        <f t="shared" si="3"/>
        <v>132</v>
      </c>
      <c r="F46" s="65">
        <f t="shared" si="0"/>
        <v>0.16666666666666666</v>
      </c>
      <c r="G46" s="65">
        <f t="shared" si="1"/>
        <v>0.33333333333333331</v>
      </c>
    </row>
    <row r="47" spans="2:7" x14ac:dyDescent="0.15">
      <c r="B47" s="8">
        <v>45</v>
      </c>
      <c r="C47" s="8">
        <f t="shared" si="2"/>
        <v>90</v>
      </c>
      <c r="D47" s="8">
        <f t="shared" si="3"/>
        <v>135</v>
      </c>
      <c r="F47" s="65">
        <f t="shared" si="0"/>
        <v>0.16666666666666666</v>
      </c>
      <c r="G47" s="65">
        <f t="shared" si="1"/>
        <v>0.33333333333333331</v>
      </c>
    </row>
    <row r="48" spans="2:7" x14ac:dyDescent="0.15">
      <c r="B48" s="8">
        <v>46</v>
      </c>
      <c r="C48" s="8">
        <f t="shared" si="2"/>
        <v>92</v>
      </c>
      <c r="D48" s="8">
        <f t="shared" si="3"/>
        <v>138</v>
      </c>
      <c r="F48" s="65">
        <f t="shared" si="0"/>
        <v>0.16666666666666666</v>
      </c>
      <c r="G48" s="65">
        <f t="shared" si="1"/>
        <v>0.33333333333333331</v>
      </c>
    </row>
    <row r="49" spans="2:7" x14ac:dyDescent="0.15">
      <c r="B49" s="8">
        <v>47</v>
      </c>
      <c r="C49" s="8">
        <f t="shared" si="2"/>
        <v>94</v>
      </c>
      <c r="D49" s="8">
        <f t="shared" si="3"/>
        <v>141</v>
      </c>
      <c r="F49" s="65">
        <f t="shared" si="0"/>
        <v>0.16666666666666666</v>
      </c>
      <c r="G49" s="65">
        <f t="shared" si="1"/>
        <v>0.33333333333333331</v>
      </c>
    </row>
    <row r="50" spans="2:7" x14ac:dyDescent="0.15">
      <c r="B50" s="8">
        <v>48</v>
      </c>
      <c r="C50" s="8">
        <f t="shared" si="2"/>
        <v>96</v>
      </c>
      <c r="D50" s="8">
        <f t="shared" si="3"/>
        <v>144</v>
      </c>
      <c r="F50" s="65">
        <f t="shared" si="0"/>
        <v>0.16666666666666666</v>
      </c>
      <c r="G50" s="65">
        <f t="shared" si="1"/>
        <v>0.33333333333333331</v>
      </c>
    </row>
    <row r="51" spans="2:7" x14ac:dyDescent="0.15">
      <c r="B51" s="8">
        <v>49</v>
      </c>
      <c r="C51" s="8">
        <f t="shared" si="2"/>
        <v>98</v>
      </c>
      <c r="D51" s="8">
        <f t="shared" si="3"/>
        <v>147</v>
      </c>
      <c r="F51" s="65">
        <f t="shared" si="0"/>
        <v>0.16666666666666666</v>
      </c>
      <c r="G51" s="65">
        <f t="shared" si="1"/>
        <v>0.33333333333333331</v>
      </c>
    </row>
    <row r="52" spans="2:7" x14ac:dyDescent="0.15">
      <c r="B52" s="8">
        <v>50</v>
      </c>
      <c r="C52" s="8">
        <f t="shared" si="2"/>
        <v>100</v>
      </c>
      <c r="D52" s="8">
        <f t="shared" si="3"/>
        <v>150</v>
      </c>
      <c r="F52" s="65">
        <f t="shared" si="0"/>
        <v>0.16666666666666666</v>
      </c>
      <c r="G52" s="65">
        <f t="shared" si="1"/>
        <v>0.33333333333333331</v>
      </c>
    </row>
    <row r="53" spans="2:7" x14ac:dyDescent="0.15">
      <c r="B53" s="8">
        <v>51</v>
      </c>
      <c r="C53" s="8">
        <f t="shared" si="2"/>
        <v>102</v>
      </c>
      <c r="D53" s="8">
        <f t="shared" si="3"/>
        <v>153</v>
      </c>
      <c r="F53" s="65">
        <f t="shared" si="0"/>
        <v>0.16666666666666666</v>
      </c>
      <c r="G53" s="65">
        <f t="shared" si="1"/>
        <v>0.33333333333333331</v>
      </c>
    </row>
    <row r="54" spans="2:7" x14ac:dyDescent="0.15">
      <c r="B54" s="8">
        <v>52</v>
      </c>
      <c r="C54" s="8">
        <f t="shared" si="2"/>
        <v>104</v>
      </c>
      <c r="D54" s="8">
        <f t="shared" si="3"/>
        <v>156</v>
      </c>
      <c r="F54" s="65">
        <f t="shared" si="0"/>
        <v>0.16666666666666666</v>
      </c>
      <c r="G54" s="65">
        <f t="shared" si="1"/>
        <v>0.33333333333333331</v>
      </c>
    </row>
    <row r="55" spans="2:7" x14ac:dyDescent="0.15">
      <c r="B55" s="8">
        <v>53</v>
      </c>
      <c r="C55" s="8">
        <f t="shared" si="2"/>
        <v>106</v>
      </c>
      <c r="D55" s="8">
        <f t="shared" si="3"/>
        <v>159</v>
      </c>
      <c r="F55" s="65">
        <f t="shared" si="0"/>
        <v>0.16666666666666666</v>
      </c>
      <c r="G55" s="65">
        <f t="shared" si="1"/>
        <v>0.33333333333333331</v>
      </c>
    </row>
    <row r="56" spans="2:7" x14ac:dyDescent="0.15">
      <c r="B56" s="8">
        <v>54</v>
      </c>
      <c r="C56" s="8">
        <f t="shared" si="2"/>
        <v>108</v>
      </c>
      <c r="D56" s="8">
        <f t="shared" si="3"/>
        <v>162</v>
      </c>
      <c r="F56" s="65">
        <f t="shared" si="0"/>
        <v>0.16666666666666666</v>
      </c>
      <c r="G56" s="65">
        <f t="shared" si="1"/>
        <v>0.33333333333333331</v>
      </c>
    </row>
    <row r="57" spans="2:7" x14ac:dyDescent="0.15">
      <c r="B57" s="8">
        <v>55</v>
      </c>
      <c r="C57" s="8">
        <f t="shared" si="2"/>
        <v>110</v>
      </c>
      <c r="D57" s="8">
        <f t="shared" si="3"/>
        <v>165</v>
      </c>
      <c r="F57" s="65">
        <f t="shared" si="0"/>
        <v>0.16666666666666666</v>
      </c>
      <c r="G57" s="65">
        <f t="shared" si="1"/>
        <v>0.33333333333333331</v>
      </c>
    </row>
    <row r="58" spans="2:7" x14ac:dyDescent="0.15">
      <c r="B58" s="8">
        <v>56</v>
      </c>
      <c r="C58" s="8">
        <f t="shared" si="2"/>
        <v>112</v>
      </c>
      <c r="D58" s="8">
        <f t="shared" si="3"/>
        <v>168</v>
      </c>
      <c r="F58" s="65">
        <f t="shared" si="0"/>
        <v>0.16666666666666666</v>
      </c>
      <c r="G58" s="65">
        <f t="shared" si="1"/>
        <v>0.33333333333333331</v>
      </c>
    </row>
    <row r="59" spans="2:7" x14ac:dyDescent="0.15">
      <c r="B59" s="8">
        <v>57</v>
      </c>
      <c r="C59" s="8">
        <f t="shared" si="2"/>
        <v>114</v>
      </c>
      <c r="D59" s="8">
        <f t="shared" si="3"/>
        <v>171</v>
      </c>
      <c r="F59" s="65">
        <f t="shared" si="0"/>
        <v>0.16666666666666666</v>
      </c>
      <c r="G59" s="65">
        <f t="shared" si="1"/>
        <v>0.33333333333333331</v>
      </c>
    </row>
    <row r="60" spans="2:7" x14ac:dyDescent="0.15">
      <c r="B60" s="8">
        <v>58</v>
      </c>
      <c r="C60" s="8">
        <f t="shared" si="2"/>
        <v>116</v>
      </c>
      <c r="D60" s="8">
        <f t="shared" si="3"/>
        <v>174</v>
      </c>
      <c r="F60" s="65">
        <f t="shared" si="0"/>
        <v>0.16666666666666666</v>
      </c>
      <c r="G60" s="65">
        <f t="shared" si="1"/>
        <v>0.33333333333333331</v>
      </c>
    </row>
    <row r="61" spans="2:7" x14ac:dyDescent="0.15">
      <c r="B61" s="8">
        <v>59</v>
      </c>
      <c r="C61" s="8">
        <f t="shared" si="2"/>
        <v>118</v>
      </c>
      <c r="D61" s="8">
        <f t="shared" si="3"/>
        <v>177</v>
      </c>
      <c r="F61" s="65">
        <f t="shared" si="0"/>
        <v>0.16666666666666666</v>
      </c>
      <c r="G61" s="65">
        <f t="shared" si="1"/>
        <v>0.33333333333333331</v>
      </c>
    </row>
    <row r="62" spans="2:7" x14ac:dyDescent="0.15">
      <c r="B62" s="8">
        <v>60</v>
      </c>
      <c r="C62" s="8">
        <f t="shared" si="2"/>
        <v>120</v>
      </c>
      <c r="D62" s="8">
        <f t="shared" si="3"/>
        <v>180</v>
      </c>
      <c r="F62" s="65">
        <f t="shared" si="0"/>
        <v>0.16666666666666666</v>
      </c>
      <c r="G62" s="65">
        <f t="shared" si="1"/>
        <v>0.33333333333333331</v>
      </c>
    </row>
    <row r="63" spans="2:7" x14ac:dyDescent="0.15">
      <c r="B63" s="8">
        <v>61</v>
      </c>
      <c r="C63" s="8">
        <f t="shared" si="2"/>
        <v>122</v>
      </c>
      <c r="D63" s="8">
        <f t="shared" si="3"/>
        <v>183</v>
      </c>
      <c r="F63" s="65">
        <f t="shared" si="0"/>
        <v>0.16666666666666666</v>
      </c>
      <c r="G63" s="65">
        <f t="shared" si="1"/>
        <v>0.33333333333333331</v>
      </c>
    </row>
    <row r="64" spans="2:7" x14ac:dyDescent="0.15">
      <c r="B64" s="8">
        <v>62</v>
      </c>
      <c r="C64" s="8">
        <f t="shared" si="2"/>
        <v>124</v>
      </c>
      <c r="D64" s="8">
        <f t="shared" si="3"/>
        <v>186</v>
      </c>
      <c r="F64" s="65">
        <f t="shared" si="0"/>
        <v>0.16666666666666666</v>
      </c>
      <c r="G64" s="65">
        <f t="shared" si="1"/>
        <v>0.33333333333333331</v>
      </c>
    </row>
    <row r="65" spans="2:7" x14ac:dyDescent="0.15">
      <c r="B65" s="8">
        <v>63</v>
      </c>
      <c r="C65" s="8">
        <f t="shared" si="2"/>
        <v>126</v>
      </c>
      <c r="D65" s="8">
        <f t="shared" si="3"/>
        <v>189</v>
      </c>
      <c r="F65" s="65">
        <f t="shared" si="0"/>
        <v>0.16666666666666666</v>
      </c>
      <c r="G65" s="65">
        <f t="shared" si="1"/>
        <v>0.33333333333333331</v>
      </c>
    </row>
    <row r="66" spans="2:7" x14ac:dyDescent="0.15">
      <c r="B66" s="8">
        <v>64</v>
      </c>
      <c r="C66" s="8">
        <f t="shared" si="2"/>
        <v>128</v>
      </c>
      <c r="D66" s="8">
        <f t="shared" si="3"/>
        <v>192</v>
      </c>
      <c r="F66" s="65">
        <f t="shared" si="0"/>
        <v>0.16666666666666666</v>
      </c>
      <c r="G66" s="65">
        <f t="shared" si="1"/>
        <v>0.33333333333333331</v>
      </c>
    </row>
    <row r="67" spans="2:7" x14ac:dyDescent="0.15">
      <c r="B67" s="8">
        <v>65</v>
      </c>
      <c r="C67" s="8">
        <f t="shared" si="2"/>
        <v>130</v>
      </c>
      <c r="D67" s="8">
        <f t="shared" si="3"/>
        <v>195</v>
      </c>
      <c r="F67" s="65">
        <f t="shared" si="0"/>
        <v>0.16666666666666666</v>
      </c>
      <c r="G67" s="65">
        <f t="shared" si="1"/>
        <v>0.33333333333333331</v>
      </c>
    </row>
    <row r="68" spans="2:7" x14ac:dyDescent="0.15">
      <c r="B68" s="8">
        <v>66</v>
      </c>
      <c r="C68" s="8">
        <f t="shared" si="2"/>
        <v>132</v>
      </c>
      <c r="D68" s="8">
        <f t="shared" si="3"/>
        <v>198</v>
      </c>
      <c r="F68" s="65">
        <f t="shared" ref="F68:F101" si="4">C68/(C68+B68*10)</f>
        <v>0.16666666666666666</v>
      </c>
      <c r="G68" s="65">
        <f t="shared" ref="G68:G101" si="5">(C68+D68)/(B68*10+D68+C68)</f>
        <v>0.33333333333333331</v>
      </c>
    </row>
    <row r="69" spans="2:7" x14ac:dyDescent="0.15">
      <c r="B69" s="8">
        <v>67</v>
      </c>
      <c r="C69" s="8">
        <f t="shared" ref="C69:C101" si="6">C68+2</f>
        <v>134</v>
      </c>
      <c r="D69" s="8">
        <f t="shared" ref="D69:D101" si="7">D68+3</f>
        <v>201</v>
      </c>
      <c r="F69" s="65">
        <f t="shared" si="4"/>
        <v>0.16666666666666666</v>
      </c>
      <c r="G69" s="65">
        <f t="shared" si="5"/>
        <v>0.33333333333333331</v>
      </c>
    </row>
    <row r="70" spans="2:7" x14ac:dyDescent="0.15">
      <c r="B70" s="8">
        <v>68</v>
      </c>
      <c r="C70" s="8">
        <f t="shared" si="6"/>
        <v>136</v>
      </c>
      <c r="D70" s="8">
        <f t="shared" si="7"/>
        <v>204</v>
      </c>
      <c r="F70" s="65">
        <f t="shared" si="4"/>
        <v>0.16666666666666666</v>
      </c>
      <c r="G70" s="65">
        <f t="shared" si="5"/>
        <v>0.33333333333333331</v>
      </c>
    </row>
    <row r="71" spans="2:7" x14ac:dyDescent="0.15">
      <c r="B71" s="8">
        <v>69</v>
      </c>
      <c r="C71" s="8">
        <f t="shared" si="6"/>
        <v>138</v>
      </c>
      <c r="D71" s="8">
        <f t="shared" si="7"/>
        <v>207</v>
      </c>
      <c r="F71" s="65">
        <f t="shared" si="4"/>
        <v>0.16666666666666666</v>
      </c>
      <c r="G71" s="65">
        <f t="shared" si="5"/>
        <v>0.33333333333333331</v>
      </c>
    </row>
    <row r="72" spans="2:7" x14ac:dyDescent="0.15">
      <c r="B72" s="8">
        <v>70</v>
      </c>
      <c r="C72" s="8">
        <f t="shared" si="6"/>
        <v>140</v>
      </c>
      <c r="D72" s="8">
        <f t="shared" si="7"/>
        <v>210</v>
      </c>
      <c r="F72" s="65">
        <f t="shared" si="4"/>
        <v>0.16666666666666666</v>
      </c>
      <c r="G72" s="65">
        <f t="shared" si="5"/>
        <v>0.33333333333333331</v>
      </c>
    </row>
    <row r="73" spans="2:7" x14ac:dyDescent="0.15">
      <c r="B73" s="8">
        <v>71</v>
      </c>
      <c r="C73" s="8">
        <f t="shared" si="6"/>
        <v>142</v>
      </c>
      <c r="D73" s="8">
        <f t="shared" si="7"/>
        <v>213</v>
      </c>
      <c r="F73" s="65">
        <f t="shared" si="4"/>
        <v>0.16666666666666666</v>
      </c>
      <c r="G73" s="65">
        <f t="shared" si="5"/>
        <v>0.33333333333333331</v>
      </c>
    </row>
    <row r="74" spans="2:7" x14ac:dyDescent="0.15">
      <c r="B74" s="8">
        <v>72</v>
      </c>
      <c r="C74" s="8">
        <f t="shared" si="6"/>
        <v>144</v>
      </c>
      <c r="D74" s="8">
        <f t="shared" si="7"/>
        <v>216</v>
      </c>
      <c r="F74" s="65">
        <f t="shared" si="4"/>
        <v>0.16666666666666666</v>
      </c>
      <c r="G74" s="65">
        <f t="shared" si="5"/>
        <v>0.33333333333333331</v>
      </c>
    </row>
    <row r="75" spans="2:7" x14ac:dyDescent="0.15">
      <c r="B75" s="8">
        <v>73</v>
      </c>
      <c r="C75" s="8">
        <f t="shared" si="6"/>
        <v>146</v>
      </c>
      <c r="D75" s="8">
        <f t="shared" si="7"/>
        <v>219</v>
      </c>
      <c r="F75" s="65">
        <f t="shared" si="4"/>
        <v>0.16666666666666666</v>
      </c>
      <c r="G75" s="65">
        <f t="shared" si="5"/>
        <v>0.33333333333333331</v>
      </c>
    </row>
    <row r="76" spans="2:7" x14ac:dyDescent="0.15">
      <c r="B76" s="8">
        <v>74</v>
      </c>
      <c r="C76" s="8">
        <f t="shared" si="6"/>
        <v>148</v>
      </c>
      <c r="D76" s="8">
        <f t="shared" si="7"/>
        <v>222</v>
      </c>
      <c r="F76" s="65">
        <f t="shared" si="4"/>
        <v>0.16666666666666666</v>
      </c>
      <c r="G76" s="65">
        <f t="shared" si="5"/>
        <v>0.33333333333333331</v>
      </c>
    </row>
    <row r="77" spans="2:7" x14ac:dyDescent="0.15">
      <c r="B77" s="8">
        <v>75</v>
      </c>
      <c r="C77" s="8">
        <f t="shared" si="6"/>
        <v>150</v>
      </c>
      <c r="D77" s="8">
        <f t="shared" si="7"/>
        <v>225</v>
      </c>
      <c r="F77" s="65">
        <f t="shared" si="4"/>
        <v>0.16666666666666666</v>
      </c>
      <c r="G77" s="65">
        <f t="shared" si="5"/>
        <v>0.33333333333333331</v>
      </c>
    </row>
    <row r="78" spans="2:7" x14ac:dyDescent="0.15">
      <c r="B78" s="8">
        <v>76</v>
      </c>
      <c r="C78" s="8">
        <f t="shared" si="6"/>
        <v>152</v>
      </c>
      <c r="D78" s="8">
        <f t="shared" si="7"/>
        <v>228</v>
      </c>
      <c r="F78" s="65">
        <f t="shared" si="4"/>
        <v>0.16666666666666666</v>
      </c>
      <c r="G78" s="65">
        <f t="shared" si="5"/>
        <v>0.33333333333333331</v>
      </c>
    </row>
    <row r="79" spans="2:7" x14ac:dyDescent="0.15">
      <c r="B79" s="8">
        <v>77</v>
      </c>
      <c r="C79" s="8">
        <f t="shared" si="6"/>
        <v>154</v>
      </c>
      <c r="D79" s="8">
        <f t="shared" si="7"/>
        <v>231</v>
      </c>
      <c r="F79" s="65">
        <f t="shared" si="4"/>
        <v>0.16666666666666666</v>
      </c>
      <c r="G79" s="65">
        <f t="shared" si="5"/>
        <v>0.33333333333333331</v>
      </c>
    </row>
    <row r="80" spans="2:7" x14ac:dyDescent="0.15">
      <c r="B80" s="8">
        <v>78</v>
      </c>
      <c r="C80" s="8">
        <f t="shared" si="6"/>
        <v>156</v>
      </c>
      <c r="D80" s="8">
        <f t="shared" si="7"/>
        <v>234</v>
      </c>
      <c r="F80" s="65">
        <f t="shared" si="4"/>
        <v>0.16666666666666666</v>
      </c>
      <c r="G80" s="65">
        <f t="shared" si="5"/>
        <v>0.33333333333333331</v>
      </c>
    </row>
    <row r="81" spans="2:7" x14ac:dyDescent="0.15">
      <c r="B81" s="8">
        <v>79</v>
      </c>
      <c r="C81" s="8">
        <f t="shared" si="6"/>
        <v>158</v>
      </c>
      <c r="D81" s="8">
        <f t="shared" si="7"/>
        <v>237</v>
      </c>
      <c r="F81" s="65">
        <f t="shared" si="4"/>
        <v>0.16666666666666666</v>
      </c>
      <c r="G81" s="65">
        <f t="shared" si="5"/>
        <v>0.33333333333333331</v>
      </c>
    </row>
    <row r="82" spans="2:7" x14ac:dyDescent="0.15">
      <c r="B82" s="8">
        <v>80</v>
      </c>
      <c r="C82" s="8">
        <f t="shared" si="6"/>
        <v>160</v>
      </c>
      <c r="D82" s="8">
        <f t="shared" si="7"/>
        <v>240</v>
      </c>
      <c r="F82" s="65">
        <f t="shared" si="4"/>
        <v>0.16666666666666666</v>
      </c>
      <c r="G82" s="65">
        <f t="shared" si="5"/>
        <v>0.33333333333333331</v>
      </c>
    </row>
    <row r="83" spans="2:7" x14ac:dyDescent="0.15">
      <c r="B83" s="8">
        <v>81</v>
      </c>
      <c r="C83" s="8">
        <f t="shared" si="6"/>
        <v>162</v>
      </c>
      <c r="D83" s="8">
        <f t="shared" si="7"/>
        <v>243</v>
      </c>
      <c r="F83" s="65">
        <f t="shared" si="4"/>
        <v>0.16666666666666666</v>
      </c>
      <c r="G83" s="65">
        <f t="shared" si="5"/>
        <v>0.33333333333333331</v>
      </c>
    </row>
    <row r="84" spans="2:7" x14ac:dyDescent="0.15">
      <c r="B84" s="8">
        <v>82</v>
      </c>
      <c r="C84" s="8">
        <f t="shared" si="6"/>
        <v>164</v>
      </c>
      <c r="D84" s="8">
        <f t="shared" si="7"/>
        <v>246</v>
      </c>
      <c r="F84" s="65">
        <f t="shared" si="4"/>
        <v>0.16666666666666666</v>
      </c>
      <c r="G84" s="65">
        <f t="shared" si="5"/>
        <v>0.33333333333333331</v>
      </c>
    </row>
    <row r="85" spans="2:7" x14ac:dyDescent="0.15">
      <c r="B85" s="8">
        <v>83</v>
      </c>
      <c r="C85" s="8">
        <f t="shared" si="6"/>
        <v>166</v>
      </c>
      <c r="D85" s="8">
        <f t="shared" si="7"/>
        <v>249</v>
      </c>
      <c r="F85" s="65">
        <f t="shared" si="4"/>
        <v>0.16666666666666666</v>
      </c>
      <c r="G85" s="65">
        <f t="shared" si="5"/>
        <v>0.33333333333333331</v>
      </c>
    </row>
    <row r="86" spans="2:7" x14ac:dyDescent="0.15">
      <c r="B86" s="8">
        <v>84</v>
      </c>
      <c r="C86" s="8">
        <f t="shared" si="6"/>
        <v>168</v>
      </c>
      <c r="D86" s="8">
        <f t="shared" si="7"/>
        <v>252</v>
      </c>
      <c r="F86" s="65">
        <f t="shared" si="4"/>
        <v>0.16666666666666666</v>
      </c>
      <c r="G86" s="65">
        <f t="shared" si="5"/>
        <v>0.33333333333333331</v>
      </c>
    </row>
    <row r="87" spans="2:7" x14ac:dyDescent="0.15">
      <c r="B87" s="8">
        <v>85</v>
      </c>
      <c r="C87" s="8">
        <f t="shared" si="6"/>
        <v>170</v>
      </c>
      <c r="D87" s="8">
        <f t="shared" si="7"/>
        <v>255</v>
      </c>
      <c r="F87" s="65">
        <f t="shared" si="4"/>
        <v>0.16666666666666666</v>
      </c>
      <c r="G87" s="65">
        <f t="shared" si="5"/>
        <v>0.33333333333333331</v>
      </c>
    </row>
    <row r="88" spans="2:7" x14ac:dyDescent="0.15">
      <c r="B88" s="8">
        <v>86</v>
      </c>
      <c r="C88" s="8">
        <f t="shared" si="6"/>
        <v>172</v>
      </c>
      <c r="D88" s="8">
        <f t="shared" si="7"/>
        <v>258</v>
      </c>
      <c r="F88" s="65">
        <f t="shared" si="4"/>
        <v>0.16666666666666666</v>
      </c>
      <c r="G88" s="65">
        <f t="shared" si="5"/>
        <v>0.33333333333333331</v>
      </c>
    </row>
    <row r="89" spans="2:7" x14ac:dyDescent="0.15">
      <c r="B89" s="8">
        <v>87</v>
      </c>
      <c r="C89" s="8">
        <f t="shared" si="6"/>
        <v>174</v>
      </c>
      <c r="D89" s="8">
        <f t="shared" si="7"/>
        <v>261</v>
      </c>
      <c r="F89" s="65">
        <f t="shared" si="4"/>
        <v>0.16666666666666666</v>
      </c>
      <c r="G89" s="65">
        <f t="shared" si="5"/>
        <v>0.33333333333333331</v>
      </c>
    </row>
    <row r="90" spans="2:7" x14ac:dyDescent="0.15">
      <c r="B90" s="8">
        <v>88</v>
      </c>
      <c r="C90" s="8">
        <f t="shared" si="6"/>
        <v>176</v>
      </c>
      <c r="D90" s="8">
        <f t="shared" si="7"/>
        <v>264</v>
      </c>
      <c r="F90" s="65">
        <f t="shared" si="4"/>
        <v>0.16666666666666666</v>
      </c>
      <c r="G90" s="65">
        <f t="shared" si="5"/>
        <v>0.33333333333333331</v>
      </c>
    </row>
    <row r="91" spans="2:7" x14ac:dyDescent="0.15">
      <c r="B91" s="8">
        <v>89</v>
      </c>
      <c r="C91" s="8">
        <f t="shared" si="6"/>
        <v>178</v>
      </c>
      <c r="D91" s="8">
        <f t="shared" si="7"/>
        <v>267</v>
      </c>
      <c r="F91" s="65">
        <f t="shared" si="4"/>
        <v>0.16666666666666666</v>
      </c>
      <c r="G91" s="65">
        <f t="shared" si="5"/>
        <v>0.33333333333333331</v>
      </c>
    </row>
    <row r="92" spans="2:7" x14ac:dyDescent="0.15">
      <c r="B92" s="8">
        <v>90</v>
      </c>
      <c r="C92" s="8">
        <f t="shared" si="6"/>
        <v>180</v>
      </c>
      <c r="D92" s="8">
        <f t="shared" si="7"/>
        <v>270</v>
      </c>
      <c r="F92" s="65">
        <f t="shared" si="4"/>
        <v>0.16666666666666666</v>
      </c>
      <c r="G92" s="65">
        <f t="shared" si="5"/>
        <v>0.33333333333333331</v>
      </c>
    </row>
    <row r="93" spans="2:7" x14ac:dyDescent="0.15">
      <c r="B93" s="8">
        <v>91</v>
      </c>
      <c r="C93" s="8">
        <f t="shared" si="6"/>
        <v>182</v>
      </c>
      <c r="D93" s="8">
        <f t="shared" si="7"/>
        <v>273</v>
      </c>
      <c r="F93" s="65">
        <f t="shared" si="4"/>
        <v>0.16666666666666666</v>
      </c>
      <c r="G93" s="65">
        <f t="shared" si="5"/>
        <v>0.33333333333333331</v>
      </c>
    </row>
    <row r="94" spans="2:7" x14ac:dyDescent="0.15">
      <c r="B94" s="8">
        <v>92</v>
      </c>
      <c r="C94" s="8">
        <f t="shared" si="6"/>
        <v>184</v>
      </c>
      <c r="D94" s="8">
        <f t="shared" si="7"/>
        <v>276</v>
      </c>
      <c r="F94" s="65">
        <f t="shared" si="4"/>
        <v>0.16666666666666666</v>
      </c>
      <c r="G94" s="65">
        <f t="shared" si="5"/>
        <v>0.33333333333333331</v>
      </c>
    </row>
    <row r="95" spans="2:7" x14ac:dyDescent="0.15">
      <c r="B95" s="8">
        <v>93</v>
      </c>
      <c r="C95" s="8">
        <f t="shared" si="6"/>
        <v>186</v>
      </c>
      <c r="D95" s="8">
        <f t="shared" si="7"/>
        <v>279</v>
      </c>
      <c r="F95" s="65">
        <f t="shared" si="4"/>
        <v>0.16666666666666666</v>
      </c>
      <c r="G95" s="65">
        <f t="shared" si="5"/>
        <v>0.33333333333333331</v>
      </c>
    </row>
    <row r="96" spans="2:7" x14ac:dyDescent="0.15">
      <c r="B96" s="8">
        <v>94</v>
      </c>
      <c r="C96" s="8">
        <f t="shared" si="6"/>
        <v>188</v>
      </c>
      <c r="D96" s="8">
        <f t="shared" si="7"/>
        <v>282</v>
      </c>
      <c r="F96" s="65">
        <f t="shared" si="4"/>
        <v>0.16666666666666666</v>
      </c>
      <c r="G96" s="65">
        <f t="shared" si="5"/>
        <v>0.33333333333333331</v>
      </c>
    </row>
    <row r="97" spans="2:7" x14ac:dyDescent="0.15">
      <c r="B97" s="8">
        <v>95</v>
      </c>
      <c r="C97" s="8">
        <f t="shared" si="6"/>
        <v>190</v>
      </c>
      <c r="D97" s="8">
        <f t="shared" si="7"/>
        <v>285</v>
      </c>
      <c r="F97" s="65">
        <f t="shared" si="4"/>
        <v>0.16666666666666666</v>
      </c>
      <c r="G97" s="65">
        <f t="shared" si="5"/>
        <v>0.33333333333333331</v>
      </c>
    </row>
    <row r="98" spans="2:7" x14ac:dyDescent="0.15">
      <c r="B98" s="8">
        <v>96</v>
      </c>
      <c r="C98" s="8">
        <f t="shared" si="6"/>
        <v>192</v>
      </c>
      <c r="D98" s="8">
        <f t="shared" si="7"/>
        <v>288</v>
      </c>
      <c r="F98" s="65">
        <f t="shared" si="4"/>
        <v>0.16666666666666666</v>
      </c>
      <c r="G98" s="65">
        <f t="shared" si="5"/>
        <v>0.33333333333333331</v>
      </c>
    </row>
    <row r="99" spans="2:7" x14ac:dyDescent="0.15">
      <c r="B99" s="8">
        <v>97</v>
      </c>
      <c r="C99" s="8">
        <f t="shared" si="6"/>
        <v>194</v>
      </c>
      <c r="D99" s="8">
        <f t="shared" si="7"/>
        <v>291</v>
      </c>
      <c r="F99" s="65">
        <f t="shared" si="4"/>
        <v>0.16666666666666666</v>
      </c>
      <c r="G99" s="65">
        <f t="shared" si="5"/>
        <v>0.33333333333333331</v>
      </c>
    </row>
    <row r="100" spans="2:7" x14ac:dyDescent="0.15">
      <c r="B100" s="8">
        <v>98</v>
      </c>
      <c r="C100" s="8">
        <f t="shared" si="6"/>
        <v>196</v>
      </c>
      <c r="D100" s="8">
        <f t="shared" si="7"/>
        <v>294</v>
      </c>
      <c r="F100" s="65">
        <f t="shared" si="4"/>
        <v>0.16666666666666666</v>
      </c>
      <c r="G100" s="65">
        <f t="shared" si="5"/>
        <v>0.33333333333333331</v>
      </c>
    </row>
    <row r="101" spans="2:7" x14ac:dyDescent="0.15">
      <c r="B101" s="8">
        <v>99</v>
      </c>
      <c r="C101" s="8">
        <f t="shared" si="6"/>
        <v>198</v>
      </c>
      <c r="D101" s="8">
        <f t="shared" si="7"/>
        <v>297</v>
      </c>
      <c r="F101" s="65">
        <f t="shared" si="4"/>
        <v>0.16666666666666666</v>
      </c>
      <c r="G101" s="65">
        <f t="shared" si="5"/>
        <v>0.33333333333333331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I5:J41"/>
  <sheetViews>
    <sheetView topLeftCell="A6" zoomScaleNormal="100" workbookViewId="0">
      <selection activeCell="L16" sqref="L16"/>
    </sheetView>
  </sheetViews>
  <sheetFormatPr defaultRowHeight="13.5" x14ac:dyDescent="0.15"/>
  <sheetData>
    <row r="5" spans="9:10" x14ac:dyDescent="0.15">
      <c r="I5" s="60" t="s">
        <v>249</v>
      </c>
      <c r="J5" s="60" t="s">
        <v>282</v>
      </c>
    </row>
    <row r="6" spans="9:10" x14ac:dyDescent="0.15">
      <c r="I6" s="73" t="s">
        <v>250</v>
      </c>
      <c r="J6" s="73" t="s">
        <v>283</v>
      </c>
    </row>
    <row r="7" spans="9:10" x14ac:dyDescent="0.15">
      <c r="I7" s="74" t="s">
        <v>251</v>
      </c>
      <c r="J7" s="74" t="s">
        <v>32</v>
      </c>
    </row>
    <row r="8" spans="9:10" x14ac:dyDescent="0.15">
      <c r="I8" s="73" t="s">
        <v>252</v>
      </c>
      <c r="J8" s="73" t="s">
        <v>280</v>
      </c>
    </row>
    <row r="9" spans="9:10" x14ac:dyDescent="0.15">
      <c r="I9" s="60" t="s">
        <v>253</v>
      </c>
      <c r="J9" s="60" t="s">
        <v>282</v>
      </c>
    </row>
    <row r="10" spans="9:10" x14ac:dyDescent="0.15">
      <c r="I10" s="61" t="s">
        <v>254</v>
      </c>
      <c r="J10" s="60" t="s">
        <v>282</v>
      </c>
    </row>
    <row r="11" spans="9:10" x14ac:dyDescent="0.15">
      <c r="I11" s="61" t="s">
        <v>255</v>
      </c>
      <c r="J11" s="61" t="s">
        <v>284</v>
      </c>
    </row>
    <row r="12" spans="9:10" x14ac:dyDescent="0.15">
      <c r="I12" s="60" t="s">
        <v>256</v>
      </c>
      <c r="J12" s="60" t="s">
        <v>285</v>
      </c>
    </row>
    <row r="13" spans="9:10" x14ac:dyDescent="0.15">
      <c r="I13" s="61" t="s">
        <v>257</v>
      </c>
      <c r="J13" s="61" t="s">
        <v>286</v>
      </c>
    </row>
    <row r="14" spans="9:10" x14ac:dyDescent="0.15">
      <c r="I14" s="60" t="s">
        <v>258</v>
      </c>
      <c r="J14" s="60" t="s">
        <v>280</v>
      </c>
    </row>
    <row r="15" spans="9:10" x14ac:dyDescent="0.15">
      <c r="I15" s="61" t="s">
        <v>259</v>
      </c>
      <c r="J15" s="61" t="s">
        <v>287</v>
      </c>
    </row>
    <row r="16" spans="9:10" x14ac:dyDescent="0.15">
      <c r="I16" s="60" t="s">
        <v>260</v>
      </c>
      <c r="J16" s="60" t="s">
        <v>288</v>
      </c>
    </row>
    <row r="17" spans="9:10" x14ac:dyDescent="0.15">
      <c r="I17" s="61" t="s">
        <v>261</v>
      </c>
      <c r="J17" s="61" t="s">
        <v>280</v>
      </c>
    </row>
    <row r="18" spans="9:10" x14ac:dyDescent="0.15">
      <c r="I18" s="60" t="s">
        <v>262</v>
      </c>
      <c r="J18" s="60" t="s">
        <v>290</v>
      </c>
    </row>
    <row r="19" spans="9:10" x14ac:dyDescent="0.15">
      <c r="I19" s="61" t="s">
        <v>263</v>
      </c>
      <c r="J19" s="61" t="s">
        <v>291</v>
      </c>
    </row>
    <row r="20" spans="9:10" x14ac:dyDescent="0.15">
      <c r="I20" s="60" t="s">
        <v>264</v>
      </c>
      <c r="J20" s="60" t="s">
        <v>292</v>
      </c>
    </row>
    <row r="21" spans="9:10" x14ac:dyDescent="0.15">
      <c r="I21" s="61" t="s">
        <v>265</v>
      </c>
      <c r="J21" s="61" t="s">
        <v>293</v>
      </c>
    </row>
    <row r="22" spans="9:10" x14ac:dyDescent="0.15">
      <c r="I22" s="60" t="s">
        <v>266</v>
      </c>
      <c r="J22" s="60" t="s">
        <v>294</v>
      </c>
    </row>
    <row r="23" spans="9:10" x14ac:dyDescent="0.15">
      <c r="I23" s="61" t="s">
        <v>267</v>
      </c>
      <c r="J23" s="61" t="s">
        <v>286</v>
      </c>
    </row>
    <row r="24" spans="9:10" x14ac:dyDescent="0.15">
      <c r="I24" s="60" t="s">
        <v>268</v>
      </c>
      <c r="J24" s="60" t="s">
        <v>292</v>
      </c>
    </row>
    <row r="25" spans="9:10" x14ac:dyDescent="0.15">
      <c r="I25" s="61" t="s">
        <v>269</v>
      </c>
      <c r="J25" s="61" t="s">
        <v>296</v>
      </c>
    </row>
    <row r="26" spans="9:10" x14ac:dyDescent="0.15">
      <c r="I26" s="60" t="s">
        <v>270</v>
      </c>
      <c r="J26" s="60" t="s">
        <v>297</v>
      </c>
    </row>
    <row r="27" spans="9:10" x14ac:dyDescent="0.15">
      <c r="I27" s="61" t="s">
        <v>270</v>
      </c>
      <c r="J27" s="60" t="s">
        <v>297</v>
      </c>
    </row>
    <row r="28" spans="9:10" x14ac:dyDescent="0.15">
      <c r="I28" s="60" t="s">
        <v>271</v>
      </c>
      <c r="J28" s="60" t="s">
        <v>298</v>
      </c>
    </row>
    <row r="29" spans="9:10" x14ac:dyDescent="0.15">
      <c r="I29" s="61" t="s">
        <v>272</v>
      </c>
      <c r="J29" s="61" t="s">
        <v>299</v>
      </c>
    </row>
    <row r="30" spans="9:10" x14ac:dyDescent="0.15">
      <c r="I30" s="60" t="s">
        <v>273</v>
      </c>
      <c r="J30" s="60" t="s">
        <v>300</v>
      </c>
    </row>
    <row r="31" spans="9:10" x14ac:dyDescent="0.15">
      <c r="I31" s="61" t="s">
        <v>274</v>
      </c>
      <c r="J31" s="60" t="s">
        <v>300</v>
      </c>
    </row>
    <row r="32" spans="9:10" x14ac:dyDescent="0.15">
      <c r="I32" s="60" t="s">
        <v>275</v>
      </c>
      <c r="J32" s="60" t="s">
        <v>301</v>
      </c>
    </row>
    <row r="33" spans="9:10" x14ac:dyDescent="0.15">
      <c r="I33" s="61" t="s">
        <v>276</v>
      </c>
      <c r="J33" s="61" t="s">
        <v>286</v>
      </c>
    </row>
    <row r="34" spans="9:10" x14ac:dyDescent="0.15">
      <c r="I34" s="60" t="s">
        <v>277</v>
      </c>
      <c r="J34" s="60" t="s">
        <v>303</v>
      </c>
    </row>
    <row r="35" spans="9:10" x14ac:dyDescent="0.15">
      <c r="I35" s="61" t="s">
        <v>278</v>
      </c>
      <c r="J35" s="61" t="s">
        <v>303</v>
      </c>
    </row>
    <row r="36" spans="9:10" x14ac:dyDescent="0.15">
      <c r="I36" s="8" t="s">
        <v>250</v>
      </c>
      <c r="J36" s="8" t="s">
        <v>286</v>
      </c>
    </row>
    <row r="37" spans="9:10" x14ac:dyDescent="0.15">
      <c r="I37" s="8" t="s">
        <v>251</v>
      </c>
      <c r="J37" s="8" t="s">
        <v>292</v>
      </c>
    </row>
    <row r="38" spans="9:10" x14ac:dyDescent="0.15">
      <c r="I38" s="8" t="s">
        <v>252</v>
      </c>
      <c r="J38" s="8" t="s">
        <v>319</v>
      </c>
    </row>
    <row r="39" spans="9:10" x14ac:dyDescent="0.15">
      <c r="I39" s="8" t="s">
        <v>314</v>
      </c>
      <c r="J39" s="8" t="s">
        <v>286</v>
      </c>
    </row>
    <row r="40" spans="9:10" x14ac:dyDescent="0.15">
      <c r="I40" s="8" t="s">
        <v>315</v>
      </c>
      <c r="J40" s="8" t="s">
        <v>319</v>
      </c>
    </row>
    <row r="41" spans="9:10" x14ac:dyDescent="0.15">
      <c r="I41" s="8" t="s">
        <v>316</v>
      </c>
      <c r="J41" s="8" t="s">
        <v>318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7</vt:i4>
      </vt:variant>
    </vt:vector>
  </HeadingPairs>
  <TitlesOfParts>
    <vt:vector size="15" baseType="lpstr">
      <vt:lpstr>职业设计</vt:lpstr>
      <vt:lpstr>优化职业</vt:lpstr>
      <vt:lpstr>装备设计</vt:lpstr>
      <vt:lpstr>武器表</vt:lpstr>
      <vt:lpstr>挂饰表</vt:lpstr>
      <vt:lpstr>Sheet1</vt:lpstr>
      <vt:lpstr>Sheet2</vt:lpstr>
      <vt:lpstr>Sheet3</vt:lpstr>
      <vt:lpstr>drop_grow1</vt:lpstr>
      <vt:lpstr>drop_property_weight</vt:lpstr>
      <vt:lpstr>macth1</vt:lpstr>
      <vt:lpstr>role_grow</vt:lpstr>
      <vt:lpstr>role_property_weight</vt:lpstr>
      <vt:lpstr>weapon_grow1</vt:lpstr>
      <vt:lpstr>weapon_property_weight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2014-06-25T13:07:05Z</dcterms:modified>
</cp:coreProperties>
</file>