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1"/>
  </bookViews>
  <sheets>
    <sheet name="npc基础" sheetId="1" r:id="rId1"/>
    <sheet name="Sheet2" sheetId="3" r:id="rId2"/>
    <sheet name="Sheet1" sheetId="2" r:id="rId3"/>
  </sheets>
  <definedNames>
    <definedName name="magicCoefficient">2.5</definedName>
    <definedName name="test1">Sheet2!$X$22:$AE$59</definedName>
  </definedNames>
  <calcPr calcId="152511"/>
</workbook>
</file>

<file path=xl/calcChain.xml><?xml version="1.0" encoding="utf-8"?>
<calcChain xmlns="http://schemas.openxmlformats.org/spreadsheetml/2006/main">
  <c r="K25" i="3" l="1"/>
  <c r="K29" i="3"/>
  <c r="K33" i="3"/>
  <c r="K28" i="3"/>
  <c r="K26" i="3"/>
  <c r="K30" i="3"/>
  <c r="K27" i="3"/>
  <c r="K31" i="3"/>
  <c r="K24" i="3"/>
  <c r="K32" i="3"/>
  <c r="K23" i="3"/>
  <c r="J23" i="3"/>
  <c r="J24" i="3"/>
  <c r="J25" i="3"/>
  <c r="J26" i="3"/>
  <c r="J27" i="3"/>
  <c r="J28" i="3"/>
  <c r="J29" i="3"/>
  <c r="J30" i="3"/>
  <c r="J31" i="3"/>
  <c r="J32" i="3"/>
  <c r="J33" i="3"/>
  <c r="L6" i="2" l="1"/>
  <c r="L7" i="2"/>
  <c r="L8" i="2" s="1"/>
  <c r="L9" i="2" s="1"/>
  <c r="L10" i="2" s="1"/>
  <c r="L11" i="2" s="1"/>
  <c r="L12" i="2" s="1"/>
  <c r="L13" i="2" s="1"/>
  <c r="L14" i="2" s="1"/>
  <c r="L15" i="2" s="1"/>
  <c r="L16" i="2" s="1"/>
  <c r="L17" i="2" s="1"/>
  <c r="L18" i="2" s="1"/>
  <c r="L19" i="2" s="1"/>
  <c r="L20" i="2" s="1"/>
  <c r="L21" i="2" s="1"/>
  <c r="L22" i="2" s="1"/>
  <c r="L23" i="2" s="1"/>
  <c r="L24" i="2" s="1"/>
  <c r="L25" i="2" s="1"/>
  <c r="L26" i="2" s="1"/>
  <c r="L27" i="2" s="1"/>
  <c r="L28" i="2" s="1"/>
  <c r="L29" i="2" s="1"/>
  <c r="L30" i="2" s="1"/>
  <c r="L31" i="2" s="1"/>
  <c r="L32" i="2" s="1"/>
  <c r="L33" i="2" s="1"/>
  <c r="L34" i="2" s="1"/>
  <c r="L35" i="2" s="1"/>
  <c r="L36" i="2" s="1"/>
  <c r="L37" i="2" s="1"/>
  <c r="L38" i="2" s="1"/>
  <c r="L39" i="2" s="1"/>
  <c r="L40" i="2" s="1"/>
  <c r="L41" i="2" s="1"/>
  <c r="L42" i="2" s="1"/>
  <c r="L43" i="2" s="1"/>
  <c r="L44" i="2" s="1"/>
  <c r="L45" i="2" s="1"/>
  <c r="L46" i="2" s="1"/>
  <c r="L47" i="2" s="1"/>
  <c r="L48" i="2" s="1"/>
  <c r="L49" i="2" s="1"/>
  <c r="L50" i="2" s="1"/>
  <c r="L51" i="2" s="1"/>
  <c r="L52" i="2" s="1"/>
  <c r="L53" i="2" s="1"/>
  <c r="L54" i="2" s="1"/>
  <c r="L55" i="2" s="1"/>
  <c r="L56" i="2" s="1"/>
  <c r="L57" i="2" s="1"/>
  <c r="L58" i="2" s="1"/>
  <c r="L59" i="2" s="1"/>
  <c r="L60" i="2" s="1"/>
  <c r="L61" i="2" s="1"/>
  <c r="L62" i="2" s="1"/>
  <c r="L63" i="2" s="1"/>
  <c r="L64" i="2" s="1"/>
  <c r="L65" i="2" s="1"/>
  <c r="L66" i="2" s="1"/>
  <c r="L67" i="2" s="1"/>
  <c r="L68" i="2" s="1"/>
  <c r="L69" i="2" s="1"/>
  <c r="L70" i="2" s="1"/>
  <c r="L71" i="2" s="1"/>
  <c r="L72" i="2" s="1"/>
  <c r="L73" i="2" s="1"/>
  <c r="L74" i="2" s="1"/>
  <c r="L75" i="2" s="1"/>
  <c r="L76" i="2" s="1"/>
  <c r="L77" i="2" s="1"/>
  <c r="L78" i="2" s="1"/>
  <c r="L79" i="2" s="1"/>
  <c r="L80" i="2" s="1"/>
  <c r="L81" i="2" s="1"/>
  <c r="L82" i="2" s="1"/>
  <c r="L83" i="2" s="1"/>
  <c r="L84" i="2" s="1"/>
  <c r="L85" i="2" s="1"/>
  <c r="L86" i="2" s="1"/>
  <c r="L87" i="2" s="1"/>
  <c r="L88" i="2" s="1"/>
  <c r="L89" i="2" s="1"/>
  <c r="L90" i="2" s="1"/>
  <c r="L91" i="2" s="1"/>
  <c r="L92" i="2" s="1"/>
  <c r="L93" i="2" s="1"/>
  <c r="L94" i="2" s="1"/>
  <c r="L95" i="2" s="1"/>
  <c r="L96" i="2" s="1"/>
  <c r="L97" i="2" s="1"/>
  <c r="L98" i="2" s="1"/>
  <c r="L99" i="2" s="1"/>
  <c r="L100" i="2" s="1"/>
  <c r="L101" i="2" s="1"/>
  <c r="L102" i="2" s="1"/>
  <c r="L5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Q4" i="2"/>
  <c r="P4" i="2"/>
  <c r="M4" i="2"/>
  <c r="O4" i="2"/>
  <c r="K6" i="2"/>
  <c r="K7" i="2" s="1"/>
  <c r="K8" i="2" s="1"/>
  <c r="K9" i="2" s="1"/>
  <c r="K10" i="2" s="1"/>
  <c r="K11" i="2" s="1"/>
  <c r="K12" i="2" s="1"/>
  <c r="K13" i="2" s="1"/>
  <c r="K14" i="2" s="1"/>
  <c r="K15" i="2" s="1"/>
  <c r="K16" i="2" s="1"/>
  <c r="K17" i="2" s="1"/>
  <c r="K18" i="2" s="1"/>
  <c r="K19" i="2" s="1"/>
  <c r="K20" i="2" s="1"/>
  <c r="K21" i="2" s="1"/>
  <c r="K22" i="2" s="1"/>
  <c r="K23" i="2" s="1"/>
  <c r="K24" i="2" s="1"/>
  <c r="K25" i="2" s="1"/>
  <c r="K26" i="2" s="1"/>
  <c r="K27" i="2" s="1"/>
  <c r="K28" i="2" s="1"/>
  <c r="K29" i="2" s="1"/>
  <c r="K30" i="2" s="1"/>
  <c r="K31" i="2" s="1"/>
  <c r="K32" i="2" s="1"/>
  <c r="K33" i="2" s="1"/>
  <c r="K34" i="2" s="1"/>
  <c r="K35" i="2" s="1"/>
  <c r="K36" i="2" s="1"/>
  <c r="K37" i="2" s="1"/>
  <c r="K38" i="2" s="1"/>
  <c r="K39" i="2" s="1"/>
  <c r="K40" i="2" s="1"/>
  <c r="K41" i="2" s="1"/>
  <c r="K42" i="2" s="1"/>
  <c r="K43" i="2" s="1"/>
  <c r="K44" i="2" s="1"/>
  <c r="K45" i="2" s="1"/>
  <c r="K46" i="2" s="1"/>
  <c r="K47" i="2" s="1"/>
  <c r="K48" i="2" s="1"/>
  <c r="K49" i="2" s="1"/>
  <c r="K50" i="2" s="1"/>
  <c r="K51" i="2" s="1"/>
  <c r="K52" i="2" s="1"/>
  <c r="K53" i="2" s="1"/>
  <c r="K54" i="2" s="1"/>
  <c r="K55" i="2" s="1"/>
  <c r="K56" i="2" s="1"/>
  <c r="K57" i="2" s="1"/>
  <c r="K58" i="2" s="1"/>
  <c r="K59" i="2" s="1"/>
  <c r="K60" i="2" s="1"/>
  <c r="K61" i="2" s="1"/>
  <c r="K62" i="2" s="1"/>
  <c r="K63" i="2" s="1"/>
  <c r="K64" i="2" s="1"/>
  <c r="K65" i="2" s="1"/>
  <c r="K66" i="2" s="1"/>
  <c r="K67" i="2" s="1"/>
  <c r="K68" i="2" s="1"/>
  <c r="K69" i="2" s="1"/>
  <c r="K70" i="2" s="1"/>
  <c r="K71" i="2" s="1"/>
  <c r="K72" i="2" s="1"/>
  <c r="K73" i="2" s="1"/>
  <c r="K74" i="2" s="1"/>
  <c r="K75" i="2" s="1"/>
  <c r="K76" i="2" s="1"/>
  <c r="K77" i="2" s="1"/>
  <c r="K78" i="2" s="1"/>
  <c r="K79" i="2" s="1"/>
  <c r="K80" i="2" s="1"/>
  <c r="K81" i="2" s="1"/>
  <c r="K82" i="2" s="1"/>
  <c r="K83" i="2" s="1"/>
  <c r="K84" i="2" s="1"/>
  <c r="K85" i="2" s="1"/>
  <c r="K86" i="2" s="1"/>
  <c r="K87" i="2" s="1"/>
  <c r="K88" i="2" s="1"/>
  <c r="K89" i="2" s="1"/>
  <c r="K90" i="2" s="1"/>
  <c r="K91" i="2" s="1"/>
  <c r="K92" i="2" s="1"/>
  <c r="K93" i="2" s="1"/>
  <c r="K94" i="2" s="1"/>
  <c r="K95" i="2" s="1"/>
  <c r="K96" i="2" s="1"/>
  <c r="K97" i="2" s="1"/>
  <c r="K98" i="2" s="1"/>
  <c r="K99" i="2" s="1"/>
  <c r="K100" i="2" s="1"/>
  <c r="K101" i="2" s="1"/>
  <c r="K102" i="2" s="1"/>
  <c r="K5" i="2"/>
  <c r="Q31" i="3"/>
  <c r="R31" i="3"/>
  <c r="R24" i="3"/>
  <c r="R25" i="3"/>
  <c r="R26" i="3"/>
  <c r="R27" i="3"/>
  <c r="R28" i="3"/>
  <c r="R29" i="3"/>
  <c r="R30" i="3"/>
  <c r="R23" i="3"/>
  <c r="Q24" i="3"/>
  <c r="Q25" i="3"/>
  <c r="Q26" i="3"/>
  <c r="Q27" i="3"/>
  <c r="Q28" i="3"/>
  <c r="Q29" i="3"/>
  <c r="Q30" i="3"/>
  <c r="Q23" i="3"/>
  <c r="D5" i="3"/>
  <c r="C5" i="3"/>
  <c r="C6" i="3" s="1"/>
  <c r="D4" i="2"/>
  <c r="F32" i="3"/>
  <c r="F33" i="3"/>
  <c r="F31" i="3"/>
  <c r="H32" i="3"/>
  <c r="H30" i="3"/>
  <c r="F23" i="3"/>
  <c r="I32" i="3"/>
  <c r="I27" i="3"/>
  <c r="H29" i="3"/>
  <c r="I28" i="3"/>
  <c r="I23" i="3"/>
  <c r="F24" i="3"/>
  <c r="F26" i="3"/>
  <c r="F28" i="3"/>
  <c r="H27" i="3"/>
  <c r="I30" i="3"/>
  <c r="I33" i="3"/>
  <c r="F25" i="3"/>
  <c r="F30" i="3"/>
  <c r="H24" i="3"/>
  <c r="H33" i="3"/>
  <c r="H31" i="3"/>
  <c r="I26" i="3"/>
  <c r="I29" i="3"/>
  <c r="I24" i="3"/>
  <c r="H23" i="3"/>
  <c r="F29" i="3"/>
  <c r="F27" i="3"/>
  <c r="H28" i="3"/>
  <c r="H26" i="3"/>
  <c r="H25" i="3"/>
  <c r="I25" i="3"/>
  <c r="I31" i="3"/>
  <c r="M30" i="3"/>
  <c r="M25" i="3"/>
  <c r="L32" i="3"/>
  <c r="L33" i="3"/>
  <c r="L25" i="3"/>
  <c r="M29" i="3"/>
  <c r="M32" i="3"/>
  <c r="L26" i="3"/>
  <c r="M33" i="3"/>
  <c r="L29" i="3"/>
  <c r="L24" i="3"/>
  <c r="L27" i="3"/>
  <c r="L30" i="3"/>
  <c r="L23" i="3"/>
  <c r="M26" i="3"/>
  <c r="L28" i="3"/>
  <c r="M24" i="3"/>
  <c r="L31" i="3"/>
  <c r="M27" i="3"/>
  <c r="M23" i="3"/>
  <c r="M28" i="3"/>
  <c r="M31" i="3"/>
  <c r="M5" i="2" l="1"/>
  <c r="O5" i="2" s="1"/>
  <c r="Q5" i="2"/>
  <c r="C7" i="3"/>
  <c r="C8" i="3" s="1"/>
  <c r="C9" i="3" s="1"/>
  <c r="C10" i="3" s="1"/>
  <c r="C11" i="3" s="1"/>
  <c r="C12" i="3" s="1"/>
  <c r="C13" i="3" s="1"/>
  <c r="D6" i="3"/>
  <c r="D7" i="3" s="1"/>
  <c r="D8" i="3" s="1"/>
  <c r="D9" i="3" s="1"/>
  <c r="D10" i="3" s="1"/>
  <c r="D11" i="3" s="1"/>
  <c r="D12" i="3" s="1"/>
  <c r="D13" i="3" s="1"/>
  <c r="M6" i="2" l="1"/>
  <c r="O6" i="2" s="1"/>
  <c r="Q6" i="2"/>
  <c r="M7" i="2" l="1"/>
  <c r="O7" i="2" s="1"/>
  <c r="Q7" i="2"/>
  <c r="Q8" i="2" l="1"/>
  <c r="M8" i="2"/>
  <c r="O8" i="2" s="1"/>
  <c r="Q9" i="2" l="1"/>
  <c r="M9" i="2"/>
  <c r="O9" i="2" s="1"/>
  <c r="M10" i="2" l="1"/>
  <c r="O10" i="2" s="1"/>
  <c r="Q10" i="2"/>
  <c r="Q11" i="2" l="1"/>
  <c r="M11" i="2"/>
  <c r="O11" i="2" s="1"/>
  <c r="Q12" i="2" l="1"/>
  <c r="M12" i="2"/>
  <c r="O12" i="2" s="1"/>
  <c r="Q13" i="2" l="1"/>
  <c r="M13" i="2"/>
  <c r="O13" i="2" s="1"/>
  <c r="M14" i="2" l="1"/>
  <c r="O14" i="2" s="1"/>
  <c r="Q14" i="2"/>
  <c r="Q15" i="2" l="1"/>
  <c r="M15" i="2"/>
  <c r="O15" i="2" s="1"/>
  <c r="Q16" i="2" l="1"/>
  <c r="M16" i="2"/>
  <c r="O16" i="2" s="1"/>
  <c r="Q17" i="2" l="1"/>
  <c r="M17" i="2"/>
  <c r="O17" i="2" s="1"/>
  <c r="M18" i="2" l="1"/>
  <c r="O18" i="2" s="1"/>
  <c r="Q18" i="2"/>
  <c r="M19" i="2" l="1"/>
  <c r="O19" i="2" s="1"/>
  <c r="Q19" i="2"/>
  <c r="Q20" i="2" l="1"/>
  <c r="M20" i="2"/>
  <c r="O20" i="2" s="1"/>
  <c r="Q21" i="2" l="1"/>
  <c r="M21" i="2"/>
  <c r="O21" i="2" s="1"/>
  <c r="M22" i="2" l="1"/>
  <c r="O22" i="2" s="1"/>
  <c r="Q22" i="2"/>
  <c r="M23" i="2" l="1"/>
  <c r="O23" i="2" s="1"/>
  <c r="Q23" i="2"/>
  <c r="Q24" i="2" l="1"/>
  <c r="M24" i="2"/>
  <c r="O24" i="2" s="1"/>
  <c r="Q25" i="2" l="1"/>
  <c r="M25" i="2"/>
  <c r="O25" i="2" s="1"/>
  <c r="M26" i="2" l="1"/>
  <c r="O26" i="2" s="1"/>
  <c r="Q26" i="2"/>
  <c r="Q27" i="2" l="1"/>
  <c r="M27" i="2"/>
  <c r="O27" i="2" s="1"/>
  <c r="Q28" i="2" l="1"/>
  <c r="M28" i="2"/>
  <c r="O28" i="2" s="1"/>
  <c r="Q29" i="2" l="1"/>
  <c r="M29" i="2"/>
  <c r="O29" i="2" s="1"/>
  <c r="M30" i="2" l="1"/>
  <c r="O30" i="2" s="1"/>
  <c r="Q30" i="2"/>
  <c r="Q31" i="2" l="1"/>
  <c r="M31" i="2"/>
  <c r="O31" i="2" s="1"/>
  <c r="Q32" i="2" l="1"/>
  <c r="M32" i="2"/>
  <c r="O32" i="2" s="1"/>
  <c r="Q33" i="2" l="1"/>
  <c r="M33" i="2"/>
  <c r="O33" i="2" s="1"/>
  <c r="M34" i="2" l="1"/>
  <c r="O34" i="2" s="1"/>
  <c r="Q34" i="2"/>
  <c r="M35" i="2" l="1"/>
  <c r="O35" i="2" s="1"/>
  <c r="Q35" i="2"/>
  <c r="Q36" i="2" l="1"/>
  <c r="M36" i="2"/>
  <c r="O36" i="2" s="1"/>
  <c r="Q37" i="2" l="1"/>
  <c r="M37" i="2"/>
  <c r="O37" i="2" s="1"/>
  <c r="M38" i="2" l="1"/>
  <c r="O38" i="2" s="1"/>
  <c r="Q38" i="2"/>
  <c r="M39" i="2" l="1"/>
  <c r="O39" i="2" s="1"/>
  <c r="Q39" i="2"/>
  <c r="Q40" i="2" l="1"/>
  <c r="M40" i="2"/>
  <c r="O40" i="2" s="1"/>
  <c r="Q41" i="2" l="1"/>
  <c r="M41" i="2"/>
  <c r="O41" i="2" s="1"/>
  <c r="M42" i="2" l="1"/>
  <c r="O42" i="2" s="1"/>
  <c r="Q42" i="2"/>
  <c r="Q43" i="2" l="1"/>
  <c r="M43" i="2"/>
  <c r="O43" i="2" s="1"/>
  <c r="Q44" i="2" l="1"/>
  <c r="M44" i="2"/>
  <c r="O44" i="2" s="1"/>
  <c r="Q45" i="2" l="1"/>
  <c r="M45" i="2"/>
  <c r="O45" i="2" s="1"/>
  <c r="M46" i="2" l="1"/>
  <c r="O46" i="2" s="1"/>
  <c r="Q46" i="2"/>
  <c r="Q47" i="2" l="1"/>
  <c r="M47" i="2"/>
  <c r="O47" i="2" s="1"/>
  <c r="Q48" i="2" l="1"/>
  <c r="M48" i="2"/>
  <c r="O48" i="2" s="1"/>
  <c r="Q49" i="2" l="1"/>
  <c r="M49" i="2"/>
  <c r="O49" i="2" s="1"/>
  <c r="M50" i="2" l="1"/>
  <c r="O50" i="2" s="1"/>
  <c r="Q50" i="2"/>
  <c r="M51" i="2" l="1"/>
  <c r="O51" i="2" s="1"/>
  <c r="Q51" i="2"/>
  <c r="Q52" i="2" l="1"/>
  <c r="M52" i="2"/>
  <c r="O52" i="2" s="1"/>
  <c r="Q53" i="2" l="1"/>
  <c r="M53" i="2"/>
  <c r="O53" i="2" s="1"/>
  <c r="M54" i="2" l="1"/>
  <c r="O54" i="2" s="1"/>
  <c r="Q54" i="2"/>
  <c r="M55" i="2" l="1"/>
  <c r="O55" i="2" s="1"/>
  <c r="Q55" i="2"/>
  <c r="Q56" i="2" l="1"/>
  <c r="M56" i="2"/>
  <c r="O56" i="2" s="1"/>
  <c r="Q57" i="2" l="1"/>
  <c r="M57" i="2"/>
  <c r="O57" i="2" s="1"/>
  <c r="M58" i="2" l="1"/>
  <c r="O58" i="2" s="1"/>
  <c r="Q58" i="2"/>
  <c r="Q59" i="2" l="1"/>
  <c r="M59" i="2"/>
  <c r="O59" i="2" s="1"/>
  <c r="Q60" i="2" l="1"/>
  <c r="M60" i="2"/>
  <c r="O60" i="2" s="1"/>
  <c r="Q61" i="2" l="1"/>
  <c r="M61" i="2"/>
  <c r="O61" i="2" s="1"/>
  <c r="M62" i="2" l="1"/>
  <c r="O62" i="2" s="1"/>
  <c r="Q62" i="2"/>
  <c r="Q63" i="2" l="1"/>
  <c r="M63" i="2"/>
  <c r="O63" i="2" s="1"/>
  <c r="Q64" i="2" l="1"/>
  <c r="M64" i="2"/>
  <c r="O64" i="2" s="1"/>
  <c r="Q65" i="2" l="1"/>
  <c r="M65" i="2"/>
  <c r="O65" i="2" s="1"/>
  <c r="M66" i="2" l="1"/>
  <c r="O66" i="2" s="1"/>
  <c r="Q66" i="2"/>
  <c r="M67" i="2" l="1"/>
  <c r="O67" i="2" s="1"/>
  <c r="Q67" i="2"/>
  <c r="Q68" i="2" l="1"/>
  <c r="M68" i="2"/>
  <c r="O68" i="2" s="1"/>
  <c r="Q69" i="2" l="1"/>
  <c r="M69" i="2"/>
  <c r="O69" i="2" s="1"/>
  <c r="M70" i="2" l="1"/>
  <c r="O70" i="2" s="1"/>
  <c r="Q70" i="2"/>
  <c r="M71" i="2" l="1"/>
  <c r="O71" i="2" s="1"/>
  <c r="Q71" i="2"/>
  <c r="Q72" i="2" l="1"/>
  <c r="M72" i="2"/>
  <c r="O72" i="2" s="1"/>
  <c r="Q73" i="2" l="1"/>
  <c r="M73" i="2"/>
  <c r="O73" i="2" s="1"/>
  <c r="M74" i="2" l="1"/>
  <c r="O74" i="2" s="1"/>
  <c r="Q74" i="2"/>
  <c r="Q75" i="2" l="1"/>
  <c r="M75" i="2"/>
  <c r="O75" i="2" s="1"/>
  <c r="Q76" i="2" l="1"/>
  <c r="M76" i="2"/>
  <c r="O76" i="2" s="1"/>
  <c r="Q77" i="2" l="1"/>
  <c r="M77" i="2"/>
  <c r="O77" i="2" s="1"/>
  <c r="M78" i="2" l="1"/>
  <c r="O78" i="2" s="1"/>
  <c r="Q78" i="2"/>
  <c r="Q79" i="2" l="1"/>
  <c r="M79" i="2"/>
  <c r="O79" i="2" s="1"/>
  <c r="Q80" i="2" l="1"/>
  <c r="M80" i="2"/>
  <c r="O80" i="2" s="1"/>
  <c r="Q81" i="2" l="1"/>
  <c r="M81" i="2"/>
  <c r="O81" i="2" s="1"/>
  <c r="M82" i="2" l="1"/>
  <c r="O82" i="2" s="1"/>
  <c r="Q82" i="2"/>
  <c r="M83" i="2" l="1"/>
  <c r="O83" i="2" s="1"/>
  <c r="Q83" i="2"/>
  <c r="Q84" i="2" l="1"/>
  <c r="M84" i="2"/>
  <c r="O84" i="2" s="1"/>
  <c r="Q85" i="2" l="1"/>
  <c r="M85" i="2"/>
  <c r="O85" i="2" s="1"/>
  <c r="M86" i="2" l="1"/>
  <c r="O86" i="2" s="1"/>
  <c r="Q86" i="2"/>
  <c r="M87" i="2" l="1"/>
  <c r="O87" i="2" s="1"/>
  <c r="Q87" i="2"/>
  <c r="Q88" i="2" l="1"/>
  <c r="M88" i="2"/>
  <c r="O88" i="2" s="1"/>
  <c r="Q89" i="2" l="1"/>
  <c r="M89" i="2"/>
  <c r="O89" i="2" s="1"/>
  <c r="M90" i="2" l="1"/>
  <c r="O90" i="2" s="1"/>
  <c r="Q90" i="2"/>
  <c r="Q91" i="2" l="1"/>
  <c r="M91" i="2"/>
  <c r="O91" i="2" s="1"/>
  <c r="Q92" i="2" l="1"/>
  <c r="M92" i="2"/>
  <c r="O92" i="2" s="1"/>
  <c r="Q93" i="2" l="1"/>
  <c r="M93" i="2"/>
  <c r="O93" i="2" s="1"/>
  <c r="M94" i="2" l="1"/>
  <c r="O94" i="2" s="1"/>
  <c r="Q94" i="2"/>
  <c r="Q95" i="2" l="1"/>
  <c r="M95" i="2"/>
  <c r="O95" i="2" s="1"/>
  <c r="Q96" i="2" l="1"/>
  <c r="M96" i="2"/>
  <c r="O96" i="2" s="1"/>
  <c r="M97" i="2" l="1"/>
  <c r="O97" i="2" s="1"/>
  <c r="Q97" i="2"/>
  <c r="M98" i="2" l="1"/>
  <c r="O98" i="2" s="1"/>
  <c r="Q98" i="2"/>
  <c r="Q99" i="2" l="1"/>
  <c r="M99" i="2"/>
  <c r="O99" i="2" s="1"/>
  <c r="Q100" i="2" l="1"/>
  <c r="M100" i="2"/>
  <c r="O100" i="2" s="1"/>
  <c r="Q101" i="2" l="1"/>
  <c r="M101" i="2"/>
  <c r="O101" i="2" s="1"/>
  <c r="M102" i="2" l="1"/>
  <c r="O102" i="2" s="1"/>
  <c r="Q102" i="2"/>
  <c r="D5" i="2" l="1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B6" i="2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5" i="2"/>
  <c r="C6" i="2" l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75" i="2" s="1"/>
  <c r="C76" i="2" s="1"/>
  <c r="C77" i="2" s="1"/>
  <c r="C78" i="2" s="1"/>
  <c r="C79" i="2" s="1"/>
  <c r="C80" i="2" s="1"/>
  <c r="C81" i="2" s="1"/>
  <c r="C82" i="2" s="1"/>
  <c r="C83" i="2" s="1"/>
  <c r="C84" i="2" s="1"/>
  <c r="C85" i="2" s="1"/>
  <c r="C86" i="2" s="1"/>
  <c r="C87" i="2" s="1"/>
  <c r="C88" i="2" s="1"/>
  <c r="C89" i="2" s="1"/>
  <c r="C90" i="2" s="1"/>
  <c r="C91" i="2" s="1"/>
  <c r="C92" i="2" s="1"/>
  <c r="C93" i="2" s="1"/>
  <c r="C94" i="2" s="1"/>
  <c r="C95" i="2" s="1"/>
  <c r="C96" i="2" s="1"/>
  <c r="C97" i="2" s="1"/>
  <c r="C98" i="2" s="1"/>
  <c r="C99" i="2" s="1"/>
  <c r="C100" i="2" s="1"/>
  <c r="C101" i="2" s="1"/>
  <c r="C102" i="2" s="1"/>
  <c r="C5" i="2"/>
  <c r="C4" i="2"/>
  <c r="R32" i="3"/>
  <c r="Q32" i="3"/>
  <c r="F6" i="3"/>
  <c r="F7" i="3" s="1"/>
  <c r="F8" i="3" s="1"/>
  <c r="F9" i="3" s="1"/>
  <c r="F10" i="3" s="1"/>
  <c r="F11" i="3" s="1"/>
  <c r="F12" i="3" s="1"/>
  <c r="F13" i="3" s="1"/>
  <c r="F5" i="3"/>
  <c r="G5" i="3"/>
  <c r="G6" i="3" s="1"/>
  <c r="G7" i="3" s="1"/>
  <c r="G8" i="3" s="1"/>
  <c r="G9" i="3" s="1"/>
  <c r="G10" i="3" s="1"/>
  <c r="G11" i="3" s="1"/>
  <c r="G12" i="3" s="1"/>
  <c r="G13" i="3" s="1"/>
  <c r="J4" i="3"/>
  <c r="I4" i="3"/>
  <c r="H4" i="2"/>
  <c r="G5" i="2"/>
  <c r="H5" i="2" s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44" i="1"/>
  <c r="J5" i="3" l="1"/>
  <c r="I5" i="3"/>
  <c r="G6" i="2"/>
  <c r="I6" i="3" l="1"/>
  <c r="J6" i="3"/>
  <c r="I7" i="3"/>
  <c r="G7" i="2"/>
  <c r="H6" i="2"/>
  <c r="J8" i="3" l="1"/>
  <c r="J7" i="3"/>
  <c r="I8" i="3"/>
  <c r="H7" i="2"/>
  <c r="G8" i="2"/>
  <c r="J9" i="3" l="1"/>
  <c r="I9" i="3"/>
  <c r="G9" i="2"/>
  <c r="H8" i="2"/>
  <c r="I10" i="3" l="1"/>
  <c r="G10" i="2"/>
  <c r="H9" i="2"/>
  <c r="J10" i="3" l="1"/>
  <c r="I11" i="3"/>
  <c r="G11" i="2"/>
  <c r="H10" i="2"/>
  <c r="J11" i="3" l="1"/>
  <c r="I12" i="3"/>
  <c r="G12" i="2"/>
  <c r="H11" i="2"/>
  <c r="Q33" i="3" l="1"/>
  <c r="J12" i="3"/>
  <c r="I13" i="3"/>
  <c r="G13" i="2"/>
  <c r="H12" i="2"/>
  <c r="R33" i="3" l="1"/>
  <c r="J13" i="3"/>
  <c r="G14" i="2"/>
  <c r="H13" i="2"/>
  <c r="G15" i="2" l="1"/>
  <c r="H14" i="2"/>
  <c r="G16" i="2" l="1"/>
  <c r="H15" i="2"/>
  <c r="G17" i="2" l="1"/>
  <c r="H16" i="2"/>
  <c r="G18" i="2" l="1"/>
  <c r="H17" i="2"/>
  <c r="G19" i="2" l="1"/>
  <c r="H18" i="2"/>
  <c r="G20" i="2" l="1"/>
  <c r="H19" i="2"/>
  <c r="G21" i="2" l="1"/>
  <c r="H20" i="2"/>
  <c r="G22" i="2" l="1"/>
  <c r="H22" i="2" s="1"/>
  <c r="H21" i="2"/>
  <c r="U44" i="1" l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T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E5" i="2" l="1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4" i="2"/>
  <c r="L80" i="1" l="1"/>
  <c r="K80" i="1"/>
  <c r="J80" i="1"/>
  <c r="I80" i="1"/>
  <c r="H80" i="1"/>
  <c r="G80" i="1"/>
  <c r="W80" i="1" s="1"/>
  <c r="F80" i="1"/>
  <c r="E80" i="1"/>
  <c r="L79" i="1"/>
  <c r="K79" i="1"/>
  <c r="J79" i="1"/>
  <c r="I79" i="1"/>
  <c r="H79" i="1"/>
  <c r="T79" i="1" s="1"/>
  <c r="G79" i="1"/>
  <c r="W79" i="1" s="1"/>
  <c r="F79" i="1"/>
  <c r="E79" i="1"/>
  <c r="L78" i="1"/>
  <c r="K78" i="1"/>
  <c r="J78" i="1"/>
  <c r="I78" i="1"/>
  <c r="H78" i="1"/>
  <c r="T78" i="1" s="1"/>
  <c r="G78" i="1"/>
  <c r="W78" i="1" s="1"/>
  <c r="F78" i="1"/>
  <c r="E78" i="1"/>
  <c r="L77" i="1"/>
  <c r="K77" i="1"/>
  <c r="J77" i="1"/>
  <c r="I77" i="1"/>
  <c r="H77" i="1"/>
  <c r="G77" i="1"/>
  <c r="W77" i="1" s="1"/>
  <c r="F77" i="1"/>
  <c r="E77" i="1"/>
  <c r="L76" i="1"/>
  <c r="K76" i="1"/>
  <c r="J76" i="1"/>
  <c r="I76" i="1"/>
  <c r="H76" i="1"/>
  <c r="G76" i="1"/>
  <c r="W76" i="1" s="1"/>
  <c r="F76" i="1"/>
  <c r="E76" i="1"/>
  <c r="L75" i="1"/>
  <c r="K75" i="1"/>
  <c r="J75" i="1"/>
  <c r="I75" i="1"/>
  <c r="H75" i="1"/>
  <c r="T75" i="1" s="1"/>
  <c r="G75" i="1"/>
  <c r="W75" i="1" s="1"/>
  <c r="F75" i="1"/>
  <c r="E75" i="1"/>
  <c r="L74" i="1"/>
  <c r="K74" i="1"/>
  <c r="J74" i="1"/>
  <c r="I74" i="1"/>
  <c r="H74" i="1"/>
  <c r="T74" i="1" s="1"/>
  <c r="G74" i="1"/>
  <c r="W74" i="1" s="1"/>
  <c r="F74" i="1"/>
  <c r="E74" i="1"/>
  <c r="L39" i="1"/>
  <c r="K39" i="1"/>
  <c r="J39" i="1"/>
  <c r="I39" i="1"/>
  <c r="H39" i="1"/>
  <c r="G39" i="1"/>
  <c r="F39" i="1"/>
  <c r="E39" i="1"/>
  <c r="L38" i="1"/>
  <c r="K38" i="1"/>
  <c r="J38" i="1"/>
  <c r="I38" i="1"/>
  <c r="H38" i="1"/>
  <c r="G38" i="1"/>
  <c r="F38" i="1"/>
  <c r="E38" i="1"/>
  <c r="L37" i="1"/>
  <c r="K37" i="1"/>
  <c r="J37" i="1"/>
  <c r="I37" i="1"/>
  <c r="H37" i="1"/>
  <c r="G37" i="1"/>
  <c r="F37" i="1"/>
  <c r="E37" i="1"/>
  <c r="L36" i="1"/>
  <c r="K36" i="1"/>
  <c r="J36" i="1"/>
  <c r="I36" i="1"/>
  <c r="H36" i="1"/>
  <c r="G36" i="1"/>
  <c r="F36" i="1"/>
  <c r="E36" i="1"/>
  <c r="L35" i="1"/>
  <c r="K35" i="1"/>
  <c r="J35" i="1"/>
  <c r="I35" i="1"/>
  <c r="H35" i="1"/>
  <c r="G35" i="1"/>
  <c r="F35" i="1"/>
  <c r="E35" i="1"/>
  <c r="L34" i="1"/>
  <c r="K34" i="1"/>
  <c r="J34" i="1"/>
  <c r="I34" i="1"/>
  <c r="H34" i="1"/>
  <c r="G34" i="1"/>
  <c r="F34" i="1"/>
  <c r="E34" i="1"/>
  <c r="T80" i="1" l="1"/>
  <c r="T76" i="1"/>
  <c r="T77" i="1"/>
</calcChain>
</file>

<file path=xl/sharedStrings.xml><?xml version="1.0" encoding="utf-8"?>
<sst xmlns="http://schemas.openxmlformats.org/spreadsheetml/2006/main" count="411" uniqueCount="276">
  <si>
    <r>
      <t>npc</t>
    </r>
    <r>
      <rPr>
        <b/>
        <sz val="10"/>
        <color theme="0"/>
        <rFont val="宋体"/>
        <family val="3"/>
        <charset val="134"/>
      </rPr>
      <t>基础</t>
    </r>
    <r>
      <rPr>
        <sz val="10"/>
        <color theme="1"/>
        <rFont val="宋体"/>
        <family val="3"/>
        <charset val="134"/>
      </rPr>
      <t>础</t>
    </r>
    <phoneticPr fontId="2" type="noConversion"/>
  </si>
  <si>
    <t>基础职业</t>
    <phoneticPr fontId="2" type="noConversion"/>
  </si>
  <si>
    <t>hp</t>
    <phoneticPr fontId="2" type="noConversion"/>
  </si>
  <si>
    <t>sp</t>
    <phoneticPr fontId="2" type="noConversion"/>
  </si>
  <si>
    <t>物攻</t>
    <phoneticPr fontId="2" type="noConversion"/>
  </si>
  <si>
    <t>物防</t>
    <phoneticPr fontId="2" type="noConversion"/>
  </si>
  <si>
    <t>魔攻</t>
    <phoneticPr fontId="2" type="noConversion"/>
  </si>
  <si>
    <t>魔防</t>
    <phoneticPr fontId="2" type="noConversion"/>
  </si>
  <si>
    <r>
      <rPr>
        <b/>
        <sz val="10"/>
        <color theme="0"/>
        <rFont val="宋体"/>
        <family val="2"/>
      </rPr>
      <t>敏捷</t>
    </r>
    <phoneticPr fontId="2" type="noConversion"/>
  </si>
  <si>
    <t>幸运</t>
    <phoneticPr fontId="2" type="noConversion"/>
  </si>
  <si>
    <t>威尔</t>
  </si>
  <si>
    <t>炼金术师</t>
    <phoneticPr fontId="2" type="noConversion"/>
  </si>
  <si>
    <t>月爁</t>
  </si>
  <si>
    <t>战士</t>
    <phoneticPr fontId="2" type="noConversion"/>
  </si>
  <si>
    <t>艾米莉塔</t>
  </si>
  <si>
    <t>魔法师</t>
    <phoneticPr fontId="2" type="noConversion"/>
  </si>
  <si>
    <t>塞维尔</t>
  </si>
  <si>
    <t>弓箭手</t>
    <phoneticPr fontId="2" type="noConversion"/>
  </si>
  <si>
    <t>雷格拉</t>
  </si>
  <si>
    <t>炼金术师</t>
    <phoneticPr fontId="2" type="noConversion"/>
  </si>
  <si>
    <t>络纱娜</t>
  </si>
  <si>
    <t>神职侍女</t>
  </si>
  <si>
    <t>僧侣</t>
    <phoneticPr fontId="2" type="noConversion"/>
  </si>
  <si>
    <t>水那</t>
  </si>
  <si>
    <t>魔法师</t>
    <phoneticPr fontId="2" type="noConversion"/>
  </si>
  <si>
    <t>火狐</t>
  </si>
  <si>
    <t>战斗大师</t>
    <phoneticPr fontId="2" type="noConversion"/>
  </si>
  <si>
    <t>克莱尔</t>
  </si>
  <si>
    <t>弓箭手</t>
    <phoneticPr fontId="2" type="noConversion"/>
  </si>
  <si>
    <t>梅洛蒂亚娜</t>
  </si>
  <si>
    <t>圣骑士</t>
    <phoneticPr fontId="2" type="noConversion"/>
  </si>
  <si>
    <t>莎露媞</t>
  </si>
  <si>
    <t>盗贼</t>
    <phoneticPr fontId="2" type="noConversion"/>
  </si>
  <si>
    <t>克尔安奴</t>
  </si>
  <si>
    <t>幻兽</t>
  </si>
  <si>
    <t>武斗家</t>
    <phoneticPr fontId="2" type="noConversion"/>
  </si>
  <si>
    <t>狐伯莲</t>
  </si>
  <si>
    <t>舞师</t>
    <phoneticPr fontId="2" type="noConversion"/>
  </si>
  <si>
    <t>雷龙</t>
  </si>
  <si>
    <t>魔法战士</t>
    <phoneticPr fontId="2" type="noConversion"/>
  </si>
  <si>
    <t>伊丽莎斯</t>
  </si>
  <si>
    <t>吟游诗人</t>
    <phoneticPr fontId="2" type="noConversion"/>
  </si>
  <si>
    <t>死神</t>
  </si>
  <si>
    <t>魔物猎人</t>
    <phoneticPr fontId="2" type="noConversion"/>
  </si>
  <si>
    <t>露丝</t>
  </si>
  <si>
    <t>战斗大师</t>
    <phoneticPr fontId="2" type="noConversion"/>
  </si>
  <si>
    <t>伊琳娜</t>
  </si>
  <si>
    <t>伊夫琳</t>
  </si>
  <si>
    <t>海贼</t>
    <phoneticPr fontId="2" type="noConversion"/>
  </si>
  <si>
    <t>莉莉</t>
  </si>
  <si>
    <t>超级明星</t>
    <phoneticPr fontId="2" type="noConversion"/>
  </si>
  <si>
    <t>普罗阿</t>
  </si>
  <si>
    <t>滑稽师</t>
    <phoneticPr fontId="2" type="noConversion"/>
  </si>
  <si>
    <t>菲尼莉</t>
  </si>
  <si>
    <t>贤者</t>
    <phoneticPr fontId="2" type="noConversion"/>
  </si>
  <si>
    <t>女佣</t>
  </si>
  <si>
    <t>女佣（邪恶）</t>
  </si>
  <si>
    <t>超级明星</t>
    <phoneticPr fontId="2" type="noConversion"/>
  </si>
  <si>
    <t>纳斯塔西娅</t>
  </si>
  <si>
    <t>依库瑞娅</t>
  </si>
  <si>
    <t>男佣兵</t>
  </si>
  <si>
    <t>女佣兵</t>
  </si>
  <si>
    <t>战士</t>
    <phoneticPr fontId="2" type="noConversion"/>
  </si>
  <si>
    <t>东方国将军</t>
    <phoneticPr fontId="2" type="noConversion"/>
  </si>
  <si>
    <t>死神强化版</t>
    <phoneticPr fontId="2" type="noConversion"/>
  </si>
  <si>
    <t>柯丽雅</t>
    <phoneticPr fontId="2" type="noConversion"/>
  </si>
  <si>
    <t>id</t>
    <phoneticPr fontId="2" type="noConversion"/>
  </si>
  <si>
    <t>物理</t>
    <phoneticPr fontId="2" type="noConversion"/>
  </si>
  <si>
    <t>地脉</t>
    <phoneticPr fontId="2" type="noConversion"/>
  </si>
  <si>
    <t>冷却</t>
    <phoneticPr fontId="2" type="noConversion"/>
  </si>
  <si>
    <t>火炎</t>
    <phoneticPr fontId="2" type="noConversion"/>
  </si>
  <si>
    <t>神圣</t>
    <phoneticPr fontId="2" type="noConversion"/>
  </si>
  <si>
    <t>黑暗</t>
    <phoneticPr fontId="2" type="noConversion"/>
  </si>
  <si>
    <t>电击</t>
    <phoneticPr fontId="2" type="noConversion"/>
  </si>
  <si>
    <t>舞师</t>
    <phoneticPr fontId="2" type="noConversion"/>
  </si>
  <si>
    <t>魔法战士</t>
    <phoneticPr fontId="2" type="noConversion"/>
  </si>
  <si>
    <t>海贼</t>
    <phoneticPr fontId="2" type="noConversion"/>
  </si>
  <si>
    <t>东方国将军</t>
    <phoneticPr fontId="2" type="noConversion"/>
  </si>
  <si>
    <r>
      <t>npc</t>
    </r>
    <r>
      <rPr>
        <b/>
        <i/>
        <sz val="10"/>
        <color theme="0"/>
        <rFont val="宋体"/>
        <family val="3"/>
        <charset val="134"/>
      </rPr>
      <t>基础成长</t>
    </r>
    <phoneticPr fontId="2" type="noConversion"/>
  </si>
  <si>
    <t>基础职业</t>
    <phoneticPr fontId="2" type="noConversion"/>
  </si>
  <si>
    <t>物攻</t>
    <phoneticPr fontId="2" type="noConversion"/>
  </si>
  <si>
    <t>物防</t>
    <phoneticPr fontId="2" type="noConversion"/>
  </si>
  <si>
    <t>魔攻</t>
    <phoneticPr fontId="2" type="noConversion"/>
  </si>
  <si>
    <t>魔防</t>
    <phoneticPr fontId="2" type="noConversion"/>
  </si>
  <si>
    <r>
      <rPr>
        <b/>
        <sz val="10"/>
        <color theme="0"/>
        <rFont val="宋体"/>
        <family val="2"/>
      </rPr>
      <t>敏捷</t>
    </r>
    <phoneticPr fontId="2" type="noConversion"/>
  </si>
  <si>
    <t>幸运</t>
    <phoneticPr fontId="2" type="noConversion"/>
  </si>
  <si>
    <t>物理</t>
    <phoneticPr fontId="2" type="noConversion"/>
  </si>
  <si>
    <t>冷却</t>
    <phoneticPr fontId="2" type="noConversion"/>
  </si>
  <si>
    <t>火炎</t>
    <phoneticPr fontId="2" type="noConversion"/>
  </si>
  <si>
    <t>黑暗</t>
    <phoneticPr fontId="2" type="noConversion"/>
  </si>
  <si>
    <t>炼金术师</t>
    <phoneticPr fontId="2" type="noConversion"/>
  </si>
  <si>
    <t>战士</t>
    <phoneticPr fontId="2" type="noConversion"/>
  </si>
  <si>
    <t>魔法师</t>
    <phoneticPr fontId="2" type="noConversion"/>
  </si>
  <si>
    <t>弓箭手</t>
    <phoneticPr fontId="2" type="noConversion"/>
  </si>
  <si>
    <t>炼金术师</t>
    <phoneticPr fontId="2" type="noConversion"/>
  </si>
  <si>
    <t>僧侣</t>
    <phoneticPr fontId="2" type="noConversion"/>
  </si>
  <si>
    <t>战斗大师</t>
    <phoneticPr fontId="2" type="noConversion"/>
  </si>
  <si>
    <t>弓箭手</t>
    <phoneticPr fontId="2" type="noConversion"/>
  </si>
  <si>
    <t>圣骑士</t>
    <phoneticPr fontId="2" type="noConversion"/>
  </si>
  <si>
    <t>武斗家</t>
    <phoneticPr fontId="2" type="noConversion"/>
  </si>
  <si>
    <t>魔法战士</t>
    <phoneticPr fontId="2" type="noConversion"/>
  </si>
  <si>
    <t>吟游诗人</t>
    <phoneticPr fontId="2" type="noConversion"/>
  </si>
  <si>
    <t>魔物猎人</t>
    <phoneticPr fontId="2" type="noConversion"/>
  </si>
  <si>
    <t>超级明星</t>
    <phoneticPr fontId="2" type="noConversion"/>
  </si>
  <si>
    <t>滑稽师</t>
    <phoneticPr fontId="2" type="noConversion"/>
  </si>
  <si>
    <t>贤者</t>
    <phoneticPr fontId="2" type="noConversion"/>
  </si>
  <si>
    <t>超级明星</t>
    <phoneticPr fontId="2" type="noConversion"/>
  </si>
  <si>
    <t>战士</t>
    <phoneticPr fontId="2" type="noConversion"/>
  </si>
  <si>
    <t>战斗大师</t>
    <phoneticPr fontId="2" type="noConversion"/>
  </si>
  <si>
    <t>死神强化版</t>
    <phoneticPr fontId="2" type="noConversion"/>
  </si>
  <si>
    <t>柯丽雅</t>
    <phoneticPr fontId="2" type="noConversion"/>
  </si>
  <si>
    <t>属性偏重</t>
  </si>
  <si>
    <t>职业类型</t>
  </si>
  <si>
    <t>hp</t>
  </si>
  <si>
    <t>sp</t>
  </si>
  <si>
    <t>物攻</t>
  </si>
  <si>
    <t>物防</t>
  </si>
  <si>
    <t>魔攻</t>
  </si>
  <si>
    <t>魔防</t>
  </si>
  <si>
    <t>敏捷</t>
  </si>
  <si>
    <t>幸运</t>
  </si>
  <si>
    <t>物理</t>
  </si>
  <si>
    <t>地脉</t>
  </si>
  <si>
    <t>冷却</t>
  </si>
  <si>
    <t>火炎</t>
  </si>
  <si>
    <t>神圣</t>
  </si>
  <si>
    <t>黑暗</t>
  </si>
  <si>
    <t>电击</t>
  </si>
  <si>
    <t>战士</t>
  </si>
  <si>
    <t>武斗家</t>
  </si>
  <si>
    <t>魔法师</t>
  </si>
  <si>
    <t>僧侣</t>
  </si>
  <si>
    <t>舞师</t>
  </si>
  <si>
    <t>盗贼</t>
  </si>
  <si>
    <t>弓箭手</t>
  </si>
  <si>
    <t>吟游诗人</t>
  </si>
  <si>
    <t>滑稽师</t>
  </si>
  <si>
    <t>炼金术师</t>
  </si>
  <si>
    <t>战斗大师</t>
  </si>
  <si>
    <t>魔法战士</t>
  </si>
  <si>
    <t>圣骑士</t>
  </si>
  <si>
    <t>贤者</t>
  </si>
  <si>
    <t>魔物猎人</t>
  </si>
  <si>
    <t>海贼</t>
  </si>
  <si>
    <t>超级明星</t>
  </si>
  <si>
    <t>天地雷鳴士</t>
  </si>
  <si>
    <t>神之手</t>
  </si>
  <si>
    <t>勇者</t>
  </si>
  <si>
    <t>幸运1</t>
    <phoneticPr fontId="2" type="noConversion"/>
  </si>
  <si>
    <t>命中1</t>
    <phoneticPr fontId="2" type="noConversion"/>
  </si>
  <si>
    <t>命中2</t>
    <phoneticPr fontId="2" type="noConversion"/>
  </si>
  <si>
    <t>幸运2</t>
    <phoneticPr fontId="2" type="noConversion"/>
  </si>
  <si>
    <t>hp</t>
    <phoneticPr fontId="2" type="noConversion"/>
  </si>
  <si>
    <t>atk</t>
    <phoneticPr fontId="2" type="noConversion"/>
  </si>
  <si>
    <t>hit</t>
    <phoneticPr fontId="2" type="noConversion"/>
  </si>
  <si>
    <t>被击中</t>
    <phoneticPr fontId="2" type="noConversion"/>
  </si>
  <si>
    <t>hp</t>
    <phoneticPr fontId="2" type="noConversion"/>
  </si>
  <si>
    <t>atk</t>
    <phoneticPr fontId="2" type="noConversion"/>
  </si>
  <si>
    <t>atk</t>
    <phoneticPr fontId="2" type="noConversion"/>
  </si>
  <si>
    <t>hp1</t>
    <phoneticPr fontId="2" type="noConversion"/>
  </si>
  <si>
    <t>atk1</t>
    <phoneticPr fontId="2" type="noConversion"/>
  </si>
  <si>
    <t>totalHP</t>
    <phoneticPr fontId="2" type="noConversion"/>
  </si>
  <si>
    <t>totalATK</t>
    <phoneticPr fontId="2" type="noConversion"/>
  </si>
  <si>
    <t>lvl</t>
    <phoneticPr fontId="2" type="noConversion"/>
  </si>
  <si>
    <t>幸运</t>
    <phoneticPr fontId="2" type="noConversion"/>
  </si>
  <si>
    <t>战斗大师</t>
    <phoneticPr fontId="2" type="noConversion"/>
  </si>
  <si>
    <t>魔法战士</t>
    <phoneticPr fontId="2" type="noConversion"/>
  </si>
  <si>
    <t>魔物猎人</t>
    <phoneticPr fontId="2" type="noConversion"/>
  </si>
  <si>
    <t>魔物猎人</t>
    <phoneticPr fontId="2" type="noConversion"/>
  </si>
  <si>
    <t>东方国将军</t>
    <phoneticPr fontId="2" type="noConversion"/>
  </si>
  <si>
    <t>东方国将军</t>
    <phoneticPr fontId="2" type="noConversion"/>
  </si>
  <si>
    <t>战斗大师</t>
    <phoneticPr fontId="2" type="noConversion"/>
  </si>
  <si>
    <t>死神强化版</t>
    <phoneticPr fontId="2" type="noConversion"/>
  </si>
  <si>
    <t>魔物猎人</t>
    <phoneticPr fontId="2" type="noConversion"/>
  </si>
  <si>
    <t>魔物猎人</t>
    <phoneticPr fontId="2" type="noConversion"/>
  </si>
  <si>
    <t>柯丽雅</t>
    <phoneticPr fontId="2" type="noConversion"/>
  </si>
  <si>
    <t>魔法战士</t>
    <phoneticPr fontId="2" type="noConversion"/>
  </si>
  <si>
    <t>柯丽雅</t>
    <phoneticPr fontId="2" type="noConversion"/>
  </si>
  <si>
    <r>
      <rPr>
        <sz val="10"/>
        <color theme="1"/>
        <rFont val="宋体"/>
        <family val="2"/>
      </rPr>
      <t>被击中</t>
    </r>
    <phoneticPr fontId="2" type="noConversion"/>
  </si>
  <si>
    <r>
      <rPr>
        <sz val="10"/>
        <color theme="1"/>
        <rFont val="宋体"/>
        <family val="2"/>
      </rPr>
      <t>命中</t>
    </r>
    <phoneticPr fontId="2" type="noConversion"/>
  </si>
  <si>
    <r>
      <rPr>
        <sz val="10"/>
        <color theme="1"/>
        <rFont val="宋体"/>
        <family val="2"/>
      </rPr>
      <t>能力</t>
    </r>
    <phoneticPr fontId="2" type="noConversion"/>
  </si>
  <si>
    <r>
      <rPr>
        <b/>
        <sz val="10"/>
        <color theme="0"/>
        <rFont val="宋体"/>
        <family val="2"/>
      </rPr>
      <t>物攻</t>
    </r>
    <phoneticPr fontId="2" type="noConversion"/>
  </si>
  <si>
    <r>
      <rPr>
        <b/>
        <sz val="10"/>
        <color theme="0"/>
        <rFont val="宋体"/>
        <family val="2"/>
      </rPr>
      <t>物防</t>
    </r>
    <phoneticPr fontId="2" type="noConversion"/>
  </si>
  <si>
    <r>
      <rPr>
        <b/>
        <sz val="10"/>
        <color theme="0"/>
        <rFont val="宋体"/>
        <family val="2"/>
      </rPr>
      <t>魔攻</t>
    </r>
    <phoneticPr fontId="2" type="noConversion"/>
  </si>
  <si>
    <r>
      <rPr>
        <b/>
        <sz val="10"/>
        <color theme="0"/>
        <rFont val="宋体"/>
        <family val="3"/>
        <charset val="134"/>
      </rPr>
      <t>魔防</t>
    </r>
    <phoneticPr fontId="2" type="noConversion"/>
  </si>
  <si>
    <r>
      <rPr>
        <b/>
        <sz val="10"/>
        <color theme="0"/>
        <rFont val="宋体"/>
        <family val="2"/>
      </rPr>
      <t>敏捷</t>
    </r>
    <phoneticPr fontId="2" type="noConversion"/>
  </si>
  <si>
    <r>
      <rPr>
        <sz val="10"/>
        <color theme="1"/>
        <rFont val="宋体"/>
        <family val="2"/>
      </rPr>
      <t>能力</t>
    </r>
    <phoneticPr fontId="2" type="noConversion"/>
  </si>
  <si>
    <r>
      <rPr>
        <b/>
        <sz val="10"/>
        <color theme="0"/>
        <rFont val="宋体"/>
        <family val="2"/>
      </rPr>
      <t>物攻</t>
    </r>
    <phoneticPr fontId="2" type="noConversion"/>
  </si>
  <si>
    <r>
      <rPr>
        <b/>
        <sz val="10"/>
        <color theme="0"/>
        <rFont val="宋体"/>
        <family val="2"/>
      </rPr>
      <t>物防</t>
    </r>
    <phoneticPr fontId="2" type="noConversion"/>
  </si>
  <si>
    <r>
      <rPr>
        <b/>
        <sz val="10"/>
        <color theme="0"/>
        <rFont val="宋体"/>
        <family val="2"/>
      </rPr>
      <t>魔攻</t>
    </r>
    <phoneticPr fontId="2" type="noConversion"/>
  </si>
  <si>
    <r>
      <rPr>
        <b/>
        <sz val="10"/>
        <color theme="0"/>
        <rFont val="宋体"/>
        <family val="3"/>
        <charset val="134"/>
      </rPr>
      <t>魔防</t>
    </r>
    <phoneticPr fontId="2" type="noConversion"/>
  </si>
  <si>
    <r>
      <rPr>
        <sz val="10"/>
        <color theme="1"/>
        <rFont val="宋体"/>
        <family val="2"/>
      </rPr>
      <t>威尔</t>
    </r>
  </si>
  <si>
    <r>
      <rPr>
        <sz val="10"/>
        <color theme="1"/>
        <rFont val="宋体"/>
        <family val="2"/>
      </rPr>
      <t>炼金术师</t>
    </r>
    <phoneticPr fontId="2" type="noConversion"/>
  </si>
  <si>
    <r>
      <rPr>
        <sz val="10"/>
        <color theme="1"/>
        <rFont val="宋体"/>
        <family val="2"/>
      </rPr>
      <t>炼金术师</t>
    </r>
    <phoneticPr fontId="2" type="noConversion"/>
  </si>
  <si>
    <r>
      <rPr>
        <sz val="10"/>
        <color theme="1"/>
        <rFont val="宋体"/>
        <family val="2"/>
      </rPr>
      <t>月爁</t>
    </r>
  </si>
  <si>
    <r>
      <rPr>
        <sz val="10"/>
        <color theme="1"/>
        <rFont val="宋体"/>
        <family val="2"/>
      </rPr>
      <t>战士</t>
    </r>
    <phoneticPr fontId="2" type="noConversion"/>
  </si>
  <si>
    <r>
      <rPr>
        <sz val="10"/>
        <color theme="1"/>
        <rFont val="宋体"/>
        <family val="2"/>
      </rPr>
      <t>战士</t>
    </r>
    <phoneticPr fontId="2" type="noConversion"/>
  </si>
  <si>
    <r>
      <rPr>
        <sz val="10"/>
        <color theme="1"/>
        <rFont val="宋体"/>
        <family val="2"/>
      </rPr>
      <t>艾米莉塔</t>
    </r>
  </si>
  <si>
    <r>
      <rPr>
        <sz val="10"/>
        <color theme="1"/>
        <rFont val="宋体"/>
        <family val="2"/>
      </rPr>
      <t>魔法师</t>
    </r>
    <phoneticPr fontId="2" type="noConversion"/>
  </si>
  <si>
    <r>
      <rPr>
        <sz val="10"/>
        <color theme="1"/>
        <rFont val="宋体"/>
        <family val="2"/>
      </rPr>
      <t>魔法师</t>
    </r>
    <phoneticPr fontId="2" type="noConversion"/>
  </si>
  <si>
    <r>
      <rPr>
        <sz val="10"/>
        <color theme="1"/>
        <rFont val="宋体"/>
        <family val="2"/>
      </rPr>
      <t>塞维尔</t>
    </r>
  </si>
  <si>
    <r>
      <rPr>
        <sz val="10"/>
        <color theme="1"/>
        <rFont val="宋体"/>
        <family val="2"/>
      </rPr>
      <t>弓箭手</t>
    </r>
    <phoneticPr fontId="2" type="noConversion"/>
  </si>
  <si>
    <r>
      <rPr>
        <sz val="10"/>
        <color theme="1"/>
        <rFont val="宋体"/>
        <family val="2"/>
      </rPr>
      <t>弓箭手</t>
    </r>
    <phoneticPr fontId="2" type="noConversion"/>
  </si>
  <si>
    <r>
      <rPr>
        <sz val="10"/>
        <color theme="1"/>
        <rFont val="宋体"/>
        <family val="2"/>
      </rPr>
      <t>雷格拉</t>
    </r>
  </si>
  <si>
    <r>
      <rPr>
        <sz val="10"/>
        <color theme="1"/>
        <rFont val="宋体"/>
        <family val="2"/>
      </rPr>
      <t>炼金术师</t>
    </r>
    <phoneticPr fontId="2" type="noConversion"/>
  </si>
  <si>
    <r>
      <rPr>
        <sz val="10"/>
        <color theme="1"/>
        <rFont val="宋体"/>
        <family val="2"/>
      </rPr>
      <t>炼金术师</t>
    </r>
    <phoneticPr fontId="2" type="noConversion"/>
  </si>
  <si>
    <r>
      <rPr>
        <sz val="10"/>
        <color theme="1"/>
        <rFont val="宋体"/>
        <family val="2"/>
      </rPr>
      <t>络纱娜</t>
    </r>
  </si>
  <si>
    <r>
      <rPr>
        <sz val="10"/>
        <color theme="1"/>
        <rFont val="宋体"/>
        <family val="2"/>
      </rPr>
      <t>炼金术师</t>
    </r>
    <phoneticPr fontId="2" type="noConversion"/>
  </si>
  <si>
    <r>
      <rPr>
        <sz val="10"/>
        <color theme="1"/>
        <rFont val="宋体"/>
        <family val="2"/>
      </rPr>
      <t>神职侍女</t>
    </r>
  </si>
  <si>
    <r>
      <rPr>
        <sz val="10"/>
        <color theme="1"/>
        <rFont val="宋体"/>
        <family val="2"/>
      </rPr>
      <t>僧侣</t>
    </r>
    <phoneticPr fontId="2" type="noConversion"/>
  </si>
  <si>
    <r>
      <rPr>
        <sz val="10"/>
        <color theme="1"/>
        <rFont val="宋体"/>
        <family val="2"/>
      </rPr>
      <t>僧侣</t>
    </r>
    <phoneticPr fontId="2" type="noConversion"/>
  </si>
  <si>
    <r>
      <rPr>
        <sz val="10"/>
        <color theme="1"/>
        <rFont val="宋体"/>
        <family val="2"/>
      </rPr>
      <t>水那</t>
    </r>
  </si>
  <si>
    <r>
      <rPr>
        <sz val="10"/>
        <color theme="1"/>
        <rFont val="宋体"/>
        <family val="2"/>
      </rPr>
      <t>魔法师</t>
    </r>
    <phoneticPr fontId="2" type="noConversion"/>
  </si>
  <si>
    <r>
      <rPr>
        <sz val="10"/>
        <color theme="1"/>
        <rFont val="宋体"/>
        <family val="2"/>
      </rPr>
      <t>魔法师</t>
    </r>
    <phoneticPr fontId="2" type="noConversion"/>
  </si>
  <si>
    <r>
      <rPr>
        <sz val="10"/>
        <color theme="1"/>
        <rFont val="宋体"/>
        <family val="2"/>
      </rPr>
      <t>火狐</t>
    </r>
  </si>
  <si>
    <r>
      <rPr>
        <sz val="10"/>
        <color theme="1"/>
        <rFont val="宋体"/>
        <family val="2"/>
      </rPr>
      <t>战斗大师</t>
    </r>
    <phoneticPr fontId="2" type="noConversion"/>
  </si>
  <si>
    <r>
      <rPr>
        <sz val="10"/>
        <color theme="1"/>
        <rFont val="宋体"/>
        <family val="2"/>
      </rPr>
      <t>战斗大师</t>
    </r>
    <phoneticPr fontId="2" type="noConversion"/>
  </si>
  <si>
    <r>
      <rPr>
        <sz val="10"/>
        <color theme="1"/>
        <rFont val="宋体"/>
        <family val="2"/>
      </rPr>
      <t>克莱尔</t>
    </r>
  </si>
  <si>
    <r>
      <rPr>
        <sz val="10"/>
        <color theme="1"/>
        <rFont val="宋体"/>
        <family val="2"/>
      </rPr>
      <t>弓箭手</t>
    </r>
    <phoneticPr fontId="2" type="noConversion"/>
  </si>
  <si>
    <r>
      <rPr>
        <sz val="10"/>
        <color theme="1"/>
        <rFont val="宋体"/>
        <family val="2"/>
      </rPr>
      <t>弓箭手</t>
    </r>
    <phoneticPr fontId="2" type="noConversion"/>
  </si>
  <si>
    <r>
      <rPr>
        <sz val="10"/>
        <color theme="1"/>
        <rFont val="宋体"/>
        <family val="2"/>
      </rPr>
      <t>梅洛蒂亚娜</t>
    </r>
  </si>
  <si>
    <r>
      <rPr>
        <sz val="10"/>
        <color theme="1"/>
        <rFont val="宋体"/>
        <family val="2"/>
      </rPr>
      <t>圣骑士</t>
    </r>
    <phoneticPr fontId="2" type="noConversion"/>
  </si>
  <si>
    <r>
      <rPr>
        <sz val="10"/>
        <color theme="1"/>
        <rFont val="宋体"/>
        <family val="2"/>
      </rPr>
      <t>圣骑士</t>
    </r>
    <phoneticPr fontId="2" type="noConversion"/>
  </si>
  <si>
    <r>
      <rPr>
        <sz val="10"/>
        <color theme="1"/>
        <rFont val="宋体"/>
        <family val="2"/>
      </rPr>
      <t>莎露媞</t>
    </r>
  </si>
  <si>
    <r>
      <rPr>
        <sz val="10"/>
        <color theme="1"/>
        <rFont val="宋体"/>
        <family val="2"/>
      </rPr>
      <t>盗贼</t>
    </r>
    <phoneticPr fontId="2" type="noConversion"/>
  </si>
  <si>
    <r>
      <rPr>
        <sz val="10"/>
        <color theme="1"/>
        <rFont val="宋体"/>
        <family val="2"/>
      </rPr>
      <t>克尔安奴</t>
    </r>
  </si>
  <si>
    <r>
      <rPr>
        <sz val="10"/>
        <color theme="1"/>
        <rFont val="宋体"/>
        <family val="2"/>
      </rPr>
      <t>弓箭手</t>
    </r>
    <phoneticPr fontId="2" type="noConversion"/>
  </si>
  <si>
    <r>
      <rPr>
        <sz val="10"/>
        <color theme="1"/>
        <rFont val="宋体"/>
        <family val="2"/>
      </rPr>
      <t>弓箭手</t>
    </r>
    <phoneticPr fontId="2" type="noConversion"/>
  </si>
  <si>
    <r>
      <rPr>
        <sz val="10"/>
        <color theme="1"/>
        <rFont val="宋体"/>
        <family val="2"/>
      </rPr>
      <t>幻兽</t>
    </r>
  </si>
  <si>
    <r>
      <rPr>
        <sz val="10"/>
        <color theme="1"/>
        <rFont val="宋体"/>
        <family val="2"/>
      </rPr>
      <t>武斗家</t>
    </r>
    <phoneticPr fontId="2" type="noConversion"/>
  </si>
  <si>
    <r>
      <rPr>
        <sz val="10"/>
        <color theme="1"/>
        <rFont val="宋体"/>
        <family val="2"/>
      </rPr>
      <t>武斗家</t>
    </r>
    <phoneticPr fontId="2" type="noConversion"/>
  </si>
  <si>
    <r>
      <rPr>
        <sz val="10"/>
        <color theme="1"/>
        <rFont val="宋体"/>
        <family val="2"/>
      </rPr>
      <t>狐伯莲</t>
    </r>
  </si>
  <si>
    <r>
      <rPr>
        <sz val="10"/>
        <color theme="1"/>
        <rFont val="宋体"/>
        <family val="2"/>
      </rPr>
      <t>舞师</t>
    </r>
    <phoneticPr fontId="2" type="noConversion"/>
  </si>
  <si>
    <r>
      <rPr>
        <sz val="10"/>
        <color theme="1"/>
        <rFont val="宋体"/>
        <family val="2"/>
      </rPr>
      <t>舞师</t>
    </r>
    <phoneticPr fontId="2" type="noConversion"/>
  </si>
  <si>
    <r>
      <rPr>
        <sz val="10"/>
        <color theme="1"/>
        <rFont val="宋体"/>
        <family val="2"/>
      </rPr>
      <t>雷龙</t>
    </r>
  </si>
  <si>
    <r>
      <rPr>
        <sz val="10"/>
        <color theme="1"/>
        <rFont val="宋体"/>
        <family val="2"/>
      </rPr>
      <t>魔法战士</t>
    </r>
    <phoneticPr fontId="2" type="noConversion"/>
  </si>
  <si>
    <r>
      <rPr>
        <sz val="10"/>
        <color theme="1"/>
        <rFont val="宋体"/>
        <family val="2"/>
      </rPr>
      <t>伊丽莎斯</t>
    </r>
  </si>
  <si>
    <r>
      <rPr>
        <sz val="10"/>
        <color theme="1"/>
        <rFont val="宋体"/>
        <family val="2"/>
      </rPr>
      <t>吟游诗人</t>
    </r>
    <phoneticPr fontId="2" type="noConversion"/>
  </si>
  <si>
    <r>
      <rPr>
        <sz val="10"/>
        <color theme="1"/>
        <rFont val="宋体"/>
        <family val="2"/>
      </rPr>
      <t>吟游诗人</t>
    </r>
    <phoneticPr fontId="2" type="noConversion"/>
  </si>
  <si>
    <r>
      <rPr>
        <sz val="10"/>
        <color theme="1"/>
        <rFont val="宋体"/>
        <family val="2"/>
      </rPr>
      <t>死神</t>
    </r>
  </si>
  <si>
    <r>
      <rPr>
        <sz val="10"/>
        <color theme="1"/>
        <rFont val="宋体"/>
        <family val="2"/>
      </rPr>
      <t>魔物猎人</t>
    </r>
    <phoneticPr fontId="2" type="noConversion"/>
  </si>
  <si>
    <r>
      <rPr>
        <sz val="10"/>
        <color theme="1"/>
        <rFont val="宋体"/>
        <family val="2"/>
      </rPr>
      <t>魔物猎人</t>
    </r>
    <phoneticPr fontId="2" type="noConversion"/>
  </si>
  <si>
    <r>
      <rPr>
        <sz val="10"/>
        <color theme="1"/>
        <rFont val="宋体"/>
        <family val="2"/>
      </rPr>
      <t>露丝</t>
    </r>
  </si>
  <si>
    <r>
      <rPr>
        <sz val="10"/>
        <color theme="1"/>
        <rFont val="宋体"/>
        <family val="2"/>
      </rPr>
      <t>伊琳娜</t>
    </r>
  </si>
  <si>
    <r>
      <rPr>
        <sz val="10"/>
        <color theme="1"/>
        <rFont val="宋体"/>
        <family val="2"/>
      </rPr>
      <t>伊夫琳</t>
    </r>
  </si>
  <si>
    <r>
      <rPr>
        <sz val="10"/>
        <color theme="1"/>
        <rFont val="宋体"/>
        <family val="2"/>
      </rPr>
      <t>海贼</t>
    </r>
    <phoneticPr fontId="2" type="noConversion"/>
  </si>
  <si>
    <r>
      <rPr>
        <sz val="10"/>
        <color theme="1"/>
        <rFont val="宋体"/>
        <family val="2"/>
      </rPr>
      <t>莉莉</t>
    </r>
  </si>
  <si>
    <r>
      <rPr>
        <sz val="10"/>
        <color theme="1"/>
        <rFont val="宋体"/>
        <family val="2"/>
      </rPr>
      <t>超级明星</t>
    </r>
    <phoneticPr fontId="2" type="noConversion"/>
  </si>
  <si>
    <r>
      <rPr>
        <sz val="10"/>
        <color theme="1"/>
        <rFont val="宋体"/>
        <family val="2"/>
      </rPr>
      <t>超级明星</t>
    </r>
    <phoneticPr fontId="2" type="noConversion"/>
  </si>
  <si>
    <r>
      <rPr>
        <sz val="10"/>
        <color theme="1"/>
        <rFont val="宋体"/>
        <family val="2"/>
      </rPr>
      <t>普罗阿</t>
    </r>
  </si>
  <si>
    <r>
      <rPr>
        <sz val="10"/>
        <color theme="1"/>
        <rFont val="宋体"/>
        <family val="2"/>
      </rPr>
      <t>滑稽师</t>
    </r>
    <phoneticPr fontId="2" type="noConversion"/>
  </si>
  <si>
    <r>
      <rPr>
        <sz val="10"/>
        <color theme="1"/>
        <rFont val="宋体"/>
        <family val="2"/>
      </rPr>
      <t>滑稽师</t>
    </r>
    <phoneticPr fontId="2" type="noConversion"/>
  </si>
  <si>
    <r>
      <rPr>
        <sz val="10"/>
        <color theme="1"/>
        <rFont val="宋体"/>
        <family val="2"/>
      </rPr>
      <t>菲尼莉</t>
    </r>
  </si>
  <si>
    <r>
      <rPr>
        <sz val="10"/>
        <color theme="1"/>
        <rFont val="宋体"/>
        <family val="2"/>
      </rPr>
      <t>贤者</t>
    </r>
    <phoneticPr fontId="2" type="noConversion"/>
  </si>
  <si>
    <r>
      <rPr>
        <sz val="10"/>
        <color theme="1"/>
        <rFont val="宋体"/>
        <family val="2"/>
      </rPr>
      <t>贤者</t>
    </r>
    <phoneticPr fontId="2" type="noConversion"/>
  </si>
  <si>
    <r>
      <rPr>
        <sz val="10"/>
        <color theme="1"/>
        <rFont val="宋体"/>
        <family val="2"/>
      </rPr>
      <t>女佣</t>
    </r>
  </si>
  <si>
    <r>
      <rPr>
        <sz val="10"/>
        <color theme="1"/>
        <rFont val="宋体"/>
        <family val="2"/>
      </rPr>
      <t>女佣（邪恶）</t>
    </r>
  </si>
  <si>
    <r>
      <rPr>
        <sz val="10"/>
        <color theme="1"/>
        <rFont val="宋体"/>
        <family val="2"/>
      </rPr>
      <t>超级明星</t>
    </r>
    <phoneticPr fontId="2" type="noConversion"/>
  </si>
  <si>
    <r>
      <rPr>
        <sz val="10"/>
        <color theme="1"/>
        <rFont val="宋体"/>
        <family val="2"/>
      </rPr>
      <t>纳斯塔西娅</t>
    </r>
  </si>
  <si>
    <r>
      <rPr>
        <sz val="10"/>
        <color theme="1"/>
        <rFont val="宋体"/>
        <family val="2"/>
      </rPr>
      <t>魔法战士</t>
    </r>
    <phoneticPr fontId="2" type="noConversion"/>
  </si>
  <si>
    <r>
      <rPr>
        <sz val="10"/>
        <color theme="1"/>
        <rFont val="宋体"/>
        <family val="2"/>
      </rPr>
      <t>魔法战士</t>
    </r>
    <phoneticPr fontId="2" type="noConversion"/>
  </si>
  <si>
    <r>
      <rPr>
        <sz val="10"/>
        <color theme="1"/>
        <rFont val="宋体"/>
        <family val="2"/>
      </rPr>
      <t>依库瑞娅</t>
    </r>
  </si>
  <si>
    <r>
      <rPr>
        <sz val="10"/>
        <color theme="1"/>
        <rFont val="宋体"/>
        <family val="2"/>
      </rPr>
      <t>战斗大师</t>
    </r>
    <phoneticPr fontId="2" type="noConversion"/>
  </si>
  <si>
    <r>
      <rPr>
        <sz val="10"/>
        <color theme="1"/>
        <rFont val="宋体"/>
        <family val="2"/>
      </rPr>
      <t>战斗大师</t>
    </r>
    <phoneticPr fontId="2" type="noConversion"/>
  </si>
  <si>
    <r>
      <rPr>
        <sz val="10"/>
        <color theme="1"/>
        <rFont val="宋体"/>
        <family val="2"/>
      </rPr>
      <t>男佣兵</t>
    </r>
  </si>
  <si>
    <r>
      <rPr>
        <sz val="10"/>
        <color theme="1"/>
        <rFont val="宋体"/>
        <family val="2"/>
      </rPr>
      <t>战士</t>
    </r>
    <phoneticPr fontId="2" type="noConversion"/>
  </si>
  <si>
    <r>
      <rPr>
        <sz val="10"/>
        <color theme="1"/>
        <rFont val="宋体"/>
        <family val="2"/>
      </rPr>
      <t>战士</t>
    </r>
    <phoneticPr fontId="2" type="noConversion"/>
  </si>
  <si>
    <r>
      <rPr>
        <sz val="10"/>
        <color theme="1"/>
        <rFont val="宋体"/>
        <family val="2"/>
      </rPr>
      <t>女佣兵</t>
    </r>
  </si>
  <si>
    <t>闪避</t>
    <phoneticPr fontId="2" type="noConversion"/>
  </si>
  <si>
    <t>命中</t>
    <phoneticPr fontId="2" type="noConversion"/>
  </si>
  <si>
    <t>能力分配</t>
    <phoneticPr fontId="2" type="noConversion"/>
  </si>
  <si>
    <t>人物成长</t>
    <phoneticPr fontId="2" type="noConversion"/>
  </si>
  <si>
    <t>装备</t>
    <phoneticPr fontId="2" type="noConversion"/>
  </si>
  <si>
    <t>系数</t>
    <phoneticPr fontId="2" type="noConversion"/>
  </si>
  <si>
    <t>人物抗性</t>
    <phoneticPr fontId="2" type="noConversion"/>
  </si>
  <si>
    <t>职业抗性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</si>
</sst>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宋体"/>
      <family val="2"/>
      <scheme val="minor"/>
    </font>
    <font>
      <sz val="10"/>
      <color theme="1"/>
      <name val="Arial"/>
      <family val="2"/>
    </font>
    <font>
      <sz val="9"/>
      <name val="宋体"/>
      <family val="3"/>
      <charset val="134"/>
      <scheme val="minor"/>
    </font>
    <font>
      <b/>
      <sz val="10"/>
      <color theme="0"/>
      <name val="Arial"/>
      <family val="2"/>
    </font>
    <font>
      <b/>
      <sz val="10"/>
      <color theme="0"/>
      <name val="宋体"/>
      <family val="3"/>
      <charset val="134"/>
    </font>
    <font>
      <sz val="10"/>
      <color theme="1"/>
      <name val="宋体"/>
      <family val="3"/>
      <charset val="134"/>
    </font>
    <font>
      <b/>
      <sz val="10"/>
      <color theme="0"/>
      <name val="宋体"/>
      <family val="2"/>
    </font>
    <font>
      <b/>
      <i/>
      <sz val="10"/>
      <color theme="0"/>
      <name val="Arial"/>
      <family val="2"/>
    </font>
    <font>
      <b/>
      <i/>
      <sz val="10"/>
      <color theme="0"/>
      <name val="宋体"/>
      <family val="3"/>
      <charset val="134"/>
    </font>
    <font>
      <b/>
      <sz val="10"/>
      <color theme="1"/>
      <name val="Arial Unicode MS"/>
      <family val="2"/>
      <charset val="134"/>
    </font>
    <font>
      <sz val="10"/>
      <color theme="1"/>
      <name val="宋体"/>
      <family val="2"/>
    </font>
  </fonts>
  <fills count="9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9" fontId="0" fillId="3" borderId="1" xfId="0" applyNumberFormat="1" applyFont="1" applyFill="1" applyBorder="1" applyAlignment="1">
      <alignment vertical="center"/>
    </xf>
    <xf numFmtId="49" fontId="0" fillId="4" borderId="1" xfId="0" applyNumberFormat="1" applyFont="1" applyFill="1" applyBorder="1" applyAlignment="1">
      <alignment vertical="center"/>
    </xf>
    <xf numFmtId="49" fontId="0" fillId="5" borderId="1" xfId="0" applyNumberFormat="1" applyFont="1" applyFill="1" applyBorder="1" applyAlignment="1">
      <alignment vertical="center"/>
    </xf>
    <xf numFmtId="49" fontId="0" fillId="0" borderId="1" xfId="0" applyNumberFormat="1" applyFont="1" applyBorder="1" applyAlignment="1">
      <alignment vertical="center"/>
    </xf>
    <xf numFmtId="0" fontId="4" fillId="6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2" borderId="1" xfId="0" applyNumberFormat="1" applyFont="1" applyFill="1" applyBorder="1" applyAlignment="1">
      <alignment horizontal="center" vertical="center"/>
    </xf>
    <xf numFmtId="0" fontId="3" fillId="2" borderId="2" xfId="0" applyNumberFormat="1" applyFont="1" applyFill="1" applyBorder="1" applyAlignment="1">
      <alignment horizontal="center" vertical="center"/>
    </xf>
    <xf numFmtId="0" fontId="3" fillId="7" borderId="1" xfId="0" applyNumberFormat="1" applyFont="1" applyFill="1" applyBorder="1" applyAlignment="1">
      <alignment horizontal="center" vertical="center"/>
    </xf>
    <xf numFmtId="0" fontId="3" fillId="8" borderId="1" xfId="0" applyNumberFormat="1" applyFont="1" applyFill="1" applyBorder="1" applyAlignment="1">
      <alignment horizontal="center" vertical="center"/>
    </xf>
    <xf numFmtId="0" fontId="1" fillId="0" borderId="1" xfId="0" applyNumberFormat="1" applyFont="1" applyBorder="1" applyAlignment="1">
      <alignment horizontal="center" vertical="center"/>
    </xf>
    <xf numFmtId="0" fontId="4" fillId="2" borderId="2" xfId="0" applyNumberFormat="1" applyFont="1" applyFill="1" applyBorder="1" applyAlignment="1">
      <alignment horizontal="center" vertical="center"/>
    </xf>
    <xf numFmtId="10" fontId="0" fillId="0" borderId="0" xfId="0" applyNumberFormat="1"/>
    <xf numFmtId="0" fontId="1" fillId="3" borderId="1" xfId="0" applyNumberFormat="1" applyFont="1" applyFill="1" applyBorder="1" applyAlignment="1">
      <alignment horizontal="center" vertical="center"/>
    </xf>
    <xf numFmtId="0" fontId="1" fillId="4" borderId="1" xfId="0" applyNumberFormat="1" applyFont="1" applyFill="1" applyBorder="1" applyAlignment="1">
      <alignment horizontal="center" vertical="center"/>
    </xf>
    <xf numFmtId="0" fontId="1" fillId="5" borderId="1" xfId="0" applyNumberFormat="1" applyFont="1" applyFill="1" applyBorder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0" fontId="5" fillId="0" borderId="1" xfId="0" applyNumberFormat="1" applyFont="1" applyBorder="1" applyAlignment="1">
      <alignment horizontal="center" vertical="center"/>
    </xf>
    <xf numFmtId="0" fontId="8" fillId="6" borderId="1" xfId="0" applyNumberFormat="1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AA102"/>
  <sheetViews>
    <sheetView topLeftCell="A28" workbookViewId="0">
      <selection activeCell="N41" sqref="N41"/>
    </sheetView>
  </sheetViews>
  <sheetFormatPr defaultRowHeight="12.75" x14ac:dyDescent="0.15"/>
  <cols>
    <col min="1" max="1" width="2.75" style="1" customWidth="1"/>
    <col min="2" max="2" width="9" style="1"/>
    <col min="3" max="3" width="14" style="1" customWidth="1"/>
    <col min="4" max="16384" width="9" style="1"/>
  </cols>
  <sheetData>
    <row r="2" spans="2:19" x14ac:dyDescent="0.15">
      <c r="B2" s="4" t="s">
        <v>66</v>
      </c>
      <c r="C2" s="4" t="s">
        <v>0</v>
      </c>
      <c r="D2" s="5" t="s">
        <v>1</v>
      </c>
      <c r="E2" s="4" t="s">
        <v>2</v>
      </c>
      <c r="F2" s="4" t="s">
        <v>3</v>
      </c>
      <c r="G2" s="6" t="s">
        <v>4</v>
      </c>
      <c r="H2" s="6" t="s">
        <v>5</v>
      </c>
      <c r="I2" s="6" t="s">
        <v>6</v>
      </c>
      <c r="J2" s="5" t="s">
        <v>7</v>
      </c>
      <c r="K2" s="4" t="s">
        <v>8</v>
      </c>
      <c r="L2" s="4" t="s">
        <v>9</v>
      </c>
      <c r="M2" s="11" t="s">
        <v>67</v>
      </c>
      <c r="N2" s="11" t="s">
        <v>68</v>
      </c>
      <c r="O2" s="11" t="s">
        <v>69</v>
      </c>
      <c r="P2" s="11" t="s">
        <v>70</v>
      </c>
      <c r="Q2" s="11" t="s">
        <v>71</v>
      </c>
      <c r="R2" s="11" t="s">
        <v>72</v>
      </c>
      <c r="S2" s="11" t="s">
        <v>73</v>
      </c>
    </row>
    <row r="3" spans="2:19" ht="13.5" x14ac:dyDescent="0.15">
      <c r="B3" s="2">
        <v>1</v>
      </c>
      <c r="C3" s="7" t="s">
        <v>10</v>
      </c>
      <c r="D3" s="7" t="s">
        <v>11</v>
      </c>
      <c r="E3" s="2">
        <v>20</v>
      </c>
      <c r="F3" s="2">
        <v>3</v>
      </c>
      <c r="G3" s="2">
        <v>12</v>
      </c>
      <c r="H3" s="2">
        <v>16</v>
      </c>
      <c r="I3" s="2">
        <v>0</v>
      </c>
      <c r="J3" s="2">
        <v>1</v>
      </c>
      <c r="K3" s="2">
        <v>17</v>
      </c>
      <c r="L3" s="2">
        <v>15</v>
      </c>
      <c r="M3" s="2">
        <v>10</v>
      </c>
      <c r="N3" s="2">
        <v>10</v>
      </c>
      <c r="O3" s="2"/>
      <c r="P3" s="2"/>
      <c r="Q3" s="2"/>
      <c r="R3" s="2"/>
      <c r="S3" s="2"/>
    </row>
    <row r="4" spans="2:19" ht="13.5" x14ac:dyDescent="0.15">
      <c r="B4" s="2">
        <v>2</v>
      </c>
      <c r="C4" s="8" t="s">
        <v>12</v>
      </c>
      <c r="D4" s="8" t="s">
        <v>13</v>
      </c>
      <c r="E4" s="3">
        <v>26</v>
      </c>
      <c r="F4" s="3">
        <v>4</v>
      </c>
      <c r="G4" s="3">
        <v>18</v>
      </c>
      <c r="H4" s="3">
        <v>18</v>
      </c>
      <c r="I4" s="3">
        <v>0</v>
      </c>
      <c r="J4" s="3">
        <v>1</v>
      </c>
      <c r="K4" s="3">
        <v>4</v>
      </c>
      <c r="L4" s="3">
        <v>5</v>
      </c>
      <c r="M4" s="2"/>
      <c r="N4" s="2"/>
      <c r="O4" s="2"/>
      <c r="P4" s="2"/>
      <c r="Q4" s="2"/>
      <c r="R4" s="2"/>
      <c r="S4" s="2"/>
    </row>
    <row r="5" spans="2:19" ht="13.5" x14ac:dyDescent="0.15">
      <c r="B5" s="2">
        <v>3</v>
      </c>
      <c r="C5" s="9" t="s">
        <v>14</v>
      </c>
      <c r="D5" s="9" t="s">
        <v>15</v>
      </c>
      <c r="E5" s="3">
        <v>18</v>
      </c>
      <c r="F5" s="3">
        <v>18</v>
      </c>
      <c r="G5" s="3">
        <v>4</v>
      </c>
      <c r="H5" s="3">
        <v>4</v>
      </c>
      <c r="I5" s="3">
        <v>18</v>
      </c>
      <c r="J5" s="3">
        <v>2</v>
      </c>
      <c r="K5" s="3">
        <v>18</v>
      </c>
      <c r="L5" s="3">
        <v>14</v>
      </c>
      <c r="M5" s="2"/>
      <c r="N5" s="2"/>
      <c r="O5" s="2"/>
      <c r="P5" s="2"/>
      <c r="Q5" s="2"/>
      <c r="R5" s="2"/>
      <c r="S5" s="2"/>
    </row>
    <row r="6" spans="2:19" ht="13.5" x14ac:dyDescent="0.15">
      <c r="B6" s="2">
        <v>4</v>
      </c>
      <c r="C6" s="8" t="s">
        <v>16</v>
      </c>
      <c r="D6" s="8" t="s">
        <v>17</v>
      </c>
      <c r="E6" s="3">
        <v>17</v>
      </c>
      <c r="F6" s="3">
        <v>0</v>
      </c>
      <c r="G6" s="3">
        <v>22</v>
      </c>
      <c r="H6" s="3">
        <v>2</v>
      </c>
      <c r="I6" s="3">
        <v>0</v>
      </c>
      <c r="J6" s="3">
        <v>5</v>
      </c>
      <c r="K6" s="3">
        <v>15</v>
      </c>
      <c r="L6" s="3">
        <v>15</v>
      </c>
      <c r="M6" s="2"/>
      <c r="N6" s="2"/>
      <c r="O6" s="2"/>
      <c r="P6" s="2"/>
      <c r="Q6" s="2"/>
      <c r="R6" s="2"/>
      <c r="S6" s="2"/>
    </row>
    <row r="7" spans="2:19" ht="13.5" x14ac:dyDescent="0.15">
      <c r="B7" s="2">
        <v>5</v>
      </c>
      <c r="C7" s="7" t="s">
        <v>18</v>
      </c>
      <c r="D7" s="7" t="s">
        <v>19</v>
      </c>
      <c r="E7" s="2">
        <v>18</v>
      </c>
      <c r="F7" s="2">
        <v>3</v>
      </c>
      <c r="G7" s="2">
        <v>11</v>
      </c>
      <c r="H7" s="2">
        <v>18</v>
      </c>
      <c r="I7" s="2">
        <v>5</v>
      </c>
      <c r="J7" s="2">
        <v>3</v>
      </c>
      <c r="K7" s="2">
        <v>15</v>
      </c>
      <c r="L7" s="2">
        <v>14</v>
      </c>
      <c r="M7" s="2"/>
      <c r="N7" s="2"/>
      <c r="O7" s="2"/>
      <c r="P7" s="2"/>
      <c r="Q7" s="2"/>
      <c r="R7" s="2"/>
      <c r="S7" s="2"/>
    </row>
    <row r="8" spans="2:19" ht="13.5" x14ac:dyDescent="0.15">
      <c r="B8" s="2">
        <v>6</v>
      </c>
      <c r="C8" s="10" t="s">
        <v>20</v>
      </c>
      <c r="D8" s="7" t="s">
        <v>19</v>
      </c>
      <c r="E8" s="2">
        <v>17</v>
      </c>
      <c r="F8" s="2">
        <v>8</v>
      </c>
      <c r="G8" s="2">
        <v>12</v>
      </c>
      <c r="H8" s="2">
        <v>17</v>
      </c>
      <c r="I8" s="2">
        <v>2</v>
      </c>
      <c r="J8" s="2">
        <v>5</v>
      </c>
      <c r="K8" s="2">
        <v>16</v>
      </c>
      <c r="L8" s="2">
        <v>15</v>
      </c>
      <c r="M8" s="2"/>
      <c r="N8" s="2"/>
      <c r="O8" s="2"/>
      <c r="P8" s="2"/>
      <c r="Q8" s="2"/>
      <c r="R8" s="2"/>
      <c r="S8" s="2"/>
    </row>
    <row r="9" spans="2:19" ht="13.5" x14ac:dyDescent="0.15">
      <c r="B9" s="2">
        <v>7</v>
      </c>
      <c r="C9" s="10" t="s">
        <v>21</v>
      </c>
      <c r="D9" s="10" t="s">
        <v>22</v>
      </c>
      <c r="E9" s="2">
        <v>19</v>
      </c>
      <c r="F9" s="2">
        <v>14</v>
      </c>
      <c r="G9" s="2">
        <v>9</v>
      </c>
      <c r="H9" s="2">
        <v>9</v>
      </c>
      <c r="I9" s="2">
        <v>18</v>
      </c>
      <c r="J9" s="2">
        <v>3</v>
      </c>
      <c r="K9" s="2">
        <v>14</v>
      </c>
      <c r="L9" s="2">
        <v>9</v>
      </c>
      <c r="M9" s="2"/>
      <c r="N9" s="2"/>
      <c r="O9" s="2"/>
      <c r="P9" s="2"/>
      <c r="Q9" s="2"/>
      <c r="R9" s="2"/>
      <c r="S9" s="2"/>
    </row>
    <row r="10" spans="2:19" ht="13.5" x14ac:dyDescent="0.15">
      <c r="B10" s="2">
        <v>8</v>
      </c>
      <c r="C10" s="7" t="s">
        <v>23</v>
      </c>
      <c r="D10" s="7" t="s">
        <v>24</v>
      </c>
      <c r="E10" s="2">
        <v>14</v>
      </c>
      <c r="F10" s="2">
        <v>25</v>
      </c>
      <c r="G10" s="2">
        <v>4</v>
      </c>
      <c r="H10" s="2">
        <v>4</v>
      </c>
      <c r="I10" s="2">
        <v>20</v>
      </c>
      <c r="J10" s="2">
        <v>5</v>
      </c>
      <c r="K10" s="2">
        <v>10</v>
      </c>
      <c r="L10" s="2">
        <v>10</v>
      </c>
      <c r="M10" s="2"/>
      <c r="N10" s="2"/>
      <c r="O10" s="2"/>
      <c r="P10" s="2"/>
      <c r="Q10" s="2"/>
      <c r="R10" s="2"/>
      <c r="S10" s="2"/>
    </row>
    <row r="11" spans="2:19" ht="13.5" x14ac:dyDescent="0.15">
      <c r="B11" s="2">
        <v>9</v>
      </c>
      <c r="C11" s="10" t="s">
        <v>25</v>
      </c>
      <c r="D11" s="10" t="s">
        <v>26</v>
      </c>
      <c r="E11" s="2">
        <v>31</v>
      </c>
      <c r="F11" s="2">
        <v>4</v>
      </c>
      <c r="G11" s="2">
        <v>21</v>
      </c>
      <c r="H11" s="2">
        <v>21</v>
      </c>
      <c r="I11" s="2">
        <v>0</v>
      </c>
      <c r="J11" s="2">
        <v>1</v>
      </c>
      <c r="K11" s="2">
        <v>27</v>
      </c>
      <c r="L11" s="2">
        <v>13</v>
      </c>
      <c r="M11" s="2"/>
      <c r="N11" s="2"/>
      <c r="O11" s="2"/>
      <c r="P11" s="2"/>
      <c r="Q11" s="2"/>
      <c r="R11" s="2"/>
      <c r="S11" s="2"/>
    </row>
    <row r="12" spans="2:19" ht="13.5" x14ac:dyDescent="0.15">
      <c r="B12" s="2">
        <v>10</v>
      </c>
      <c r="C12" s="7" t="s">
        <v>27</v>
      </c>
      <c r="D12" s="7" t="s">
        <v>28</v>
      </c>
      <c r="E12" s="2">
        <v>20</v>
      </c>
      <c r="F12" s="2">
        <v>5</v>
      </c>
      <c r="G12" s="2">
        <v>18</v>
      </c>
      <c r="H12" s="2">
        <v>10</v>
      </c>
      <c r="I12" s="2">
        <v>10</v>
      </c>
      <c r="J12" s="2">
        <v>5</v>
      </c>
      <c r="K12" s="2">
        <v>13</v>
      </c>
      <c r="L12" s="2">
        <v>12</v>
      </c>
      <c r="M12" s="2"/>
      <c r="N12" s="2"/>
      <c r="O12" s="2"/>
      <c r="P12" s="2"/>
      <c r="Q12" s="2"/>
      <c r="R12" s="2"/>
      <c r="S12" s="2"/>
    </row>
    <row r="13" spans="2:19" ht="13.5" x14ac:dyDescent="0.15">
      <c r="B13" s="2">
        <v>11</v>
      </c>
      <c r="C13" s="10" t="s">
        <v>29</v>
      </c>
      <c r="D13" s="10" t="s">
        <v>30</v>
      </c>
      <c r="E13" s="2">
        <v>28</v>
      </c>
      <c r="F13" s="2">
        <v>16</v>
      </c>
      <c r="G13" s="2">
        <v>21</v>
      </c>
      <c r="H13" s="2">
        <v>13</v>
      </c>
      <c r="I13" s="2">
        <v>21</v>
      </c>
      <c r="J13" s="2">
        <v>4</v>
      </c>
      <c r="K13" s="2">
        <v>27</v>
      </c>
      <c r="L13" s="2">
        <v>13</v>
      </c>
      <c r="M13" s="2"/>
      <c r="N13" s="2"/>
      <c r="O13" s="2"/>
      <c r="P13" s="2"/>
      <c r="Q13" s="2"/>
      <c r="R13" s="2"/>
      <c r="S13" s="2"/>
    </row>
    <row r="14" spans="2:19" ht="13.5" x14ac:dyDescent="0.15">
      <c r="B14" s="2">
        <v>12</v>
      </c>
      <c r="C14" s="7" t="s">
        <v>31</v>
      </c>
      <c r="D14" s="7" t="s">
        <v>32</v>
      </c>
      <c r="E14" s="2">
        <v>20</v>
      </c>
      <c r="F14" s="2">
        <v>5</v>
      </c>
      <c r="G14" s="2">
        <v>9</v>
      </c>
      <c r="H14" s="2">
        <v>9</v>
      </c>
      <c r="I14" s="2">
        <v>0</v>
      </c>
      <c r="J14" s="2">
        <v>1</v>
      </c>
      <c r="K14" s="2">
        <v>20</v>
      </c>
      <c r="L14" s="2">
        <v>20</v>
      </c>
      <c r="M14" s="2"/>
      <c r="N14" s="2"/>
      <c r="O14" s="2"/>
      <c r="P14" s="2"/>
      <c r="Q14" s="2"/>
      <c r="R14" s="2"/>
      <c r="S14" s="2"/>
    </row>
    <row r="15" spans="2:19" ht="13.5" x14ac:dyDescent="0.15">
      <c r="B15" s="2">
        <v>13</v>
      </c>
      <c r="C15" s="10" t="s">
        <v>33</v>
      </c>
      <c r="D15" s="10" t="s">
        <v>17</v>
      </c>
      <c r="E15" s="2">
        <v>18</v>
      </c>
      <c r="F15" s="2">
        <v>0</v>
      </c>
      <c r="G15" s="2">
        <v>19</v>
      </c>
      <c r="H15" s="2">
        <v>10</v>
      </c>
      <c r="I15" s="2">
        <v>12</v>
      </c>
      <c r="J15" s="2">
        <v>4</v>
      </c>
      <c r="K15" s="2">
        <v>22</v>
      </c>
      <c r="L15" s="2">
        <v>13</v>
      </c>
      <c r="M15" s="2"/>
      <c r="N15" s="2"/>
      <c r="O15" s="2"/>
      <c r="P15" s="2"/>
      <c r="Q15" s="2"/>
      <c r="R15" s="2"/>
      <c r="S15" s="2"/>
    </row>
    <row r="16" spans="2:19" ht="13.5" x14ac:dyDescent="0.15">
      <c r="B16" s="2">
        <v>14</v>
      </c>
      <c r="C16" s="7" t="s">
        <v>34</v>
      </c>
      <c r="D16" s="7" t="s">
        <v>35</v>
      </c>
      <c r="E16" s="2">
        <v>24</v>
      </c>
      <c r="F16" s="2">
        <v>2</v>
      </c>
      <c r="G16" s="2">
        <v>18</v>
      </c>
      <c r="H16" s="2">
        <v>11</v>
      </c>
      <c r="I16" s="2">
        <v>0</v>
      </c>
      <c r="J16" s="2">
        <v>1</v>
      </c>
      <c r="K16" s="2">
        <v>23</v>
      </c>
      <c r="L16" s="2">
        <v>11</v>
      </c>
      <c r="M16" s="2"/>
      <c r="N16" s="2"/>
      <c r="O16" s="2"/>
      <c r="P16" s="2"/>
      <c r="Q16" s="2"/>
      <c r="R16" s="2"/>
      <c r="S16" s="2"/>
    </row>
    <row r="17" spans="2:19" ht="13.5" x14ac:dyDescent="0.15">
      <c r="B17" s="2">
        <v>15</v>
      </c>
      <c r="C17" s="10" t="s">
        <v>36</v>
      </c>
      <c r="D17" s="10" t="s">
        <v>37</v>
      </c>
      <c r="E17" s="2">
        <v>15</v>
      </c>
      <c r="F17" s="2">
        <v>10</v>
      </c>
      <c r="G17" s="2">
        <v>10</v>
      </c>
      <c r="H17" s="2">
        <v>9</v>
      </c>
      <c r="I17" s="2">
        <v>13</v>
      </c>
      <c r="J17" s="2">
        <v>2</v>
      </c>
      <c r="K17" s="2">
        <v>25</v>
      </c>
      <c r="L17" s="2">
        <v>15</v>
      </c>
      <c r="M17" s="2"/>
      <c r="N17" s="2"/>
      <c r="O17" s="2"/>
      <c r="P17" s="2"/>
      <c r="Q17" s="2"/>
      <c r="R17" s="2"/>
      <c r="S17" s="2"/>
    </row>
    <row r="18" spans="2:19" ht="13.5" x14ac:dyDescent="0.15">
      <c r="B18" s="2">
        <v>16</v>
      </c>
      <c r="C18" s="7" t="s">
        <v>38</v>
      </c>
      <c r="D18" s="7" t="s">
        <v>39</v>
      </c>
      <c r="E18" s="2">
        <v>31</v>
      </c>
      <c r="F18" s="2">
        <v>21</v>
      </c>
      <c r="G18" s="2">
        <v>21</v>
      </c>
      <c r="H18" s="2">
        <v>21</v>
      </c>
      <c r="I18" s="2">
        <v>21</v>
      </c>
      <c r="J18" s="2">
        <v>3</v>
      </c>
      <c r="K18" s="2">
        <v>21</v>
      </c>
      <c r="L18" s="2">
        <v>16</v>
      </c>
      <c r="M18" s="2"/>
      <c r="N18" s="2"/>
      <c r="O18" s="2"/>
      <c r="P18" s="2"/>
      <c r="Q18" s="2"/>
      <c r="R18" s="2"/>
      <c r="S18" s="2"/>
    </row>
    <row r="19" spans="2:19" ht="13.5" x14ac:dyDescent="0.15">
      <c r="B19" s="2">
        <v>17</v>
      </c>
      <c r="C19" s="10" t="s">
        <v>40</v>
      </c>
      <c r="D19" s="10" t="s">
        <v>41</v>
      </c>
      <c r="E19" s="2">
        <v>21</v>
      </c>
      <c r="F19" s="2">
        <v>10</v>
      </c>
      <c r="G19" s="2">
        <v>8</v>
      </c>
      <c r="H19" s="2">
        <v>8</v>
      </c>
      <c r="I19" s="2">
        <v>15</v>
      </c>
      <c r="J19" s="2">
        <v>3</v>
      </c>
      <c r="K19" s="2">
        <v>10</v>
      </c>
      <c r="L19" s="2">
        <v>8</v>
      </c>
      <c r="M19" s="2"/>
      <c r="N19" s="2"/>
      <c r="O19" s="2"/>
      <c r="P19" s="2"/>
      <c r="Q19" s="2"/>
      <c r="R19" s="2"/>
      <c r="S19" s="2"/>
    </row>
    <row r="20" spans="2:19" ht="13.5" x14ac:dyDescent="0.15">
      <c r="B20" s="2">
        <v>18</v>
      </c>
      <c r="C20" s="7" t="s">
        <v>42</v>
      </c>
      <c r="D20" s="7" t="s">
        <v>43</v>
      </c>
      <c r="E20" s="2">
        <v>24</v>
      </c>
      <c r="F20" s="2">
        <v>14</v>
      </c>
      <c r="G20" s="2">
        <v>10</v>
      </c>
      <c r="H20" s="2">
        <v>14</v>
      </c>
      <c r="I20" s="2">
        <v>14</v>
      </c>
      <c r="J20" s="2">
        <v>5</v>
      </c>
      <c r="K20" s="2">
        <v>24</v>
      </c>
      <c r="L20" s="2">
        <v>24</v>
      </c>
      <c r="M20" s="2"/>
      <c r="N20" s="2"/>
      <c r="O20" s="2"/>
      <c r="P20" s="2"/>
      <c r="Q20" s="2"/>
      <c r="R20" s="2"/>
      <c r="S20" s="2"/>
    </row>
    <row r="21" spans="2:19" ht="13.5" x14ac:dyDescent="0.15">
      <c r="B21" s="2">
        <v>19</v>
      </c>
      <c r="C21" s="10" t="s">
        <v>44</v>
      </c>
      <c r="D21" s="10" t="s">
        <v>45</v>
      </c>
      <c r="E21" s="2">
        <v>31</v>
      </c>
      <c r="F21" s="2">
        <v>4</v>
      </c>
      <c r="G21" s="2">
        <v>21</v>
      </c>
      <c r="H21" s="2">
        <v>21</v>
      </c>
      <c r="I21" s="2">
        <v>0</v>
      </c>
      <c r="J21" s="2">
        <v>1</v>
      </c>
      <c r="K21" s="2">
        <v>27</v>
      </c>
      <c r="L21" s="2">
        <v>13</v>
      </c>
      <c r="M21" s="2"/>
      <c r="N21" s="2"/>
      <c r="O21" s="2"/>
      <c r="P21" s="2"/>
      <c r="Q21" s="2"/>
      <c r="R21" s="2"/>
      <c r="S21" s="2"/>
    </row>
    <row r="22" spans="2:19" ht="13.5" x14ac:dyDescent="0.15">
      <c r="B22" s="2">
        <v>20</v>
      </c>
      <c r="C22" s="7" t="s">
        <v>46</v>
      </c>
      <c r="D22" s="7" t="s">
        <v>39</v>
      </c>
      <c r="E22" s="2">
        <v>27</v>
      </c>
      <c r="F22" s="2">
        <v>33</v>
      </c>
      <c r="G22" s="2">
        <v>14</v>
      </c>
      <c r="H22" s="2">
        <v>12</v>
      </c>
      <c r="I22" s="2">
        <v>28</v>
      </c>
      <c r="J22" s="2">
        <v>3</v>
      </c>
      <c r="K22" s="2">
        <v>21</v>
      </c>
      <c r="L22" s="2">
        <v>16</v>
      </c>
      <c r="M22" s="2"/>
      <c r="N22" s="2"/>
      <c r="O22" s="2"/>
      <c r="P22" s="2"/>
      <c r="Q22" s="2"/>
      <c r="R22" s="2"/>
      <c r="S22" s="2"/>
    </row>
    <row r="23" spans="2:19" ht="13.5" x14ac:dyDescent="0.15">
      <c r="B23" s="2">
        <v>21</v>
      </c>
      <c r="C23" s="10" t="s">
        <v>47</v>
      </c>
      <c r="D23" s="10" t="s">
        <v>48</v>
      </c>
      <c r="E23" s="2">
        <v>24</v>
      </c>
      <c r="F23" s="2">
        <v>6</v>
      </c>
      <c r="G23" s="2">
        <v>14</v>
      </c>
      <c r="H23" s="2">
        <v>20</v>
      </c>
      <c r="I23" s="2">
        <v>0</v>
      </c>
      <c r="J23" s="2">
        <v>1</v>
      </c>
      <c r="K23" s="2">
        <v>24</v>
      </c>
      <c r="L23" s="2">
        <v>24</v>
      </c>
      <c r="M23" s="2"/>
      <c r="N23" s="2"/>
      <c r="O23" s="2"/>
      <c r="P23" s="2"/>
      <c r="Q23" s="2"/>
      <c r="R23" s="2"/>
      <c r="S23" s="2"/>
    </row>
    <row r="24" spans="2:19" ht="13.5" x14ac:dyDescent="0.15">
      <c r="B24" s="2">
        <v>22</v>
      </c>
      <c r="C24" s="7" t="s">
        <v>49</v>
      </c>
      <c r="D24" s="7" t="s">
        <v>50</v>
      </c>
      <c r="E24" s="2">
        <v>25</v>
      </c>
      <c r="F24" s="2">
        <v>12</v>
      </c>
      <c r="G24" s="2">
        <v>18</v>
      </c>
      <c r="H24" s="2">
        <v>6</v>
      </c>
      <c r="I24" s="2">
        <v>12</v>
      </c>
      <c r="J24" s="2">
        <v>12</v>
      </c>
      <c r="K24" s="2">
        <v>30</v>
      </c>
      <c r="L24" s="2">
        <v>21</v>
      </c>
      <c r="M24" s="2"/>
      <c r="N24" s="2"/>
      <c r="O24" s="2"/>
      <c r="P24" s="2"/>
      <c r="Q24" s="2"/>
      <c r="R24" s="2"/>
      <c r="S24" s="2"/>
    </row>
    <row r="25" spans="2:19" ht="13.5" x14ac:dyDescent="0.15">
      <c r="B25" s="2">
        <v>23</v>
      </c>
      <c r="C25" s="10" t="s">
        <v>49</v>
      </c>
      <c r="D25" s="7" t="s">
        <v>50</v>
      </c>
      <c r="E25" s="2">
        <v>25</v>
      </c>
      <c r="F25" s="2">
        <v>12</v>
      </c>
      <c r="G25" s="2">
        <v>12</v>
      </c>
      <c r="H25" s="2">
        <v>12</v>
      </c>
      <c r="I25" s="2">
        <v>18</v>
      </c>
      <c r="J25" s="2">
        <v>6</v>
      </c>
      <c r="K25" s="2">
        <v>21</v>
      </c>
      <c r="L25" s="2">
        <v>30</v>
      </c>
      <c r="M25" s="2"/>
      <c r="N25" s="2"/>
      <c r="O25" s="2"/>
      <c r="P25" s="2"/>
      <c r="Q25" s="2"/>
      <c r="R25" s="2"/>
      <c r="S25" s="2"/>
    </row>
    <row r="26" spans="2:19" ht="13.5" x14ac:dyDescent="0.15">
      <c r="B26" s="2">
        <v>24</v>
      </c>
      <c r="C26" s="7" t="s">
        <v>51</v>
      </c>
      <c r="D26" s="7" t="s">
        <v>52</v>
      </c>
      <c r="E26" s="2">
        <v>16</v>
      </c>
      <c r="F26" s="2">
        <v>9</v>
      </c>
      <c r="G26" s="2">
        <v>10</v>
      </c>
      <c r="H26" s="2">
        <v>10</v>
      </c>
      <c r="I26" s="2">
        <v>8</v>
      </c>
      <c r="J26" s="2">
        <v>5</v>
      </c>
      <c r="K26" s="2">
        <v>18</v>
      </c>
      <c r="L26" s="2">
        <v>18</v>
      </c>
      <c r="M26" s="2"/>
      <c r="N26" s="2"/>
      <c r="O26" s="2"/>
      <c r="P26" s="2"/>
      <c r="Q26" s="2"/>
      <c r="R26" s="2"/>
      <c r="S26" s="2"/>
    </row>
    <row r="27" spans="2:19" ht="13.5" x14ac:dyDescent="0.15">
      <c r="B27" s="2">
        <v>25</v>
      </c>
      <c r="C27" s="10" t="s">
        <v>53</v>
      </c>
      <c r="D27" s="10" t="s">
        <v>54</v>
      </c>
      <c r="E27" s="2">
        <v>22</v>
      </c>
      <c r="F27" s="2">
        <v>21</v>
      </c>
      <c r="G27" s="2">
        <v>10</v>
      </c>
      <c r="H27" s="2">
        <v>10</v>
      </c>
      <c r="I27" s="2">
        <v>21</v>
      </c>
      <c r="J27" s="2">
        <v>4</v>
      </c>
      <c r="K27" s="2">
        <v>21</v>
      </c>
      <c r="L27" s="2">
        <v>16</v>
      </c>
      <c r="M27" s="2"/>
      <c r="N27" s="2"/>
      <c r="O27" s="2"/>
      <c r="P27" s="2"/>
      <c r="Q27" s="2"/>
      <c r="R27" s="2"/>
      <c r="S27" s="2"/>
    </row>
    <row r="28" spans="2:19" ht="13.5" x14ac:dyDescent="0.15">
      <c r="B28" s="2">
        <v>26</v>
      </c>
      <c r="C28" s="7" t="s">
        <v>55</v>
      </c>
      <c r="D28" s="7" t="s">
        <v>50</v>
      </c>
      <c r="E28" s="2">
        <v>25</v>
      </c>
      <c r="F28" s="2">
        <v>12</v>
      </c>
      <c r="G28" s="2">
        <v>12</v>
      </c>
      <c r="H28" s="2">
        <v>12</v>
      </c>
      <c r="I28" s="2">
        <v>18</v>
      </c>
      <c r="J28" s="2">
        <v>6</v>
      </c>
      <c r="K28" s="2">
        <v>30</v>
      </c>
      <c r="L28" s="2">
        <v>21</v>
      </c>
      <c r="M28" s="2"/>
      <c r="N28" s="2"/>
      <c r="O28" s="2"/>
      <c r="P28" s="2"/>
      <c r="Q28" s="2"/>
      <c r="R28" s="2"/>
      <c r="S28" s="2"/>
    </row>
    <row r="29" spans="2:19" ht="13.5" x14ac:dyDescent="0.15">
      <c r="B29" s="2">
        <v>27</v>
      </c>
      <c r="C29" s="10" t="s">
        <v>56</v>
      </c>
      <c r="D29" s="7" t="s">
        <v>57</v>
      </c>
      <c r="E29" s="2">
        <v>25</v>
      </c>
      <c r="F29" s="2">
        <v>12</v>
      </c>
      <c r="G29" s="2">
        <v>10</v>
      </c>
      <c r="H29" s="2">
        <v>12</v>
      </c>
      <c r="I29" s="2">
        <v>25</v>
      </c>
      <c r="J29" s="2">
        <v>22</v>
      </c>
      <c r="K29" s="2">
        <v>16</v>
      </c>
      <c r="L29" s="2">
        <v>21</v>
      </c>
      <c r="M29" s="2"/>
      <c r="N29" s="2"/>
      <c r="O29" s="2"/>
      <c r="P29" s="2"/>
      <c r="Q29" s="2"/>
      <c r="R29" s="2"/>
      <c r="S29" s="2"/>
    </row>
    <row r="30" spans="2:19" ht="13.5" x14ac:dyDescent="0.15">
      <c r="B30" s="2">
        <v>28</v>
      </c>
      <c r="C30" s="7" t="s">
        <v>58</v>
      </c>
      <c r="D30" s="7" t="s">
        <v>39</v>
      </c>
      <c r="E30" s="2">
        <v>22</v>
      </c>
      <c r="F30" s="2">
        <v>15</v>
      </c>
      <c r="G30" s="2">
        <v>21</v>
      </c>
      <c r="H30" s="2">
        <v>21</v>
      </c>
      <c r="I30" s="2">
        <v>24</v>
      </c>
      <c r="J30" s="2">
        <v>18</v>
      </c>
      <c r="K30" s="2">
        <v>21</v>
      </c>
      <c r="L30" s="2">
        <v>16</v>
      </c>
      <c r="M30" s="2"/>
      <c r="N30" s="2"/>
      <c r="O30" s="2"/>
      <c r="P30" s="2"/>
      <c r="Q30" s="2"/>
      <c r="R30" s="2"/>
      <c r="S30" s="2"/>
    </row>
    <row r="31" spans="2:19" ht="13.5" x14ac:dyDescent="0.15">
      <c r="B31" s="2">
        <v>29</v>
      </c>
      <c r="C31" s="10" t="s">
        <v>59</v>
      </c>
      <c r="D31" s="10" t="s">
        <v>45</v>
      </c>
      <c r="E31" s="2">
        <v>27</v>
      </c>
      <c r="F31" s="2">
        <v>4</v>
      </c>
      <c r="G31" s="2">
        <v>21</v>
      </c>
      <c r="H31" s="2">
        <v>19</v>
      </c>
      <c r="I31" s="2">
        <v>5</v>
      </c>
      <c r="J31" s="2">
        <v>3</v>
      </c>
      <c r="K31" s="2">
        <v>27</v>
      </c>
      <c r="L31" s="2">
        <v>13</v>
      </c>
      <c r="M31" s="2"/>
      <c r="N31" s="2"/>
      <c r="O31" s="2"/>
      <c r="P31" s="2"/>
      <c r="Q31" s="2"/>
      <c r="R31" s="2"/>
      <c r="S31" s="2"/>
    </row>
    <row r="32" spans="2:19" ht="13.5" x14ac:dyDescent="0.15">
      <c r="B32" s="2">
        <v>30</v>
      </c>
      <c r="C32" s="7" t="s">
        <v>60</v>
      </c>
      <c r="D32" s="7" t="s">
        <v>13</v>
      </c>
      <c r="E32" s="2">
        <v>30</v>
      </c>
      <c r="F32" s="2">
        <v>3</v>
      </c>
      <c r="G32" s="2">
        <v>18</v>
      </c>
      <c r="H32" s="2">
        <v>16</v>
      </c>
      <c r="I32" s="2">
        <v>0</v>
      </c>
      <c r="J32" s="2">
        <v>1</v>
      </c>
      <c r="K32" s="2">
        <v>17</v>
      </c>
      <c r="L32" s="2">
        <v>15</v>
      </c>
      <c r="M32" s="2"/>
      <c r="N32" s="2"/>
      <c r="O32" s="2"/>
      <c r="P32" s="2"/>
      <c r="Q32" s="2"/>
      <c r="R32" s="2"/>
      <c r="S32" s="2"/>
    </row>
    <row r="33" spans="2:27" ht="13.5" x14ac:dyDescent="0.15">
      <c r="B33" s="2">
        <v>31</v>
      </c>
      <c r="C33" s="10" t="s">
        <v>61</v>
      </c>
      <c r="D33" s="10" t="s">
        <v>62</v>
      </c>
      <c r="E33" s="2">
        <v>27</v>
      </c>
      <c r="F33" s="2">
        <v>3</v>
      </c>
      <c r="G33" s="2">
        <v>18</v>
      </c>
      <c r="H33" s="2">
        <v>16</v>
      </c>
      <c r="I33" s="2">
        <v>0</v>
      </c>
      <c r="J33" s="2">
        <v>1</v>
      </c>
      <c r="K33" s="2">
        <v>17</v>
      </c>
      <c r="L33" s="2">
        <v>15</v>
      </c>
      <c r="M33" s="2"/>
      <c r="N33" s="2"/>
      <c r="O33" s="2"/>
      <c r="P33" s="2"/>
      <c r="Q33" s="2"/>
      <c r="R33" s="2"/>
      <c r="S33" s="2"/>
    </row>
    <row r="34" spans="2:27" x14ac:dyDescent="0.15">
      <c r="B34" s="2">
        <v>32</v>
      </c>
      <c r="C34" s="2" t="s">
        <v>12</v>
      </c>
      <c r="D34" s="2" t="s">
        <v>62</v>
      </c>
      <c r="E34" s="2">
        <f>INT(E4*1.5)</f>
        <v>39</v>
      </c>
      <c r="F34" s="2">
        <f t="shared" ref="F34:L34" si="0">INT(F4*1.5)</f>
        <v>6</v>
      </c>
      <c r="G34" s="2">
        <f t="shared" si="0"/>
        <v>27</v>
      </c>
      <c r="H34" s="2">
        <f t="shared" si="0"/>
        <v>27</v>
      </c>
      <c r="I34" s="2">
        <f t="shared" si="0"/>
        <v>0</v>
      </c>
      <c r="J34" s="2">
        <f t="shared" si="0"/>
        <v>1</v>
      </c>
      <c r="K34" s="2">
        <f t="shared" si="0"/>
        <v>6</v>
      </c>
      <c r="L34" s="2">
        <f t="shared" si="0"/>
        <v>7</v>
      </c>
      <c r="M34" s="2"/>
      <c r="N34" s="2"/>
      <c r="O34" s="2"/>
      <c r="P34" s="2"/>
      <c r="Q34" s="2"/>
      <c r="R34" s="2"/>
      <c r="S34" s="2"/>
    </row>
    <row r="35" spans="2:27" x14ac:dyDescent="0.15">
      <c r="B35" s="2">
        <v>33</v>
      </c>
      <c r="C35" s="2" t="s">
        <v>14</v>
      </c>
      <c r="D35" s="2" t="s">
        <v>24</v>
      </c>
      <c r="E35" s="2">
        <f t="shared" ref="E35:L36" si="1">INT(E5*1.5)</f>
        <v>27</v>
      </c>
      <c r="F35" s="2">
        <f t="shared" si="1"/>
        <v>27</v>
      </c>
      <c r="G35" s="2">
        <f t="shared" si="1"/>
        <v>6</v>
      </c>
      <c r="H35" s="2">
        <f t="shared" si="1"/>
        <v>6</v>
      </c>
      <c r="I35" s="2">
        <f t="shared" si="1"/>
        <v>27</v>
      </c>
      <c r="J35" s="2">
        <f t="shared" si="1"/>
        <v>3</v>
      </c>
      <c r="K35" s="2">
        <f t="shared" si="1"/>
        <v>27</v>
      </c>
      <c r="L35" s="2">
        <f t="shared" si="1"/>
        <v>21</v>
      </c>
      <c r="M35" s="2"/>
      <c r="N35" s="2"/>
      <c r="O35" s="2"/>
      <c r="P35" s="2"/>
      <c r="Q35" s="2"/>
      <c r="R35" s="2"/>
      <c r="S35" s="2"/>
    </row>
    <row r="36" spans="2:27" x14ac:dyDescent="0.15">
      <c r="B36" s="2">
        <v>34</v>
      </c>
      <c r="C36" s="2" t="s">
        <v>16</v>
      </c>
      <c r="D36" s="2" t="s">
        <v>28</v>
      </c>
      <c r="E36" s="2">
        <f t="shared" si="1"/>
        <v>25</v>
      </c>
      <c r="F36" s="2">
        <f t="shared" si="1"/>
        <v>0</v>
      </c>
      <c r="G36" s="2">
        <f t="shared" si="1"/>
        <v>33</v>
      </c>
      <c r="H36" s="2">
        <f t="shared" si="1"/>
        <v>3</v>
      </c>
      <c r="I36" s="2">
        <f t="shared" si="1"/>
        <v>0</v>
      </c>
      <c r="J36" s="2">
        <f t="shared" si="1"/>
        <v>7</v>
      </c>
      <c r="K36" s="2">
        <f t="shared" si="1"/>
        <v>22</v>
      </c>
      <c r="L36" s="2">
        <f t="shared" si="1"/>
        <v>22</v>
      </c>
      <c r="M36" s="2"/>
      <c r="N36" s="2"/>
      <c r="O36" s="2"/>
      <c r="P36" s="2"/>
      <c r="Q36" s="2"/>
      <c r="R36" s="2"/>
      <c r="S36" s="2"/>
    </row>
    <row r="37" spans="2:27" x14ac:dyDescent="0.15">
      <c r="B37" s="2">
        <v>35</v>
      </c>
      <c r="C37" s="2" t="s">
        <v>63</v>
      </c>
      <c r="D37" s="2" t="s">
        <v>26</v>
      </c>
      <c r="E37" s="2">
        <f>INT(E21*1.5)</f>
        <v>46</v>
      </c>
      <c r="F37" s="2">
        <f t="shared" ref="F37:L37" si="2">INT(F21*1.5)</f>
        <v>6</v>
      </c>
      <c r="G37" s="2">
        <f t="shared" si="2"/>
        <v>31</v>
      </c>
      <c r="H37" s="2">
        <f t="shared" si="2"/>
        <v>31</v>
      </c>
      <c r="I37" s="2">
        <f t="shared" si="2"/>
        <v>0</v>
      </c>
      <c r="J37" s="2">
        <f t="shared" si="2"/>
        <v>1</v>
      </c>
      <c r="K37" s="2">
        <f t="shared" si="2"/>
        <v>40</v>
      </c>
      <c r="L37" s="2">
        <f t="shared" si="2"/>
        <v>19</v>
      </c>
      <c r="M37" s="2"/>
      <c r="N37" s="2"/>
      <c r="O37" s="2"/>
      <c r="P37" s="2"/>
      <c r="Q37" s="2"/>
      <c r="R37" s="2"/>
      <c r="S37" s="2"/>
    </row>
    <row r="38" spans="2:27" x14ac:dyDescent="0.15">
      <c r="B38" s="2">
        <v>36</v>
      </c>
      <c r="C38" s="2" t="s">
        <v>64</v>
      </c>
      <c r="D38" s="2" t="s">
        <v>43</v>
      </c>
      <c r="E38" s="2">
        <f>INT(E20*1.5)</f>
        <v>36</v>
      </c>
      <c r="F38" s="2">
        <f t="shared" ref="F38:L38" si="3">INT(F20*1.5)</f>
        <v>21</v>
      </c>
      <c r="G38" s="2">
        <f t="shared" si="3"/>
        <v>15</v>
      </c>
      <c r="H38" s="2">
        <f t="shared" si="3"/>
        <v>21</v>
      </c>
      <c r="I38" s="2">
        <f t="shared" si="3"/>
        <v>21</v>
      </c>
      <c r="J38" s="2">
        <f t="shared" si="3"/>
        <v>7</v>
      </c>
      <c r="K38" s="2">
        <f t="shared" si="3"/>
        <v>36</v>
      </c>
      <c r="L38" s="2">
        <f t="shared" si="3"/>
        <v>36</v>
      </c>
      <c r="M38" s="2"/>
      <c r="N38" s="2"/>
      <c r="O38" s="2"/>
      <c r="P38" s="2"/>
      <c r="Q38" s="2"/>
      <c r="R38" s="2"/>
      <c r="S38" s="2"/>
    </row>
    <row r="39" spans="2:27" x14ac:dyDescent="0.15">
      <c r="B39" s="2">
        <v>37</v>
      </c>
      <c r="C39" s="2" t="s">
        <v>65</v>
      </c>
      <c r="D39" s="2" t="s">
        <v>39</v>
      </c>
      <c r="E39" s="2">
        <f>INT(E30*1.5)</f>
        <v>33</v>
      </c>
      <c r="F39" s="2">
        <f t="shared" ref="F39:L39" si="4">INT(F30*1.5)</f>
        <v>22</v>
      </c>
      <c r="G39" s="2">
        <f t="shared" si="4"/>
        <v>31</v>
      </c>
      <c r="H39" s="2">
        <f t="shared" si="4"/>
        <v>31</v>
      </c>
      <c r="I39" s="2">
        <f t="shared" si="4"/>
        <v>36</v>
      </c>
      <c r="J39" s="2">
        <f t="shared" si="4"/>
        <v>27</v>
      </c>
      <c r="K39" s="2">
        <f t="shared" si="4"/>
        <v>31</v>
      </c>
      <c r="L39" s="2">
        <f t="shared" si="4"/>
        <v>24</v>
      </c>
      <c r="M39" s="2"/>
      <c r="N39" s="2"/>
      <c r="O39" s="2"/>
      <c r="P39" s="2"/>
      <c r="Q39" s="2"/>
      <c r="R39" s="2"/>
      <c r="S39" s="2"/>
    </row>
    <row r="43" spans="2:27" x14ac:dyDescent="0.15">
      <c r="B43" s="4" t="s">
        <v>66</v>
      </c>
      <c r="C43" s="12" t="s">
        <v>78</v>
      </c>
      <c r="D43" s="5" t="s">
        <v>79</v>
      </c>
      <c r="E43" s="4" t="s">
        <v>2</v>
      </c>
      <c r="F43" s="4" t="s">
        <v>3</v>
      </c>
      <c r="G43" s="6" t="s">
        <v>80</v>
      </c>
      <c r="H43" s="6" t="s">
        <v>81</v>
      </c>
      <c r="I43" s="6" t="s">
        <v>82</v>
      </c>
      <c r="J43" s="5" t="s">
        <v>83</v>
      </c>
      <c r="K43" s="4" t="s">
        <v>84</v>
      </c>
      <c r="L43" s="4" t="s">
        <v>85</v>
      </c>
      <c r="M43" s="11" t="s">
        <v>86</v>
      </c>
      <c r="N43" s="11" t="s">
        <v>68</v>
      </c>
      <c r="O43" s="11" t="s">
        <v>87</v>
      </c>
      <c r="P43" s="11" t="s">
        <v>88</v>
      </c>
      <c r="Q43" s="11" t="s">
        <v>71</v>
      </c>
      <c r="R43" s="11" t="s">
        <v>89</v>
      </c>
      <c r="S43" s="11" t="s">
        <v>73</v>
      </c>
      <c r="T43" s="1" t="s">
        <v>152</v>
      </c>
      <c r="U43" s="1" t="s">
        <v>154</v>
      </c>
      <c r="V43" s="16" t="s">
        <v>155</v>
      </c>
      <c r="W43" s="1" t="s">
        <v>153</v>
      </c>
      <c r="X43" s="1" t="s">
        <v>156</v>
      </c>
      <c r="Y43" s="1" t="s">
        <v>157</v>
      </c>
    </row>
    <row r="44" spans="2:27" ht="13.5" x14ac:dyDescent="0.15">
      <c r="B44" s="2">
        <v>1</v>
      </c>
      <c r="C44" s="7" t="s">
        <v>10</v>
      </c>
      <c r="D44" s="7" t="s">
        <v>90</v>
      </c>
      <c r="E44" s="2">
        <v>6</v>
      </c>
      <c r="F44" s="2">
        <v>1.2</v>
      </c>
      <c r="G44" s="2">
        <v>4.5</v>
      </c>
      <c r="H44" s="2">
        <v>1</v>
      </c>
      <c r="I44" s="2">
        <v>4.5</v>
      </c>
      <c r="J44" s="2">
        <v>1</v>
      </c>
      <c r="K44" s="2">
        <v>2</v>
      </c>
      <c r="L44" s="2">
        <v>2</v>
      </c>
      <c r="M44" s="2"/>
      <c r="N44" s="2"/>
      <c r="O44" s="2"/>
      <c r="P44" s="2"/>
      <c r="Q44" s="2"/>
      <c r="R44" s="2"/>
      <c r="S44" s="2"/>
      <c r="T44" s="1">
        <f>E44+H44/4+(J44/4)*2.5</f>
        <v>6.875</v>
      </c>
      <c r="U44" s="1">
        <f>L44/(L44+1*2)</f>
        <v>0.5</v>
      </c>
      <c r="V44" s="1">
        <f>2/(K44+2)</f>
        <v>0.5</v>
      </c>
      <c r="W44" s="1">
        <f>(G44/2+I44*2.5/2)/2</f>
        <v>3.9375</v>
      </c>
      <c r="X44" s="1">
        <f>T44/V44</f>
        <v>13.75</v>
      </c>
      <c r="Y44" s="1">
        <f>W44*U44</f>
        <v>1.96875</v>
      </c>
      <c r="Z44" s="1">
        <f>X45/Y44</f>
        <v>8.6349206349206344</v>
      </c>
      <c r="AA44" s="1">
        <f>X44/Y45</f>
        <v>7.8571428571428568</v>
      </c>
    </row>
    <row r="45" spans="2:27" ht="13.5" x14ac:dyDescent="0.15">
      <c r="B45" s="2">
        <v>2</v>
      </c>
      <c r="C45" s="8" t="s">
        <v>12</v>
      </c>
      <c r="D45" s="8" t="s">
        <v>91</v>
      </c>
      <c r="E45" s="3">
        <v>5</v>
      </c>
      <c r="F45" s="3">
        <v>1.2</v>
      </c>
      <c r="G45" s="3">
        <v>4</v>
      </c>
      <c r="H45" s="3">
        <v>4</v>
      </c>
      <c r="I45" s="3">
        <v>4</v>
      </c>
      <c r="J45" s="3">
        <v>4</v>
      </c>
      <c r="K45" s="3">
        <v>2</v>
      </c>
      <c r="L45" s="3">
        <v>2</v>
      </c>
      <c r="M45" s="2"/>
      <c r="N45" s="2"/>
      <c r="O45" s="2"/>
      <c r="P45" s="2"/>
      <c r="Q45" s="2"/>
      <c r="R45" s="2"/>
      <c r="S45" s="2"/>
      <c r="T45" s="1">
        <f t="shared" ref="T45:T80" si="5">E45+H45/4+(J45/4)*2.5</f>
        <v>8.5</v>
      </c>
      <c r="U45" s="1">
        <f t="shared" ref="U45:U80" si="6">L45/(L45+1*2)</f>
        <v>0.5</v>
      </c>
      <c r="V45" s="1">
        <f t="shared" ref="V45:V80" si="7">2/(K45+2)</f>
        <v>0.5</v>
      </c>
      <c r="W45" s="1">
        <f t="shared" ref="W45:W80" si="8">(G45/2+I45*2.5/2)/2</f>
        <v>3.5</v>
      </c>
      <c r="X45" s="1">
        <f t="shared" ref="X45:X80" si="9">T45/V45</f>
        <v>17</v>
      </c>
      <c r="Y45" s="1">
        <f t="shared" ref="Y45:Y80" si="10">W45*U45</f>
        <v>1.75</v>
      </c>
      <c r="Z45" s="1">
        <f t="shared" ref="Z45:Z79" si="11">X46/Y45</f>
        <v>7.8964285714285714</v>
      </c>
      <c r="AA45" s="1">
        <f t="shared" ref="AA45:AA79" si="12">X45/Y46</f>
        <v>6.0444444444444443</v>
      </c>
    </row>
    <row r="46" spans="2:27" ht="13.5" x14ac:dyDescent="0.15">
      <c r="B46" s="2">
        <v>3</v>
      </c>
      <c r="C46" s="9" t="s">
        <v>14</v>
      </c>
      <c r="D46" s="9" t="s">
        <v>92</v>
      </c>
      <c r="E46" s="3">
        <v>4.25</v>
      </c>
      <c r="F46" s="3">
        <v>1.7</v>
      </c>
      <c r="G46" s="3">
        <v>2.5</v>
      </c>
      <c r="H46" s="3">
        <v>4</v>
      </c>
      <c r="I46" s="3">
        <v>6.5</v>
      </c>
      <c r="J46" s="3">
        <v>5</v>
      </c>
      <c r="K46" s="3">
        <v>1.3</v>
      </c>
      <c r="L46" s="3">
        <v>3</v>
      </c>
      <c r="M46" s="2"/>
      <c r="N46" s="2"/>
      <c r="O46" s="2"/>
      <c r="P46" s="2"/>
      <c r="Q46" s="2"/>
      <c r="R46" s="2"/>
      <c r="S46" s="2"/>
      <c r="T46" s="1">
        <f t="shared" si="5"/>
        <v>8.375</v>
      </c>
      <c r="U46" s="1">
        <f t="shared" si="6"/>
        <v>0.6</v>
      </c>
      <c r="V46" s="1">
        <f t="shared" si="7"/>
        <v>0.60606060606060608</v>
      </c>
      <c r="W46" s="1">
        <f t="shared" si="8"/>
        <v>4.6875</v>
      </c>
      <c r="X46" s="1">
        <f t="shared" si="9"/>
        <v>13.81875</v>
      </c>
      <c r="Y46" s="1">
        <f t="shared" si="10"/>
        <v>2.8125</v>
      </c>
      <c r="Z46" s="1">
        <f t="shared" si="11"/>
        <v>7.9733333333333336</v>
      </c>
      <c r="AA46" s="1">
        <f t="shared" si="12"/>
        <v>9.820768307322929</v>
      </c>
    </row>
    <row r="47" spans="2:27" ht="13.5" x14ac:dyDescent="0.15">
      <c r="B47" s="2">
        <v>4</v>
      </c>
      <c r="C47" s="8" t="s">
        <v>16</v>
      </c>
      <c r="D47" s="8" t="s">
        <v>93</v>
      </c>
      <c r="E47" s="3">
        <v>4.25</v>
      </c>
      <c r="F47" s="3">
        <v>1</v>
      </c>
      <c r="G47" s="3">
        <v>6</v>
      </c>
      <c r="H47" s="3">
        <v>5</v>
      </c>
      <c r="I47" s="3">
        <v>2.5</v>
      </c>
      <c r="J47" s="3">
        <v>5</v>
      </c>
      <c r="K47" s="3">
        <v>3.2</v>
      </c>
      <c r="L47" s="3">
        <v>1.7</v>
      </c>
      <c r="M47" s="2"/>
      <c r="N47" s="2"/>
      <c r="O47" s="2"/>
      <c r="P47" s="2"/>
      <c r="Q47" s="2"/>
      <c r="R47" s="2"/>
      <c r="S47" s="2"/>
      <c r="T47" s="1">
        <f t="shared" si="5"/>
        <v>8.625</v>
      </c>
      <c r="U47" s="1">
        <f t="shared" si="6"/>
        <v>0.45945945945945943</v>
      </c>
      <c r="V47" s="1">
        <f t="shared" si="7"/>
        <v>0.38461538461538458</v>
      </c>
      <c r="W47" s="1">
        <f t="shared" si="8"/>
        <v>3.0625</v>
      </c>
      <c r="X47" s="1">
        <f t="shared" si="9"/>
        <v>22.425000000000001</v>
      </c>
      <c r="Y47" s="1">
        <f t="shared" si="10"/>
        <v>1.4070945945945945</v>
      </c>
      <c r="Z47" s="1">
        <f t="shared" si="11"/>
        <v>7.2845138055222094</v>
      </c>
      <c r="AA47" s="1">
        <f t="shared" si="12"/>
        <v>7.1760000000000002</v>
      </c>
    </row>
    <row r="48" spans="2:27" ht="13.5" x14ac:dyDescent="0.15">
      <c r="B48" s="2">
        <v>5</v>
      </c>
      <c r="C48" s="7" t="s">
        <v>18</v>
      </c>
      <c r="D48" s="7" t="s">
        <v>90</v>
      </c>
      <c r="E48" s="2">
        <v>4.25</v>
      </c>
      <c r="F48" s="2">
        <v>1.2</v>
      </c>
      <c r="G48" s="2">
        <v>5</v>
      </c>
      <c r="H48" s="2">
        <v>1</v>
      </c>
      <c r="I48" s="2">
        <v>5</v>
      </c>
      <c r="J48" s="2">
        <v>1</v>
      </c>
      <c r="K48" s="2">
        <v>2</v>
      </c>
      <c r="L48" s="2">
        <v>5</v>
      </c>
      <c r="M48" s="2"/>
      <c r="N48" s="2"/>
      <c r="O48" s="2"/>
      <c r="P48" s="2"/>
      <c r="Q48" s="2"/>
      <c r="R48" s="2"/>
      <c r="S48" s="2"/>
      <c r="T48" s="1">
        <f t="shared" si="5"/>
        <v>5.125</v>
      </c>
      <c r="U48" s="1">
        <f t="shared" si="6"/>
        <v>0.7142857142857143</v>
      </c>
      <c r="V48" s="1">
        <f t="shared" si="7"/>
        <v>0.5</v>
      </c>
      <c r="W48" s="1">
        <f t="shared" si="8"/>
        <v>4.375</v>
      </c>
      <c r="X48" s="1">
        <f t="shared" si="9"/>
        <v>10.25</v>
      </c>
      <c r="Y48" s="1">
        <f t="shared" si="10"/>
        <v>3.125</v>
      </c>
      <c r="Z48" s="1">
        <f t="shared" si="11"/>
        <v>6.4</v>
      </c>
      <c r="AA48" s="1">
        <f t="shared" si="12"/>
        <v>8.1999999999999993</v>
      </c>
    </row>
    <row r="49" spans="2:27" ht="13.5" x14ac:dyDescent="0.15">
      <c r="B49" s="2">
        <v>6</v>
      </c>
      <c r="C49" s="10" t="s">
        <v>20</v>
      </c>
      <c r="D49" s="7" t="s">
        <v>94</v>
      </c>
      <c r="E49" s="2">
        <v>5</v>
      </c>
      <c r="F49" s="2">
        <v>1</v>
      </c>
      <c r="G49" s="2">
        <v>5</v>
      </c>
      <c r="H49" s="2">
        <v>2</v>
      </c>
      <c r="I49" s="2">
        <v>4</v>
      </c>
      <c r="J49" s="2">
        <v>4</v>
      </c>
      <c r="K49" s="2">
        <v>3</v>
      </c>
      <c r="L49" s="2">
        <v>1</v>
      </c>
      <c r="M49" s="2"/>
      <c r="N49" s="2"/>
      <c r="O49" s="2"/>
      <c r="P49" s="2"/>
      <c r="Q49" s="2"/>
      <c r="R49" s="2"/>
      <c r="S49" s="2"/>
      <c r="T49" s="1">
        <f t="shared" si="5"/>
        <v>8</v>
      </c>
      <c r="U49" s="1">
        <f t="shared" si="6"/>
        <v>0.33333333333333331</v>
      </c>
      <c r="V49" s="1">
        <f t="shared" si="7"/>
        <v>0.4</v>
      </c>
      <c r="W49" s="1">
        <f t="shared" si="8"/>
        <v>3.75</v>
      </c>
      <c r="X49" s="1">
        <f t="shared" si="9"/>
        <v>20</v>
      </c>
      <c r="Y49" s="1">
        <f t="shared" si="10"/>
        <v>1.25</v>
      </c>
      <c r="Z49" s="1">
        <f t="shared" si="11"/>
        <v>11.385</v>
      </c>
      <c r="AA49" s="1">
        <f t="shared" si="12"/>
        <v>7.6190476190476186</v>
      </c>
    </row>
    <row r="50" spans="2:27" ht="13.5" x14ac:dyDescent="0.15">
      <c r="B50" s="2">
        <v>7</v>
      </c>
      <c r="C50" s="10" t="s">
        <v>21</v>
      </c>
      <c r="D50" s="10" t="s">
        <v>95</v>
      </c>
      <c r="E50" s="2">
        <v>4.75</v>
      </c>
      <c r="F50" s="2">
        <v>1.4</v>
      </c>
      <c r="G50" s="2">
        <v>2.5</v>
      </c>
      <c r="H50" s="2">
        <v>3</v>
      </c>
      <c r="I50" s="2">
        <v>6</v>
      </c>
      <c r="J50" s="2">
        <v>5</v>
      </c>
      <c r="K50" s="2">
        <v>1.3</v>
      </c>
      <c r="L50" s="2">
        <v>3</v>
      </c>
      <c r="M50" s="2"/>
      <c r="N50" s="2"/>
      <c r="O50" s="2"/>
      <c r="P50" s="2"/>
      <c r="Q50" s="2"/>
      <c r="R50" s="2"/>
      <c r="S50" s="2"/>
      <c r="T50" s="1">
        <f t="shared" si="5"/>
        <v>8.625</v>
      </c>
      <c r="U50" s="1">
        <f t="shared" si="6"/>
        <v>0.6</v>
      </c>
      <c r="V50" s="1">
        <f t="shared" si="7"/>
        <v>0.60606060606060608</v>
      </c>
      <c r="W50" s="1">
        <f t="shared" si="8"/>
        <v>4.375</v>
      </c>
      <c r="X50" s="1">
        <f t="shared" si="9"/>
        <v>14.231249999999999</v>
      </c>
      <c r="Y50" s="1">
        <f t="shared" si="10"/>
        <v>2.625</v>
      </c>
      <c r="Z50" s="1">
        <f t="shared" si="11"/>
        <v>5.2642857142857142</v>
      </c>
      <c r="AA50" s="1">
        <f t="shared" si="12"/>
        <v>5.0599999999999996</v>
      </c>
    </row>
    <row r="51" spans="2:27" ht="13.5" x14ac:dyDescent="0.15">
      <c r="B51" s="2">
        <v>8</v>
      </c>
      <c r="C51" s="7" t="s">
        <v>23</v>
      </c>
      <c r="D51" s="7" t="s">
        <v>92</v>
      </c>
      <c r="E51" s="2">
        <v>4.25</v>
      </c>
      <c r="F51" s="2">
        <v>1.7</v>
      </c>
      <c r="G51" s="2">
        <v>2.5</v>
      </c>
      <c r="H51" s="2">
        <v>4</v>
      </c>
      <c r="I51" s="2">
        <v>6.5</v>
      </c>
      <c r="J51" s="2">
        <v>5</v>
      </c>
      <c r="K51" s="2">
        <v>1.3</v>
      </c>
      <c r="L51" s="2">
        <v>3</v>
      </c>
      <c r="M51" s="2"/>
      <c r="N51" s="2"/>
      <c r="O51" s="2"/>
      <c r="P51" s="2"/>
      <c r="Q51" s="2"/>
      <c r="R51" s="2"/>
      <c r="S51" s="2"/>
      <c r="T51" s="1">
        <f t="shared" si="5"/>
        <v>8.375</v>
      </c>
      <c r="U51" s="1">
        <f t="shared" si="6"/>
        <v>0.6</v>
      </c>
      <c r="V51" s="1">
        <f t="shared" si="7"/>
        <v>0.60606060606060608</v>
      </c>
      <c r="W51" s="1">
        <f t="shared" si="8"/>
        <v>4.6875</v>
      </c>
      <c r="X51" s="1">
        <f t="shared" si="9"/>
        <v>13.81875</v>
      </c>
      <c r="Y51" s="1">
        <f t="shared" si="10"/>
        <v>2.8125</v>
      </c>
      <c r="Z51" s="1">
        <f t="shared" si="11"/>
        <v>7.7777777777777777</v>
      </c>
      <c r="AA51" s="1">
        <f t="shared" si="12"/>
        <v>6.3534482758620694</v>
      </c>
    </row>
    <row r="52" spans="2:27" ht="13.5" x14ac:dyDescent="0.15">
      <c r="B52" s="2">
        <v>9</v>
      </c>
      <c r="C52" s="10" t="s">
        <v>25</v>
      </c>
      <c r="D52" s="10" t="s">
        <v>96</v>
      </c>
      <c r="E52" s="2">
        <v>5.25</v>
      </c>
      <c r="F52" s="2">
        <v>1.2</v>
      </c>
      <c r="G52" s="2">
        <v>4.5</v>
      </c>
      <c r="H52" s="2">
        <v>4</v>
      </c>
      <c r="I52" s="2">
        <v>4</v>
      </c>
      <c r="J52" s="2">
        <v>4</v>
      </c>
      <c r="K52" s="2">
        <v>3</v>
      </c>
      <c r="L52" s="2">
        <v>3</v>
      </c>
      <c r="M52" s="2"/>
      <c r="N52" s="2"/>
      <c r="O52" s="2"/>
      <c r="P52" s="2"/>
      <c r="Q52" s="2"/>
      <c r="R52" s="2"/>
      <c r="S52" s="2"/>
      <c r="T52" s="1">
        <f t="shared" si="5"/>
        <v>8.75</v>
      </c>
      <c r="U52" s="1">
        <f t="shared" si="6"/>
        <v>0.6</v>
      </c>
      <c r="V52" s="1">
        <f t="shared" si="7"/>
        <v>0.4</v>
      </c>
      <c r="W52" s="1">
        <f t="shared" si="8"/>
        <v>3.625</v>
      </c>
      <c r="X52" s="1">
        <f t="shared" si="9"/>
        <v>21.875</v>
      </c>
      <c r="Y52" s="1">
        <f t="shared" si="10"/>
        <v>2.1749999999999998</v>
      </c>
      <c r="Z52" s="1">
        <f t="shared" si="11"/>
        <v>11.551724137931036</v>
      </c>
      <c r="AA52" s="1">
        <f t="shared" si="12"/>
        <v>12.352941176470587</v>
      </c>
    </row>
    <row r="53" spans="2:27" ht="13.5" x14ac:dyDescent="0.15">
      <c r="B53" s="2">
        <v>10</v>
      </c>
      <c r="C53" s="7" t="s">
        <v>27</v>
      </c>
      <c r="D53" s="7" t="s">
        <v>97</v>
      </c>
      <c r="E53" s="2">
        <v>4</v>
      </c>
      <c r="F53" s="2">
        <v>1</v>
      </c>
      <c r="G53" s="2">
        <v>6.5</v>
      </c>
      <c r="H53" s="2">
        <v>5</v>
      </c>
      <c r="I53" s="2">
        <v>2.5</v>
      </c>
      <c r="J53" s="2">
        <v>5</v>
      </c>
      <c r="K53" s="2">
        <v>4</v>
      </c>
      <c r="L53" s="2">
        <v>2.5</v>
      </c>
      <c r="M53" s="2"/>
      <c r="N53" s="2"/>
      <c r="O53" s="2"/>
      <c r="P53" s="2"/>
      <c r="Q53" s="2"/>
      <c r="R53" s="2"/>
      <c r="S53" s="2"/>
      <c r="T53" s="1">
        <f t="shared" si="5"/>
        <v>8.375</v>
      </c>
      <c r="U53" s="1">
        <f t="shared" si="6"/>
        <v>0.55555555555555558</v>
      </c>
      <c r="V53" s="1">
        <f t="shared" si="7"/>
        <v>0.33333333333333331</v>
      </c>
      <c r="W53" s="1">
        <f t="shared" si="8"/>
        <v>3.1875</v>
      </c>
      <c r="X53" s="1">
        <f t="shared" si="9"/>
        <v>25.125</v>
      </c>
      <c r="Y53" s="1">
        <f t="shared" si="10"/>
        <v>1.7708333333333335</v>
      </c>
      <c r="Z53" s="1">
        <f t="shared" si="11"/>
        <v>10.023529411764706</v>
      </c>
      <c r="AA53" s="1">
        <f t="shared" si="12"/>
        <v>12.181818181818182</v>
      </c>
    </row>
    <row r="54" spans="2:27" ht="13.5" x14ac:dyDescent="0.15">
      <c r="B54" s="2">
        <v>11</v>
      </c>
      <c r="C54" s="10" t="s">
        <v>29</v>
      </c>
      <c r="D54" s="10" t="s">
        <v>98</v>
      </c>
      <c r="E54" s="2">
        <v>5</v>
      </c>
      <c r="F54" s="2">
        <v>1.4</v>
      </c>
      <c r="G54" s="2">
        <v>4</v>
      </c>
      <c r="H54" s="2">
        <v>3</v>
      </c>
      <c r="I54" s="2">
        <v>5</v>
      </c>
      <c r="J54" s="2">
        <v>5</v>
      </c>
      <c r="K54" s="2">
        <v>2</v>
      </c>
      <c r="L54" s="2">
        <v>2</v>
      </c>
      <c r="M54" s="2"/>
      <c r="N54" s="2"/>
      <c r="O54" s="2"/>
      <c r="P54" s="2"/>
      <c r="Q54" s="2"/>
      <c r="R54" s="2"/>
      <c r="S54" s="2"/>
      <c r="T54" s="1">
        <f t="shared" si="5"/>
        <v>8.875</v>
      </c>
      <c r="U54" s="1">
        <f t="shared" si="6"/>
        <v>0.5</v>
      </c>
      <c r="V54" s="1">
        <f t="shared" si="7"/>
        <v>0.5</v>
      </c>
      <c r="W54" s="1">
        <f t="shared" si="8"/>
        <v>4.125</v>
      </c>
      <c r="X54" s="1">
        <f t="shared" si="9"/>
        <v>17.75</v>
      </c>
      <c r="Y54" s="1">
        <f t="shared" si="10"/>
        <v>2.0625</v>
      </c>
      <c r="Z54" s="1">
        <f t="shared" si="11"/>
        <v>8.3636363636363633</v>
      </c>
      <c r="AA54" s="1">
        <f t="shared" si="12"/>
        <v>7.952</v>
      </c>
    </row>
    <row r="55" spans="2:27" ht="13.5" x14ac:dyDescent="0.15">
      <c r="B55" s="2">
        <v>12</v>
      </c>
      <c r="C55" s="7" t="s">
        <v>31</v>
      </c>
      <c r="D55" s="7" t="s">
        <v>32</v>
      </c>
      <c r="E55" s="2">
        <v>5</v>
      </c>
      <c r="F55" s="2">
        <v>1</v>
      </c>
      <c r="G55" s="2">
        <v>5</v>
      </c>
      <c r="H55" s="2">
        <v>2</v>
      </c>
      <c r="I55" s="2">
        <v>3</v>
      </c>
      <c r="J55" s="2">
        <v>5</v>
      </c>
      <c r="K55" s="2">
        <v>2</v>
      </c>
      <c r="L55" s="2">
        <v>5</v>
      </c>
      <c r="M55" s="2"/>
      <c r="N55" s="2"/>
      <c r="O55" s="2"/>
      <c r="P55" s="2"/>
      <c r="Q55" s="2"/>
      <c r="R55" s="2"/>
      <c r="S55" s="2"/>
      <c r="T55" s="1">
        <f t="shared" si="5"/>
        <v>8.625</v>
      </c>
      <c r="U55" s="1">
        <f t="shared" si="6"/>
        <v>0.7142857142857143</v>
      </c>
      <c r="V55" s="1">
        <f t="shared" si="7"/>
        <v>0.5</v>
      </c>
      <c r="W55" s="1">
        <f t="shared" si="8"/>
        <v>3.125</v>
      </c>
      <c r="X55" s="1">
        <f t="shared" si="9"/>
        <v>17.25</v>
      </c>
      <c r="Y55" s="1">
        <f t="shared" si="10"/>
        <v>2.2321428571428572</v>
      </c>
      <c r="Z55" s="1">
        <f t="shared" si="11"/>
        <v>10.0464</v>
      </c>
      <c r="AA55" s="1">
        <f t="shared" si="12"/>
        <v>12.259303721488596</v>
      </c>
    </row>
    <row r="56" spans="2:27" ht="13.5" x14ac:dyDescent="0.15">
      <c r="B56" s="2">
        <v>13</v>
      </c>
      <c r="C56" s="10" t="s">
        <v>33</v>
      </c>
      <c r="D56" s="10" t="s">
        <v>93</v>
      </c>
      <c r="E56" s="2">
        <v>4.25</v>
      </c>
      <c r="F56" s="2">
        <v>1</v>
      </c>
      <c r="G56" s="2">
        <v>6</v>
      </c>
      <c r="H56" s="2">
        <v>5</v>
      </c>
      <c r="I56" s="2">
        <v>2.5</v>
      </c>
      <c r="J56" s="2">
        <v>5</v>
      </c>
      <c r="K56" s="2">
        <v>3.2</v>
      </c>
      <c r="L56" s="2">
        <v>1.7</v>
      </c>
      <c r="M56" s="2"/>
      <c r="N56" s="2"/>
      <c r="O56" s="2"/>
      <c r="P56" s="2"/>
      <c r="Q56" s="2"/>
      <c r="R56" s="2"/>
      <c r="S56" s="2"/>
      <c r="T56" s="1">
        <f t="shared" si="5"/>
        <v>8.625</v>
      </c>
      <c r="U56" s="1">
        <f t="shared" si="6"/>
        <v>0.45945945945945943</v>
      </c>
      <c r="V56" s="1">
        <f t="shared" si="7"/>
        <v>0.38461538461538458</v>
      </c>
      <c r="W56" s="1">
        <f t="shared" si="8"/>
        <v>3.0625</v>
      </c>
      <c r="X56" s="1">
        <f t="shared" si="9"/>
        <v>22.425000000000001</v>
      </c>
      <c r="Y56" s="1">
        <f t="shared" si="10"/>
        <v>1.4070945945945945</v>
      </c>
      <c r="Z56" s="1">
        <f t="shared" si="11"/>
        <v>15.102040816326532</v>
      </c>
      <c r="AA56" s="1">
        <f t="shared" si="12"/>
        <v>11.96</v>
      </c>
    </row>
    <row r="57" spans="2:27" ht="13.5" x14ac:dyDescent="0.15">
      <c r="B57" s="2">
        <v>14</v>
      </c>
      <c r="C57" s="7" t="s">
        <v>34</v>
      </c>
      <c r="D57" s="7" t="s">
        <v>99</v>
      </c>
      <c r="E57" s="2">
        <v>5</v>
      </c>
      <c r="F57" s="2">
        <v>1.2</v>
      </c>
      <c r="G57" s="2">
        <v>5</v>
      </c>
      <c r="H57" s="2">
        <v>4</v>
      </c>
      <c r="I57" s="2">
        <v>3</v>
      </c>
      <c r="J57" s="2">
        <v>4</v>
      </c>
      <c r="K57" s="2">
        <v>3</v>
      </c>
      <c r="L57" s="2">
        <v>3</v>
      </c>
      <c r="M57" s="2"/>
      <c r="N57" s="2"/>
      <c r="O57" s="2"/>
      <c r="P57" s="2"/>
      <c r="Q57" s="2"/>
      <c r="R57" s="2"/>
      <c r="S57" s="2"/>
      <c r="T57" s="1">
        <f t="shared" si="5"/>
        <v>8.5</v>
      </c>
      <c r="U57" s="1">
        <f t="shared" si="6"/>
        <v>0.6</v>
      </c>
      <c r="V57" s="1">
        <f t="shared" si="7"/>
        <v>0.4</v>
      </c>
      <c r="W57" s="1">
        <f t="shared" si="8"/>
        <v>3.125</v>
      </c>
      <c r="X57" s="1">
        <f t="shared" si="9"/>
        <v>21.25</v>
      </c>
      <c r="Y57" s="1">
        <f t="shared" si="10"/>
        <v>1.875</v>
      </c>
      <c r="Z57" s="1">
        <f t="shared" si="11"/>
        <v>16.266666666666666</v>
      </c>
      <c r="AA57" s="1">
        <f t="shared" si="12"/>
        <v>10.793650793650794</v>
      </c>
    </row>
    <row r="58" spans="2:27" ht="13.5" x14ac:dyDescent="0.15">
      <c r="B58" s="2">
        <v>15</v>
      </c>
      <c r="C58" s="10" t="s">
        <v>36</v>
      </c>
      <c r="D58" s="10" t="s">
        <v>74</v>
      </c>
      <c r="E58" s="2">
        <v>5</v>
      </c>
      <c r="F58" s="2">
        <v>1.2</v>
      </c>
      <c r="G58" s="2">
        <v>3</v>
      </c>
      <c r="H58" s="2">
        <v>3</v>
      </c>
      <c r="I58" s="2">
        <v>3</v>
      </c>
      <c r="J58" s="2">
        <v>3</v>
      </c>
      <c r="K58" s="2">
        <v>6</v>
      </c>
      <c r="L58" s="2">
        <v>6</v>
      </c>
      <c r="M58" s="2"/>
      <c r="N58" s="2"/>
      <c r="O58" s="2"/>
      <c r="P58" s="2"/>
      <c r="Q58" s="2"/>
      <c r="R58" s="2"/>
      <c r="S58" s="2"/>
      <c r="T58" s="1">
        <f t="shared" si="5"/>
        <v>7.625</v>
      </c>
      <c r="U58" s="1">
        <f t="shared" si="6"/>
        <v>0.75</v>
      </c>
      <c r="V58" s="1">
        <f t="shared" si="7"/>
        <v>0.25</v>
      </c>
      <c r="W58" s="1">
        <f t="shared" si="8"/>
        <v>2.625</v>
      </c>
      <c r="X58" s="1">
        <f t="shared" si="9"/>
        <v>30.5</v>
      </c>
      <c r="Y58" s="1">
        <f t="shared" si="10"/>
        <v>1.96875</v>
      </c>
      <c r="Z58" s="1">
        <f t="shared" si="11"/>
        <v>8.6349206349206344</v>
      </c>
      <c r="AA58" s="1">
        <f t="shared" si="12"/>
        <v>12.323232323232324</v>
      </c>
    </row>
    <row r="59" spans="2:27" ht="13.5" x14ac:dyDescent="0.15">
      <c r="B59" s="2">
        <v>16</v>
      </c>
      <c r="C59" s="7" t="s">
        <v>38</v>
      </c>
      <c r="D59" s="7" t="s">
        <v>100</v>
      </c>
      <c r="E59" s="2">
        <v>5</v>
      </c>
      <c r="F59" s="2">
        <v>1.4</v>
      </c>
      <c r="G59" s="2">
        <v>4</v>
      </c>
      <c r="H59" s="2">
        <v>4</v>
      </c>
      <c r="I59" s="2">
        <v>5</v>
      </c>
      <c r="J59" s="2">
        <v>4</v>
      </c>
      <c r="K59" s="2">
        <v>2</v>
      </c>
      <c r="L59" s="2">
        <v>3</v>
      </c>
      <c r="M59" s="2"/>
      <c r="N59" s="2"/>
      <c r="O59" s="2"/>
      <c r="P59" s="2"/>
      <c r="Q59" s="2"/>
      <c r="R59" s="2"/>
      <c r="S59" s="2"/>
      <c r="T59" s="1">
        <f t="shared" si="5"/>
        <v>8.5</v>
      </c>
      <c r="U59" s="1">
        <f t="shared" si="6"/>
        <v>0.6</v>
      </c>
      <c r="V59" s="1">
        <f t="shared" si="7"/>
        <v>0.5</v>
      </c>
      <c r="W59" s="1">
        <f t="shared" si="8"/>
        <v>4.125</v>
      </c>
      <c r="X59" s="1">
        <f t="shared" si="9"/>
        <v>17</v>
      </c>
      <c r="Y59" s="1">
        <f t="shared" si="10"/>
        <v>2.4750000000000001</v>
      </c>
      <c r="Z59" s="1">
        <f t="shared" si="11"/>
        <v>6.9696969696969697</v>
      </c>
      <c r="AA59" s="1">
        <f t="shared" si="12"/>
        <v>6.8</v>
      </c>
    </row>
    <row r="60" spans="2:27" ht="13.5" x14ac:dyDescent="0.15">
      <c r="B60" s="2">
        <v>17</v>
      </c>
      <c r="C60" s="10" t="s">
        <v>40</v>
      </c>
      <c r="D60" s="10" t="s">
        <v>101</v>
      </c>
      <c r="E60" s="2">
        <v>4.75</v>
      </c>
      <c r="F60" s="2">
        <v>1.4</v>
      </c>
      <c r="G60" s="2">
        <v>2.5</v>
      </c>
      <c r="H60" s="2">
        <v>3</v>
      </c>
      <c r="I60" s="2">
        <v>5</v>
      </c>
      <c r="J60" s="2">
        <v>5</v>
      </c>
      <c r="K60" s="2">
        <v>2</v>
      </c>
      <c r="L60" s="2">
        <v>4</v>
      </c>
      <c r="M60" s="2"/>
      <c r="N60" s="2"/>
      <c r="O60" s="2"/>
      <c r="P60" s="2"/>
      <c r="Q60" s="2"/>
      <c r="R60" s="2"/>
      <c r="S60" s="2"/>
      <c r="T60" s="1">
        <f t="shared" si="5"/>
        <v>8.625</v>
      </c>
      <c r="U60" s="1">
        <f t="shared" si="6"/>
        <v>0.66666666666666663</v>
      </c>
      <c r="V60" s="1">
        <f t="shared" si="7"/>
        <v>0.5</v>
      </c>
      <c r="W60" s="1">
        <f t="shared" si="8"/>
        <v>3.75</v>
      </c>
      <c r="X60" s="1">
        <f t="shared" si="9"/>
        <v>17.25</v>
      </c>
      <c r="Y60" s="1">
        <f t="shared" si="10"/>
        <v>2.5</v>
      </c>
      <c r="Z60" s="1">
        <f t="shared" si="11"/>
        <v>7.625</v>
      </c>
      <c r="AA60" s="1">
        <f t="shared" si="12"/>
        <v>6</v>
      </c>
    </row>
    <row r="61" spans="2:27" ht="13.5" x14ac:dyDescent="0.15">
      <c r="B61" s="2">
        <v>18</v>
      </c>
      <c r="C61" s="7" t="s">
        <v>42</v>
      </c>
      <c r="D61" s="7" t="s">
        <v>102</v>
      </c>
      <c r="E61" s="2">
        <v>5</v>
      </c>
      <c r="F61" s="2">
        <v>1.2</v>
      </c>
      <c r="G61" s="2">
        <v>6</v>
      </c>
      <c r="H61" s="2">
        <v>3</v>
      </c>
      <c r="I61" s="2">
        <v>4.5</v>
      </c>
      <c r="J61" s="2">
        <v>3</v>
      </c>
      <c r="K61" s="2">
        <v>3</v>
      </c>
      <c r="L61" s="2">
        <v>4</v>
      </c>
      <c r="M61" s="2"/>
      <c r="N61" s="2"/>
      <c r="O61" s="2"/>
      <c r="P61" s="2"/>
      <c r="Q61" s="2"/>
      <c r="R61" s="2"/>
      <c r="S61" s="2"/>
      <c r="T61" s="1">
        <f t="shared" si="5"/>
        <v>7.625</v>
      </c>
      <c r="U61" s="1">
        <f t="shared" si="6"/>
        <v>0.66666666666666663</v>
      </c>
      <c r="V61" s="1">
        <f t="shared" si="7"/>
        <v>0.4</v>
      </c>
      <c r="W61" s="1">
        <f t="shared" si="8"/>
        <v>4.3125</v>
      </c>
      <c r="X61" s="1">
        <f t="shared" si="9"/>
        <v>19.0625</v>
      </c>
      <c r="Y61" s="1">
        <f t="shared" si="10"/>
        <v>2.875</v>
      </c>
      <c r="Z61" s="1">
        <f t="shared" si="11"/>
        <v>8.4782608695652169</v>
      </c>
      <c r="AA61" s="1">
        <f t="shared" si="12"/>
        <v>9.7756410256410255</v>
      </c>
    </row>
    <row r="62" spans="2:27" ht="13.5" x14ac:dyDescent="0.15">
      <c r="B62" s="2">
        <v>19</v>
      </c>
      <c r="C62" s="10" t="s">
        <v>44</v>
      </c>
      <c r="D62" s="10" t="s">
        <v>96</v>
      </c>
      <c r="E62" s="2">
        <v>5</v>
      </c>
      <c r="F62" s="2">
        <v>1.2</v>
      </c>
      <c r="G62" s="2">
        <v>5.5</v>
      </c>
      <c r="H62" s="2">
        <v>5</v>
      </c>
      <c r="I62" s="2">
        <v>3</v>
      </c>
      <c r="J62" s="2">
        <v>3</v>
      </c>
      <c r="K62" s="2">
        <v>4</v>
      </c>
      <c r="L62" s="2">
        <v>3</v>
      </c>
      <c r="M62" s="2"/>
      <c r="N62" s="2"/>
      <c r="O62" s="2"/>
      <c r="P62" s="2"/>
      <c r="Q62" s="2"/>
      <c r="R62" s="2"/>
      <c r="S62" s="2"/>
      <c r="T62" s="1">
        <f t="shared" si="5"/>
        <v>8.125</v>
      </c>
      <c r="U62" s="1">
        <f t="shared" si="6"/>
        <v>0.6</v>
      </c>
      <c r="V62" s="1">
        <f t="shared" si="7"/>
        <v>0.33333333333333331</v>
      </c>
      <c r="W62" s="1">
        <f t="shared" si="8"/>
        <v>3.25</v>
      </c>
      <c r="X62" s="1">
        <f t="shared" si="9"/>
        <v>24.375</v>
      </c>
      <c r="Y62" s="1">
        <f t="shared" si="10"/>
        <v>1.95</v>
      </c>
      <c r="Z62" s="1">
        <f t="shared" si="11"/>
        <v>9.9358974358974361</v>
      </c>
      <c r="AA62" s="1">
        <f t="shared" si="12"/>
        <v>11.142857142857142</v>
      </c>
    </row>
    <row r="63" spans="2:27" ht="13.5" x14ac:dyDescent="0.15">
      <c r="B63" s="2">
        <v>20</v>
      </c>
      <c r="C63" s="7" t="s">
        <v>46</v>
      </c>
      <c r="D63" s="7" t="s">
        <v>75</v>
      </c>
      <c r="E63" s="2">
        <v>4.25</v>
      </c>
      <c r="F63" s="2">
        <v>1.4</v>
      </c>
      <c r="G63" s="2">
        <v>5</v>
      </c>
      <c r="H63" s="2">
        <v>4</v>
      </c>
      <c r="I63" s="2">
        <v>5</v>
      </c>
      <c r="J63" s="2">
        <v>4</v>
      </c>
      <c r="K63" s="2">
        <v>3</v>
      </c>
      <c r="L63" s="2">
        <v>2</v>
      </c>
      <c r="M63" s="2"/>
      <c r="N63" s="2"/>
      <c r="O63" s="2"/>
      <c r="P63" s="2"/>
      <c r="Q63" s="2"/>
      <c r="R63" s="2"/>
      <c r="S63" s="2"/>
      <c r="T63" s="1">
        <f t="shared" si="5"/>
        <v>7.75</v>
      </c>
      <c r="U63" s="1">
        <f t="shared" si="6"/>
        <v>0.5</v>
      </c>
      <c r="V63" s="1">
        <f t="shared" si="7"/>
        <v>0.4</v>
      </c>
      <c r="W63" s="1">
        <f t="shared" si="8"/>
        <v>4.375</v>
      </c>
      <c r="X63" s="1">
        <f t="shared" si="9"/>
        <v>19.375</v>
      </c>
      <c r="Y63" s="1">
        <f t="shared" si="10"/>
        <v>2.1875</v>
      </c>
      <c r="Z63" s="1">
        <f t="shared" si="11"/>
        <v>8.3428571428571434</v>
      </c>
      <c r="AA63" s="1">
        <f t="shared" si="12"/>
        <v>8.68</v>
      </c>
    </row>
    <row r="64" spans="2:27" ht="13.5" x14ac:dyDescent="0.15">
      <c r="B64" s="2">
        <v>21</v>
      </c>
      <c r="C64" s="10" t="s">
        <v>47</v>
      </c>
      <c r="D64" s="10" t="s">
        <v>76</v>
      </c>
      <c r="E64" s="2">
        <v>5</v>
      </c>
      <c r="F64" s="2">
        <v>1.2</v>
      </c>
      <c r="G64" s="2">
        <v>5</v>
      </c>
      <c r="H64" s="2">
        <v>4</v>
      </c>
      <c r="I64" s="2">
        <v>3</v>
      </c>
      <c r="J64" s="2">
        <v>5</v>
      </c>
      <c r="K64" s="2">
        <v>2</v>
      </c>
      <c r="L64" s="2">
        <v>5</v>
      </c>
      <c r="M64" s="2"/>
      <c r="N64" s="2"/>
      <c r="O64" s="2"/>
      <c r="P64" s="2"/>
      <c r="Q64" s="2"/>
      <c r="R64" s="2"/>
      <c r="S64" s="2"/>
      <c r="T64" s="1">
        <f t="shared" si="5"/>
        <v>9.125</v>
      </c>
      <c r="U64" s="1">
        <f t="shared" si="6"/>
        <v>0.7142857142857143</v>
      </c>
      <c r="V64" s="1">
        <f t="shared" si="7"/>
        <v>0.5</v>
      </c>
      <c r="W64" s="1">
        <f t="shared" si="8"/>
        <v>3.125</v>
      </c>
      <c r="X64" s="1">
        <f t="shared" si="9"/>
        <v>18.25</v>
      </c>
      <c r="Y64" s="1">
        <f t="shared" si="10"/>
        <v>2.2321428571428572</v>
      </c>
      <c r="Z64" s="1">
        <f t="shared" si="11"/>
        <v>14.895999999999999</v>
      </c>
      <c r="AA64" s="1">
        <f t="shared" si="12"/>
        <v>9.7333333333333325</v>
      </c>
    </row>
    <row r="65" spans="2:27" ht="13.5" x14ac:dyDescent="0.15">
      <c r="B65" s="2">
        <v>22</v>
      </c>
      <c r="C65" s="7" t="s">
        <v>49</v>
      </c>
      <c r="D65" s="7" t="s">
        <v>103</v>
      </c>
      <c r="E65" s="2">
        <v>5</v>
      </c>
      <c r="F65" s="2">
        <v>1.2</v>
      </c>
      <c r="G65" s="2">
        <v>2.5</v>
      </c>
      <c r="H65" s="2">
        <v>3</v>
      </c>
      <c r="I65" s="2">
        <v>3</v>
      </c>
      <c r="J65" s="2">
        <v>6</v>
      </c>
      <c r="K65" s="2">
        <v>5</v>
      </c>
      <c r="L65" s="2">
        <v>6</v>
      </c>
      <c r="M65" s="2"/>
      <c r="N65" s="2"/>
      <c r="O65" s="2"/>
      <c r="P65" s="2"/>
      <c r="Q65" s="2"/>
      <c r="R65" s="2"/>
      <c r="S65" s="2"/>
      <c r="T65" s="1">
        <f t="shared" si="5"/>
        <v>9.5</v>
      </c>
      <c r="U65" s="1">
        <f t="shared" si="6"/>
        <v>0.75</v>
      </c>
      <c r="V65" s="1">
        <f t="shared" si="7"/>
        <v>0.2857142857142857</v>
      </c>
      <c r="W65" s="1">
        <f t="shared" si="8"/>
        <v>2.5</v>
      </c>
      <c r="X65" s="1">
        <f t="shared" si="9"/>
        <v>33.25</v>
      </c>
      <c r="Y65" s="1">
        <f t="shared" si="10"/>
        <v>1.875</v>
      </c>
      <c r="Z65" s="1">
        <f t="shared" si="11"/>
        <v>20.266666666666666</v>
      </c>
      <c r="AA65" s="1">
        <f t="shared" si="12"/>
        <v>20.129729729729728</v>
      </c>
    </row>
    <row r="66" spans="2:27" ht="13.5" x14ac:dyDescent="0.15">
      <c r="B66" s="2">
        <v>23</v>
      </c>
      <c r="C66" s="10" t="s">
        <v>49</v>
      </c>
      <c r="D66" s="7" t="s">
        <v>103</v>
      </c>
      <c r="E66" s="2">
        <v>5</v>
      </c>
      <c r="F66" s="2">
        <v>1.2</v>
      </c>
      <c r="G66" s="2">
        <v>3</v>
      </c>
      <c r="H66" s="2">
        <v>3</v>
      </c>
      <c r="I66" s="2">
        <v>2.5</v>
      </c>
      <c r="J66" s="2">
        <v>6</v>
      </c>
      <c r="K66" s="2">
        <v>6</v>
      </c>
      <c r="L66" s="2">
        <v>5</v>
      </c>
      <c r="M66" s="2"/>
      <c r="N66" s="2"/>
      <c r="O66" s="2"/>
      <c r="P66" s="2"/>
      <c r="Q66" s="2"/>
      <c r="R66" s="2"/>
      <c r="S66" s="2"/>
      <c r="T66" s="1">
        <f t="shared" si="5"/>
        <v>9.5</v>
      </c>
      <c r="U66" s="1">
        <f t="shared" si="6"/>
        <v>0.7142857142857143</v>
      </c>
      <c r="V66" s="1">
        <f t="shared" si="7"/>
        <v>0.25</v>
      </c>
      <c r="W66" s="1">
        <f t="shared" si="8"/>
        <v>2.3125</v>
      </c>
      <c r="X66" s="1">
        <f t="shared" si="9"/>
        <v>38</v>
      </c>
      <c r="Y66" s="1">
        <f t="shared" si="10"/>
        <v>1.6517857142857144</v>
      </c>
      <c r="Z66" s="1">
        <f t="shared" si="11"/>
        <v>20.054054054054053</v>
      </c>
      <c r="AA66" s="1">
        <f t="shared" si="12"/>
        <v>13.028571428571427</v>
      </c>
    </row>
    <row r="67" spans="2:27" ht="13.5" x14ac:dyDescent="0.15">
      <c r="B67" s="2">
        <v>24</v>
      </c>
      <c r="C67" s="7" t="s">
        <v>51</v>
      </c>
      <c r="D67" s="7" t="s">
        <v>104</v>
      </c>
      <c r="E67" s="2">
        <v>4</v>
      </c>
      <c r="F67" s="2">
        <v>1.2</v>
      </c>
      <c r="G67" s="2">
        <v>4</v>
      </c>
      <c r="H67" s="2">
        <v>3</v>
      </c>
      <c r="I67" s="2">
        <v>4</v>
      </c>
      <c r="J67" s="2">
        <v>3</v>
      </c>
      <c r="K67" s="2">
        <v>8</v>
      </c>
      <c r="L67" s="2">
        <v>10</v>
      </c>
      <c r="M67" s="2"/>
      <c r="N67" s="2"/>
      <c r="O67" s="2"/>
      <c r="P67" s="2"/>
      <c r="Q67" s="2"/>
      <c r="R67" s="2"/>
      <c r="S67" s="2"/>
      <c r="T67" s="1">
        <f t="shared" si="5"/>
        <v>6.625</v>
      </c>
      <c r="U67" s="1">
        <f t="shared" si="6"/>
        <v>0.83333333333333337</v>
      </c>
      <c r="V67" s="1">
        <f t="shared" si="7"/>
        <v>0.2</v>
      </c>
      <c r="W67" s="1">
        <f t="shared" si="8"/>
        <v>3.5</v>
      </c>
      <c r="X67" s="1">
        <f t="shared" si="9"/>
        <v>33.125</v>
      </c>
      <c r="Y67" s="1">
        <f t="shared" si="10"/>
        <v>2.916666666666667</v>
      </c>
      <c r="Z67" s="1">
        <f t="shared" si="11"/>
        <v>5.9142857142857137</v>
      </c>
      <c r="AA67" s="1">
        <f t="shared" si="12"/>
        <v>12.268518518518519</v>
      </c>
    </row>
    <row r="68" spans="2:27" ht="13.5" x14ac:dyDescent="0.15">
      <c r="B68" s="2">
        <v>25</v>
      </c>
      <c r="C68" s="10" t="s">
        <v>53</v>
      </c>
      <c r="D68" s="10" t="s">
        <v>105</v>
      </c>
      <c r="E68" s="2">
        <v>4.5</v>
      </c>
      <c r="F68" s="2">
        <v>1.5</v>
      </c>
      <c r="G68" s="2">
        <v>3</v>
      </c>
      <c r="H68" s="2">
        <v>4</v>
      </c>
      <c r="I68" s="2">
        <v>6</v>
      </c>
      <c r="J68" s="2">
        <v>5</v>
      </c>
      <c r="K68" s="2">
        <v>2</v>
      </c>
      <c r="L68" s="2">
        <v>3</v>
      </c>
      <c r="M68" s="2"/>
      <c r="N68" s="2"/>
      <c r="O68" s="2"/>
      <c r="P68" s="2"/>
      <c r="Q68" s="2"/>
      <c r="R68" s="2"/>
      <c r="S68" s="2"/>
      <c r="T68" s="1">
        <f t="shared" si="5"/>
        <v>8.625</v>
      </c>
      <c r="U68" s="1">
        <f t="shared" si="6"/>
        <v>0.6</v>
      </c>
      <c r="V68" s="1">
        <f t="shared" si="7"/>
        <v>0.5</v>
      </c>
      <c r="W68" s="1">
        <f t="shared" si="8"/>
        <v>4.5</v>
      </c>
      <c r="X68" s="1">
        <f t="shared" si="9"/>
        <v>17.25</v>
      </c>
      <c r="Y68" s="1">
        <f t="shared" si="10"/>
        <v>2.6999999999999997</v>
      </c>
      <c r="Z68" s="1">
        <f t="shared" si="11"/>
        <v>13.333333333333334</v>
      </c>
      <c r="AA68" s="1">
        <f t="shared" si="12"/>
        <v>7.7279999999999998</v>
      </c>
    </row>
    <row r="69" spans="2:27" ht="13.5" x14ac:dyDescent="0.15">
      <c r="B69" s="2">
        <v>26</v>
      </c>
      <c r="C69" s="7" t="s">
        <v>55</v>
      </c>
      <c r="D69" s="7" t="s">
        <v>106</v>
      </c>
      <c r="E69" s="2">
        <v>4.5</v>
      </c>
      <c r="F69" s="2">
        <v>1.2</v>
      </c>
      <c r="G69" s="2">
        <v>2.5</v>
      </c>
      <c r="H69" s="2">
        <v>3</v>
      </c>
      <c r="I69" s="2">
        <v>4</v>
      </c>
      <c r="J69" s="2">
        <v>6</v>
      </c>
      <c r="K69" s="2">
        <v>6</v>
      </c>
      <c r="L69" s="2">
        <v>5</v>
      </c>
      <c r="M69" s="2"/>
      <c r="N69" s="2"/>
      <c r="O69" s="2"/>
      <c r="P69" s="2"/>
      <c r="Q69" s="2"/>
      <c r="R69" s="2"/>
      <c r="S69" s="2"/>
      <c r="T69" s="1">
        <f t="shared" si="5"/>
        <v>9</v>
      </c>
      <c r="U69" s="1">
        <f t="shared" si="6"/>
        <v>0.7142857142857143</v>
      </c>
      <c r="V69" s="1">
        <f t="shared" si="7"/>
        <v>0.25</v>
      </c>
      <c r="W69" s="1">
        <f t="shared" si="8"/>
        <v>3.125</v>
      </c>
      <c r="X69" s="1">
        <f t="shared" si="9"/>
        <v>36</v>
      </c>
      <c r="Y69" s="1">
        <f t="shared" si="10"/>
        <v>2.2321428571428572</v>
      </c>
      <c r="Z69" s="1">
        <f t="shared" si="11"/>
        <v>15.68</v>
      </c>
      <c r="AA69" s="1">
        <f t="shared" si="12"/>
        <v>18.285714285714285</v>
      </c>
    </row>
    <row r="70" spans="2:27" ht="13.5" x14ac:dyDescent="0.15">
      <c r="B70" s="2">
        <v>27</v>
      </c>
      <c r="C70" s="10" t="s">
        <v>56</v>
      </c>
      <c r="D70" s="7" t="s">
        <v>50</v>
      </c>
      <c r="E70" s="2">
        <v>4.5</v>
      </c>
      <c r="F70" s="2">
        <v>1.2</v>
      </c>
      <c r="G70" s="2">
        <v>3</v>
      </c>
      <c r="H70" s="2">
        <v>2</v>
      </c>
      <c r="I70" s="2">
        <v>3</v>
      </c>
      <c r="J70" s="2">
        <v>8</v>
      </c>
      <c r="K70" s="2">
        <v>5</v>
      </c>
      <c r="L70" s="2">
        <v>6</v>
      </c>
      <c r="M70" s="2"/>
      <c r="N70" s="2"/>
      <c r="O70" s="2"/>
      <c r="P70" s="2"/>
      <c r="Q70" s="2"/>
      <c r="R70" s="2"/>
      <c r="S70" s="2"/>
      <c r="T70" s="1">
        <f t="shared" si="5"/>
        <v>10</v>
      </c>
      <c r="U70" s="1">
        <f t="shared" si="6"/>
        <v>0.75</v>
      </c>
      <c r="V70" s="1">
        <f t="shared" si="7"/>
        <v>0.2857142857142857</v>
      </c>
      <c r="W70" s="1">
        <f t="shared" si="8"/>
        <v>2.625</v>
      </c>
      <c r="X70" s="1">
        <f t="shared" si="9"/>
        <v>35</v>
      </c>
      <c r="Y70" s="1">
        <f t="shared" si="10"/>
        <v>1.96875</v>
      </c>
      <c r="Z70" s="1">
        <f t="shared" si="11"/>
        <v>10.158730158730158</v>
      </c>
      <c r="AA70" s="1">
        <f t="shared" si="12"/>
        <v>16.969696969696969</v>
      </c>
    </row>
    <row r="71" spans="2:27" ht="13.5" x14ac:dyDescent="0.15">
      <c r="B71" s="2">
        <v>28</v>
      </c>
      <c r="C71" s="7" t="s">
        <v>58</v>
      </c>
      <c r="D71" s="7" t="s">
        <v>39</v>
      </c>
      <c r="E71" s="2">
        <v>4.5</v>
      </c>
      <c r="F71" s="2">
        <v>1.4</v>
      </c>
      <c r="G71" s="2">
        <v>4</v>
      </c>
      <c r="H71" s="2">
        <v>4</v>
      </c>
      <c r="I71" s="2">
        <v>5</v>
      </c>
      <c r="J71" s="2">
        <v>4</v>
      </c>
      <c r="K71" s="2">
        <v>3</v>
      </c>
      <c r="L71" s="2">
        <v>2</v>
      </c>
      <c r="M71" s="2"/>
      <c r="N71" s="2"/>
      <c r="O71" s="2"/>
      <c r="P71" s="2"/>
      <c r="Q71" s="2"/>
      <c r="R71" s="2"/>
      <c r="S71" s="2"/>
      <c r="T71" s="1">
        <f t="shared" si="5"/>
        <v>8</v>
      </c>
      <c r="U71" s="1">
        <f t="shared" si="6"/>
        <v>0.5</v>
      </c>
      <c r="V71" s="1">
        <f t="shared" si="7"/>
        <v>0.4</v>
      </c>
      <c r="W71" s="1">
        <f t="shared" si="8"/>
        <v>4.125</v>
      </c>
      <c r="X71" s="1">
        <f t="shared" si="9"/>
        <v>20</v>
      </c>
      <c r="Y71" s="1">
        <f t="shared" si="10"/>
        <v>2.0625</v>
      </c>
      <c r="Z71" s="1">
        <f t="shared" si="11"/>
        <v>11.818181818181818</v>
      </c>
      <c r="AA71" s="1">
        <f t="shared" si="12"/>
        <v>10.256410256410257</v>
      </c>
    </row>
    <row r="72" spans="2:27" ht="13.5" x14ac:dyDescent="0.15">
      <c r="B72" s="2">
        <v>29</v>
      </c>
      <c r="C72" s="10" t="s">
        <v>59</v>
      </c>
      <c r="D72" s="10" t="s">
        <v>45</v>
      </c>
      <c r="E72" s="2">
        <v>5</v>
      </c>
      <c r="F72" s="2">
        <v>1.2</v>
      </c>
      <c r="G72" s="2">
        <v>5.5</v>
      </c>
      <c r="H72" s="2">
        <v>5</v>
      </c>
      <c r="I72" s="2">
        <v>3</v>
      </c>
      <c r="J72" s="2">
        <v>3</v>
      </c>
      <c r="K72" s="2">
        <v>4</v>
      </c>
      <c r="L72" s="2">
        <v>3</v>
      </c>
      <c r="M72" s="2"/>
      <c r="N72" s="2"/>
      <c r="O72" s="2"/>
      <c r="P72" s="2"/>
      <c r="Q72" s="2"/>
      <c r="R72" s="2"/>
      <c r="S72" s="2"/>
      <c r="T72" s="1">
        <f t="shared" si="5"/>
        <v>8.125</v>
      </c>
      <c r="U72" s="1">
        <f t="shared" si="6"/>
        <v>0.6</v>
      </c>
      <c r="V72" s="1">
        <f t="shared" si="7"/>
        <v>0.33333333333333331</v>
      </c>
      <c r="W72" s="1">
        <f t="shared" si="8"/>
        <v>3.25</v>
      </c>
      <c r="X72" s="1">
        <f t="shared" si="9"/>
        <v>24.375</v>
      </c>
      <c r="Y72" s="1">
        <f t="shared" si="10"/>
        <v>1.95</v>
      </c>
      <c r="Z72" s="1">
        <f t="shared" si="11"/>
        <v>4.1955128205128203</v>
      </c>
      <c r="AA72" s="1">
        <f t="shared" si="12"/>
        <v>21.477162293488824</v>
      </c>
    </row>
    <row r="73" spans="2:27" ht="13.5" x14ac:dyDescent="0.15">
      <c r="B73" s="2">
        <v>30</v>
      </c>
      <c r="C73" s="7" t="s">
        <v>60</v>
      </c>
      <c r="D73" s="7" t="s">
        <v>107</v>
      </c>
      <c r="E73" s="2">
        <v>4.1999999999999993</v>
      </c>
      <c r="F73" s="2">
        <v>0.84</v>
      </c>
      <c r="G73" s="2">
        <v>3.15</v>
      </c>
      <c r="H73" s="2">
        <v>0.7</v>
      </c>
      <c r="I73" s="2">
        <v>3.15</v>
      </c>
      <c r="J73" s="2">
        <v>0.7</v>
      </c>
      <c r="K73" s="2">
        <v>1.4</v>
      </c>
      <c r="L73" s="2">
        <v>1.4</v>
      </c>
      <c r="M73" s="2"/>
      <c r="N73" s="2"/>
      <c r="O73" s="2"/>
      <c r="P73" s="2"/>
      <c r="Q73" s="2"/>
      <c r="R73" s="2"/>
      <c r="S73" s="2"/>
      <c r="T73" s="1">
        <f t="shared" si="5"/>
        <v>4.8124999999999991</v>
      </c>
      <c r="U73" s="1">
        <f t="shared" si="6"/>
        <v>0.41176470588235292</v>
      </c>
      <c r="V73" s="1">
        <f t="shared" si="7"/>
        <v>0.58823529411764708</v>
      </c>
      <c r="W73" s="1">
        <f t="shared" si="8"/>
        <v>2.7562500000000001</v>
      </c>
      <c r="X73" s="1">
        <f t="shared" si="9"/>
        <v>8.1812499999999986</v>
      </c>
      <c r="Y73" s="1">
        <f t="shared" si="10"/>
        <v>1.1349264705882354</v>
      </c>
      <c r="Z73" s="1">
        <f t="shared" si="11"/>
        <v>8.9124716553287975</v>
      </c>
      <c r="AA73" s="1">
        <f t="shared" si="12"/>
        <v>8.1096938775510186</v>
      </c>
    </row>
    <row r="74" spans="2:27" ht="13.5" x14ac:dyDescent="0.15">
      <c r="B74" s="2">
        <v>31</v>
      </c>
      <c r="C74" s="10" t="s">
        <v>61</v>
      </c>
      <c r="D74" s="10" t="s">
        <v>107</v>
      </c>
      <c r="E74" s="2">
        <f>E45*0.7</f>
        <v>3.5</v>
      </c>
      <c r="F74" s="2">
        <f t="shared" ref="F74:L74" si="13">F45*0.7</f>
        <v>0.84</v>
      </c>
      <c r="G74" s="2">
        <f t="shared" si="13"/>
        <v>2.8</v>
      </c>
      <c r="H74" s="2">
        <f t="shared" si="13"/>
        <v>2.8</v>
      </c>
      <c r="I74" s="2">
        <f t="shared" si="13"/>
        <v>2.8</v>
      </c>
      <c r="J74" s="2">
        <f t="shared" si="13"/>
        <v>2.8</v>
      </c>
      <c r="K74" s="2">
        <f t="shared" si="13"/>
        <v>1.4</v>
      </c>
      <c r="L74" s="2">
        <f t="shared" si="13"/>
        <v>1.4</v>
      </c>
      <c r="M74" s="2"/>
      <c r="N74" s="2"/>
      <c r="O74" s="2"/>
      <c r="P74" s="2"/>
      <c r="Q74" s="2"/>
      <c r="R74" s="2"/>
      <c r="S74" s="2"/>
      <c r="T74" s="1">
        <f t="shared" si="5"/>
        <v>5.95</v>
      </c>
      <c r="U74" s="1">
        <f t="shared" si="6"/>
        <v>0.41176470588235292</v>
      </c>
      <c r="V74" s="1">
        <f t="shared" si="7"/>
        <v>0.58823529411764708</v>
      </c>
      <c r="W74" s="1">
        <f t="shared" si="8"/>
        <v>2.4500000000000002</v>
      </c>
      <c r="X74" s="1">
        <f t="shared" si="9"/>
        <v>10.115</v>
      </c>
      <c r="Y74" s="1">
        <f t="shared" si="10"/>
        <v>1.0088235294117647</v>
      </c>
      <c r="Z74" s="1">
        <f t="shared" si="11"/>
        <v>31.596209912536445</v>
      </c>
      <c r="AA74" s="1">
        <f t="shared" si="12"/>
        <v>3.2111111111111112</v>
      </c>
    </row>
    <row r="75" spans="2:27" x14ac:dyDescent="0.15">
      <c r="B75" s="2">
        <v>32</v>
      </c>
      <c r="C75" s="2" t="s">
        <v>12</v>
      </c>
      <c r="D75" s="2" t="s">
        <v>45</v>
      </c>
      <c r="E75" s="2">
        <f>E45*1.5</f>
        <v>7.5</v>
      </c>
      <c r="F75" s="2">
        <f t="shared" ref="F75:L75" si="14">F45*1.5</f>
        <v>1.7999999999999998</v>
      </c>
      <c r="G75" s="2">
        <f t="shared" si="14"/>
        <v>6</v>
      </c>
      <c r="H75" s="2">
        <f t="shared" si="14"/>
        <v>6</v>
      </c>
      <c r="I75" s="2">
        <f t="shared" si="14"/>
        <v>6</v>
      </c>
      <c r="J75" s="2">
        <f t="shared" si="14"/>
        <v>6</v>
      </c>
      <c r="K75" s="2">
        <f t="shared" si="14"/>
        <v>3</v>
      </c>
      <c r="L75" s="2">
        <f t="shared" si="14"/>
        <v>3</v>
      </c>
      <c r="M75" s="2"/>
      <c r="N75" s="2"/>
      <c r="O75" s="2"/>
      <c r="P75" s="2"/>
      <c r="Q75" s="2"/>
      <c r="R75" s="2"/>
      <c r="S75" s="2"/>
      <c r="T75" s="1">
        <f t="shared" si="5"/>
        <v>12.75</v>
      </c>
      <c r="U75" s="1">
        <f t="shared" si="6"/>
        <v>0.6</v>
      </c>
      <c r="V75" s="1">
        <f t="shared" si="7"/>
        <v>0.4</v>
      </c>
      <c r="W75" s="1">
        <f t="shared" si="8"/>
        <v>5.25</v>
      </c>
      <c r="X75" s="1">
        <f t="shared" si="9"/>
        <v>31.875</v>
      </c>
      <c r="Y75" s="1">
        <f t="shared" si="10"/>
        <v>3.15</v>
      </c>
      <c r="Z75" s="1">
        <f t="shared" si="11"/>
        <v>7.8764880952380967</v>
      </c>
      <c r="AA75" s="1">
        <f t="shared" si="12"/>
        <v>6.5481481481481483</v>
      </c>
    </row>
    <row r="76" spans="2:27" x14ac:dyDescent="0.15">
      <c r="B76" s="2">
        <v>33</v>
      </c>
      <c r="C76" s="2" t="s">
        <v>14</v>
      </c>
      <c r="D76" s="2" t="s">
        <v>100</v>
      </c>
      <c r="E76" s="2">
        <f t="shared" ref="E76:L77" si="15">E46*1.5</f>
        <v>6.375</v>
      </c>
      <c r="F76" s="2">
        <f t="shared" si="15"/>
        <v>2.5499999999999998</v>
      </c>
      <c r="G76" s="2">
        <f t="shared" si="15"/>
        <v>3.75</v>
      </c>
      <c r="H76" s="2">
        <f t="shared" si="15"/>
        <v>6</v>
      </c>
      <c r="I76" s="2">
        <f t="shared" si="15"/>
        <v>9.75</v>
      </c>
      <c r="J76" s="2">
        <f t="shared" si="15"/>
        <v>7.5</v>
      </c>
      <c r="K76" s="2">
        <f t="shared" si="15"/>
        <v>1.9500000000000002</v>
      </c>
      <c r="L76" s="2">
        <f t="shared" si="15"/>
        <v>4.5</v>
      </c>
      <c r="M76" s="2"/>
      <c r="N76" s="2"/>
      <c r="O76" s="2"/>
      <c r="P76" s="2"/>
      <c r="Q76" s="2"/>
      <c r="R76" s="2"/>
      <c r="S76" s="2"/>
      <c r="T76" s="1">
        <f t="shared" si="5"/>
        <v>12.5625</v>
      </c>
      <c r="U76" s="1">
        <f t="shared" si="6"/>
        <v>0.69230769230769229</v>
      </c>
      <c r="V76" s="1">
        <f t="shared" si="7"/>
        <v>0.50632911392405056</v>
      </c>
      <c r="W76" s="1">
        <f t="shared" si="8"/>
        <v>7.03125</v>
      </c>
      <c r="X76" s="1">
        <f t="shared" si="9"/>
        <v>24.810937500000005</v>
      </c>
      <c r="Y76" s="1">
        <f t="shared" si="10"/>
        <v>4.8677884615384617</v>
      </c>
      <c r="Z76" s="1">
        <f t="shared" si="11"/>
        <v>9.0364444444444452</v>
      </c>
      <c r="AA76" s="1">
        <f t="shared" si="12"/>
        <v>9.6371148459383775</v>
      </c>
    </row>
    <row r="77" spans="2:27" x14ac:dyDescent="0.15">
      <c r="B77" s="2">
        <v>34</v>
      </c>
      <c r="C77" s="2" t="s">
        <v>16</v>
      </c>
      <c r="D77" s="2" t="s">
        <v>102</v>
      </c>
      <c r="E77" s="2">
        <f t="shared" si="15"/>
        <v>6.375</v>
      </c>
      <c r="F77" s="2">
        <f t="shared" si="15"/>
        <v>1.5</v>
      </c>
      <c r="G77" s="2">
        <f t="shared" si="15"/>
        <v>9</v>
      </c>
      <c r="H77" s="2">
        <f t="shared" si="15"/>
        <v>7.5</v>
      </c>
      <c r="I77" s="2">
        <f t="shared" si="15"/>
        <v>3.75</v>
      </c>
      <c r="J77" s="2">
        <f t="shared" si="15"/>
        <v>7.5</v>
      </c>
      <c r="K77" s="2">
        <f t="shared" si="15"/>
        <v>4.8000000000000007</v>
      </c>
      <c r="L77" s="2">
        <f t="shared" si="15"/>
        <v>2.5499999999999998</v>
      </c>
      <c r="M77" s="2"/>
      <c r="N77" s="2"/>
      <c r="O77" s="2"/>
      <c r="P77" s="2"/>
      <c r="Q77" s="2"/>
      <c r="R77" s="2"/>
      <c r="S77" s="2"/>
      <c r="T77" s="1">
        <f t="shared" si="5"/>
        <v>12.9375</v>
      </c>
      <c r="U77" s="1">
        <f t="shared" si="6"/>
        <v>0.56043956043956045</v>
      </c>
      <c r="V77" s="1">
        <f t="shared" si="7"/>
        <v>0.29411764705882348</v>
      </c>
      <c r="W77" s="1">
        <f t="shared" si="8"/>
        <v>4.59375</v>
      </c>
      <c r="X77" s="1">
        <f t="shared" si="9"/>
        <v>43.987500000000004</v>
      </c>
      <c r="Y77" s="1">
        <f t="shared" si="10"/>
        <v>2.5745192307692308</v>
      </c>
      <c r="Z77" s="1">
        <f t="shared" si="11"/>
        <v>18.935574229691877</v>
      </c>
      <c r="AA77" s="1">
        <f t="shared" si="12"/>
        <v>13.033333333333335</v>
      </c>
    </row>
    <row r="78" spans="2:27" x14ac:dyDescent="0.15">
      <c r="B78" s="2">
        <v>35</v>
      </c>
      <c r="C78" s="2" t="s">
        <v>77</v>
      </c>
      <c r="D78" s="2" t="s">
        <v>108</v>
      </c>
      <c r="E78" s="2">
        <f>E62*1.5</f>
        <v>7.5</v>
      </c>
      <c r="F78" s="2">
        <f t="shared" ref="F78:K78" si="16">F62*1.5</f>
        <v>1.7999999999999998</v>
      </c>
      <c r="G78" s="2">
        <f t="shared" si="16"/>
        <v>8.25</v>
      </c>
      <c r="H78" s="2">
        <f t="shared" si="16"/>
        <v>7.5</v>
      </c>
      <c r="I78" s="2">
        <f t="shared" si="16"/>
        <v>4.5</v>
      </c>
      <c r="J78" s="2">
        <f t="shared" si="16"/>
        <v>4.5</v>
      </c>
      <c r="K78" s="2">
        <f t="shared" si="16"/>
        <v>6</v>
      </c>
      <c r="L78" s="2">
        <f>L62*1.5</f>
        <v>4.5</v>
      </c>
      <c r="M78" s="2"/>
      <c r="N78" s="2"/>
      <c r="O78" s="2"/>
      <c r="P78" s="2"/>
      <c r="Q78" s="2"/>
      <c r="R78" s="2"/>
      <c r="S78" s="2"/>
      <c r="T78" s="1">
        <f t="shared" si="5"/>
        <v>12.1875</v>
      </c>
      <c r="U78" s="1">
        <f t="shared" si="6"/>
        <v>0.69230769230769229</v>
      </c>
      <c r="V78" s="1">
        <f t="shared" si="7"/>
        <v>0.25</v>
      </c>
      <c r="W78" s="1">
        <f t="shared" si="8"/>
        <v>4.875</v>
      </c>
      <c r="X78" s="1">
        <f t="shared" si="9"/>
        <v>48.75</v>
      </c>
      <c r="Y78" s="1">
        <f t="shared" si="10"/>
        <v>3.375</v>
      </c>
      <c r="Z78" s="1">
        <f t="shared" si="11"/>
        <v>11.013888888888889</v>
      </c>
      <c r="AA78" s="1">
        <f t="shared" si="12"/>
        <v>10.048309178743962</v>
      </c>
    </row>
    <row r="79" spans="2:27" x14ac:dyDescent="0.15">
      <c r="B79" s="2">
        <v>36</v>
      </c>
      <c r="C79" s="2" t="s">
        <v>109</v>
      </c>
      <c r="D79" s="2" t="s">
        <v>43</v>
      </c>
      <c r="E79" s="2">
        <f>E61*1.5</f>
        <v>7.5</v>
      </c>
      <c r="F79" s="2">
        <f t="shared" ref="F79:L79" si="17">F61*1.5</f>
        <v>1.7999999999999998</v>
      </c>
      <c r="G79" s="2">
        <f t="shared" si="17"/>
        <v>9</v>
      </c>
      <c r="H79" s="2">
        <f t="shared" si="17"/>
        <v>4.5</v>
      </c>
      <c r="I79" s="2">
        <f t="shared" si="17"/>
        <v>6.75</v>
      </c>
      <c r="J79" s="2">
        <f t="shared" si="17"/>
        <v>4.5</v>
      </c>
      <c r="K79" s="2">
        <f t="shared" si="17"/>
        <v>4.5</v>
      </c>
      <c r="L79" s="2">
        <f t="shared" si="17"/>
        <v>6</v>
      </c>
      <c r="M79" s="2"/>
      <c r="N79" s="2"/>
      <c r="O79" s="2"/>
      <c r="P79" s="2"/>
      <c r="Q79" s="2"/>
      <c r="R79" s="2"/>
      <c r="S79" s="2"/>
      <c r="T79" s="1">
        <f t="shared" si="5"/>
        <v>11.4375</v>
      </c>
      <c r="U79" s="1">
        <f t="shared" si="6"/>
        <v>0.75</v>
      </c>
      <c r="V79" s="1">
        <f t="shared" si="7"/>
        <v>0.30769230769230771</v>
      </c>
      <c r="W79" s="1">
        <f t="shared" si="8"/>
        <v>6.46875</v>
      </c>
      <c r="X79" s="1">
        <f t="shared" si="9"/>
        <v>37.171875</v>
      </c>
      <c r="Y79" s="1">
        <f t="shared" si="10"/>
        <v>4.8515625</v>
      </c>
      <c r="Z79" s="1">
        <f t="shared" si="11"/>
        <v>8.0386473429951693</v>
      </c>
      <c r="AA79" s="1">
        <f t="shared" si="12"/>
        <v>10.012626262626263</v>
      </c>
    </row>
    <row r="80" spans="2:27" x14ac:dyDescent="0.15">
      <c r="B80" s="2">
        <v>37</v>
      </c>
      <c r="C80" s="2" t="s">
        <v>110</v>
      </c>
      <c r="D80" s="2" t="s">
        <v>100</v>
      </c>
      <c r="E80" s="2">
        <f>E71*1.5</f>
        <v>6.75</v>
      </c>
      <c r="F80" s="2">
        <f t="shared" ref="F80:L80" si="18">F71*1.5</f>
        <v>2.0999999999999996</v>
      </c>
      <c r="G80" s="2">
        <f t="shared" si="18"/>
        <v>6</v>
      </c>
      <c r="H80" s="2">
        <f t="shared" si="18"/>
        <v>6</v>
      </c>
      <c r="I80" s="2">
        <f t="shared" si="18"/>
        <v>7.5</v>
      </c>
      <c r="J80" s="2">
        <f t="shared" si="18"/>
        <v>6</v>
      </c>
      <c r="K80" s="2">
        <f t="shared" si="18"/>
        <v>4.5</v>
      </c>
      <c r="L80" s="2">
        <f t="shared" si="18"/>
        <v>3</v>
      </c>
      <c r="M80" s="2"/>
      <c r="N80" s="2"/>
      <c r="O80" s="2"/>
      <c r="P80" s="2"/>
      <c r="Q80" s="2"/>
      <c r="R80" s="2"/>
      <c r="S80" s="2"/>
      <c r="T80" s="1">
        <f t="shared" si="5"/>
        <v>12</v>
      </c>
      <c r="U80" s="1">
        <f t="shared" si="6"/>
        <v>0.6</v>
      </c>
      <c r="V80" s="1">
        <f t="shared" si="7"/>
        <v>0.30769230769230771</v>
      </c>
      <c r="W80" s="1">
        <f t="shared" si="8"/>
        <v>6.1875</v>
      </c>
      <c r="X80" s="1">
        <f t="shared" si="9"/>
        <v>39</v>
      </c>
      <c r="Y80" s="1">
        <f t="shared" si="10"/>
        <v>3.7124999999999999</v>
      </c>
    </row>
    <row r="82" spans="2:19" x14ac:dyDescent="0.15">
      <c r="C82" s="4" t="s">
        <v>111</v>
      </c>
      <c r="D82" s="5" t="s">
        <v>112</v>
      </c>
      <c r="E82" s="4" t="s">
        <v>113</v>
      </c>
      <c r="F82" s="4" t="s">
        <v>114</v>
      </c>
      <c r="G82" s="6" t="s">
        <v>115</v>
      </c>
      <c r="H82" s="6" t="s">
        <v>116</v>
      </c>
      <c r="I82" s="6" t="s">
        <v>117</v>
      </c>
      <c r="J82" s="5" t="s">
        <v>118</v>
      </c>
      <c r="K82" s="4" t="s">
        <v>119</v>
      </c>
      <c r="L82" s="4" t="s">
        <v>120</v>
      </c>
      <c r="M82" s="11" t="s">
        <v>121</v>
      </c>
      <c r="N82" s="11" t="s">
        <v>122</v>
      </c>
      <c r="O82" s="11" t="s">
        <v>123</v>
      </c>
      <c r="P82" s="11" t="s">
        <v>124</v>
      </c>
      <c r="Q82" s="11" t="s">
        <v>125</v>
      </c>
      <c r="R82" s="11" t="s">
        <v>126</v>
      </c>
      <c r="S82" s="11" t="s">
        <v>127</v>
      </c>
    </row>
    <row r="83" spans="2:19" x14ac:dyDescent="0.15">
      <c r="B83" s="1">
        <v>1</v>
      </c>
      <c r="C83" s="13" t="s">
        <v>128</v>
      </c>
      <c r="D83" s="14">
        <v>1</v>
      </c>
      <c r="E83" s="2">
        <v>1.1000000000000001</v>
      </c>
      <c r="F83" s="2">
        <v>0.4</v>
      </c>
      <c r="G83" s="2">
        <v>1.1000000000000001</v>
      </c>
      <c r="H83" s="2">
        <v>1</v>
      </c>
      <c r="I83" s="2">
        <v>0.19999999999999996</v>
      </c>
      <c r="J83" s="2">
        <v>0.7</v>
      </c>
      <c r="K83" s="2">
        <v>0.6</v>
      </c>
      <c r="L83" s="2">
        <v>0.9</v>
      </c>
      <c r="M83" s="2">
        <v>1.05</v>
      </c>
      <c r="N83" s="2">
        <v>0.89999999999999991</v>
      </c>
      <c r="O83" s="2">
        <v>0.44999999999999996</v>
      </c>
      <c r="P83" s="2">
        <v>0.44999999999999996</v>
      </c>
      <c r="Q83" s="2">
        <v>0.44999999999999996</v>
      </c>
      <c r="R83" s="2">
        <v>0.44999999999999996</v>
      </c>
      <c r="S83" s="2">
        <v>0.44999999999999996</v>
      </c>
    </row>
    <row r="84" spans="2:19" x14ac:dyDescent="0.15">
      <c r="B84" s="1">
        <v>2</v>
      </c>
      <c r="C84" s="13" t="s">
        <v>129</v>
      </c>
      <c r="D84" s="14">
        <v>1</v>
      </c>
      <c r="E84" s="2">
        <v>1</v>
      </c>
      <c r="F84" s="2">
        <v>0.5</v>
      </c>
      <c r="G84" s="2">
        <v>1.1000000000000001</v>
      </c>
      <c r="H84" s="2">
        <v>0.9</v>
      </c>
      <c r="I84" s="2">
        <v>0.5</v>
      </c>
      <c r="J84" s="2">
        <v>0.7</v>
      </c>
      <c r="K84" s="2">
        <v>1.1499999999999999</v>
      </c>
      <c r="L84" s="2">
        <v>1</v>
      </c>
      <c r="M84" s="2">
        <v>2</v>
      </c>
      <c r="N84" s="2">
        <v>0.6</v>
      </c>
      <c r="O84" s="2">
        <v>0.6</v>
      </c>
      <c r="P84" s="2">
        <v>0.6</v>
      </c>
      <c r="Q84" s="2">
        <v>0.6</v>
      </c>
      <c r="R84" s="2">
        <v>0.6</v>
      </c>
      <c r="S84" s="2">
        <v>0.6</v>
      </c>
    </row>
    <row r="85" spans="2:19" x14ac:dyDescent="0.15">
      <c r="B85" s="1">
        <v>3</v>
      </c>
      <c r="C85" s="13" t="s">
        <v>130</v>
      </c>
      <c r="D85" s="14">
        <v>1</v>
      </c>
      <c r="E85" s="2">
        <v>0.6</v>
      </c>
      <c r="F85" s="2">
        <v>1.1000000000000001</v>
      </c>
      <c r="G85" s="2">
        <v>0.6</v>
      </c>
      <c r="H85" s="2">
        <v>0.8</v>
      </c>
      <c r="I85" s="2">
        <v>1.3</v>
      </c>
      <c r="J85" s="2">
        <v>1.2</v>
      </c>
      <c r="K85" s="2">
        <v>1.2</v>
      </c>
      <c r="L85" s="2">
        <v>1.2</v>
      </c>
      <c r="M85" s="2">
        <v>0.7</v>
      </c>
      <c r="N85" s="2">
        <v>1.25</v>
      </c>
      <c r="O85" s="2">
        <v>1.25</v>
      </c>
      <c r="P85" s="2">
        <v>1.25</v>
      </c>
      <c r="Q85" s="2">
        <v>1.25</v>
      </c>
      <c r="R85" s="2">
        <v>1.25</v>
      </c>
      <c r="S85" s="2">
        <v>2.5</v>
      </c>
    </row>
    <row r="86" spans="2:19" x14ac:dyDescent="0.15">
      <c r="B86" s="1">
        <v>4</v>
      </c>
      <c r="C86" s="13" t="s">
        <v>131</v>
      </c>
      <c r="D86" s="14">
        <v>1</v>
      </c>
      <c r="E86" s="2">
        <v>0.8</v>
      </c>
      <c r="F86" s="2">
        <v>1</v>
      </c>
      <c r="G86" s="2">
        <v>0.8</v>
      </c>
      <c r="H86" s="2">
        <v>0.7</v>
      </c>
      <c r="I86" s="2">
        <v>1.1000000000000001</v>
      </c>
      <c r="J86" s="2">
        <v>1.4</v>
      </c>
      <c r="K86" s="2">
        <v>1.1000000000000001</v>
      </c>
      <c r="L86" s="2">
        <v>1</v>
      </c>
      <c r="M86" s="2">
        <v>0.75</v>
      </c>
      <c r="N86" s="2">
        <v>1.25</v>
      </c>
      <c r="O86" s="2">
        <v>1.25</v>
      </c>
      <c r="P86" s="2">
        <v>1.25</v>
      </c>
      <c r="Q86" s="2">
        <v>2.5</v>
      </c>
      <c r="R86" s="2">
        <v>1.25</v>
      </c>
      <c r="S86" s="2">
        <v>1.25</v>
      </c>
    </row>
    <row r="87" spans="2:19" x14ac:dyDescent="0.15">
      <c r="B87" s="1">
        <v>5</v>
      </c>
      <c r="C87" s="13" t="s">
        <v>132</v>
      </c>
      <c r="D87" s="14">
        <v>1</v>
      </c>
      <c r="E87" s="2">
        <v>0.7</v>
      </c>
      <c r="F87" s="2">
        <v>0.8</v>
      </c>
      <c r="G87" s="2">
        <v>0.8</v>
      </c>
      <c r="H87" s="2">
        <v>0.7</v>
      </c>
      <c r="I87" s="2">
        <v>1</v>
      </c>
      <c r="J87" s="2">
        <v>1.2</v>
      </c>
      <c r="K87" s="2">
        <v>1.4</v>
      </c>
      <c r="L87" s="2">
        <v>1.4</v>
      </c>
      <c r="M87" s="2">
        <v>0.75</v>
      </c>
      <c r="N87" s="2">
        <v>1.1000000000000001</v>
      </c>
      <c r="O87" s="2">
        <v>1.1000000000000001</v>
      </c>
      <c r="P87" s="2">
        <v>2.2000000000000002</v>
      </c>
      <c r="Q87" s="2">
        <v>1.1000000000000001</v>
      </c>
      <c r="R87" s="2">
        <v>1.1000000000000001</v>
      </c>
      <c r="S87" s="2">
        <v>1.1000000000000001</v>
      </c>
    </row>
    <row r="88" spans="2:19" x14ac:dyDescent="0.15">
      <c r="B88" s="1">
        <v>6</v>
      </c>
      <c r="C88" s="13" t="s">
        <v>133</v>
      </c>
      <c r="D88" s="14">
        <v>1</v>
      </c>
      <c r="E88" s="2">
        <v>0.9</v>
      </c>
      <c r="F88" s="2">
        <v>0.6</v>
      </c>
      <c r="G88" s="2">
        <v>0.9</v>
      </c>
      <c r="H88" s="2">
        <v>0.7</v>
      </c>
      <c r="I88" s="2">
        <v>0.9</v>
      </c>
      <c r="J88" s="2">
        <v>0.9</v>
      </c>
      <c r="K88" s="2">
        <v>1.2</v>
      </c>
      <c r="L88" s="2">
        <v>0.8</v>
      </c>
      <c r="M88" s="2">
        <v>0.8</v>
      </c>
      <c r="N88" s="2">
        <v>0.9</v>
      </c>
      <c r="O88" s="2">
        <v>0.9</v>
      </c>
      <c r="P88" s="2">
        <v>0.9</v>
      </c>
      <c r="Q88" s="2">
        <v>0.9</v>
      </c>
      <c r="R88" s="2">
        <v>1.8</v>
      </c>
      <c r="S88" s="2">
        <v>0.9</v>
      </c>
    </row>
    <row r="89" spans="2:19" ht="15" x14ac:dyDescent="0.15">
      <c r="B89" s="1">
        <v>7</v>
      </c>
      <c r="C89" s="15" t="s">
        <v>134</v>
      </c>
      <c r="D89" s="14">
        <v>1</v>
      </c>
      <c r="E89" s="2">
        <v>0.8</v>
      </c>
      <c r="F89" s="2">
        <v>0.7</v>
      </c>
      <c r="G89" s="2">
        <v>0.85</v>
      </c>
      <c r="H89" s="2">
        <v>0.8</v>
      </c>
      <c r="I89" s="2">
        <v>1</v>
      </c>
      <c r="J89" s="2">
        <v>1</v>
      </c>
      <c r="K89" s="2">
        <v>1</v>
      </c>
      <c r="L89" s="2">
        <v>1</v>
      </c>
      <c r="M89" s="2">
        <v>0.82499999999999996</v>
      </c>
      <c r="N89" s="2">
        <v>2</v>
      </c>
      <c r="O89" s="2">
        <v>1</v>
      </c>
      <c r="P89" s="2">
        <v>1</v>
      </c>
      <c r="Q89" s="2">
        <v>1</v>
      </c>
      <c r="R89" s="2">
        <v>1</v>
      </c>
      <c r="S89" s="2">
        <v>1</v>
      </c>
    </row>
    <row r="90" spans="2:19" x14ac:dyDescent="0.15">
      <c r="B90" s="1">
        <v>8</v>
      </c>
      <c r="C90" s="13" t="s">
        <v>135</v>
      </c>
      <c r="D90" s="14">
        <v>1</v>
      </c>
      <c r="E90" s="2">
        <v>0.8</v>
      </c>
      <c r="F90" s="2">
        <v>1</v>
      </c>
      <c r="G90" s="2">
        <v>0.75</v>
      </c>
      <c r="H90" s="2">
        <v>0.85</v>
      </c>
      <c r="I90" s="2">
        <v>1.2</v>
      </c>
      <c r="J90" s="2">
        <v>1</v>
      </c>
      <c r="K90" s="2">
        <v>0.9</v>
      </c>
      <c r="L90" s="2">
        <v>1.1000000000000001</v>
      </c>
      <c r="M90" s="2">
        <v>0.8</v>
      </c>
      <c r="N90" s="2">
        <v>1.1000000000000001</v>
      </c>
      <c r="O90" s="2">
        <v>1.1000000000000001</v>
      </c>
      <c r="P90" s="2">
        <v>1.1000000000000001</v>
      </c>
      <c r="Q90" s="2">
        <v>2.2000000000000002</v>
      </c>
      <c r="R90" s="2">
        <v>1.1000000000000001</v>
      </c>
      <c r="S90" s="2">
        <v>1.1000000000000001</v>
      </c>
    </row>
    <row r="91" spans="2:19" x14ac:dyDescent="0.15">
      <c r="B91" s="1">
        <v>9</v>
      </c>
      <c r="C91" s="13" t="s">
        <v>136</v>
      </c>
      <c r="D91" s="14">
        <v>1</v>
      </c>
      <c r="E91" s="2">
        <v>0.7</v>
      </c>
      <c r="F91" s="2">
        <v>0.6</v>
      </c>
      <c r="G91" s="2">
        <v>0.7</v>
      </c>
      <c r="H91" s="2">
        <v>0.8</v>
      </c>
      <c r="I91" s="2">
        <v>0.8</v>
      </c>
      <c r="J91" s="2">
        <v>1.5</v>
      </c>
      <c r="K91" s="2">
        <v>0.7</v>
      </c>
      <c r="L91" s="2">
        <v>1.05</v>
      </c>
      <c r="M91" s="2">
        <v>0.75</v>
      </c>
      <c r="N91" s="2">
        <v>1.1499999999999999</v>
      </c>
      <c r="O91" s="2">
        <v>1.1499999999999999</v>
      </c>
      <c r="P91" s="2">
        <v>1.1499999999999999</v>
      </c>
      <c r="Q91" s="2">
        <v>1.1499999999999999</v>
      </c>
      <c r="R91" s="2">
        <v>1.1499999999999999</v>
      </c>
      <c r="S91" s="2">
        <v>2.2999999999999998</v>
      </c>
    </row>
    <row r="92" spans="2:19" ht="15" x14ac:dyDescent="0.15">
      <c r="B92" s="1">
        <v>10</v>
      </c>
      <c r="C92" s="15" t="s">
        <v>137</v>
      </c>
      <c r="D92" s="14">
        <v>1</v>
      </c>
      <c r="E92" s="2">
        <v>1.1499999999999999</v>
      </c>
      <c r="F92" s="2">
        <v>0.8</v>
      </c>
      <c r="G92" s="2">
        <v>0.9</v>
      </c>
      <c r="H92" s="2">
        <v>1.1000000000000001</v>
      </c>
      <c r="I92" s="2">
        <v>0.19999999999999996</v>
      </c>
      <c r="J92" s="2">
        <v>0.5</v>
      </c>
      <c r="K92" s="2">
        <v>1.05</v>
      </c>
      <c r="L92" s="2">
        <v>1</v>
      </c>
      <c r="M92" s="2">
        <v>1</v>
      </c>
      <c r="N92" s="2">
        <v>0.35</v>
      </c>
      <c r="O92" s="2">
        <v>0.7</v>
      </c>
      <c r="P92" s="2">
        <v>0.35</v>
      </c>
      <c r="Q92" s="2">
        <v>0.35</v>
      </c>
      <c r="R92" s="2">
        <v>0.35</v>
      </c>
      <c r="S92" s="2">
        <v>0.35</v>
      </c>
    </row>
    <row r="93" spans="2:19" x14ac:dyDescent="0.15">
      <c r="B93" s="1">
        <v>11</v>
      </c>
      <c r="C93" s="13" t="s">
        <v>138</v>
      </c>
      <c r="D93" s="13">
        <v>1.2</v>
      </c>
      <c r="E93" s="2">
        <v>1.44</v>
      </c>
      <c r="F93" s="2">
        <v>0.72</v>
      </c>
      <c r="G93" s="2">
        <v>1.38</v>
      </c>
      <c r="H93" s="2">
        <v>1.32</v>
      </c>
      <c r="I93" s="2">
        <v>0.96</v>
      </c>
      <c r="J93" s="2">
        <v>0.96</v>
      </c>
      <c r="K93" s="2">
        <v>1.32</v>
      </c>
      <c r="L93" s="2">
        <v>1.2</v>
      </c>
      <c r="M93" s="2">
        <v>2.7</v>
      </c>
      <c r="N93" s="2">
        <v>0.96</v>
      </c>
      <c r="O93" s="2">
        <v>0.96</v>
      </c>
      <c r="P93" s="2">
        <v>0.96</v>
      </c>
      <c r="Q93" s="2">
        <v>0.96</v>
      </c>
      <c r="R93" s="2">
        <v>0.96</v>
      </c>
      <c r="S93" s="2">
        <v>0.96</v>
      </c>
    </row>
    <row r="94" spans="2:19" x14ac:dyDescent="0.15">
      <c r="B94" s="1">
        <v>12</v>
      </c>
      <c r="C94" s="13" t="s">
        <v>139</v>
      </c>
      <c r="D94" s="13">
        <v>1.2</v>
      </c>
      <c r="E94" s="2">
        <v>1.08</v>
      </c>
      <c r="F94" s="2">
        <v>1.32</v>
      </c>
      <c r="G94" s="2">
        <v>1.26</v>
      </c>
      <c r="H94" s="2">
        <v>1.02</v>
      </c>
      <c r="I94" s="2">
        <v>1.2</v>
      </c>
      <c r="J94" s="2">
        <v>1.44</v>
      </c>
      <c r="K94" s="2">
        <v>1.08</v>
      </c>
      <c r="L94" s="2">
        <v>1.56</v>
      </c>
      <c r="M94" s="2">
        <v>1.1400000000000001</v>
      </c>
      <c r="N94" s="2">
        <v>1.3199999999999998</v>
      </c>
      <c r="O94" s="2">
        <v>1.3199999999999998</v>
      </c>
      <c r="P94" s="2">
        <v>1.3199999999999998</v>
      </c>
      <c r="Q94" s="2">
        <v>1.3199999999999998</v>
      </c>
      <c r="R94" s="2">
        <v>1.3199999999999998</v>
      </c>
      <c r="S94" s="2">
        <v>2.6399999999999997</v>
      </c>
    </row>
    <row r="95" spans="2:19" x14ac:dyDescent="0.15">
      <c r="B95" s="1">
        <v>13</v>
      </c>
      <c r="C95" s="13" t="s">
        <v>140</v>
      </c>
      <c r="D95" s="13">
        <v>1.2</v>
      </c>
      <c r="E95" s="2">
        <v>1.2</v>
      </c>
      <c r="F95" s="2">
        <v>1.2</v>
      </c>
      <c r="G95" s="2">
        <v>1.32</v>
      </c>
      <c r="H95" s="2">
        <v>1.2</v>
      </c>
      <c r="I95" s="2">
        <v>1.38</v>
      </c>
      <c r="J95" s="2">
        <v>1.56</v>
      </c>
      <c r="K95" s="2">
        <v>1.38</v>
      </c>
      <c r="L95" s="2">
        <v>1.2</v>
      </c>
      <c r="M95" s="2">
        <v>1.26</v>
      </c>
      <c r="N95" s="2">
        <v>1.47</v>
      </c>
      <c r="O95" s="2">
        <v>1.47</v>
      </c>
      <c r="P95" s="2">
        <v>1.47</v>
      </c>
      <c r="Q95" s="2">
        <v>2.94</v>
      </c>
      <c r="R95" s="2">
        <v>1.47</v>
      </c>
      <c r="S95" s="2">
        <v>1.47</v>
      </c>
    </row>
    <row r="96" spans="2:19" x14ac:dyDescent="0.15">
      <c r="B96" s="1">
        <v>14</v>
      </c>
      <c r="C96" s="13" t="s">
        <v>141</v>
      </c>
      <c r="D96" s="13">
        <v>1.2</v>
      </c>
      <c r="E96" s="2">
        <v>0.96</v>
      </c>
      <c r="F96" s="2">
        <v>1.44</v>
      </c>
      <c r="G96" s="2">
        <v>0.84</v>
      </c>
      <c r="H96" s="2">
        <v>0.96</v>
      </c>
      <c r="I96" s="2">
        <v>1.44</v>
      </c>
      <c r="J96" s="2">
        <v>1.44</v>
      </c>
      <c r="K96" s="2">
        <v>1.26</v>
      </c>
      <c r="L96" s="2">
        <v>1.2</v>
      </c>
      <c r="M96" s="2">
        <v>0.89999999999999991</v>
      </c>
      <c r="N96" s="2">
        <v>1.44</v>
      </c>
      <c r="O96" s="2">
        <v>1.44</v>
      </c>
      <c r="P96" s="2">
        <v>2.88</v>
      </c>
      <c r="Q96" s="2">
        <v>1.44</v>
      </c>
      <c r="R96" s="2">
        <v>1.44</v>
      </c>
      <c r="S96" s="2">
        <v>1.44</v>
      </c>
    </row>
    <row r="97" spans="2:19" x14ac:dyDescent="0.15">
      <c r="B97" s="1">
        <v>15</v>
      </c>
      <c r="C97" s="13" t="s">
        <v>142</v>
      </c>
      <c r="D97" s="13">
        <v>1.2</v>
      </c>
      <c r="E97" s="2">
        <v>1.1399999999999999</v>
      </c>
      <c r="F97" s="2">
        <v>1.1399999999999999</v>
      </c>
      <c r="G97" s="2">
        <v>1.2</v>
      </c>
      <c r="H97" s="2">
        <v>1.2</v>
      </c>
      <c r="I97" s="2">
        <v>1.44</v>
      </c>
      <c r="J97" s="2">
        <v>1.2</v>
      </c>
      <c r="K97" s="2">
        <v>1.32</v>
      </c>
      <c r="L97" s="2">
        <v>1.26</v>
      </c>
      <c r="M97" s="2">
        <v>1.2</v>
      </c>
      <c r="N97" s="2">
        <v>1.3199999999999998</v>
      </c>
      <c r="O97" s="2">
        <v>1.3199999999999998</v>
      </c>
      <c r="P97" s="2">
        <v>1.3199999999999998</v>
      </c>
      <c r="Q97" s="2">
        <v>1.3199999999999998</v>
      </c>
      <c r="R97" s="2">
        <v>2.6399999999999997</v>
      </c>
      <c r="S97" s="2">
        <v>1.3199999999999998</v>
      </c>
    </row>
    <row r="98" spans="2:19" x14ac:dyDescent="0.15">
      <c r="B98" s="1">
        <v>16</v>
      </c>
      <c r="C98" s="13" t="s">
        <v>143</v>
      </c>
      <c r="D98" s="13">
        <v>1.2</v>
      </c>
      <c r="E98" s="2">
        <v>1.26</v>
      </c>
      <c r="F98" s="2">
        <v>1.08</v>
      </c>
      <c r="G98" s="2">
        <v>1.32</v>
      </c>
      <c r="H98" s="2">
        <v>1.44</v>
      </c>
      <c r="I98" s="2">
        <v>1.08</v>
      </c>
      <c r="J98" s="2">
        <v>1.2</v>
      </c>
      <c r="K98" s="2">
        <v>1.32</v>
      </c>
      <c r="L98" s="2">
        <v>1.2</v>
      </c>
      <c r="M98" s="2">
        <v>1.38</v>
      </c>
      <c r="N98" s="2">
        <v>1.1400000000000001</v>
      </c>
      <c r="O98" s="2">
        <v>2.2800000000000002</v>
      </c>
      <c r="P98" s="2">
        <v>1.1400000000000001</v>
      </c>
      <c r="Q98" s="2">
        <v>1.1400000000000001</v>
      </c>
      <c r="R98" s="2">
        <v>1.1400000000000001</v>
      </c>
      <c r="S98" s="2">
        <v>1.1400000000000001</v>
      </c>
    </row>
    <row r="99" spans="2:19" x14ac:dyDescent="0.15">
      <c r="B99" s="1">
        <v>17</v>
      </c>
      <c r="C99" s="13" t="s">
        <v>144</v>
      </c>
      <c r="D99" s="13">
        <v>1.2</v>
      </c>
      <c r="E99" s="2">
        <v>0.96</v>
      </c>
      <c r="F99" s="2">
        <v>1.08</v>
      </c>
      <c r="G99" s="2">
        <v>0.96</v>
      </c>
      <c r="H99" s="2">
        <v>1.08</v>
      </c>
      <c r="I99" s="2">
        <v>1.2</v>
      </c>
      <c r="J99" s="2">
        <v>1.2</v>
      </c>
      <c r="K99" s="2">
        <v>1.08</v>
      </c>
      <c r="L99" s="2">
        <v>1.38</v>
      </c>
      <c r="M99" s="2">
        <v>2.04</v>
      </c>
      <c r="N99" s="2">
        <v>1.2</v>
      </c>
      <c r="O99" s="2">
        <v>1.2</v>
      </c>
      <c r="P99" s="2">
        <v>1.2</v>
      </c>
      <c r="Q99" s="2">
        <v>1.2</v>
      </c>
      <c r="R99" s="2">
        <v>1.2</v>
      </c>
      <c r="S99" s="2">
        <v>1.2</v>
      </c>
    </row>
    <row r="100" spans="2:19" x14ac:dyDescent="0.15">
      <c r="B100" s="1">
        <v>18</v>
      </c>
      <c r="C100" s="13" t="s">
        <v>145</v>
      </c>
      <c r="D100" s="13">
        <v>1.44</v>
      </c>
      <c r="E100" s="2">
        <v>1.44</v>
      </c>
      <c r="F100" s="2">
        <v>1.728</v>
      </c>
      <c r="G100" s="2">
        <v>1.296</v>
      </c>
      <c r="H100" s="2">
        <v>1.296</v>
      </c>
      <c r="I100" s="2">
        <v>1.8719999999999999</v>
      </c>
      <c r="J100" s="2">
        <v>1.5840000000000001</v>
      </c>
      <c r="K100" s="2">
        <v>1.6559999999999999</v>
      </c>
      <c r="L100" s="2">
        <v>1.44</v>
      </c>
      <c r="M100" s="2">
        <v>1.296</v>
      </c>
      <c r="N100" s="2">
        <v>1.728</v>
      </c>
      <c r="O100" s="2">
        <v>1.728</v>
      </c>
      <c r="P100" s="2">
        <v>1.728</v>
      </c>
      <c r="Q100" s="2">
        <v>1.728</v>
      </c>
      <c r="R100" s="2">
        <v>1.728</v>
      </c>
      <c r="S100" s="2">
        <v>3.456</v>
      </c>
    </row>
    <row r="101" spans="2:19" x14ac:dyDescent="0.15">
      <c r="B101" s="1">
        <v>19</v>
      </c>
      <c r="C101" s="13" t="s">
        <v>146</v>
      </c>
      <c r="D101" s="13">
        <v>1.44</v>
      </c>
      <c r="E101" s="2">
        <v>1.5840000000000001</v>
      </c>
      <c r="F101" s="2">
        <v>1.296</v>
      </c>
      <c r="G101" s="2">
        <v>1.7999999999999998</v>
      </c>
      <c r="H101" s="2">
        <v>1.512</v>
      </c>
      <c r="I101" s="2">
        <v>1.44</v>
      </c>
      <c r="J101" s="2">
        <v>1.44</v>
      </c>
      <c r="K101" s="2">
        <v>1.5840000000000001</v>
      </c>
      <c r="L101" s="2">
        <v>1.44</v>
      </c>
      <c r="M101" s="2">
        <v>1.6559999999999999</v>
      </c>
      <c r="N101" s="2">
        <v>1.44</v>
      </c>
      <c r="O101" s="2">
        <v>1.44</v>
      </c>
      <c r="P101" s="2">
        <v>1.44</v>
      </c>
      <c r="Q101" s="2">
        <v>2.88</v>
      </c>
      <c r="R101" s="2">
        <v>1.44</v>
      </c>
      <c r="S101" s="2">
        <v>1.44</v>
      </c>
    </row>
    <row r="102" spans="2:19" x14ac:dyDescent="0.15">
      <c r="B102" s="1">
        <v>20</v>
      </c>
      <c r="C102" s="13" t="s">
        <v>147</v>
      </c>
      <c r="D102" s="13">
        <v>1.44</v>
      </c>
      <c r="E102" s="2">
        <v>1.5840000000000001</v>
      </c>
      <c r="F102" s="2">
        <v>1.5840000000000001</v>
      </c>
      <c r="G102" s="2">
        <v>1.5840000000000001</v>
      </c>
      <c r="H102" s="2">
        <v>1.44</v>
      </c>
      <c r="I102" s="2">
        <v>1.5840000000000001</v>
      </c>
      <c r="J102" s="2">
        <v>1.44</v>
      </c>
      <c r="K102" s="2">
        <v>1.44</v>
      </c>
      <c r="L102" s="2">
        <v>1.5840000000000001</v>
      </c>
      <c r="M102" s="2">
        <v>1.512</v>
      </c>
      <c r="N102" s="2">
        <v>3.024</v>
      </c>
      <c r="O102" s="2">
        <v>1.512</v>
      </c>
      <c r="P102" s="2">
        <v>1.512</v>
      </c>
      <c r="Q102" s="2">
        <v>1.512</v>
      </c>
      <c r="R102" s="2">
        <v>1.512</v>
      </c>
      <c r="S102" s="2">
        <v>1.512</v>
      </c>
    </row>
  </sheetData>
  <phoneticPr fontId="2" type="noConversion"/>
  <conditionalFormatting sqref="E4:L4">
    <cfRule type="dataBar" priority="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{0C0D7928-8830-492E-A30D-1ADFFFA81C30}</x14:id>
        </ext>
      </extLst>
    </cfRule>
  </conditionalFormatting>
  <conditionalFormatting sqref="E5:L5">
    <cfRule type="dataBar" priority="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{12F81BE4-17BE-427B-882C-192C0B2315F2}</x14:id>
        </ext>
      </extLst>
    </cfRule>
  </conditionalFormatting>
  <conditionalFormatting sqref="E6:L6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{EA49B1DD-2065-4A82-B1B1-D28FC38C69E3}</x14:id>
        </ext>
      </extLst>
    </cfRule>
  </conditionalFormatting>
  <conditionalFormatting sqref="E3:L3">
    <cfRule type="dataBar" priority="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{741D7DB5-3839-4996-9879-9906CA7A9ACA}</x14:id>
        </ext>
      </extLst>
    </cfRule>
  </conditionalFormatting>
  <conditionalFormatting sqref="E7:L7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{E8B34E41-F56A-4B35-84A6-FAAB0125EA70}</x14:id>
        </ext>
      </extLst>
    </cfRule>
  </conditionalFormatting>
  <conditionalFormatting sqref="E8:L8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{04C21998-DC96-4187-A802-79EF5B683AEE}</x14:id>
        </ext>
      </extLst>
    </cfRule>
  </conditionalFormatting>
  <conditionalFormatting sqref="E9:L9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{62729135-9D96-47CF-9FCD-C15BCF0A19D3}</x14:id>
        </ext>
      </extLst>
    </cfRule>
  </conditionalFormatting>
  <conditionalFormatting sqref="E10:L10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{F192837A-4DE3-4412-BECC-3982ED82F986}</x14:id>
        </ext>
      </extLst>
    </cfRule>
  </conditionalFormatting>
  <conditionalFormatting sqref="E11:L11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{51245893-ADC2-41CC-9524-BF1D415B3918}</x14:id>
        </ext>
      </extLst>
    </cfRule>
  </conditionalFormatting>
  <conditionalFormatting sqref="E12:L12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{75E42EEE-1067-4171-AA0A-83382C294960}</x14:id>
        </ext>
      </extLst>
    </cfRule>
  </conditionalFormatting>
  <conditionalFormatting sqref="E13:L13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{F5D2DC26-7BF6-4F90-9531-22261B9135E3}</x14:id>
        </ext>
      </extLst>
    </cfRule>
  </conditionalFormatting>
  <conditionalFormatting sqref="E14:L14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{844EC473-A158-436B-B78D-4ACFD99FD575}</x14:id>
        </ext>
      </extLst>
    </cfRule>
  </conditionalFormatting>
  <conditionalFormatting sqref="E15:L15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{8EFA42FA-C114-4D4A-A975-5382D4AC7A69}</x14:id>
        </ext>
      </extLst>
    </cfRule>
  </conditionalFormatting>
  <conditionalFormatting sqref="E16:L16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{5465F3F1-262F-42B5-880D-4D33A15C251B}</x14:id>
        </ext>
      </extLst>
    </cfRule>
  </conditionalFormatting>
  <conditionalFormatting sqref="E17:L17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{80D9978C-31B6-42A7-A44C-393FFCE64D56}</x14:id>
        </ext>
      </extLst>
    </cfRule>
  </conditionalFormatting>
  <conditionalFormatting sqref="E18:L18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{36CAC3B2-30A6-478D-84AA-529DC41DC28D}</x14:id>
        </ext>
      </extLst>
    </cfRule>
  </conditionalFormatting>
  <conditionalFormatting sqref="E19:L19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{E217DAB2-B92D-4D99-ABC2-38853C5CC817}</x14:id>
        </ext>
      </extLst>
    </cfRule>
  </conditionalFormatting>
  <conditionalFormatting sqref="E20:L20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{02BD2CD0-7568-4EA0-8AE2-E06E24F1DA2A}</x14:id>
        </ext>
      </extLst>
    </cfRule>
  </conditionalFormatting>
  <conditionalFormatting sqref="E21:L21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{DB4BD265-8CC9-4CB2-BDB7-2D7E169CFCE6}</x14:id>
        </ext>
      </extLst>
    </cfRule>
  </conditionalFormatting>
  <conditionalFormatting sqref="E22:L22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{D01E097B-27BE-429B-897A-12DB9D549253}</x14:id>
        </ext>
      </extLst>
    </cfRule>
  </conditionalFormatting>
  <conditionalFormatting sqref="E23:L23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{5574AA71-7321-43CF-BD8B-37CC767EA0EA}</x14:id>
        </ext>
      </extLst>
    </cfRule>
  </conditionalFormatting>
  <conditionalFormatting sqref="E24:L24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{621A91C3-FA13-4119-A4BB-C80BF4BD7810}</x14:id>
        </ext>
      </extLst>
    </cfRule>
  </conditionalFormatting>
  <conditionalFormatting sqref="E25:L25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{5D67AF26-49AE-4DE6-99FF-D7DB862A19A5}</x14:id>
        </ext>
      </extLst>
    </cfRule>
  </conditionalFormatting>
  <conditionalFormatting sqref="E26:L26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{CF3D5830-7679-4F55-ACBF-22265A3E833A}</x14:id>
        </ext>
      </extLst>
    </cfRule>
  </conditionalFormatting>
  <conditionalFormatting sqref="E27:L27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{0F15614C-BF60-4789-97DA-F937FBF186E5}</x14:id>
        </ext>
      </extLst>
    </cfRule>
  </conditionalFormatting>
  <conditionalFormatting sqref="E28:L28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{3BB9EC39-09CC-4C01-B87E-0EB3D4C133B9}</x14:id>
        </ext>
      </extLst>
    </cfRule>
  </conditionalFormatting>
  <conditionalFormatting sqref="E29:L29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{20799F0C-F158-47D1-8FE1-834BF425FF6E}</x14:id>
        </ext>
      </extLst>
    </cfRule>
  </conditionalFormatting>
  <conditionalFormatting sqref="E30:L30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{AB7F1C8D-1419-4781-AAE5-EBB14B410F72}</x14:id>
        </ext>
      </extLst>
    </cfRule>
  </conditionalFormatting>
  <conditionalFormatting sqref="E31:L31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{0DB8D9F9-3C04-4C34-B8A1-24CE07A099FA}</x14:id>
        </ext>
      </extLst>
    </cfRule>
  </conditionalFormatting>
  <conditionalFormatting sqref="E32:L32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{BCBB4A4C-8F8D-4991-B9B2-C02A55DE94D2}</x14:id>
        </ext>
      </extLst>
    </cfRule>
  </conditionalFormatting>
  <conditionalFormatting sqref="E33:L39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{95634010-732C-4CCC-8F24-808B700D66DF}</x14:id>
        </ext>
      </extLst>
    </cfRule>
  </conditionalFormatting>
  <conditionalFormatting sqref="E44:S74 E75:L77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{CEC0D7BC-F3B9-460F-9536-359FA6596B77}</x14:id>
        </ext>
      </extLst>
    </cfRule>
  </conditionalFormatting>
  <conditionalFormatting sqref="E78:L80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{588E90A1-2DA5-453C-89AF-78BDBA7433C6}</x14:id>
        </ext>
      </extLst>
    </cfRule>
  </conditionalFormatting>
  <conditionalFormatting sqref="E83:S102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{407029B2-B3A3-44A2-8307-F77ED5094055}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D7928-8830-492E-A30D-1ADFFFA81C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E4:L4</xm:sqref>
        </x14:conditionalFormatting>
        <x14:conditionalFormatting xmlns:xm="http://schemas.microsoft.com/office/excel/2006/main">
          <x14:cfRule type="dataBar" id="{12F81BE4-17BE-427B-882C-192C0B2315F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E5:L5</xm:sqref>
        </x14:conditionalFormatting>
        <x14:conditionalFormatting xmlns:xm="http://schemas.microsoft.com/office/excel/2006/main">
          <x14:cfRule type="dataBar" id="{EA49B1DD-2065-4A82-B1B1-D28FC38C69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E6:L6</xm:sqref>
        </x14:conditionalFormatting>
        <x14:conditionalFormatting xmlns:xm="http://schemas.microsoft.com/office/excel/2006/main">
          <x14:cfRule type="dataBar" id="{741D7DB5-3839-4996-9879-9906CA7A9A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E3:L3</xm:sqref>
        </x14:conditionalFormatting>
        <x14:conditionalFormatting xmlns:xm="http://schemas.microsoft.com/office/excel/2006/main">
          <x14:cfRule type="dataBar" id="{E8B34E41-F56A-4B35-84A6-FAAB0125EA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E7:L7</xm:sqref>
        </x14:conditionalFormatting>
        <x14:conditionalFormatting xmlns:xm="http://schemas.microsoft.com/office/excel/2006/main">
          <x14:cfRule type="dataBar" id="{04C21998-DC96-4187-A802-79EF5B683A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E8:L8</xm:sqref>
        </x14:conditionalFormatting>
        <x14:conditionalFormatting xmlns:xm="http://schemas.microsoft.com/office/excel/2006/main">
          <x14:cfRule type="dataBar" id="{62729135-9D96-47CF-9FCD-C15BCF0A19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E9:L9</xm:sqref>
        </x14:conditionalFormatting>
        <x14:conditionalFormatting xmlns:xm="http://schemas.microsoft.com/office/excel/2006/main">
          <x14:cfRule type="dataBar" id="{F192837A-4DE3-4412-BECC-3982ED82F98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E10:L10</xm:sqref>
        </x14:conditionalFormatting>
        <x14:conditionalFormatting xmlns:xm="http://schemas.microsoft.com/office/excel/2006/main">
          <x14:cfRule type="dataBar" id="{51245893-ADC2-41CC-9524-BF1D415B39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E11:L11</xm:sqref>
        </x14:conditionalFormatting>
        <x14:conditionalFormatting xmlns:xm="http://schemas.microsoft.com/office/excel/2006/main">
          <x14:cfRule type="dataBar" id="{75E42EEE-1067-4171-AA0A-83382C2949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E12:L12</xm:sqref>
        </x14:conditionalFormatting>
        <x14:conditionalFormatting xmlns:xm="http://schemas.microsoft.com/office/excel/2006/main">
          <x14:cfRule type="dataBar" id="{F5D2DC26-7BF6-4F90-9531-22261B9135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E13:L13</xm:sqref>
        </x14:conditionalFormatting>
        <x14:conditionalFormatting xmlns:xm="http://schemas.microsoft.com/office/excel/2006/main">
          <x14:cfRule type="dataBar" id="{844EC473-A158-436B-B78D-4ACFD99FD5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E14:L14</xm:sqref>
        </x14:conditionalFormatting>
        <x14:conditionalFormatting xmlns:xm="http://schemas.microsoft.com/office/excel/2006/main">
          <x14:cfRule type="dataBar" id="{8EFA42FA-C114-4D4A-A975-5382D4AC7A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E15:L15</xm:sqref>
        </x14:conditionalFormatting>
        <x14:conditionalFormatting xmlns:xm="http://schemas.microsoft.com/office/excel/2006/main">
          <x14:cfRule type="dataBar" id="{5465F3F1-262F-42B5-880D-4D33A15C251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E16:L16</xm:sqref>
        </x14:conditionalFormatting>
        <x14:conditionalFormatting xmlns:xm="http://schemas.microsoft.com/office/excel/2006/main">
          <x14:cfRule type="dataBar" id="{80D9978C-31B6-42A7-A44C-393FFCE64D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E17:L17</xm:sqref>
        </x14:conditionalFormatting>
        <x14:conditionalFormatting xmlns:xm="http://schemas.microsoft.com/office/excel/2006/main">
          <x14:cfRule type="dataBar" id="{36CAC3B2-30A6-478D-84AA-529DC41DC2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E18:L18</xm:sqref>
        </x14:conditionalFormatting>
        <x14:conditionalFormatting xmlns:xm="http://schemas.microsoft.com/office/excel/2006/main">
          <x14:cfRule type="dataBar" id="{E217DAB2-B92D-4D99-ABC2-38853C5CC8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E19:L19</xm:sqref>
        </x14:conditionalFormatting>
        <x14:conditionalFormatting xmlns:xm="http://schemas.microsoft.com/office/excel/2006/main">
          <x14:cfRule type="dataBar" id="{02BD2CD0-7568-4EA0-8AE2-E06E24F1DA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E20:L20</xm:sqref>
        </x14:conditionalFormatting>
        <x14:conditionalFormatting xmlns:xm="http://schemas.microsoft.com/office/excel/2006/main">
          <x14:cfRule type="dataBar" id="{DB4BD265-8CC9-4CB2-BDB7-2D7E169CFC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E21:L21</xm:sqref>
        </x14:conditionalFormatting>
        <x14:conditionalFormatting xmlns:xm="http://schemas.microsoft.com/office/excel/2006/main">
          <x14:cfRule type="dataBar" id="{D01E097B-27BE-429B-897A-12DB9D5492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E22:L22</xm:sqref>
        </x14:conditionalFormatting>
        <x14:conditionalFormatting xmlns:xm="http://schemas.microsoft.com/office/excel/2006/main">
          <x14:cfRule type="dataBar" id="{5574AA71-7321-43CF-BD8B-37CC767EA0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E23:L23</xm:sqref>
        </x14:conditionalFormatting>
        <x14:conditionalFormatting xmlns:xm="http://schemas.microsoft.com/office/excel/2006/main">
          <x14:cfRule type="dataBar" id="{621A91C3-FA13-4119-A4BB-C80BF4BD78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E24:L24</xm:sqref>
        </x14:conditionalFormatting>
        <x14:conditionalFormatting xmlns:xm="http://schemas.microsoft.com/office/excel/2006/main">
          <x14:cfRule type="dataBar" id="{5D67AF26-49AE-4DE6-99FF-D7DB862A19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E25:L25</xm:sqref>
        </x14:conditionalFormatting>
        <x14:conditionalFormatting xmlns:xm="http://schemas.microsoft.com/office/excel/2006/main">
          <x14:cfRule type="dataBar" id="{CF3D5830-7679-4F55-ACBF-22265A3E83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E26:L26</xm:sqref>
        </x14:conditionalFormatting>
        <x14:conditionalFormatting xmlns:xm="http://schemas.microsoft.com/office/excel/2006/main">
          <x14:cfRule type="dataBar" id="{0F15614C-BF60-4789-97DA-F937FBF186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E27:L27</xm:sqref>
        </x14:conditionalFormatting>
        <x14:conditionalFormatting xmlns:xm="http://schemas.microsoft.com/office/excel/2006/main">
          <x14:cfRule type="dataBar" id="{3BB9EC39-09CC-4C01-B87E-0EB3D4C133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E28:L28</xm:sqref>
        </x14:conditionalFormatting>
        <x14:conditionalFormatting xmlns:xm="http://schemas.microsoft.com/office/excel/2006/main">
          <x14:cfRule type="dataBar" id="{20799F0C-F158-47D1-8FE1-834BF425FF6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E29:L29</xm:sqref>
        </x14:conditionalFormatting>
        <x14:conditionalFormatting xmlns:xm="http://schemas.microsoft.com/office/excel/2006/main">
          <x14:cfRule type="dataBar" id="{AB7F1C8D-1419-4781-AAE5-EBB14B410F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E30:L30</xm:sqref>
        </x14:conditionalFormatting>
        <x14:conditionalFormatting xmlns:xm="http://schemas.microsoft.com/office/excel/2006/main">
          <x14:cfRule type="dataBar" id="{0DB8D9F9-3C04-4C34-B8A1-24CE07A099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E31:L31</xm:sqref>
        </x14:conditionalFormatting>
        <x14:conditionalFormatting xmlns:xm="http://schemas.microsoft.com/office/excel/2006/main">
          <x14:cfRule type="dataBar" id="{BCBB4A4C-8F8D-4991-B9B2-C02A55DE94D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E32:L32</xm:sqref>
        </x14:conditionalFormatting>
        <x14:conditionalFormatting xmlns:xm="http://schemas.microsoft.com/office/excel/2006/main">
          <x14:cfRule type="dataBar" id="{95634010-732C-4CCC-8F24-808B700D66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E33:L39</xm:sqref>
        </x14:conditionalFormatting>
        <x14:conditionalFormatting xmlns:xm="http://schemas.microsoft.com/office/excel/2006/main">
          <x14:cfRule type="dataBar" id="{CEC0D7BC-F3B9-460F-9536-359FA6596B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E44:S74 E75:L77</xm:sqref>
        </x14:conditionalFormatting>
        <x14:conditionalFormatting xmlns:xm="http://schemas.microsoft.com/office/excel/2006/main">
          <x14:cfRule type="dataBar" id="{588E90A1-2DA5-453C-89AF-78BDBA7433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E78:L80</xm:sqref>
        </x14:conditionalFormatting>
        <x14:conditionalFormatting xmlns:xm="http://schemas.microsoft.com/office/excel/2006/main">
          <x14:cfRule type="dataBar" id="{407029B2-B3A3-44A2-8307-F77ED50940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E83:S102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AE59"/>
  <sheetViews>
    <sheetView tabSelected="1" workbookViewId="0">
      <selection activeCell="O12" sqref="O12"/>
    </sheetView>
  </sheetViews>
  <sheetFormatPr defaultRowHeight="12.75" x14ac:dyDescent="0.15"/>
  <cols>
    <col min="1" max="16384" width="9" style="27"/>
  </cols>
  <sheetData>
    <row r="3" spans="2:13" x14ac:dyDescent="0.15">
      <c r="B3" s="21"/>
      <c r="C3" s="21" t="s">
        <v>2</v>
      </c>
      <c r="D3" s="21" t="s">
        <v>158</v>
      </c>
      <c r="E3" s="21"/>
      <c r="F3" s="21" t="s">
        <v>178</v>
      </c>
      <c r="G3" s="21" t="s">
        <v>179</v>
      </c>
      <c r="H3" s="21"/>
      <c r="I3" s="21" t="s">
        <v>159</v>
      </c>
      <c r="J3" s="21" t="s">
        <v>160</v>
      </c>
      <c r="L3" s="29" t="s">
        <v>270</v>
      </c>
      <c r="M3" s="29" t="s">
        <v>273</v>
      </c>
    </row>
    <row r="4" spans="2:13" x14ac:dyDescent="0.15">
      <c r="B4" s="21">
        <v>1</v>
      </c>
      <c r="C4" s="21">
        <v>10</v>
      </c>
      <c r="D4" s="21">
        <v>10</v>
      </c>
      <c r="E4" s="21"/>
      <c r="F4" s="21">
        <v>0.5</v>
      </c>
      <c r="G4" s="21">
        <v>0.95</v>
      </c>
      <c r="H4" s="21"/>
      <c r="I4" s="21">
        <f>C4*F4</f>
        <v>5</v>
      </c>
      <c r="J4" s="21">
        <f>D4/G4</f>
        <v>10.526315789473685</v>
      </c>
      <c r="L4" s="28" t="s">
        <v>271</v>
      </c>
      <c r="M4" s="21">
        <v>0.3</v>
      </c>
    </row>
    <row r="5" spans="2:13" x14ac:dyDescent="0.15">
      <c r="B5" s="21">
        <v>2</v>
      </c>
      <c r="C5" s="21">
        <f>C4+1</f>
        <v>11</v>
      </c>
      <c r="D5" s="21">
        <f>C4/(C5/D4)</f>
        <v>9.0909090909090899</v>
      </c>
      <c r="E5" s="21"/>
      <c r="F5" s="21">
        <f>F4+0.05</f>
        <v>0.55000000000000004</v>
      </c>
      <c r="G5" s="21">
        <f>G4-0.05</f>
        <v>0.89999999999999991</v>
      </c>
      <c r="H5" s="21"/>
      <c r="I5" s="21">
        <f t="shared" ref="I5:I13" si="0">C5*F5</f>
        <v>6.0500000000000007</v>
      </c>
      <c r="J5" s="21">
        <f t="shared" ref="J5:J13" si="1">D5/G5</f>
        <v>10.1010101010101</v>
      </c>
      <c r="L5" s="28" t="s">
        <v>272</v>
      </c>
      <c r="M5" s="21">
        <v>0.7</v>
      </c>
    </row>
    <row r="6" spans="2:13" x14ac:dyDescent="0.15">
      <c r="B6" s="21">
        <v>3</v>
      </c>
      <c r="C6" s="21">
        <f t="shared" ref="C6:C13" si="2">C5+1</f>
        <v>12</v>
      </c>
      <c r="D6" s="21">
        <f t="shared" ref="D6:D13" si="3">C5/(C6/D5)</f>
        <v>8.3333333333333321</v>
      </c>
      <c r="E6" s="21"/>
      <c r="F6" s="21">
        <f t="shared" ref="F6:F13" si="4">F5+0.05</f>
        <v>0.60000000000000009</v>
      </c>
      <c r="G6" s="21">
        <f t="shared" ref="G6:G13" si="5">G5-0.05</f>
        <v>0.84999999999999987</v>
      </c>
      <c r="H6" s="21"/>
      <c r="I6" s="21">
        <f t="shared" si="0"/>
        <v>7.2000000000000011</v>
      </c>
      <c r="J6" s="21">
        <f t="shared" si="1"/>
        <v>9.8039215686274517</v>
      </c>
    </row>
    <row r="7" spans="2:13" x14ac:dyDescent="0.15">
      <c r="B7" s="21">
        <v>4</v>
      </c>
      <c r="C7" s="21">
        <f t="shared" si="2"/>
        <v>13</v>
      </c>
      <c r="D7" s="21">
        <f t="shared" si="3"/>
        <v>7.6923076923076907</v>
      </c>
      <c r="E7" s="21"/>
      <c r="F7" s="21">
        <f t="shared" si="4"/>
        <v>0.65000000000000013</v>
      </c>
      <c r="G7" s="21">
        <f t="shared" si="5"/>
        <v>0.79999999999999982</v>
      </c>
      <c r="H7" s="21"/>
      <c r="I7" s="21">
        <f t="shared" si="0"/>
        <v>8.4500000000000011</v>
      </c>
      <c r="J7" s="21">
        <f t="shared" si="1"/>
        <v>9.615384615384615</v>
      </c>
    </row>
    <row r="8" spans="2:13" x14ac:dyDescent="0.15">
      <c r="B8" s="21">
        <v>5</v>
      </c>
      <c r="C8" s="21">
        <f t="shared" si="2"/>
        <v>14</v>
      </c>
      <c r="D8" s="21">
        <f t="shared" si="3"/>
        <v>7.1428571428571415</v>
      </c>
      <c r="E8" s="21"/>
      <c r="F8" s="21">
        <f t="shared" si="4"/>
        <v>0.70000000000000018</v>
      </c>
      <c r="G8" s="21">
        <f t="shared" si="5"/>
        <v>0.74999999999999978</v>
      </c>
      <c r="H8" s="21"/>
      <c r="I8" s="21">
        <f t="shared" si="0"/>
        <v>9.8000000000000025</v>
      </c>
      <c r="J8" s="21">
        <f t="shared" si="1"/>
        <v>9.5238095238095255</v>
      </c>
    </row>
    <row r="9" spans="2:13" x14ac:dyDescent="0.15">
      <c r="B9" s="21">
        <v>6</v>
      </c>
      <c r="C9" s="21">
        <f t="shared" si="2"/>
        <v>15</v>
      </c>
      <c r="D9" s="21">
        <f t="shared" si="3"/>
        <v>6.6666666666666652</v>
      </c>
      <c r="E9" s="21"/>
      <c r="F9" s="21">
        <f t="shared" si="4"/>
        <v>0.75000000000000022</v>
      </c>
      <c r="G9" s="21">
        <f t="shared" si="5"/>
        <v>0.69999999999999973</v>
      </c>
      <c r="H9" s="21"/>
      <c r="I9" s="21">
        <f t="shared" si="0"/>
        <v>11.250000000000004</v>
      </c>
      <c r="J9" s="21">
        <f t="shared" si="1"/>
        <v>9.5238095238095255</v>
      </c>
    </row>
    <row r="10" spans="2:13" x14ac:dyDescent="0.15">
      <c r="B10" s="21">
        <v>7</v>
      </c>
      <c r="C10" s="21">
        <f t="shared" si="2"/>
        <v>16</v>
      </c>
      <c r="D10" s="21">
        <f t="shared" si="3"/>
        <v>6.2499999999999991</v>
      </c>
      <c r="E10" s="21"/>
      <c r="F10" s="21">
        <f t="shared" si="4"/>
        <v>0.80000000000000027</v>
      </c>
      <c r="G10" s="21">
        <f t="shared" si="5"/>
        <v>0.64999999999999969</v>
      </c>
      <c r="H10" s="21"/>
      <c r="I10" s="21">
        <f t="shared" si="0"/>
        <v>12.800000000000004</v>
      </c>
      <c r="J10" s="21">
        <f t="shared" si="1"/>
        <v>9.6153846153846185</v>
      </c>
    </row>
    <row r="11" spans="2:13" x14ac:dyDescent="0.15">
      <c r="B11" s="21">
        <v>8</v>
      </c>
      <c r="C11" s="21">
        <f t="shared" si="2"/>
        <v>17</v>
      </c>
      <c r="D11" s="21">
        <f t="shared" si="3"/>
        <v>5.8823529411764701</v>
      </c>
      <c r="E11" s="21"/>
      <c r="F11" s="21">
        <f t="shared" si="4"/>
        <v>0.85000000000000031</v>
      </c>
      <c r="G11" s="21">
        <f t="shared" si="5"/>
        <v>0.59999999999999964</v>
      </c>
      <c r="H11" s="21"/>
      <c r="I11" s="21">
        <f t="shared" si="0"/>
        <v>14.450000000000005</v>
      </c>
      <c r="J11" s="21">
        <f t="shared" si="1"/>
        <v>9.8039215686274552</v>
      </c>
    </row>
    <row r="12" spans="2:13" x14ac:dyDescent="0.15">
      <c r="B12" s="21">
        <v>9</v>
      </c>
      <c r="C12" s="21">
        <f t="shared" si="2"/>
        <v>18</v>
      </c>
      <c r="D12" s="21">
        <f t="shared" si="3"/>
        <v>5.5555555555555554</v>
      </c>
      <c r="E12" s="21"/>
      <c r="F12" s="21">
        <f t="shared" si="4"/>
        <v>0.90000000000000036</v>
      </c>
      <c r="G12" s="21">
        <f t="shared" si="5"/>
        <v>0.5499999999999996</v>
      </c>
      <c r="H12" s="21"/>
      <c r="I12" s="21">
        <f t="shared" si="0"/>
        <v>16.200000000000006</v>
      </c>
      <c r="J12" s="21">
        <f t="shared" si="1"/>
        <v>10.101010101010107</v>
      </c>
    </row>
    <row r="13" spans="2:13" x14ac:dyDescent="0.15">
      <c r="B13" s="21">
        <v>10</v>
      </c>
      <c r="C13" s="21">
        <f t="shared" si="2"/>
        <v>19</v>
      </c>
      <c r="D13" s="21">
        <f t="shared" si="3"/>
        <v>5.2631578947368425</v>
      </c>
      <c r="E13" s="21"/>
      <c r="F13" s="21">
        <f t="shared" si="4"/>
        <v>0.9500000000000004</v>
      </c>
      <c r="G13" s="21">
        <f t="shared" si="5"/>
        <v>0.49999999999999961</v>
      </c>
      <c r="H13" s="21"/>
      <c r="I13" s="21">
        <f t="shared" si="0"/>
        <v>18.050000000000008</v>
      </c>
      <c r="J13" s="21">
        <f t="shared" si="1"/>
        <v>10.526315789473694</v>
      </c>
    </row>
    <row r="22" spans="3:31" x14ac:dyDescent="0.15">
      <c r="E22" s="27" t="s">
        <v>180</v>
      </c>
      <c r="F22" s="17" t="s">
        <v>2</v>
      </c>
      <c r="G22" s="17" t="s">
        <v>3</v>
      </c>
      <c r="H22" s="17" t="s">
        <v>181</v>
      </c>
      <c r="I22" s="17" t="s">
        <v>182</v>
      </c>
      <c r="J22" s="17" t="s">
        <v>183</v>
      </c>
      <c r="K22" s="17" t="s">
        <v>184</v>
      </c>
      <c r="L22" s="17" t="s">
        <v>185</v>
      </c>
      <c r="M22" s="17" t="s">
        <v>164</v>
      </c>
      <c r="N22" s="22" t="s">
        <v>268</v>
      </c>
      <c r="O22" s="22" t="s">
        <v>269</v>
      </c>
      <c r="P22" s="18" t="s">
        <v>163</v>
      </c>
      <c r="Q22" s="18" t="s">
        <v>161</v>
      </c>
      <c r="R22" s="18" t="s">
        <v>162</v>
      </c>
      <c r="Z22" s="27" t="s">
        <v>186</v>
      </c>
      <c r="AA22" s="19" t="s">
        <v>2</v>
      </c>
      <c r="AB22" s="20" t="s">
        <v>187</v>
      </c>
      <c r="AC22" s="19" t="s">
        <v>188</v>
      </c>
      <c r="AD22" s="20" t="s">
        <v>189</v>
      </c>
      <c r="AE22" s="19" t="s">
        <v>190</v>
      </c>
    </row>
    <row r="23" spans="3:31" x14ac:dyDescent="0.15">
      <c r="C23" s="24" t="s">
        <v>191</v>
      </c>
      <c r="D23" s="24" t="s">
        <v>192</v>
      </c>
      <c r="E23" s="27">
        <v>1</v>
      </c>
      <c r="F23" s="27" t="e">
        <f t="shared" ref="F23:F33" ca="1" si="6">(1-N23)*Q23*mVlookup(C23,test1,F$22,FALSE)</f>
        <v>#NAME?</v>
      </c>
      <c r="H23" s="27" t="e">
        <f t="shared" ref="H23:H33" ca="1" si="7">2*mVlookup(C23,test1,H$22,FALSE)*R23/O23</f>
        <v>#NAME?</v>
      </c>
      <c r="I23" s="27" t="e">
        <f t="shared" ref="I23:I33" ca="1" si="8">(1-N23)*Q23*mVlookup(C23,test1,I$22,FALSE)*4</f>
        <v>#NAME?</v>
      </c>
      <c r="J23" s="27" t="e">
        <f t="shared" ref="J23:J33" ca="1" si="9">2*mVlookup(C23,test1,J$22,FALSE)*R23/O23</f>
        <v>#NAME?</v>
      </c>
      <c r="K23" s="27" t="e">
        <f ca="1">(1-N23)*Q23*mVlookup(C23,test1,K$22,FALSE)*4</f>
        <v>#NAME?</v>
      </c>
      <c r="L23" s="27" t="e">
        <f ca="1">aglie(N23)</f>
        <v>#NAME?</v>
      </c>
      <c r="M23" s="27" t="e">
        <f ca="1">lucky(O23)</f>
        <v>#NAME?</v>
      </c>
      <c r="N23" s="27">
        <v>0.3</v>
      </c>
      <c r="O23" s="27">
        <v>0.8</v>
      </c>
      <c r="P23" s="27">
        <v>10</v>
      </c>
      <c r="Q23" s="27">
        <f>VLOOKUP(P23,B$3:D$13,2,FALSE)*E23</f>
        <v>19</v>
      </c>
      <c r="R23" s="27">
        <f>VLOOKUP(P23,B$3:D$13,3,FALSE)*E23</f>
        <v>5.2631578947368425</v>
      </c>
      <c r="W23" s="27">
        <v>1</v>
      </c>
      <c r="X23" s="24" t="s">
        <v>191</v>
      </c>
      <c r="Y23" s="24" t="s">
        <v>193</v>
      </c>
      <c r="Z23" s="27">
        <v>1</v>
      </c>
      <c r="AA23" s="27">
        <v>0.7</v>
      </c>
      <c r="AB23" s="27">
        <v>0.5</v>
      </c>
      <c r="AC23" s="27">
        <v>0.1</v>
      </c>
      <c r="AD23" s="27">
        <v>0.5</v>
      </c>
      <c r="AE23" s="27">
        <v>0.2</v>
      </c>
    </row>
    <row r="24" spans="3:31" x14ac:dyDescent="0.15">
      <c r="C24" s="25" t="s">
        <v>194</v>
      </c>
      <c r="D24" s="25" t="s">
        <v>195</v>
      </c>
      <c r="E24" s="27">
        <v>1</v>
      </c>
      <c r="F24" s="27" t="e">
        <f t="shared" ca="1" si="6"/>
        <v>#NAME?</v>
      </c>
      <c r="H24" s="27" t="e">
        <f t="shared" ca="1" si="7"/>
        <v>#NAME?</v>
      </c>
      <c r="I24" s="27" t="e">
        <f t="shared" ca="1" si="8"/>
        <v>#NAME?</v>
      </c>
      <c r="J24" s="27" t="e">
        <f t="shared" ca="1" si="9"/>
        <v>#NAME?</v>
      </c>
      <c r="K24" s="27" t="e">
        <f ca="1">(1-N24)*Q24*mVlookup(C24,test1,K$22,FALSE)*4</f>
        <v>#NAME?</v>
      </c>
      <c r="L24" s="27" t="e">
        <f t="shared" ref="L24:L33" ca="1" si="10">aglie(N24)</f>
        <v>#NAME?</v>
      </c>
      <c r="M24" s="27" t="e">
        <f t="shared" ref="M24:M33" ca="1" si="11">lucky(O24)</f>
        <v>#NAME?</v>
      </c>
      <c r="N24" s="27">
        <v>0.3</v>
      </c>
      <c r="O24" s="27">
        <v>0.8</v>
      </c>
      <c r="P24" s="27">
        <v>8</v>
      </c>
      <c r="Q24" s="27">
        <f t="shared" ref="Q24:Q31" si="12">VLOOKUP(P24,B$3:D$13,2,FALSE)*E24</f>
        <v>17</v>
      </c>
      <c r="R24" s="27">
        <f t="shared" ref="R24:R31" si="13">VLOOKUP(P24,B$3:D$13,3,FALSE)*E24</f>
        <v>5.8823529411764701</v>
      </c>
      <c r="W24" s="27">
        <v>2</v>
      </c>
      <c r="X24" s="25" t="s">
        <v>194</v>
      </c>
      <c r="Y24" s="25" t="s">
        <v>196</v>
      </c>
      <c r="Z24" s="27">
        <v>1</v>
      </c>
      <c r="AA24" s="27">
        <v>0.7</v>
      </c>
      <c r="AB24" s="27">
        <v>0.5</v>
      </c>
      <c r="AC24" s="27">
        <v>0.1</v>
      </c>
      <c r="AD24" s="27">
        <v>0.5</v>
      </c>
      <c r="AE24" s="27">
        <v>0.2</v>
      </c>
    </row>
    <row r="25" spans="3:31" x14ac:dyDescent="0.15">
      <c r="C25" s="26" t="s">
        <v>197</v>
      </c>
      <c r="D25" s="26" t="s">
        <v>198</v>
      </c>
      <c r="E25" s="27">
        <v>1</v>
      </c>
      <c r="F25" s="27" t="e">
        <f t="shared" ca="1" si="6"/>
        <v>#NAME?</v>
      </c>
      <c r="H25" s="27" t="e">
        <f t="shared" ca="1" si="7"/>
        <v>#NAME?</v>
      </c>
      <c r="I25" s="27" t="e">
        <f t="shared" ca="1" si="8"/>
        <v>#NAME?</v>
      </c>
      <c r="J25" s="27" t="e">
        <f t="shared" ca="1" si="9"/>
        <v>#NAME?</v>
      </c>
      <c r="K25" s="27" t="e">
        <f ca="1">(1-N25)*Q25*mVlookup(C25,test1,K$22,FALSE)*4</f>
        <v>#NAME?</v>
      </c>
      <c r="L25" s="27" t="e">
        <f t="shared" ca="1" si="10"/>
        <v>#NAME?</v>
      </c>
      <c r="M25" s="27" t="e">
        <f t="shared" ca="1" si="11"/>
        <v>#NAME?</v>
      </c>
      <c r="N25" s="27">
        <v>0.3</v>
      </c>
      <c r="O25" s="27">
        <v>0.8</v>
      </c>
      <c r="P25" s="27">
        <v>3</v>
      </c>
      <c r="Q25" s="27">
        <f t="shared" si="12"/>
        <v>12</v>
      </c>
      <c r="R25" s="27">
        <f t="shared" si="13"/>
        <v>8.3333333333333321</v>
      </c>
      <c r="W25" s="27">
        <v>3</v>
      </c>
      <c r="X25" s="26" t="s">
        <v>197</v>
      </c>
      <c r="Y25" s="26" t="s">
        <v>199</v>
      </c>
      <c r="Z25" s="27">
        <v>1</v>
      </c>
      <c r="AA25" s="27">
        <v>0.7</v>
      </c>
      <c r="AB25" s="27">
        <v>0.5</v>
      </c>
      <c r="AC25" s="27">
        <v>0.1</v>
      </c>
      <c r="AD25" s="27">
        <v>0.5</v>
      </c>
      <c r="AE25" s="27">
        <v>0.2</v>
      </c>
    </row>
    <row r="26" spans="3:31" x14ac:dyDescent="0.15">
      <c r="C26" s="25" t="s">
        <v>200</v>
      </c>
      <c r="D26" s="25" t="s">
        <v>201</v>
      </c>
      <c r="E26" s="27">
        <v>1</v>
      </c>
      <c r="F26" s="27" t="e">
        <f t="shared" ca="1" si="6"/>
        <v>#NAME?</v>
      </c>
      <c r="H26" s="27" t="e">
        <f t="shared" ca="1" si="7"/>
        <v>#NAME?</v>
      </c>
      <c r="I26" s="27" t="e">
        <f t="shared" ca="1" si="8"/>
        <v>#NAME?</v>
      </c>
      <c r="J26" s="27" t="e">
        <f t="shared" ca="1" si="9"/>
        <v>#NAME?</v>
      </c>
      <c r="K26" s="27" t="e">
        <f ca="1">(1-N26)*Q26*mVlookup(C26,test1,K$22,FALSE)*4</f>
        <v>#NAME?</v>
      </c>
      <c r="L26" s="27" t="e">
        <f t="shared" ca="1" si="10"/>
        <v>#NAME?</v>
      </c>
      <c r="M26" s="27" t="e">
        <f t="shared" ca="1" si="11"/>
        <v>#NAME?</v>
      </c>
      <c r="N26" s="27">
        <v>0.3</v>
      </c>
      <c r="O26" s="27">
        <v>0.8</v>
      </c>
      <c r="P26" s="27">
        <v>2</v>
      </c>
      <c r="Q26" s="27">
        <f t="shared" si="12"/>
        <v>11</v>
      </c>
      <c r="R26" s="27">
        <f t="shared" si="13"/>
        <v>9.0909090909090899</v>
      </c>
      <c r="W26" s="27">
        <v>4</v>
      </c>
      <c r="X26" s="25" t="s">
        <v>200</v>
      </c>
      <c r="Y26" s="25" t="s">
        <v>202</v>
      </c>
      <c r="Z26" s="27">
        <v>1</v>
      </c>
      <c r="AA26" s="27">
        <v>0.7</v>
      </c>
      <c r="AB26" s="27">
        <v>0.5</v>
      </c>
      <c r="AC26" s="27">
        <v>0.1</v>
      </c>
      <c r="AD26" s="27">
        <v>0.5</v>
      </c>
      <c r="AE26" s="27">
        <v>0.2</v>
      </c>
    </row>
    <row r="27" spans="3:31" x14ac:dyDescent="0.15">
      <c r="C27" s="24" t="s">
        <v>203</v>
      </c>
      <c r="D27" s="24" t="s">
        <v>204</v>
      </c>
      <c r="E27" s="27">
        <v>1</v>
      </c>
      <c r="F27" s="27" t="e">
        <f t="shared" ca="1" si="6"/>
        <v>#NAME?</v>
      </c>
      <c r="H27" s="27" t="e">
        <f t="shared" ca="1" si="7"/>
        <v>#NAME?</v>
      </c>
      <c r="I27" s="27" t="e">
        <f t="shared" ca="1" si="8"/>
        <v>#NAME?</v>
      </c>
      <c r="J27" s="27" t="e">
        <f t="shared" ca="1" si="9"/>
        <v>#NAME?</v>
      </c>
      <c r="K27" s="27" t="e">
        <f ca="1">(1-N27)*Q27*mVlookup(C27,test1,K$22,FALSE)*4</f>
        <v>#NAME?</v>
      </c>
      <c r="L27" s="27" t="e">
        <f t="shared" ca="1" si="10"/>
        <v>#NAME?</v>
      </c>
      <c r="M27" s="27" t="e">
        <f t="shared" ca="1" si="11"/>
        <v>#NAME?</v>
      </c>
      <c r="N27" s="27">
        <v>0.25</v>
      </c>
      <c r="O27" s="27">
        <v>0.85</v>
      </c>
      <c r="P27" s="27">
        <v>9</v>
      </c>
      <c r="Q27" s="27">
        <f t="shared" si="12"/>
        <v>18</v>
      </c>
      <c r="R27" s="27">
        <f t="shared" si="13"/>
        <v>5.5555555555555554</v>
      </c>
      <c r="W27" s="27">
        <v>5</v>
      </c>
      <c r="X27" s="24" t="s">
        <v>203</v>
      </c>
      <c r="Y27" s="24" t="s">
        <v>205</v>
      </c>
      <c r="Z27" s="27">
        <v>1</v>
      </c>
      <c r="AA27" s="27">
        <v>0.7</v>
      </c>
      <c r="AB27" s="27">
        <v>0.5</v>
      </c>
      <c r="AC27" s="27">
        <v>0.1</v>
      </c>
      <c r="AD27" s="27">
        <v>0.5</v>
      </c>
      <c r="AE27" s="27">
        <v>0.2</v>
      </c>
    </row>
    <row r="28" spans="3:31" x14ac:dyDescent="0.15">
      <c r="C28" s="21" t="s">
        <v>206</v>
      </c>
      <c r="D28" s="24" t="s">
        <v>207</v>
      </c>
      <c r="E28" s="27">
        <v>1</v>
      </c>
      <c r="F28" s="27" t="e">
        <f t="shared" ca="1" si="6"/>
        <v>#NAME?</v>
      </c>
      <c r="H28" s="27" t="e">
        <f t="shared" ca="1" si="7"/>
        <v>#NAME?</v>
      </c>
      <c r="I28" s="27" t="e">
        <f t="shared" ca="1" si="8"/>
        <v>#NAME?</v>
      </c>
      <c r="J28" s="27" t="e">
        <f t="shared" ca="1" si="9"/>
        <v>#NAME?</v>
      </c>
      <c r="K28" s="27" t="e">
        <f ca="1">(1-N28)*Q28*mVlookup(C28,test1,K$22,FALSE)*4</f>
        <v>#NAME?</v>
      </c>
      <c r="L28" s="27" t="e">
        <f t="shared" ca="1" si="10"/>
        <v>#NAME?</v>
      </c>
      <c r="M28" s="27" t="e">
        <f t="shared" ca="1" si="11"/>
        <v>#NAME?</v>
      </c>
      <c r="N28" s="27">
        <v>0.2</v>
      </c>
      <c r="O28" s="27">
        <v>0.9</v>
      </c>
      <c r="P28" s="27">
        <v>7</v>
      </c>
      <c r="Q28" s="27">
        <f t="shared" si="12"/>
        <v>16</v>
      </c>
      <c r="R28" s="27">
        <f t="shared" si="13"/>
        <v>6.2499999999999991</v>
      </c>
      <c r="W28" s="27">
        <v>6</v>
      </c>
      <c r="X28" s="21" t="s">
        <v>206</v>
      </c>
      <c r="Y28" s="24" t="s">
        <v>207</v>
      </c>
      <c r="Z28" s="27">
        <v>1</v>
      </c>
      <c r="AA28" s="27">
        <v>0.7</v>
      </c>
      <c r="AB28" s="27">
        <v>0.5</v>
      </c>
      <c r="AC28" s="27">
        <v>0.1</v>
      </c>
      <c r="AD28" s="27">
        <v>0.5</v>
      </c>
      <c r="AE28" s="27">
        <v>0.2</v>
      </c>
    </row>
    <row r="29" spans="3:31" x14ac:dyDescent="0.15">
      <c r="C29" s="21" t="s">
        <v>208</v>
      </c>
      <c r="D29" s="21" t="s">
        <v>209</v>
      </c>
      <c r="E29" s="27">
        <v>1</v>
      </c>
      <c r="F29" s="27" t="e">
        <f t="shared" ca="1" si="6"/>
        <v>#NAME?</v>
      </c>
      <c r="H29" s="27" t="e">
        <f t="shared" ca="1" si="7"/>
        <v>#NAME?</v>
      </c>
      <c r="I29" s="27" t="e">
        <f t="shared" ca="1" si="8"/>
        <v>#NAME?</v>
      </c>
      <c r="J29" s="27" t="e">
        <f t="shared" ca="1" si="9"/>
        <v>#NAME?</v>
      </c>
      <c r="K29" s="27" t="e">
        <f ca="1">(1-N29)*Q29*mVlookup(C29,test1,K$22,FALSE)*4</f>
        <v>#NAME?</v>
      </c>
      <c r="L29" s="27" t="e">
        <f t="shared" ca="1" si="10"/>
        <v>#NAME?</v>
      </c>
      <c r="M29" s="27" t="e">
        <f t="shared" ca="1" si="11"/>
        <v>#NAME?</v>
      </c>
      <c r="N29" s="27">
        <v>0.3</v>
      </c>
      <c r="O29" s="27">
        <v>0.8</v>
      </c>
      <c r="P29" s="27">
        <v>4</v>
      </c>
      <c r="Q29" s="27">
        <f t="shared" si="12"/>
        <v>13</v>
      </c>
      <c r="R29" s="27">
        <f t="shared" si="13"/>
        <v>7.6923076923076907</v>
      </c>
      <c r="W29" s="27">
        <v>7</v>
      </c>
      <c r="X29" s="21" t="s">
        <v>208</v>
      </c>
      <c r="Y29" s="21" t="s">
        <v>210</v>
      </c>
      <c r="Z29" s="27">
        <v>1</v>
      </c>
      <c r="AA29" s="27">
        <v>0.7</v>
      </c>
      <c r="AB29" s="27">
        <v>0.5</v>
      </c>
      <c r="AC29" s="27">
        <v>0.1</v>
      </c>
      <c r="AD29" s="27">
        <v>0.5</v>
      </c>
      <c r="AE29" s="27">
        <v>0.2</v>
      </c>
    </row>
    <row r="30" spans="3:31" x14ac:dyDescent="0.15">
      <c r="C30" s="24" t="s">
        <v>211</v>
      </c>
      <c r="D30" s="24" t="s">
        <v>212</v>
      </c>
      <c r="E30" s="27">
        <v>1</v>
      </c>
      <c r="F30" s="27" t="e">
        <f t="shared" ca="1" si="6"/>
        <v>#NAME?</v>
      </c>
      <c r="H30" s="27" t="e">
        <f t="shared" ca="1" si="7"/>
        <v>#NAME?</v>
      </c>
      <c r="I30" s="27" t="e">
        <f t="shared" ca="1" si="8"/>
        <v>#NAME?</v>
      </c>
      <c r="J30" s="27" t="e">
        <f t="shared" ca="1" si="9"/>
        <v>#NAME?</v>
      </c>
      <c r="K30" s="27" t="e">
        <f ca="1">(1-N30)*Q30*mVlookup(C30,test1,K$22,FALSE)*4</f>
        <v>#NAME?</v>
      </c>
      <c r="L30" s="27" t="e">
        <f t="shared" ca="1" si="10"/>
        <v>#NAME?</v>
      </c>
      <c r="M30" s="27" t="e">
        <f t="shared" ca="1" si="11"/>
        <v>#NAME?</v>
      </c>
      <c r="N30" s="27">
        <v>0.3</v>
      </c>
      <c r="O30" s="27">
        <v>0.8</v>
      </c>
      <c r="P30" s="27">
        <v>2</v>
      </c>
      <c r="Q30" s="27">
        <f t="shared" si="12"/>
        <v>11</v>
      </c>
      <c r="R30" s="27">
        <f t="shared" si="13"/>
        <v>9.0909090909090899</v>
      </c>
      <c r="W30" s="27">
        <v>8</v>
      </c>
      <c r="X30" s="24" t="s">
        <v>211</v>
      </c>
      <c r="Y30" s="24" t="s">
        <v>213</v>
      </c>
      <c r="Z30" s="27">
        <v>1</v>
      </c>
      <c r="AA30" s="27">
        <v>0.7</v>
      </c>
      <c r="AB30" s="27">
        <v>0.5</v>
      </c>
      <c r="AC30" s="27">
        <v>0.1</v>
      </c>
      <c r="AD30" s="27">
        <v>0.5</v>
      </c>
      <c r="AE30" s="27">
        <v>0.2</v>
      </c>
    </row>
    <row r="31" spans="3:31" x14ac:dyDescent="0.15">
      <c r="C31" s="21" t="s">
        <v>214</v>
      </c>
      <c r="D31" s="21" t="s">
        <v>215</v>
      </c>
      <c r="E31" s="27">
        <v>1.2</v>
      </c>
      <c r="F31" s="27" t="e">
        <f t="shared" ca="1" si="6"/>
        <v>#NAME?</v>
      </c>
      <c r="H31" s="27" t="e">
        <f t="shared" ca="1" si="7"/>
        <v>#NAME?</v>
      </c>
      <c r="I31" s="27" t="e">
        <f t="shared" ca="1" si="8"/>
        <v>#NAME?</v>
      </c>
      <c r="J31" s="27" t="e">
        <f t="shared" ca="1" si="9"/>
        <v>#NAME?</v>
      </c>
      <c r="K31" s="27" t="e">
        <f ca="1">(1-N31)*Q31*mVlookup(C31,test1,K$22,FALSE)*4</f>
        <v>#NAME?</v>
      </c>
      <c r="L31" s="27" t="e">
        <f t="shared" ca="1" si="10"/>
        <v>#NAME?</v>
      </c>
      <c r="M31" s="27" t="e">
        <f t="shared" ca="1" si="11"/>
        <v>#NAME?</v>
      </c>
      <c r="N31" s="27">
        <v>0.3</v>
      </c>
      <c r="O31" s="27">
        <v>0.8</v>
      </c>
      <c r="P31" s="27">
        <v>7</v>
      </c>
      <c r="Q31" s="27">
        <f t="shared" si="12"/>
        <v>19.2</v>
      </c>
      <c r="R31" s="27">
        <f t="shared" si="13"/>
        <v>7.4999999999999982</v>
      </c>
      <c r="W31" s="27">
        <v>9</v>
      </c>
      <c r="X31" s="21" t="s">
        <v>214</v>
      </c>
      <c r="Y31" s="21" t="s">
        <v>216</v>
      </c>
      <c r="Z31" s="27">
        <v>1.2</v>
      </c>
      <c r="AA31" s="27">
        <v>0.7</v>
      </c>
      <c r="AB31" s="27">
        <v>0.5</v>
      </c>
      <c r="AC31" s="27">
        <v>0.1</v>
      </c>
      <c r="AD31" s="27">
        <v>0.5</v>
      </c>
      <c r="AE31" s="27">
        <v>0.2</v>
      </c>
    </row>
    <row r="32" spans="3:31" x14ac:dyDescent="0.15">
      <c r="C32" s="24" t="s">
        <v>217</v>
      </c>
      <c r="D32" s="24" t="s">
        <v>218</v>
      </c>
      <c r="E32" s="27">
        <v>1</v>
      </c>
      <c r="F32" s="27" t="e">
        <f t="shared" ca="1" si="6"/>
        <v>#NAME?</v>
      </c>
      <c r="H32" s="27" t="e">
        <f t="shared" ca="1" si="7"/>
        <v>#NAME?</v>
      </c>
      <c r="I32" s="27" t="e">
        <f t="shared" ca="1" si="8"/>
        <v>#NAME?</v>
      </c>
      <c r="J32" s="27" t="e">
        <f t="shared" ca="1" si="9"/>
        <v>#NAME?</v>
      </c>
      <c r="K32" s="27" t="e">
        <f ca="1">(1-N32)*Q32*mVlookup(C32,test1,K$22,FALSE)*4</f>
        <v>#NAME?</v>
      </c>
      <c r="L32" s="27" t="e">
        <f t="shared" ca="1" si="10"/>
        <v>#NAME?</v>
      </c>
      <c r="M32" s="27" t="e">
        <f t="shared" ca="1" si="11"/>
        <v>#NAME?</v>
      </c>
      <c r="N32" s="27">
        <v>0.2</v>
      </c>
      <c r="O32" s="27">
        <v>0.9</v>
      </c>
      <c r="P32" s="27">
        <v>1</v>
      </c>
      <c r="Q32" s="27">
        <f t="shared" ref="Q32:Q33" si="14">VLOOKUP(P32,B$3:D$13,2,FALSE)</f>
        <v>10</v>
      </c>
      <c r="R32" s="27">
        <f t="shared" ref="R32:R33" si="15">VLOOKUP(P32,B$3:D$13,3,FALSE)</f>
        <v>10</v>
      </c>
      <c r="W32" s="27">
        <v>10</v>
      </c>
      <c r="X32" s="24" t="s">
        <v>217</v>
      </c>
      <c r="Y32" s="24" t="s">
        <v>219</v>
      </c>
      <c r="Z32" s="27">
        <v>1</v>
      </c>
      <c r="AA32" s="27">
        <v>0.7</v>
      </c>
      <c r="AB32" s="27">
        <v>0.5</v>
      </c>
      <c r="AC32" s="27">
        <v>0.1</v>
      </c>
      <c r="AD32" s="27">
        <v>0.5</v>
      </c>
      <c r="AE32" s="27">
        <v>0.2</v>
      </c>
    </row>
    <row r="33" spans="3:31" x14ac:dyDescent="0.15">
      <c r="C33" s="21" t="s">
        <v>220</v>
      </c>
      <c r="D33" s="21" t="s">
        <v>221</v>
      </c>
      <c r="E33" s="27">
        <v>1</v>
      </c>
      <c r="F33" s="27" t="e">
        <f t="shared" ca="1" si="6"/>
        <v>#NAME?</v>
      </c>
      <c r="H33" s="27" t="e">
        <f t="shared" ca="1" si="7"/>
        <v>#NAME?</v>
      </c>
      <c r="I33" s="27" t="e">
        <f t="shared" ca="1" si="8"/>
        <v>#NAME?</v>
      </c>
      <c r="J33" s="27" t="e">
        <f t="shared" ca="1" si="9"/>
        <v>#NAME?</v>
      </c>
      <c r="K33" s="27" t="e">
        <f ca="1">(1-N33)*Q33*mVlookup(C33,test1,K$22,FALSE)*4</f>
        <v>#NAME?</v>
      </c>
      <c r="L33" s="27" t="e">
        <f t="shared" ca="1" si="10"/>
        <v>#NAME?</v>
      </c>
      <c r="M33" s="27" t="e">
        <f t="shared" ca="1" si="11"/>
        <v>#NAME?</v>
      </c>
      <c r="N33" s="27">
        <v>0.3</v>
      </c>
      <c r="O33" s="27">
        <v>0.8</v>
      </c>
      <c r="P33" s="27">
        <v>10</v>
      </c>
      <c r="Q33" s="27">
        <f t="shared" si="14"/>
        <v>19</v>
      </c>
      <c r="R33" s="27">
        <f t="shared" si="15"/>
        <v>5.2631578947368425</v>
      </c>
      <c r="W33" s="27">
        <v>11</v>
      </c>
      <c r="X33" s="21" t="s">
        <v>220</v>
      </c>
      <c r="Y33" s="21" t="s">
        <v>222</v>
      </c>
      <c r="Z33" s="27">
        <v>1</v>
      </c>
      <c r="AA33" s="27">
        <v>0.7</v>
      </c>
      <c r="AB33" s="27">
        <v>0.5</v>
      </c>
      <c r="AC33" s="27">
        <v>0.1</v>
      </c>
      <c r="AD33" s="27">
        <v>0.5</v>
      </c>
      <c r="AE33" s="27">
        <v>0.2</v>
      </c>
    </row>
    <row r="34" spans="3:31" x14ac:dyDescent="0.15">
      <c r="C34" s="24" t="s">
        <v>223</v>
      </c>
      <c r="D34" s="24" t="s">
        <v>224</v>
      </c>
      <c r="W34" s="27">
        <v>12</v>
      </c>
      <c r="X34" s="24" t="s">
        <v>223</v>
      </c>
      <c r="Y34" s="24" t="s">
        <v>224</v>
      </c>
      <c r="Z34" s="27">
        <v>1</v>
      </c>
      <c r="AA34" s="27">
        <v>0.7</v>
      </c>
      <c r="AB34" s="27">
        <v>0.5</v>
      </c>
      <c r="AC34" s="27">
        <v>0.1</v>
      </c>
      <c r="AD34" s="27">
        <v>0.5</v>
      </c>
      <c r="AE34" s="27">
        <v>0.2</v>
      </c>
    </row>
    <row r="35" spans="3:31" x14ac:dyDescent="0.15">
      <c r="C35" s="21" t="s">
        <v>225</v>
      </c>
      <c r="D35" s="21" t="s">
        <v>226</v>
      </c>
      <c r="W35" s="27">
        <v>13</v>
      </c>
      <c r="X35" s="21" t="s">
        <v>225</v>
      </c>
      <c r="Y35" s="21" t="s">
        <v>227</v>
      </c>
      <c r="Z35" s="27">
        <v>1</v>
      </c>
      <c r="AA35" s="27">
        <v>0.7</v>
      </c>
      <c r="AB35" s="27">
        <v>0.5</v>
      </c>
      <c r="AC35" s="27">
        <v>0.1</v>
      </c>
      <c r="AD35" s="27">
        <v>0.5</v>
      </c>
      <c r="AE35" s="27">
        <v>0.2</v>
      </c>
    </row>
    <row r="36" spans="3:31" x14ac:dyDescent="0.15">
      <c r="C36" s="24" t="s">
        <v>228</v>
      </c>
      <c r="D36" s="24" t="s">
        <v>229</v>
      </c>
      <c r="W36" s="27">
        <v>14</v>
      </c>
      <c r="X36" s="24" t="s">
        <v>228</v>
      </c>
      <c r="Y36" s="24" t="s">
        <v>230</v>
      </c>
      <c r="Z36" s="27">
        <v>1</v>
      </c>
      <c r="AA36" s="27">
        <v>0.7</v>
      </c>
      <c r="AB36" s="27">
        <v>0.5</v>
      </c>
      <c r="AC36" s="27">
        <v>0.1</v>
      </c>
      <c r="AD36" s="27">
        <v>0.5</v>
      </c>
      <c r="AE36" s="27">
        <v>0.2</v>
      </c>
    </row>
    <row r="37" spans="3:31" x14ac:dyDescent="0.15">
      <c r="C37" s="21" t="s">
        <v>231</v>
      </c>
      <c r="D37" s="21" t="s">
        <v>232</v>
      </c>
      <c r="W37" s="27">
        <v>15</v>
      </c>
      <c r="X37" s="21" t="s">
        <v>231</v>
      </c>
      <c r="Y37" s="21" t="s">
        <v>233</v>
      </c>
      <c r="Z37" s="27">
        <v>1</v>
      </c>
      <c r="AA37" s="27">
        <v>0.7</v>
      </c>
      <c r="AB37" s="27">
        <v>0.5</v>
      </c>
      <c r="AC37" s="27">
        <v>0.1</v>
      </c>
      <c r="AD37" s="27">
        <v>0.5</v>
      </c>
      <c r="AE37" s="27">
        <v>0.2</v>
      </c>
    </row>
    <row r="38" spans="3:31" x14ac:dyDescent="0.15">
      <c r="C38" s="24" t="s">
        <v>234</v>
      </c>
      <c r="D38" s="24" t="s">
        <v>235</v>
      </c>
      <c r="W38" s="27">
        <v>16</v>
      </c>
      <c r="X38" s="24" t="s">
        <v>234</v>
      </c>
      <c r="Y38" s="24" t="s">
        <v>235</v>
      </c>
      <c r="Z38" s="27">
        <v>1</v>
      </c>
      <c r="AA38" s="27">
        <v>0.7</v>
      </c>
      <c r="AB38" s="27">
        <v>0.5</v>
      </c>
      <c r="AC38" s="27">
        <v>0.1</v>
      </c>
      <c r="AD38" s="27">
        <v>0.5</v>
      </c>
      <c r="AE38" s="27">
        <v>0.2</v>
      </c>
    </row>
    <row r="39" spans="3:31" x14ac:dyDescent="0.15">
      <c r="C39" s="21" t="s">
        <v>236</v>
      </c>
      <c r="D39" s="21" t="s">
        <v>237</v>
      </c>
      <c r="W39" s="27">
        <v>17</v>
      </c>
      <c r="X39" s="21" t="s">
        <v>236</v>
      </c>
      <c r="Y39" s="21" t="s">
        <v>238</v>
      </c>
      <c r="Z39" s="27">
        <v>1</v>
      </c>
      <c r="AA39" s="27">
        <v>0.7</v>
      </c>
      <c r="AB39" s="27">
        <v>0.5</v>
      </c>
      <c r="AC39" s="27">
        <v>0.1</v>
      </c>
      <c r="AD39" s="27">
        <v>0.5</v>
      </c>
      <c r="AE39" s="27">
        <v>0.2</v>
      </c>
    </row>
    <row r="40" spans="3:31" x14ac:dyDescent="0.15">
      <c r="C40" s="24" t="s">
        <v>239</v>
      </c>
      <c r="D40" s="24" t="s">
        <v>240</v>
      </c>
      <c r="W40" s="27">
        <v>18</v>
      </c>
      <c r="X40" s="24" t="s">
        <v>239</v>
      </c>
      <c r="Y40" s="24" t="s">
        <v>241</v>
      </c>
      <c r="Z40" s="27">
        <v>1</v>
      </c>
      <c r="AA40" s="27">
        <v>0.7</v>
      </c>
      <c r="AB40" s="27">
        <v>0.5</v>
      </c>
      <c r="AC40" s="27">
        <v>0.1</v>
      </c>
      <c r="AD40" s="27">
        <v>0.5</v>
      </c>
      <c r="AE40" s="27">
        <v>0.2</v>
      </c>
    </row>
    <row r="41" spans="3:31" x14ac:dyDescent="0.15">
      <c r="C41" s="21" t="s">
        <v>242</v>
      </c>
      <c r="D41" s="21" t="s">
        <v>216</v>
      </c>
      <c r="W41" s="27">
        <v>19</v>
      </c>
      <c r="X41" s="21" t="s">
        <v>242</v>
      </c>
      <c r="Y41" s="21" t="s">
        <v>216</v>
      </c>
      <c r="Z41" s="27">
        <v>1</v>
      </c>
      <c r="AA41" s="27">
        <v>0.7</v>
      </c>
      <c r="AB41" s="27">
        <v>0.5</v>
      </c>
      <c r="AC41" s="27">
        <v>0.1</v>
      </c>
      <c r="AD41" s="27">
        <v>0.5</v>
      </c>
      <c r="AE41" s="27">
        <v>0.2</v>
      </c>
    </row>
    <row r="42" spans="3:31" x14ac:dyDescent="0.15">
      <c r="C42" s="24" t="s">
        <v>243</v>
      </c>
      <c r="D42" s="24" t="s">
        <v>235</v>
      </c>
      <c r="W42" s="27">
        <v>20</v>
      </c>
      <c r="X42" s="24" t="s">
        <v>243</v>
      </c>
      <c r="Y42" s="24" t="s">
        <v>235</v>
      </c>
      <c r="Z42" s="27">
        <v>1</v>
      </c>
      <c r="AA42" s="27">
        <v>0.7</v>
      </c>
      <c r="AB42" s="27">
        <v>0.5</v>
      </c>
      <c r="AC42" s="27">
        <v>0.1</v>
      </c>
      <c r="AD42" s="27">
        <v>0.5</v>
      </c>
      <c r="AE42" s="27">
        <v>0.2</v>
      </c>
    </row>
    <row r="43" spans="3:31" x14ac:dyDescent="0.15">
      <c r="C43" s="21" t="s">
        <v>244</v>
      </c>
      <c r="D43" s="21" t="s">
        <v>245</v>
      </c>
      <c r="W43" s="27">
        <v>21</v>
      </c>
      <c r="X43" s="21" t="s">
        <v>244</v>
      </c>
      <c r="Y43" s="21" t="s">
        <v>245</v>
      </c>
      <c r="Z43" s="27">
        <v>1</v>
      </c>
      <c r="AA43" s="27">
        <v>0.7</v>
      </c>
      <c r="AB43" s="27">
        <v>0.5</v>
      </c>
      <c r="AC43" s="27">
        <v>0.1</v>
      </c>
      <c r="AD43" s="27">
        <v>0.5</v>
      </c>
      <c r="AE43" s="27">
        <v>0.2</v>
      </c>
    </row>
    <row r="44" spans="3:31" x14ac:dyDescent="0.15">
      <c r="C44" s="24" t="s">
        <v>246</v>
      </c>
      <c r="D44" s="24" t="s">
        <v>247</v>
      </c>
      <c r="W44" s="27">
        <v>22</v>
      </c>
      <c r="X44" s="24" t="s">
        <v>246</v>
      </c>
      <c r="Y44" s="24" t="s">
        <v>247</v>
      </c>
      <c r="Z44" s="27">
        <v>1</v>
      </c>
      <c r="AA44" s="27">
        <v>0.7</v>
      </c>
      <c r="AB44" s="27">
        <v>0.5</v>
      </c>
      <c r="AC44" s="27">
        <v>0.1</v>
      </c>
      <c r="AD44" s="27">
        <v>0.5</v>
      </c>
      <c r="AE44" s="27">
        <v>0.2</v>
      </c>
    </row>
    <row r="45" spans="3:31" x14ac:dyDescent="0.15">
      <c r="C45" s="21" t="s">
        <v>246</v>
      </c>
      <c r="D45" s="24" t="s">
        <v>248</v>
      </c>
      <c r="W45" s="27">
        <v>23</v>
      </c>
      <c r="X45" s="21" t="s">
        <v>246</v>
      </c>
      <c r="Y45" s="24" t="s">
        <v>248</v>
      </c>
      <c r="Z45" s="27">
        <v>1</v>
      </c>
      <c r="AA45" s="27">
        <v>0.7</v>
      </c>
      <c r="AB45" s="27">
        <v>0.5</v>
      </c>
      <c r="AC45" s="27">
        <v>0.1</v>
      </c>
      <c r="AD45" s="27">
        <v>0.5</v>
      </c>
      <c r="AE45" s="27">
        <v>0.2</v>
      </c>
    </row>
    <row r="46" spans="3:31" x14ac:dyDescent="0.15">
      <c r="C46" s="24" t="s">
        <v>249</v>
      </c>
      <c r="D46" s="24" t="s">
        <v>250</v>
      </c>
      <c r="W46" s="27">
        <v>24</v>
      </c>
      <c r="X46" s="24" t="s">
        <v>249</v>
      </c>
      <c r="Y46" s="24" t="s">
        <v>251</v>
      </c>
      <c r="Z46" s="27">
        <v>1</v>
      </c>
      <c r="AA46" s="27">
        <v>0.7</v>
      </c>
      <c r="AB46" s="27">
        <v>0.5</v>
      </c>
      <c r="AC46" s="27">
        <v>0.1</v>
      </c>
      <c r="AD46" s="27">
        <v>0.5</v>
      </c>
      <c r="AE46" s="27">
        <v>0.2</v>
      </c>
    </row>
    <row r="47" spans="3:31" x14ac:dyDescent="0.15">
      <c r="C47" s="21" t="s">
        <v>252</v>
      </c>
      <c r="D47" s="21" t="s">
        <v>253</v>
      </c>
      <c r="W47" s="27">
        <v>25</v>
      </c>
      <c r="X47" s="21" t="s">
        <v>252</v>
      </c>
      <c r="Y47" s="21" t="s">
        <v>254</v>
      </c>
      <c r="Z47" s="27">
        <v>1</v>
      </c>
      <c r="AA47" s="27">
        <v>0.7</v>
      </c>
      <c r="AB47" s="27">
        <v>0.5</v>
      </c>
      <c r="AC47" s="27">
        <v>0.1</v>
      </c>
      <c r="AD47" s="27">
        <v>0.5</v>
      </c>
      <c r="AE47" s="27">
        <v>0.2</v>
      </c>
    </row>
    <row r="48" spans="3:31" x14ac:dyDescent="0.15">
      <c r="C48" s="24" t="s">
        <v>255</v>
      </c>
      <c r="D48" s="24" t="s">
        <v>247</v>
      </c>
      <c r="W48" s="27">
        <v>26</v>
      </c>
      <c r="X48" s="24" t="s">
        <v>255</v>
      </c>
      <c r="Y48" s="24" t="s">
        <v>247</v>
      </c>
      <c r="Z48" s="27">
        <v>1</v>
      </c>
      <c r="AA48" s="27">
        <v>0.7</v>
      </c>
      <c r="AB48" s="27">
        <v>0.5</v>
      </c>
      <c r="AC48" s="27">
        <v>0.1</v>
      </c>
      <c r="AD48" s="27">
        <v>0.5</v>
      </c>
      <c r="AE48" s="27">
        <v>0.2</v>
      </c>
    </row>
    <row r="49" spans="3:31" x14ac:dyDescent="0.15">
      <c r="C49" s="21" t="s">
        <v>256</v>
      </c>
      <c r="D49" s="24" t="s">
        <v>247</v>
      </c>
      <c r="W49" s="27">
        <v>27</v>
      </c>
      <c r="X49" s="21" t="s">
        <v>256</v>
      </c>
      <c r="Y49" s="24" t="s">
        <v>257</v>
      </c>
      <c r="Z49" s="27">
        <v>1</v>
      </c>
      <c r="AA49" s="27">
        <v>0.7</v>
      </c>
      <c r="AB49" s="27">
        <v>0.5</v>
      </c>
      <c r="AC49" s="27">
        <v>0.1</v>
      </c>
      <c r="AD49" s="27">
        <v>0.5</v>
      </c>
      <c r="AE49" s="27">
        <v>0.2</v>
      </c>
    </row>
    <row r="50" spans="3:31" x14ac:dyDescent="0.15">
      <c r="C50" s="24" t="s">
        <v>258</v>
      </c>
      <c r="D50" s="24" t="s">
        <v>259</v>
      </c>
      <c r="W50" s="27">
        <v>28</v>
      </c>
      <c r="X50" s="24" t="s">
        <v>258</v>
      </c>
      <c r="Y50" s="24" t="s">
        <v>260</v>
      </c>
      <c r="Z50" s="27">
        <v>1</v>
      </c>
      <c r="AA50" s="27">
        <v>0.7</v>
      </c>
      <c r="AB50" s="27">
        <v>0.5</v>
      </c>
      <c r="AC50" s="27">
        <v>0.1</v>
      </c>
      <c r="AD50" s="27">
        <v>0.5</v>
      </c>
      <c r="AE50" s="27">
        <v>0.2</v>
      </c>
    </row>
    <row r="51" spans="3:31" x14ac:dyDescent="0.15">
      <c r="C51" s="21" t="s">
        <v>261</v>
      </c>
      <c r="D51" s="21" t="s">
        <v>262</v>
      </c>
      <c r="W51" s="27">
        <v>29</v>
      </c>
      <c r="X51" s="21" t="s">
        <v>261</v>
      </c>
      <c r="Y51" s="21" t="s">
        <v>263</v>
      </c>
      <c r="Z51" s="27">
        <v>1</v>
      </c>
      <c r="AA51" s="27">
        <v>0.7</v>
      </c>
      <c r="AB51" s="27">
        <v>0.5</v>
      </c>
      <c r="AC51" s="27">
        <v>0.1</v>
      </c>
      <c r="AD51" s="27">
        <v>0.5</v>
      </c>
      <c r="AE51" s="27">
        <v>0.2</v>
      </c>
    </row>
    <row r="52" spans="3:31" x14ac:dyDescent="0.15">
      <c r="C52" s="24" t="s">
        <v>264</v>
      </c>
      <c r="D52" s="24" t="s">
        <v>265</v>
      </c>
      <c r="W52" s="27">
        <v>30</v>
      </c>
      <c r="X52" s="24" t="s">
        <v>264</v>
      </c>
      <c r="Y52" s="24" t="s">
        <v>266</v>
      </c>
      <c r="Z52" s="27">
        <v>1</v>
      </c>
      <c r="AA52" s="27">
        <v>0.7</v>
      </c>
      <c r="AB52" s="27">
        <v>0.5</v>
      </c>
      <c r="AC52" s="27">
        <v>0.1</v>
      </c>
      <c r="AD52" s="27">
        <v>0.5</v>
      </c>
      <c r="AE52" s="27">
        <v>0.2</v>
      </c>
    </row>
    <row r="53" spans="3:31" x14ac:dyDescent="0.15">
      <c r="C53" s="21" t="s">
        <v>267</v>
      </c>
      <c r="D53" s="21" t="s">
        <v>266</v>
      </c>
      <c r="W53" s="27">
        <v>31</v>
      </c>
      <c r="X53" s="21" t="s">
        <v>267</v>
      </c>
      <c r="Y53" s="21" t="s">
        <v>195</v>
      </c>
      <c r="Z53" s="27">
        <v>1</v>
      </c>
      <c r="AA53" s="27">
        <v>0.7</v>
      </c>
      <c r="AB53" s="27">
        <v>0.5</v>
      </c>
      <c r="AC53" s="27">
        <v>0.1</v>
      </c>
      <c r="AD53" s="27">
        <v>0.5</v>
      </c>
      <c r="AE53" s="27">
        <v>0.2</v>
      </c>
    </row>
    <row r="54" spans="3:31" x14ac:dyDescent="0.15">
      <c r="C54" s="21" t="s">
        <v>12</v>
      </c>
      <c r="D54" s="21" t="s">
        <v>165</v>
      </c>
      <c r="W54" s="27">
        <v>32</v>
      </c>
      <c r="X54" s="21" t="s">
        <v>12</v>
      </c>
      <c r="Y54" s="21" t="s">
        <v>26</v>
      </c>
      <c r="Z54" s="27">
        <v>1</v>
      </c>
      <c r="AA54" s="27">
        <v>0.7</v>
      </c>
      <c r="AB54" s="27">
        <v>0.5</v>
      </c>
      <c r="AC54" s="27">
        <v>0.1</v>
      </c>
      <c r="AD54" s="27">
        <v>0.5</v>
      </c>
      <c r="AE54" s="27">
        <v>0.2</v>
      </c>
    </row>
    <row r="55" spans="3:31" x14ac:dyDescent="0.15">
      <c r="C55" s="21" t="s">
        <v>14</v>
      </c>
      <c r="D55" s="21" t="s">
        <v>166</v>
      </c>
      <c r="W55" s="27">
        <v>33</v>
      </c>
      <c r="X55" s="21" t="s">
        <v>14</v>
      </c>
      <c r="Y55" s="21" t="s">
        <v>166</v>
      </c>
      <c r="Z55" s="27">
        <v>1</v>
      </c>
      <c r="AA55" s="27">
        <v>0.7</v>
      </c>
      <c r="AB55" s="27">
        <v>0.5</v>
      </c>
      <c r="AC55" s="27">
        <v>0.1</v>
      </c>
      <c r="AD55" s="27">
        <v>0.5</v>
      </c>
      <c r="AE55" s="27">
        <v>0.2</v>
      </c>
    </row>
    <row r="56" spans="3:31" x14ac:dyDescent="0.15">
      <c r="C56" s="21" t="s">
        <v>16</v>
      </c>
      <c r="D56" s="21" t="s">
        <v>167</v>
      </c>
      <c r="W56" s="27">
        <v>34</v>
      </c>
      <c r="X56" s="21" t="s">
        <v>16</v>
      </c>
      <c r="Y56" s="21" t="s">
        <v>168</v>
      </c>
      <c r="Z56" s="27">
        <v>1</v>
      </c>
      <c r="AA56" s="27">
        <v>0.7</v>
      </c>
      <c r="AB56" s="27">
        <v>0.5</v>
      </c>
      <c r="AC56" s="27">
        <v>0.1</v>
      </c>
      <c r="AD56" s="27">
        <v>0.5</v>
      </c>
      <c r="AE56" s="27">
        <v>0.2</v>
      </c>
    </row>
    <row r="57" spans="3:31" x14ac:dyDescent="0.15">
      <c r="C57" s="21" t="s">
        <v>169</v>
      </c>
      <c r="D57" s="21" t="s">
        <v>165</v>
      </c>
      <c r="W57" s="27">
        <v>35</v>
      </c>
      <c r="X57" s="21" t="s">
        <v>170</v>
      </c>
      <c r="Y57" s="21" t="s">
        <v>171</v>
      </c>
      <c r="Z57" s="27">
        <v>1</v>
      </c>
      <c r="AA57" s="27">
        <v>0.7</v>
      </c>
      <c r="AB57" s="27">
        <v>0.5</v>
      </c>
      <c r="AC57" s="27">
        <v>0.1</v>
      </c>
      <c r="AD57" s="27">
        <v>0.5</v>
      </c>
      <c r="AE57" s="27">
        <v>0.2</v>
      </c>
    </row>
    <row r="58" spans="3:31" x14ac:dyDescent="0.15">
      <c r="C58" s="21" t="s">
        <v>172</v>
      </c>
      <c r="D58" s="21" t="s">
        <v>173</v>
      </c>
      <c r="W58" s="27">
        <v>36</v>
      </c>
      <c r="X58" s="21" t="s">
        <v>172</v>
      </c>
      <c r="Y58" s="21" t="s">
        <v>174</v>
      </c>
      <c r="Z58" s="27">
        <v>1</v>
      </c>
      <c r="AA58" s="27">
        <v>0.7</v>
      </c>
      <c r="AB58" s="27">
        <v>0.5</v>
      </c>
      <c r="AC58" s="27">
        <v>0.1</v>
      </c>
      <c r="AD58" s="27">
        <v>0.5</v>
      </c>
      <c r="AE58" s="27">
        <v>0.2</v>
      </c>
    </row>
    <row r="59" spans="3:31" x14ac:dyDescent="0.15">
      <c r="C59" s="21" t="s">
        <v>175</v>
      </c>
      <c r="D59" s="21" t="s">
        <v>176</v>
      </c>
      <c r="W59" s="27">
        <v>37</v>
      </c>
      <c r="X59" s="21" t="s">
        <v>177</v>
      </c>
      <c r="Y59" s="21" t="s">
        <v>176</v>
      </c>
      <c r="Z59" s="27">
        <v>1</v>
      </c>
      <c r="AA59" s="27">
        <v>0.7</v>
      </c>
      <c r="AB59" s="27">
        <v>0.5</v>
      </c>
      <c r="AC59" s="27">
        <v>0.1</v>
      </c>
      <c r="AD59" s="27">
        <v>0.5</v>
      </c>
      <c r="AE59" s="27">
        <v>0.2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Q102"/>
  <sheetViews>
    <sheetView topLeftCell="G1" workbookViewId="0">
      <selection activeCell="K16" sqref="K16"/>
    </sheetView>
  </sheetViews>
  <sheetFormatPr defaultRowHeight="13.5" x14ac:dyDescent="0.15"/>
  <cols>
    <col min="15" max="17" width="9" style="23"/>
  </cols>
  <sheetData>
    <row r="3" spans="1:17" x14ac:dyDescent="0.15">
      <c r="B3" t="s">
        <v>148</v>
      </c>
      <c r="C3" t="s">
        <v>151</v>
      </c>
      <c r="D3" t="s">
        <v>149</v>
      </c>
      <c r="E3" t="s">
        <v>150</v>
      </c>
      <c r="K3" t="s">
        <v>274</v>
      </c>
      <c r="L3" t="s">
        <v>275</v>
      </c>
    </row>
    <row r="4" spans="1:17" x14ac:dyDescent="0.15">
      <c r="A4">
        <v>1</v>
      </c>
      <c r="B4">
        <v>2</v>
      </c>
      <c r="C4">
        <f>2</f>
        <v>2</v>
      </c>
      <c r="D4">
        <f>B4/(B4+A4*0.5)</f>
        <v>0.8</v>
      </c>
      <c r="E4">
        <f>C4/(C4+A4*2)</f>
        <v>0.5</v>
      </c>
      <c r="G4">
        <v>8</v>
      </c>
      <c r="H4">
        <f>G4/(G4+A4*50)</f>
        <v>0.13793103448275862</v>
      </c>
      <c r="K4">
        <v>10</v>
      </c>
      <c r="L4">
        <v>25</v>
      </c>
      <c r="M4">
        <f>K4+L4</f>
        <v>35</v>
      </c>
      <c r="O4" s="23">
        <f>M4/(M4+A4*5)</f>
        <v>0.875</v>
      </c>
      <c r="P4" s="23">
        <f>K4/(K4+A4*5)</f>
        <v>0.66666666666666663</v>
      </c>
      <c r="Q4" s="23">
        <f>L4/(L4+A4*5)</f>
        <v>0.83333333333333337</v>
      </c>
    </row>
    <row r="5" spans="1:17" x14ac:dyDescent="0.15">
      <c r="A5">
        <v>2</v>
      </c>
      <c r="B5">
        <f>B4+2</f>
        <v>4</v>
      </c>
      <c r="C5">
        <f>C4+2*1.5</f>
        <v>5</v>
      </c>
      <c r="D5">
        <f t="shared" ref="D5:D68" si="0">B5/(B5+A5*0.5)</f>
        <v>0.8</v>
      </c>
      <c r="E5">
        <f t="shared" ref="E5:E68" si="1">C5/(C5+A5*2)</f>
        <v>0.55555555555555558</v>
      </c>
      <c r="G5">
        <f>G4+2</f>
        <v>10</v>
      </c>
      <c r="H5">
        <f t="shared" ref="H5:H22" si="2">G5/(G5+A5*50)</f>
        <v>9.0909090909090912E-2</v>
      </c>
      <c r="K5">
        <f>K4+10</f>
        <v>20</v>
      </c>
      <c r="L5">
        <f>L4+25</f>
        <v>50</v>
      </c>
      <c r="M5">
        <f t="shared" ref="M5:M68" si="3">K5+L5</f>
        <v>70</v>
      </c>
      <c r="O5" s="23">
        <f t="shared" ref="O5:O68" si="4">M5/(M5+A5*5)</f>
        <v>0.875</v>
      </c>
      <c r="P5" s="23">
        <f t="shared" ref="P5:P68" si="5">K5/(K5+A5*5)</f>
        <v>0.66666666666666663</v>
      </c>
      <c r="Q5" s="23">
        <f t="shared" ref="Q5:Q68" si="6">L5/(L5+A5*5)</f>
        <v>0.83333333333333337</v>
      </c>
    </row>
    <row r="6" spans="1:17" x14ac:dyDescent="0.15">
      <c r="A6">
        <v>3</v>
      </c>
      <c r="B6">
        <f t="shared" ref="B6:B69" si="7">B5+2</f>
        <v>6</v>
      </c>
      <c r="C6">
        <f t="shared" ref="C6:C69" si="8">C5+2*1.5</f>
        <v>8</v>
      </c>
      <c r="D6">
        <f t="shared" si="0"/>
        <v>0.8</v>
      </c>
      <c r="E6">
        <f t="shared" si="1"/>
        <v>0.5714285714285714</v>
      </c>
      <c r="G6">
        <f t="shared" ref="G6:G22" si="9">G5+2</f>
        <v>12</v>
      </c>
      <c r="H6">
        <f t="shared" si="2"/>
        <v>7.407407407407407E-2</v>
      </c>
      <c r="K6">
        <f t="shared" ref="K6:K69" si="10">K5+10</f>
        <v>30</v>
      </c>
      <c r="L6">
        <f t="shared" ref="L6:L69" si="11">L5+25</f>
        <v>75</v>
      </c>
      <c r="M6">
        <f t="shared" si="3"/>
        <v>105</v>
      </c>
      <c r="O6" s="23">
        <f t="shared" si="4"/>
        <v>0.875</v>
      </c>
      <c r="P6" s="23">
        <f t="shared" si="5"/>
        <v>0.66666666666666663</v>
      </c>
      <c r="Q6" s="23">
        <f t="shared" si="6"/>
        <v>0.83333333333333337</v>
      </c>
    </row>
    <row r="7" spans="1:17" x14ac:dyDescent="0.15">
      <c r="A7">
        <v>4</v>
      </c>
      <c r="B7">
        <f t="shared" si="7"/>
        <v>8</v>
      </c>
      <c r="C7">
        <f t="shared" si="8"/>
        <v>11</v>
      </c>
      <c r="D7">
        <f t="shared" si="0"/>
        <v>0.8</v>
      </c>
      <c r="E7">
        <f t="shared" si="1"/>
        <v>0.57894736842105265</v>
      </c>
      <c r="G7">
        <f t="shared" si="9"/>
        <v>14</v>
      </c>
      <c r="H7">
        <f t="shared" si="2"/>
        <v>6.5420560747663545E-2</v>
      </c>
      <c r="K7">
        <f t="shared" si="10"/>
        <v>40</v>
      </c>
      <c r="L7">
        <f t="shared" si="11"/>
        <v>100</v>
      </c>
      <c r="M7">
        <f t="shared" si="3"/>
        <v>140</v>
      </c>
      <c r="O7" s="23">
        <f t="shared" si="4"/>
        <v>0.875</v>
      </c>
      <c r="P7" s="23">
        <f t="shared" si="5"/>
        <v>0.66666666666666663</v>
      </c>
      <c r="Q7" s="23">
        <f t="shared" si="6"/>
        <v>0.83333333333333337</v>
      </c>
    </row>
    <row r="8" spans="1:17" x14ac:dyDescent="0.15">
      <c r="A8">
        <v>5</v>
      </c>
      <c r="B8">
        <f t="shared" si="7"/>
        <v>10</v>
      </c>
      <c r="C8">
        <f t="shared" si="8"/>
        <v>14</v>
      </c>
      <c r="D8">
        <f t="shared" si="0"/>
        <v>0.8</v>
      </c>
      <c r="E8">
        <f t="shared" si="1"/>
        <v>0.58333333333333337</v>
      </c>
      <c r="G8">
        <f t="shared" si="9"/>
        <v>16</v>
      </c>
      <c r="H8">
        <f t="shared" si="2"/>
        <v>6.0150375939849621E-2</v>
      </c>
      <c r="K8">
        <f t="shared" si="10"/>
        <v>50</v>
      </c>
      <c r="L8">
        <f t="shared" si="11"/>
        <v>125</v>
      </c>
      <c r="M8">
        <f t="shared" si="3"/>
        <v>175</v>
      </c>
      <c r="O8" s="23">
        <f t="shared" si="4"/>
        <v>0.875</v>
      </c>
      <c r="P8" s="23">
        <f t="shared" si="5"/>
        <v>0.66666666666666663</v>
      </c>
      <c r="Q8" s="23">
        <f t="shared" si="6"/>
        <v>0.83333333333333337</v>
      </c>
    </row>
    <row r="9" spans="1:17" x14ac:dyDescent="0.15">
      <c r="A9">
        <v>6</v>
      </c>
      <c r="B9">
        <f t="shared" si="7"/>
        <v>12</v>
      </c>
      <c r="C9">
        <f t="shared" si="8"/>
        <v>17</v>
      </c>
      <c r="D9">
        <f t="shared" si="0"/>
        <v>0.8</v>
      </c>
      <c r="E9">
        <f t="shared" si="1"/>
        <v>0.58620689655172409</v>
      </c>
      <c r="G9">
        <f t="shared" si="9"/>
        <v>18</v>
      </c>
      <c r="H9">
        <f t="shared" si="2"/>
        <v>5.6603773584905662E-2</v>
      </c>
      <c r="K9">
        <f t="shared" si="10"/>
        <v>60</v>
      </c>
      <c r="L9">
        <f t="shared" si="11"/>
        <v>150</v>
      </c>
      <c r="M9">
        <f t="shared" si="3"/>
        <v>210</v>
      </c>
      <c r="O9" s="23">
        <f t="shared" si="4"/>
        <v>0.875</v>
      </c>
      <c r="P9" s="23">
        <f t="shared" si="5"/>
        <v>0.66666666666666663</v>
      </c>
      <c r="Q9" s="23">
        <f t="shared" si="6"/>
        <v>0.83333333333333337</v>
      </c>
    </row>
    <row r="10" spans="1:17" x14ac:dyDescent="0.15">
      <c r="A10">
        <v>7</v>
      </c>
      <c r="B10">
        <f t="shared" si="7"/>
        <v>14</v>
      </c>
      <c r="C10">
        <f t="shared" si="8"/>
        <v>20</v>
      </c>
      <c r="D10">
        <f t="shared" si="0"/>
        <v>0.8</v>
      </c>
      <c r="E10">
        <f t="shared" si="1"/>
        <v>0.58823529411764708</v>
      </c>
      <c r="G10">
        <f t="shared" si="9"/>
        <v>20</v>
      </c>
      <c r="H10">
        <f t="shared" si="2"/>
        <v>5.4054054054054057E-2</v>
      </c>
      <c r="K10">
        <f t="shared" si="10"/>
        <v>70</v>
      </c>
      <c r="L10">
        <f t="shared" si="11"/>
        <v>175</v>
      </c>
      <c r="M10">
        <f t="shared" si="3"/>
        <v>245</v>
      </c>
      <c r="O10" s="23">
        <f t="shared" si="4"/>
        <v>0.875</v>
      </c>
      <c r="P10" s="23">
        <f t="shared" si="5"/>
        <v>0.66666666666666663</v>
      </c>
      <c r="Q10" s="23">
        <f t="shared" si="6"/>
        <v>0.83333333333333337</v>
      </c>
    </row>
    <row r="11" spans="1:17" x14ac:dyDescent="0.15">
      <c r="A11">
        <v>8</v>
      </c>
      <c r="B11">
        <f t="shared" si="7"/>
        <v>16</v>
      </c>
      <c r="C11">
        <f t="shared" si="8"/>
        <v>23</v>
      </c>
      <c r="D11">
        <f t="shared" si="0"/>
        <v>0.8</v>
      </c>
      <c r="E11">
        <f t="shared" si="1"/>
        <v>0.58974358974358976</v>
      </c>
      <c r="G11">
        <f t="shared" si="9"/>
        <v>22</v>
      </c>
      <c r="H11">
        <f t="shared" si="2"/>
        <v>5.2132701421800945E-2</v>
      </c>
      <c r="K11">
        <f t="shared" si="10"/>
        <v>80</v>
      </c>
      <c r="L11">
        <f t="shared" si="11"/>
        <v>200</v>
      </c>
      <c r="M11">
        <f t="shared" si="3"/>
        <v>280</v>
      </c>
      <c r="O11" s="23">
        <f t="shared" si="4"/>
        <v>0.875</v>
      </c>
      <c r="P11" s="23">
        <f t="shared" si="5"/>
        <v>0.66666666666666663</v>
      </c>
      <c r="Q11" s="23">
        <f t="shared" si="6"/>
        <v>0.83333333333333337</v>
      </c>
    </row>
    <row r="12" spans="1:17" x14ac:dyDescent="0.15">
      <c r="A12">
        <v>9</v>
      </c>
      <c r="B12">
        <f t="shared" si="7"/>
        <v>18</v>
      </c>
      <c r="C12">
        <f t="shared" si="8"/>
        <v>26</v>
      </c>
      <c r="D12">
        <f t="shared" si="0"/>
        <v>0.8</v>
      </c>
      <c r="E12">
        <f t="shared" si="1"/>
        <v>0.59090909090909094</v>
      </c>
      <c r="G12">
        <f t="shared" si="9"/>
        <v>24</v>
      </c>
      <c r="H12">
        <f t="shared" si="2"/>
        <v>5.0632911392405063E-2</v>
      </c>
      <c r="K12">
        <f t="shared" si="10"/>
        <v>90</v>
      </c>
      <c r="L12">
        <f t="shared" si="11"/>
        <v>225</v>
      </c>
      <c r="M12">
        <f t="shared" si="3"/>
        <v>315</v>
      </c>
      <c r="O12" s="23">
        <f t="shared" si="4"/>
        <v>0.875</v>
      </c>
      <c r="P12" s="23">
        <f t="shared" si="5"/>
        <v>0.66666666666666663</v>
      </c>
      <c r="Q12" s="23">
        <f t="shared" si="6"/>
        <v>0.83333333333333337</v>
      </c>
    </row>
    <row r="13" spans="1:17" x14ac:dyDescent="0.15">
      <c r="A13">
        <v>10</v>
      </c>
      <c r="B13">
        <f t="shared" si="7"/>
        <v>20</v>
      </c>
      <c r="C13">
        <f t="shared" si="8"/>
        <v>29</v>
      </c>
      <c r="D13">
        <f t="shared" si="0"/>
        <v>0.8</v>
      </c>
      <c r="E13">
        <f t="shared" si="1"/>
        <v>0.59183673469387754</v>
      </c>
      <c r="G13">
        <f t="shared" si="9"/>
        <v>26</v>
      </c>
      <c r="H13">
        <f t="shared" si="2"/>
        <v>4.9429657794676805E-2</v>
      </c>
      <c r="K13">
        <f t="shared" si="10"/>
        <v>100</v>
      </c>
      <c r="L13">
        <f t="shared" si="11"/>
        <v>250</v>
      </c>
      <c r="M13">
        <f t="shared" si="3"/>
        <v>350</v>
      </c>
      <c r="O13" s="23">
        <f t="shared" si="4"/>
        <v>0.875</v>
      </c>
      <c r="P13" s="23">
        <f t="shared" si="5"/>
        <v>0.66666666666666663</v>
      </c>
      <c r="Q13" s="23">
        <f t="shared" si="6"/>
        <v>0.83333333333333337</v>
      </c>
    </row>
    <row r="14" spans="1:17" x14ac:dyDescent="0.15">
      <c r="A14">
        <v>11</v>
      </c>
      <c r="B14">
        <f t="shared" si="7"/>
        <v>22</v>
      </c>
      <c r="C14">
        <f t="shared" si="8"/>
        <v>32</v>
      </c>
      <c r="D14">
        <f t="shared" si="0"/>
        <v>0.8</v>
      </c>
      <c r="E14">
        <f t="shared" si="1"/>
        <v>0.59259259259259256</v>
      </c>
      <c r="G14">
        <f t="shared" si="9"/>
        <v>28</v>
      </c>
      <c r="H14">
        <f t="shared" si="2"/>
        <v>4.8442906574394463E-2</v>
      </c>
      <c r="K14">
        <f t="shared" si="10"/>
        <v>110</v>
      </c>
      <c r="L14">
        <f t="shared" si="11"/>
        <v>275</v>
      </c>
      <c r="M14">
        <f t="shared" si="3"/>
        <v>385</v>
      </c>
      <c r="O14" s="23">
        <f t="shared" si="4"/>
        <v>0.875</v>
      </c>
      <c r="P14" s="23">
        <f t="shared" si="5"/>
        <v>0.66666666666666663</v>
      </c>
      <c r="Q14" s="23">
        <f t="shared" si="6"/>
        <v>0.83333333333333337</v>
      </c>
    </row>
    <row r="15" spans="1:17" x14ac:dyDescent="0.15">
      <c r="A15">
        <v>12</v>
      </c>
      <c r="B15">
        <f t="shared" si="7"/>
        <v>24</v>
      </c>
      <c r="C15">
        <f t="shared" si="8"/>
        <v>35</v>
      </c>
      <c r="D15">
        <f t="shared" si="0"/>
        <v>0.8</v>
      </c>
      <c r="E15">
        <f t="shared" si="1"/>
        <v>0.59322033898305082</v>
      </c>
      <c r="G15">
        <f t="shared" si="9"/>
        <v>30</v>
      </c>
      <c r="H15">
        <f t="shared" si="2"/>
        <v>4.7619047619047616E-2</v>
      </c>
      <c r="K15">
        <f t="shared" si="10"/>
        <v>120</v>
      </c>
      <c r="L15">
        <f t="shared" si="11"/>
        <v>300</v>
      </c>
      <c r="M15">
        <f t="shared" si="3"/>
        <v>420</v>
      </c>
      <c r="O15" s="23">
        <f t="shared" si="4"/>
        <v>0.875</v>
      </c>
      <c r="P15" s="23">
        <f t="shared" si="5"/>
        <v>0.66666666666666663</v>
      </c>
      <c r="Q15" s="23">
        <f t="shared" si="6"/>
        <v>0.83333333333333337</v>
      </c>
    </row>
    <row r="16" spans="1:17" x14ac:dyDescent="0.15">
      <c r="A16">
        <v>13</v>
      </c>
      <c r="B16">
        <f t="shared" si="7"/>
        <v>26</v>
      </c>
      <c r="C16">
        <f t="shared" si="8"/>
        <v>38</v>
      </c>
      <c r="D16">
        <f t="shared" si="0"/>
        <v>0.8</v>
      </c>
      <c r="E16">
        <f t="shared" si="1"/>
        <v>0.59375</v>
      </c>
      <c r="G16">
        <f t="shared" si="9"/>
        <v>32</v>
      </c>
      <c r="H16">
        <f t="shared" si="2"/>
        <v>4.6920821114369501E-2</v>
      </c>
      <c r="K16">
        <f t="shared" si="10"/>
        <v>130</v>
      </c>
      <c r="L16">
        <f t="shared" si="11"/>
        <v>325</v>
      </c>
      <c r="M16">
        <f t="shared" si="3"/>
        <v>455</v>
      </c>
      <c r="O16" s="23">
        <f t="shared" si="4"/>
        <v>0.875</v>
      </c>
      <c r="P16" s="23">
        <f t="shared" si="5"/>
        <v>0.66666666666666663</v>
      </c>
      <c r="Q16" s="23">
        <f t="shared" si="6"/>
        <v>0.83333333333333337</v>
      </c>
    </row>
    <row r="17" spans="1:17" x14ac:dyDescent="0.15">
      <c r="A17">
        <v>14</v>
      </c>
      <c r="B17">
        <f t="shared" si="7"/>
        <v>28</v>
      </c>
      <c r="C17">
        <f t="shared" si="8"/>
        <v>41</v>
      </c>
      <c r="D17">
        <f t="shared" si="0"/>
        <v>0.8</v>
      </c>
      <c r="E17">
        <f t="shared" si="1"/>
        <v>0.59420289855072461</v>
      </c>
      <c r="G17">
        <f t="shared" si="9"/>
        <v>34</v>
      </c>
      <c r="H17">
        <f t="shared" si="2"/>
        <v>4.632152588555858E-2</v>
      </c>
      <c r="K17">
        <f t="shared" si="10"/>
        <v>140</v>
      </c>
      <c r="L17">
        <f t="shared" si="11"/>
        <v>350</v>
      </c>
      <c r="M17">
        <f t="shared" si="3"/>
        <v>490</v>
      </c>
      <c r="O17" s="23">
        <f t="shared" si="4"/>
        <v>0.875</v>
      </c>
      <c r="P17" s="23">
        <f t="shared" si="5"/>
        <v>0.66666666666666663</v>
      </c>
      <c r="Q17" s="23">
        <f t="shared" si="6"/>
        <v>0.83333333333333337</v>
      </c>
    </row>
    <row r="18" spans="1:17" x14ac:dyDescent="0.15">
      <c r="A18">
        <v>15</v>
      </c>
      <c r="B18">
        <f t="shared" si="7"/>
        <v>30</v>
      </c>
      <c r="C18">
        <f t="shared" si="8"/>
        <v>44</v>
      </c>
      <c r="D18">
        <f t="shared" si="0"/>
        <v>0.8</v>
      </c>
      <c r="E18">
        <f t="shared" si="1"/>
        <v>0.59459459459459463</v>
      </c>
      <c r="G18">
        <f t="shared" si="9"/>
        <v>36</v>
      </c>
      <c r="H18">
        <f t="shared" si="2"/>
        <v>4.5801526717557252E-2</v>
      </c>
      <c r="K18">
        <f t="shared" si="10"/>
        <v>150</v>
      </c>
      <c r="L18">
        <f t="shared" si="11"/>
        <v>375</v>
      </c>
      <c r="M18">
        <f t="shared" si="3"/>
        <v>525</v>
      </c>
      <c r="O18" s="23">
        <f t="shared" si="4"/>
        <v>0.875</v>
      </c>
      <c r="P18" s="23">
        <f t="shared" si="5"/>
        <v>0.66666666666666663</v>
      </c>
      <c r="Q18" s="23">
        <f t="shared" si="6"/>
        <v>0.83333333333333337</v>
      </c>
    </row>
    <row r="19" spans="1:17" x14ac:dyDescent="0.15">
      <c r="A19">
        <v>16</v>
      </c>
      <c r="B19">
        <f t="shared" si="7"/>
        <v>32</v>
      </c>
      <c r="C19">
        <f t="shared" si="8"/>
        <v>47</v>
      </c>
      <c r="D19">
        <f t="shared" si="0"/>
        <v>0.8</v>
      </c>
      <c r="E19">
        <f t="shared" si="1"/>
        <v>0.59493670886075944</v>
      </c>
      <c r="G19">
        <f t="shared" si="9"/>
        <v>38</v>
      </c>
      <c r="H19">
        <f t="shared" si="2"/>
        <v>4.5346062052505964E-2</v>
      </c>
      <c r="K19">
        <f t="shared" si="10"/>
        <v>160</v>
      </c>
      <c r="L19">
        <f t="shared" si="11"/>
        <v>400</v>
      </c>
      <c r="M19">
        <f t="shared" si="3"/>
        <v>560</v>
      </c>
      <c r="O19" s="23">
        <f t="shared" si="4"/>
        <v>0.875</v>
      </c>
      <c r="P19" s="23">
        <f t="shared" si="5"/>
        <v>0.66666666666666663</v>
      </c>
      <c r="Q19" s="23">
        <f t="shared" si="6"/>
        <v>0.83333333333333337</v>
      </c>
    </row>
    <row r="20" spans="1:17" x14ac:dyDescent="0.15">
      <c r="A20">
        <v>17</v>
      </c>
      <c r="B20">
        <f t="shared" si="7"/>
        <v>34</v>
      </c>
      <c r="C20">
        <f t="shared" si="8"/>
        <v>50</v>
      </c>
      <c r="D20">
        <f t="shared" si="0"/>
        <v>0.8</v>
      </c>
      <c r="E20">
        <f t="shared" si="1"/>
        <v>0.59523809523809523</v>
      </c>
      <c r="G20">
        <f t="shared" si="9"/>
        <v>40</v>
      </c>
      <c r="H20">
        <f t="shared" si="2"/>
        <v>4.49438202247191E-2</v>
      </c>
      <c r="K20">
        <f t="shared" si="10"/>
        <v>170</v>
      </c>
      <c r="L20">
        <f t="shared" si="11"/>
        <v>425</v>
      </c>
      <c r="M20">
        <f t="shared" si="3"/>
        <v>595</v>
      </c>
      <c r="O20" s="23">
        <f t="shared" si="4"/>
        <v>0.875</v>
      </c>
      <c r="P20" s="23">
        <f t="shared" si="5"/>
        <v>0.66666666666666663</v>
      </c>
      <c r="Q20" s="23">
        <f t="shared" si="6"/>
        <v>0.83333333333333337</v>
      </c>
    </row>
    <row r="21" spans="1:17" x14ac:dyDescent="0.15">
      <c r="A21">
        <v>18</v>
      </c>
      <c r="B21">
        <f t="shared" si="7"/>
        <v>36</v>
      </c>
      <c r="C21">
        <f t="shared" si="8"/>
        <v>53</v>
      </c>
      <c r="D21">
        <f t="shared" si="0"/>
        <v>0.8</v>
      </c>
      <c r="E21">
        <f t="shared" si="1"/>
        <v>0.5955056179775281</v>
      </c>
      <c r="G21">
        <f t="shared" si="9"/>
        <v>42</v>
      </c>
      <c r="H21">
        <f t="shared" si="2"/>
        <v>4.4585987261146494E-2</v>
      </c>
      <c r="K21">
        <f t="shared" si="10"/>
        <v>180</v>
      </c>
      <c r="L21">
        <f t="shared" si="11"/>
        <v>450</v>
      </c>
      <c r="M21">
        <f t="shared" si="3"/>
        <v>630</v>
      </c>
      <c r="O21" s="23">
        <f t="shared" si="4"/>
        <v>0.875</v>
      </c>
      <c r="P21" s="23">
        <f t="shared" si="5"/>
        <v>0.66666666666666663</v>
      </c>
      <c r="Q21" s="23">
        <f t="shared" si="6"/>
        <v>0.83333333333333337</v>
      </c>
    </row>
    <row r="22" spans="1:17" x14ac:dyDescent="0.15">
      <c r="A22">
        <v>19</v>
      </c>
      <c r="B22">
        <f t="shared" si="7"/>
        <v>38</v>
      </c>
      <c r="C22">
        <f t="shared" si="8"/>
        <v>56</v>
      </c>
      <c r="D22">
        <f t="shared" si="0"/>
        <v>0.8</v>
      </c>
      <c r="E22">
        <f t="shared" si="1"/>
        <v>0.5957446808510638</v>
      </c>
      <c r="G22">
        <f t="shared" si="9"/>
        <v>44</v>
      </c>
      <c r="H22">
        <f t="shared" si="2"/>
        <v>4.4265593561368208E-2</v>
      </c>
      <c r="K22">
        <f t="shared" si="10"/>
        <v>190</v>
      </c>
      <c r="L22">
        <f t="shared" si="11"/>
        <v>475</v>
      </c>
      <c r="M22">
        <f t="shared" si="3"/>
        <v>665</v>
      </c>
      <c r="O22" s="23">
        <f t="shared" si="4"/>
        <v>0.875</v>
      </c>
      <c r="P22" s="23">
        <f t="shared" si="5"/>
        <v>0.66666666666666663</v>
      </c>
      <c r="Q22" s="23">
        <f t="shared" si="6"/>
        <v>0.83333333333333337</v>
      </c>
    </row>
    <row r="23" spans="1:17" x14ac:dyDescent="0.15">
      <c r="A23">
        <v>20</v>
      </c>
      <c r="B23">
        <f t="shared" si="7"/>
        <v>40</v>
      </c>
      <c r="C23">
        <f t="shared" si="8"/>
        <v>59</v>
      </c>
      <c r="D23">
        <f t="shared" si="0"/>
        <v>0.8</v>
      </c>
      <c r="E23">
        <f t="shared" si="1"/>
        <v>0.59595959595959591</v>
      </c>
      <c r="K23">
        <f t="shared" si="10"/>
        <v>200</v>
      </c>
      <c r="L23">
        <f t="shared" si="11"/>
        <v>500</v>
      </c>
      <c r="M23">
        <f t="shared" si="3"/>
        <v>700</v>
      </c>
      <c r="O23" s="23">
        <f t="shared" si="4"/>
        <v>0.875</v>
      </c>
      <c r="P23" s="23">
        <f t="shared" si="5"/>
        <v>0.66666666666666663</v>
      </c>
      <c r="Q23" s="23">
        <f t="shared" si="6"/>
        <v>0.83333333333333337</v>
      </c>
    </row>
    <row r="24" spans="1:17" x14ac:dyDescent="0.15">
      <c r="A24">
        <v>21</v>
      </c>
      <c r="B24">
        <f t="shared" si="7"/>
        <v>42</v>
      </c>
      <c r="C24">
        <f t="shared" si="8"/>
        <v>62</v>
      </c>
      <c r="D24">
        <f t="shared" si="0"/>
        <v>0.8</v>
      </c>
      <c r="E24">
        <f t="shared" si="1"/>
        <v>0.59615384615384615</v>
      </c>
      <c r="K24">
        <f t="shared" si="10"/>
        <v>210</v>
      </c>
      <c r="L24">
        <f t="shared" si="11"/>
        <v>525</v>
      </c>
      <c r="M24">
        <f t="shared" si="3"/>
        <v>735</v>
      </c>
      <c r="O24" s="23">
        <f t="shared" si="4"/>
        <v>0.875</v>
      </c>
      <c r="P24" s="23">
        <f t="shared" si="5"/>
        <v>0.66666666666666663</v>
      </c>
      <c r="Q24" s="23">
        <f t="shared" si="6"/>
        <v>0.83333333333333337</v>
      </c>
    </row>
    <row r="25" spans="1:17" x14ac:dyDescent="0.15">
      <c r="A25">
        <v>22</v>
      </c>
      <c r="B25">
        <f t="shared" si="7"/>
        <v>44</v>
      </c>
      <c r="C25">
        <f t="shared" si="8"/>
        <v>65</v>
      </c>
      <c r="D25">
        <f t="shared" si="0"/>
        <v>0.8</v>
      </c>
      <c r="E25">
        <f t="shared" si="1"/>
        <v>0.59633027522935778</v>
      </c>
      <c r="K25">
        <f t="shared" si="10"/>
        <v>220</v>
      </c>
      <c r="L25">
        <f t="shared" si="11"/>
        <v>550</v>
      </c>
      <c r="M25">
        <f t="shared" si="3"/>
        <v>770</v>
      </c>
      <c r="O25" s="23">
        <f t="shared" si="4"/>
        <v>0.875</v>
      </c>
      <c r="P25" s="23">
        <f t="shared" si="5"/>
        <v>0.66666666666666663</v>
      </c>
      <c r="Q25" s="23">
        <f t="shared" si="6"/>
        <v>0.83333333333333337</v>
      </c>
    </row>
    <row r="26" spans="1:17" x14ac:dyDescent="0.15">
      <c r="A26">
        <v>23</v>
      </c>
      <c r="B26">
        <f t="shared" si="7"/>
        <v>46</v>
      </c>
      <c r="C26">
        <f t="shared" si="8"/>
        <v>68</v>
      </c>
      <c r="D26">
        <f t="shared" si="0"/>
        <v>0.8</v>
      </c>
      <c r="E26">
        <f t="shared" si="1"/>
        <v>0.59649122807017541</v>
      </c>
      <c r="K26">
        <f t="shared" si="10"/>
        <v>230</v>
      </c>
      <c r="L26">
        <f t="shared" si="11"/>
        <v>575</v>
      </c>
      <c r="M26">
        <f t="shared" si="3"/>
        <v>805</v>
      </c>
      <c r="O26" s="23">
        <f t="shared" si="4"/>
        <v>0.875</v>
      </c>
      <c r="P26" s="23">
        <f t="shared" si="5"/>
        <v>0.66666666666666663</v>
      </c>
      <c r="Q26" s="23">
        <f t="shared" si="6"/>
        <v>0.83333333333333337</v>
      </c>
    </row>
    <row r="27" spans="1:17" x14ac:dyDescent="0.15">
      <c r="A27">
        <v>24</v>
      </c>
      <c r="B27">
        <f t="shared" si="7"/>
        <v>48</v>
      </c>
      <c r="C27">
        <f t="shared" si="8"/>
        <v>71</v>
      </c>
      <c r="D27">
        <f t="shared" si="0"/>
        <v>0.8</v>
      </c>
      <c r="E27">
        <f t="shared" si="1"/>
        <v>0.59663865546218486</v>
      </c>
      <c r="K27">
        <f t="shared" si="10"/>
        <v>240</v>
      </c>
      <c r="L27">
        <f t="shared" si="11"/>
        <v>600</v>
      </c>
      <c r="M27">
        <f t="shared" si="3"/>
        <v>840</v>
      </c>
      <c r="O27" s="23">
        <f t="shared" si="4"/>
        <v>0.875</v>
      </c>
      <c r="P27" s="23">
        <f t="shared" si="5"/>
        <v>0.66666666666666663</v>
      </c>
      <c r="Q27" s="23">
        <f t="shared" si="6"/>
        <v>0.83333333333333337</v>
      </c>
    </row>
    <row r="28" spans="1:17" x14ac:dyDescent="0.15">
      <c r="A28">
        <v>25</v>
      </c>
      <c r="B28">
        <f t="shared" si="7"/>
        <v>50</v>
      </c>
      <c r="C28">
        <f t="shared" si="8"/>
        <v>74</v>
      </c>
      <c r="D28">
        <f t="shared" si="0"/>
        <v>0.8</v>
      </c>
      <c r="E28">
        <f t="shared" si="1"/>
        <v>0.59677419354838712</v>
      </c>
      <c r="K28">
        <f t="shared" si="10"/>
        <v>250</v>
      </c>
      <c r="L28">
        <f t="shared" si="11"/>
        <v>625</v>
      </c>
      <c r="M28">
        <f t="shared" si="3"/>
        <v>875</v>
      </c>
      <c r="O28" s="23">
        <f t="shared" si="4"/>
        <v>0.875</v>
      </c>
      <c r="P28" s="23">
        <f t="shared" si="5"/>
        <v>0.66666666666666663</v>
      </c>
      <c r="Q28" s="23">
        <f t="shared" si="6"/>
        <v>0.83333333333333337</v>
      </c>
    </row>
    <row r="29" spans="1:17" x14ac:dyDescent="0.15">
      <c r="A29">
        <v>26</v>
      </c>
      <c r="B29">
        <f t="shared" si="7"/>
        <v>52</v>
      </c>
      <c r="C29">
        <f t="shared" si="8"/>
        <v>77</v>
      </c>
      <c r="D29">
        <f t="shared" si="0"/>
        <v>0.8</v>
      </c>
      <c r="E29">
        <f t="shared" si="1"/>
        <v>0.5968992248062015</v>
      </c>
      <c r="K29">
        <f t="shared" si="10"/>
        <v>260</v>
      </c>
      <c r="L29">
        <f t="shared" si="11"/>
        <v>650</v>
      </c>
      <c r="M29">
        <f t="shared" si="3"/>
        <v>910</v>
      </c>
      <c r="O29" s="23">
        <f t="shared" si="4"/>
        <v>0.875</v>
      </c>
      <c r="P29" s="23">
        <f t="shared" si="5"/>
        <v>0.66666666666666663</v>
      </c>
      <c r="Q29" s="23">
        <f t="shared" si="6"/>
        <v>0.83333333333333337</v>
      </c>
    </row>
    <row r="30" spans="1:17" x14ac:dyDescent="0.15">
      <c r="A30">
        <v>27</v>
      </c>
      <c r="B30">
        <f t="shared" si="7"/>
        <v>54</v>
      </c>
      <c r="C30">
        <f t="shared" si="8"/>
        <v>80</v>
      </c>
      <c r="D30">
        <f t="shared" si="0"/>
        <v>0.8</v>
      </c>
      <c r="E30">
        <f t="shared" si="1"/>
        <v>0.59701492537313428</v>
      </c>
      <c r="K30">
        <f t="shared" si="10"/>
        <v>270</v>
      </c>
      <c r="L30">
        <f t="shared" si="11"/>
        <v>675</v>
      </c>
      <c r="M30">
        <f t="shared" si="3"/>
        <v>945</v>
      </c>
      <c r="O30" s="23">
        <f t="shared" si="4"/>
        <v>0.875</v>
      </c>
      <c r="P30" s="23">
        <f t="shared" si="5"/>
        <v>0.66666666666666663</v>
      </c>
      <c r="Q30" s="23">
        <f t="shared" si="6"/>
        <v>0.83333333333333337</v>
      </c>
    </row>
    <row r="31" spans="1:17" x14ac:dyDescent="0.15">
      <c r="A31">
        <v>28</v>
      </c>
      <c r="B31">
        <f t="shared" si="7"/>
        <v>56</v>
      </c>
      <c r="C31">
        <f t="shared" si="8"/>
        <v>83</v>
      </c>
      <c r="D31">
        <f t="shared" si="0"/>
        <v>0.8</v>
      </c>
      <c r="E31">
        <f t="shared" si="1"/>
        <v>0.59712230215827333</v>
      </c>
      <c r="K31">
        <f t="shared" si="10"/>
        <v>280</v>
      </c>
      <c r="L31">
        <f t="shared" si="11"/>
        <v>700</v>
      </c>
      <c r="M31">
        <f t="shared" si="3"/>
        <v>980</v>
      </c>
      <c r="O31" s="23">
        <f t="shared" si="4"/>
        <v>0.875</v>
      </c>
      <c r="P31" s="23">
        <f t="shared" si="5"/>
        <v>0.66666666666666663</v>
      </c>
      <c r="Q31" s="23">
        <f t="shared" si="6"/>
        <v>0.83333333333333337</v>
      </c>
    </row>
    <row r="32" spans="1:17" x14ac:dyDescent="0.15">
      <c r="A32">
        <v>29</v>
      </c>
      <c r="B32">
        <f t="shared" si="7"/>
        <v>58</v>
      </c>
      <c r="C32">
        <f t="shared" si="8"/>
        <v>86</v>
      </c>
      <c r="D32">
        <f t="shared" si="0"/>
        <v>0.8</v>
      </c>
      <c r="E32">
        <f t="shared" si="1"/>
        <v>0.59722222222222221</v>
      </c>
      <c r="K32">
        <f t="shared" si="10"/>
        <v>290</v>
      </c>
      <c r="L32">
        <f t="shared" si="11"/>
        <v>725</v>
      </c>
      <c r="M32">
        <f t="shared" si="3"/>
        <v>1015</v>
      </c>
      <c r="O32" s="23">
        <f t="shared" si="4"/>
        <v>0.875</v>
      </c>
      <c r="P32" s="23">
        <f t="shared" si="5"/>
        <v>0.66666666666666663</v>
      </c>
      <c r="Q32" s="23">
        <f t="shared" si="6"/>
        <v>0.83333333333333337</v>
      </c>
    </row>
    <row r="33" spans="1:17" x14ac:dyDescent="0.15">
      <c r="A33">
        <v>30</v>
      </c>
      <c r="B33">
        <f t="shared" si="7"/>
        <v>60</v>
      </c>
      <c r="C33">
        <f t="shared" si="8"/>
        <v>89</v>
      </c>
      <c r="D33">
        <f t="shared" si="0"/>
        <v>0.8</v>
      </c>
      <c r="E33">
        <f t="shared" si="1"/>
        <v>0.59731543624161076</v>
      </c>
      <c r="K33">
        <f t="shared" si="10"/>
        <v>300</v>
      </c>
      <c r="L33">
        <f t="shared" si="11"/>
        <v>750</v>
      </c>
      <c r="M33">
        <f t="shared" si="3"/>
        <v>1050</v>
      </c>
      <c r="O33" s="23">
        <f t="shared" si="4"/>
        <v>0.875</v>
      </c>
      <c r="P33" s="23">
        <f t="shared" si="5"/>
        <v>0.66666666666666663</v>
      </c>
      <c r="Q33" s="23">
        <f t="shared" si="6"/>
        <v>0.83333333333333337</v>
      </c>
    </row>
    <row r="34" spans="1:17" x14ac:dyDescent="0.15">
      <c r="A34">
        <v>31</v>
      </c>
      <c r="B34">
        <f t="shared" si="7"/>
        <v>62</v>
      </c>
      <c r="C34">
        <f t="shared" si="8"/>
        <v>92</v>
      </c>
      <c r="D34">
        <f t="shared" si="0"/>
        <v>0.8</v>
      </c>
      <c r="E34">
        <f t="shared" si="1"/>
        <v>0.59740259740259738</v>
      </c>
      <c r="K34">
        <f t="shared" si="10"/>
        <v>310</v>
      </c>
      <c r="L34">
        <f t="shared" si="11"/>
        <v>775</v>
      </c>
      <c r="M34">
        <f t="shared" si="3"/>
        <v>1085</v>
      </c>
      <c r="O34" s="23">
        <f t="shared" si="4"/>
        <v>0.875</v>
      </c>
      <c r="P34" s="23">
        <f t="shared" si="5"/>
        <v>0.66666666666666663</v>
      </c>
      <c r="Q34" s="23">
        <f t="shared" si="6"/>
        <v>0.83333333333333337</v>
      </c>
    </row>
    <row r="35" spans="1:17" x14ac:dyDescent="0.15">
      <c r="A35">
        <v>32</v>
      </c>
      <c r="B35">
        <f t="shared" si="7"/>
        <v>64</v>
      </c>
      <c r="C35">
        <f t="shared" si="8"/>
        <v>95</v>
      </c>
      <c r="D35">
        <f t="shared" si="0"/>
        <v>0.8</v>
      </c>
      <c r="E35">
        <f t="shared" si="1"/>
        <v>0.59748427672955973</v>
      </c>
      <c r="K35">
        <f t="shared" si="10"/>
        <v>320</v>
      </c>
      <c r="L35">
        <f t="shared" si="11"/>
        <v>800</v>
      </c>
      <c r="M35">
        <f t="shared" si="3"/>
        <v>1120</v>
      </c>
      <c r="O35" s="23">
        <f t="shared" si="4"/>
        <v>0.875</v>
      </c>
      <c r="P35" s="23">
        <f t="shared" si="5"/>
        <v>0.66666666666666663</v>
      </c>
      <c r="Q35" s="23">
        <f t="shared" si="6"/>
        <v>0.83333333333333337</v>
      </c>
    </row>
    <row r="36" spans="1:17" x14ac:dyDescent="0.15">
      <c r="A36">
        <v>33</v>
      </c>
      <c r="B36">
        <f t="shared" si="7"/>
        <v>66</v>
      </c>
      <c r="C36">
        <f t="shared" si="8"/>
        <v>98</v>
      </c>
      <c r="D36">
        <f t="shared" si="0"/>
        <v>0.8</v>
      </c>
      <c r="E36">
        <f t="shared" si="1"/>
        <v>0.59756097560975607</v>
      </c>
      <c r="K36">
        <f t="shared" si="10"/>
        <v>330</v>
      </c>
      <c r="L36">
        <f t="shared" si="11"/>
        <v>825</v>
      </c>
      <c r="M36">
        <f t="shared" si="3"/>
        <v>1155</v>
      </c>
      <c r="O36" s="23">
        <f t="shared" si="4"/>
        <v>0.875</v>
      </c>
      <c r="P36" s="23">
        <f t="shared" si="5"/>
        <v>0.66666666666666663</v>
      </c>
      <c r="Q36" s="23">
        <f t="shared" si="6"/>
        <v>0.83333333333333337</v>
      </c>
    </row>
    <row r="37" spans="1:17" x14ac:dyDescent="0.15">
      <c r="A37">
        <v>34</v>
      </c>
      <c r="B37">
        <f t="shared" si="7"/>
        <v>68</v>
      </c>
      <c r="C37">
        <f t="shared" si="8"/>
        <v>101</v>
      </c>
      <c r="D37">
        <f t="shared" si="0"/>
        <v>0.8</v>
      </c>
      <c r="E37">
        <f t="shared" si="1"/>
        <v>0.59763313609467461</v>
      </c>
      <c r="K37">
        <f t="shared" si="10"/>
        <v>340</v>
      </c>
      <c r="L37">
        <f t="shared" si="11"/>
        <v>850</v>
      </c>
      <c r="M37">
        <f t="shared" si="3"/>
        <v>1190</v>
      </c>
      <c r="O37" s="23">
        <f t="shared" si="4"/>
        <v>0.875</v>
      </c>
      <c r="P37" s="23">
        <f t="shared" si="5"/>
        <v>0.66666666666666663</v>
      </c>
      <c r="Q37" s="23">
        <f t="shared" si="6"/>
        <v>0.83333333333333337</v>
      </c>
    </row>
    <row r="38" spans="1:17" x14ac:dyDescent="0.15">
      <c r="A38">
        <v>35</v>
      </c>
      <c r="B38">
        <f t="shared" si="7"/>
        <v>70</v>
      </c>
      <c r="C38">
        <f t="shared" si="8"/>
        <v>104</v>
      </c>
      <c r="D38">
        <f t="shared" si="0"/>
        <v>0.8</v>
      </c>
      <c r="E38">
        <f t="shared" si="1"/>
        <v>0.5977011494252874</v>
      </c>
      <c r="K38">
        <f t="shared" si="10"/>
        <v>350</v>
      </c>
      <c r="L38">
        <f t="shared" si="11"/>
        <v>875</v>
      </c>
      <c r="M38">
        <f t="shared" si="3"/>
        <v>1225</v>
      </c>
      <c r="O38" s="23">
        <f t="shared" si="4"/>
        <v>0.875</v>
      </c>
      <c r="P38" s="23">
        <f t="shared" si="5"/>
        <v>0.66666666666666663</v>
      </c>
      <c r="Q38" s="23">
        <f t="shared" si="6"/>
        <v>0.83333333333333337</v>
      </c>
    </row>
    <row r="39" spans="1:17" x14ac:dyDescent="0.15">
      <c r="A39">
        <v>36</v>
      </c>
      <c r="B39">
        <f t="shared" si="7"/>
        <v>72</v>
      </c>
      <c r="C39">
        <f t="shared" si="8"/>
        <v>107</v>
      </c>
      <c r="D39">
        <f t="shared" si="0"/>
        <v>0.8</v>
      </c>
      <c r="E39">
        <f t="shared" si="1"/>
        <v>0.5977653631284916</v>
      </c>
      <c r="K39">
        <f t="shared" si="10"/>
        <v>360</v>
      </c>
      <c r="L39">
        <f t="shared" si="11"/>
        <v>900</v>
      </c>
      <c r="M39">
        <f t="shared" si="3"/>
        <v>1260</v>
      </c>
      <c r="O39" s="23">
        <f t="shared" si="4"/>
        <v>0.875</v>
      </c>
      <c r="P39" s="23">
        <f t="shared" si="5"/>
        <v>0.66666666666666663</v>
      </c>
      <c r="Q39" s="23">
        <f t="shared" si="6"/>
        <v>0.83333333333333337</v>
      </c>
    </row>
    <row r="40" spans="1:17" x14ac:dyDescent="0.15">
      <c r="A40">
        <v>37</v>
      </c>
      <c r="B40">
        <f t="shared" si="7"/>
        <v>74</v>
      </c>
      <c r="C40">
        <f t="shared" si="8"/>
        <v>110</v>
      </c>
      <c r="D40">
        <f t="shared" si="0"/>
        <v>0.8</v>
      </c>
      <c r="E40">
        <f t="shared" si="1"/>
        <v>0.59782608695652173</v>
      </c>
      <c r="K40">
        <f t="shared" si="10"/>
        <v>370</v>
      </c>
      <c r="L40">
        <f t="shared" si="11"/>
        <v>925</v>
      </c>
      <c r="M40">
        <f t="shared" si="3"/>
        <v>1295</v>
      </c>
      <c r="O40" s="23">
        <f t="shared" si="4"/>
        <v>0.875</v>
      </c>
      <c r="P40" s="23">
        <f t="shared" si="5"/>
        <v>0.66666666666666663</v>
      </c>
      <c r="Q40" s="23">
        <f t="shared" si="6"/>
        <v>0.83333333333333337</v>
      </c>
    </row>
    <row r="41" spans="1:17" x14ac:dyDescent="0.15">
      <c r="A41">
        <v>38</v>
      </c>
      <c r="B41">
        <f t="shared" si="7"/>
        <v>76</v>
      </c>
      <c r="C41">
        <f t="shared" si="8"/>
        <v>113</v>
      </c>
      <c r="D41">
        <f t="shared" si="0"/>
        <v>0.8</v>
      </c>
      <c r="E41">
        <f t="shared" si="1"/>
        <v>0.59788359788359791</v>
      </c>
      <c r="K41">
        <f t="shared" si="10"/>
        <v>380</v>
      </c>
      <c r="L41">
        <f t="shared" si="11"/>
        <v>950</v>
      </c>
      <c r="M41">
        <f t="shared" si="3"/>
        <v>1330</v>
      </c>
      <c r="O41" s="23">
        <f t="shared" si="4"/>
        <v>0.875</v>
      </c>
      <c r="P41" s="23">
        <f t="shared" si="5"/>
        <v>0.66666666666666663</v>
      </c>
      <c r="Q41" s="23">
        <f t="shared" si="6"/>
        <v>0.83333333333333337</v>
      </c>
    </row>
    <row r="42" spans="1:17" x14ac:dyDescent="0.15">
      <c r="A42">
        <v>39</v>
      </c>
      <c r="B42">
        <f t="shared" si="7"/>
        <v>78</v>
      </c>
      <c r="C42">
        <f t="shared" si="8"/>
        <v>116</v>
      </c>
      <c r="D42">
        <f t="shared" si="0"/>
        <v>0.8</v>
      </c>
      <c r="E42">
        <f t="shared" si="1"/>
        <v>0.59793814432989689</v>
      </c>
      <c r="K42">
        <f t="shared" si="10"/>
        <v>390</v>
      </c>
      <c r="L42">
        <f t="shared" si="11"/>
        <v>975</v>
      </c>
      <c r="M42">
        <f t="shared" si="3"/>
        <v>1365</v>
      </c>
      <c r="O42" s="23">
        <f t="shared" si="4"/>
        <v>0.875</v>
      </c>
      <c r="P42" s="23">
        <f t="shared" si="5"/>
        <v>0.66666666666666663</v>
      </c>
      <c r="Q42" s="23">
        <f t="shared" si="6"/>
        <v>0.83333333333333337</v>
      </c>
    </row>
    <row r="43" spans="1:17" x14ac:dyDescent="0.15">
      <c r="A43">
        <v>40</v>
      </c>
      <c r="B43">
        <f t="shared" si="7"/>
        <v>80</v>
      </c>
      <c r="C43">
        <f t="shared" si="8"/>
        <v>119</v>
      </c>
      <c r="D43">
        <f t="shared" si="0"/>
        <v>0.8</v>
      </c>
      <c r="E43">
        <f t="shared" si="1"/>
        <v>0.59798994974874375</v>
      </c>
      <c r="K43">
        <f t="shared" si="10"/>
        <v>400</v>
      </c>
      <c r="L43">
        <f t="shared" si="11"/>
        <v>1000</v>
      </c>
      <c r="M43">
        <f t="shared" si="3"/>
        <v>1400</v>
      </c>
      <c r="O43" s="23">
        <f t="shared" si="4"/>
        <v>0.875</v>
      </c>
      <c r="P43" s="23">
        <f t="shared" si="5"/>
        <v>0.66666666666666663</v>
      </c>
      <c r="Q43" s="23">
        <f t="shared" si="6"/>
        <v>0.83333333333333337</v>
      </c>
    </row>
    <row r="44" spans="1:17" x14ac:dyDescent="0.15">
      <c r="A44">
        <v>41</v>
      </c>
      <c r="B44">
        <f t="shared" si="7"/>
        <v>82</v>
      </c>
      <c r="C44">
        <f t="shared" si="8"/>
        <v>122</v>
      </c>
      <c r="D44">
        <f t="shared" si="0"/>
        <v>0.8</v>
      </c>
      <c r="E44">
        <f t="shared" si="1"/>
        <v>0.59803921568627449</v>
      </c>
      <c r="K44">
        <f t="shared" si="10"/>
        <v>410</v>
      </c>
      <c r="L44">
        <f t="shared" si="11"/>
        <v>1025</v>
      </c>
      <c r="M44">
        <f t="shared" si="3"/>
        <v>1435</v>
      </c>
      <c r="O44" s="23">
        <f t="shared" si="4"/>
        <v>0.875</v>
      </c>
      <c r="P44" s="23">
        <f t="shared" si="5"/>
        <v>0.66666666666666663</v>
      </c>
      <c r="Q44" s="23">
        <f t="shared" si="6"/>
        <v>0.83333333333333337</v>
      </c>
    </row>
    <row r="45" spans="1:17" x14ac:dyDescent="0.15">
      <c r="A45">
        <v>42</v>
      </c>
      <c r="B45">
        <f t="shared" si="7"/>
        <v>84</v>
      </c>
      <c r="C45">
        <f t="shared" si="8"/>
        <v>125</v>
      </c>
      <c r="D45">
        <f t="shared" si="0"/>
        <v>0.8</v>
      </c>
      <c r="E45">
        <f t="shared" si="1"/>
        <v>0.59808612440191389</v>
      </c>
      <c r="K45">
        <f t="shared" si="10"/>
        <v>420</v>
      </c>
      <c r="L45">
        <f t="shared" si="11"/>
        <v>1050</v>
      </c>
      <c r="M45">
        <f t="shared" si="3"/>
        <v>1470</v>
      </c>
      <c r="O45" s="23">
        <f t="shared" si="4"/>
        <v>0.875</v>
      </c>
      <c r="P45" s="23">
        <f t="shared" si="5"/>
        <v>0.66666666666666663</v>
      </c>
      <c r="Q45" s="23">
        <f t="shared" si="6"/>
        <v>0.83333333333333337</v>
      </c>
    </row>
    <row r="46" spans="1:17" x14ac:dyDescent="0.15">
      <c r="A46">
        <v>43</v>
      </c>
      <c r="B46">
        <f t="shared" si="7"/>
        <v>86</v>
      </c>
      <c r="C46">
        <f t="shared" si="8"/>
        <v>128</v>
      </c>
      <c r="D46">
        <f t="shared" si="0"/>
        <v>0.8</v>
      </c>
      <c r="E46">
        <f t="shared" si="1"/>
        <v>0.59813084112149528</v>
      </c>
      <c r="K46">
        <f t="shared" si="10"/>
        <v>430</v>
      </c>
      <c r="L46">
        <f t="shared" si="11"/>
        <v>1075</v>
      </c>
      <c r="M46">
        <f t="shared" si="3"/>
        <v>1505</v>
      </c>
      <c r="O46" s="23">
        <f t="shared" si="4"/>
        <v>0.875</v>
      </c>
      <c r="P46" s="23">
        <f t="shared" si="5"/>
        <v>0.66666666666666663</v>
      </c>
      <c r="Q46" s="23">
        <f t="shared" si="6"/>
        <v>0.83333333333333337</v>
      </c>
    </row>
    <row r="47" spans="1:17" x14ac:dyDescent="0.15">
      <c r="A47">
        <v>44</v>
      </c>
      <c r="B47">
        <f t="shared" si="7"/>
        <v>88</v>
      </c>
      <c r="C47">
        <f t="shared" si="8"/>
        <v>131</v>
      </c>
      <c r="D47">
        <f t="shared" si="0"/>
        <v>0.8</v>
      </c>
      <c r="E47">
        <f t="shared" si="1"/>
        <v>0.59817351598173518</v>
      </c>
      <c r="K47">
        <f t="shared" si="10"/>
        <v>440</v>
      </c>
      <c r="L47">
        <f t="shared" si="11"/>
        <v>1100</v>
      </c>
      <c r="M47">
        <f t="shared" si="3"/>
        <v>1540</v>
      </c>
      <c r="O47" s="23">
        <f t="shared" si="4"/>
        <v>0.875</v>
      </c>
      <c r="P47" s="23">
        <f t="shared" si="5"/>
        <v>0.66666666666666663</v>
      </c>
      <c r="Q47" s="23">
        <f t="shared" si="6"/>
        <v>0.83333333333333337</v>
      </c>
    </row>
    <row r="48" spans="1:17" x14ac:dyDescent="0.15">
      <c r="A48">
        <v>45</v>
      </c>
      <c r="B48">
        <f t="shared" si="7"/>
        <v>90</v>
      </c>
      <c r="C48">
        <f t="shared" si="8"/>
        <v>134</v>
      </c>
      <c r="D48">
        <f t="shared" si="0"/>
        <v>0.8</v>
      </c>
      <c r="E48">
        <f t="shared" si="1"/>
        <v>0.5982142857142857</v>
      </c>
      <c r="K48">
        <f t="shared" si="10"/>
        <v>450</v>
      </c>
      <c r="L48">
        <f t="shared" si="11"/>
        <v>1125</v>
      </c>
      <c r="M48">
        <f t="shared" si="3"/>
        <v>1575</v>
      </c>
      <c r="O48" s="23">
        <f t="shared" si="4"/>
        <v>0.875</v>
      </c>
      <c r="P48" s="23">
        <f t="shared" si="5"/>
        <v>0.66666666666666663</v>
      </c>
      <c r="Q48" s="23">
        <f t="shared" si="6"/>
        <v>0.83333333333333337</v>
      </c>
    </row>
    <row r="49" spans="1:17" x14ac:dyDescent="0.15">
      <c r="A49">
        <v>46</v>
      </c>
      <c r="B49">
        <f t="shared" si="7"/>
        <v>92</v>
      </c>
      <c r="C49">
        <f t="shared" si="8"/>
        <v>137</v>
      </c>
      <c r="D49">
        <f t="shared" si="0"/>
        <v>0.8</v>
      </c>
      <c r="E49">
        <f t="shared" si="1"/>
        <v>0.59825327510917026</v>
      </c>
      <c r="K49">
        <f t="shared" si="10"/>
        <v>460</v>
      </c>
      <c r="L49">
        <f t="shared" si="11"/>
        <v>1150</v>
      </c>
      <c r="M49">
        <f t="shared" si="3"/>
        <v>1610</v>
      </c>
      <c r="O49" s="23">
        <f t="shared" si="4"/>
        <v>0.875</v>
      </c>
      <c r="P49" s="23">
        <f t="shared" si="5"/>
        <v>0.66666666666666663</v>
      </c>
      <c r="Q49" s="23">
        <f t="shared" si="6"/>
        <v>0.83333333333333337</v>
      </c>
    </row>
    <row r="50" spans="1:17" x14ac:dyDescent="0.15">
      <c r="A50">
        <v>47</v>
      </c>
      <c r="B50">
        <f t="shared" si="7"/>
        <v>94</v>
      </c>
      <c r="C50">
        <f t="shared" si="8"/>
        <v>140</v>
      </c>
      <c r="D50">
        <f t="shared" si="0"/>
        <v>0.8</v>
      </c>
      <c r="E50">
        <f t="shared" si="1"/>
        <v>0.59829059829059827</v>
      </c>
      <c r="K50">
        <f t="shared" si="10"/>
        <v>470</v>
      </c>
      <c r="L50">
        <f t="shared" si="11"/>
        <v>1175</v>
      </c>
      <c r="M50">
        <f t="shared" si="3"/>
        <v>1645</v>
      </c>
      <c r="O50" s="23">
        <f t="shared" si="4"/>
        <v>0.875</v>
      </c>
      <c r="P50" s="23">
        <f t="shared" si="5"/>
        <v>0.66666666666666663</v>
      </c>
      <c r="Q50" s="23">
        <f t="shared" si="6"/>
        <v>0.83333333333333337</v>
      </c>
    </row>
    <row r="51" spans="1:17" x14ac:dyDescent="0.15">
      <c r="A51">
        <v>48</v>
      </c>
      <c r="B51">
        <f t="shared" si="7"/>
        <v>96</v>
      </c>
      <c r="C51">
        <f t="shared" si="8"/>
        <v>143</v>
      </c>
      <c r="D51">
        <f t="shared" si="0"/>
        <v>0.8</v>
      </c>
      <c r="E51">
        <f t="shared" si="1"/>
        <v>0.59832635983263593</v>
      </c>
      <c r="K51">
        <f t="shared" si="10"/>
        <v>480</v>
      </c>
      <c r="L51">
        <f t="shared" si="11"/>
        <v>1200</v>
      </c>
      <c r="M51">
        <f t="shared" si="3"/>
        <v>1680</v>
      </c>
      <c r="O51" s="23">
        <f t="shared" si="4"/>
        <v>0.875</v>
      </c>
      <c r="P51" s="23">
        <f t="shared" si="5"/>
        <v>0.66666666666666663</v>
      </c>
      <c r="Q51" s="23">
        <f t="shared" si="6"/>
        <v>0.83333333333333337</v>
      </c>
    </row>
    <row r="52" spans="1:17" x14ac:dyDescent="0.15">
      <c r="A52">
        <v>49</v>
      </c>
      <c r="B52">
        <f t="shared" si="7"/>
        <v>98</v>
      </c>
      <c r="C52">
        <f t="shared" si="8"/>
        <v>146</v>
      </c>
      <c r="D52">
        <f t="shared" si="0"/>
        <v>0.8</v>
      </c>
      <c r="E52">
        <f t="shared" si="1"/>
        <v>0.59836065573770492</v>
      </c>
      <c r="K52">
        <f t="shared" si="10"/>
        <v>490</v>
      </c>
      <c r="L52">
        <f t="shared" si="11"/>
        <v>1225</v>
      </c>
      <c r="M52">
        <f t="shared" si="3"/>
        <v>1715</v>
      </c>
      <c r="O52" s="23">
        <f t="shared" si="4"/>
        <v>0.875</v>
      </c>
      <c r="P52" s="23">
        <f t="shared" si="5"/>
        <v>0.66666666666666663</v>
      </c>
      <c r="Q52" s="23">
        <f t="shared" si="6"/>
        <v>0.83333333333333337</v>
      </c>
    </row>
    <row r="53" spans="1:17" x14ac:dyDescent="0.15">
      <c r="A53">
        <v>50</v>
      </c>
      <c r="B53">
        <f t="shared" si="7"/>
        <v>100</v>
      </c>
      <c r="C53">
        <f t="shared" si="8"/>
        <v>149</v>
      </c>
      <c r="D53">
        <f t="shared" si="0"/>
        <v>0.8</v>
      </c>
      <c r="E53">
        <f t="shared" si="1"/>
        <v>0.59839357429718876</v>
      </c>
      <c r="K53">
        <f t="shared" si="10"/>
        <v>500</v>
      </c>
      <c r="L53">
        <f t="shared" si="11"/>
        <v>1250</v>
      </c>
      <c r="M53">
        <f t="shared" si="3"/>
        <v>1750</v>
      </c>
      <c r="O53" s="23">
        <f t="shared" si="4"/>
        <v>0.875</v>
      </c>
      <c r="P53" s="23">
        <f t="shared" si="5"/>
        <v>0.66666666666666663</v>
      </c>
      <c r="Q53" s="23">
        <f t="shared" si="6"/>
        <v>0.83333333333333337</v>
      </c>
    </row>
    <row r="54" spans="1:17" x14ac:dyDescent="0.15">
      <c r="A54">
        <v>51</v>
      </c>
      <c r="B54">
        <f t="shared" si="7"/>
        <v>102</v>
      </c>
      <c r="C54">
        <f t="shared" si="8"/>
        <v>152</v>
      </c>
      <c r="D54">
        <f t="shared" si="0"/>
        <v>0.8</v>
      </c>
      <c r="E54">
        <f t="shared" si="1"/>
        <v>0.59842519685039375</v>
      </c>
      <c r="K54">
        <f t="shared" si="10"/>
        <v>510</v>
      </c>
      <c r="L54">
        <f t="shared" si="11"/>
        <v>1275</v>
      </c>
      <c r="M54">
        <f t="shared" si="3"/>
        <v>1785</v>
      </c>
      <c r="O54" s="23">
        <f t="shared" si="4"/>
        <v>0.875</v>
      </c>
      <c r="P54" s="23">
        <f t="shared" si="5"/>
        <v>0.66666666666666663</v>
      </c>
      <c r="Q54" s="23">
        <f t="shared" si="6"/>
        <v>0.83333333333333337</v>
      </c>
    </row>
    <row r="55" spans="1:17" x14ac:dyDescent="0.15">
      <c r="A55">
        <v>52</v>
      </c>
      <c r="B55">
        <f t="shared" si="7"/>
        <v>104</v>
      </c>
      <c r="C55">
        <f t="shared" si="8"/>
        <v>155</v>
      </c>
      <c r="D55">
        <f t="shared" si="0"/>
        <v>0.8</v>
      </c>
      <c r="E55">
        <f t="shared" si="1"/>
        <v>0.59845559845559848</v>
      </c>
      <c r="K55">
        <f t="shared" si="10"/>
        <v>520</v>
      </c>
      <c r="L55">
        <f t="shared" si="11"/>
        <v>1300</v>
      </c>
      <c r="M55">
        <f t="shared" si="3"/>
        <v>1820</v>
      </c>
      <c r="O55" s="23">
        <f t="shared" si="4"/>
        <v>0.875</v>
      </c>
      <c r="P55" s="23">
        <f t="shared" si="5"/>
        <v>0.66666666666666663</v>
      </c>
      <c r="Q55" s="23">
        <f t="shared" si="6"/>
        <v>0.83333333333333337</v>
      </c>
    </row>
    <row r="56" spans="1:17" x14ac:dyDescent="0.15">
      <c r="A56">
        <v>53</v>
      </c>
      <c r="B56">
        <f t="shared" si="7"/>
        <v>106</v>
      </c>
      <c r="C56">
        <f t="shared" si="8"/>
        <v>158</v>
      </c>
      <c r="D56">
        <f t="shared" si="0"/>
        <v>0.8</v>
      </c>
      <c r="E56">
        <f t="shared" si="1"/>
        <v>0.59848484848484851</v>
      </c>
      <c r="K56">
        <f t="shared" si="10"/>
        <v>530</v>
      </c>
      <c r="L56">
        <f t="shared" si="11"/>
        <v>1325</v>
      </c>
      <c r="M56">
        <f t="shared" si="3"/>
        <v>1855</v>
      </c>
      <c r="O56" s="23">
        <f t="shared" si="4"/>
        <v>0.875</v>
      </c>
      <c r="P56" s="23">
        <f t="shared" si="5"/>
        <v>0.66666666666666663</v>
      </c>
      <c r="Q56" s="23">
        <f t="shared" si="6"/>
        <v>0.83333333333333337</v>
      </c>
    </row>
    <row r="57" spans="1:17" x14ac:dyDescent="0.15">
      <c r="A57">
        <v>54</v>
      </c>
      <c r="B57">
        <f t="shared" si="7"/>
        <v>108</v>
      </c>
      <c r="C57">
        <f t="shared" si="8"/>
        <v>161</v>
      </c>
      <c r="D57">
        <f t="shared" si="0"/>
        <v>0.8</v>
      </c>
      <c r="E57">
        <f t="shared" si="1"/>
        <v>0.5985130111524164</v>
      </c>
      <c r="K57">
        <f t="shared" si="10"/>
        <v>540</v>
      </c>
      <c r="L57">
        <f t="shared" si="11"/>
        <v>1350</v>
      </c>
      <c r="M57">
        <f t="shared" si="3"/>
        <v>1890</v>
      </c>
      <c r="O57" s="23">
        <f t="shared" si="4"/>
        <v>0.875</v>
      </c>
      <c r="P57" s="23">
        <f t="shared" si="5"/>
        <v>0.66666666666666663</v>
      </c>
      <c r="Q57" s="23">
        <f t="shared" si="6"/>
        <v>0.83333333333333337</v>
      </c>
    </row>
    <row r="58" spans="1:17" x14ac:dyDescent="0.15">
      <c r="A58">
        <v>55</v>
      </c>
      <c r="B58">
        <f t="shared" si="7"/>
        <v>110</v>
      </c>
      <c r="C58">
        <f t="shared" si="8"/>
        <v>164</v>
      </c>
      <c r="D58">
        <f t="shared" si="0"/>
        <v>0.8</v>
      </c>
      <c r="E58">
        <f t="shared" si="1"/>
        <v>0.59854014598540151</v>
      </c>
      <c r="K58">
        <f t="shared" si="10"/>
        <v>550</v>
      </c>
      <c r="L58">
        <f t="shared" si="11"/>
        <v>1375</v>
      </c>
      <c r="M58">
        <f t="shared" si="3"/>
        <v>1925</v>
      </c>
      <c r="O58" s="23">
        <f t="shared" si="4"/>
        <v>0.875</v>
      </c>
      <c r="P58" s="23">
        <f t="shared" si="5"/>
        <v>0.66666666666666663</v>
      </c>
      <c r="Q58" s="23">
        <f t="shared" si="6"/>
        <v>0.83333333333333337</v>
      </c>
    </row>
    <row r="59" spans="1:17" x14ac:dyDescent="0.15">
      <c r="A59">
        <v>56</v>
      </c>
      <c r="B59">
        <f t="shared" si="7"/>
        <v>112</v>
      </c>
      <c r="C59">
        <f t="shared" si="8"/>
        <v>167</v>
      </c>
      <c r="D59">
        <f t="shared" si="0"/>
        <v>0.8</v>
      </c>
      <c r="E59">
        <f t="shared" si="1"/>
        <v>0.59856630824372759</v>
      </c>
      <c r="K59">
        <f t="shared" si="10"/>
        <v>560</v>
      </c>
      <c r="L59">
        <f t="shared" si="11"/>
        <v>1400</v>
      </c>
      <c r="M59">
        <f t="shared" si="3"/>
        <v>1960</v>
      </c>
      <c r="O59" s="23">
        <f t="shared" si="4"/>
        <v>0.875</v>
      </c>
      <c r="P59" s="23">
        <f t="shared" si="5"/>
        <v>0.66666666666666663</v>
      </c>
      <c r="Q59" s="23">
        <f t="shared" si="6"/>
        <v>0.83333333333333337</v>
      </c>
    </row>
    <row r="60" spans="1:17" x14ac:dyDescent="0.15">
      <c r="A60">
        <v>57</v>
      </c>
      <c r="B60">
        <f t="shared" si="7"/>
        <v>114</v>
      </c>
      <c r="C60">
        <f t="shared" si="8"/>
        <v>170</v>
      </c>
      <c r="D60">
        <f t="shared" si="0"/>
        <v>0.8</v>
      </c>
      <c r="E60">
        <f t="shared" si="1"/>
        <v>0.59859154929577463</v>
      </c>
      <c r="K60">
        <f t="shared" si="10"/>
        <v>570</v>
      </c>
      <c r="L60">
        <f t="shared" si="11"/>
        <v>1425</v>
      </c>
      <c r="M60">
        <f t="shared" si="3"/>
        <v>1995</v>
      </c>
      <c r="O60" s="23">
        <f t="shared" si="4"/>
        <v>0.875</v>
      </c>
      <c r="P60" s="23">
        <f t="shared" si="5"/>
        <v>0.66666666666666663</v>
      </c>
      <c r="Q60" s="23">
        <f t="shared" si="6"/>
        <v>0.83333333333333337</v>
      </c>
    </row>
    <row r="61" spans="1:17" x14ac:dyDescent="0.15">
      <c r="A61">
        <v>58</v>
      </c>
      <c r="B61">
        <f t="shared" si="7"/>
        <v>116</v>
      </c>
      <c r="C61">
        <f t="shared" si="8"/>
        <v>173</v>
      </c>
      <c r="D61">
        <f t="shared" si="0"/>
        <v>0.8</v>
      </c>
      <c r="E61">
        <f t="shared" si="1"/>
        <v>0.59861591695501726</v>
      </c>
      <c r="K61">
        <f t="shared" si="10"/>
        <v>580</v>
      </c>
      <c r="L61">
        <f t="shared" si="11"/>
        <v>1450</v>
      </c>
      <c r="M61">
        <f t="shared" si="3"/>
        <v>2030</v>
      </c>
      <c r="O61" s="23">
        <f t="shared" si="4"/>
        <v>0.875</v>
      </c>
      <c r="P61" s="23">
        <f t="shared" si="5"/>
        <v>0.66666666666666663</v>
      </c>
      <c r="Q61" s="23">
        <f t="shared" si="6"/>
        <v>0.83333333333333337</v>
      </c>
    </row>
    <row r="62" spans="1:17" x14ac:dyDescent="0.15">
      <c r="A62">
        <v>59</v>
      </c>
      <c r="B62">
        <f t="shared" si="7"/>
        <v>118</v>
      </c>
      <c r="C62">
        <f t="shared" si="8"/>
        <v>176</v>
      </c>
      <c r="D62">
        <f t="shared" si="0"/>
        <v>0.8</v>
      </c>
      <c r="E62">
        <f t="shared" si="1"/>
        <v>0.59863945578231292</v>
      </c>
      <c r="K62">
        <f t="shared" si="10"/>
        <v>590</v>
      </c>
      <c r="L62">
        <f t="shared" si="11"/>
        <v>1475</v>
      </c>
      <c r="M62">
        <f t="shared" si="3"/>
        <v>2065</v>
      </c>
      <c r="O62" s="23">
        <f t="shared" si="4"/>
        <v>0.875</v>
      </c>
      <c r="P62" s="23">
        <f t="shared" si="5"/>
        <v>0.66666666666666663</v>
      </c>
      <c r="Q62" s="23">
        <f t="shared" si="6"/>
        <v>0.83333333333333337</v>
      </c>
    </row>
    <row r="63" spans="1:17" x14ac:dyDescent="0.15">
      <c r="A63">
        <v>60</v>
      </c>
      <c r="B63">
        <f t="shared" si="7"/>
        <v>120</v>
      </c>
      <c r="C63">
        <f t="shared" si="8"/>
        <v>179</v>
      </c>
      <c r="D63">
        <f t="shared" si="0"/>
        <v>0.8</v>
      </c>
      <c r="E63">
        <f t="shared" si="1"/>
        <v>0.59866220735785958</v>
      </c>
      <c r="K63">
        <f t="shared" si="10"/>
        <v>600</v>
      </c>
      <c r="L63">
        <f t="shared" si="11"/>
        <v>1500</v>
      </c>
      <c r="M63">
        <f t="shared" si="3"/>
        <v>2100</v>
      </c>
      <c r="O63" s="23">
        <f t="shared" si="4"/>
        <v>0.875</v>
      </c>
      <c r="P63" s="23">
        <f t="shared" si="5"/>
        <v>0.66666666666666663</v>
      </c>
      <c r="Q63" s="23">
        <f t="shared" si="6"/>
        <v>0.83333333333333337</v>
      </c>
    </row>
    <row r="64" spans="1:17" x14ac:dyDescent="0.15">
      <c r="A64">
        <v>61</v>
      </c>
      <c r="B64">
        <f t="shared" si="7"/>
        <v>122</v>
      </c>
      <c r="C64">
        <f t="shared" si="8"/>
        <v>182</v>
      </c>
      <c r="D64">
        <f t="shared" si="0"/>
        <v>0.8</v>
      </c>
      <c r="E64">
        <f t="shared" si="1"/>
        <v>0.59868421052631582</v>
      </c>
      <c r="K64">
        <f t="shared" si="10"/>
        <v>610</v>
      </c>
      <c r="L64">
        <f t="shared" si="11"/>
        <v>1525</v>
      </c>
      <c r="M64">
        <f t="shared" si="3"/>
        <v>2135</v>
      </c>
      <c r="O64" s="23">
        <f t="shared" si="4"/>
        <v>0.875</v>
      </c>
      <c r="P64" s="23">
        <f t="shared" si="5"/>
        <v>0.66666666666666663</v>
      </c>
      <c r="Q64" s="23">
        <f t="shared" si="6"/>
        <v>0.83333333333333337</v>
      </c>
    </row>
    <row r="65" spans="1:17" x14ac:dyDescent="0.15">
      <c r="A65">
        <v>62</v>
      </c>
      <c r="B65">
        <f t="shared" si="7"/>
        <v>124</v>
      </c>
      <c r="C65">
        <f t="shared" si="8"/>
        <v>185</v>
      </c>
      <c r="D65">
        <f t="shared" si="0"/>
        <v>0.8</v>
      </c>
      <c r="E65">
        <f t="shared" si="1"/>
        <v>0.59870550161812297</v>
      </c>
      <c r="K65">
        <f t="shared" si="10"/>
        <v>620</v>
      </c>
      <c r="L65">
        <f t="shared" si="11"/>
        <v>1550</v>
      </c>
      <c r="M65">
        <f t="shared" si="3"/>
        <v>2170</v>
      </c>
      <c r="O65" s="23">
        <f t="shared" si="4"/>
        <v>0.875</v>
      </c>
      <c r="P65" s="23">
        <f t="shared" si="5"/>
        <v>0.66666666666666663</v>
      </c>
      <c r="Q65" s="23">
        <f t="shared" si="6"/>
        <v>0.83333333333333337</v>
      </c>
    </row>
    <row r="66" spans="1:17" x14ac:dyDescent="0.15">
      <c r="A66">
        <v>63</v>
      </c>
      <c r="B66">
        <f t="shared" si="7"/>
        <v>126</v>
      </c>
      <c r="C66">
        <f t="shared" si="8"/>
        <v>188</v>
      </c>
      <c r="D66">
        <f t="shared" si="0"/>
        <v>0.8</v>
      </c>
      <c r="E66">
        <f t="shared" si="1"/>
        <v>0.59872611464968151</v>
      </c>
      <c r="K66">
        <f t="shared" si="10"/>
        <v>630</v>
      </c>
      <c r="L66">
        <f t="shared" si="11"/>
        <v>1575</v>
      </c>
      <c r="M66">
        <f t="shared" si="3"/>
        <v>2205</v>
      </c>
      <c r="O66" s="23">
        <f t="shared" si="4"/>
        <v>0.875</v>
      </c>
      <c r="P66" s="23">
        <f t="shared" si="5"/>
        <v>0.66666666666666663</v>
      </c>
      <c r="Q66" s="23">
        <f t="shared" si="6"/>
        <v>0.83333333333333337</v>
      </c>
    </row>
    <row r="67" spans="1:17" x14ac:dyDescent="0.15">
      <c r="A67">
        <v>64</v>
      </c>
      <c r="B67">
        <f t="shared" si="7"/>
        <v>128</v>
      </c>
      <c r="C67">
        <f t="shared" si="8"/>
        <v>191</v>
      </c>
      <c r="D67">
        <f t="shared" si="0"/>
        <v>0.8</v>
      </c>
      <c r="E67">
        <f t="shared" si="1"/>
        <v>0.59874608150470221</v>
      </c>
      <c r="K67">
        <f t="shared" si="10"/>
        <v>640</v>
      </c>
      <c r="L67">
        <f t="shared" si="11"/>
        <v>1600</v>
      </c>
      <c r="M67">
        <f t="shared" si="3"/>
        <v>2240</v>
      </c>
      <c r="O67" s="23">
        <f t="shared" si="4"/>
        <v>0.875</v>
      </c>
      <c r="P67" s="23">
        <f t="shared" si="5"/>
        <v>0.66666666666666663</v>
      </c>
      <c r="Q67" s="23">
        <f t="shared" si="6"/>
        <v>0.83333333333333337</v>
      </c>
    </row>
    <row r="68" spans="1:17" x14ac:dyDescent="0.15">
      <c r="A68">
        <v>65</v>
      </c>
      <c r="B68">
        <f t="shared" si="7"/>
        <v>130</v>
      </c>
      <c r="C68">
        <f t="shared" si="8"/>
        <v>194</v>
      </c>
      <c r="D68">
        <f t="shared" si="0"/>
        <v>0.8</v>
      </c>
      <c r="E68">
        <f t="shared" si="1"/>
        <v>0.59876543209876543</v>
      </c>
      <c r="K68">
        <f t="shared" si="10"/>
        <v>650</v>
      </c>
      <c r="L68">
        <f t="shared" si="11"/>
        <v>1625</v>
      </c>
      <c r="M68">
        <f t="shared" si="3"/>
        <v>2275</v>
      </c>
      <c r="O68" s="23">
        <f t="shared" si="4"/>
        <v>0.875</v>
      </c>
      <c r="P68" s="23">
        <f t="shared" si="5"/>
        <v>0.66666666666666663</v>
      </c>
      <c r="Q68" s="23">
        <f t="shared" si="6"/>
        <v>0.83333333333333337</v>
      </c>
    </row>
    <row r="69" spans="1:17" x14ac:dyDescent="0.15">
      <c r="A69">
        <v>66</v>
      </c>
      <c r="B69">
        <f t="shared" si="7"/>
        <v>132</v>
      </c>
      <c r="C69">
        <f t="shared" si="8"/>
        <v>197</v>
      </c>
      <c r="D69">
        <f t="shared" ref="D69:D102" si="12">B69/(B69+A69*0.5)</f>
        <v>0.8</v>
      </c>
      <c r="E69">
        <f t="shared" ref="E69:E102" si="13">C69/(C69+A69*2)</f>
        <v>0.59878419452887544</v>
      </c>
      <c r="K69">
        <f t="shared" si="10"/>
        <v>660</v>
      </c>
      <c r="L69">
        <f t="shared" si="11"/>
        <v>1650</v>
      </c>
      <c r="M69">
        <f t="shared" ref="M69:M102" si="14">K69+L69</f>
        <v>2310</v>
      </c>
      <c r="O69" s="23">
        <f t="shared" ref="O69:O102" si="15">M69/(M69+A69*5)</f>
        <v>0.875</v>
      </c>
      <c r="P69" s="23">
        <f t="shared" ref="P69:P102" si="16">K69/(K69+A69*5)</f>
        <v>0.66666666666666663</v>
      </c>
      <c r="Q69" s="23">
        <f t="shared" ref="Q69:Q102" si="17">L69/(L69+A69*5)</f>
        <v>0.83333333333333337</v>
      </c>
    </row>
    <row r="70" spans="1:17" x14ac:dyDescent="0.15">
      <c r="A70">
        <v>67</v>
      </c>
      <c r="B70">
        <f t="shared" ref="B70:B102" si="18">B69+2</f>
        <v>134</v>
      </c>
      <c r="C70">
        <f t="shared" ref="C70:C102" si="19">C69+2*1.5</f>
        <v>200</v>
      </c>
      <c r="D70">
        <f t="shared" si="12"/>
        <v>0.8</v>
      </c>
      <c r="E70">
        <f t="shared" si="13"/>
        <v>0.59880239520958078</v>
      </c>
      <c r="K70">
        <f t="shared" ref="K70:K102" si="20">K69+10</f>
        <v>670</v>
      </c>
      <c r="L70">
        <f t="shared" ref="L70:L102" si="21">L69+25</f>
        <v>1675</v>
      </c>
      <c r="M70">
        <f t="shared" si="14"/>
        <v>2345</v>
      </c>
      <c r="O70" s="23">
        <f t="shared" si="15"/>
        <v>0.875</v>
      </c>
      <c r="P70" s="23">
        <f t="shared" si="16"/>
        <v>0.66666666666666663</v>
      </c>
      <c r="Q70" s="23">
        <f t="shared" si="17"/>
        <v>0.83333333333333337</v>
      </c>
    </row>
    <row r="71" spans="1:17" x14ac:dyDescent="0.15">
      <c r="A71">
        <v>68</v>
      </c>
      <c r="B71">
        <f t="shared" si="18"/>
        <v>136</v>
      </c>
      <c r="C71">
        <f t="shared" si="19"/>
        <v>203</v>
      </c>
      <c r="D71">
        <f t="shared" si="12"/>
        <v>0.8</v>
      </c>
      <c r="E71">
        <f t="shared" si="13"/>
        <v>0.59882005899705015</v>
      </c>
      <c r="K71">
        <f t="shared" si="20"/>
        <v>680</v>
      </c>
      <c r="L71">
        <f t="shared" si="21"/>
        <v>1700</v>
      </c>
      <c r="M71">
        <f t="shared" si="14"/>
        <v>2380</v>
      </c>
      <c r="O71" s="23">
        <f t="shared" si="15"/>
        <v>0.875</v>
      </c>
      <c r="P71" s="23">
        <f t="shared" si="16"/>
        <v>0.66666666666666663</v>
      </c>
      <c r="Q71" s="23">
        <f t="shared" si="17"/>
        <v>0.83333333333333337</v>
      </c>
    </row>
    <row r="72" spans="1:17" x14ac:dyDescent="0.15">
      <c r="A72">
        <v>69</v>
      </c>
      <c r="B72">
        <f t="shared" si="18"/>
        <v>138</v>
      </c>
      <c r="C72">
        <f t="shared" si="19"/>
        <v>206</v>
      </c>
      <c r="D72">
        <f t="shared" si="12"/>
        <v>0.8</v>
      </c>
      <c r="E72">
        <f t="shared" si="13"/>
        <v>0.59883720930232553</v>
      </c>
      <c r="K72">
        <f t="shared" si="20"/>
        <v>690</v>
      </c>
      <c r="L72">
        <f t="shared" si="21"/>
        <v>1725</v>
      </c>
      <c r="M72">
        <f t="shared" si="14"/>
        <v>2415</v>
      </c>
      <c r="O72" s="23">
        <f t="shared" si="15"/>
        <v>0.875</v>
      </c>
      <c r="P72" s="23">
        <f t="shared" si="16"/>
        <v>0.66666666666666663</v>
      </c>
      <c r="Q72" s="23">
        <f t="shared" si="17"/>
        <v>0.83333333333333337</v>
      </c>
    </row>
    <row r="73" spans="1:17" x14ac:dyDescent="0.15">
      <c r="A73">
        <v>70</v>
      </c>
      <c r="B73">
        <f t="shared" si="18"/>
        <v>140</v>
      </c>
      <c r="C73">
        <f t="shared" si="19"/>
        <v>209</v>
      </c>
      <c r="D73">
        <f t="shared" si="12"/>
        <v>0.8</v>
      </c>
      <c r="E73">
        <f t="shared" si="13"/>
        <v>0.59885386819484243</v>
      </c>
      <c r="K73">
        <f t="shared" si="20"/>
        <v>700</v>
      </c>
      <c r="L73">
        <f t="shared" si="21"/>
        <v>1750</v>
      </c>
      <c r="M73">
        <f t="shared" si="14"/>
        <v>2450</v>
      </c>
      <c r="O73" s="23">
        <f t="shared" si="15"/>
        <v>0.875</v>
      </c>
      <c r="P73" s="23">
        <f t="shared" si="16"/>
        <v>0.66666666666666663</v>
      </c>
      <c r="Q73" s="23">
        <f t="shared" si="17"/>
        <v>0.83333333333333337</v>
      </c>
    </row>
    <row r="74" spans="1:17" x14ac:dyDescent="0.15">
      <c r="A74">
        <v>71</v>
      </c>
      <c r="B74">
        <f t="shared" si="18"/>
        <v>142</v>
      </c>
      <c r="C74">
        <f t="shared" si="19"/>
        <v>212</v>
      </c>
      <c r="D74">
        <f t="shared" si="12"/>
        <v>0.8</v>
      </c>
      <c r="E74">
        <f t="shared" si="13"/>
        <v>0.59887005649717517</v>
      </c>
      <c r="K74">
        <f t="shared" si="20"/>
        <v>710</v>
      </c>
      <c r="L74">
        <f t="shared" si="21"/>
        <v>1775</v>
      </c>
      <c r="M74">
        <f t="shared" si="14"/>
        <v>2485</v>
      </c>
      <c r="O74" s="23">
        <f t="shared" si="15"/>
        <v>0.875</v>
      </c>
      <c r="P74" s="23">
        <f t="shared" si="16"/>
        <v>0.66666666666666663</v>
      </c>
      <c r="Q74" s="23">
        <f t="shared" si="17"/>
        <v>0.83333333333333337</v>
      </c>
    </row>
    <row r="75" spans="1:17" x14ac:dyDescent="0.15">
      <c r="A75">
        <v>72</v>
      </c>
      <c r="B75">
        <f t="shared" si="18"/>
        <v>144</v>
      </c>
      <c r="C75">
        <f t="shared" si="19"/>
        <v>215</v>
      </c>
      <c r="D75">
        <f t="shared" si="12"/>
        <v>0.8</v>
      </c>
      <c r="E75">
        <f t="shared" si="13"/>
        <v>0.59888579387186625</v>
      </c>
      <c r="K75">
        <f t="shared" si="20"/>
        <v>720</v>
      </c>
      <c r="L75">
        <f t="shared" si="21"/>
        <v>1800</v>
      </c>
      <c r="M75">
        <f t="shared" si="14"/>
        <v>2520</v>
      </c>
      <c r="O75" s="23">
        <f t="shared" si="15"/>
        <v>0.875</v>
      </c>
      <c r="P75" s="23">
        <f t="shared" si="16"/>
        <v>0.66666666666666663</v>
      </c>
      <c r="Q75" s="23">
        <f t="shared" si="17"/>
        <v>0.83333333333333337</v>
      </c>
    </row>
    <row r="76" spans="1:17" x14ac:dyDescent="0.15">
      <c r="A76">
        <v>73</v>
      </c>
      <c r="B76">
        <f t="shared" si="18"/>
        <v>146</v>
      </c>
      <c r="C76">
        <f t="shared" si="19"/>
        <v>218</v>
      </c>
      <c r="D76">
        <f t="shared" si="12"/>
        <v>0.8</v>
      </c>
      <c r="E76">
        <f t="shared" si="13"/>
        <v>0.59890109890109888</v>
      </c>
      <c r="K76">
        <f t="shared" si="20"/>
        <v>730</v>
      </c>
      <c r="L76">
        <f t="shared" si="21"/>
        <v>1825</v>
      </c>
      <c r="M76">
        <f t="shared" si="14"/>
        <v>2555</v>
      </c>
      <c r="O76" s="23">
        <f t="shared" si="15"/>
        <v>0.875</v>
      </c>
      <c r="P76" s="23">
        <f t="shared" si="16"/>
        <v>0.66666666666666663</v>
      </c>
      <c r="Q76" s="23">
        <f t="shared" si="17"/>
        <v>0.83333333333333337</v>
      </c>
    </row>
    <row r="77" spans="1:17" x14ac:dyDescent="0.15">
      <c r="A77">
        <v>74</v>
      </c>
      <c r="B77">
        <f t="shared" si="18"/>
        <v>148</v>
      </c>
      <c r="C77">
        <f t="shared" si="19"/>
        <v>221</v>
      </c>
      <c r="D77">
        <f t="shared" si="12"/>
        <v>0.8</v>
      </c>
      <c r="E77">
        <f t="shared" si="13"/>
        <v>0.59891598915989164</v>
      </c>
      <c r="K77">
        <f t="shared" si="20"/>
        <v>740</v>
      </c>
      <c r="L77">
        <f t="shared" si="21"/>
        <v>1850</v>
      </c>
      <c r="M77">
        <f t="shared" si="14"/>
        <v>2590</v>
      </c>
      <c r="O77" s="23">
        <f t="shared" si="15"/>
        <v>0.875</v>
      </c>
      <c r="P77" s="23">
        <f t="shared" si="16"/>
        <v>0.66666666666666663</v>
      </c>
      <c r="Q77" s="23">
        <f t="shared" si="17"/>
        <v>0.83333333333333337</v>
      </c>
    </row>
    <row r="78" spans="1:17" x14ac:dyDescent="0.15">
      <c r="A78">
        <v>75</v>
      </c>
      <c r="B78">
        <f t="shared" si="18"/>
        <v>150</v>
      </c>
      <c r="C78">
        <f t="shared" si="19"/>
        <v>224</v>
      </c>
      <c r="D78">
        <f t="shared" si="12"/>
        <v>0.8</v>
      </c>
      <c r="E78">
        <f t="shared" si="13"/>
        <v>0.59893048128342241</v>
      </c>
      <c r="K78">
        <f t="shared" si="20"/>
        <v>750</v>
      </c>
      <c r="L78">
        <f t="shared" si="21"/>
        <v>1875</v>
      </c>
      <c r="M78">
        <f t="shared" si="14"/>
        <v>2625</v>
      </c>
      <c r="O78" s="23">
        <f t="shared" si="15"/>
        <v>0.875</v>
      </c>
      <c r="P78" s="23">
        <f t="shared" si="16"/>
        <v>0.66666666666666663</v>
      </c>
      <c r="Q78" s="23">
        <f t="shared" si="17"/>
        <v>0.83333333333333337</v>
      </c>
    </row>
    <row r="79" spans="1:17" x14ac:dyDescent="0.15">
      <c r="A79">
        <v>76</v>
      </c>
      <c r="B79">
        <f t="shared" si="18"/>
        <v>152</v>
      </c>
      <c r="C79">
        <f t="shared" si="19"/>
        <v>227</v>
      </c>
      <c r="D79">
        <f t="shared" si="12"/>
        <v>0.8</v>
      </c>
      <c r="E79">
        <f t="shared" si="13"/>
        <v>0.59894459102902375</v>
      </c>
      <c r="K79">
        <f t="shared" si="20"/>
        <v>760</v>
      </c>
      <c r="L79">
        <f t="shared" si="21"/>
        <v>1900</v>
      </c>
      <c r="M79">
        <f t="shared" si="14"/>
        <v>2660</v>
      </c>
      <c r="O79" s="23">
        <f t="shared" si="15"/>
        <v>0.875</v>
      </c>
      <c r="P79" s="23">
        <f t="shared" si="16"/>
        <v>0.66666666666666663</v>
      </c>
      <c r="Q79" s="23">
        <f t="shared" si="17"/>
        <v>0.83333333333333337</v>
      </c>
    </row>
    <row r="80" spans="1:17" x14ac:dyDescent="0.15">
      <c r="A80">
        <v>77</v>
      </c>
      <c r="B80">
        <f t="shared" si="18"/>
        <v>154</v>
      </c>
      <c r="C80">
        <f t="shared" si="19"/>
        <v>230</v>
      </c>
      <c r="D80">
        <f t="shared" si="12"/>
        <v>0.8</v>
      </c>
      <c r="E80">
        <f t="shared" si="13"/>
        <v>0.59895833333333337</v>
      </c>
      <c r="K80">
        <f t="shared" si="20"/>
        <v>770</v>
      </c>
      <c r="L80">
        <f t="shared" si="21"/>
        <v>1925</v>
      </c>
      <c r="M80">
        <f t="shared" si="14"/>
        <v>2695</v>
      </c>
      <c r="O80" s="23">
        <f t="shared" si="15"/>
        <v>0.875</v>
      </c>
      <c r="P80" s="23">
        <f t="shared" si="16"/>
        <v>0.66666666666666663</v>
      </c>
      <c r="Q80" s="23">
        <f t="shared" si="17"/>
        <v>0.83333333333333337</v>
      </c>
    </row>
    <row r="81" spans="1:17" x14ac:dyDescent="0.15">
      <c r="A81">
        <v>78</v>
      </c>
      <c r="B81">
        <f t="shared" si="18"/>
        <v>156</v>
      </c>
      <c r="C81">
        <f t="shared" si="19"/>
        <v>233</v>
      </c>
      <c r="D81">
        <f t="shared" si="12"/>
        <v>0.8</v>
      </c>
      <c r="E81">
        <f t="shared" si="13"/>
        <v>0.59897172236503859</v>
      </c>
      <c r="K81">
        <f t="shared" si="20"/>
        <v>780</v>
      </c>
      <c r="L81">
        <f t="shared" si="21"/>
        <v>1950</v>
      </c>
      <c r="M81">
        <f t="shared" si="14"/>
        <v>2730</v>
      </c>
      <c r="O81" s="23">
        <f t="shared" si="15"/>
        <v>0.875</v>
      </c>
      <c r="P81" s="23">
        <f t="shared" si="16"/>
        <v>0.66666666666666663</v>
      </c>
      <c r="Q81" s="23">
        <f t="shared" si="17"/>
        <v>0.83333333333333337</v>
      </c>
    </row>
    <row r="82" spans="1:17" x14ac:dyDescent="0.15">
      <c r="A82">
        <v>79</v>
      </c>
      <c r="B82">
        <f t="shared" si="18"/>
        <v>158</v>
      </c>
      <c r="C82">
        <f t="shared" si="19"/>
        <v>236</v>
      </c>
      <c r="D82">
        <f t="shared" si="12"/>
        <v>0.8</v>
      </c>
      <c r="E82">
        <f t="shared" si="13"/>
        <v>0.59898477157360408</v>
      </c>
      <c r="K82">
        <f t="shared" si="20"/>
        <v>790</v>
      </c>
      <c r="L82">
        <f t="shared" si="21"/>
        <v>1975</v>
      </c>
      <c r="M82">
        <f t="shared" si="14"/>
        <v>2765</v>
      </c>
      <c r="O82" s="23">
        <f t="shared" si="15"/>
        <v>0.875</v>
      </c>
      <c r="P82" s="23">
        <f t="shared" si="16"/>
        <v>0.66666666666666663</v>
      </c>
      <c r="Q82" s="23">
        <f t="shared" si="17"/>
        <v>0.83333333333333337</v>
      </c>
    </row>
    <row r="83" spans="1:17" x14ac:dyDescent="0.15">
      <c r="A83">
        <v>80</v>
      </c>
      <c r="B83">
        <f t="shared" si="18"/>
        <v>160</v>
      </c>
      <c r="C83">
        <f t="shared" si="19"/>
        <v>239</v>
      </c>
      <c r="D83">
        <f t="shared" si="12"/>
        <v>0.8</v>
      </c>
      <c r="E83">
        <f t="shared" si="13"/>
        <v>0.59899749373433586</v>
      </c>
      <c r="K83">
        <f t="shared" si="20"/>
        <v>800</v>
      </c>
      <c r="L83">
        <f t="shared" si="21"/>
        <v>2000</v>
      </c>
      <c r="M83">
        <f t="shared" si="14"/>
        <v>2800</v>
      </c>
      <c r="O83" s="23">
        <f t="shared" si="15"/>
        <v>0.875</v>
      </c>
      <c r="P83" s="23">
        <f t="shared" si="16"/>
        <v>0.66666666666666663</v>
      </c>
      <c r="Q83" s="23">
        <f t="shared" si="17"/>
        <v>0.83333333333333337</v>
      </c>
    </row>
    <row r="84" spans="1:17" x14ac:dyDescent="0.15">
      <c r="A84">
        <v>81</v>
      </c>
      <c r="B84">
        <f t="shared" si="18"/>
        <v>162</v>
      </c>
      <c r="C84">
        <f t="shared" si="19"/>
        <v>242</v>
      </c>
      <c r="D84">
        <f t="shared" si="12"/>
        <v>0.8</v>
      </c>
      <c r="E84">
        <f t="shared" si="13"/>
        <v>0.59900990099009899</v>
      </c>
      <c r="K84">
        <f t="shared" si="20"/>
        <v>810</v>
      </c>
      <c r="L84">
        <f t="shared" si="21"/>
        <v>2025</v>
      </c>
      <c r="M84">
        <f t="shared" si="14"/>
        <v>2835</v>
      </c>
      <c r="O84" s="23">
        <f t="shared" si="15"/>
        <v>0.875</v>
      </c>
      <c r="P84" s="23">
        <f t="shared" si="16"/>
        <v>0.66666666666666663</v>
      </c>
      <c r="Q84" s="23">
        <f t="shared" si="17"/>
        <v>0.83333333333333337</v>
      </c>
    </row>
    <row r="85" spans="1:17" x14ac:dyDescent="0.15">
      <c r="A85">
        <v>82</v>
      </c>
      <c r="B85">
        <f t="shared" si="18"/>
        <v>164</v>
      </c>
      <c r="C85">
        <f t="shared" si="19"/>
        <v>245</v>
      </c>
      <c r="D85">
        <f t="shared" si="12"/>
        <v>0.8</v>
      </c>
      <c r="E85">
        <f t="shared" si="13"/>
        <v>0.59902200488997559</v>
      </c>
      <c r="K85">
        <f t="shared" si="20"/>
        <v>820</v>
      </c>
      <c r="L85">
        <f t="shared" si="21"/>
        <v>2050</v>
      </c>
      <c r="M85">
        <f t="shared" si="14"/>
        <v>2870</v>
      </c>
      <c r="O85" s="23">
        <f t="shared" si="15"/>
        <v>0.875</v>
      </c>
      <c r="P85" s="23">
        <f t="shared" si="16"/>
        <v>0.66666666666666663</v>
      </c>
      <c r="Q85" s="23">
        <f t="shared" si="17"/>
        <v>0.83333333333333337</v>
      </c>
    </row>
    <row r="86" spans="1:17" x14ac:dyDescent="0.15">
      <c r="A86">
        <v>83</v>
      </c>
      <c r="B86">
        <f t="shared" si="18"/>
        <v>166</v>
      </c>
      <c r="C86">
        <f t="shared" si="19"/>
        <v>248</v>
      </c>
      <c r="D86">
        <f t="shared" si="12"/>
        <v>0.8</v>
      </c>
      <c r="E86">
        <f t="shared" si="13"/>
        <v>0.59903381642512077</v>
      </c>
      <c r="K86">
        <f t="shared" si="20"/>
        <v>830</v>
      </c>
      <c r="L86">
        <f t="shared" si="21"/>
        <v>2075</v>
      </c>
      <c r="M86">
        <f t="shared" si="14"/>
        <v>2905</v>
      </c>
      <c r="O86" s="23">
        <f t="shared" si="15"/>
        <v>0.875</v>
      </c>
      <c r="P86" s="23">
        <f t="shared" si="16"/>
        <v>0.66666666666666663</v>
      </c>
      <c r="Q86" s="23">
        <f t="shared" si="17"/>
        <v>0.83333333333333337</v>
      </c>
    </row>
    <row r="87" spans="1:17" x14ac:dyDescent="0.15">
      <c r="A87">
        <v>84</v>
      </c>
      <c r="B87">
        <f t="shared" si="18"/>
        <v>168</v>
      </c>
      <c r="C87">
        <f t="shared" si="19"/>
        <v>251</v>
      </c>
      <c r="D87">
        <f t="shared" si="12"/>
        <v>0.8</v>
      </c>
      <c r="E87">
        <f t="shared" si="13"/>
        <v>0.59904534606205251</v>
      </c>
      <c r="K87">
        <f t="shared" si="20"/>
        <v>840</v>
      </c>
      <c r="L87">
        <f t="shared" si="21"/>
        <v>2100</v>
      </c>
      <c r="M87">
        <f t="shared" si="14"/>
        <v>2940</v>
      </c>
      <c r="O87" s="23">
        <f t="shared" si="15"/>
        <v>0.875</v>
      </c>
      <c r="P87" s="23">
        <f t="shared" si="16"/>
        <v>0.66666666666666663</v>
      </c>
      <c r="Q87" s="23">
        <f t="shared" si="17"/>
        <v>0.83333333333333337</v>
      </c>
    </row>
    <row r="88" spans="1:17" x14ac:dyDescent="0.15">
      <c r="A88">
        <v>85</v>
      </c>
      <c r="B88">
        <f t="shared" si="18"/>
        <v>170</v>
      </c>
      <c r="C88">
        <f t="shared" si="19"/>
        <v>254</v>
      </c>
      <c r="D88">
        <f t="shared" si="12"/>
        <v>0.8</v>
      </c>
      <c r="E88">
        <f t="shared" si="13"/>
        <v>0.59905660377358494</v>
      </c>
      <c r="K88">
        <f t="shared" si="20"/>
        <v>850</v>
      </c>
      <c r="L88">
        <f t="shared" si="21"/>
        <v>2125</v>
      </c>
      <c r="M88">
        <f t="shared" si="14"/>
        <v>2975</v>
      </c>
      <c r="O88" s="23">
        <f t="shared" si="15"/>
        <v>0.875</v>
      </c>
      <c r="P88" s="23">
        <f t="shared" si="16"/>
        <v>0.66666666666666663</v>
      </c>
      <c r="Q88" s="23">
        <f t="shared" si="17"/>
        <v>0.83333333333333337</v>
      </c>
    </row>
    <row r="89" spans="1:17" x14ac:dyDescent="0.15">
      <c r="A89">
        <v>86</v>
      </c>
      <c r="B89">
        <f t="shared" si="18"/>
        <v>172</v>
      </c>
      <c r="C89">
        <f t="shared" si="19"/>
        <v>257</v>
      </c>
      <c r="D89">
        <f t="shared" si="12"/>
        <v>0.8</v>
      </c>
      <c r="E89">
        <f t="shared" si="13"/>
        <v>0.5990675990675991</v>
      </c>
      <c r="K89">
        <f t="shared" si="20"/>
        <v>860</v>
      </c>
      <c r="L89">
        <f t="shared" si="21"/>
        <v>2150</v>
      </c>
      <c r="M89">
        <f t="shared" si="14"/>
        <v>3010</v>
      </c>
      <c r="O89" s="23">
        <f t="shared" si="15"/>
        <v>0.875</v>
      </c>
      <c r="P89" s="23">
        <f t="shared" si="16"/>
        <v>0.66666666666666663</v>
      </c>
      <c r="Q89" s="23">
        <f t="shared" si="17"/>
        <v>0.83333333333333337</v>
      </c>
    </row>
    <row r="90" spans="1:17" x14ac:dyDescent="0.15">
      <c r="A90">
        <v>87</v>
      </c>
      <c r="B90">
        <f t="shared" si="18"/>
        <v>174</v>
      </c>
      <c r="C90">
        <f t="shared" si="19"/>
        <v>260</v>
      </c>
      <c r="D90">
        <f t="shared" si="12"/>
        <v>0.8</v>
      </c>
      <c r="E90">
        <f t="shared" si="13"/>
        <v>0.59907834101382484</v>
      </c>
      <c r="K90">
        <f t="shared" si="20"/>
        <v>870</v>
      </c>
      <c r="L90">
        <f t="shared" si="21"/>
        <v>2175</v>
      </c>
      <c r="M90">
        <f t="shared" si="14"/>
        <v>3045</v>
      </c>
      <c r="O90" s="23">
        <f t="shared" si="15"/>
        <v>0.875</v>
      </c>
      <c r="P90" s="23">
        <f t="shared" si="16"/>
        <v>0.66666666666666663</v>
      </c>
      <c r="Q90" s="23">
        <f t="shared" si="17"/>
        <v>0.83333333333333337</v>
      </c>
    </row>
    <row r="91" spans="1:17" x14ac:dyDescent="0.15">
      <c r="A91">
        <v>88</v>
      </c>
      <c r="B91">
        <f t="shared" si="18"/>
        <v>176</v>
      </c>
      <c r="C91">
        <f t="shared" si="19"/>
        <v>263</v>
      </c>
      <c r="D91">
        <f t="shared" si="12"/>
        <v>0.8</v>
      </c>
      <c r="E91">
        <f t="shared" si="13"/>
        <v>0.59908883826879267</v>
      </c>
      <c r="K91">
        <f t="shared" si="20"/>
        <v>880</v>
      </c>
      <c r="L91">
        <f t="shared" si="21"/>
        <v>2200</v>
      </c>
      <c r="M91">
        <f t="shared" si="14"/>
        <v>3080</v>
      </c>
      <c r="O91" s="23">
        <f t="shared" si="15"/>
        <v>0.875</v>
      </c>
      <c r="P91" s="23">
        <f t="shared" si="16"/>
        <v>0.66666666666666663</v>
      </c>
      <c r="Q91" s="23">
        <f t="shared" si="17"/>
        <v>0.83333333333333337</v>
      </c>
    </row>
    <row r="92" spans="1:17" x14ac:dyDescent="0.15">
      <c r="A92">
        <v>89</v>
      </c>
      <c r="B92">
        <f t="shared" si="18"/>
        <v>178</v>
      </c>
      <c r="C92">
        <f t="shared" si="19"/>
        <v>266</v>
      </c>
      <c r="D92">
        <f t="shared" si="12"/>
        <v>0.8</v>
      </c>
      <c r="E92">
        <f t="shared" si="13"/>
        <v>0.59909909909909909</v>
      </c>
      <c r="K92">
        <f t="shared" si="20"/>
        <v>890</v>
      </c>
      <c r="L92">
        <f t="shared" si="21"/>
        <v>2225</v>
      </c>
      <c r="M92">
        <f t="shared" si="14"/>
        <v>3115</v>
      </c>
      <c r="O92" s="23">
        <f t="shared" si="15"/>
        <v>0.875</v>
      </c>
      <c r="P92" s="23">
        <f t="shared" si="16"/>
        <v>0.66666666666666663</v>
      </c>
      <c r="Q92" s="23">
        <f t="shared" si="17"/>
        <v>0.83333333333333337</v>
      </c>
    </row>
    <row r="93" spans="1:17" x14ac:dyDescent="0.15">
      <c r="A93">
        <v>90</v>
      </c>
      <c r="B93">
        <f t="shared" si="18"/>
        <v>180</v>
      </c>
      <c r="C93">
        <f t="shared" si="19"/>
        <v>269</v>
      </c>
      <c r="D93">
        <f t="shared" si="12"/>
        <v>0.8</v>
      </c>
      <c r="E93">
        <f t="shared" si="13"/>
        <v>0.59910913140311806</v>
      </c>
      <c r="K93">
        <f t="shared" si="20"/>
        <v>900</v>
      </c>
      <c r="L93">
        <f t="shared" si="21"/>
        <v>2250</v>
      </c>
      <c r="M93">
        <f t="shared" si="14"/>
        <v>3150</v>
      </c>
      <c r="O93" s="23">
        <f t="shared" si="15"/>
        <v>0.875</v>
      </c>
      <c r="P93" s="23">
        <f t="shared" si="16"/>
        <v>0.66666666666666663</v>
      </c>
      <c r="Q93" s="23">
        <f t="shared" si="17"/>
        <v>0.83333333333333337</v>
      </c>
    </row>
    <row r="94" spans="1:17" x14ac:dyDescent="0.15">
      <c r="A94">
        <v>91</v>
      </c>
      <c r="B94">
        <f t="shared" si="18"/>
        <v>182</v>
      </c>
      <c r="C94">
        <f t="shared" si="19"/>
        <v>272</v>
      </c>
      <c r="D94">
        <f t="shared" si="12"/>
        <v>0.8</v>
      </c>
      <c r="E94">
        <f t="shared" si="13"/>
        <v>0.59911894273127753</v>
      </c>
      <c r="K94">
        <f t="shared" si="20"/>
        <v>910</v>
      </c>
      <c r="L94">
        <f t="shared" si="21"/>
        <v>2275</v>
      </c>
      <c r="M94">
        <f t="shared" si="14"/>
        <v>3185</v>
      </c>
      <c r="O94" s="23">
        <f t="shared" si="15"/>
        <v>0.875</v>
      </c>
      <c r="P94" s="23">
        <f t="shared" si="16"/>
        <v>0.66666666666666663</v>
      </c>
      <c r="Q94" s="23">
        <f t="shared" si="17"/>
        <v>0.83333333333333337</v>
      </c>
    </row>
    <row r="95" spans="1:17" x14ac:dyDescent="0.15">
      <c r="A95">
        <v>92</v>
      </c>
      <c r="B95">
        <f t="shared" si="18"/>
        <v>184</v>
      </c>
      <c r="C95">
        <f t="shared" si="19"/>
        <v>275</v>
      </c>
      <c r="D95">
        <f t="shared" si="12"/>
        <v>0.8</v>
      </c>
      <c r="E95">
        <f t="shared" si="13"/>
        <v>0.59912854030501095</v>
      </c>
      <c r="K95">
        <f t="shared" si="20"/>
        <v>920</v>
      </c>
      <c r="L95">
        <f t="shared" si="21"/>
        <v>2300</v>
      </c>
      <c r="M95">
        <f t="shared" si="14"/>
        <v>3220</v>
      </c>
      <c r="O95" s="23">
        <f t="shared" si="15"/>
        <v>0.875</v>
      </c>
      <c r="P95" s="23">
        <f t="shared" si="16"/>
        <v>0.66666666666666663</v>
      </c>
      <c r="Q95" s="23">
        <f t="shared" si="17"/>
        <v>0.83333333333333337</v>
      </c>
    </row>
    <row r="96" spans="1:17" x14ac:dyDescent="0.15">
      <c r="A96">
        <v>93</v>
      </c>
      <c r="B96">
        <f t="shared" si="18"/>
        <v>186</v>
      </c>
      <c r="C96">
        <f t="shared" si="19"/>
        <v>278</v>
      </c>
      <c r="D96">
        <f t="shared" si="12"/>
        <v>0.8</v>
      </c>
      <c r="E96">
        <f t="shared" si="13"/>
        <v>0.59913793103448276</v>
      </c>
      <c r="K96">
        <f t="shared" si="20"/>
        <v>930</v>
      </c>
      <c r="L96">
        <f t="shared" si="21"/>
        <v>2325</v>
      </c>
      <c r="M96">
        <f t="shared" si="14"/>
        <v>3255</v>
      </c>
      <c r="O96" s="23">
        <f t="shared" si="15"/>
        <v>0.875</v>
      </c>
      <c r="P96" s="23">
        <f t="shared" si="16"/>
        <v>0.66666666666666663</v>
      </c>
      <c r="Q96" s="23">
        <f t="shared" si="17"/>
        <v>0.83333333333333337</v>
      </c>
    </row>
    <row r="97" spans="1:17" x14ac:dyDescent="0.15">
      <c r="A97">
        <v>94</v>
      </c>
      <c r="B97">
        <f t="shared" si="18"/>
        <v>188</v>
      </c>
      <c r="C97">
        <f t="shared" si="19"/>
        <v>281</v>
      </c>
      <c r="D97">
        <f t="shared" si="12"/>
        <v>0.8</v>
      </c>
      <c r="E97">
        <f t="shared" si="13"/>
        <v>0.59914712153518124</v>
      </c>
      <c r="K97">
        <f t="shared" si="20"/>
        <v>940</v>
      </c>
      <c r="L97">
        <f t="shared" si="21"/>
        <v>2350</v>
      </c>
      <c r="M97">
        <f t="shared" si="14"/>
        <v>3290</v>
      </c>
      <c r="O97" s="23">
        <f t="shared" si="15"/>
        <v>0.875</v>
      </c>
      <c r="P97" s="23">
        <f t="shared" si="16"/>
        <v>0.66666666666666663</v>
      </c>
      <c r="Q97" s="23">
        <f t="shared" si="17"/>
        <v>0.83333333333333337</v>
      </c>
    </row>
    <row r="98" spans="1:17" x14ac:dyDescent="0.15">
      <c r="A98">
        <v>95</v>
      </c>
      <c r="B98">
        <f t="shared" si="18"/>
        <v>190</v>
      </c>
      <c r="C98">
        <f t="shared" si="19"/>
        <v>284</v>
      </c>
      <c r="D98">
        <f t="shared" si="12"/>
        <v>0.8</v>
      </c>
      <c r="E98">
        <f t="shared" si="13"/>
        <v>0.59915611814345993</v>
      </c>
      <c r="K98">
        <f t="shared" si="20"/>
        <v>950</v>
      </c>
      <c r="L98">
        <f t="shared" si="21"/>
        <v>2375</v>
      </c>
      <c r="M98">
        <f t="shared" si="14"/>
        <v>3325</v>
      </c>
      <c r="O98" s="23">
        <f t="shared" si="15"/>
        <v>0.875</v>
      </c>
      <c r="P98" s="23">
        <f t="shared" si="16"/>
        <v>0.66666666666666663</v>
      </c>
      <c r="Q98" s="23">
        <f t="shared" si="17"/>
        <v>0.83333333333333337</v>
      </c>
    </row>
    <row r="99" spans="1:17" x14ac:dyDescent="0.15">
      <c r="A99">
        <v>96</v>
      </c>
      <c r="B99">
        <f t="shared" si="18"/>
        <v>192</v>
      </c>
      <c r="C99">
        <f t="shared" si="19"/>
        <v>287</v>
      </c>
      <c r="D99">
        <f t="shared" si="12"/>
        <v>0.8</v>
      </c>
      <c r="E99">
        <f t="shared" si="13"/>
        <v>0.59916492693110646</v>
      </c>
      <c r="K99">
        <f t="shared" si="20"/>
        <v>960</v>
      </c>
      <c r="L99">
        <f t="shared" si="21"/>
        <v>2400</v>
      </c>
      <c r="M99">
        <f t="shared" si="14"/>
        <v>3360</v>
      </c>
      <c r="O99" s="23">
        <f t="shared" si="15"/>
        <v>0.875</v>
      </c>
      <c r="P99" s="23">
        <f t="shared" si="16"/>
        <v>0.66666666666666663</v>
      </c>
      <c r="Q99" s="23">
        <f t="shared" si="17"/>
        <v>0.83333333333333337</v>
      </c>
    </row>
    <row r="100" spans="1:17" x14ac:dyDescent="0.15">
      <c r="A100">
        <v>97</v>
      </c>
      <c r="B100">
        <f t="shared" si="18"/>
        <v>194</v>
      </c>
      <c r="C100">
        <f t="shared" si="19"/>
        <v>290</v>
      </c>
      <c r="D100">
        <f t="shared" si="12"/>
        <v>0.8</v>
      </c>
      <c r="E100">
        <f t="shared" si="13"/>
        <v>0.59917355371900827</v>
      </c>
      <c r="K100">
        <f t="shared" si="20"/>
        <v>970</v>
      </c>
      <c r="L100">
        <f t="shared" si="21"/>
        <v>2425</v>
      </c>
      <c r="M100">
        <f t="shared" si="14"/>
        <v>3395</v>
      </c>
      <c r="O100" s="23">
        <f t="shared" si="15"/>
        <v>0.875</v>
      </c>
      <c r="P100" s="23">
        <f t="shared" si="16"/>
        <v>0.66666666666666663</v>
      </c>
      <c r="Q100" s="23">
        <f t="shared" si="17"/>
        <v>0.83333333333333337</v>
      </c>
    </row>
    <row r="101" spans="1:17" x14ac:dyDescent="0.15">
      <c r="A101">
        <v>98</v>
      </c>
      <c r="B101">
        <f t="shared" si="18"/>
        <v>196</v>
      </c>
      <c r="C101">
        <f t="shared" si="19"/>
        <v>293</v>
      </c>
      <c r="D101">
        <f t="shared" si="12"/>
        <v>0.8</v>
      </c>
      <c r="E101">
        <f t="shared" si="13"/>
        <v>0.59918200408997957</v>
      </c>
      <c r="K101">
        <f t="shared" si="20"/>
        <v>980</v>
      </c>
      <c r="L101">
        <f t="shared" si="21"/>
        <v>2450</v>
      </c>
      <c r="M101">
        <f t="shared" si="14"/>
        <v>3430</v>
      </c>
      <c r="O101" s="23">
        <f t="shared" si="15"/>
        <v>0.875</v>
      </c>
      <c r="P101" s="23">
        <f t="shared" si="16"/>
        <v>0.66666666666666663</v>
      </c>
      <c r="Q101" s="23">
        <f t="shared" si="17"/>
        <v>0.83333333333333337</v>
      </c>
    </row>
    <row r="102" spans="1:17" x14ac:dyDescent="0.15">
      <c r="A102">
        <v>99</v>
      </c>
      <c r="B102">
        <f t="shared" si="18"/>
        <v>198</v>
      </c>
      <c r="C102">
        <f t="shared" si="19"/>
        <v>296</v>
      </c>
      <c r="D102">
        <f t="shared" si="12"/>
        <v>0.8</v>
      </c>
      <c r="E102">
        <f t="shared" si="13"/>
        <v>0.59919028340080971</v>
      </c>
      <c r="K102">
        <f t="shared" si="20"/>
        <v>990</v>
      </c>
      <c r="L102">
        <f t="shared" si="21"/>
        <v>2475</v>
      </c>
      <c r="M102">
        <f t="shared" si="14"/>
        <v>3465</v>
      </c>
      <c r="O102" s="23">
        <f t="shared" si="15"/>
        <v>0.875</v>
      </c>
      <c r="P102" s="23">
        <f t="shared" si="16"/>
        <v>0.66666666666666663</v>
      </c>
      <c r="Q102" s="23">
        <f t="shared" si="17"/>
        <v>0.83333333333333337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</vt:i4>
      </vt:variant>
    </vt:vector>
  </HeadingPairs>
  <TitlesOfParts>
    <vt:vector size="4" baseType="lpstr">
      <vt:lpstr>npc基础</vt:lpstr>
      <vt:lpstr>Sheet2</vt:lpstr>
      <vt:lpstr>Sheet1</vt:lpstr>
      <vt:lpstr>test1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2014-06-14T10:53:38Z</dcterms:modified>
</cp:coreProperties>
</file>