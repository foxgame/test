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/>
  </bookViews>
  <sheets>
    <sheet name="Sheet2" sheetId="2" r:id="rId1"/>
    <sheet name="Sheet1" sheetId="1" r:id="rId2"/>
  </sheets>
  <calcPr calcId="152511"/>
</workbook>
</file>

<file path=xl/calcChain.xml><?xml version="1.0" encoding="utf-8"?>
<calcChain xmlns="http://schemas.openxmlformats.org/spreadsheetml/2006/main">
  <c r="F13" i="1" l="1"/>
  <c r="F14" i="1"/>
  <c r="F15" i="1"/>
  <c r="F16" i="1"/>
  <c r="F25" i="1" s="1"/>
  <c r="F17" i="1"/>
  <c r="F18" i="1"/>
  <c r="F19" i="1"/>
  <c r="F20" i="1"/>
  <c r="F29" i="1" s="1"/>
  <c r="F21" i="1"/>
  <c r="F22" i="1"/>
  <c r="F23" i="1"/>
  <c r="F24" i="1"/>
  <c r="F26" i="1"/>
  <c r="F27" i="1"/>
  <c r="F28" i="1"/>
  <c r="E29" i="1"/>
  <c r="C29" i="1" s="1"/>
  <c r="G29" i="1"/>
  <c r="E13" i="1"/>
  <c r="E22" i="1" s="1"/>
  <c r="C22" i="1" s="1"/>
  <c r="E14" i="1"/>
  <c r="E15" i="1"/>
  <c r="E16" i="1"/>
  <c r="E25" i="1" s="1"/>
  <c r="C25" i="1" s="1"/>
  <c r="E17" i="1"/>
  <c r="E26" i="1" s="1"/>
  <c r="C26" i="1" s="1"/>
  <c r="E18" i="1"/>
  <c r="E19" i="1"/>
  <c r="E20" i="1"/>
  <c r="E21" i="1"/>
  <c r="E23" i="1"/>
  <c r="E24" i="1"/>
  <c r="E27" i="1"/>
  <c r="E28" i="1"/>
  <c r="C13" i="1"/>
  <c r="C14" i="1"/>
  <c r="C15" i="1"/>
  <c r="C16" i="1"/>
  <c r="C17" i="1"/>
  <c r="C18" i="1"/>
  <c r="C19" i="1"/>
  <c r="C20" i="1"/>
  <c r="C21" i="1"/>
  <c r="C23" i="1"/>
  <c r="C24" i="1"/>
  <c r="C27" i="1"/>
  <c r="C28" i="1"/>
  <c r="G13" i="1"/>
  <c r="G14" i="1"/>
  <c r="G23" i="1" s="1"/>
  <c r="G15" i="1"/>
  <c r="G16" i="1"/>
  <c r="G25" i="1" s="1"/>
  <c r="G17" i="1"/>
  <c r="G18" i="1"/>
  <c r="G27" i="1" s="1"/>
  <c r="G19" i="1"/>
  <c r="G20" i="1"/>
  <c r="G21" i="1"/>
  <c r="G22" i="1"/>
  <c r="G24" i="1"/>
  <c r="G26" i="1"/>
  <c r="G28" i="1"/>
  <c r="F12" i="1"/>
  <c r="G12" i="1"/>
  <c r="E12" i="1"/>
  <c r="C12" i="1" s="1"/>
  <c r="C4" i="1"/>
  <c r="C5" i="1"/>
  <c r="C6" i="1"/>
  <c r="C7" i="1"/>
  <c r="C8" i="1"/>
  <c r="C9" i="1"/>
  <c r="C10" i="1"/>
  <c r="C11" i="1"/>
  <c r="C3" i="1"/>
</calcChain>
</file>

<file path=xl/sharedStrings.xml><?xml version="1.0" encoding="utf-8"?>
<sst xmlns="http://schemas.openxmlformats.org/spreadsheetml/2006/main" count="88" uniqueCount="45">
  <si>
    <t>武器类型</t>
    <phoneticPr fontId="1" type="noConversion"/>
  </si>
  <si>
    <t>职业等级</t>
    <phoneticPr fontId="1" type="noConversion"/>
  </si>
  <si>
    <t>物攻</t>
    <phoneticPr fontId="1" type="noConversion"/>
  </si>
  <si>
    <t>hp</t>
    <phoneticPr fontId="1" type="noConversion"/>
  </si>
  <si>
    <t>mp</t>
    <phoneticPr fontId="1" type="noConversion"/>
  </si>
  <si>
    <t>物防</t>
    <phoneticPr fontId="1" type="noConversion"/>
  </si>
  <si>
    <t>魔攻</t>
    <phoneticPr fontId="1" type="noConversion"/>
  </si>
  <si>
    <t>魔防</t>
    <phoneticPr fontId="1" type="noConversion"/>
  </si>
  <si>
    <t>敏捷</t>
    <phoneticPr fontId="1" type="noConversion"/>
  </si>
  <si>
    <t>幸运</t>
    <phoneticPr fontId="1" type="noConversion"/>
  </si>
  <si>
    <t>命中</t>
    <phoneticPr fontId="1" type="noConversion"/>
  </si>
  <si>
    <t>闪避</t>
    <phoneticPr fontId="1" type="noConversion"/>
  </si>
  <si>
    <t>痛打</t>
    <phoneticPr fontId="1" type="noConversion"/>
  </si>
  <si>
    <t>额外伤害</t>
    <phoneticPr fontId="1" type="noConversion"/>
  </si>
  <si>
    <t>物理</t>
    <phoneticPr fontId="1" type="noConversion"/>
  </si>
  <si>
    <t>地脉</t>
    <phoneticPr fontId="1" type="noConversion"/>
  </si>
  <si>
    <t>冷却</t>
    <phoneticPr fontId="1" type="noConversion"/>
  </si>
  <si>
    <t>火炎</t>
    <phoneticPr fontId="1" type="noConversion"/>
  </si>
  <si>
    <t>神圣</t>
    <phoneticPr fontId="1" type="noConversion"/>
  </si>
  <si>
    <t>黑暗</t>
    <phoneticPr fontId="1" type="noConversion"/>
  </si>
  <si>
    <t>电击</t>
    <phoneticPr fontId="1" type="noConversion"/>
  </si>
  <si>
    <t>飞行系</t>
    <phoneticPr fontId="1" type="noConversion"/>
  </si>
  <si>
    <t>龙系</t>
    <phoneticPr fontId="1" type="noConversion"/>
  </si>
  <si>
    <t>僵尸系</t>
    <phoneticPr fontId="1" type="noConversion"/>
  </si>
  <si>
    <t>土系</t>
    <phoneticPr fontId="1" type="noConversion"/>
  </si>
  <si>
    <t>金属系</t>
    <phoneticPr fontId="1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</si>
  <si>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id</t>
    </r>
    <phoneticPr fontId="1" type="noConversion"/>
  </si>
  <si>
    <t>武器名称</t>
    <phoneticPr fontId="1" type="noConversion"/>
  </si>
  <si>
    <t>之刀</t>
  </si>
  <si>
    <t>之枪</t>
  </si>
  <si>
    <t>之球</t>
  </si>
  <si>
    <t>之爪</t>
  </si>
  <si>
    <t>之锤</t>
  </si>
  <si>
    <t>之拳</t>
  </si>
  <si>
    <t>之镰</t>
  </si>
  <si>
    <t>之杖</t>
  </si>
  <si>
    <t>烟斗</t>
  </si>
  <si>
    <t>伯恩</t>
    <phoneticPr fontId="1" type="noConversion"/>
  </si>
  <si>
    <t>莱德姆</t>
    <phoneticPr fontId="1" type="noConversion"/>
  </si>
  <si>
    <t>异灵</t>
    <phoneticPr fontId="1" type="noConversion"/>
  </si>
  <si>
    <t>伯恩套装</t>
    <phoneticPr fontId="1" type="noConversion"/>
  </si>
  <si>
    <t>莱德姆套装</t>
    <phoneticPr fontId="1" type="noConversion"/>
  </si>
  <si>
    <t>异灵套装</t>
    <phoneticPr fontId="1" type="noConversion"/>
  </si>
  <si>
    <t>套装类型</t>
    <phoneticPr fontId="1" type="noConversion"/>
  </si>
  <si>
    <t>武器类型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</si>
</sst>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sz val="10"/>
      <color theme="0"/>
      <name val="宋体"/>
      <family val="3"/>
      <charset val="134"/>
    </font>
    <font>
      <sz val="10"/>
      <color theme="0"/>
      <name val="Arial"/>
      <family val="2"/>
    </font>
    <font>
      <b/>
      <sz val="10"/>
      <color theme="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0" fontId="4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0" borderId="1" xfId="0" applyBorder="1"/>
    <xf numFmtId="9" fontId="0" fillId="0" borderId="1" xfId="0" applyNumberFormat="1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V5"/>
  <sheetViews>
    <sheetView tabSelected="1" workbookViewId="0">
      <selection activeCell="L8" sqref="L8"/>
    </sheetView>
  </sheetViews>
  <sheetFormatPr defaultRowHeight="13.5" x14ac:dyDescent="0.15"/>
  <cols>
    <col min="3" max="3" width="14" customWidth="1"/>
  </cols>
  <sheetData>
    <row r="2" spans="2:22" x14ac:dyDescent="0.15">
      <c r="B2" s="7"/>
      <c r="C2" s="7" t="s">
        <v>44</v>
      </c>
      <c r="D2" s="3" t="s">
        <v>2</v>
      </c>
      <c r="E2" s="3" t="s">
        <v>6</v>
      </c>
      <c r="F2" s="3" t="s">
        <v>8</v>
      </c>
      <c r="G2" s="3" t="s">
        <v>9</v>
      </c>
      <c r="H2" s="5" t="s">
        <v>10</v>
      </c>
      <c r="I2" s="5" t="s">
        <v>12</v>
      </c>
      <c r="J2" s="3" t="s">
        <v>13</v>
      </c>
      <c r="K2" s="6" t="s">
        <v>14</v>
      </c>
      <c r="L2" s="6" t="s">
        <v>15</v>
      </c>
      <c r="M2" s="6" t="s">
        <v>16</v>
      </c>
      <c r="N2" s="6" t="s">
        <v>17</v>
      </c>
      <c r="O2" s="6" t="s">
        <v>18</v>
      </c>
      <c r="P2" s="6" t="s">
        <v>19</v>
      </c>
      <c r="Q2" s="6" t="s">
        <v>20</v>
      </c>
      <c r="R2" s="3" t="s">
        <v>21</v>
      </c>
      <c r="S2" s="3" t="s">
        <v>22</v>
      </c>
      <c r="T2" s="3" t="s">
        <v>23</v>
      </c>
      <c r="U2" s="3" t="s">
        <v>24</v>
      </c>
      <c r="V2" s="3" t="s">
        <v>25</v>
      </c>
    </row>
    <row r="3" spans="2:22" x14ac:dyDescent="0.15">
      <c r="B3" s="7">
        <v>1</v>
      </c>
      <c r="C3" s="7" t="s">
        <v>40</v>
      </c>
      <c r="D3" s="8">
        <v>0.3</v>
      </c>
      <c r="E3" s="7">
        <v>0</v>
      </c>
      <c r="F3" s="8">
        <v>0.1</v>
      </c>
      <c r="G3" s="7">
        <v>0</v>
      </c>
      <c r="H3" s="8">
        <v>0.1</v>
      </c>
      <c r="I3" s="8">
        <v>0.1</v>
      </c>
      <c r="J3" s="8">
        <v>0.1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</row>
    <row r="4" spans="2:22" x14ac:dyDescent="0.15">
      <c r="B4" s="7">
        <v>2</v>
      </c>
      <c r="C4" s="7" t="s">
        <v>41</v>
      </c>
      <c r="D4" s="8">
        <v>0.15</v>
      </c>
      <c r="E4" s="8">
        <v>0.15</v>
      </c>
      <c r="F4" s="8">
        <v>0.05</v>
      </c>
      <c r="G4" s="8">
        <v>0.05</v>
      </c>
      <c r="H4" s="8">
        <v>0.1</v>
      </c>
      <c r="I4" s="8">
        <v>0.1</v>
      </c>
      <c r="J4" s="8">
        <v>0.1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</row>
    <row r="5" spans="2:22" x14ac:dyDescent="0.15">
      <c r="B5" s="7">
        <v>3</v>
      </c>
      <c r="C5" s="7" t="s">
        <v>42</v>
      </c>
      <c r="D5" s="8">
        <v>0</v>
      </c>
      <c r="E5" s="8">
        <v>0.3</v>
      </c>
      <c r="F5" s="7">
        <v>0</v>
      </c>
      <c r="G5" s="7">
        <v>0</v>
      </c>
      <c r="H5" s="8">
        <v>0.1</v>
      </c>
      <c r="I5" s="8">
        <v>0.1</v>
      </c>
      <c r="J5" s="8">
        <v>0.1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F29"/>
  <sheetViews>
    <sheetView workbookViewId="0">
      <selection activeCell="I8" sqref="I8"/>
    </sheetView>
  </sheetViews>
  <sheetFormatPr defaultRowHeight="12.75" x14ac:dyDescent="0.15"/>
  <cols>
    <col min="1" max="2" width="9" style="1"/>
    <col min="3" max="3" width="10.875" style="1" customWidth="1"/>
    <col min="4" max="4" width="6.375" style="1" customWidth="1"/>
    <col min="5" max="6" width="6" style="1" customWidth="1"/>
    <col min="7" max="16384" width="9" style="1"/>
  </cols>
  <sheetData>
    <row r="2" spans="2:32" x14ac:dyDescent="0.2">
      <c r="B2" s="1" t="s">
        <v>26</v>
      </c>
      <c r="C2" s="2" t="s">
        <v>27</v>
      </c>
      <c r="D2" s="2"/>
      <c r="E2" s="2"/>
      <c r="F2" s="2" t="s">
        <v>43</v>
      </c>
      <c r="G2" s="3" t="s">
        <v>0</v>
      </c>
      <c r="H2" s="3" t="s">
        <v>1</v>
      </c>
      <c r="I2" s="3" t="s">
        <v>2</v>
      </c>
      <c r="J2" s="4" t="s">
        <v>3</v>
      </c>
      <c r="K2" s="4" t="s">
        <v>4</v>
      </c>
      <c r="L2" s="3" t="s">
        <v>5</v>
      </c>
      <c r="M2" s="3" t="s">
        <v>6</v>
      </c>
      <c r="N2" s="3" t="s">
        <v>7</v>
      </c>
      <c r="O2" s="3" t="s">
        <v>8</v>
      </c>
      <c r="P2" s="3" t="s">
        <v>9</v>
      </c>
      <c r="Q2" s="5" t="s">
        <v>10</v>
      </c>
      <c r="R2" s="5" t="s">
        <v>11</v>
      </c>
      <c r="S2" s="5" t="s">
        <v>12</v>
      </c>
      <c r="T2" s="3" t="s">
        <v>13</v>
      </c>
      <c r="U2" s="6" t="s">
        <v>14</v>
      </c>
      <c r="V2" s="6" t="s">
        <v>15</v>
      </c>
      <c r="W2" s="6" t="s">
        <v>16</v>
      </c>
      <c r="X2" s="6" t="s">
        <v>17</v>
      </c>
      <c r="Y2" s="6" t="s">
        <v>18</v>
      </c>
      <c r="Z2" s="6" t="s">
        <v>19</v>
      </c>
      <c r="AA2" s="6" t="s">
        <v>20</v>
      </c>
      <c r="AB2" s="3" t="s">
        <v>21</v>
      </c>
      <c r="AC2" s="3" t="s">
        <v>22</v>
      </c>
      <c r="AD2" s="3" t="s">
        <v>23</v>
      </c>
      <c r="AE2" s="3" t="s">
        <v>24</v>
      </c>
      <c r="AF2" s="3" t="s">
        <v>25</v>
      </c>
    </row>
    <row r="3" spans="2:32" x14ac:dyDescent="0.15">
      <c r="B3" s="1">
        <v>11001</v>
      </c>
      <c r="C3" s="2" t="str">
        <f>D3&amp;E3</f>
        <v>伯恩之锤</v>
      </c>
      <c r="D3" s="2" t="s">
        <v>37</v>
      </c>
      <c r="E3" s="2" t="s">
        <v>32</v>
      </c>
      <c r="F3" s="2">
        <v>1</v>
      </c>
      <c r="G3" s="1">
        <v>0</v>
      </c>
      <c r="H3" s="1">
        <v>6</v>
      </c>
    </row>
    <row r="4" spans="2:32" x14ac:dyDescent="0.15">
      <c r="B4" s="1">
        <v>11002</v>
      </c>
      <c r="C4" s="2" t="str">
        <f t="shared" ref="C4:C28" si="0">D4&amp;E4</f>
        <v>伯恩之刀</v>
      </c>
      <c r="D4" s="2" t="s">
        <v>37</v>
      </c>
      <c r="E4" s="2" t="s">
        <v>28</v>
      </c>
      <c r="F4" s="2">
        <v>1</v>
      </c>
      <c r="G4" s="1">
        <v>1</v>
      </c>
      <c r="H4" s="1">
        <v>6</v>
      </c>
    </row>
    <row r="5" spans="2:32" x14ac:dyDescent="0.15">
      <c r="B5" s="1">
        <v>11003</v>
      </c>
      <c r="C5" s="2" t="str">
        <f t="shared" si="0"/>
        <v>伯恩之拳</v>
      </c>
      <c r="D5" s="2" t="s">
        <v>37</v>
      </c>
      <c r="E5" s="2" t="s">
        <v>33</v>
      </c>
      <c r="F5" s="2">
        <v>1</v>
      </c>
      <c r="G5" s="1">
        <v>2</v>
      </c>
      <c r="H5" s="1">
        <v>6</v>
      </c>
    </row>
    <row r="6" spans="2:32" x14ac:dyDescent="0.15">
      <c r="B6" s="1">
        <v>11004</v>
      </c>
      <c r="C6" s="2" t="str">
        <f t="shared" si="0"/>
        <v>伯恩之枪</v>
      </c>
      <c r="D6" s="2" t="s">
        <v>37</v>
      </c>
      <c r="E6" s="2" t="s">
        <v>29</v>
      </c>
      <c r="F6" s="2">
        <v>1</v>
      </c>
      <c r="G6" s="1">
        <v>3</v>
      </c>
      <c r="H6" s="1">
        <v>6</v>
      </c>
    </row>
    <row r="7" spans="2:32" x14ac:dyDescent="0.15">
      <c r="B7" s="1">
        <v>11005</v>
      </c>
      <c r="C7" s="2" t="str">
        <f t="shared" si="0"/>
        <v>伯恩之镰</v>
      </c>
      <c r="D7" s="2" t="s">
        <v>37</v>
      </c>
      <c r="E7" s="2" t="s">
        <v>34</v>
      </c>
      <c r="F7" s="2">
        <v>1</v>
      </c>
      <c r="G7" s="1">
        <v>4</v>
      </c>
      <c r="H7" s="1">
        <v>6</v>
      </c>
    </row>
    <row r="8" spans="2:32" x14ac:dyDescent="0.15">
      <c r="B8" s="1">
        <v>11006</v>
      </c>
      <c r="C8" s="2" t="str">
        <f t="shared" si="0"/>
        <v>伯恩之杖</v>
      </c>
      <c r="D8" s="2" t="s">
        <v>37</v>
      </c>
      <c r="E8" s="2" t="s">
        <v>35</v>
      </c>
      <c r="F8" s="2">
        <v>1</v>
      </c>
      <c r="G8" s="1">
        <v>5</v>
      </c>
      <c r="H8" s="1">
        <v>6</v>
      </c>
    </row>
    <row r="9" spans="2:32" x14ac:dyDescent="0.15">
      <c r="B9" s="1">
        <v>11007</v>
      </c>
      <c r="C9" s="2" t="str">
        <f t="shared" si="0"/>
        <v>伯恩烟斗</v>
      </c>
      <c r="D9" s="2" t="s">
        <v>37</v>
      </c>
      <c r="E9" s="2" t="s">
        <v>36</v>
      </c>
      <c r="F9" s="2">
        <v>1</v>
      </c>
      <c r="G9" s="1">
        <v>7</v>
      </c>
      <c r="H9" s="1">
        <v>6</v>
      </c>
    </row>
    <row r="10" spans="2:32" x14ac:dyDescent="0.15">
      <c r="B10" s="1">
        <v>11008</v>
      </c>
      <c r="C10" s="2" t="str">
        <f t="shared" si="0"/>
        <v>伯恩之球</v>
      </c>
      <c r="D10" s="2" t="s">
        <v>37</v>
      </c>
      <c r="E10" s="2" t="s">
        <v>30</v>
      </c>
      <c r="F10" s="2">
        <v>1</v>
      </c>
      <c r="G10" s="1">
        <v>10</v>
      </c>
      <c r="H10" s="1">
        <v>6</v>
      </c>
    </row>
    <row r="11" spans="2:32" x14ac:dyDescent="0.15">
      <c r="B11" s="1">
        <v>11009</v>
      </c>
      <c r="C11" s="2" t="str">
        <f t="shared" si="0"/>
        <v>伯恩之爪</v>
      </c>
      <c r="D11" s="2" t="s">
        <v>37</v>
      </c>
      <c r="E11" s="2" t="s">
        <v>31</v>
      </c>
      <c r="F11" s="2">
        <v>1</v>
      </c>
      <c r="G11" s="1">
        <v>11</v>
      </c>
      <c r="H11" s="1">
        <v>6</v>
      </c>
    </row>
    <row r="12" spans="2:32" x14ac:dyDescent="0.15">
      <c r="B12" s="1">
        <v>11010</v>
      </c>
      <c r="C12" s="2" t="str">
        <f t="shared" si="0"/>
        <v>莱德姆之锤</v>
      </c>
      <c r="D12" s="2" t="s">
        <v>38</v>
      </c>
      <c r="E12" s="1" t="str">
        <f>E3</f>
        <v>之锤</v>
      </c>
      <c r="F12" s="1">
        <f>F3+1</f>
        <v>2</v>
      </c>
      <c r="G12" s="1">
        <f>G3</f>
        <v>0</v>
      </c>
      <c r="H12" s="1">
        <v>6</v>
      </c>
    </row>
    <row r="13" spans="2:32" x14ac:dyDescent="0.15">
      <c r="B13" s="1">
        <v>11011</v>
      </c>
      <c r="C13" s="2" t="str">
        <f t="shared" si="0"/>
        <v>莱德姆之刀</v>
      </c>
      <c r="D13" s="2" t="s">
        <v>38</v>
      </c>
      <c r="E13" s="1" t="str">
        <f t="shared" ref="E13:E29" si="1">E4</f>
        <v>之刀</v>
      </c>
      <c r="F13" s="1">
        <f t="shared" ref="F13:F29" si="2">F4+1</f>
        <v>2</v>
      </c>
      <c r="G13" s="1">
        <f t="shared" ref="G13:G29" si="3">G4</f>
        <v>1</v>
      </c>
      <c r="H13" s="1">
        <v>6</v>
      </c>
    </row>
    <row r="14" spans="2:32" x14ac:dyDescent="0.15">
      <c r="B14" s="1">
        <v>11012</v>
      </c>
      <c r="C14" s="2" t="str">
        <f t="shared" si="0"/>
        <v>莱德姆之拳</v>
      </c>
      <c r="D14" s="2" t="s">
        <v>38</v>
      </c>
      <c r="E14" s="1" t="str">
        <f t="shared" si="1"/>
        <v>之拳</v>
      </c>
      <c r="F14" s="1">
        <f t="shared" si="2"/>
        <v>2</v>
      </c>
      <c r="G14" s="1">
        <f t="shared" si="3"/>
        <v>2</v>
      </c>
      <c r="H14" s="1">
        <v>6</v>
      </c>
    </row>
    <row r="15" spans="2:32" x14ac:dyDescent="0.15">
      <c r="B15" s="1">
        <v>11013</v>
      </c>
      <c r="C15" s="2" t="str">
        <f t="shared" si="0"/>
        <v>莱德姆之枪</v>
      </c>
      <c r="D15" s="2" t="s">
        <v>38</v>
      </c>
      <c r="E15" s="1" t="str">
        <f t="shared" si="1"/>
        <v>之枪</v>
      </c>
      <c r="F15" s="1">
        <f t="shared" si="2"/>
        <v>2</v>
      </c>
      <c r="G15" s="1">
        <f t="shared" si="3"/>
        <v>3</v>
      </c>
      <c r="H15" s="1">
        <v>6</v>
      </c>
    </row>
    <row r="16" spans="2:32" x14ac:dyDescent="0.15">
      <c r="B16" s="1">
        <v>11014</v>
      </c>
      <c r="C16" s="2" t="str">
        <f t="shared" si="0"/>
        <v>莱德姆之镰</v>
      </c>
      <c r="D16" s="2" t="s">
        <v>38</v>
      </c>
      <c r="E16" s="1" t="str">
        <f t="shared" si="1"/>
        <v>之镰</v>
      </c>
      <c r="F16" s="1">
        <f t="shared" si="2"/>
        <v>2</v>
      </c>
      <c r="G16" s="1">
        <f t="shared" si="3"/>
        <v>4</v>
      </c>
      <c r="H16" s="1">
        <v>6</v>
      </c>
    </row>
    <row r="17" spans="2:8" x14ac:dyDescent="0.15">
      <c r="B17" s="1">
        <v>11015</v>
      </c>
      <c r="C17" s="2" t="str">
        <f t="shared" si="0"/>
        <v>莱德姆之杖</v>
      </c>
      <c r="D17" s="2" t="s">
        <v>38</v>
      </c>
      <c r="E17" s="1" t="str">
        <f t="shared" si="1"/>
        <v>之杖</v>
      </c>
      <c r="F17" s="1">
        <f t="shared" si="2"/>
        <v>2</v>
      </c>
      <c r="G17" s="1">
        <f t="shared" si="3"/>
        <v>5</v>
      </c>
      <c r="H17" s="1">
        <v>6</v>
      </c>
    </row>
    <row r="18" spans="2:8" x14ac:dyDescent="0.15">
      <c r="B18" s="1">
        <v>11016</v>
      </c>
      <c r="C18" s="2" t="str">
        <f t="shared" si="0"/>
        <v>莱德姆烟斗</v>
      </c>
      <c r="D18" s="2" t="s">
        <v>38</v>
      </c>
      <c r="E18" s="1" t="str">
        <f t="shared" si="1"/>
        <v>烟斗</v>
      </c>
      <c r="F18" s="1">
        <f t="shared" si="2"/>
        <v>2</v>
      </c>
      <c r="G18" s="1">
        <f t="shared" si="3"/>
        <v>7</v>
      </c>
      <c r="H18" s="1">
        <v>6</v>
      </c>
    </row>
    <row r="19" spans="2:8" x14ac:dyDescent="0.15">
      <c r="B19" s="1">
        <v>11017</v>
      </c>
      <c r="C19" s="2" t="str">
        <f t="shared" si="0"/>
        <v>莱德姆之球</v>
      </c>
      <c r="D19" s="2" t="s">
        <v>38</v>
      </c>
      <c r="E19" s="1" t="str">
        <f t="shared" si="1"/>
        <v>之球</v>
      </c>
      <c r="F19" s="1">
        <f t="shared" si="2"/>
        <v>2</v>
      </c>
      <c r="G19" s="1">
        <f t="shared" si="3"/>
        <v>10</v>
      </c>
      <c r="H19" s="1">
        <v>6</v>
      </c>
    </row>
    <row r="20" spans="2:8" x14ac:dyDescent="0.15">
      <c r="B20" s="1">
        <v>11018</v>
      </c>
      <c r="C20" s="2" t="str">
        <f t="shared" si="0"/>
        <v>莱德姆之爪</v>
      </c>
      <c r="D20" s="2" t="s">
        <v>38</v>
      </c>
      <c r="E20" s="1" t="str">
        <f t="shared" si="1"/>
        <v>之爪</v>
      </c>
      <c r="F20" s="1">
        <f t="shared" si="2"/>
        <v>2</v>
      </c>
      <c r="G20" s="1">
        <f t="shared" si="3"/>
        <v>11</v>
      </c>
      <c r="H20" s="1">
        <v>6</v>
      </c>
    </row>
    <row r="21" spans="2:8" x14ac:dyDescent="0.15">
      <c r="B21" s="1">
        <v>11019</v>
      </c>
      <c r="C21" s="2" t="str">
        <f t="shared" si="0"/>
        <v>异灵之锤</v>
      </c>
      <c r="D21" s="2" t="s">
        <v>39</v>
      </c>
      <c r="E21" s="1" t="str">
        <f t="shared" si="1"/>
        <v>之锤</v>
      </c>
      <c r="F21" s="1">
        <f t="shared" si="2"/>
        <v>3</v>
      </c>
      <c r="G21" s="1">
        <f t="shared" si="3"/>
        <v>0</v>
      </c>
      <c r="H21" s="1">
        <v>6</v>
      </c>
    </row>
    <row r="22" spans="2:8" x14ac:dyDescent="0.15">
      <c r="B22" s="1">
        <v>11020</v>
      </c>
      <c r="C22" s="2" t="str">
        <f t="shared" si="0"/>
        <v>异灵之刀</v>
      </c>
      <c r="D22" s="2" t="s">
        <v>39</v>
      </c>
      <c r="E22" s="1" t="str">
        <f t="shared" si="1"/>
        <v>之刀</v>
      </c>
      <c r="F22" s="1">
        <f t="shared" si="2"/>
        <v>3</v>
      </c>
      <c r="G22" s="1">
        <f t="shared" si="3"/>
        <v>1</v>
      </c>
      <c r="H22" s="1">
        <v>6</v>
      </c>
    </row>
    <row r="23" spans="2:8" x14ac:dyDescent="0.15">
      <c r="B23" s="1">
        <v>11021</v>
      </c>
      <c r="C23" s="2" t="str">
        <f t="shared" si="0"/>
        <v>异灵之拳</v>
      </c>
      <c r="D23" s="2" t="s">
        <v>39</v>
      </c>
      <c r="E23" s="1" t="str">
        <f t="shared" si="1"/>
        <v>之拳</v>
      </c>
      <c r="F23" s="1">
        <f t="shared" si="2"/>
        <v>3</v>
      </c>
      <c r="G23" s="1">
        <f t="shared" si="3"/>
        <v>2</v>
      </c>
      <c r="H23" s="1">
        <v>6</v>
      </c>
    </row>
    <row r="24" spans="2:8" x14ac:dyDescent="0.15">
      <c r="B24" s="1">
        <v>11022</v>
      </c>
      <c r="C24" s="2" t="str">
        <f t="shared" si="0"/>
        <v>异灵之枪</v>
      </c>
      <c r="D24" s="2" t="s">
        <v>39</v>
      </c>
      <c r="E24" s="1" t="str">
        <f t="shared" si="1"/>
        <v>之枪</v>
      </c>
      <c r="F24" s="1">
        <f t="shared" si="2"/>
        <v>3</v>
      </c>
      <c r="G24" s="1">
        <f t="shared" si="3"/>
        <v>3</v>
      </c>
      <c r="H24" s="1">
        <v>6</v>
      </c>
    </row>
    <row r="25" spans="2:8" x14ac:dyDescent="0.15">
      <c r="B25" s="1">
        <v>11023</v>
      </c>
      <c r="C25" s="2" t="str">
        <f t="shared" si="0"/>
        <v>异灵之镰</v>
      </c>
      <c r="D25" s="2" t="s">
        <v>39</v>
      </c>
      <c r="E25" s="1" t="str">
        <f t="shared" si="1"/>
        <v>之镰</v>
      </c>
      <c r="F25" s="1">
        <f t="shared" si="2"/>
        <v>3</v>
      </c>
      <c r="G25" s="1">
        <f t="shared" si="3"/>
        <v>4</v>
      </c>
      <c r="H25" s="1">
        <v>6</v>
      </c>
    </row>
    <row r="26" spans="2:8" x14ac:dyDescent="0.15">
      <c r="B26" s="1">
        <v>11024</v>
      </c>
      <c r="C26" s="2" t="str">
        <f t="shared" si="0"/>
        <v>异灵之杖</v>
      </c>
      <c r="D26" s="2" t="s">
        <v>39</v>
      </c>
      <c r="E26" s="1" t="str">
        <f t="shared" si="1"/>
        <v>之杖</v>
      </c>
      <c r="F26" s="1">
        <f t="shared" si="2"/>
        <v>3</v>
      </c>
      <c r="G26" s="1">
        <f t="shared" si="3"/>
        <v>5</v>
      </c>
      <c r="H26" s="1">
        <v>6</v>
      </c>
    </row>
    <row r="27" spans="2:8" x14ac:dyDescent="0.15">
      <c r="B27" s="1">
        <v>11025</v>
      </c>
      <c r="C27" s="2" t="str">
        <f t="shared" si="0"/>
        <v>异灵烟斗</v>
      </c>
      <c r="D27" s="2" t="s">
        <v>39</v>
      </c>
      <c r="E27" s="1" t="str">
        <f t="shared" si="1"/>
        <v>烟斗</v>
      </c>
      <c r="F27" s="1">
        <f t="shared" si="2"/>
        <v>3</v>
      </c>
      <c r="G27" s="1">
        <f t="shared" si="3"/>
        <v>7</v>
      </c>
      <c r="H27" s="1">
        <v>6</v>
      </c>
    </row>
    <row r="28" spans="2:8" x14ac:dyDescent="0.15">
      <c r="B28" s="1">
        <v>11026</v>
      </c>
      <c r="C28" s="2" t="str">
        <f t="shared" si="0"/>
        <v>异灵之球</v>
      </c>
      <c r="D28" s="2" t="s">
        <v>39</v>
      </c>
      <c r="E28" s="1" t="str">
        <f t="shared" si="1"/>
        <v>之球</v>
      </c>
      <c r="F28" s="1">
        <f t="shared" si="2"/>
        <v>3</v>
      </c>
      <c r="G28" s="1">
        <f t="shared" si="3"/>
        <v>10</v>
      </c>
      <c r="H28" s="1">
        <v>6</v>
      </c>
    </row>
    <row r="29" spans="2:8" x14ac:dyDescent="0.15">
      <c r="B29" s="1">
        <v>11027</v>
      </c>
      <c r="C29" s="2" t="str">
        <f t="shared" ref="C29" si="4">D29&amp;E29</f>
        <v>异灵之爪</v>
      </c>
      <c r="D29" s="2" t="s">
        <v>39</v>
      </c>
      <c r="E29" s="1" t="str">
        <f t="shared" si="1"/>
        <v>之爪</v>
      </c>
      <c r="F29" s="1">
        <f t="shared" si="2"/>
        <v>3</v>
      </c>
      <c r="G29" s="1">
        <f t="shared" si="3"/>
        <v>11</v>
      </c>
      <c r="H29" s="1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2014-06-13T10:15:04Z</dcterms:modified>
</cp:coreProperties>
</file>