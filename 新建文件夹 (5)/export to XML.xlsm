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abd754f0c5b4e0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K:\upan\新建文件夹 (5)\"/>
    </mc:Choice>
  </mc:AlternateContent>
  <bookViews>
    <workbookView minimized="1" xWindow="-15" yWindow="405" windowWidth="16020" windowHeight="11610" activeTab="4"/>
  </bookViews>
  <sheets>
    <sheet name="map" sheetId="3" r:id="rId1"/>
    <sheet name="s" sheetId="8" r:id="rId2"/>
    <sheet name="collect" sheetId="4" r:id="rId3"/>
    <sheet name="dig" sheetId="5" r:id="rId4"/>
    <sheet name="enemy" sheetId="6" r:id="rId5"/>
    <sheet name="boss" sheetId="7" r:id="rId6"/>
    <sheet name="treasure" sheetId="15" r:id="rId7"/>
    <sheet name="Sheet1" sheetId="9" r:id="rId8"/>
    <sheet name="植物" sheetId="10" r:id="rId9"/>
    <sheet name="矿物" sheetId="11" r:id="rId10"/>
    <sheet name="怪物" sheetId="12" r:id="rId11"/>
    <sheet name="Sheet2" sheetId="13" r:id="rId12"/>
    <sheet name="Sheet3" sheetId="14" r:id="rId13"/>
  </sheets>
  <functionGroups builtInGroupCount="18"/>
  <externalReferences>
    <externalReference r:id="rId14"/>
  </externalReferences>
  <definedNames>
    <definedName name="_xlnm._FilterDatabase" localSheetId="7" hidden="1">Sheet1!$F$6:$Q$203</definedName>
    <definedName name="_xlnm._FilterDatabase" localSheetId="11" hidden="1">Sheet2!$G$4:$K$93</definedName>
    <definedName name="gfgfgf">INDEX(GET.WORKBOOK(1),map!$A1)&amp;T(NOW())</definedName>
    <definedName name="marking">Sheet1!$F$6:$Q$196</definedName>
    <definedName name="monstername1">Sheet3!$I$5:$M$52</definedName>
    <definedName name="per">Sheet1!$U$4:$V$12</definedName>
    <definedName name="plan1">植物!$G$4:$V$144</definedName>
    <definedName name="plan2">矿物!$G$4:$V$144</definedName>
    <definedName name="reference1">植物!$B$6:$C$13</definedName>
    <definedName name="test1">植物!$E$5:$H$48</definedName>
    <definedName name="test2">矿物!$B$5:$C$12</definedName>
    <definedName name="test3">矿物!$E$4:$H$51</definedName>
  </definedNames>
  <calcPr calcId="152511"/>
  <webPublishing codePage="1252"/>
</workbook>
</file>

<file path=xl/calcChain.xml><?xml version="1.0" encoding="utf-8"?>
<calcChain xmlns="http://schemas.openxmlformats.org/spreadsheetml/2006/main">
  <c r="J4" i="6" l="1"/>
  <c r="J5" i="6" s="1"/>
  <c r="J6" i="6" s="1"/>
  <c r="J7" i="6" s="1"/>
  <c r="J8" i="6" s="1"/>
  <c r="J9" i="6" s="1"/>
  <c r="J10" i="6" s="1"/>
  <c r="J11" i="6" s="1"/>
  <c r="J12" i="6" s="1"/>
  <c r="J13" i="6" s="1"/>
  <c r="J14" i="6" s="1"/>
  <c r="J15" i="6" s="1"/>
  <c r="J16" i="6" s="1"/>
  <c r="J17" i="6" s="1"/>
  <c r="J18" i="6" s="1"/>
  <c r="J19" i="6" s="1"/>
  <c r="J20" i="6" s="1"/>
  <c r="J21" i="6" s="1"/>
  <c r="J22" i="6" s="1"/>
  <c r="J23" i="6" s="1"/>
  <c r="J24" i="6" s="1"/>
  <c r="J25" i="6" s="1"/>
  <c r="J26" i="6" s="1"/>
  <c r="J27" i="6" s="1"/>
  <c r="J28" i="6" s="1"/>
  <c r="J29" i="6" s="1"/>
  <c r="J30" i="6" s="1"/>
  <c r="J31" i="6" s="1"/>
  <c r="J32" i="6" s="1"/>
  <c r="J33" i="6" s="1"/>
  <c r="J34" i="6" s="1"/>
  <c r="J35" i="6" s="1"/>
  <c r="J36" i="6" s="1"/>
  <c r="J37" i="6" s="1"/>
  <c r="J38" i="6" s="1"/>
  <c r="J39" i="6" s="1"/>
  <c r="J40" i="6" s="1"/>
  <c r="J41" i="6" s="1"/>
  <c r="J42" i="6" s="1"/>
  <c r="J43" i="6" s="1"/>
  <c r="J44" i="6" s="1"/>
  <c r="J45" i="6" s="1"/>
  <c r="J46" i="6" s="1"/>
  <c r="J47" i="6" s="1"/>
  <c r="J48" i="6" s="1"/>
  <c r="J49" i="6" s="1"/>
  <c r="J50" i="6" s="1"/>
  <c r="J51" i="6" s="1"/>
  <c r="J52" i="6" s="1"/>
  <c r="J53" i="6" s="1"/>
  <c r="J54" i="6" s="1"/>
  <c r="J55" i="6" s="1"/>
  <c r="J56" i="6" s="1"/>
  <c r="J57" i="6" s="1"/>
  <c r="J58" i="6" s="1"/>
  <c r="J59" i="6" s="1"/>
  <c r="J60" i="6" s="1"/>
  <c r="J61" i="6" s="1"/>
  <c r="J62" i="6" s="1"/>
  <c r="J63" i="6" s="1"/>
  <c r="J64" i="6" s="1"/>
  <c r="J65" i="6" s="1"/>
  <c r="J66" i="6" s="1"/>
  <c r="J67" i="6" s="1"/>
  <c r="J68" i="6" s="1"/>
  <c r="J69" i="6" s="1"/>
  <c r="J70" i="6" s="1"/>
  <c r="J71" i="6" s="1"/>
  <c r="J72" i="6" s="1"/>
  <c r="J73" i="6" s="1"/>
  <c r="J74" i="6" s="1"/>
  <c r="J75" i="6" s="1"/>
  <c r="J76" i="6" s="1"/>
  <c r="J77" i="6" s="1"/>
  <c r="J78" i="6" s="1"/>
  <c r="J79" i="6" s="1"/>
  <c r="J80" i="6" s="1"/>
  <c r="J81" i="6" s="1"/>
  <c r="J82" i="6" s="1"/>
  <c r="J83" i="6" s="1"/>
  <c r="J84" i="6" s="1"/>
  <c r="J85" i="6" s="1"/>
  <c r="J86" i="6" s="1"/>
  <c r="J87" i="6" s="1"/>
  <c r="J88" i="6" s="1"/>
  <c r="J89" i="6" s="1"/>
  <c r="J90" i="6" s="1"/>
  <c r="J91" i="6" s="1"/>
  <c r="J92" i="6" s="1"/>
  <c r="J93" i="6" s="1"/>
  <c r="J94" i="6" s="1"/>
  <c r="J95" i="6" s="1"/>
  <c r="J96" i="6" s="1"/>
  <c r="J97" i="6" s="1"/>
  <c r="J98" i="6" s="1"/>
  <c r="J99" i="6" s="1"/>
  <c r="J100" i="6" s="1"/>
  <c r="J101" i="6" s="1"/>
  <c r="J102" i="6" s="1"/>
  <c r="J103" i="6" s="1"/>
  <c r="J104" i="6" s="1"/>
  <c r="J105" i="6" s="1"/>
  <c r="J106" i="6" s="1"/>
  <c r="J107" i="6" s="1"/>
  <c r="J108" i="6" s="1"/>
  <c r="J109" i="6" s="1"/>
  <c r="J110" i="6" s="1"/>
  <c r="J111" i="6" s="1"/>
  <c r="J112" i="6" s="1"/>
  <c r="J113" i="6" s="1"/>
  <c r="J114" i="6" s="1"/>
  <c r="J115" i="6" s="1"/>
  <c r="J116" i="6" s="1"/>
  <c r="J117" i="6" s="1"/>
  <c r="J118" i="6" s="1"/>
  <c r="J119" i="6" s="1"/>
  <c r="J120" i="6" s="1"/>
  <c r="J121" i="6" s="1"/>
  <c r="J122" i="6" s="1"/>
  <c r="J123" i="6" s="1"/>
  <c r="J124" i="6" s="1"/>
  <c r="J125" i="6" s="1"/>
  <c r="J126" i="6" s="1"/>
  <c r="J127" i="6" s="1"/>
  <c r="J128" i="6" s="1"/>
  <c r="J129" i="6" s="1"/>
  <c r="J130" i="6" s="1"/>
  <c r="J131" i="6" s="1"/>
  <c r="J132" i="6" s="1"/>
  <c r="J133" i="6" s="1"/>
  <c r="J134" i="6" s="1"/>
  <c r="J135" i="6" s="1"/>
  <c r="J136" i="6" s="1"/>
  <c r="J137" i="6" s="1"/>
  <c r="J138" i="6" s="1"/>
  <c r="J139" i="6" s="1"/>
  <c r="J140" i="6" s="1"/>
  <c r="J141" i="6" s="1"/>
  <c r="T5" i="10" l="1"/>
  <c r="I3" i="8" l="1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2" i="8"/>
  <c r="G3" i="8"/>
  <c r="H3" i="8" s="1"/>
  <c r="G4" i="8"/>
  <c r="H4" i="8" s="1"/>
  <c r="G5" i="8"/>
  <c r="H5" i="8" s="1"/>
  <c r="G6" i="8"/>
  <c r="H6" i="8" s="1"/>
  <c r="G2" i="8"/>
  <c r="H2" i="8" s="1"/>
  <c r="B3" i="15" l="1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2" i="15"/>
  <c r="A3" i="15"/>
  <c r="A4" i="15"/>
  <c r="A5" i="15"/>
  <c r="A6" i="15"/>
  <c r="A2" i="15"/>
  <c r="T110" i="12" l="1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AE36" i="12"/>
  <c r="AE68" i="12"/>
  <c r="AE100" i="12"/>
  <c r="AE132" i="12"/>
  <c r="AE25" i="12"/>
  <c r="AE57" i="12"/>
  <c r="AE89" i="12"/>
  <c r="AE121" i="12"/>
  <c r="Y12" i="12"/>
  <c r="Y44" i="12"/>
  <c r="Y76" i="12"/>
  <c r="Y108" i="12"/>
  <c r="Y140" i="12"/>
  <c r="Y33" i="12"/>
  <c r="Y65" i="12"/>
  <c r="Y97" i="12"/>
  <c r="Y129" i="12"/>
  <c r="S20" i="12"/>
  <c r="S52" i="12"/>
  <c r="S84" i="12"/>
  <c r="S13" i="12"/>
  <c r="S45" i="12"/>
  <c r="S77" i="12"/>
  <c r="S109" i="12"/>
  <c r="AE72" i="12"/>
  <c r="AE136" i="12"/>
  <c r="AE61" i="12"/>
  <c r="AE125" i="12"/>
  <c r="Y40" i="12"/>
  <c r="Y104" i="12"/>
  <c r="Y29" i="12"/>
  <c r="AE22" i="12"/>
  <c r="AE54" i="12"/>
  <c r="AE86" i="12"/>
  <c r="AE118" i="12"/>
  <c r="AE11" i="12"/>
  <c r="AE43" i="12"/>
  <c r="AE75" i="12"/>
  <c r="AE107" i="12"/>
  <c r="AE139" i="12"/>
  <c r="Y30" i="12"/>
  <c r="Y62" i="12"/>
  <c r="Y94" i="12"/>
  <c r="Y126" i="12"/>
  <c r="Y19" i="12"/>
  <c r="Y51" i="12"/>
  <c r="Y83" i="12"/>
  <c r="Y115" i="12"/>
  <c r="S6" i="12"/>
  <c r="S38" i="12"/>
  <c r="S70" i="12"/>
  <c r="S102" i="12"/>
  <c r="S31" i="12"/>
  <c r="S63" i="12"/>
  <c r="S95" i="12"/>
  <c r="AE24" i="12"/>
  <c r="AE80" i="12"/>
  <c r="AE144" i="12"/>
  <c r="AE69" i="12"/>
  <c r="AE133" i="12"/>
  <c r="Y64" i="12"/>
  <c r="Y128" i="12"/>
  <c r="AE10" i="12"/>
  <c r="AE138" i="12"/>
  <c r="AE127" i="12"/>
  <c r="Y114" i="12"/>
  <c r="Y77" i="12"/>
  <c r="Y141" i="12"/>
  <c r="S64" i="12"/>
  <c r="S25" i="12"/>
  <c r="S89" i="12"/>
  <c r="AE90" i="12"/>
  <c r="AE143" i="12"/>
  <c r="Y85" i="12"/>
  <c r="S88" i="12"/>
  <c r="AE98" i="12"/>
  <c r="Y74" i="12"/>
  <c r="Y119" i="12"/>
  <c r="S106" i="12"/>
  <c r="AE50" i="12"/>
  <c r="AE39" i="12"/>
  <c r="Y26" i="12"/>
  <c r="Y15" i="12"/>
  <c r="Y95" i="12"/>
  <c r="S18" i="12"/>
  <c r="S82" i="12"/>
  <c r="S43" i="12"/>
  <c r="AE58" i="12"/>
  <c r="Y98" i="12"/>
  <c r="Y133" i="12"/>
  <c r="S104" i="12"/>
  <c r="S97" i="12"/>
  <c r="AE119" i="12"/>
  <c r="Y71" i="12"/>
  <c r="S58" i="12"/>
  <c r="S67" i="12"/>
  <c r="AE12" i="12"/>
  <c r="AE44" i="12"/>
  <c r="AE76" i="12"/>
  <c r="AE108" i="12"/>
  <c r="AE140" i="12"/>
  <c r="AE33" i="12"/>
  <c r="AE65" i="12"/>
  <c r="AE97" i="12"/>
  <c r="AE129" i="12"/>
  <c r="Y20" i="12"/>
  <c r="Y52" i="12"/>
  <c r="Y84" i="12"/>
  <c r="Y116" i="12"/>
  <c r="Y9" i="12"/>
  <c r="Y41" i="12"/>
  <c r="Y73" i="12"/>
  <c r="Y105" i="12"/>
  <c r="Y137" i="12"/>
  <c r="S28" i="12"/>
  <c r="S60" i="12"/>
  <c r="S92" i="12"/>
  <c r="S21" i="12"/>
  <c r="S53" i="12"/>
  <c r="S85" i="12"/>
  <c r="AE16" i="12"/>
  <c r="AE88" i="12"/>
  <c r="AE13" i="12"/>
  <c r="AE77" i="12"/>
  <c r="AE141" i="12"/>
  <c r="Y56" i="12"/>
  <c r="Y120" i="12"/>
  <c r="Y45" i="12"/>
  <c r="AE30" i="12"/>
  <c r="AE62" i="12"/>
  <c r="AE94" i="12"/>
  <c r="AE126" i="12"/>
  <c r="AE19" i="12"/>
  <c r="AE51" i="12"/>
  <c r="AE83" i="12"/>
  <c r="AE115" i="12"/>
  <c r="Y6" i="12"/>
  <c r="Y38" i="12"/>
  <c r="Y70" i="12"/>
  <c r="Y102" i="12"/>
  <c r="Y134" i="12"/>
  <c r="Y27" i="12"/>
  <c r="Y59" i="12"/>
  <c r="Y91" i="12"/>
  <c r="Y123" i="12"/>
  <c r="S14" i="12"/>
  <c r="S46" i="12"/>
  <c r="S78" i="12"/>
  <c r="S7" i="12"/>
  <c r="S39" i="12"/>
  <c r="S71" i="12"/>
  <c r="S103" i="12"/>
  <c r="AE32" i="12"/>
  <c r="AE96" i="12"/>
  <c r="AE21" i="12"/>
  <c r="AE85" i="12"/>
  <c r="Y16" i="12"/>
  <c r="Y80" i="12"/>
  <c r="Y144" i="12"/>
  <c r="AE42" i="12"/>
  <c r="AE31" i="12"/>
  <c r="Y18" i="12"/>
  <c r="Y7" i="12"/>
  <c r="Y93" i="12"/>
  <c r="S16" i="12"/>
  <c r="S80" i="12"/>
  <c r="S41" i="12"/>
  <c r="S105" i="12"/>
  <c r="AE122" i="12"/>
  <c r="Y66" i="12"/>
  <c r="Y117" i="12"/>
  <c r="S33" i="12"/>
  <c r="AE23" i="12"/>
  <c r="Y138" i="12"/>
  <c r="S10" i="12"/>
  <c r="S35" i="12"/>
  <c r="AE82" i="12"/>
  <c r="AE71" i="12"/>
  <c r="Y58" i="12"/>
  <c r="Y47" i="12"/>
  <c r="Y111" i="12"/>
  <c r="S34" i="12"/>
  <c r="S98" i="12"/>
  <c r="S59" i="12"/>
  <c r="AE47" i="12"/>
  <c r="Y23" i="12"/>
  <c r="S24" i="12"/>
  <c r="S17" i="12"/>
  <c r="AE66" i="12"/>
  <c r="Y42" i="12"/>
  <c r="Y103" i="12"/>
  <c r="S90" i="12"/>
  <c r="S99" i="12"/>
  <c r="AE20" i="12"/>
  <c r="AE52" i="12"/>
  <c r="AE84" i="12"/>
  <c r="AE116" i="12"/>
  <c r="AE9" i="12"/>
  <c r="AE41" i="12"/>
  <c r="AE73" i="12"/>
  <c r="AE105" i="12"/>
  <c r="AE137" i="12"/>
  <c r="Y28" i="12"/>
  <c r="Y60" i="12"/>
  <c r="Y92" i="12"/>
  <c r="Y124" i="12"/>
  <c r="Y17" i="12"/>
  <c r="Y49" i="12"/>
  <c r="Y81" i="12"/>
  <c r="Y113" i="12"/>
  <c r="Y5" i="12"/>
  <c r="S36" i="12"/>
  <c r="S68" i="12"/>
  <c r="S100" i="12"/>
  <c r="S29" i="12"/>
  <c r="S61" i="12"/>
  <c r="S93" i="12"/>
  <c r="AE40" i="12"/>
  <c r="AE104" i="12"/>
  <c r="AE29" i="12"/>
  <c r="AE93" i="12"/>
  <c r="Y8" i="12"/>
  <c r="Y72" i="12"/>
  <c r="Y136" i="12"/>
  <c r="AE6" i="12"/>
  <c r="AE38" i="12"/>
  <c r="AE70" i="12"/>
  <c r="AE102" i="12"/>
  <c r="AE134" i="12"/>
  <c r="AE27" i="12"/>
  <c r="AE59" i="12"/>
  <c r="AE91" i="12"/>
  <c r="AE123" i="12"/>
  <c r="Y14" i="12"/>
  <c r="Y46" i="12"/>
  <c r="Y78" i="12"/>
  <c r="Y110" i="12"/>
  <c r="Y142" i="12"/>
  <c r="Y35" i="12"/>
  <c r="Y67" i="12"/>
  <c r="Y99" i="12"/>
  <c r="Y131" i="12"/>
  <c r="S22" i="12"/>
  <c r="S54" i="12"/>
  <c r="S86" i="12"/>
  <c r="S15" i="12"/>
  <c r="S47" i="12"/>
  <c r="S79" i="12"/>
  <c r="S5" i="12"/>
  <c r="AE48" i="12"/>
  <c r="AE112" i="12"/>
  <c r="AE37" i="12"/>
  <c r="AE101" i="12"/>
  <c r="Y32" i="12"/>
  <c r="Y96" i="12"/>
  <c r="Y21" i="12"/>
  <c r="AE74" i="12"/>
  <c r="AE63" i="12"/>
  <c r="Y50" i="12"/>
  <c r="Y39" i="12"/>
  <c r="Y109" i="12"/>
  <c r="S32" i="12"/>
  <c r="S96" i="12"/>
  <c r="S57" i="12"/>
  <c r="S91" i="12"/>
  <c r="AE15" i="12"/>
  <c r="Y130" i="12"/>
  <c r="S8" i="12"/>
  <c r="S65" i="12"/>
  <c r="AE87" i="12"/>
  <c r="Y55" i="12"/>
  <c r="S42" i="12"/>
  <c r="S83" i="12"/>
  <c r="AE114" i="12"/>
  <c r="AE103" i="12"/>
  <c r="Y90" i="12"/>
  <c r="Y63" i="12"/>
  <c r="Y127" i="12"/>
  <c r="S50" i="12"/>
  <c r="S11" i="12"/>
  <c r="S75" i="12"/>
  <c r="AE111" i="12"/>
  <c r="Y69" i="12"/>
  <c r="S40" i="12"/>
  <c r="S49" i="12"/>
  <c r="AE130" i="12"/>
  <c r="Y106" i="12"/>
  <c r="Y135" i="12"/>
  <c r="S19" i="12"/>
  <c r="AE92" i="12"/>
  <c r="AE81" i="12"/>
  <c r="Y68" i="12"/>
  <c r="Y57" i="12"/>
  <c r="S44" i="12"/>
  <c r="S69" i="12"/>
  <c r="AE45" i="12"/>
  <c r="Y13" i="12"/>
  <c r="AE110" i="12"/>
  <c r="AE99" i="12"/>
  <c r="Y86" i="12"/>
  <c r="Y75" i="12"/>
  <c r="S62" i="12"/>
  <c r="S87" i="12"/>
  <c r="AE53" i="12"/>
  <c r="Y37" i="12"/>
  <c r="Y61" i="12"/>
  <c r="S73" i="12"/>
  <c r="S56" i="12"/>
  <c r="S74" i="12"/>
  <c r="Y122" i="12"/>
  <c r="S27" i="12"/>
  <c r="S72" i="12"/>
  <c r="S26" i="12"/>
  <c r="AE113" i="12"/>
  <c r="Y100" i="12"/>
  <c r="Y89" i="12"/>
  <c r="S101" i="12"/>
  <c r="AE109" i="12"/>
  <c r="AE142" i="12"/>
  <c r="AE131" i="12"/>
  <c r="Y107" i="12"/>
  <c r="S94" i="12"/>
  <c r="AE117" i="12"/>
  <c r="AE106" i="12"/>
  <c r="Y125" i="12"/>
  <c r="AE34" i="12"/>
  <c r="AE18" i="12"/>
  <c r="S107" i="12"/>
  <c r="S81" i="12"/>
  <c r="Y54" i="12"/>
  <c r="S55" i="12"/>
  <c r="Y82" i="12"/>
  <c r="Y87" i="12"/>
  <c r="Y101" i="12"/>
  <c r="AE124" i="12"/>
  <c r="S76" i="12"/>
  <c r="AE14" i="12"/>
  <c r="Y118" i="12"/>
  <c r="AE8" i="12"/>
  <c r="AE26" i="12"/>
  <c r="Y79" i="12"/>
  <c r="S51" i="12"/>
  <c r="S30" i="12"/>
  <c r="Y112" i="12"/>
  <c r="Y53" i="12"/>
  <c r="AE135" i="12"/>
  <c r="Y31" i="12"/>
  <c r="AE28" i="12"/>
  <c r="AE17" i="12"/>
  <c r="AE5" i="12"/>
  <c r="Y132" i="12"/>
  <c r="Y121" i="12"/>
  <c r="S108" i="12"/>
  <c r="AE56" i="12"/>
  <c r="Y24" i="12"/>
  <c r="AE46" i="12"/>
  <c r="AE35" i="12"/>
  <c r="Y22" i="12"/>
  <c r="Y11" i="12"/>
  <c r="Y139" i="12"/>
  <c r="S23" i="12"/>
  <c r="AE64" i="12"/>
  <c r="Y48" i="12"/>
  <c r="AE95" i="12"/>
  <c r="S48" i="12"/>
  <c r="AE79" i="12"/>
  <c r="Y10" i="12"/>
  <c r="AE7" i="12"/>
  <c r="Y143" i="12"/>
  <c r="Y34" i="12"/>
  <c r="AE55" i="12"/>
  <c r="AE60" i="12"/>
  <c r="AE49" i="12"/>
  <c r="Y36" i="12"/>
  <c r="Y25" i="12"/>
  <c r="S12" i="12"/>
  <c r="S37" i="12"/>
  <c r="AE120" i="12"/>
  <c r="Y88" i="12"/>
  <c r="AE78" i="12"/>
  <c r="AE67" i="12"/>
  <c r="Y43" i="12"/>
  <c r="AE128" i="12"/>
  <c r="S9" i="12"/>
  <c r="S66" i="12"/>
  <c r="AB135" i="12" l="1"/>
  <c r="Z135" i="12"/>
  <c r="AB103" i="12"/>
  <c r="Z103" i="12"/>
  <c r="AB71" i="12"/>
  <c r="Z71" i="12"/>
  <c r="AB31" i="12"/>
  <c r="Z31" i="12"/>
  <c r="AB106" i="12"/>
  <c r="Z106" i="12"/>
  <c r="Z42" i="12"/>
  <c r="AB42" i="12"/>
  <c r="AH119" i="12"/>
  <c r="AF119" i="12"/>
  <c r="AH55" i="12"/>
  <c r="AF55" i="12"/>
  <c r="AH130" i="12"/>
  <c r="AF130" i="12"/>
  <c r="AH66" i="12"/>
  <c r="AF66" i="12"/>
  <c r="Z133" i="12"/>
  <c r="AB133" i="12"/>
  <c r="Z101" i="12"/>
  <c r="AB101" i="12"/>
  <c r="Z69" i="12"/>
  <c r="AB69" i="12"/>
  <c r="AB23" i="12"/>
  <c r="Z23" i="12"/>
  <c r="AB98" i="12"/>
  <c r="Z98" i="12"/>
  <c r="AB34" i="12"/>
  <c r="Z34" i="12"/>
  <c r="AH111" i="12"/>
  <c r="AF111" i="12"/>
  <c r="AH47" i="12"/>
  <c r="AF47" i="12"/>
  <c r="AH58" i="12"/>
  <c r="AF58" i="12"/>
  <c r="AB143" i="12"/>
  <c r="Z143" i="12"/>
  <c r="AB127" i="12"/>
  <c r="Z127" i="12"/>
  <c r="AB111" i="12"/>
  <c r="Z111" i="12"/>
  <c r="AB95" i="12"/>
  <c r="Z95" i="12"/>
  <c r="AB79" i="12"/>
  <c r="Z79" i="12"/>
  <c r="AB63" i="12"/>
  <c r="Z63" i="12"/>
  <c r="AB47" i="12"/>
  <c r="Z47" i="12"/>
  <c r="AB15" i="12"/>
  <c r="Z15" i="12"/>
  <c r="AB122" i="12"/>
  <c r="Z122" i="12"/>
  <c r="AB90" i="12"/>
  <c r="Z90" i="12"/>
  <c r="Z58" i="12"/>
  <c r="AB58" i="12"/>
  <c r="Z26" i="12"/>
  <c r="AB26" i="12"/>
  <c r="AH135" i="12"/>
  <c r="AF135" i="12"/>
  <c r="AH103" i="12"/>
  <c r="AF103" i="12"/>
  <c r="AH71" i="12"/>
  <c r="AF71" i="12"/>
  <c r="AH39" i="12"/>
  <c r="AF39" i="12"/>
  <c r="AH7" i="12"/>
  <c r="AF7" i="12"/>
  <c r="AH114" i="12"/>
  <c r="AF114" i="12"/>
  <c r="AH82" i="12"/>
  <c r="AF82" i="12"/>
  <c r="AH50" i="12"/>
  <c r="AF50" i="12"/>
  <c r="AH18" i="12"/>
  <c r="AF18" i="12"/>
  <c r="AB119" i="12"/>
  <c r="Z119" i="12"/>
  <c r="AB87" i="12"/>
  <c r="Z87" i="12"/>
  <c r="AB55" i="12"/>
  <c r="Z55" i="12"/>
  <c r="AB138" i="12"/>
  <c r="Z138" i="12"/>
  <c r="AB74" i="12"/>
  <c r="Z74" i="12"/>
  <c r="AB10" i="12"/>
  <c r="Z10" i="12"/>
  <c r="AH87" i="12"/>
  <c r="AF87" i="12"/>
  <c r="AH23" i="12"/>
  <c r="AF23" i="12"/>
  <c r="AH98" i="12"/>
  <c r="AF98" i="12"/>
  <c r="AH34" i="12"/>
  <c r="AF34" i="12"/>
  <c r="Z117" i="12"/>
  <c r="AB117" i="12"/>
  <c r="Z85" i="12"/>
  <c r="AB85" i="12"/>
  <c r="AB53" i="12"/>
  <c r="Z53" i="12"/>
  <c r="AB130" i="12"/>
  <c r="Z130" i="12"/>
  <c r="AB66" i="12"/>
  <c r="Z66" i="12"/>
  <c r="AH143" i="12"/>
  <c r="AF143" i="12"/>
  <c r="AH79" i="12"/>
  <c r="AF79" i="12"/>
  <c r="AH15" i="12"/>
  <c r="AF15" i="12"/>
  <c r="AH122" i="12"/>
  <c r="AF122" i="12"/>
  <c r="AH90" i="12"/>
  <c r="AF90" i="12"/>
  <c r="AH26" i="12"/>
  <c r="AF26" i="12"/>
  <c r="Z141" i="12"/>
  <c r="AB141" i="12"/>
  <c r="Z125" i="12"/>
  <c r="AB125" i="12"/>
  <c r="Z109" i="12"/>
  <c r="AB109" i="12"/>
  <c r="Z93" i="12"/>
  <c r="AB93" i="12"/>
  <c r="Z77" i="12"/>
  <c r="AB77" i="12"/>
  <c r="AB61" i="12"/>
  <c r="Z61" i="12"/>
  <c r="AB39" i="12"/>
  <c r="Z39" i="12"/>
  <c r="AB7" i="12"/>
  <c r="Z7" i="12"/>
  <c r="AB114" i="12"/>
  <c r="Z114" i="12"/>
  <c r="AB82" i="12"/>
  <c r="Z82" i="12"/>
  <c r="AB50" i="12"/>
  <c r="Z50" i="12"/>
  <c r="AB18" i="12"/>
  <c r="Z18" i="12"/>
  <c r="AH127" i="12"/>
  <c r="AF127" i="12"/>
  <c r="AH95" i="12"/>
  <c r="AF95" i="12"/>
  <c r="AH63" i="12"/>
  <c r="AF63" i="12"/>
  <c r="AH31" i="12"/>
  <c r="AF31" i="12"/>
  <c r="AH138" i="12"/>
  <c r="AF138" i="12"/>
  <c r="AH106" i="12"/>
  <c r="AF106" i="12"/>
  <c r="AH74" i="12"/>
  <c r="AF74" i="12"/>
  <c r="AH42" i="12"/>
  <c r="AF42" i="12"/>
  <c r="AH10" i="12"/>
  <c r="AF10" i="12"/>
  <c r="AB37" i="12"/>
  <c r="Z37" i="12"/>
  <c r="AB21" i="12"/>
  <c r="Z21" i="12"/>
  <c r="AB144" i="12"/>
  <c r="Z144" i="12"/>
  <c r="AB128" i="12"/>
  <c r="Z128" i="12"/>
  <c r="AB112" i="12"/>
  <c r="Z112" i="12"/>
  <c r="AB96" i="12"/>
  <c r="Z96" i="12"/>
  <c r="AB80" i="12"/>
  <c r="Z80" i="12"/>
  <c r="AB64" i="12"/>
  <c r="Z64" i="12"/>
  <c r="Z48" i="12"/>
  <c r="AB48" i="12"/>
  <c r="AB32" i="12"/>
  <c r="Z32" i="12"/>
  <c r="AB16" i="12"/>
  <c r="Z16" i="12"/>
  <c r="AF133" i="12"/>
  <c r="AH133" i="12"/>
  <c r="AF117" i="12"/>
  <c r="AH117" i="12"/>
  <c r="AF101" i="12"/>
  <c r="AH101" i="12"/>
  <c r="AF85" i="12"/>
  <c r="AH85" i="12"/>
  <c r="AF69" i="12"/>
  <c r="AH69" i="12"/>
  <c r="AF53" i="12"/>
  <c r="AH53" i="12"/>
  <c r="AF37" i="12"/>
  <c r="AH37" i="12"/>
  <c r="AF21" i="12"/>
  <c r="AH21" i="12"/>
  <c r="AH144" i="12"/>
  <c r="AF144" i="12"/>
  <c r="AH128" i="12"/>
  <c r="AF128" i="12"/>
  <c r="AH112" i="12"/>
  <c r="AF112" i="12"/>
  <c r="AH96" i="12"/>
  <c r="AF96" i="12"/>
  <c r="AH80" i="12"/>
  <c r="AF80" i="12"/>
  <c r="AH64" i="12"/>
  <c r="AF64" i="12"/>
  <c r="AH48" i="12"/>
  <c r="AF48" i="12"/>
  <c r="AH32" i="12"/>
  <c r="AF32" i="12"/>
  <c r="AH24" i="12"/>
  <c r="AF24" i="12"/>
  <c r="AH8" i="12"/>
  <c r="AF8" i="12"/>
  <c r="AB139" i="12"/>
  <c r="Z139" i="12"/>
  <c r="AB131" i="12"/>
  <c r="Z131" i="12"/>
  <c r="AB123" i="12"/>
  <c r="Z123" i="12"/>
  <c r="AB115" i="12"/>
  <c r="Z115" i="12"/>
  <c r="AB107" i="12"/>
  <c r="Z107" i="12"/>
  <c r="AB99" i="12"/>
  <c r="Z99" i="12"/>
  <c r="AB91" i="12"/>
  <c r="Z91" i="12"/>
  <c r="AB83" i="12"/>
  <c r="Z83" i="12"/>
  <c r="AB75" i="12"/>
  <c r="Z75" i="12"/>
  <c r="AB67" i="12"/>
  <c r="Z67" i="12"/>
  <c r="AB59" i="12"/>
  <c r="Z59" i="12"/>
  <c r="AB51" i="12"/>
  <c r="Z51" i="12"/>
  <c r="AB43" i="12"/>
  <c r="Z43" i="12"/>
  <c r="AB35" i="12"/>
  <c r="Z35" i="12"/>
  <c r="AB27" i="12"/>
  <c r="Z27" i="12"/>
  <c r="AB19" i="12"/>
  <c r="Z19" i="12"/>
  <c r="AB11" i="12"/>
  <c r="Z11" i="12"/>
  <c r="AB142" i="12"/>
  <c r="Z142" i="12"/>
  <c r="AB134" i="12"/>
  <c r="Z134" i="12"/>
  <c r="AB126" i="12"/>
  <c r="Z126" i="12"/>
  <c r="AB118" i="12"/>
  <c r="Z118" i="12"/>
  <c r="AB110" i="12"/>
  <c r="Z110" i="12"/>
  <c r="AB102" i="12"/>
  <c r="Z102" i="12"/>
  <c r="AB94" i="12"/>
  <c r="Z94" i="12"/>
  <c r="AB86" i="12"/>
  <c r="Z86" i="12"/>
  <c r="AB78" i="12"/>
  <c r="Z78" i="12"/>
  <c r="AB70" i="12"/>
  <c r="Z70" i="12"/>
  <c r="Z62" i="12"/>
  <c r="AB62" i="12"/>
  <c r="Z54" i="12"/>
  <c r="AB54" i="12"/>
  <c r="Z46" i="12"/>
  <c r="AB46" i="12"/>
  <c r="Z38" i="12"/>
  <c r="AB38" i="12"/>
  <c r="Z30" i="12"/>
  <c r="AB30" i="12"/>
  <c r="AB22" i="12"/>
  <c r="Z22" i="12"/>
  <c r="AB14" i="12"/>
  <c r="Z14" i="12"/>
  <c r="AB6" i="12"/>
  <c r="Z6" i="12"/>
  <c r="AH139" i="12"/>
  <c r="AF139" i="12"/>
  <c r="AH131" i="12"/>
  <c r="AF131" i="12"/>
  <c r="AH123" i="12"/>
  <c r="AF123" i="12"/>
  <c r="AH115" i="12"/>
  <c r="AF115" i="12"/>
  <c r="AH107" i="12"/>
  <c r="AF107" i="12"/>
  <c r="AH99" i="12"/>
  <c r="AF99" i="12"/>
  <c r="AH91" i="12"/>
  <c r="AF91" i="12"/>
  <c r="AH83" i="12"/>
  <c r="AF83" i="12"/>
  <c r="AH75" i="12"/>
  <c r="AF75" i="12"/>
  <c r="AH67" i="12"/>
  <c r="AF67" i="12"/>
  <c r="AH59" i="12"/>
  <c r="AF59" i="12"/>
  <c r="AH51" i="12"/>
  <c r="AF51" i="12"/>
  <c r="AH43" i="12"/>
  <c r="AF43" i="12"/>
  <c r="AH35" i="12"/>
  <c r="AF35" i="12"/>
  <c r="AH27" i="12"/>
  <c r="AF27" i="12"/>
  <c r="AH19" i="12"/>
  <c r="AF19" i="12"/>
  <c r="AH11" i="12"/>
  <c r="AF11" i="12"/>
  <c r="AH142" i="12"/>
  <c r="AF142" i="12"/>
  <c r="AH134" i="12"/>
  <c r="AF134" i="12"/>
  <c r="AH126" i="12"/>
  <c r="AF126" i="12"/>
  <c r="AH118" i="12"/>
  <c r="AF118" i="12"/>
  <c r="AH110" i="12"/>
  <c r="AF110" i="12"/>
  <c r="AH102" i="12"/>
  <c r="AF102" i="12"/>
  <c r="AH94" i="12"/>
  <c r="AF94" i="12"/>
  <c r="AH86" i="12"/>
  <c r="AF86" i="12"/>
  <c r="AH78" i="12"/>
  <c r="AF78" i="12"/>
  <c r="AH70" i="12"/>
  <c r="AF70" i="12"/>
  <c r="AH62" i="12"/>
  <c r="AF62" i="12"/>
  <c r="AH54" i="12"/>
  <c r="AF54" i="12"/>
  <c r="AH46" i="12"/>
  <c r="AF46" i="12"/>
  <c r="AH38" i="12"/>
  <c r="AF38" i="12"/>
  <c r="AH30" i="12"/>
  <c r="AF30" i="12"/>
  <c r="AH22" i="12"/>
  <c r="AF22" i="12"/>
  <c r="AH14" i="12"/>
  <c r="AF14" i="12"/>
  <c r="AH6" i="12"/>
  <c r="AF6" i="12"/>
  <c r="AB45" i="12"/>
  <c r="Z45" i="12"/>
  <c r="AB29" i="12"/>
  <c r="Z29" i="12"/>
  <c r="Z13" i="12"/>
  <c r="AB13" i="12"/>
  <c r="AB136" i="12"/>
  <c r="Z136" i="12"/>
  <c r="AB120" i="12"/>
  <c r="Z120" i="12"/>
  <c r="AB104" i="12"/>
  <c r="Z104" i="12"/>
  <c r="AB88" i="12"/>
  <c r="Z88" i="12"/>
  <c r="AB72" i="12"/>
  <c r="Z72" i="12"/>
  <c r="AB56" i="12"/>
  <c r="Z56" i="12"/>
  <c r="AB40" i="12"/>
  <c r="Z40" i="12"/>
  <c r="AB24" i="12"/>
  <c r="Z24" i="12"/>
  <c r="AB8" i="12"/>
  <c r="Z8" i="12"/>
  <c r="AF141" i="12"/>
  <c r="AH141" i="12"/>
  <c r="AF125" i="12"/>
  <c r="AH125" i="12"/>
  <c r="AF109" i="12"/>
  <c r="AH109" i="12"/>
  <c r="AF93" i="12"/>
  <c r="AH93" i="12"/>
  <c r="AF77" i="12"/>
  <c r="AH77" i="12"/>
  <c r="AF61" i="12"/>
  <c r="AH61" i="12"/>
  <c r="AF45" i="12"/>
  <c r="AH45" i="12"/>
  <c r="AF29" i="12"/>
  <c r="AH29" i="12"/>
  <c r="AF13" i="12"/>
  <c r="AH13" i="12"/>
  <c r="AH136" i="12"/>
  <c r="AF136" i="12"/>
  <c r="AH120" i="12"/>
  <c r="AF120" i="12"/>
  <c r="AH104" i="12"/>
  <c r="AF104" i="12"/>
  <c r="AH88" i="12"/>
  <c r="AF88" i="12"/>
  <c r="AH72" i="12"/>
  <c r="AF72" i="12"/>
  <c r="AH56" i="12"/>
  <c r="AF56" i="12"/>
  <c r="AH40" i="12"/>
  <c r="AF40" i="12"/>
  <c r="AH16" i="12"/>
  <c r="AF16" i="12"/>
  <c r="AB5" i="12"/>
  <c r="Z5" i="12"/>
  <c r="AB137" i="12"/>
  <c r="Z137" i="12"/>
  <c r="AB129" i="12"/>
  <c r="Z129" i="12"/>
  <c r="AB121" i="12"/>
  <c r="Z121" i="12"/>
  <c r="AB113" i="12"/>
  <c r="Z113" i="12"/>
  <c r="AB105" i="12"/>
  <c r="Z105" i="12"/>
  <c r="AB97" i="12"/>
  <c r="Z97" i="12"/>
  <c r="AB89" i="12"/>
  <c r="Z89" i="12"/>
  <c r="AB81" i="12"/>
  <c r="Z81" i="12"/>
  <c r="AB73" i="12"/>
  <c r="Z73" i="12"/>
  <c r="AB65" i="12"/>
  <c r="Z65" i="12"/>
  <c r="AB57" i="12"/>
  <c r="Z57" i="12"/>
  <c r="AB49" i="12"/>
  <c r="Z49" i="12"/>
  <c r="AB41" i="12"/>
  <c r="Z41" i="12"/>
  <c r="AB33" i="12"/>
  <c r="Z33" i="12"/>
  <c r="AB25" i="12"/>
  <c r="Z25" i="12"/>
  <c r="AB17" i="12"/>
  <c r="Z17" i="12"/>
  <c r="AB9" i="12"/>
  <c r="Z9" i="12"/>
  <c r="Z140" i="12"/>
  <c r="AB140" i="12"/>
  <c r="Z132" i="12"/>
  <c r="AB132" i="12"/>
  <c r="Z124" i="12"/>
  <c r="AB124" i="12"/>
  <c r="Z116" i="12"/>
  <c r="AB116" i="12"/>
  <c r="Z108" i="12"/>
  <c r="AB108" i="12"/>
  <c r="Z100" i="12"/>
  <c r="AB100" i="12"/>
  <c r="Z92" i="12"/>
  <c r="AB92" i="12"/>
  <c r="Z84" i="12"/>
  <c r="AB84" i="12"/>
  <c r="Z76" i="12"/>
  <c r="AB76" i="12"/>
  <c r="Z68" i="12"/>
  <c r="AB68" i="12"/>
  <c r="Z60" i="12"/>
  <c r="AB60" i="12"/>
  <c r="AB52" i="12"/>
  <c r="Z52" i="12"/>
  <c r="Z44" i="12"/>
  <c r="AB44" i="12"/>
  <c r="AB36" i="12"/>
  <c r="Z36" i="12"/>
  <c r="Z28" i="12"/>
  <c r="AB28" i="12"/>
  <c r="AB20" i="12"/>
  <c r="Z20" i="12"/>
  <c r="Z12" i="12"/>
  <c r="AB12" i="12"/>
  <c r="AH5" i="12"/>
  <c r="AF5" i="12"/>
  <c r="AH137" i="12"/>
  <c r="AF137" i="12"/>
  <c r="AH129" i="12"/>
  <c r="AF129" i="12"/>
  <c r="AH121" i="12"/>
  <c r="AF121" i="12"/>
  <c r="AH113" i="12"/>
  <c r="AF113" i="12"/>
  <c r="AH105" i="12"/>
  <c r="AF105" i="12"/>
  <c r="AH97" i="12"/>
  <c r="AF97" i="12"/>
  <c r="AH89" i="12"/>
  <c r="AF89" i="12"/>
  <c r="AH81" i="12"/>
  <c r="AF81" i="12"/>
  <c r="AH73" i="12"/>
  <c r="AF73" i="12"/>
  <c r="AH65" i="12"/>
  <c r="AF65" i="12"/>
  <c r="AH57" i="12"/>
  <c r="AF57" i="12"/>
  <c r="AH49" i="12"/>
  <c r="AF49" i="12"/>
  <c r="AH41" i="12"/>
  <c r="AF41" i="12"/>
  <c r="AH33" i="12"/>
  <c r="AF33" i="12"/>
  <c r="AH25" i="12"/>
  <c r="AF25" i="12"/>
  <c r="AH17" i="12"/>
  <c r="AF17" i="12"/>
  <c r="AH9" i="12"/>
  <c r="AF9" i="12"/>
  <c r="AF140" i="12"/>
  <c r="AH140" i="12"/>
  <c r="AF132" i="12"/>
  <c r="AH132" i="12"/>
  <c r="AF124" i="12"/>
  <c r="AH124" i="12"/>
  <c r="AF116" i="12"/>
  <c r="AH116" i="12"/>
  <c r="AF108" i="12"/>
  <c r="AH108" i="12"/>
  <c r="AF100" i="12"/>
  <c r="AH100" i="12"/>
  <c r="AF92" i="12"/>
  <c r="AH92" i="12"/>
  <c r="AF84" i="12"/>
  <c r="AH84" i="12"/>
  <c r="AF76" i="12"/>
  <c r="AH76" i="12"/>
  <c r="AF68" i="12"/>
  <c r="AH68" i="12"/>
  <c r="AF60" i="12"/>
  <c r="AH60" i="12"/>
  <c r="AF52" i="12"/>
  <c r="AH52" i="12"/>
  <c r="AF44" i="12"/>
  <c r="AH44" i="12"/>
  <c r="AF36" i="12"/>
  <c r="AH36" i="12"/>
  <c r="AF28" i="12"/>
  <c r="AH28" i="12"/>
  <c r="AF20" i="12"/>
  <c r="AH20" i="12"/>
  <c r="AF12" i="12"/>
  <c r="AH12" i="12"/>
  <c r="T5" i="12"/>
  <c r="T109" i="12"/>
  <c r="T107" i="12"/>
  <c r="T105" i="12"/>
  <c r="T103" i="12"/>
  <c r="T101" i="12"/>
  <c r="T99" i="12"/>
  <c r="T97" i="12"/>
  <c r="T95" i="12"/>
  <c r="T93" i="12"/>
  <c r="T91" i="12"/>
  <c r="T89" i="12"/>
  <c r="T87" i="12"/>
  <c r="T85" i="12"/>
  <c r="T83" i="12"/>
  <c r="T81" i="12"/>
  <c r="T79" i="12"/>
  <c r="T77" i="12"/>
  <c r="T75" i="12"/>
  <c r="T73" i="12"/>
  <c r="T71" i="12"/>
  <c r="T69" i="12"/>
  <c r="T67" i="12"/>
  <c r="T65" i="12"/>
  <c r="T63" i="12"/>
  <c r="T61" i="12"/>
  <c r="T59" i="12"/>
  <c r="T57" i="12"/>
  <c r="T55" i="12"/>
  <c r="T53" i="12"/>
  <c r="T51" i="12"/>
  <c r="T49" i="12"/>
  <c r="T47" i="12"/>
  <c r="T45" i="12"/>
  <c r="T43" i="12"/>
  <c r="T41" i="12"/>
  <c r="T39" i="12"/>
  <c r="T37" i="12"/>
  <c r="T35" i="12"/>
  <c r="T33" i="12"/>
  <c r="T31" i="12"/>
  <c r="T29" i="12"/>
  <c r="T27" i="12"/>
  <c r="T25" i="12"/>
  <c r="T23" i="12"/>
  <c r="T21" i="12"/>
  <c r="T19" i="12"/>
  <c r="T17" i="12"/>
  <c r="T15" i="12"/>
  <c r="T13" i="12"/>
  <c r="T11" i="12"/>
  <c r="T9" i="12"/>
  <c r="T7" i="12"/>
  <c r="T108" i="12"/>
  <c r="T106" i="12"/>
  <c r="T104" i="12"/>
  <c r="T102" i="12"/>
  <c r="T100" i="12"/>
  <c r="T98" i="12"/>
  <c r="T96" i="12"/>
  <c r="T94" i="12"/>
  <c r="T92" i="12"/>
  <c r="T90" i="12"/>
  <c r="T88" i="12"/>
  <c r="T86" i="12"/>
  <c r="T84" i="12"/>
  <c r="T82" i="12"/>
  <c r="T80" i="12"/>
  <c r="T78" i="12"/>
  <c r="T76" i="12"/>
  <c r="T74" i="12"/>
  <c r="T72" i="12"/>
  <c r="T70" i="12"/>
  <c r="T68" i="12"/>
  <c r="T66" i="12"/>
  <c r="T64" i="12"/>
  <c r="T62" i="12"/>
  <c r="T60" i="12"/>
  <c r="T58" i="12"/>
  <c r="T56" i="12"/>
  <c r="T54" i="12"/>
  <c r="T52" i="12"/>
  <c r="T50" i="12"/>
  <c r="T48" i="12"/>
  <c r="T46" i="12"/>
  <c r="T44" i="12"/>
  <c r="T42" i="12"/>
  <c r="T40" i="12"/>
  <c r="T38" i="12"/>
  <c r="T36" i="12"/>
  <c r="T34" i="12"/>
  <c r="T32" i="12"/>
  <c r="T30" i="12"/>
  <c r="T28" i="12"/>
  <c r="T26" i="12"/>
  <c r="T24" i="12"/>
  <c r="T22" i="12"/>
  <c r="T20" i="12"/>
  <c r="T18" i="12"/>
  <c r="T16" i="12"/>
  <c r="T14" i="12"/>
  <c r="T12" i="12"/>
  <c r="T10" i="12"/>
  <c r="T8" i="12"/>
  <c r="T6" i="12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4" i="13"/>
  <c r="M65" i="12"/>
  <c r="M97" i="12"/>
  <c r="M129" i="12"/>
  <c r="M72" i="12"/>
  <c r="M104" i="12"/>
  <c r="M136" i="12"/>
  <c r="M25" i="12"/>
  <c r="M38" i="12"/>
  <c r="M67" i="12"/>
  <c r="M107" i="12"/>
  <c r="M58" i="12"/>
  <c r="M98" i="12"/>
  <c r="M44" i="12"/>
  <c r="M32" i="12"/>
  <c r="M60" i="12"/>
  <c r="M42" i="12"/>
  <c r="M127" i="12"/>
  <c r="M102" i="12"/>
  <c r="M39" i="12"/>
  <c r="M59" i="12"/>
  <c r="M106" i="12"/>
  <c r="M20" i="12"/>
  <c r="M85" i="12"/>
  <c r="M117" i="12"/>
  <c r="M68" i="12"/>
  <c r="M100" i="12"/>
  <c r="M140" i="12"/>
  <c r="M37" i="12"/>
  <c r="M55" i="12"/>
  <c r="M95" i="12"/>
  <c r="M143" i="12"/>
  <c r="M126" i="12"/>
  <c r="M31" i="12"/>
  <c r="M73" i="12"/>
  <c r="M105" i="12"/>
  <c r="M137" i="12"/>
  <c r="M80" i="12"/>
  <c r="M112" i="12"/>
  <c r="M144" i="12"/>
  <c r="M33" i="12"/>
  <c r="M18" i="12"/>
  <c r="M75" i="12"/>
  <c r="M115" i="12"/>
  <c r="M66" i="12"/>
  <c r="M114" i="12"/>
  <c r="M51" i="12"/>
  <c r="M40" i="12"/>
  <c r="M132" i="12"/>
  <c r="M21" i="12"/>
  <c r="M62" i="12"/>
  <c r="M118" i="12"/>
  <c r="M36" i="12"/>
  <c r="M130" i="12"/>
  <c r="M61" i="12"/>
  <c r="M93" i="12"/>
  <c r="M125" i="12"/>
  <c r="M76" i="12"/>
  <c r="M108" i="12"/>
  <c r="M46" i="12"/>
  <c r="M34" i="12"/>
  <c r="M63" i="12"/>
  <c r="M111" i="12"/>
  <c r="M70" i="12"/>
  <c r="M134" i="12"/>
  <c r="M28" i="12"/>
  <c r="M99" i="12"/>
  <c r="M12" i="12"/>
  <c r="M87" i="12"/>
  <c r="M81" i="12"/>
  <c r="M113" i="12"/>
  <c r="M56" i="12"/>
  <c r="M88" i="12"/>
  <c r="M120" i="12"/>
  <c r="M50" i="12"/>
  <c r="M41" i="12"/>
  <c r="M17" i="12"/>
  <c r="M83" i="12"/>
  <c r="M123" i="12"/>
  <c r="M82" i="12"/>
  <c r="M122" i="12"/>
  <c r="M27" i="12"/>
  <c r="M19" i="12"/>
  <c r="M53" i="12"/>
  <c r="M71" i="12"/>
  <c r="M78" i="12"/>
  <c r="M142" i="12"/>
  <c r="M24" i="12"/>
  <c r="M131" i="12"/>
  <c r="M52" i="12"/>
  <c r="M69" i="12"/>
  <c r="M101" i="12"/>
  <c r="M133" i="12"/>
  <c r="M84" i="12"/>
  <c r="M116" i="12"/>
  <c r="M45" i="12"/>
  <c r="M22" i="12"/>
  <c r="M79" i="12"/>
  <c r="M119" i="12"/>
  <c r="M94" i="12"/>
  <c r="M48" i="12"/>
  <c r="M16" i="12"/>
  <c r="M57" i="12"/>
  <c r="M89" i="12"/>
  <c r="M121" i="12"/>
  <c r="M64" i="12"/>
  <c r="M96" i="12"/>
  <c r="M128" i="12"/>
  <c r="M49" i="12"/>
  <c r="M30" i="12"/>
  <c r="M13" i="12"/>
  <c r="M91" i="12"/>
  <c r="M139" i="12"/>
  <c r="M90" i="12"/>
  <c r="M138" i="12"/>
  <c r="M35" i="12"/>
  <c r="M15" i="12"/>
  <c r="M26" i="12"/>
  <c r="M103" i="12"/>
  <c r="M86" i="12"/>
  <c r="M54" i="12"/>
  <c r="M74" i="12"/>
  <c r="M43" i="12"/>
  <c r="M77" i="12"/>
  <c r="M109" i="12"/>
  <c r="M141" i="12"/>
  <c r="M92" i="12"/>
  <c r="M124" i="12"/>
  <c r="M29" i="12"/>
  <c r="M14" i="12"/>
  <c r="M135" i="12"/>
  <c r="M110" i="12"/>
  <c r="M47" i="12"/>
  <c r="M23" i="12"/>
  <c r="N12" i="12" l="1"/>
  <c r="N14" i="12"/>
  <c r="N15" i="12"/>
  <c r="N13" i="12"/>
  <c r="N23" i="12"/>
  <c r="N21" i="12"/>
  <c r="N19" i="12"/>
  <c r="N17" i="12"/>
  <c r="N24" i="12"/>
  <c r="N22" i="12"/>
  <c r="N20" i="12"/>
  <c r="N18" i="12"/>
  <c r="N16" i="12"/>
  <c r="N42" i="12"/>
  <c r="N40" i="12"/>
  <c r="N38" i="12"/>
  <c r="N36" i="12"/>
  <c r="N34" i="12"/>
  <c r="N32" i="12"/>
  <c r="N30" i="12"/>
  <c r="N28" i="12"/>
  <c r="N26" i="12"/>
  <c r="N43" i="12"/>
  <c r="N41" i="12"/>
  <c r="N39" i="12"/>
  <c r="N37" i="12"/>
  <c r="N35" i="12"/>
  <c r="N33" i="12"/>
  <c r="N31" i="12"/>
  <c r="N29" i="12"/>
  <c r="N27" i="12"/>
  <c r="N25" i="12"/>
  <c r="N54" i="12"/>
  <c r="N53" i="12"/>
  <c r="N51" i="12"/>
  <c r="N49" i="12"/>
  <c r="N47" i="12"/>
  <c r="N45" i="12"/>
  <c r="N52" i="12"/>
  <c r="N50" i="12"/>
  <c r="N48" i="12"/>
  <c r="N46" i="12"/>
  <c r="N44" i="12"/>
  <c r="N144" i="12"/>
  <c r="N142" i="12"/>
  <c r="N140" i="12"/>
  <c r="N138" i="12"/>
  <c r="N136" i="12"/>
  <c r="N134" i="12"/>
  <c r="N132" i="12"/>
  <c r="N130" i="12"/>
  <c r="N128" i="12"/>
  <c r="N126" i="12"/>
  <c r="N124" i="12"/>
  <c r="N122" i="12"/>
  <c r="N120" i="12"/>
  <c r="N118" i="12"/>
  <c r="N116" i="12"/>
  <c r="N114" i="12"/>
  <c r="N112" i="12"/>
  <c r="N110" i="12"/>
  <c r="N108" i="12"/>
  <c r="N106" i="12"/>
  <c r="N104" i="12"/>
  <c r="N102" i="12"/>
  <c r="N100" i="12"/>
  <c r="N98" i="12"/>
  <c r="N96" i="12"/>
  <c r="N94" i="12"/>
  <c r="N92" i="12"/>
  <c r="N90" i="12"/>
  <c r="N88" i="12"/>
  <c r="N86" i="12"/>
  <c r="N84" i="12"/>
  <c r="N82" i="12"/>
  <c r="N80" i="12"/>
  <c r="N78" i="12"/>
  <c r="N76" i="12"/>
  <c r="N74" i="12"/>
  <c r="N72" i="12"/>
  <c r="N70" i="12"/>
  <c r="N68" i="12"/>
  <c r="N66" i="12"/>
  <c r="N64" i="12"/>
  <c r="N62" i="12"/>
  <c r="N60" i="12"/>
  <c r="N58" i="12"/>
  <c r="N56" i="12"/>
  <c r="N143" i="12"/>
  <c r="N141" i="12"/>
  <c r="N139" i="12"/>
  <c r="N137" i="12"/>
  <c r="N135" i="12"/>
  <c r="N133" i="12"/>
  <c r="N131" i="12"/>
  <c r="N129" i="12"/>
  <c r="N127" i="12"/>
  <c r="N125" i="12"/>
  <c r="N123" i="12"/>
  <c r="N121" i="12"/>
  <c r="N119" i="12"/>
  <c r="N117" i="12"/>
  <c r="N115" i="12"/>
  <c r="N113" i="12"/>
  <c r="N111" i="12"/>
  <c r="N109" i="12"/>
  <c r="N107" i="12"/>
  <c r="N105" i="12"/>
  <c r="N103" i="12"/>
  <c r="N101" i="12"/>
  <c r="N99" i="12"/>
  <c r="N97" i="12"/>
  <c r="N95" i="12"/>
  <c r="N93" i="12"/>
  <c r="N91" i="12"/>
  <c r="N89" i="12"/>
  <c r="N87" i="12"/>
  <c r="N85" i="12"/>
  <c r="N83" i="12"/>
  <c r="N81" i="12"/>
  <c r="N79" i="12"/>
  <c r="N77" i="12"/>
  <c r="N75" i="12"/>
  <c r="N73" i="12"/>
  <c r="N71" i="12"/>
  <c r="N69" i="12"/>
  <c r="N67" i="12"/>
  <c r="N65" i="12"/>
  <c r="N63" i="12"/>
  <c r="N61" i="12"/>
  <c r="N59" i="12"/>
  <c r="N57" i="12"/>
  <c r="N55" i="12"/>
  <c r="P6" i="12"/>
  <c r="V6" i="12" s="1"/>
  <c r="P7" i="12"/>
  <c r="V7" i="12" s="1"/>
  <c r="P8" i="12"/>
  <c r="V8" i="12" s="1"/>
  <c r="P9" i="12"/>
  <c r="V9" i="12" s="1"/>
  <c r="P12" i="12"/>
  <c r="V12" i="12" s="1"/>
  <c r="P16" i="12"/>
  <c r="V16" i="12" s="1"/>
  <c r="P20" i="12"/>
  <c r="V20" i="12" s="1"/>
  <c r="P24" i="12"/>
  <c r="V24" i="12" s="1"/>
  <c r="P28" i="12"/>
  <c r="V28" i="12" s="1"/>
  <c r="P32" i="12"/>
  <c r="V32" i="12" s="1"/>
  <c r="P36" i="12"/>
  <c r="V36" i="12" s="1"/>
  <c r="P40" i="12"/>
  <c r="V40" i="12" s="1"/>
  <c r="P44" i="12"/>
  <c r="V44" i="12" s="1"/>
  <c r="P48" i="12"/>
  <c r="V48" i="12" s="1"/>
  <c r="P52" i="12"/>
  <c r="V52" i="12" s="1"/>
  <c r="P56" i="12"/>
  <c r="V56" i="12" s="1"/>
  <c r="P60" i="12"/>
  <c r="V60" i="12" s="1"/>
  <c r="P64" i="12"/>
  <c r="V64" i="12" s="1"/>
  <c r="P68" i="12"/>
  <c r="V68" i="12" s="1"/>
  <c r="P72" i="12"/>
  <c r="V72" i="12" s="1"/>
  <c r="P76" i="12"/>
  <c r="V76" i="12" s="1"/>
  <c r="P80" i="12"/>
  <c r="V80" i="12" s="1"/>
  <c r="P84" i="12"/>
  <c r="V84" i="12" s="1"/>
  <c r="P88" i="12"/>
  <c r="V88" i="12" s="1"/>
  <c r="P92" i="12"/>
  <c r="V92" i="12" s="1"/>
  <c r="P96" i="12"/>
  <c r="V96" i="12" s="1"/>
  <c r="P100" i="12"/>
  <c r="V100" i="12" s="1"/>
  <c r="P104" i="12"/>
  <c r="V104" i="12" s="1"/>
  <c r="P108" i="12"/>
  <c r="V108" i="12" s="1"/>
  <c r="P112" i="12"/>
  <c r="V112" i="12" s="1"/>
  <c r="P116" i="12"/>
  <c r="V116" i="12" s="1"/>
  <c r="P120" i="12"/>
  <c r="V120" i="12" s="1"/>
  <c r="P124" i="12"/>
  <c r="V124" i="12" s="1"/>
  <c r="P128" i="12"/>
  <c r="V128" i="12" s="1"/>
  <c r="P132" i="12"/>
  <c r="V132" i="12" s="1"/>
  <c r="P136" i="12"/>
  <c r="V136" i="12" s="1"/>
  <c r="P140" i="12"/>
  <c r="V140" i="12" s="1"/>
  <c r="P144" i="12"/>
  <c r="V144" i="12" s="1"/>
  <c r="P5" i="12"/>
  <c r="V5" i="12" s="1"/>
  <c r="J11" i="12"/>
  <c r="P11" i="12" s="1"/>
  <c r="V11" i="12" s="1"/>
  <c r="J12" i="12"/>
  <c r="J13" i="12"/>
  <c r="P13" i="12" s="1"/>
  <c r="V13" i="12" s="1"/>
  <c r="J14" i="12"/>
  <c r="P14" i="12" s="1"/>
  <c r="V14" i="12" s="1"/>
  <c r="J15" i="12"/>
  <c r="P15" i="12" s="1"/>
  <c r="V15" i="12" s="1"/>
  <c r="J16" i="12"/>
  <c r="J17" i="12"/>
  <c r="P17" i="12" s="1"/>
  <c r="V17" i="12" s="1"/>
  <c r="J18" i="12"/>
  <c r="P18" i="12" s="1"/>
  <c r="V18" i="12" s="1"/>
  <c r="J19" i="12"/>
  <c r="P19" i="12" s="1"/>
  <c r="V19" i="12" s="1"/>
  <c r="J20" i="12"/>
  <c r="J21" i="12"/>
  <c r="P21" i="12" s="1"/>
  <c r="V21" i="12" s="1"/>
  <c r="J22" i="12"/>
  <c r="P22" i="12" s="1"/>
  <c r="V22" i="12" s="1"/>
  <c r="J23" i="12"/>
  <c r="P23" i="12" s="1"/>
  <c r="V23" i="12" s="1"/>
  <c r="J24" i="12"/>
  <c r="J25" i="12"/>
  <c r="P25" i="12" s="1"/>
  <c r="V25" i="12" s="1"/>
  <c r="J26" i="12"/>
  <c r="P26" i="12" s="1"/>
  <c r="V26" i="12" s="1"/>
  <c r="J27" i="12"/>
  <c r="P27" i="12" s="1"/>
  <c r="V27" i="12" s="1"/>
  <c r="J28" i="12"/>
  <c r="J29" i="12"/>
  <c r="P29" i="12" s="1"/>
  <c r="V29" i="12" s="1"/>
  <c r="J30" i="12"/>
  <c r="P30" i="12" s="1"/>
  <c r="V30" i="12" s="1"/>
  <c r="J31" i="12"/>
  <c r="P31" i="12" s="1"/>
  <c r="V31" i="12" s="1"/>
  <c r="J32" i="12"/>
  <c r="J33" i="12"/>
  <c r="P33" i="12" s="1"/>
  <c r="V33" i="12" s="1"/>
  <c r="J34" i="12"/>
  <c r="P34" i="12" s="1"/>
  <c r="V34" i="12" s="1"/>
  <c r="J35" i="12"/>
  <c r="P35" i="12" s="1"/>
  <c r="V35" i="12" s="1"/>
  <c r="J36" i="12"/>
  <c r="J37" i="12"/>
  <c r="P37" i="12" s="1"/>
  <c r="V37" i="12" s="1"/>
  <c r="J38" i="12"/>
  <c r="P38" i="12" s="1"/>
  <c r="V38" i="12" s="1"/>
  <c r="J39" i="12"/>
  <c r="P39" i="12" s="1"/>
  <c r="V39" i="12" s="1"/>
  <c r="J40" i="12"/>
  <c r="J41" i="12"/>
  <c r="P41" i="12" s="1"/>
  <c r="V41" i="12" s="1"/>
  <c r="J42" i="12"/>
  <c r="P42" i="12" s="1"/>
  <c r="V42" i="12" s="1"/>
  <c r="J43" i="12"/>
  <c r="P43" i="12" s="1"/>
  <c r="V43" i="12" s="1"/>
  <c r="J44" i="12"/>
  <c r="J45" i="12"/>
  <c r="P45" i="12" s="1"/>
  <c r="V45" i="12" s="1"/>
  <c r="J46" i="12"/>
  <c r="P46" i="12" s="1"/>
  <c r="V46" i="12" s="1"/>
  <c r="J47" i="12"/>
  <c r="P47" i="12" s="1"/>
  <c r="V47" i="12" s="1"/>
  <c r="J48" i="12"/>
  <c r="J49" i="12"/>
  <c r="P49" i="12" s="1"/>
  <c r="V49" i="12" s="1"/>
  <c r="J50" i="12"/>
  <c r="P50" i="12" s="1"/>
  <c r="V50" i="12" s="1"/>
  <c r="J51" i="12"/>
  <c r="P51" i="12" s="1"/>
  <c r="V51" i="12" s="1"/>
  <c r="J52" i="12"/>
  <c r="J53" i="12"/>
  <c r="P53" i="12" s="1"/>
  <c r="V53" i="12" s="1"/>
  <c r="J54" i="12"/>
  <c r="P54" i="12" s="1"/>
  <c r="V54" i="12" s="1"/>
  <c r="J55" i="12"/>
  <c r="P55" i="12" s="1"/>
  <c r="V55" i="12" s="1"/>
  <c r="J56" i="12"/>
  <c r="J57" i="12"/>
  <c r="P57" i="12" s="1"/>
  <c r="V57" i="12" s="1"/>
  <c r="J58" i="12"/>
  <c r="P58" i="12" s="1"/>
  <c r="V58" i="12" s="1"/>
  <c r="J59" i="12"/>
  <c r="P59" i="12" s="1"/>
  <c r="V59" i="12" s="1"/>
  <c r="J60" i="12"/>
  <c r="J61" i="12"/>
  <c r="P61" i="12" s="1"/>
  <c r="V61" i="12" s="1"/>
  <c r="J62" i="12"/>
  <c r="P62" i="12" s="1"/>
  <c r="V62" i="12" s="1"/>
  <c r="J63" i="12"/>
  <c r="P63" i="12" s="1"/>
  <c r="V63" i="12" s="1"/>
  <c r="J64" i="12"/>
  <c r="J65" i="12"/>
  <c r="P65" i="12" s="1"/>
  <c r="V65" i="12" s="1"/>
  <c r="J66" i="12"/>
  <c r="P66" i="12" s="1"/>
  <c r="V66" i="12" s="1"/>
  <c r="J67" i="12"/>
  <c r="P67" i="12" s="1"/>
  <c r="V67" i="12" s="1"/>
  <c r="J68" i="12"/>
  <c r="J69" i="12"/>
  <c r="P69" i="12" s="1"/>
  <c r="V69" i="12" s="1"/>
  <c r="J70" i="12"/>
  <c r="P70" i="12" s="1"/>
  <c r="V70" i="12" s="1"/>
  <c r="J71" i="12"/>
  <c r="P71" i="12" s="1"/>
  <c r="V71" i="12" s="1"/>
  <c r="J72" i="12"/>
  <c r="J73" i="12"/>
  <c r="P73" i="12" s="1"/>
  <c r="V73" i="12" s="1"/>
  <c r="J74" i="12"/>
  <c r="P74" i="12" s="1"/>
  <c r="V74" i="12" s="1"/>
  <c r="J75" i="12"/>
  <c r="P75" i="12" s="1"/>
  <c r="V75" i="12" s="1"/>
  <c r="J76" i="12"/>
  <c r="J77" i="12"/>
  <c r="P77" i="12" s="1"/>
  <c r="V77" i="12" s="1"/>
  <c r="J78" i="12"/>
  <c r="P78" i="12" s="1"/>
  <c r="V78" i="12" s="1"/>
  <c r="J79" i="12"/>
  <c r="P79" i="12" s="1"/>
  <c r="V79" i="12" s="1"/>
  <c r="J80" i="12"/>
  <c r="J81" i="12"/>
  <c r="P81" i="12" s="1"/>
  <c r="V81" i="12" s="1"/>
  <c r="J82" i="12"/>
  <c r="P82" i="12" s="1"/>
  <c r="V82" i="12" s="1"/>
  <c r="J83" i="12"/>
  <c r="P83" i="12" s="1"/>
  <c r="V83" i="12" s="1"/>
  <c r="J84" i="12"/>
  <c r="J85" i="12"/>
  <c r="P85" i="12" s="1"/>
  <c r="V85" i="12" s="1"/>
  <c r="J86" i="12"/>
  <c r="P86" i="12" s="1"/>
  <c r="V86" i="12" s="1"/>
  <c r="J87" i="12"/>
  <c r="P87" i="12" s="1"/>
  <c r="V87" i="12" s="1"/>
  <c r="J88" i="12"/>
  <c r="J89" i="12"/>
  <c r="P89" i="12" s="1"/>
  <c r="V89" i="12" s="1"/>
  <c r="J90" i="12"/>
  <c r="P90" i="12" s="1"/>
  <c r="V90" i="12" s="1"/>
  <c r="J91" i="12"/>
  <c r="P91" i="12" s="1"/>
  <c r="V91" i="12" s="1"/>
  <c r="J92" i="12"/>
  <c r="J93" i="12"/>
  <c r="P93" i="12" s="1"/>
  <c r="V93" i="12" s="1"/>
  <c r="J94" i="12"/>
  <c r="P94" i="12" s="1"/>
  <c r="V94" i="12" s="1"/>
  <c r="J95" i="12"/>
  <c r="P95" i="12" s="1"/>
  <c r="V95" i="12" s="1"/>
  <c r="J96" i="12"/>
  <c r="J97" i="12"/>
  <c r="P97" i="12" s="1"/>
  <c r="V97" i="12" s="1"/>
  <c r="J98" i="12"/>
  <c r="P98" i="12" s="1"/>
  <c r="V98" i="12" s="1"/>
  <c r="J99" i="12"/>
  <c r="P99" i="12" s="1"/>
  <c r="V99" i="12" s="1"/>
  <c r="J100" i="12"/>
  <c r="J101" i="12"/>
  <c r="P101" i="12" s="1"/>
  <c r="V101" i="12" s="1"/>
  <c r="J102" i="12"/>
  <c r="P102" i="12" s="1"/>
  <c r="V102" i="12" s="1"/>
  <c r="J103" i="12"/>
  <c r="P103" i="12" s="1"/>
  <c r="V103" i="12" s="1"/>
  <c r="J104" i="12"/>
  <c r="J105" i="12"/>
  <c r="P105" i="12" s="1"/>
  <c r="V105" i="12" s="1"/>
  <c r="J106" i="12"/>
  <c r="P106" i="12" s="1"/>
  <c r="V106" i="12" s="1"/>
  <c r="J107" i="12"/>
  <c r="P107" i="12" s="1"/>
  <c r="V107" i="12" s="1"/>
  <c r="J108" i="12"/>
  <c r="J109" i="12"/>
  <c r="P109" i="12" s="1"/>
  <c r="V109" i="12" s="1"/>
  <c r="J110" i="12"/>
  <c r="P110" i="12" s="1"/>
  <c r="V110" i="12" s="1"/>
  <c r="J111" i="12"/>
  <c r="P111" i="12" s="1"/>
  <c r="V111" i="12" s="1"/>
  <c r="J112" i="12"/>
  <c r="J113" i="12"/>
  <c r="P113" i="12" s="1"/>
  <c r="V113" i="12" s="1"/>
  <c r="J114" i="12"/>
  <c r="P114" i="12" s="1"/>
  <c r="V114" i="12" s="1"/>
  <c r="J115" i="12"/>
  <c r="P115" i="12" s="1"/>
  <c r="V115" i="12" s="1"/>
  <c r="J116" i="12"/>
  <c r="J117" i="12"/>
  <c r="P117" i="12" s="1"/>
  <c r="V117" i="12" s="1"/>
  <c r="J118" i="12"/>
  <c r="P118" i="12" s="1"/>
  <c r="V118" i="12" s="1"/>
  <c r="J119" i="12"/>
  <c r="P119" i="12" s="1"/>
  <c r="V119" i="12" s="1"/>
  <c r="J120" i="12"/>
  <c r="J121" i="12"/>
  <c r="P121" i="12" s="1"/>
  <c r="V121" i="12" s="1"/>
  <c r="J122" i="12"/>
  <c r="P122" i="12" s="1"/>
  <c r="V122" i="12" s="1"/>
  <c r="J123" i="12"/>
  <c r="P123" i="12" s="1"/>
  <c r="V123" i="12" s="1"/>
  <c r="J124" i="12"/>
  <c r="J125" i="12"/>
  <c r="P125" i="12" s="1"/>
  <c r="V125" i="12" s="1"/>
  <c r="J126" i="12"/>
  <c r="P126" i="12" s="1"/>
  <c r="V126" i="12" s="1"/>
  <c r="J127" i="12"/>
  <c r="P127" i="12" s="1"/>
  <c r="V127" i="12" s="1"/>
  <c r="J128" i="12"/>
  <c r="J129" i="12"/>
  <c r="P129" i="12" s="1"/>
  <c r="V129" i="12" s="1"/>
  <c r="J130" i="12"/>
  <c r="P130" i="12" s="1"/>
  <c r="V130" i="12" s="1"/>
  <c r="J131" i="12"/>
  <c r="P131" i="12" s="1"/>
  <c r="V131" i="12" s="1"/>
  <c r="J132" i="12"/>
  <c r="J133" i="12"/>
  <c r="P133" i="12" s="1"/>
  <c r="V133" i="12" s="1"/>
  <c r="J134" i="12"/>
  <c r="P134" i="12" s="1"/>
  <c r="V134" i="12" s="1"/>
  <c r="J135" i="12"/>
  <c r="P135" i="12" s="1"/>
  <c r="V135" i="12" s="1"/>
  <c r="J136" i="12"/>
  <c r="J137" i="12"/>
  <c r="P137" i="12" s="1"/>
  <c r="V137" i="12" s="1"/>
  <c r="J138" i="12"/>
  <c r="P138" i="12" s="1"/>
  <c r="V138" i="12" s="1"/>
  <c r="J139" i="12"/>
  <c r="P139" i="12" s="1"/>
  <c r="V139" i="12" s="1"/>
  <c r="J140" i="12"/>
  <c r="J141" i="12"/>
  <c r="P141" i="12" s="1"/>
  <c r="V141" i="12" s="1"/>
  <c r="J142" i="12"/>
  <c r="P142" i="12" s="1"/>
  <c r="V142" i="12" s="1"/>
  <c r="J143" i="12"/>
  <c r="P143" i="12" s="1"/>
  <c r="V143" i="12" s="1"/>
  <c r="J144" i="12"/>
  <c r="J10" i="12"/>
  <c r="P10" i="12" s="1"/>
  <c r="V10" i="12" s="1"/>
  <c r="C17" i="7"/>
  <c r="C21" i="7"/>
  <c r="C29" i="7"/>
  <c r="C33" i="7"/>
  <c r="C37" i="7"/>
  <c r="C45" i="7"/>
  <c r="C49" i="7"/>
  <c r="C53" i="7"/>
  <c r="C61" i="7"/>
  <c r="C65" i="7"/>
  <c r="C69" i="7"/>
  <c r="C77" i="7"/>
  <c r="C81" i="7"/>
  <c r="C85" i="7"/>
  <c r="C93" i="7"/>
  <c r="C97" i="7"/>
  <c r="C101" i="7"/>
  <c r="C109" i="7"/>
  <c r="C113" i="7"/>
  <c r="C117" i="7"/>
  <c r="C125" i="7"/>
  <c r="C129" i="7"/>
  <c r="C133" i="7"/>
  <c r="C141" i="7"/>
  <c r="C6" i="7"/>
  <c r="C10" i="7"/>
  <c r="C2" i="7"/>
  <c r="B14" i="7"/>
  <c r="C14" i="7" s="1"/>
  <c r="B15" i="7"/>
  <c r="C15" i="7" s="1"/>
  <c r="B16" i="7"/>
  <c r="C16" i="7" s="1"/>
  <c r="B17" i="7"/>
  <c r="B18" i="7"/>
  <c r="C18" i="7" s="1"/>
  <c r="B19" i="7"/>
  <c r="C19" i="7" s="1"/>
  <c r="B20" i="7"/>
  <c r="C20" i="7" s="1"/>
  <c r="B21" i="7"/>
  <c r="B22" i="7"/>
  <c r="C22" i="7" s="1"/>
  <c r="B23" i="7"/>
  <c r="C23" i="7" s="1"/>
  <c r="B24" i="7"/>
  <c r="C24" i="7" s="1"/>
  <c r="B25" i="7"/>
  <c r="C25" i="7" s="1"/>
  <c r="B26" i="7"/>
  <c r="C26" i="7" s="1"/>
  <c r="B27" i="7"/>
  <c r="C27" i="7" s="1"/>
  <c r="B28" i="7"/>
  <c r="C28" i="7" s="1"/>
  <c r="B29" i="7"/>
  <c r="B30" i="7"/>
  <c r="C30" i="7" s="1"/>
  <c r="B31" i="7"/>
  <c r="C31" i="7" s="1"/>
  <c r="B32" i="7"/>
  <c r="C32" i="7" s="1"/>
  <c r="B33" i="7"/>
  <c r="B34" i="7"/>
  <c r="C34" i="7" s="1"/>
  <c r="B35" i="7"/>
  <c r="C35" i="7" s="1"/>
  <c r="B36" i="7"/>
  <c r="C36" i="7" s="1"/>
  <c r="B37" i="7"/>
  <c r="B38" i="7"/>
  <c r="C38" i="7" s="1"/>
  <c r="B39" i="7"/>
  <c r="C39" i="7" s="1"/>
  <c r="B40" i="7"/>
  <c r="C40" i="7" s="1"/>
  <c r="B41" i="7"/>
  <c r="C41" i="7" s="1"/>
  <c r="B42" i="7"/>
  <c r="C42" i="7" s="1"/>
  <c r="B43" i="7"/>
  <c r="C43" i="7" s="1"/>
  <c r="B44" i="7"/>
  <c r="C44" i="7" s="1"/>
  <c r="B45" i="7"/>
  <c r="B46" i="7"/>
  <c r="C46" i="7" s="1"/>
  <c r="B47" i="7"/>
  <c r="C47" i="7" s="1"/>
  <c r="B48" i="7"/>
  <c r="C48" i="7" s="1"/>
  <c r="B49" i="7"/>
  <c r="B50" i="7"/>
  <c r="C50" i="7" s="1"/>
  <c r="B51" i="7"/>
  <c r="C51" i="7" s="1"/>
  <c r="B52" i="7"/>
  <c r="C52" i="7" s="1"/>
  <c r="B53" i="7"/>
  <c r="B54" i="7"/>
  <c r="C54" i="7" s="1"/>
  <c r="B55" i="7"/>
  <c r="C55" i="7" s="1"/>
  <c r="B56" i="7"/>
  <c r="C56" i="7" s="1"/>
  <c r="B57" i="7"/>
  <c r="C57" i="7" s="1"/>
  <c r="B58" i="7"/>
  <c r="C58" i="7" s="1"/>
  <c r="B59" i="7"/>
  <c r="C59" i="7" s="1"/>
  <c r="B60" i="7"/>
  <c r="C60" i="7" s="1"/>
  <c r="B61" i="7"/>
  <c r="B62" i="7"/>
  <c r="C62" i="7" s="1"/>
  <c r="B63" i="7"/>
  <c r="C63" i="7" s="1"/>
  <c r="B64" i="7"/>
  <c r="C64" i="7" s="1"/>
  <c r="B65" i="7"/>
  <c r="B66" i="7"/>
  <c r="C66" i="7" s="1"/>
  <c r="B67" i="7"/>
  <c r="C67" i="7" s="1"/>
  <c r="B68" i="7"/>
  <c r="C68" i="7" s="1"/>
  <c r="B69" i="7"/>
  <c r="B70" i="7"/>
  <c r="C70" i="7" s="1"/>
  <c r="B71" i="7"/>
  <c r="C71" i="7" s="1"/>
  <c r="B72" i="7"/>
  <c r="C72" i="7" s="1"/>
  <c r="B73" i="7"/>
  <c r="C73" i="7" s="1"/>
  <c r="B74" i="7"/>
  <c r="C74" i="7" s="1"/>
  <c r="B75" i="7"/>
  <c r="C75" i="7" s="1"/>
  <c r="B76" i="7"/>
  <c r="C76" i="7" s="1"/>
  <c r="B77" i="7"/>
  <c r="B78" i="7"/>
  <c r="C78" i="7" s="1"/>
  <c r="B79" i="7"/>
  <c r="C79" i="7" s="1"/>
  <c r="B80" i="7"/>
  <c r="C80" i="7" s="1"/>
  <c r="B81" i="7"/>
  <c r="B82" i="7"/>
  <c r="C82" i="7" s="1"/>
  <c r="B83" i="7"/>
  <c r="C83" i="7" s="1"/>
  <c r="B84" i="7"/>
  <c r="C84" i="7" s="1"/>
  <c r="B85" i="7"/>
  <c r="B86" i="7"/>
  <c r="C86" i="7" s="1"/>
  <c r="B87" i="7"/>
  <c r="C87" i="7" s="1"/>
  <c r="B88" i="7"/>
  <c r="C88" i="7" s="1"/>
  <c r="B89" i="7"/>
  <c r="C89" i="7" s="1"/>
  <c r="B90" i="7"/>
  <c r="C90" i="7" s="1"/>
  <c r="B91" i="7"/>
  <c r="C91" i="7" s="1"/>
  <c r="B92" i="7"/>
  <c r="C92" i="7" s="1"/>
  <c r="B93" i="7"/>
  <c r="B94" i="7"/>
  <c r="C94" i="7" s="1"/>
  <c r="B95" i="7"/>
  <c r="C95" i="7" s="1"/>
  <c r="B96" i="7"/>
  <c r="C96" i="7" s="1"/>
  <c r="B97" i="7"/>
  <c r="B98" i="7"/>
  <c r="C98" i="7" s="1"/>
  <c r="B99" i="7"/>
  <c r="C99" i="7" s="1"/>
  <c r="B100" i="7"/>
  <c r="C100" i="7" s="1"/>
  <c r="B101" i="7"/>
  <c r="B102" i="7"/>
  <c r="C102" i="7" s="1"/>
  <c r="B103" i="7"/>
  <c r="C103" i="7" s="1"/>
  <c r="B104" i="7"/>
  <c r="C104" i="7" s="1"/>
  <c r="B105" i="7"/>
  <c r="C105" i="7" s="1"/>
  <c r="B106" i="7"/>
  <c r="C106" i="7" s="1"/>
  <c r="B107" i="7"/>
  <c r="C107" i="7" s="1"/>
  <c r="B108" i="7"/>
  <c r="C108" i="7" s="1"/>
  <c r="B109" i="7"/>
  <c r="B110" i="7"/>
  <c r="C110" i="7" s="1"/>
  <c r="B111" i="7"/>
  <c r="C111" i="7" s="1"/>
  <c r="B112" i="7"/>
  <c r="C112" i="7" s="1"/>
  <c r="B113" i="7"/>
  <c r="B114" i="7"/>
  <c r="C114" i="7" s="1"/>
  <c r="B115" i="7"/>
  <c r="C115" i="7" s="1"/>
  <c r="B116" i="7"/>
  <c r="C116" i="7" s="1"/>
  <c r="B117" i="7"/>
  <c r="B118" i="7"/>
  <c r="C118" i="7" s="1"/>
  <c r="B119" i="7"/>
  <c r="C119" i="7" s="1"/>
  <c r="B120" i="7"/>
  <c r="C120" i="7" s="1"/>
  <c r="B121" i="7"/>
  <c r="C121" i="7" s="1"/>
  <c r="B122" i="7"/>
  <c r="C122" i="7" s="1"/>
  <c r="B123" i="7"/>
  <c r="C123" i="7" s="1"/>
  <c r="B124" i="7"/>
  <c r="C124" i="7" s="1"/>
  <c r="B125" i="7"/>
  <c r="B126" i="7"/>
  <c r="C126" i="7" s="1"/>
  <c r="B127" i="7"/>
  <c r="C127" i="7" s="1"/>
  <c r="B128" i="7"/>
  <c r="C128" i="7" s="1"/>
  <c r="B129" i="7"/>
  <c r="B130" i="7"/>
  <c r="C130" i="7" s="1"/>
  <c r="B131" i="7"/>
  <c r="C131" i="7" s="1"/>
  <c r="B132" i="7"/>
  <c r="C132" i="7" s="1"/>
  <c r="B133" i="7"/>
  <c r="B134" i="7"/>
  <c r="C134" i="7" s="1"/>
  <c r="B135" i="7"/>
  <c r="C135" i="7" s="1"/>
  <c r="B136" i="7"/>
  <c r="C136" i="7" s="1"/>
  <c r="B137" i="7"/>
  <c r="C137" i="7" s="1"/>
  <c r="B138" i="7"/>
  <c r="C138" i="7" s="1"/>
  <c r="B139" i="7"/>
  <c r="C139" i="7" s="1"/>
  <c r="B140" i="7"/>
  <c r="C140" i="7" s="1"/>
  <c r="B141" i="7"/>
  <c r="A3" i="7"/>
  <c r="B3" i="7"/>
  <c r="C3" i="7" s="1"/>
  <c r="A4" i="7"/>
  <c r="B4" i="7"/>
  <c r="C4" i="7" s="1"/>
  <c r="A5" i="7"/>
  <c r="B5" i="7"/>
  <c r="C5" i="7" s="1"/>
  <c r="A6" i="7"/>
  <c r="B6" i="7"/>
  <c r="B7" i="7"/>
  <c r="C7" i="7" s="1"/>
  <c r="B8" i="7"/>
  <c r="C8" i="7" s="1"/>
  <c r="B9" i="7"/>
  <c r="C9" i="7" s="1"/>
  <c r="B10" i="7"/>
  <c r="B11" i="7"/>
  <c r="C11" i="7" s="1"/>
  <c r="B12" i="7"/>
  <c r="C12" i="7" s="1"/>
  <c r="B13" i="7"/>
  <c r="C13" i="7" s="1"/>
  <c r="B2" i="7"/>
  <c r="A2" i="7"/>
  <c r="AG5" i="12"/>
  <c r="AA5" i="12"/>
  <c r="AL5" i="12"/>
  <c r="O6" i="12" l="1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114" i="12"/>
  <c r="O115" i="12"/>
  <c r="O116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5" i="12"/>
  <c r="I6" i="12"/>
  <c r="U6" i="12" s="1"/>
  <c r="AA6" i="12" s="1"/>
  <c r="AG6" i="12" s="1"/>
  <c r="AL6" i="12" s="1"/>
  <c r="I7" i="12"/>
  <c r="U7" i="12" s="1"/>
  <c r="AA7" i="12" s="1"/>
  <c r="AG7" i="12" s="1"/>
  <c r="AL7" i="12" s="1"/>
  <c r="I8" i="12"/>
  <c r="U8" i="12" s="1"/>
  <c r="AA8" i="12" s="1"/>
  <c r="AG8" i="12" s="1"/>
  <c r="AL8" i="12" s="1"/>
  <c r="I9" i="12"/>
  <c r="U9" i="12" s="1"/>
  <c r="AA9" i="12" s="1"/>
  <c r="AG9" i="12" s="1"/>
  <c r="AL9" i="12" s="1"/>
  <c r="I10" i="12"/>
  <c r="U10" i="12" s="1"/>
  <c r="AA10" i="12" s="1"/>
  <c r="AG10" i="12" s="1"/>
  <c r="AL10" i="12" s="1"/>
  <c r="I11" i="12"/>
  <c r="U11" i="12" s="1"/>
  <c r="AA11" i="12" s="1"/>
  <c r="AG11" i="12" s="1"/>
  <c r="AL11" i="12" s="1"/>
  <c r="I12" i="12"/>
  <c r="U12" i="12" s="1"/>
  <c r="AA12" i="12" s="1"/>
  <c r="AG12" i="12" s="1"/>
  <c r="AL12" i="12" s="1"/>
  <c r="I13" i="12"/>
  <c r="U13" i="12" s="1"/>
  <c r="AA13" i="12" s="1"/>
  <c r="AG13" i="12" s="1"/>
  <c r="AL13" i="12" s="1"/>
  <c r="I14" i="12"/>
  <c r="U14" i="12" s="1"/>
  <c r="AA14" i="12" s="1"/>
  <c r="AG14" i="12" s="1"/>
  <c r="AL14" i="12" s="1"/>
  <c r="I15" i="12"/>
  <c r="U15" i="12" s="1"/>
  <c r="AA15" i="12" s="1"/>
  <c r="AG15" i="12" s="1"/>
  <c r="AL15" i="12" s="1"/>
  <c r="I16" i="12"/>
  <c r="U16" i="12" s="1"/>
  <c r="AA16" i="12" s="1"/>
  <c r="AG16" i="12" s="1"/>
  <c r="AL16" i="12" s="1"/>
  <c r="I17" i="12"/>
  <c r="U17" i="12" s="1"/>
  <c r="AA17" i="12" s="1"/>
  <c r="AG17" i="12" s="1"/>
  <c r="AL17" i="12" s="1"/>
  <c r="I18" i="12"/>
  <c r="U18" i="12" s="1"/>
  <c r="AA18" i="12" s="1"/>
  <c r="AG18" i="12" s="1"/>
  <c r="AL18" i="12" s="1"/>
  <c r="I19" i="12"/>
  <c r="U19" i="12" s="1"/>
  <c r="AA19" i="12" s="1"/>
  <c r="AG19" i="12" s="1"/>
  <c r="AL19" i="12" s="1"/>
  <c r="I20" i="12"/>
  <c r="U20" i="12" s="1"/>
  <c r="AA20" i="12" s="1"/>
  <c r="AG20" i="12" s="1"/>
  <c r="AL20" i="12" s="1"/>
  <c r="I21" i="12"/>
  <c r="U21" i="12" s="1"/>
  <c r="AA21" i="12" s="1"/>
  <c r="AG21" i="12" s="1"/>
  <c r="AL21" i="12" s="1"/>
  <c r="I22" i="12"/>
  <c r="U22" i="12" s="1"/>
  <c r="AA22" i="12" s="1"/>
  <c r="AG22" i="12" s="1"/>
  <c r="AL22" i="12" s="1"/>
  <c r="I23" i="12"/>
  <c r="U23" i="12" s="1"/>
  <c r="AA23" i="12" s="1"/>
  <c r="AG23" i="12" s="1"/>
  <c r="AL23" i="12" s="1"/>
  <c r="I24" i="12"/>
  <c r="U24" i="12" s="1"/>
  <c r="AA24" i="12" s="1"/>
  <c r="AG24" i="12" s="1"/>
  <c r="AL24" i="12" s="1"/>
  <c r="I25" i="12"/>
  <c r="U25" i="12" s="1"/>
  <c r="AA25" i="12" s="1"/>
  <c r="AG25" i="12" s="1"/>
  <c r="AL25" i="12" s="1"/>
  <c r="I26" i="12"/>
  <c r="U26" i="12" s="1"/>
  <c r="AA26" i="12" s="1"/>
  <c r="AG26" i="12" s="1"/>
  <c r="AL26" i="12" s="1"/>
  <c r="I27" i="12"/>
  <c r="U27" i="12" s="1"/>
  <c r="AA27" i="12" s="1"/>
  <c r="AG27" i="12" s="1"/>
  <c r="AL27" i="12" s="1"/>
  <c r="I28" i="12"/>
  <c r="U28" i="12" s="1"/>
  <c r="AA28" i="12" s="1"/>
  <c r="AG28" i="12" s="1"/>
  <c r="AL28" i="12" s="1"/>
  <c r="I29" i="12"/>
  <c r="U29" i="12" s="1"/>
  <c r="AA29" i="12" s="1"/>
  <c r="AG29" i="12" s="1"/>
  <c r="AL29" i="12" s="1"/>
  <c r="I30" i="12"/>
  <c r="U30" i="12" s="1"/>
  <c r="AA30" i="12" s="1"/>
  <c r="AG30" i="12" s="1"/>
  <c r="AL30" i="12" s="1"/>
  <c r="I31" i="12"/>
  <c r="U31" i="12" s="1"/>
  <c r="AA31" i="12" s="1"/>
  <c r="AG31" i="12" s="1"/>
  <c r="AL31" i="12" s="1"/>
  <c r="I32" i="12"/>
  <c r="U32" i="12" s="1"/>
  <c r="AA32" i="12" s="1"/>
  <c r="AG32" i="12" s="1"/>
  <c r="AL32" i="12" s="1"/>
  <c r="I33" i="12"/>
  <c r="U33" i="12" s="1"/>
  <c r="AA33" i="12" s="1"/>
  <c r="AG33" i="12" s="1"/>
  <c r="AL33" i="12" s="1"/>
  <c r="I34" i="12"/>
  <c r="U34" i="12" s="1"/>
  <c r="AA34" i="12" s="1"/>
  <c r="AG34" i="12" s="1"/>
  <c r="AL34" i="12" s="1"/>
  <c r="I35" i="12"/>
  <c r="U35" i="12" s="1"/>
  <c r="AA35" i="12" s="1"/>
  <c r="AG35" i="12" s="1"/>
  <c r="AL35" i="12" s="1"/>
  <c r="I36" i="12"/>
  <c r="U36" i="12" s="1"/>
  <c r="AA36" i="12" s="1"/>
  <c r="AG36" i="12" s="1"/>
  <c r="AL36" i="12" s="1"/>
  <c r="I37" i="12"/>
  <c r="U37" i="12" s="1"/>
  <c r="AA37" i="12" s="1"/>
  <c r="AG37" i="12" s="1"/>
  <c r="AL37" i="12" s="1"/>
  <c r="I38" i="12"/>
  <c r="U38" i="12" s="1"/>
  <c r="AA38" i="12" s="1"/>
  <c r="AG38" i="12" s="1"/>
  <c r="AL38" i="12" s="1"/>
  <c r="I39" i="12"/>
  <c r="U39" i="12" s="1"/>
  <c r="AA39" i="12" s="1"/>
  <c r="AG39" i="12" s="1"/>
  <c r="AL39" i="12" s="1"/>
  <c r="I40" i="12"/>
  <c r="U40" i="12" s="1"/>
  <c r="AA40" i="12" s="1"/>
  <c r="AG40" i="12" s="1"/>
  <c r="AL40" i="12" s="1"/>
  <c r="I41" i="12"/>
  <c r="U41" i="12" s="1"/>
  <c r="AA41" i="12" s="1"/>
  <c r="AG41" i="12" s="1"/>
  <c r="AL41" i="12" s="1"/>
  <c r="I42" i="12"/>
  <c r="U42" i="12" s="1"/>
  <c r="AA42" i="12" s="1"/>
  <c r="AG42" i="12" s="1"/>
  <c r="AL42" i="12" s="1"/>
  <c r="I43" i="12"/>
  <c r="U43" i="12" s="1"/>
  <c r="AA43" i="12" s="1"/>
  <c r="AG43" i="12" s="1"/>
  <c r="AL43" i="12" s="1"/>
  <c r="I44" i="12"/>
  <c r="U44" i="12" s="1"/>
  <c r="AA44" i="12" s="1"/>
  <c r="AG44" i="12" s="1"/>
  <c r="AL44" i="12" s="1"/>
  <c r="I45" i="12"/>
  <c r="U45" i="12" s="1"/>
  <c r="AA45" i="12" s="1"/>
  <c r="AG45" i="12" s="1"/>
  <c r="AL45" i="12" s="1"/>
  <c r="I46" i="12"/>
  <c r="U46" i="12" s="1"/>
  <c r="AA46" i="12" s="1"/>
  <c r="AG46" i="12" s="1"/>
  <c r="AL46" i="12" s="1"/>
  <c r="I47" i="12"/>
  <c r="U47" i="12" s="1"/>
  <c r="AA47" i="12" s="1"/>
  <c r="AG47" i="12" s="1"/>
  <c r="AL47" i="12" s="1"/>
  <c r="I48" i="12"/>
  <c r="U48" i="12" s="1"/>
  <c r="AA48" i="12" s="1"/>
  <c r="AG48" i="12" s="1"/>
  <c r="AL48" i="12" s="1"/>
  <c r="I49" i="12"/>
  <c r="U49" i="12" s="1"/>
  <c r="AA49" i="12" s="1"/>
  <c r="AG49" i="12" s="1"/>
  <c r="AL49" i="12" s="1"/>
  <c r="I50" i="12"/>
  <c r="U50" i="12" s="1"/>
  <c r="AA50" i="12" s="1"/>
  <c r="AG50" i="12" s="1"/>
  <c r="AL50" i="12" s="1"/>
  <c r="I51" i="12"/>
  <c r="U51" i="12" s="1"/>
  <c r="AA51" i="12" s="1"/>
  <c r="AG51" i="12" s="1"/>
  <c r="AL51" i="12" s="1"/>
  <c r="I52" i="12"/>
  <c r="U52" i="12" s="1"/>
  <c r="AA52" i="12" s="1"/>
  <c r="AG52" i="12" s="1"/>
  <c r="AL52" i="12" s="1"/>
  <c r="I53" i="12"/>
  <c r="U53" i="12" s="1"/>
  <c r="AA53" i="12" s="1"/>
  <c r="AG53" i="12" s="1"/>
  <c r="AL53" i="12" s="1"/>
  <c r="I54" i="12"/>
  <c r="U54" i="12" s="1"/>
  <c r="AA54" i="12" s="1"/>
  <c r="AG54" i="12" s="1"/>
  <c r="AL54" i="12" s="1"/>
  <c r="I55" i="12"/>
  <c r="U55" i="12" s="1"/>
  <c r="AA55" i="12" s="1"/>
  <c r="AG55" i="12" s="1"/>
  <c r="AL55" i="12" s="1"/>
  <c r="I56" i="12"/>
  <c r="U56" i="12" s="1"/>
  <c r="AA56" i="12" s="1"/>
  <c r="AG56" i="12" s="1"/>
  <c r="AL56" i="12" s="1"/>
  <c r="I57" i="12"/>
  <c r="U57" i="12" s="1"/>
  <c r="AA57" i="12" s="1"/>
  <c r="AG57" i="12" s="1"/>
  <c r="AL57" i="12" s="1"/>
  <c r="I58" i="12"/>
  <c r="U58" i="12" s="1"/>
  <c r="AA58" i="12" s="1"/>
  <c r="AG58" i="12" s="1"/>
  <c r="AL58" i="12" s="1"/>
  <c r="I59" i="12"/>
  <c r="U59" i="12" s="1"/>
  <c r="AA59" i="12" s="1"/>
  <c r="AG59" i="12" s="1"/>
  <c r="AL59" i="12" s="1"/>
  <c r="I60" i="12"/>
  <c r="U60" i="12" s="1"/>
  <c r="AA60" i="12" s="1"/>
  <c r="AG60" i="12" s="1"/>
  <c r="AL60" i="12" s="1"/>
  <c r="I61" i="12"/>
  <c r="U61" i="12" s="1"/>
  <c r="AA61" i="12" s="1"/>
  <c r="AG61" i="12" s="1"/>
  <c r="AL61" i="12" s="1"/>
  <c r="I62" i="12"/>
  <c r="U62" i="12" s="1"/>
  <c r="AA62" i="12" s="1"/>
  <c r="AG62" i="12" s="1"/>
  <c r="AL62" i="12" s="1"/>
  <c r="I63" i="12"/>
  <c r="U63" i="12" s="1"/>
  <c r="AA63" i="12" s="1"/>
  <c r="AG63" i="12" s="1"/>
  <c r="AL63" i="12" s="1"/>
  <c r="I64" i="12"/>
  <c r="U64" i="12" s="1"/>
  <c r="AA64" i="12" s="1"/>
  <c r="AG64" i="12" s="1"/>
  <c r="AL64" i="12" s="1"/>
  <c r="I65" i="12"/>
  <c r="U65" i="12" s="1"/>
  <c r="AA65" i="12" s="1"/>
  <c r="AG65" i="12" s="1"/>
  <c r="AL65" i="12" s="1"/>
  <c r="I66" i="12"/>
  <c r="U66" i="12" s="1"/>
  <c r="AA66" i="12" s="1"/>
  <c r="AG66" i="12" s="1"/>
  <c r="AL66" i="12" s="1"/>
  <c r="I67" i="12"/>
  <c r="U67" i="12" s="1"/>
  <c r="AA67" i="12" s="1"/>
  <c r="AG67" i="12" s="1"/>
  <c r="AL67" i="12" s="1"/>
  <c r="I68" i="12"/>
  <c r="U68" i="12" s="1"/>
  <c r="AA68" i="12" s="1"/>
  <c r="AG68" i="12" s="1"/>
  <c r="AL68" i="12" s="1"/>
  <c r="I69" i="12"/>
  <c r="U69" i="12" s="1"/>
  <c r="AA69" i="12" s="1"/>
  <c r="AG69" i="12" s="1"/>
  <c r="AL69" i="12" s="1"/>
  <c r="I70" i="12"/>
  <c r="U70" i="12" s="1"/>
  <c r="AA70" i="12" s="1"/>
  <c r="AG70" i="12" s="1"/>
  <c r="AL70" i="12" s="1"/>
  <c r="I71" i="12"/>
  <c r="U71" i="12" s="1"/>
  <c r="AA71" i="12" s="1"/>
  <c r="AG71" i="12" s="1"/>
  <c r="AL71" i="12" s="1"/>
  <c r="I72" i="12"/>
  <c r="U72" i="12" s="1"/>
  <c r="AA72" i="12" s="1"/>
  <c r="AG72" i="12" s="1"/>
  <c r="AL72" i="12" s="1"/>
  <c r="I73" i="12"/>
  <c r="U73" i="12" s="1"/>
  <c r="AA73" i="12" s="1"/>
  <c r="AG73" i="12" s="1"/>
  <c r="AL73" i="12" s="1"/>
  <c r="I74" i="12"/>
  <c r="U74" i="12" s="1"/>
  <c r="AA74" i="12" s="1"/>
  <c r="AG74" i="12" s="1"/>
  <c r="AL74" i="12" s="1"/>
  <c r="I75" i="12"/>
  <c r="U75" i="12" s="1"/>
  <c r="AA75" i="12" s="1"/>
  <c r="AG75" i="12" s="1"/>
  <c r="AL75" i="12" s="1"/>
  <c r="I76" i="12"/>
  <c r="U76" i="12" s="1"/>
  <c r="AA76" i="12" s="1"/>
  <c r="AG76" i="12" s="1"/>
  <c r="AL76" i="12" s="1"/>
  <c r="I77" i="12"/>
  <c r="U77" i="12" s="1"/>
  <c r="AA77" i="12" s="1"/>
  <c r="AG77" i="12" s="1"/>
  <c r="AL77" i="12" s="1"/>
  <c r="I78" i="12"/>
  <c r="U78" i="12" s="1"/>
  <c r="AA78" i="12" s="1"/>
  <c r="AG78" i="12" s="1"/>
  <c r="AL78" i="12" s="1"/>
  <c r="I79" i="12"/>
  <c r="U79" i="12" s="1"/>
  <c r="AA79" i="12" s="1"/>
  <c r="AG79" i="12" s="1"/>
  <c r="AL79" i="12" s="1"/>
  <c r="I80" i="12"/>
  <c r="U80" i="12" s="1"/>
  <c r="AA80" i="12" s="1"/>
  <c r="AG80" i="12" s="1"/>
  <c r="AL80" i="12" s="1"/>
  <c r="I81" i="12"/>
  <c r="U81" i="12" s="1"/>
  <c r="AA81" i="12" s="1"/>
  <c r="AG81" i="12" s="1"/>
  <c r="AL81" i="12" s="1"/>
  <c r="I82" i="12"/>
  <c r="U82" i="12" s="1"/>
  <c r="AA82" i="12" s="1"/>
  <c r="AG82" i="12" s="1"/>
  <c r="AL82" i="12" s="1"/>
  <c r="I83" i="12"/>
  <c r="U83" i="12" s="1"/>
  <c r="AA83" i="12" s="1"/>
  <c r="AG83" i="12" s="1"/>
  <c r="AL83" i="12" s="1"/>
  <c r="I84" i="12"/>
  <c r="U84" i="12" s="1"/>
  <c r="AA84" i="12" s="1"/>
  <c r="AG84" i="12" s="1"/>
  <c r="AL84" i="12" s="1"/>
  <c r="I85" i="12"/>
  <c r="U85" i="12" s="1"/>
  <c r="AA85" i="12" s="1"/>
  <c r="AG85" i="12" s="1"/>
  <c r="AL85" i="12" s="1"/>
  <c r="I86" i="12"/>
  <c r="U86" i="12" s="1"/>
  <c r="AA86" i="12" s="1"/>
  <c r="AG86" i="12" s="1"/>
  <c r="AL86" i="12" s="1"/>
  <c r="I87" i="12"/>
  <c r="U87" i="12" s="1"/>
  <c r="AA87" i="12" s="1"/>
  <c r="AG87" i="12" s="1"/>
  <c r="AL87" i="12" s="1"/>
  <c r="I88" i="12"/>
  <c r="U88" i="12" s="1"/>
  <c r="AA88" i="12" s="1"/>
  <c r="AG88" i="12" s="1"/>
  <c r="AL88" i="12" s="1"/>
  <c r="I89" i="12"/>
  <c r="U89" i="12" s="1"/>
  <c r="AA89" i="12" s="1"/>
  <c r="AG89" i="12" s="1"/>
  <c r="AL89" i="12" s="1"/>
  <c r="I90" i="12"/>
  <c r="U90" i="12" s="1"/>
  <c r="AA90" i="12" s="1"/>
  <c r="AG90" i="12" s="1"/>
  <c r="AL90" i="12" s="1"/>
  <c r="I91" i="12"/>
  <c r="U91" i="12" s="1"/>
  <c r="AA91" i="12" s="1"/>
  <c r="AG91" i="12" s="1"/>
  <c r="AL91" i="12" s="1"/>
  <c r="I92" i="12"/>
  <c r="U92" i="12" s="1"/>
  <c r="AA92" i="12" s="1"/>
  <c r="AG92" i="12" s="1"/>
  <c r="AL92" i="12" s="1"/>
  <c r="I93" i="12"/>
  <c r="U93" i="12" s="1"/>
  <c r="AA93" i="12" s="1"/>
  <c r="AG93" i="12" s="1"/>
  <c r="AL93" i="12" s="1"/>
  <c r="I94" i="12"/>
  <c r="U94" i="12" s="1"/>
  <c r="AA94" i="12" s="1"/>
  <c r="AG94" i="12" s="1"/>
  <c r="AL94" i="12" s="1"/>
  <c r="I95" i="12"/>
  <c r="U95" i="12" s="1"/>
  <c r="AA95" i="12" s="1"/>
  <c r="AG95" i="12" s="1"/>
  <c r="AL95" i="12" s="1"/>
  <c r="I96" i="12"/>
  <c r="U96" i="12" s="1"/>
  <c r="AA96" i="12" s="1"/>
  <c r="AG96" i="12" s="1"/>
  <c r="AL96" i="12" s="1"/>
  <c r="I97" i="12"/>
  <c r="U97" i="12" s="1"/>
  <c r="AA97" i="12" s="1"/>
  <c r="AG97" i="12" s="1"/>
  <c r="AL97" i="12" s="1"/>
  <c r="I98" i="12"/>
  <c r="U98" i="12" s="1"/>
  <c r="AA98" i="12" s="1"/>
  <c r="AG98" i="12" s="1"/>
  <c r="AL98" i="12" s="1"/>
  <c r="I99" i="12"/>
  <c r="U99" i="12" s="1"/>
  <c r="AA99" i="12" s="1"/>
  <c r="AG99" i="12" s="1"/>
  <c r="AL99" i="12" s="1"/>
  <c r="I100" i="12"/>
  <c r="U100" i="12" s="1"/>
  <c r="AA100" i="12" s="1"/>
  <c r="AG100" i="12" s="1"/>
  <c r="AL100" i="12" s="1"/>
  <c r="I101" i="12"/>
  <c r="U101" i="12" s="1"/>
  <c r="AA101" i="12" s="1"/>
  <c r="AG101" i="12" s="1"/>
  <c r="AL101" i="12" s="1"/>
  <c r="I102" i="12"/>
  <c r="U102" i="12" s="1"/>
  <c r="AA102" i="12" s="1"/>
  <c r="AG102" i="12" s="1"/>
  <c r="AL102" i="12" s="1"/>
  <c r="I103" i="12"/>
  <c r="U103" i="12" s="1"/>
  <c r="AA103" i="12" s="1"/>
  <c r="AG103" i="12" s="1"/>
  <c r="AL103" i="12" s="1"/>
  <c r="I104" i="12"/>
  <c r="U104" i="12" s="1"/>
  <c r="AA104" i="12" s="1"/>
  <c r="AG104" i="12" s="1"/>
  <c r="AL104" i="12" s="1"/>
  <c r="I105" i="12"/>
  <c r="U105" i="12" s="1"/>
  <c r="AA105" i="12" s="1"/>
  <c r="AG105" i="12" s="1"/>
  <c r="AL105" i="12" s="1"/>
  <c r="I106" i="12"/>
  <c r="U106" i="12" s="1"/>
  <c r="AA106" i="12" s="1"/>
  <c r="AG106" i="12" s="1"/>
  <c r="AL106" i="12" s="1"/>
  <c r="I107" i="12"/>
  <c r="U107" i="12" s="1"/>
  <c r="AA107" i="12" s="1"/>
  <c r="AG107" i="12" s="1"/>
  <c r="AL107" i="12" s="1"/>
  <c r="I108" i="12"/>
  <c r="U108" i="12" s="1"/>
  <c r="AA108" i="12" s="1"/>
  <c r="AG108" i="12" s="1"/>
  <c r="AL108" i="12" s="1"/>
  <c r="I109" i="12"/>
  <c r="U109" i="12" s="1"/>
  <c r="AA109" i="12" s="1"/>
  <c r="AG109" i="12" s="1"/>
  <c r="AL109" i="12" s="1"/>
  <c r="I110" i="12"/>
  <c r="U110" i="12" s="1"/>
  <c r="AA110" i="12" s="1"/>
  <c r="AG110" i="12" s="1"/>
  <c r="AL110" i="12" s="1"/>
  <c r="I111" i="12"/>
  <c r="U111" i="12" s="1"/>
  <c r="AA111" i="12" s="1"/>
  <c r="AG111" i="12" s="1"/>
  <c r="AL111" i="12" s="1"/>
  <c r="I112" i="12"/>
  <c r="U112" i="12" s="1"/>
  <c r="AA112" i="12" s="1"/>
  <c r="AG112" i="12" s="1"/>
  <c r="AL112" i="12" s="1"/>
  <c r="I113" i="12"/>
  <c r="U113" i="12" s="1"/>
  <c r="AA113" i="12" s="1"/>
  <c r="AG113" i="12" s="1"/>
  <c r="AL113" i="12" s="1"/>
  <c r="I114" i="12"/>
  <c r="U114" i="12" s="1"/>
  <c r="AA114" i="12" s="1"/>
  <c r="AG114" i="12" s="1"/>
  <c r="AL114" i="12" s="1"/>
  <c r="I115" i="12"/>
  <c r="U115" i="12" s="1"/>
  <c r="AA115" i="12" s="1"/>
  <c r="AG115" i="12" s="1"/>
  <c r="AL115" i="12" s="1"/>
  <c r="I116" i="12"/>
  <c r="U116" i="12" s="1"/>
  <c r="AA116" i="12" s="1"/>
  <c r="AG116" i="12" s="1"/>
  <c r="AL116" i="12" s="1"/>
  <c r="I117" i="12"/>
  <c r="U117" i="12" s="1"/>
  <c r="AA117" i="12" s="1"/>
  <c r="AG117" i="12" s="1"/>
  <c r="AL117" i="12" s="1"/>
  <c r="I118" i="12"/>
  <c r="U118" i="12" s="1"/>
  <c r="AA118" i="12" s="1"/>
  <c r="AG118" i="12" s="1"/>
  <c r="AL118" i="12" s="1"/>
  <c r="I119" i="12"/>
  <c r="U119" i="12" s="1"/>
  <c r="AA119" i="12" s="1"/>
  <c r="AG119" i="12" s="1"/>
  <c r="AL119" i="12" s="1"/>
  <c r="I120" i="12"/>
  <c r="U120" i="12" s="1"/>
  <c r="AA120" i="12" s="1"/>
  <c r="AG120" i="12" s="1"/>
  <c r="AL120" i="12" s="1"/>
  <c r="I121" i="12"/>
  <c r="U121" i="12" s="1"/>
  <c r="AA121" i="12" s="1"/>
  <c r="AG121" i="12" s="1"/>
  <c r="AL121" i="12" s="1"/>
  <c r="I122" i="12"/>
  <c r="U122" i="12" s="1"/>
  <c r="AA122" i="12" s="1"/>
  <c r="AG122" i="12" s="1"/>
  <c r="AL122" i="12" s="1"/>
  <c r="I123" i="12"/>
  <c r="U123" i="12" s="1"/>
  <c r="AA123" i="12" s="1"/>
  <c r="AG123" i="12" s="1"/>
  <c r="AL123" i="12" s="1"/>
  <c r="I124" i="12"/>
  <c r="U124" i="12" s="1"/>
  <c r="AA124" i="12" s="1"/>
  <c r="AG124" i="12" s="1"/>
  <c r="AL124" i="12" s="1"/>
  <c r="I125" i="12"/>
  <c r="U125" i="12" s="1"/>
  <c r="AA125" i="12" s="1"/>
  <c r="AG125" i="12" s="1"/>
  <c r="AL125" i="12" s="1"/>
  <c r="I126" i="12"/>
  <c r="U126" i="12" s="1"/>
  <c r="AA126" i="12" s="1"/>
  <c r="AG126" i="12" s="1"/>
  <c r="AL126" i="12" s="1"/>
  <c r="I127" i="12"/>
  <c r="U127" i="12" s="1"/>
  <c r="AA127" i="12" s="1"/>
  <c r="AG127" i="12" s="1"/>
  <c r="AL127" i="12" s="1"/>
  <c r="I128" i="12"/>
  <c r="U128" i="12" s="1"/>
  <c r="AA128" i="12" s="1"/>
  <c r="AG128" i="12" s="1"/>
  <c r="AL128" i="12" s="1"/>
  <c r="I129" i="12"/>
  <c r="U129" i="12" s="1"/>
  <c r="AA129" i="12" s="1"/>
  <c r="AG129" i="12" s="1"/>
  <c r="AL129" i="12" s="1"/>
  <c r="I130" i="12"/>
  <c r="U130" i="12" s="1"/>
  <c r="AA130" i="12" s="1"/>
  <c r="AG130" i="12" s="1"/>
  <c r="AL130" i="12" s="1"/>
  <c r="I131" i="12"/>
  <c r="U131" i="12" s="1"/>
  <c r="AA131" i="12" s="1"/>
  <c r="AG131" i="12" s="1"/>
  <c r="AL131" i="12" s="1"/>
  <c r="I132" i="12"/>
  <c r="U132" i="12" s="1"/>
  <c r="AA132" i="12" s="1"/>
  <c r="AG132" i="12" s="1"/>
  <c r="AL132" i="12" s="1"/>
  <c r="I133" i="12"/>
  <c r="U133" i="12" s="1"/>
  <c r="AA133" i="12" s="1"/>
  <c r="AG133" i="12" s="1"/>
  <c r="AL133" i="12" s="1"/>
  <c r="I134" i="12"/>
  <c r="U134" i="12" s="1"/>
  <c r="AA134" i="12" s="1"/>
  <c r="AG134" i="12" s="1"/>
  <c r="AL134" i="12" s="1"/>
  <c r="I135" i="12"/>
  <c r="U135" i="12" s="1"/>
  <c r="AA135" i="12" s="1"/>
  <c r="AG135" i="12" s="1"/>
  <c r="AL135" i="12" s="1"/>
  <c r="I136" i="12"/>
  <c r="U136" i="12" s="1"/>
  <c r="AA136" i="12" s="1"/>
  <c r="AG136" i="12" s="1"/>
  <c r="AL136" i="12" s="1"/>
  <c r="I137" i="12"/>
  <c r="U137" i="12" s="1"/>
  <c r="AA137" i="12" s="1"/>
  <c r="AG137" i="12" s="1"/>
  <c r="AL137" i="12" s="1"/>
  <c r="I138" i="12"/>
  <c r="U138" i="12" s="1"/>
  <c r="AA138" i="12" s="1"/>
  <c r="AG138" i="12" s="1"/>
  <c r="AL138" i="12" s="1"/>
  <c r="I139" i="12"/>
  <c r="U139" i="12" s="1"/>
  <c r="AA139" i="12" s="1"/>
  <c r="AG139" i="12" s="1"/>
  <c r="AL139" i="12" s="1"/>
  <c r="I140" i="12"/>
  <c r="U140" i="12" s="1"/>
  <c r="AA140" i="12" s="1"/>
  <c r="AG140" i="12" s="1"/>
  <c r="AL140" i="12" s="1"/>
  <c r="I141" i="12"/>
  <c r="U141" i="12" s="1"/>
  <c r="AA141" i="12" s="1"/>
  <c r="AG141" i="12" s="1"/>
  <c r="AL141" i="12" s="1"/>
  <c r="I142" i="12"/>
  <c r="U142" i="12" s="1"/>
  <c r="AA142" i="12" s="1"/>
  <c r="AG142" i="12" s="1"/>
  <c r="AL142" i="12" s="1"/>
  <c r="I143" i="12"/>
  <c r="U143" i="12" s="1"/>
  <c r="AA143" i="12" s="1"/>
  <c r="AG143" i="12" s="1"/>
  <c r="AL143" i="12" s="1"/>
  <c r="I144" i="12"/>
  <c r="U144" i="12" s="1"/>
  <c r="AA144" i="12" s="1"/>
  <c r="AG144" i="12" s="1"/>
  <c r="AL144" i="12" s="1"/>
  <c r="I5" i="12"/>
  <c r="U5" i="12" s="1"/>
  <c r="X6" i="12" l="1"/>
  <c r="AD6" i="12" s="1"/>
  <c r="X7" i="12"/>
  <c r="AD7" i="12" s="1"/>
  <c r="X8" i="12"/>
  <c r="AD8" i="12" s="1"/>
  <c r="X9" i="12"/>
  <c r="AD9" i="12" s="1"/>
  <c r="X10" i="12"/>
  <c r="AD10" i="12" s="1"/>
  <c r="X11" i="12"/>
  <c r="AD11" i="12" s="1"/>
  <c r="X12" i="12"/>
  <c r="AD12" i="12" s="1"/>
  <c r="X13" i="12"/>
  <c r="AD13" i="12" s="1"/>
  <c r="X14" i="12"/>
  <c r="AD14" i="12" s="1"/>
  <c r="X15" i="12"/>
  <c r="AD15" i="12" s="1"/>
  <c r="X16" i="12"/>
  <c r="AD16" i="12" s="1"/>
  <c r="X17" i="12"/>
  <c r="AD17" i="12" s="1"/>
  <c r="X18" i="12"/>
  <c r="AD18" i="12" s="1"/>
  <c r="X19" i="12"/>
  <c r="AD19" i="12" s="1"/>
  <c r="X20" i="12"/>
  <c r="AD20" i="12" s="1"/>
  <c r="X21" i="12"/>
  <c r="AD21" i="12" s="1"/>
  <c r="X22" i="12"/>
  <c r="AD22" i="12" s="1"/>
  <c r="X23" i="12"/>
  <c r="AD23" i="12" s="1"/>
  <c r="X24" i="12"/>
  <c r="AD24" i="12" s="1"/>
  <c r="X25" i="12"/>
  <c r="AD25" i="12" s="1"/>
  <c r="X26" i="12"/>
  <c r="AD26" i="12" s="1"/>
  <c r="X27" i="12"/>
  <c r="AD27" i="12" s="1"/>
  <c r="X28" i="12"/>
  <c r="AD28" i="12" s="1"/>
  <c r="X29" i="12"/>
  <c r="AD29" i="12" s="1"/>
  <c r="X30" i="12"/>
  <c r="AD30" i="12" s="1"/>
  <c r="X31" i="12"/>
  <c r="AD31" i="12" s="1"/>
  <c r="X32" i="12"/>
  <c r="AD32" i="12" s="1"/>
  <c r="X33" i="12"/>
  <c r="AD33" i="12" s="1"/>
  <c r="X34" i="12"/>
  <c r="AD34" i="12" s="1"/>
  <c r="X35" i="12"/>
  <c r="AD35" i="12" s="1"/>
  <c r="X36" i="12"/>
  <c r="AD36" i="12" s="1"/>
  <c r="X37" i="12"/>
  <c r="AD37" i="12" s="1"/>
  <c r="X38" i="12"/>
  <c r="AD38" i="12" s="1"/>
  <c r="X39" i="12"/>
  <c r="AD39" i="12" s="1"/>
  <c r="X40" i="12"/>
  <c r="AD40" i="12" s="1"/>
  <c r="X41" i="12"/>
  <c r="AD41" i="12" s="1"/>
  <c r="X42" i="12"/>
  <c r="AD42" i="12" s="1"/>
  <c r="X43" i="12"/>
  <c r="AD43" i="12" s="1"/>
  <c r="X44" i="12"/>
  <c r="AD44" i="12" s="1"/>
  <c r="X45" i="12"/>
  <c r="AD45" i="12" s="1"/>
  <c r="X46" i="12"/>
  <c r="AD46" i="12" s="1"/>
  <c r="X47" i="12"/>
  <c r="AD47" i="12" s="1"/>
  <c r="X48" i="12"/>
  <c r="AD48" i="12" s="1"/>
  <c r="X49" i="12"/>
  <c r="AD49" i="12" s="1"/>
  <c r="X50" i="12"/>
  <c r="AD50" i="12" s="1"/>
  <c r="X51" i="12"/>
  <c r="AD51" i="12" s="1"/>
  <c r="X52" i="12"/>
  <c r="AD52" i="12" s="1"/>
  <c r="X53" i="12"/>
  <c r="AD53" i="12" s="1"/>
  <c r="X54" i="12"/>
  <c r="AD54" i="12" s="1"/>
  <c r="X55" i="12"/>
  <c r="AD55" i="12" s="1"/>
  <c r="X56" i="12"/>
  <c r="AD56" i="12" s="1"/>
  <c r="X57" i="12"/>
  <c r="AD57" i="12" s="1"/>
  <c r="X58" i="12"/>
  <c r="AD58" i="12" s="1"/>
  <c r="X59" i="12"/>
  <c r="AD59" i="12" s="1"/>
  <c r="X60" i="12"/>
  <c r="AD60" i="12" s="1"/>
  <c r="X61" i="12"/>
  <c r="AD61" i="12" s="1"/>
  <c r="X62" i="12"/>
  <c r="AD62" i="12" s="1"/>
  <c r="X63" i="12"/>
  <c r="AD63" i="12" s="1"/>
  <c r="X64" i="12"/>
  <c r="AD64" i="12" s="1"/>
  <c r="X65" i="12"/>
  <c r="AD65" i="12" s="1"/>
  <c r="X66" i="12"/>
  <c r="AD66" i="12" s="1"/>
  <c r="X67" i="12"/>
  <c r="AD67" i="12" s="1"/>
  <c r="X68" i="12"/>
  <c r="AD68" i="12" s="1"/>
  <c r="X69" i="12"/>
  <c r="AD69" i="12" s="1"/>
  <c r="X70" i="12"/>
  <c r="AD70" i="12" s="1"/>
  <c r="X71" i="12"/>
  <c r="AD71" i="12" s="1"/>
  <c r="X72" i="12"/>
  <c r="AD72" i="12" s="1"/>
  <c r="X73" i="12"/>
  <c r="AD73" i="12" s="1"/>
  <c r="X74" i="12"/>
  <c r="AD74" i="12" s="1"/>
  <c r="X75" i="12"/>
  <c r="AD75" i="12" s="1"/>
  <c r="X76" i="12"/>
  <c r="AD76" i="12" s="1"/>
  <c r="X77" i="12"/>
  <c r="AD77" i="12" s="1"/>
  <c r="X78" i="12"/>
  <c r="AD78" i="12" s="1"/>
  <c r="X79" i="12"/>
  <c r="AD79" i="12" s="1"/>
  <c r="X80" i="12"/>
  <c r="AD80" i="12" s="1"/>
  <c r="X81" i="12"/>
  <c r="AD81" i="12" s="1"/>
  <c r="X82" i="12"/>
  <c r="AD82" i="12" s="1"/>
  <c r="X83" i="12"/>
  <c r="AD83" i="12" s="1"/>
  <c r="X84" i="12"/>
  <c r="AD84" i="12" s="1"/>
  <c r="X85" i="12"/>
  <c r="AD85" i="12" s="1"/>
  <c r="X86" i="12"/>
  <c r="AD86" i="12" s="1"/>
  <c r="X87" i="12"/>
  <c r="AD87" i="12" s="1"/>
  <c r="X88" i="12"/>
  <c r="AD88" i="12" s="1"/>
  <c r="X89" i="12"/>
  <c r="AD89" i="12" s="1"/>
  <c r="X90" i="12"/>
  <c r="AD90" i="12" s="1"/>
  <c r="X91" i="12"/>
  <c r="AD91" i="12" s="1"/>
  <c r="X92" i="12"/>
  <c r="AD92" i="12" s="1"/>
  <c r="X93" i="12"/>
  <c r="AD93" i="12" s="1"/>
  <c r="X94" i="12"/>
  <c r="AD94" i="12" s="1"/>
  <c r="X95" i="12"/>
  <c r="AD95" i="12" s="1"/>
  <c r="X96" i="12"/>
  <c r="AD96" i="12" s="1"/>
  <c r="X97" i="12"/>
  <c r="AD97" i="12" s="1"/>
  <c r="X98" i="12"/>
  <c r="AD98" i="12" s="1"/>
  <c r="X99" i="12"/>
  <c r="AD99" i="12" s="1"/>
  <c r="X100" i="12"/>
  <c r="AD100" i="12" s="1"/>
  <c r="X101" i="12"/>
  <c r="AD101" i="12" s="1"/>
  <c r="X102" i="12"/>
  <c r="AD102" i="12" s="1"/>
  <c r="X103" i="12"/>
  <c r="AD103" i="12" s="1"/>
  <c r="X104" i="12"/>
  <c r="AD104" i="12" s="1"/>
  <c r="X105" i="12"/>
  <c r="AD105" i="12" s="1"/>
  <c r="X106" i="12"/>
  <c r="AD106" i="12" s="1"/>
  <c r="X107" i="12"/>
  <c r="AD107" i="12" s="1"/>
  <c r="X108" i="12"/>
  <c r="AD108" i="12" s="1"/>
  <c r="X109" i="12"/>
  <c r="AD109" i="12" s="1"/>
  <c r="X110" i="12"/>
  <c r="AD110" i="12" s="1"/>
  <c r="X111" i="12"/>
  <c r="AD111" i="12" s="1"/>
  <c r="X112" i="12"/>
  <c r="AD112" i="12" s="1"/>
  <c r="X113" i="12"/>
  <c r="AD113" i="12" s="1"/>
  <c r="X114" i="12"/>
  <c r="AD114" i="12" s="1"/>
  <c r="X115" i="12"/>
  <c r="AD115" i="12" s="1"/>
  <c r="X116" i="12"/>
  <c r="AD116" i="12" s="1"/>
  <c r="X117" i="12"/>
  <c r="AD117" i="12" s="1"/>
  <c r="X118" i="12"/>
  <c r="AD118" i="12" s="1"/>
  <c r="X119" i="12"/>
  <c r="AD119" i="12" s="1"/>
  <c r="X120" i="12"/>
  <c r="AD120" i="12" s="1"/>
  <c r="X121" i="12"/>
  <c r="AD121" i="12" s="1"/>
  <c r="X122" i="12"/>
  <c r="AD122" i="12" s="1"/>
  <c r="X123" i="12"/>
  <c r="AD123" i="12" s="1"/>
  <c r="X124" i="12"/>
  <c r="AD124" i="12" s="1"/>
  <c r="X125" i="12"/>
  <c r="AD125" i="12" s="1"/>
  <c r="X126" i="12"/>
  <c r="AD126" i="12" s="1"/>
  <c r="X127" i="12"/>
  <c r="AD127" i="12" s="1"/>
  <c r="X128" i="12"/>
  <c r="AD128" i="12" s="1"/>
  <c r="X129" i="12"/>
  <c r="AD129" i="12" s="1"/>
  <c r="X130" i="12"/>
  <c r="AD130" i="12" s="1"/>
  <c r="X131" i="12"/>
  <c r="AD131" i="12" s="1"/>
  <c r="X132" i="12"/>
  <c r="AD132" i="12" s="1"/>
  <c r="X133" i="12"/>
  <c r="AD133" i="12" s="1"/>
  <c r="X134" i="12"/>
  <c r="AD134" i="12" s="1"/>
  <c r="X135" i="12"/>
  <c r="AD135" i="12" s="1"/>
  <c r="X136" i="12"/>
  <c r="AD136" i="12" s="1"/>
  <c r="X137" i="12"/>
  <c r="AD137" i="12" s="1"/>
  <c r="X138" i="12"/>
  <c r="AD138" i="12" s="1"/>
  <c r="X139" i="12"/>
  <c r="AD139" i="12" s="1"/>
  <c r="X140" i="12"/>
  <c r="AD140" i="12" s="1"/>
  <c r="X141" i="12"/>
  <c r="AD141" i="12" s="1"/>
  <c r="X142" i="12"/>
  <c r="AD142" i="12" s="1"/>
  <c r="X143" i="12"/>
  <c r="AD143" i="12" s="1"/>
  <c r="X144" i="12"/>
  <c r="AD144" i="12" s="1"/>
  <c r="X5" i="12"/>
  <c r="AD5" i="12" s="1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2" i="12"/>
  <c r="L123" i="12"/>
  <c r="L124" i="12"/>
  <c r="L125" i="12"/>
  <c r="L126" i="12"/>
  <c r="L127" i="12"/>
  <c r="L128" i="12"/>
  <c r="L129" i="12"/>
  <c r="L130" i="12"/>
  <c r="L131" i="12"/>
  <c r="L132" i="12"/>
  <c r="L133" i="12"/>
  <c r="L134" i="12"/>
  <c r="L135" i="12"/>
  <c r="L136" i="12"/>
  <c r="L137" i="12"/>
  <c r="L138" i="12"/>
  <c r="L139" i="12"/>
  <c r="L140" i="12"/>
  <c r="L141" i="12"/>
  <c r="L142" i="12"/>
  <c r="L143" i="12"/>
  <c r="L144" i="12"/>
  <c r="L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5" i="12"/>
  <c r="H8" i="5" l="1"/>
  <c r="H9" i="5"/>
  <c r="H10" i="5"/>
  <c r="H11" i="5"/>
  <c r="H13" i="5"/>
  <c r="H14" i="5"/>
  <c r="H15" i="5"/>
  <c r="H16" i="5"/>
  <c r="H18" i="5"/>
  <c r="H19" i="5"/>
  <c r="H20" i="5"/>
  <c r="H21" i="5"/>
  <c r="H23" i="5"/>
  <c r="H24" i="5"/>
  <c r="H25" i="5"/>
  <c r="H26" i="5"/>
  <c r="H28" i="5"/>
  <c r="H29" i="5"/>
  <c r="H30" i="5"/>
  <c r="H31" i="5"/>
  <c r="H33" i="5"/>
  <c r="H34" i="5"/>
  <c r="H35" i="5"/>
  <c r="H36" i="5"/>
  <c r="H38" i="5"/>
  <c r="H39" i="5"/>
  <c r="H40" i="5"/>
  <c r="H41" i="5"/>
  <c r="H43" i="5"/>
  <c r="H44" i="5"/>
  <c r="H45" i="5"/>
  <c r="H46" i="5"/>
  <c r="H48" i="5"/>
  <c r="H49" i="5"/>
  <c r="H50" i="5"/>
  <c r="H51" i="5"/>
  <c r="H53" i="5"/>
  <c r="H54" i="5"/>
  <c r="H55" i="5"/>
  <c r="H56" i="5"/>
  <c r="H58" i="5"/>
  <c r="H59" i="5"/>
  <c r="H60" i="5"/>
  <c r="H61" i="5"/>
  <c r="H63" i="5"/>
  <c r="H64" i="5"/>
  <c r="H65" i="5"/>
  <c r="H66" i="5"/>
  <c r="H68" i="5"/>
  <c r="H69" i="5"/>
  <c r="H70" i="5"/>
  <c r="H71" i="5"/>
  <c r="H73" i="5"/>
  <c r="H74" i="5"/>
  <c r="H75" i="5"/>
  <c r="H76" i="5"/>
  <c r="H78" i="5"/>
  <c r="H79" i="5"/>
  <c r="H80" i="5"/>
  <c r="H81" i="5"/>
  <c r="H83" i="5"/>
  <c r="H84" i="5"/>
  <c r="H85" i="5"/>
  <c r="H86" i="5"/>
  <c r="H88" i="5"/>
  <c r="H89" i="5"/>
  <c r="H90" i="5"/>
  <c r="H91" i="5"/>
  <c r="H93" i="5"/>
  <c r="H94" i="5"/>
  <c r="H95" i="5"/>
  <c r="H100" i="5" s="1"/>
  <c r="H105" i="5" s="1"/>
  <c r="H110" i="5" s="1"/>
  <c r="H115" i="5" s="1"/>
  <c r="H120" i="5" s="1"/>
  <c r="H125" i="5" s="1"/>
  <c r="H130" i="5" s="1"/>
  <c r="H135" i="5" s="1"/>
  <c r="H140" i="5" s="1"/>
  <c r="H145" i="5" s="1"/>
  <c r="H150" i="5" s="1"/>
  <c r="H155" i="5" s="1"/>
  <c r="H160" i="5" s="1"/>
  <c r="H165" i="5" s="1"/>
  <c r="H170" i="5" s="1"/>
  <c r="H175" i="5" s="1"/>
  <c r="H180" i="5" s="1"/>
  <c r="H185" i="5" s="1"/>
  <c r="H190" i="5" s="1"/>
  <c r="H195" i="5" s="1"/>
  <c r="H200" i="5" s="1"/>
  <c r="H205" i="5" s="1"/>
  <c r="H210" i="5" s="1"/>
  <c r="H215" i="5" s="1"/>
  <c r="H220" i="5" s="1"/>
  <c r="H225" i="5" s="1"/>
  <c r="H230" i="5" s="1"/>
  <c r="H235" i="5" s="1"/>
  <c r="H240" i="5" s="1"/>
  <c r="H245" i="5" s="1"/>
  <c r="H250" i="5" s="1"/>
  <c r="H255" i="5" s="1"/>
  <c r="H260" i="5" s="1"/>
  <c r="H265" i="5" s="1"/>
  <c r="H270" i="5" s="1"/>
  <c r="H275" i="5" s="1"/>
  <c r="H280" i="5" s="1"/>
  <c r="H285" i="5" s="1"/>
  <c r="H290" i="5" s="1"/>
  <c r="H295" i="5" s="1"/>
  <c r="H300" i="5" s="1"/>
  <c r="H305" i="5" s="1"/>
  <c r="H310" i="5" s="1"/>
  <c r="H315" i="5" s="1"/>
  <c r="H320" i="5" s="1"/>
  <c r="H325" i="5" s="1"/>
  <c r="H330" i="5" s="1"/>
  <c r="H96" i="5"/>
  <c r="H98" i="5"/>
  <c r="H99" i="5"/>
  <c r="H101" i="5"/>
  <c r="H103" i="5"/>
  <c r="H104" i="5"/>
  <c r="H106" i="5"/>
  <c r="H108" i="5"/>
  <c r="H109" i="5"/>
  <c r="H111" i="5"/>
  <c r="H113" i="5"/>
  <c r="H114" i="5"/>
  <c r="H116" i="5"/>
  <c r="H118" i="5"/>
  <c r="H119" i="5"/>
  <c r="H121" i="5"/>
  <c r="H123" i="5"/>
  <c r="H124" i="5"/>
  <c r="H126" i="5"/>
  <c r="H128" i="5"/>
  <c r="H129" i="5"/>
  <c r="H131" i="5"/>
  <c r="H133" i="5"/>
  <c r="H134" i="5"/>
  <c r="H136" i="5"/>
  <c r="H138" i="5"/>
  <c r="H139" i="5"/>
  <c r="H141" i="5"/>
  <c r="H143" i="5"/>
  <c r="H144" i="5"/>
  <c r="H146" i="5"/>
  <c r="H148" i="5"/>
  <c r="H149" i="5"/>
  <c r="H151" i="5"/>
  <c r="H153" i="5"/>
  <c r="H154" i="5"/>
  <c r="H156" i="5"/>
  <c r="H158" i="5"/>
  <c r="H159" i="5"/>
  <c r="H161" i="5"/>
  <c r="H163" i="5"/>
  <c r="H164" i="5"/>
  <c r="H166" i="5"/>
  <c r="H168" i="5"/>
  <c r="H169" i="5"/>
  <c r="H171" i="5"/>
  <c r="H173" i="5"/>
  <c r="H174" i="5"/>
  <c r="H176" i="5"/>
  <c r="H178" i="5"/>
  <c r="H179" i="5"/>
  <c r="H181" i="5"/>
  <c r="H183" i="5"/>
  <c r="H184" i="5"/>
  <c r="H186" i="5"/>
  <c r="H188" i="5"/>
  <c r="H189" i="5"/>
  <c r="H191" i="5"/>
  <c r="H193" i="5"/>
  <c r="H194" i="5"/>
  <c r="H196" i="5"/>
  <c r="H198" i="5"/>
  <c r="H199" i="5"/>
  <c r="H201" i="5"/>
  <c r="H203" i="5"/>
  <c r="H204" i="5"/>
  <c r="H206" i="5"/>
  <c r="H208" i="5"/>
  <c r="H209" i="5"/>
  <c r="H211" i="5"/>
  <c r="H213" i="5"/>
  <c r="H214" i="5"/>
  <c r="H216" i="5"/>
  <c r="H218" i="5"/>
  <c r="H219" i="5"/>
  <c r="H221" i="5"/>
  <c r="H223" i="5"/>
  <c r="H224" i="5"/>
  <c r="H226" i="5"/>
  <c r="H228" i="5"/>
  <c r="H229" i="5"/>
  <c r="H231" i="5"/>
  <c r="H233" i="5"/>
  <c r="H234" i="5"/>
  <c r="H236" i="5"/>
  <c r="H238" i="5"/>
  <c r="H239" i="5"/>
  <c r="H241" i="5"/>
  <c r="H243" i="5"/>
  <c r="H244" i="5"/>
  <c r="H246" i="5"/>
  <c r="H248" i="5"/>
  <c r="H249" i="5"/>
  <c r="H251" i="5"/>
  <c r="H253" i="5"/>
  <c r="H254" i="5"/>
  <c r="H256" i="5"/>
  <c r="H258" i="5"/>
  <c r="H259" i="5"/>
  <c r="H261" i="5"/>
  <c r="H263" i="5"/>
  <c r="H264" i="5"/>
  <c r="H266" i="5"/>
  <c r="H268" i="5"/>
  <c r="H269" i="5"/>
  <c r="H271" i="5"/>
  <c r="H273" i="5"/>
  <c r="H274" i="5"/>
  <c r="H276" i="5"/>
  <c r="H278" i="5"/>
  <c r="H279" i="5"/>
  <c r="H281" i="5"/>
  <c r="H283" i="5"/>
  <c r="H284" i="5"/>
  <c r="H286" i="5"/>
  <c r="H288" i="5"/>
  <c r="H289" i="5"/>
  <c r="H291" i="5"/>
  <c r="H293" i="5"/>
  <c r="H294" i="5"/>
  <c r="H296" i="5"/>
  <c r="H298" i="5"/>
  <c r="H299" i="5"/>
  <c r="H304" i="5" s="1"/>
  <c r="H309" i="5" s="1"/>
  <c r="H314" i="5" s="1"/>
  <c r="H319" i="5" s="1"/>
  <c r="H324" i="5" s="1"/>
  <c r="H329" i="5" s="1"/>
  <c r="H334" i="5" s="1"/>
  <c r="H339" i="5" s="1"/>
  <c r="H344" i="5" s="1"/>
  <c r="H349" i="5" s="1"/>
  <c r="H354" i="5" s="1"/>
  <c r="H359" i="5" s="1"/>
  <c r="H364" i="5" s="1"/>
  <c r="H369" i="5" s="1"/>
  <c r="H374" i="5" s="1"/>
  <c r="H379" i="5" s="1"/>
  <c r="H384" i="5" s="1"/>
  <c r="H389" i="5" s="1"/>
  <c r="H394" i="5" s="1"/>
  <c r="H399" i="5" s="1"/>
  <c r="H404" i="5" s="1"/>
  <c r="H409" i="5" s="1"/>
  <c r="H414" i="5" s="1"/>
  <c r="H419" i="5" s="1"/>
  <c r="H424" i="5" s="1"/>
  <c r="H429" i="5" s="1"/>
  <c r="H434" i="5" s="1"/>
  <c r="H439" i="5" s="1"/>
  <c r="H444" i="5" s="1"/>
  <c r="H449" i="5" s="1"/>
  <c r="H454" i="5" s="1"/>
  <c r="H459" i="5" s="1"/>
  <c r="H464" i="5" s="1"/>
  <c r="H469" i="5" s="1"/>
  <c r="H474" i="5" s="1"/>
  <c r="H479" i="5" s="1"/>
  <c r="H484" i="5" s="1"/>
  <c r="H489" i="5" s="1"/>
  <c r="H494" i="5" s="1"/>
  <c r="H499" i="5" s="1"/>
  <c r="H504" i="5" s="1"/>
  <c r="H509" i="5" s="1"/>
  <c r="H514" i="5" s="1"/>
  <c r="H519" i="5" s="1"/>
  <c r="H524" i="5" s="1"/>
  <c r="H529" i="5" s="1"/>
  <c r="H534" i="5" s="1"/>
  <c r="H539" i="5" s="1"/>
  <c r="H544" i="5" s="1"/>
  <c r="H549" i="5" s="1"/>
  <c r="H554" i="5" s="1"/>
  <c r="H559" i="5" s="1"/>
  <c r="H564" i="5" s="1"/>
  <c r="H569" i="5" s="1"/>
  <c r="H574" i="5" s="1"/>
  <c r="H579" i="5" s="1"/>
  <c r="H584" i="5" s="1"/>
  <c r="H589" i="5" s="1"/>
  <c r="H594" i="5" s="1"/>
  <c r="H599" i="5" s="1"/>
  <c r="H604" i="5" s="1"/>
  <c r="H609" i="5" s="1"/>
  <c r="H614" i="5" s="1"/>
  <c r="H619" i="5" s="1"/>
  <c r="H624" i="5" s="1"/>
  <c r="H629" i="5" s="1"/>
  <c r="H634" i="5" s="1"/>
  <c r="H639" i="5" s="1"/>
  <c r="H644" i="5" s="1"/>
  <c r="H649" i="5" s="1"/>
  <c r="H654" i="5" s="1"/>
  <c r="H659" i="5" s="1"/>
  <c r="H664" i="5" s="1"/>
  <c r="H669" i="5" s="1"/>
  <c r="H674" i="5" s="1"/>
  <c r="H679" i="5" s="1"/>
  <c r="H684" i="5" s="1"/>
  <c r="H689" i="5" s="1"/>
  <c r="H694" i="5" s="1"/>
  <c r="H699" i="5" s="1"/>
  <c r="H301" i="5"/>
  <c r="H303" i="5"/>
  <c r="H306" i="5"/>
  <c r="H308" i="5"/>
  <c r="H311" i="5"/>
  <c r="H313" i="5"/>
  <c r="H316" i="5"/>
  <c r="H318" i="5"/>
  <c r="H321" i="5"/>
  <c r="H326" i="5" s="1"/>
  <c r="H331" i="5" s="1"/>
  <c r="H336" i="5" s="1"/>
  <c r="H341" i="5" s="1"/>
  <c r="H346" i="5" s="1"/>
  <c r="H351" i="5" s="1"/>
  <c r="H356" i="5" s="1"/>
  <c r="H361" i="5" s="1"/>
  <c r="H366" i="5" s="1"/>
  <c r="H371" i="5" s="1"/>
  <c r="H376" i="5" s="1"/>
  <c r="H381" i="5" s="1"/>
  <c r="H386" i="5" s="1"/>
  <c r="H391" i="5" s="1"/>
  <c r="H396" i="5" s="1"/>
  <c r="H401" i="5" s="1"/>
  <c r="H406" i="5" s="1"/>
  <c r="H411" i="5" s="1"/>
  <c r="H416" i="5" s="1"/>
  <c r="H421" i="5" s="1"/>
  <c r="H426" i="5" s="1"/>
  <c r="H431" i="5" s="1"/>
  <c r="H436" i="5" s="1"/>
  <c r="H441" i="5" s="1"/>
  <c r="H446" i="5" s="1"/>
  <c r="H451" i="5" s="1"/>
  <c r="H456" i="5" s="1"/>
  <c r="H461" i="5" s="1"/>
  <c r="H466" i="5" s="1"/>
  <c r="H471" i="5" s="1"/>
  <c r="H476" i="5" s="1"/>
  <c r="H481" i="5" s="1"/>
  <c r="H486" i="5" s="1"/>
  <c r="H491" i="5" s="1"/>
  <c r="H496" i="5" s="1"/>
  <c r="H501" i="5" s="1"/>
  <c r="H506" i="5" s="1"/>
  <c r="H511" i="5" s="1"/>
  <c r="H516" i="5" s="1"/>
  <c r="H521" i="5" s="1"/>
  <c r="H526" i="5" s="1"/>
  <c r="H531" i="5" s="1"/>
  <c r="H536" i="5" s="1"/>
  <c r="H541" i="5" s="1"/>
  <c r="H546" i="5" s="1"/>
  <c r="H551" i="5" s="1"/>
  <c r="H556" i="5" s="1"/>
  <c r="H561" i="5" s="1"/>
  <c r="H566" i="5" s="1"/>
  <c r="H571" i="5" s="1"/>
  <c r="H576" i="5" s="1"/>
  <c r="H581" i="5" s="1"/>
  <c r="H586" i="5" s="1"/>
  <c r="H591" i="5" s="1"/>
  <c r="H596" i="5" s="1"/>
  <c r="H601" i="5" s="1"/>
  <c r="H606" i="5" s="1"/>
  <c r="H611" i="5" s="1"/>
  <c r="H616" i="5" s="1"/>
  <c r="H621" i="5" s="1"/>
  <c r="H626" i="5" s="1"/>
  <c r="H631" i="5" s="1"/>
  <c r="H636" i="5" s="1"/>
  <c r="H641" i="5" s="1"/>
  <c r="H646" i="5" s="1"/>
  <c r="H651" i="5" s="1"/>
  <c r="H656" i="5" s="1"/>
  <c r="H661" i="5" s="1"/>
  <c r="H666" i="5" s="1"/>
  <c r="H671" i="5" s="1"/>
  <c r="H676" i="5" s="1"/>
  <c r="H681" i="5" s="1"/>
  <c r="H686" i="5" s="1"/>
  <c r="H691" i="5" s="1"/>
  <c r="H696" i="5" s="1"/>
  <c r="H701" i="5" s="1"/>
  <c r="H323" i="5"/>
  <c r="H328" i="5" s="1"/>
  <c r="H333" i="5" s="1"/>
  <c r="H338" i="5" s="1"/>
  <c r="H343" i="5" s="1"/>
  <c r="H348" i="5" s="1"/>
  <c r="H353" i="5" s="1"/>
  <c r="H358" i="5" s="1"/>
  <c r="H363" i="5" s="1"/>
  <c r="H368" i="5" s="1"/>
  <c r="H373" i="5" s="1"/>
  <c r="H378" i="5" s="1"/>
  <c r="H383" i="5" s="1"/>
  <c r="H388" i="5" s="1"/>
  <c r="H393" i="5" s="1"/>
  <c r="H398" i="5" s="1"/>
  <c r="H403" i="5" s="1"/>
  <c r="H408" i="5" s="1"/>
  <c r="H413" i="5" s="1"/>
  <c r="H418" i="5" s="1"/>
  <c r="H423" i="5" s="1"/>
  <c r="H428" i="5" s="1"/>
  <c r="H433" i="5" s="1"/>
  <c r="H438" i="5" s="1"/>
  <c r="H443" i="5" s="1"/>
  <c r="H448" i="5" s="1"/>
  <c r="H453" i="5" s="1"/>
  <c r="H458" i="5" s="1"/>
  <c r="H463" i="5" s="1"/>
  <c r="H468" i="5" s="1"/>
  <c r="H473" i="5" s="1"/>
  <c r="H478" i="5" s="1"/>
  <c r="H483" i="5" s="1"/>
  <c r="H488" i="5" s="1"/>
  <c r="H493" i="5" s="1"/>
  <c r="H498" i="5" s="1"/>
  <c r="H503" i="5" s="1"/>
  <c r="H508" i="5" s="1"/>
  <c r="H335" i="5"/>
  <c r="H340" i="5" s="1"/>
  <c r="H345" i="5" s="1"/>
  <c r="H350" i="5" s="1"/>
  <c r="H355" i="5" s="1"/>
  <c r="H360" i="5" s="1"/>
  <c r="H365" i="5" s="1"/>
  <c r="H370" i="5" s="1"/>
  <c r="H375" i="5" s="1"/>
  <c r="H380" i="5" s="1"/>
  <c r="H385" i="5" s="1"/>
  <c r="H390" i="5" s="1"/>
  <c r="H395" i="5" s="1"/>
  <c r="H400" i="5" s="1"/>
  <c r="H405" i="5" s="1"/>
  <c r="H410" i="5" s="1"/>
  <c r="H415" i="5" s="1"/>
  <c r="H420" i="5" s="1"/>
  <c r="H425" i="5" s="1"/>
  <c r="H430" i="5" s="1"/>
  <c r="H435" i="5" s="1"/>
  <c r="H440" i="5" s="1"/>
  <c r="H445" i="5" s="1"/>
  <c r="H450" i="5" s="1"/>
  <c r="H455" i="5" s="1"/>
  <c r="H460" i="5" s="1"/>
  <c r="H465" i="5" s="1"/>
  <c r="H470" i="5" s="1"/>
  <c r="H475" i="5" s="1"/>
  <c r="H480" i="5" s="1"/>
  <c r="H485" i="5" s="1"/>
  <c r="H490" i="5" s="1"/>
  <c r="H495" i="5" s="1"/>
  <c r="H500" i="5" s="1"/>
  <c r="H505" i="5" s="1"/>
  <c r="H510" i="5" s="1"/>
  <c r="H515" i="5" s="1"/>
  <c r="H520" i="5" s="1"/>
  <c r="H525" i="5" s="1"/>
  <c r="H530" i="5" s="1"/>
  <c r="H535" i="5" s="1"/>
  <c r="H540" i="5" s="1"/>
  <c r="H545" i="5" s="1"/>
  <c r="H550" i="5" s="1"/>
  <c r="H555" i="5" s="1"/>
  <c r="H560" i="5" s="1"/>
  <c r="H565" i="5" s="1"/>
  <c r="H570" i="5" s="1"/>
  <c r="H575" i="5" s="1"/>
  <c r="H580" i="5" s="1"/>
  <c r="H585" i="5" s="1"/>
  <c r="H590" i="5" s="1"/>
  <c r="H595" i="5" s="1"/>
  <c r="H600" i="5" s="1"/>
  <c r="H605" i="5" s="1"/>
  <c r="H610" i="5" s="1"/>
  <c r="H615" i="5" s="1"/>
  <c r="H620" i="5" s="1"/>
  <c r="H625" i="5" s="1"/>
  <c r="H630" i="5" s="1"/>
  <c r="H635" i="5" s="1"/>
  <c r="H640" i="5" s="1"/>
  <c r="H645" i="5" s="1"/>
  <c r="H650" i="5" s="1"/>
  <c r="H655" i="5" s="1"/>
  <c r="H660" i="5" s="1"/>
  <c r="H665" i="5" s="1"/>
  <c r="H670" i="5" s="1"/>
  <c r="H675" i="5" s="1"/>
  <c r="H680" i="5" s="1"/>
  <c r="H685" i="5" s="1"/>
  <c r="H690" i="5" s="1"/>
  <c r="H695" i="5" s="1"/>
  <c r="H700" i="5" s="1"/>
  <c r="H513" i="5"/>
  <c r="H518" i="5" s="1"/>
  <c r="H523" i="5" s="1"/>
  <c r="H528" i="5" s="1"/>
  <c r="H533" i="5" s="1"/>
  <c r="H538" i="5" s="1"/>
  <c r="H543" i="5" s="1"/>
  <c r="H548" i="5" s="1"/>
  <c r="H553" i="5" s="1"/>
  <c r="H558" i="5" s="1"/>
  <c r="H563" i="5" s="1"/>
  <c r="H568" i="5" s="1"/>
  <c r="H573" i="5" s="1"/>
  <c r="H578" i="5" s="1"/>
  <c r="H583" i="5" s="1"/>
  <c r="H588" i="5" s="1"/>
  <c r="H593" i="5" s="1"/>
  <c r="H598" i="5" s="1"/>
  <c r="H603" i="5" s="1"/>
  <c r="H608" i="5" s="1"/>
  <c r="H613" i="5" s="1"/>
  <c r="H618" i="5" s="1"/>
  <c r="H623" i="5" s="1"/>
  <c r="H628" i="5" s="1"/>
  <c r="H633" i="5" s="1"/>
  <c r="H638" i="5" s="1"/>
  <c r="H643" i="5" s="1"/>
  <c r="H648" i="5" s="1"/>
  <c r="H653" i="5" s="1"/>
  <c r="H658" i="5" s="1"/>
  <c r="H663" i="5" s="1"/>
  <c r="H668" i="5" s="1"/>
  <c r="H673" i="5" s="1"/>
  <c r="H678" i="5" s="1"/>
  <c r="H683" i="5" s="1"/>
  <c r="H688" i="5" s="1"/>
  <c r="H693" i="5" s="1"/>
  <c r="H698" i="5" s="1"/>
  <c r="H7" i="5"/>
  <c r="H12" i="5" s="1"/>
  <c r="H17" i="5" s="1"/>
  <c r="H22" i="5" s="1"/>
  <c r="H27" i="5" s="1"/>
  <c r="H32" i="5" s="1"/>
  <c r="H37" i="5" s="1"/>
  <c r="H42" i="5" s="1"/>
  <c r="H47" i="5" s="1"/>
  <c r="H52" i="5" s="1"/>
  <c r="H57" i="5" s="1"/>
  <c r="H62" i="5" s="1"/>
  <c r="H67" i="5" s="1"/>
  <c r="H72" i="5" s="1"/>
  <c r="H77" i="5" s="1"/>
  <c r="H82" i="5" s="1"/>
  <c r="H87" i="5" s="1"/>
  <c r="H92" i="5" s="1"/>
  <c r="H97" i="5" s="1"/>
  <c r="H102" i="5" s="1"/>
  <c r="H107" i="5" s="1"/>
  <c r="H112" i="5" s="1"/>
  <c r="H117" i="5" s="1"/>
  <c r="H122" i="5" s="1"/>
  <c r="H127" i="5" s="1"/>
  <c r="H132" i="5" s="1"/>
  <c r="H137" i="5" s="1"/>
  <c r="H142" i="5" s="1"/>
  <c r="H147" i="5" s="1"/>
  <c r="H152" i="5" s="1"/>
  <c r="H157" i="5" s="1"/>
  <c r="H162" i="5" s="1"/>
  <c r="H167" i="5" s="1"/>
  <c r="H172" i="5" s="1"/>
  <c r="H177" i="5" s="1"/>
  <c r="H182" i="5" s="1"/>
  <c r="H187" i="5" s="1"/>
  <c r="H192" i="5" s="1"/>
  <c r="H197" i="5" s="1"/>
  <c r="H202" i="5" s="1"/>
  <c r="H207" i="5" s="1"/>
  <c r="H212" i="5" s="1"/>
  <c r="H217" i="5" s="1"/>
  <c r="H222" i="5" s="1"/>
  <c r="H227" i="5" s="1"/>
  <c r="H232" i="5" s="1"/>
  <c r="H237" i="5" s="1"/>
  <c r="H242" i="5" s="1"/>
  <c r="H247" i="5" s="1"/>
  <c r="H252" i="5" s="1"/>
  <c r="H257" i="5" s="1"/>
  <c r="H262" i="5" s="1"/>
  <c r="H267" i="5" s="1"/>
  <c r="H272" i="5" s="1"/>
  <c r="H277" i="5" s="1"/>
  <c r="H282" i="5" s="1"/>
  <c r="H287" i="5" s="1"/>
  <c r="H292" i="5" s="1"/>
  <c r="H297" i="5" s="1"/>
  <c r="H302" i="5" s="1"/>
  <c r="H307" i="5" s="1"/>
  <c r="H312" i="5" s="1"/>
  <c r="H317" i="5" s="1"/>
  <c r="H322" i="5" s="1"/>
  <c r="H327" i="5" s="1"/>
  <c r="H332" i="5" s="1"/>
  <c r="H337" i="5" s="1"/>
  <c r="H342" i="5" s="1"/>
  <c r="H347" i="5" s="1"/>
  <c r="H352" i="5" s="1"/>
  <c r="H357" i="5" s="1"/>
  <c r="H362" i="5" s="1"/>
  <c r="H367" i="5" s="1"/>
  <c r="H372" i="5" s="1"/>
  <c r="H377" i="5" s="1"/>
  <c r="H382" i="5" s="1"/>
  <c r="H387" i="5" s="1"/>
  <c r="H392" i="5" s="1"/>
  <c r="H397" i="5" s="1"/>
  <c r="H402" i="5" s="1"/>
  <c r="H407" i="5" s="1"/>
  <c r="H412" i="5" s="1"/>
  <c r="H417" i="5" s="1"/>
  <c r="H422" i="5" s="1"/>
  <c r="H427" i="5" s="1"/>
  <c r="H432" i="5" s="1"/>
  <c r="H437" i="5" s="1"/>
  <c r="H442" i="5" s="1"/>
  <c r="H447" i="5" s="1"/>
  <c r="H452" i="5" s="1"/>
  <c r="H457" i="5" s="1"/>
  <c r="H462" i="5" s="1"/>
  <c r="H467" i="5" s="1"/>
  <c r="H472" i="5" s="1"/>
  <c r="H477" i="5" s="1"/>
  <c r="H482" i="5" s="1"/>
  <c r="H487" i="5" s="1"/>
  <c r="H492" i="5" s="1"/>
  <c r="H497" i="5" s="1"/>
  <c r="H502" i="5" s="1"/>
  <c r="H507" i="5" s="1"/>
  <c r="H512" i="5" s="1"/>
  <c r="H517" i="5" s="1"/>
  <c r="H522" i="5" s="1"/>
  <c r="H527" i="5" s="1"/>
  <c r="H532" i="5" s="1"/>
  <c r="H537" i="5" s="1"/>
  <c r="H542" i="5" s="1"/>
  <c r="H547" i="5" s="1"/>
  <c r="H552" i="5" s="1"/>
  <c r="H557" i="5" s="1"/>
  <c r="H562" i="5" s="1"/>
  <c r="H567" i="5" s="1"/>
  <c r="H572" i="5" s="1"/>
  <c r="H577" i="5" s="1"/>
  <c r="H582" i="5" s="1"/>
  <c r="H587" i="5" s="1"/>
  <c r="H592" i="5" s="1"/>
  <c r="H597" i="5" s="1"/>
  <c r="H602" i="5" s="1"/>
  <c r="H607" i="5" s="1"/>
  <c r="H612" i="5" s="1"/>
  <c r="H617" i="5" s="1"/>
  <c r="H622" i="5" s="1"/>
  <c r="H627" i="5" s="1"/>
  <c r="H632" i="5" s="1"/>
  <c r="H637" i="5" s="1"/>
  <c r="H642" i="5" s="1"/>
  <c r="H647" i="5" s="1"/>
  <c r="H652" i="5" s="1"/>
  <c r="H657" i="5" s="1"/>
  <c r="H662" i="5" s="1"/>
  <c r="H667" i="5" s="1"/>
  <c r="H672" i="5" s="1"/>
  <c r="H677" i="5" s="1"/>
  <c r="H682" i="5" s="1"/>
  <c r="H687" i="5" s="1"/>
  <c r="H692" i="5" s="1"/>
  <c r="H697" i="5" s="1"/>
  <c r="C2" i="4"/>
  <c r="H8" i="4"/>
  <c r="H9" i="4"/>
  <c r="H10" i="4"/>
  <c r="H11" i="4"/>
  <c r="H16" i="4" s="1"/>
  <c r="H21" i="4" s="1"/>
  <c r="H26" i="4" s="1"/>
  <c r="H31" i="4" s="1"/>
  <c r="H36" i="4" s="1"/>
  <c r="H41" i="4" s="1"/>
  <c r="H46" i="4" s="1"/>
  <c r="H51" i="4" s="1"/>
  <c r="H56" i="4" s="1"/>
  <c r="H61" i="4" s="1"/>
  <c r="H66" i="4" s="1"/>
  <c r="H71" i="4" s="1"/>
  <c r="H76" i="4" s="1"/>
  <c r="H81" i="4" s="1"/>
  <c r="H86" i="4" s="1"/>
  <c r="H91" i="4" s="1"/>
  <c r="H96" i="4" s="1"/>
  <c r="H101" i="4" s="1"/>
  <c r="H106" i="4" s="1"/>
  <c r="H111" i="4" s="1"/>
  <c r="H116" i="4" s="1"/>
  <c r="H121" i="4" s="1"/>
  <c r="H126" i="4" s="1"/>
  <c r="H131" i="4" s="1"/>
  <c r="H136" i="4" s="1"/>
  <c r="H141" i="4" s="1"/>
  <c r="H146" i="4" s="1"/>
  <c r="H151" i="4" s="1"/>
  <c r="H156" i="4" s="1"/>
  <c r="H161" i="4" s="1"/>
  <c r="H166" i="4" s="1"/>
  <c r="H171" i="4" s="1"/>
  <c r="H176" i="4" s="1"/>
  <c r="H181" i="4" s="1"/>
  <c r="H186" i="4" s="1"/>
  <c r="H191" i="4" s="1"/>
  <c r="H196" i="4" s="1"/>
  <c r="H201" i="4" s="1"/>
  <c r="H206" i="4" s="1"/>
  <c r="H211" i="4" s="1"/>
  <c r="H216" i="4" s="1"/>
  <c r="H221" i="4" s="1"/>
  <c r="H226" i="4" s="1"/>
  <c r="H231" i="4" s="1"/>
  <c r="H236" i="4" s="1"/>
  <c r="H241" i="4" s="1"/>
  <c r="H246" i="4" s="1"/>
  <c r="H251" i="4" s="1"/>
  <c r="H256" i="4" s="1"/>
  <c r="H261" i="4" s="1"/>
  <c r="H266" i="4" s="1"/>
  <c r="H271" i="4" s="1"/>
  <c r="H276" i="4" s="1"/>
  <c r="H281" i="4" s="1"/>
  <c r="H286" i="4" s="1"/>
  <c r="H291" i="4" s="1"/>
  <c r="H296" i="4" s="1"/>
  <c r="H301" i="4" s="1"/>
  <c r="H306" i="4" s="1"/>
  <c r="H311" i="4" s="1"/>
  <c r="H316" i="4" s="1"/>
  <c r="H321" i="4" s="1"/>
  <c r="H326" i="4" s="1"/>
  <c r="H331" i="4" s="1"/>
  <c r="H336" i="4" s="1"/>
  <c r="H341" i="4" s="1"/>
  <c r="H346" i="4" s="1"/>
  <c r="H351" i="4" s="1"/>
  <c r="H356" i="4" s="1"/>
  <c r="H361" i="4" s="1"/>
  <c r="H366" i="4" s="1"/>
  <c r="H371" i="4" s="1"/>
  <c r="H376" i="4" s="1"/>
  <c r="H381" i="4" s="1"/>
  <c r="H386" i="4" s="1"/>
  <c r="H391" i="4" s="1"/>
  <c r="H396" i="4" s="1"/>
  <c r="H401" i="4" s="1"/>
  <c r="H406" i="4" s="1"/>
  <c r="H411" i="4" s="1"/>
  <c r="H416" i="4" s="1"/>
  <c r="H421" i="4" s="1"/>
  <c r="H426" i="4" s="1"/>
  <c r="H431" i="4" s="1"/>
  <c r="H436" i="4" s="1"/>
  <c r="H441" i="4" s="1"/>
  <c r="H446" i="4" s="1"/>
  <c r="H451" i="4" s="1"/>
  <c r="H456" i="4" s="1"/>
  <c r="H461" i="4" s="1"/>
  <c r="H466" i="4" s="1"/>
  <c r="H471" i="4" s="1"/>
  <c r="H476" i="4" s="1"/>
  <c r="H481" i="4" s="1"/>
  <c r="H486" i="4" s="1"/>
  <c r="H491" i="4" s="1"/>
  <c r="H496" i="4" s="1"/>
  <c r="H501" i="4" s="1"/>
  <c r="H506" i="4" s="1"/>
  <c r="H511" i="4" s="1"/>
  <c r="H516" i="4" s="1"/>
  <c r="H521" i="4" s="1"/>
  <c r="H526" i="4" s="1"/>
  <c r="H531" i="4" s="1"/>
  <c r="H536" i="4" s="1"/>
  <c r="H541" i="4" s="1"/>
  <c r="H546" i="4" s="1"/>
  <c r="H551" i="4" s="1"/>
  <c r="H556" i="4" s="1"/>
  <c r="H561" i="4" s="1"/>
  <c r="H566" i="4" s="1"/>
  <c r="H571" i="4" s="1"/>
  <c r="H576" i="4" s="1"/>
  <c r="H581" i="4" s="1"/>
  <c r="H586" i="4" s="1"/>
  <c r="H591" i="4" s="1"/>
  <c r="H596" i="4" s="1"/>
  <c r="H601" i="4" s="1"/>
  <c r="H606" i="4" s="1"/>
  <c r="H611" i="4" s="1"/>
  <c r="H616" i="4" s="1"/>
  <c r="H621" i="4" s="1"/>
  <c r="H626" i="4" s="1"/>
  <c r="H631" i="4" s="1"/>
  <c r="H636" i="4" s="1"/>
  <c r="H641" i="4" s="1"/>
  <c r="H646" i="4" s="1"/>
  <c r="H651" i="4" s="1"/>
  <c r="H656" i="4" s="1"/>
  <c r="H13" i="4"/>
  <c r="H14" i="4"/>
  <c r="H15" i="4"/>
  <c r="H20" i="4" s="1"/>
  <c r="H25" i="4" s="1"/>
  <c r="H30" i="4" s="1"/>
  <c r="H35" i="4" s="1"/>
  <c r="H40" i="4" s="1"/>
  <c r="H45" i="4" s="1"/>
  <c r="H50" i="4" s="1"/>
  <c r="H55" i="4" s="1"/>
  <c r="H60" i="4" s="1"/>
  <c r="H65" i="4" s="1"/>
  <c r="H70" i="4" s="1"/>
  <c r="H75" i="4" s="1"/>
  <c r="H80" i="4" s="1"/>
  <c r="H85" i="4" s="1"/>
  <c r="H90" i="4" s="1"/>
  <c r="H95" i="4" s="1"/>
  <c r="H100" i="4" s="1"/>
  <c r="H105" i="4" s="1"/>
  <c r="H110" i="4" s="1"/>
  <c r="H115" i="4" s="1"/>
  <c r="H120" i="4" s="1"/>
  <c r="H125" i="4" s="1"/>
  <c r="H130" i="4" s="1"/>
  <c r="H135" i="4" s="1"/>
  <c r="H140" i="4" s="1"/>
  <c r="H145" i="4" s="1"/>
  <c r="H150" i="4" s="1"/>
  <c r="H155" i="4" s="1"/>
  <c r="H160" i="4" s="1"/>
  <c r="H165" i="4" s="1"/>
  <c r="H170" i="4" s="1"/>
  <c r="H175" i="4" s="1"/>
  <c r="H180" i="4" s="1"/>
  <c r="H185" i="4" s="1"/>
  <c r="H190" i="4" s="1"/>
  <c r="H195" i="4" s="1"/>
  <c r="H200" i="4" s="1"/>
  <c r="H205" i="4" s="1"/>
  <c r="H210" i="4" s="1"/>
  <c r="H215" i="4" s="1"/>
  <c r="H220" i="4" s="1"/>
  <c r="H225" i="4" s="1"/>
  <c r="H230" i="4" s="1"/>
  <c r="H235" i="4" s="1"/>
  <c r="H240" i="4" s="1"/>
  <c r="H245" i="4" s="1"/>
  <c r="H250" i="4" s="1"/>
  <c r="H255" i="4" s="1"/>
  <c r="H260" i="4" s="1"/>
  <c r="H265" i="4" s="1"/>
  <c r="H270" i="4" s="1"/>
  <c r="H275" i="4" s="1"/>
  <c r="H280" i="4" s="1"/>
  <c r="H285" i="4" s="1"/>
  <c r="H290" i="4" s="1"/>
  <c r="H295" i="4" s="1"/>
  <c r="H300" i="4" s="1"/>
  <c r="H305" i="4" s="1"/>
  <c r="H310" i="4" s="1"/>
  <c r="H315" i="4" s="1"/>
  <c r="H320" i="4" s="1"/>
  <c r="H325" i="4" s="1"/>
  <c r="H330" i="4" s="1"/>
  <c r="H335" i="4" s="1"/>
  <c r="H340" i="4" s="1"/>
  <c r="H345" i="4" s="1"/>
  <c r="H350" i="4" s="1"/>
  <c r="H355" i="4" s="1"/>
  <c r="H360" i="4" s="1"/>
  <c r="H365" i="4" s="1"/>
  <c r="H370" i="4" s="1"/>
  <c r="H375" i="4" s="1"/>
  <c r="H380" i="4" s="1"/>
  <c r="H385" i="4" s="1"/>
  <c r="H390" i="4" s="1"/>
  <c r="H395" i="4" s="1"/>
  <c r="H400" i="4" s="1"/>
  <c r="H405" i="4" s="1"/>
  <c r="H410" i="4" s="1"/>
  <c r="H415" i="4" s="1"/>
  <c r="H420" i="4" s="1"/>
  <c r="H425" i="4" s="1"/>
  <c r="H430" i="4" s="1"/>
  <c r="H435" i="4" s="1"/>
  <c r="H440" i="4" s="1"/>
  <c r="H445" i="4" s="1"/>
  <c r="H450" i="4" s="1"/>
  <c r="H455" i="4" s="1"/>
  <c r="H460" i="4" s="1"/>
  <c r="H465" i="4" s="1"/>
  <c r="H470" i="4" s="1"/>
  <c r="H475" i="4" s="1"/>
  <c r="H480" i="4" s="1"/>
  <c r="H485" i="4" s="1"/>
  <c r="H490" i="4" s="1"/>
  <c r="H495" i="4" s="1"/>
  <c r="H500" i="4" s="1"/>
  <c r="H505" i="4" s="1"/>
  <c r="H510" i="4" s="1"/>
  <c r="H515" i="4" s="1"/>
  <c r="H520" i="4" s="1"/>
  <c r="H525" i="4" s="1"/>
  <c r="H530" i="4" s="1"/>
  <c r="H535" i="4" s="1"/>
  <c r="H540" i="4" s="1"/>
  <c r="H545" i="4" s="1"/>
  <c r="H550" i="4" s="1"/>
  <c r="H555" i="4" s="1"/>
  <c r="H560" i="4" s="1"/>
  <c r="H565" i="4" s="1"/>
  <c r="H570" i="4" s="1"/>
  <c r="H575" i="4" s="1"/>
  <c r="H580" i="4" s="1"/>
  <c r="H585" i="4" s="1"/>
  <c r="H590" i="4" s="1"/>
  <c r="H595" i="4" s="1"/>
  <c r="H600" i="4" s="1"/>
  <c r="H605" i="4" s="1"/>
  <c r="H610" i="4" s="1"/>
  <c r="H615" i="4" s="1"/>
  <c r="H620" i="4" s="1"/>
  <c r="H625" i="4" s="1"/>
  <c r="H630" i="4" s="1"/>
  <c r="H635" i="4" s="1"/>
  <c r="H640" i="4" s="1"/>
  <c r="H645" i="4" s="1"/>
  <c r="H650" i="4" s="1"/>
  <c r="H655" i="4" s="1"/>
  <c r="H660" i="4" s="1"/>
  <c r="H665" i="4" s="1"/>
  <c r="H670" i="4" s="1"/>
  <c r="H675" i="4" s="1"/>
  <c r="H680" i="4" s="1"/>
  <c r="H685" i="4" s="1"/>
  <c r="H690" i="4" s="1"/>
  <c r="H695" i="4" s="1"/>
  <c r="H700" i="4" s="1"/>
  <c r="H18" i="4"/>
  <c r="H19" i="4"/>
  <c r="H24" i="4" s="1"/>
  <c r="H29" i="4" s="1"/>
  <c r="H34" i="4" s="1"/>
  <c r="H39" i="4" s="1"/>
  <c r="H44" i="4" s="1"/>
  <c r="H49" i="4" s="1"/>
  <c r="H54" i="4" s="1"/>
  <c r="H59" i="4" s="1"/>
  <c r="H64" i="4" s="1"/>
  <c r="H69" i="4" s="1"/>
  <c r="H74" i="4" s="1"/>
  <c r="H79" i="4" s="1"/>
  <c r="H84" i="4" s="1"/>
  <c r="H89" i="4" s="1"/>
  <c r="H94" i="4" s="1"/>
  <c r="H99" i="4" s="1"/>
  <c r="H104" i="4" s="1"/>
  <c r="H109" i="4" s="1"/>
  <c r="H114" i="4" s="1"/>
  <c r="H119" i="4" s="1"/>
  <c r="H124" i="4" s="1"/>
  <c r="H129" i="4" s="1"/>
  <c r="H134" i="4" s="1"/>
  <c r="H139" i="4" s="1"/>
  <c r="H144" i="4" s="1"/>
  <c r="H149" i="4" s="1"/>
  <c r="H154" i="4" s="1"/>
  <c r="H159" i="4" s="1"/>
  <c r="H164" i="4" s="1"/>
  <c r="H169" i="4" s="1"/>
  <c r="H174" i="4" s="1"/>
  <c r="H179" i="4" s="1"/>
  <c r="H184" i="4" s="1"/>
  <c r="H189" i="4" s="1"/>
  <c r="H194" i="4" s="1"/>
  <c r="H199" i="4" s="1"/>
  <c r="H204" i="4" s="1"/>
  <c r="H209" i="4" s="1"/>
  <c r="H214" i="4" s="1"/>
  <c r="H219" i="4" s="1"/>
  <c r="H224" i="4" s="1"/>
  <c r="H229" i="4" s="1"/>
  <c r="H234" i="4" s="1"/>
  <c r="H239" i="4" s="1"/>
  <c r="H244" i="4" s="1"/>
  <c r="H249" i="4" s="1"/>
  <c r="H254" i="4" s="1"/>
  <c r="H259" i="4" s="1"/>
  <c r="H264" i="4" s="1"/>
  <c r="H269" i="4" s="1"/>
  <c r="H274" i="4" s="1"/>
  <c r="H279" i="4" s="1"/>
  <c r="H284" i="4" s="1"/>
  <c r="H289" i="4" s="1"/>
  <c r="H294" i="4" s="1"/>
  <c r="H299" i="4" s="1"/>
  <c r="H304" i="4" s="1"/>
  <c r="H309" i="4" s="1"/>
  <c r="H314" i="4" s="1"/>
  <c r="H319" i="4" s="1"/>
  <c r="H324" i="4" s="1"/>
  <c r="H329" i="4" s="1"/>
  <c r="H334" i="4" s="1"/>
  <c r="H339" i="4" s="1"/>
  <c r="H344" i="4" s="1"/>
  <c r="H349" i="4" s="1"/>
  <c r="H354" i="4" s="1"/>
  <c r="H359" i="4" s="1"/>
  <c r="H364" i="4" s="1"/>
  <c r="H369" i="4" s="1"/>
  <c r="H374" i="4" s="1"/>
  <c r="H379" i="4" s="1"/>
  <c r="H384" i="4" s="1"/>
  <c r="H389" i="4" s="1"/>
  <c r="H394" i="4" s="1"/>
  <c r="H399" i="4" s="1"/>
  <c r="H404" i="4" s="1"/>
  <c r="H409" i="4" s="1"/>
  <c r="H414" i="4" s="1"/>
  <c r="H419" i="4" s="1"/>
  <c r="H424" i="4" s="1"/>
  <c r="H429" i="4" s="1"/>
  <c r="H434" i="4" s="1"/>
  <c r="H439" i="4" s="1"/>
  <c r="H444" i="4" s="1"/>
  <c r="H449" i="4" s="1"/>
  <c r="H454" i="4" s="1"/>
  <c r="H459" i="4" s="1"/>
  <c r="H464" i="4" s="1"/>
  <c r="H469" i="4" s="1"/>
  <c r="H474" i="4" s="1"/>
  <c r="H479" i="4" s="1"/>
  <c r="H484" i="4" s="1"/>
  <c r="H489" i="4" s="1"/>
  <c r="H494" i="4" s="1"/>
  <c r="H499" i="4" s="1"/>
  <c r="H504" i="4" s="1"/>
  <c r="H509" i="4" s="1"/>
  <c r="H514" i="4" s="1"/>
  <c r="H519" i="4" s="1"/>
  <c r="H524" i="4" s="1"/>
  <c r="H529" i="4" s="1"/>
  <c r="H534" i="4" s="1"/>
  <c r="H539" i="4" s="1"/>
  <c r="H544" i="4" s="1"/>
  <c r="H549" i="4" s="1"/>
  <c r="H554" i="4" s="1"/>
  <c r="H559" i="4" s="1"/>
  <c r="H564" i="4" s="1"/>
  <c r="H569" i="4" s="1"/>
  <c r="H574" i="4" s="1"/>
  <c r="H579" i="4" s="1"/>
  <c r="H584" i="4" s="1"/>
  <c r="H589" i="4" s="1"/>
  <c r="H594" i="4" s="1"/>
  <c r="H599" i="4" s="1"/>
  <c r="H604" i="4" s="1"/>
  <c r="H609" i="4" s="1"/>
  <c r="H614" i="4" s="1"/>
  <c r="H619" i="4" s="1"/>
  <c r="H624" i="4" s="1"/>
  <c r="H629" i="4" s="1"/>
  <c r="H634" i="4" s="1"/>
  <c r="H639" i="4" s="1"/>
  <c r="H644" i="4" s="1"/>
  <c r="H649" i="4" s="1"/>
  <c r="H654" i="4" s="1"/>
  <c r="H659" i="4" s="1"/>
  <c r="H23" i="4"/>
  <c r="H28" i="4" s="1"/>
  <c r="H33" i="4" s="1"/>
  <c r="H38" i="4" s="1"/>
  <c r="H43" i="4" s="1"/>
  <c r="H48" i="4" s="1"/>
  <c r="H53" i="4" s="1"/>
  <c r="H58" i="4" s="1"/>
  <c r="H63" i="4" s="1"/>
  <c r="H68" i="4" s="1"/>
  <c r="H73" i="4" s="1"/>
  <c r="H78" i="4" s="1"/>
  <c r="H83" i="4" s="1"/>
  <c r="H88" i="4" s="1"/>
  <c r="H93" i="4" s="1"/>
  <c r="H98" i="4" s="1"/>
  <c r="H103" i="4" s="1"/>
  <c r="H108" i="4" s="1"/>
  <c r="H113" i="4" s="1"/>
  <c r="H118" i="4" s="1"/>
  <c r="H123" i="4" s="1"/>
  <c r="H128" i="4" s="1"/>
  <c r="H133" i="4" s="1"/>
  <c r="H138" i="4" s="1"/>
  <c r="H143" i="4" s="1"/>
  <c r="H148" i="4" s="1"/>
  <c r="H153" i="4" s="1"/>
  <c r="H158" i="4" s="1"/>
  <c r="H163" i="4" s="1"/>
  <c r="H168" i="4" s="1"/>
  <c r="H173" i="4" s="1"/>
  <c r="H178" i="4" s="1"/>
  <c r="H183" i="4" s="1"/>
  <c r="H188" i="4" s="1"/>
  <c r="H193" i="4" s="1"/>
  <c r="H198" i="4" s="1"/>
  <c r="H203" i="4" s="1"/>
  <c r="H208" i="4" s="1"/>
  <c r="H213" i="4" s="1"/>
  <c r="H218" i="4" s="1"/>
  <c r="H223" i="4" s="1"/>
  <c r="H228" i="4" s="1"/>
  <c r="H233" i="4" s="1"/>
  <c r="H238" i="4" s="1"/>
  <c r="H243" i="4" s="1"/>
  <c r="H248" i="4" s="1"/>
  <c r="H253" i="4" s="1"/>
  <c r="H258" i="4" s="1"/>
  <c r="H263" i="4" s="1"/>
  <c r="H268" i="4" s="1"/>
  <c r="H273" i="4" s="1"/>
  <c r="H278" i="4" s="1"/>
  <c r="H283" i="4" s="1"/>
  <c r="H288" i="4" s="1"/>
  <c r="H293" i="4" s="1"/>
  <c r="H298" i="4" s="1"/>
  <c r="H303" i="4" s="1"/>
  <c r="H308" i="4" s="1"/>
  <c r="H313" i="4" s="1"/>
  <c r="H318" i="4" s="1"/>
  <c r="H323" i="4" s="1"/>
  <c r="H328" i="4" s="1"/>
  <c r="H333" i="4" s="1"/>
  <c r="H338" i="4" s="1"/>
  <c r="H343" i="4" s="1"/>
  <c r="H348" i="4" s="1"/>
  <c r="H353" i="4" s="1"/>
  <c r="H358" i="4" s="1"/>
  <c r="H363" i="4" s="1"/>
  <c r="H368" i="4" s="1"/>
  <c r="H373" i="4" s="1"/>
  <c r="H378" i="4" s="1"/>
  <c r="H383" i="4" s="1"/>
  <c r="H388" i="4" s="1"/>
  <c r="H393" i="4" s="1"/>
  <c r="H398" i="4" s="1"/>
  <c r="H403" i="4" s="1"/>
  <c r="H408" i="4" s="1"/>
  <c r="H413" i="4" s="1"/>
  <c r="H418" i="4" s="1"/>
  <c r="H423" i="4" s="1"/>
  <c r="H428" i="4" s="1"/>
  <c r="H433" i="4" s="1"/>
  <c r="H438" i="4" s="1"/>
  <c r="H443" i="4" s="1"/>
  <c r="H448" i="4" s="1"/>
  <c r="H453" i="4" s="1"/>
  <c r="H458" i="4" s="1"/>
  <c r="H463" i="4" s="1"/>
  <c r="H468" i="4" s="1"/>
  <c r="H473" i="4" s="1"/>
  <c r="H478" i="4" s="1"/>
  <c r="H483" i="4" s="1"/>
  <c r="H488" i="4" s="1"/>
  <c r="H493" i="4" s="1"/>
  <c r="H498" i="4" s="1"/>
  <c r="H503" i="4" s="1"/>
  <c r="H508" i="4" s="1"/>
  <c r="H513" i="4" s="1"/>
  <c r="H518" i="4" s="1"/>
  <c r="H523" i="4" s="1"/>
  <c r="H528" i="4" s="1"/>
  <c r="H533" i="4" s="1"/>
  <c r="H538" i="4" s="1"/>
  <c r="H543" i="4" s="1"/>
  <c r="H548" i="4" s="1"/>
  <c r="H553" i="4" s="1"/>
  <c r="H558" i="4" s="1"/>
  <c r="H563" i="4" s="1"/>
  <c r="H568" i="4" s="1"/>
  <c r="H573" i="4" s="1"/>
  <c r="H578" i="4" s="1"/>
  <c r="H583" i="4" s="1"/>
  <c r="H588" i="4" s="1"/>
  <c r="H593" i="4" s="1"/>
  <c r="H598" i="4" s="1"/>
  <c r="H603" i="4" s="1"/>
  <c r="H608" i="4" s="1"/>
  <c r="H613" i="4" s="1"/>
  <c r="H618" i="4" s="1"/>
  <c r="H623" i="4" s="1"/>
  <c r="H628" i="4" s="1"/>
  <c r="H633" i="4" s="1"/>
  <c r="H638" i="4" s="1"/>
  <c r="H643" i="4" s="1"/>
  <c r="H648" i="4" s="1"/>
  <c r="H653" i="4" s="1"/>
  <c r="H658" i="4" s="1"/>
  <c r="H663" i="4" s="1"/>
  <c r="H668" i="4" s="1"/>
  <c r="H673" i="4" s="1"/>
  <c r="H678" i="4" s="1"/>
  <c r="H683" i="4" s="1"/>
  <c r="H688" i="4" s="1"/>
  <c r="H693" i="4" s="1"/>
  <c r="H698" i="4" s="1"/>
  <c r="H661" i="4"/>
  <c r="H664" i="4"/>
  <c r="H666" i="4"/>
  <c r="H669" i="4"/>
  <c r="H671" i="4"/>
  <c r="H674" i="4"/>
  <c r="H676" i="4"/>
  <c r="H679" i="4"/>
  <c r="H681" i="4"/>
  <c r="H684" i="4"/>
  <c r="H686" i="4"/>
  <c r="H689" i="4"/>
  <c r="H691" i="4"/>
  <c r="H694" i="4"/>
  <c r="H696" i="4"/>
  <c r="H699" i="4"/>
  <c r="H701" i="4"/>
  <c r="H7" i="4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5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52" i="11"/>
  <c r="O7" i="9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C6" i="4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5" i="10"/>
  <c r="N8" i="9"/>
  <c r="N9" i="9"/>
  <c r="N10" i="9"/>
  <c r="N11" i="9"/>
  <c r="N12" i="9"/>
  <c r="N13" i="9"/>
  <c r="N14" i="9"/>
  <c r="J5" i="10" s="1"/>
  <c r="N15" i="9"/>
  <c r="J6" i="10" s="1"/>
  <c r="N16" i="9"/>
  <c r="J7" i="10" s="1"/>
  <c r="N17" i="9"/>
  <c r="J8" i="10" s="1"/>
  <c r="N18" i="9"/>
  <c r="J9" i="10" s="1"/>
  <c r="N19" i="9"/>
  <c r="J10" i="10" s="1"/>
  <c r="N20" i="9"/>
  <c r="N21" i="9"/>
  <c r="N22" i="9"/>
  <c r="N23" i="9"/>
  <c r="N24" i="9"/>
  <c r="J12" i="10" s="1"/>
  <c r="N25" i="9"/>
  <c r="N26" i="9"/>
  <c r="N27" i="9"/>
  <c r="N28" i="9"/>
  <c r="J13" i="10" s="1"/>
  <c r="N29" i="9"/>
  <c r="J14" i="10" s="1"/>
  <c r="N30" i="9"/>
  <c r="J15" i="10" s="1"/>
  <c r="N31" i="9"/>
  <c r="J16" i="10" s="1"/>
  <c r="N32" i="9"/>
  <c r="J17" i="10" s="1"/>
  <c r="N33" i="9"/>
  <c r="J18" i="10" s="1"/>
  <c r="N34" i="9"/>
  <c r="J19" i="10" s="1"/>
  <c r="N35" i="9"/>
  <c r="J20" i="10" s="1"/>
  <c r="N36" i="9"/>
  <c r="J21" i="10" s="1"/>
  <c r="N37" i="9"/>
  <c r="J22" i="10" s="1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J23" i="10" s="1"/>
  <c r="N84" i="9"/>
  <c r="J24" i="10" s="1"/>
  <c r="N85" i="9"/>
  <c r="J25" i="10" s="1"/>
  <c r="N86" i="9"/>
  <c r="J26" i="10" s="1"/>
  <c r="N87" i="9"/>
  <c r="J27" i="10" s="1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J28" i="10" s="1"/>
  <c r="N121" i="9"/>
  <c r="J29" i="10" s="1"/>
  <c r="N122" i="9"/>
  <c r="N123" i="9"/>
  <c r="N124" i="9"/>
  <c r="N125" i="9"/>
  <c r="N126" i="9"/>
  <c r="N127" i="9"/>
  <c r="N128" i="9"/>
  <c r="N129" i="9"/>
  <c r="N130" i="9"/>
  <c r="J30" i="10" s="1"/>
  <c r="N131" i="9"/>
  <c r="J31" i="10" s="1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J32" i="10" s="1"/>
  <c r="N149" i="9"/>
  <c r="J33" i="10" s="1"/>
  <c r="N150" i="9"/>
  <c r="J34" i="10" s="1"/>
  <c r="N151" i="9"/>
  <c r="J35" i="10" s="1"/>
  <c r="N152" i="9"/>
  <c r="J36" i="10" s="1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J37" i="10" s="1"/>
  <c r="N168" i="9"/>
  <c r="N169" i="9"/>
  <c r="N170" i="9"/>
  <c r="N171" i="9"/>
  <c r="N172" i="9"/>
  <c r="J38" i="10" s="1"/>
  <c r="N173" i="9"/>
  <c r="N174" i="9"/>
  <c r="N175" i="9"/>
  <c r="N176" i="9"/>
  <c r="N177" i="9"/>
  <c r="N178" i="9"/>
  <c r="J39" i="10" s="1"/>
  <c r="N179" i="9"/>
  <c r="J40" i="10" s="1"/>
  <c r="N180" i="9"/>
  <c r="N181" i="9"/>
  <c r="N182" i="9"/>
  <c r="N183" i="9"/>
  <c r="N184" i="9"/>
  <c r="N185" i="9"/>
  <c r="N186" i="9"/>
  <c r="N187" i="9"/>
  <c r="N188" i="9"/>
  <c r="J41" i="10" s="1"/>
  <c r="N189" i="9"/>
  <c r="J42" i="10" s="1"/>
  <c r="N190" i="9"/>
  <c r="J43" i="10" s="1"/>
  <c r="N191" i="9"/>
  <c r="J44" i="10" s="1"/>
  <c r="N192" i="9"/>
  <c r="J45" i="10" s="1"/>
  <c r="N193" i="9"/>
  <c r="J46" i="10" s="1"/>
  <c r="N194" i="9"/>
  <c r="J47" i="10" s="1"/>
  <c r="N195" i="9"/>
  <c r="N196" i="9"/>
  <c r="J48" i="10" s="1"/>
  <c r="N7" i="9"/>
  <c r="V54" i="11" l="1"/>
  <c r="V62" i="11"/>
  <c r="V78" i="11"/>
  <c r="S66" i="11"/>
  <c r="S98" i="11"/>
  <c r="S110" i="11"/>
  <c r="V75" i="11"/>
  <c r="V83" i="11"/>
  <c r="V103" i="11"/>
  <c r="S51" i="11"/>
  <c r="S107" i="11"/>
  <c r="S123" i="11"/>
  <c r="J49" i="11"/>
  <c r="V72" i="11"/>
  <c r="V80" i="11"/>
  <c r="V104" i="11"/>
  <c r="S120" i="11"/>
  <c r="V61" i="11"/>
  <c r="V69" i="11"/>
  <c r="V93" i="11"/>
  <c r="V117" i="11"/>
  <c r="V133" i="11"/>
  <c r="S93" i="11"/>
  <c r="V66" i="11"/>
  <c r="V70" i="11"/>
  <c r="V102" i="11"/>
  <c r="V110" i="11"/>
  <c r="V130" i="11"/>
  <c r="S74" i="11"/>
  <c r="S78" i="11"/>
  <c r="V63" i="11"/>
  <c r="V111" i="11"/>
  <c r="V123" i="11"/>
  <c r="S59" i="11"/>
  <c r="S83" i="11"/>
  <c r="J45" i="11"/>
  <c r="V52" i="11"/>
  <c r="V68" i="11"/>
  <c r="V96" i="11"/>
  <c r="V116" i="11"/>
  <c r="V128" i="11"/>
  <c r="S68" i="11"/>
  <c r="S104" i="11"/>
  <c r="V73" i="11"/>
  <c r="V97" i="11"/>
  <c r="V101" i="11"/>
  <c r="V105" i="11"/>
  <c r="V125" i="11"/>
  <c r="V137" i="11"/>
  <c r="V141" i="11"/>
  <c r="S45" i="11"/>
  <c r="P38" i="11"/>
  <c r="S19" i="11"/>
  <c r="J41" i="11"/>
  <c r="P44" i="11"/>
  <c r="P96" i="11"/>
  <c r="J36" i="11"/>
  <c r="V20" i="11"/>
  <c r="P24" i="11"/>
  <c r="V17" i="11"/>
  <c r="S33" i="11"/>
  <c r="V38" i="11"/>
  <c r="S22" i="11"/>
  <c r="P106" i="11"/>
  <c r="J32" i="11"/>
  <c r="S43" i="11"/>
  <c r="P99" i="11"/>
  <c r="S20" i="11"/>
  <c r="P92" i="11"/>
  <c r="P81" i="11"/>
  <c r="P117" i="11"/>
  <c r="P58" i="11"/>
  <c r="J28" i="11"/>
  <c r="P23" i="11"/>
  <c r="V32" i="11"/>
  <c r="P76" i="11"/>
  <c r="V50" i="11"/>
  <c r="P86" i="11"/>
  <c r="J24" i="11"/>
  <c r="P63" i="11"/>
  <c r="P111" i="11"/>
  <c r="P140" i="11"/>
  <c r="P105" i="11"/>
  <c r="J20" i="11"/>
  <c r="V39" i="11"/>
  <c r="P27" i="11"/>
  <c r="S41" i="11"/>
  <c r="P93" i="11"/>
  <c r="S14" i="11"/>
  <c r="M18" i="11"/>
  <c r="P15" i="11"/>
  <c r="P55" i="11"/>
  <c r="P79" i="11"/>
  <c r="P91" i="11"/>
  <c r="M43" i="11"/>
  <c r="M55" i="11"/>
  <c r="J13" i="11"/>
  <c r="V12" i="11"/>
  <c r="V24" i="11"/>
  <c r="S16" i="11"/>
  <c r="P60" i="11"/>
  <c r="P120" i="11"/>
  <c r="M60" i="11"/>
  <c r="S29" i="11"/>
  <c r="P57" i="11"/>
  <c r="M73" i="11"/>
  <c r="S10" i="11"/>
  <c r="M10" i="11"/>
  <c r="M46" i="11"/>
  <c r="J8" i="11"/>
  <c r="V7" i="11"/>
  <c r="V15" i="11"/>
  <c r="V27" i="11"/>
  <c r="S7" i="11"/>
  <c r="P11" i="11"/>
  <c r="M7" i="11"/>
  <c r="P12" i="11"/>
  <c r="P16" i="11"/>
  <c r="M64" i="11"/>
  <c r="M92" i="11"/>
  <c r="M21" i="11"/>
  <c r="M25" i="11"/>
  <c r="M57" i="11"/>
  <c r="P144" i="10"/>
  <c r="P140" i="10"/>
  <c r="P136" i="10"/>
  <c r="P132" i="10"/>
  <c r="P128" i="10"/>
  <c r="P124" i="10"/>
  <c r="P120" i="10"/>
  <c r="P116" i="10"/>
  <c r="P112" i="10"/>
  <c r="P108" i="10"/>
  <c r="P104" i="10"/>
  <c r="P100" i="10"/>
  <c r="P96" i="10"/>
  <c r="P92" i="10"/>
  <c r="P88" i="10"/>
  <c r="P84" i="10"/>
  <c r="P80" i="10"/>
  <c r="P76" i="10"/>
  <c r="P72" i="10"/>
  <c r="P68" i="10"/>
  <c r="P64" i="10"/>
  <c r="P60" i="10"/>
  <c r="P56" i="10"/>
  <c r="P52" i="10"/>
  <c r="P48" i="10"/>
  <c r="P44" i="10"/>
  <c r="P40" i="10"/>
  <c r="P36" i="10"/>
  <c r="P32" i="10"/>
  <c r="P28" i="10"/>
  <c r="P24" i="10"/>
  <c r="P20" i="10"/>
  <c r="P16" i="10"/>
  <c r="P12" i="10"/>
  <c r="P8" i="10"/>
  <c r="S144" i="10"/>
  <c r="J52" i="11"/>
  <c r="J141" i="11"/>
  <c r="J137" i="11"/>
  <c r="J133" i="11"/>
  <c r="J129" i="11"/>
  <c r="J125" i="11"/>
  <c r="J121" i="11"/>
  <c r="J117" i="11"/>
  <c r="J113" i="11"/>
  <c r="J109" i="11"/>
  <c r="J105" i="11"/>
  <c r="J101" i="11"/>
  <c r="J96" i="11"/>
  <c r="J92" i="11"/>
  <c r="J88" i="11"/>
  <c r="J84" i="11"/>
  <c r="J80" i="11"/>
  <c r="J76" i="11"/>
  <c r="J72" i="11"/>
  <c r="J68" i="11"/>
  <c r="J64" i="11"/>
  <c r="J60" i="11"/>
  <c r="J56" i="11"/>
  <c r="V10" i="11"/>
  <c r="S6" i="11"/>
  <c r="P10" i="11"/>
  <c r="M62" i="11"/>
  <c r="M74" i="11"/>
  <c r="V47" i="11"/>
  <c r="M71" i="11"/>
  <c r="M99" i="11"/>
  <c r="J5" i="11"/>
  <c r="S8" i="11"/>
  <c r="M56" i="11"/>
  <c r="S13" i="11"/>
  <c r="M69" i="11"/>
  <c r="M89" i="11"/>
  <c r="V58" i="11"/>
  <c r="V74" i="11"/>
  <c r="V106" i="11"/>
  <c r="V114" i="11"/>
  <c r="V134" i="11"/>
  <c r="V131" i="11"/>
  <c r="V135" i="11"/>
  <c r="V144" i="11"/>
  <c r="V81" i="11"/>
  <c r="J51" i="11"/>
  <c r="V82" i="11"/>
  <c r="V98" i="11"/>
  <c r="V118" i="11"/>
  <c r="S46" i="11"/>
  <c r="S50" i="11"/>
  <c r="S62" i="11"/>
  <c r="S90" i="11"/>
  <c r="S106" i="11"/>
  <c r="S118" i="11"/>
  <c r="S122" i="11"/>
  <c r="J48" i="11"/>
  <c r="V71" i="11"/>
  <c r="V99" i="11"/>
  <c r="V139" i="11"/>
  <c r="S71" i="11"/>
  <c r="S79" i="11"/>
  <c r="S87" i="11"/>
  <c r="S99" i="11"/>
  <c r="V64" i="11"/>
  <c r="V84" i="11"/>
  <c r="S52" i="11"/>
  <c r="S76" i="11"/>
  <c r="V53" i="11"/>
  <c r="V109" i="11"/>
  <c r="V113" i="11"/>
  <c r="V121" i="11"/>
  <c r="S49" i="11"/>
  <c r="S61" i="11"/>
  <c r="S101" i="11"/>
  <c r="J44" i="11"/>
  <c r="S47" i="11"/>
  <c r="S55" i="11"/>
  <c r="S95" i="11"/>
  <c r="S56" i="11"/>
  <c r="S60" i="11"/>
  <c r="S84" i="11"/>
  <c r="S112" i="11"/>
  <c r="V49" i="11"/>
  <c r="S109" i="11"/>
  <c r="V42" i="11"/>
  <c r="P42" i="11"/>
  <c r="J40" i="11"/>
  <c r="P19" i="11"/>
  <c r="P21" i="11"/>
  <c r="P25" i="11"/>
  <c r="P90" i="11"/>
  <c r="P94" i="11"/>
  <c r="P31" i="11"/>
  <c r="P59" i="11"/>
  <c r="V48" i="11"/>
  <c r="P68" i="11"/>
  <c r="S17" i="11"/>
  <c r="P41" i="11"/>
  <c r="J35" i="11"/>
  <c r="P118" i="11"/>
  <c r="P142" i="11"/>
  <c r="V51" i="11"/>
  <c r="S39" i="11"/>
  <c r="P123" i="11"/>
  <c r="P112" i="11"/>
  <c r="V25" i="11"/>
  <c r="J31" i="11"/>
  <c r="P34" i="11"/>
  <c r="P66" i="11"/>
  <c r="V31" i="11"/>
  <c r="P43" i="11"/>
  <c r="V40" i="11"/>
  <c r="P36" i="11"/>
  <c r="P88" i="11"/>
  <c r="P29" i="11"/>
  <c r="P109" i="11"/>
  <c r="J27" i="11"/>
  <c r="V35" i="11"/>
  <c r="P87" i="11"/>
  <c r="V28" i="11"/>
  <c r="P56" i="11"/>
  <c r="V33" i="11"/>
  <c r="S21" i="11"/>
  <c r="P45" i="11"/>
  <c r="P65" i="11"/>
  <c r="P85" i="11"/>
  <c r="J23" i="11"/>
  <c r="P62" i="11"/>
  <c r="S31" i="11"/>
  <c r="P115" i="11"/>
  <c r="P127" i="11"/>
  <c r="S32" i="11"/>
  <c r="P113" i="11"/>
  <c r="P141" i="11"/>
  <c r="J19" i="11"/>
  <c r="V14" i="11"/>
  <c r="P14" i="11"/>
  <c r="P134" i="11"/>
  <c r="M26" i="11"/>
  <c r="M42" i="11"/>
  <c r="J16" i="11"/>
  <c r="V36" i="11"/>
  <c r="P80" i="11"/>
  <c r="M16" i="11"/>
  <c r="P37" i="11"/>
  <c r="M29" i="11"/>
  <c r="M49" i="11"/>
  <c r="M85" i="11"/>
  <c r="V18" i="11"/>
  <c r="M66" i="11"/>
  <c r="M82" i="11"/>
  <c r="M90" i="11"/>
  <c r="J12" i="11"/>
  <c r="S27" i="11"/>
  <c r="P51" i="11"/>
  <c r="P107" i="11"/>
  <c r="M91" i="11"/>
  <c r="V16" i="11"/>
  <c r="P64" i="11"/>
  <c r="P100" i="11"/>
  <c r="M24" i="11"/>
  <c r="M32" i="11"/>
  <c r="M96" i="11"/>
  <c r="M13" i="11"/>
  <c r="M17" i="11"/>
  <c r="M41" i="11"/>
  <c r="M14" i="11"/>
  <c r="M38" i="11"/>
  <c r="M50" i="11"/>
  <c r="M94" i="11"/>
  <c r="P7" i="11"/>
  <c r="M75" i="11"/>
  <c r="M87" i="11"/>
  <c r="M95" i="11"/>
  <c r="S36" i="11"/>
  <c r="V21" i="11"/>
  <c r="M9" i="11"/>
  <c r="M33" i="11"/>
  <c r="J11" i="11"/>
  <c r="V11" i="11"/>
  <c r="M27" i="11"/>
  <c r="M35" i="11"/>
  <c r="V8" i="11"/>
  <c r="S12" i="11"/>
  <c r="P8" i="11"/>
  <c r="M8" i="11"/>
  <c r="M20" i="11"/>
  <c r="V13" i="11"/>
  <c r="V41" i="11"/>
  <c r="V5" i="11"/>
  <c r="S9" i="11"/>
  <c r="M37" i="11"/>
  <c r="J7" i="11"/>
  <c r="P143" i="10"/>
  <c r="P139" i="10"/>
  <c r="P135" i="10"/>
  <c r="P131" i="10"/>
  <c r="P127" i="10"/>
  <c r="P123" i="10"/>
  <c r="P119" i="10"/>
  <c r="P115" i="10"/>
  <c r="P111" i="10"/>
  <c r="P107" i="10"/>
  <c r="P103" i="10"/>
  <c r="P99" i="10"/>
  <c r="P95" i="10"/>
  <c r="P91" i="10"/>
  <c r="P87" i="10"/>
  <c r="P83" i="10"/>
  <c r="P79" i="10"/>
  <c r="P75" i="10"/>
  <c r="P71" i="10"/>
  <c r="P67" i="10"/>
  <c r="P63" i="10"/>
  <c r="P59" i="10"/>
  <c r="P55" i="10"/>
  <c r="P51" i="10"/>
  <c r="P47" i="10"/>
  <c r="P43" i="10"/>
  <c r="P39" i="10"/>
  <c r="P35" i="10"/>
  <c r="P31" i="10"/>
  <c r="P27" i="10"/>
  <c r="P23" i="10"/>
  <c r="P19" i="10"/>
  <c r="P15" i="10"/>
  <c r="P11" i="10"/>
  <c r="P7" i="10"/>
  <c r="S143" i="10"/>
  <c r="J144" i="11"/>
  <c r="J140" i="11"/>
  <c r="J136" i="11"/>
  <c r="J132" i="11"/>
  <c r="J128" i="11"/>
  <c r="J124" i="11"/>
  <c r="J120" i="11"/>
  <c r="J116" i="11"/>
  <c r="J112" i="11"/>
  <c r="J108" i="11"/>
  <c r="J104" i="11"/>
  <c r="J100" i="11"/>
  <c r="J95" i="11"/>
  <c r="J91" i="11"/>
  <c r="J87" i="11"/>
  <c r="J83" i="11"/>
  <c r="J79" i="11"/>
  <c r="J75" i="11"/>
  <c r="J71" i="11"/>
  <c r="J67" i="11"/>
  <c r="J63" i="11"/>
  <c r="J59" i="11"/>
  <c r="J55" i="11"/>
  <c r="V90" i="11"/>
  <c r="V126" i="11"/>
  <c r="S82" i="11"/>
  <c r="S94" i="11"/>
  <c r="S102" i="11"/>
  <c r="V95" i="11"/>
  <c r="V107" i="11"/>
  <c r="S103" i="11"/>
  <c r="S115" i="11"/>
  <c r="V100" i="11"/>
  <c r="V140" i="11"/>
  <c r="S80" i="11"/>
  <c r="V65" i="11"/>
  <c r="V77" i="11"/>
  <c r="V85" i="11"/>
  <c r="V89" i="11"/>
  <c r="S65" i="11"/>
  <c r="S69" i="11"/>
  <c r="S73" i="11"/>
  <c r="S77" i="11"/>
  <c r="J47" i="11"/>
  <c r="S54" i="11"/>
  <c r="S67" i="11"/>
  <c r="S91" i="11"/>
  <c r="S111" i="11"/>
  <c r="S119" i="11"/>
  <c r="S92" i="11"/>
  <c r="S124" i="11"/>
  <c r="J43" i="11"/>
  <c r="S40" i="11"/>
  <c r="P40" i="11"/>
  <c r="P136" i="11"/>
  <c r="P61" i="11"/>
  <c r="P129" i="11"/>
  <c r="J39" i="11"/>
  <c r="V22" i="11"/>
  <c r="P82" i="11"/>
  <c r="S23" i="11"/>
  <c r="P71" i="11"/>
  <c r="J37" i="11"/>
  <c r="P32" i="11"/>
  <c r="V37" i="11"/>
  <c r="P69" i="11"/>
  <c r="P54" i="11"/>
  <c r="S35" i="11"/>
  <c r="P20" i="11"/>
  <c r="J34" i="11"/>
  <c r="P89" i="11"/>
  <c r="P110" i="11"/>
  <c r="P126" i="11"/>
  <c r="P75" i="11"/>
  <c r="P131" i="11"/>
  <c r="P48" i="11"/>
  <c r="J30" i="11"/>
  <c r="P22" i="11"/>
  <c r="P50" i="11"/>
  <c r="P138" i="11"/>
  <c r="P39" i="11"/>
  <c r="P103" i="11"/>
  <c r="P28" i="11"/>
  <c r="P128" i="11"/>
  <c r="J26" i="11"/>
  <c r="P53" i="11"/>
  <c r="V26" i="11"/>
  <c r="P26" i="11"/>
  <c r="P78" i="11"/>
  <c r="P35" i="11"/>
  <c r="V44" i="11"/>
  <c r="P84" i="11"/>
  <c r="P104" i="11"/>
  <c r="J22" i="11"/>
  <c r="P49" i="11"/>
  <c r="P101" i="11"/>
  <c r="P102" i="11"/>
  <c r="P135" i="11"/>
  <c r="P139" i="11"/>
  <c r="P132" i="11"/>
  <c r="J18" i="11"/>
  <c r="S38" i="11"/>
  <c r="P46" i="11"/>
  <c r="M30" i="11"/>
  <c r="M58" i="11"/>
  <c r="M79" i="11"/>
  <c r="M12" i="11"/>
  <c r="M44" i="11"/>
  <c r="M48" i="11"/>
  <c r="M72" i="11"/>
  <c r="M76" i="11"/>
  <c r="M88" i="11"/>
  <c r="S25" i="11"/>
  <c r="P73" i="11"/>
  <c r="M93" i="11"/>
  <c r="M97" i="11"/>
  <c r="J15" i="11"/>
  <c r="S34" i="11"/>
  <c r="P6" i="11"/>
  <c r="M22" i="11"/>
  <c r="M70" i="11"/>
  <c r="M86" i="11"/>
  <c r="M63" i="11"/>
  <c r="M83" i="11"/>
  <c r="M28" i="11"/>
  <c r="M52" i="11"/>
  <c r="M80" i="11"/>
  <c r="J10" i="11"/>
  <c r="V34" i="11"/>
  <c r="M78" i="11"/>
  <c r="S11" i="11"/>
  <c r="M11" i="11"/>
  <c r="M19" i="11"/>
  <c r="M31" i="11"/>
  <c r="M51" i="11"/>
  <c r="M59" i="11"/>
  <c r="M67" i="11"/>
  <c r="M36" i="11"/>
  <c r="M68" i="11"/>
  <c r="J6" i="11"/>
  <c r="V9" i="11"/>
  <c r="P13" i="11"/>
  <c r="P5" i="11"/>
  <c r="M77" i="11"/>
  <c r="M81" i="11"/>
  <c r="P142" i="10"/>
  <c r="P138" i="10"/>
  <c r="P134" i="10"/>
  <c r="P130" i="10"/>
  <c r="P126" i="10"/>
  <c r="P122" i="10"/>
  <c r="P118" i="10"/>
  <c r="P114" i="10"/>
  <c r="P110" i="10"/>
  <c r="P106" i="10"/>
  <c r="P102" i="10"/>
  <c r="P98" i="10"/>
  <c r="P94" i="10"/>
  <c r="P90" i="10"/>
  <c r="P86" i="10"/>
  <c r="P82" i="10"/>
  <c r="P78" i="10"/>
  <c r="P74" i="10"/>
  <c r="P70" i="10"/>
  <c r="P66" i="10"/>
  <c r="P62" i="10"/>
  <c r="P58" i="10"/>
  <c r="P54" i="10"/>
  <c r="P50" i="10"/>
  <c r="P46" i="10"/>
  <c r="P42" i="10"/>
  <c r="P38" i="10"/>
  <c r="P34" i="10"/>
  <c r="P30" i="10"/>
  <c r="P26" i="10"/>
  <c r="P22" i="10"/>
  <c r="P18" i="10"/>
  <c r="P14" i="10"/>
  <c r="P10" i="10"/>
  <c r="P6" i="10"/>
  <c r="S142" i="10"/>
  <c r="J143" i="11"/>
  <c r="J139" i="11"/>
  <c r="J135" i="11"/>
  <c r="J131" i="11"/>
  <c r="J127" i="11"/>
  <c r="J123" i="11"/>
  <c r="J119" i="11"/>
  <c r="J115" i="11"/>
  <c r="J111" i="11"/>
  <c r="J107" i="11"/>
  <c r="J103" i="11"/>
  <c r="J98" i="11"/>
  <c r="J94" i="11"/>
  <c r="J90" i="11"/>
  <c r="J86" i="11"/>
  <c r="J82" i="11"/>
  <c r="J78" i="11"/>
  <c r="J74" i="11"/>
  <c r="J70" i="11"/>
  <c r="J66" i="11"/>
  <c r="J62" i="11"/>
  <c r="J58" i="11"/>
  <c r="J54" i="11"/>
  <c r="V86" i="11"/>
  <c r="V138" i="11"/>
  <c r="V142" i="11"/>
  <c r="V55" i="11"/>
  <c r="V59" i="11"/>
  <c r="V67" i="11"/>
  <c r="V79" i="11"/>
  <c r="S63" i="11"/>
  <c r="S75" i="11"/>
  <c r="V60" i="11"/>
  <c r="V88" i="11"/>
  <c r="V92" i="11"/>
  <c r="V120" i="11"/>
  <c r="S72" i="11"/>
  <c r="S96" i="11"/>
  <c r="S100" i="11"/>
  <c r="S116" i="11"/>
  <c r="J50" i="11"/>
  <c r="V57" i="11"/>
  <c r="S113" i="11"/>
  <c r="S117" i="11"/>
  <c r="S121" i="11"/>
  <c r="S125" i="11"/>
  <c r="V94" i="11"/>
  <c r="V122" i="11"/>
  <c r="S58" i="11"/>
  <c r="S114" i="11"/>
  <c r="V87" i="11"/>
  <c r="V91" i="11"/>
  <c r="V115" i="11"/>
  <c r="V119" i="11"/>
  <c r="V127" i="11"/>
  <c r="V143" i="11"/>
  <c r="V56" i="11"/>
  <c r="V76" i="11"/>
  <c r="V108" i="11"/>
  <c r="V112" i="11"/>
  <c r="V124" i="11"/>
  <c r="V132" i="11"/>
  <c r="V136" i="11"/>
  <c r="S108" i="11"/>
  <c r="J46" i="11"/>
  <c r="V129" i="11"/>
  <c r="S81" i="11"/>
  <c r="S85" i="11"/>
  <c r="S89" i="11"/>
  <c r="S97" i="11"/>
  <c r="S105" i="11"/>
  <c r="S70" i="11"/>
  <c r="S86" i="11"/>
  <c r="S44" i="11"/>
  <c r="S48" i="11"/>
  <c r="S64" i="11"/>
  <c r="S88" i="11"/>
  <c r="J42" i="11"/>
  <c r="S53" i="11"/>
  <c r="S57" i="11"/>
  <c r="P70" i="11"/>
  <c r="P130" i="11"/>
  <c r="J38" i="11"/>
  <c r="P121" i="11"/>
  <c r="P30" i="11"/>
  <c r="V19" i="11"/>
  <c r="P119" i="11"/>
  <c r="J33" i="11"/>
  <c r="P52" i="11"/>
  <c r="S37" i="11"/>
  <c r="P77" i="11"/>
  <c r="V30" i="11"/>
  <c r="S18" i="11"/>
  <c r="P114" i="11"/>
  <c r="P122" i="11"/>
  <c r="P95" i="11"/>
  <c r="J29" i="11"/>
  <c r="P72" i="11"/>
  <c r="P17" i="11"/>
  <c r="V46" i="11"/>
  <c r="S42" i="11"/>
  <c r="P74" i="11"/>
  <c r="P98" i="11"/>
  <c r="V23" i="11"/>
  <c r="P143" i="11"/>
  <c r="J25" i="11"/>
  <c r="S28" i="11"/>
  <c r="P116" i="11"/>
  <c r="P125" i="11"/>
  <c r="P133" i="11"/>
  <c r="P67" i="11"/>
  <c r="J21" i="11"/>
  <c r="P124" i="11"/>
  <c r="V45" i="11"/>
  <c r="P137" i="11"/>
  <c r="S26" i="11"/>
  <c r="V43" i="11"/>
  <c r="P83" i="11"/>
  <c r="J17" i="11"/>
  <c r="P108" i="11"/>
  <c r="P144" i="11"/>
  <c r="S30" i="11"/>
  <c r="P18" i="11"/>
  <c r="M54" i="11"/>
  <c r="S15" i="11"/>
  <c r="P47" i="11"/>
  <c r="M15" i="11"/>
  <c r="M23" i="11"/>
  <c r="M39" i="11"/>
  <c r="S24" i="11"/>
  <c r="J14" i="11"/>
  <c r="V29" i="11"/>
  <c r="P33" i="11"/>
  <c r="P97" i="11"/>
  <c r="M61" i="11"/>
  <c r="W61" i="11" s="1"/>
  <c r="J11" i="10"/>
  <c r="V5" i="10"/>
  <c r="V6" i="11"/>
  <c r="M6" i="11"/>
  <c r="M34" i="11"/>
  <c r="M98" i="11"/>
  <c r="M47" i="11"/>
  <c r="J9" i="11"/>
  <c r="M40" i="11"/>
  <c r="M84" i="11"/>
  <c r="P9" i="11"/>
  <c r="M45" i="11"/>
  <c r="M53" i="11"/>
  <c r="M65" i="11"/>
  <c r="P5" i="10"/>
  <c r="P141" i="10"/>
  <c r="P137" i="10"/>
  <c r="P133" i="10"/>
  <c r="P129" i="10"/>
  <c r="P125" i="10"/>
  <c r="P121" i="10"/>
  <c r="P117" i="10"/>
  <c r="P113" i="10"/>
  <c r="P109" i="10"/>
  <c r="P105" i="10"/>
  <c r="P101" i="10"/>
  <c r="P97" i="10"/>
  <c r="P93" i="10"/>
  <c r="P89" i="10"/>
  <c r="P85" i="10"/>
  <c r="P81" i="10"/>
  <c r="P77" i="10"/>
  <c r="P73" i="10"/>
  <c r="P69" i="10"/>
  <c r="P65" i="10"/>
  <c r="P61" i="10"/>
  <c r="P57" i="10"/>
  <c r="P53" i="10"/>
  <c r="P49" i="10"/>
  <c r="P45" i="10"/>
  <c r="P41" i="10"/>
  <c r="P37" i="10"/>
  <c r="P33" i="10"/>
  <c r="P29" i="10"/>
  <c r="P25" i="10"/>
  <c r="P21" i="10"/>
  <c r="P17" i="10"/>
  <c r="P13" i="10"/>
  <c r="P9" i="10"/>
  <c r="S5" i="10"/>
  <c r="S141" i="10"/>
  <c r="J142" i="11"/>
  <c r="J138" i="11"/>
  <c r="J134" i="11"/>
  <c r="J130" i="11"/>
  <c r="J126" i="11"/>
  <c r="J122" i="11"/>
  <c r="J118" i="11"/>
  <c r="J114" i="11"/>
  <c r="J110" i="11"/>
  <c r="J106" i="11"/>
  <c r="J102" i="11"/>
  <c r="J97" i="11"/>
  <c r="J93" i="11"/>
  <c r="J89" i="11"/>
  <c r="J85" i="11"/>
  <c r="J81" i="11"/>
  <c r="J77" i="11"/>
  <c r="J73" i="11"/>
  <c r="J69" i="11"/>
  <c r="J65" i="11"/>
  <c r="J61" i="11"/>
  <c r="J57" i="11"/>
  <c r="J53" i="11"/>
  <c r="S137" i="10"/>
  <c r="S133" i="10"/>
  <c r="S129" i="10"/>
  <c r="S125" i="10"/>
  <c r="S121" i="10"/>
  <c r="S117" i="10"/>
  <c r="S113" i="10"/>
  <c r="S109" i="10"/>
  <c r="S105" i="10"/>
  <c r="S101" i="10"/>
  <c r="S97" i="10"/>
  <c r="S93" i="10"/>
  <c r="S89" i="10"/>
  <c r="S85" i="10"/>
  <c r="S81" i="10"/>
  <c r="S77" i="10"/>
  <c r="S73" i="10"/>
  <c r="S69" i="10"/>
  <c r="S65" i="10"/>
  <c r="S61" i="10"/>
  <c r="S57" i="10"/>
  <c r="S53" i="10"/>
  <c r="S49" i="10"/>
  <c r="S45" i="10"/>
  <c r="S41" i="10"/>
  <c r="S37" i="10"/>
  <c r="S33" i="10"/>
  <c r="S29" i="10"/>
  <c r="S25" i="10"/>
  <c r="S21" i="10"/>
  <c r="S17" i="10"/>
  <c r="S13" i="10"/>
  <c r="S9" i="10"/>
  <c r="D6" i="4"/>
  <c r="V141" i="10"/>
  <c r="V137" i="10"/>
  <c r="V133" i="10"/>
  <c r="V129" i="10"/>
  <c r="V125" i="10"/>
  <c r="V121" i="10"/>
  <c r="V117" i="10"/>
  <c r="V113" i="10"/>
  <c r="V109" i="10"/>
  <c r="V105" i="10"/>
  <c r="V101" i="10"/>
  <c r="V97" i="10"/>
  <c r="V93" i="10"/>
  <c r="V89" i="10"/>
  <c r="V85" i="10"/>
  <c r="V81" i="10"/>
  <c r="V77" i="10"/>
  <c r="V73" i="10"/>
  <c r="V69" i="10"/>
  <c r="V65" i="10"/>
  <c r="V61" i="10"/>
  <c r="V57" i="10"/>
  <c r="V53" i="10"/>
  <c r="V49" i="10"/>
  <c r="V45" i="10"/>
  <c r="V41" i="10"/>
  <c r="V37" i="10"/>
  <c r="V33" i="10"/>
  <c r="V29" i="10"/>
  <c r="V25" i="10"/>
  <c r="V21" i="10"/>
  <c r="V17" i="10"/>
  <c r="V13" i="10"/>
  <c r="V9" i="10"/>
  <c r="C7" i="4"/>
  <c r="D7" i="4" s="1"/>
  <c r="H12" i="4"/>
  <c r="H17" i="4" s="1"/>
  <c r="H22" i="4" s="1"/>
  <c r="H27" i="4" s="1"/>
  <c r="H32" i="4" s="1"/>
  <c r="H37" i="4" s="1"/>
  <c r="H42" i="4" s="1"/>
  <c r="H47" i="4" s="1"/>
  <c r="H52" i="4" s="1"/>
  <c r="H57" i="4" s="1"/>
  <c r="H62" i="4" s="1"/>
  <c r="H67" i="4" s="1"/>
  <c r="H72" i="4" s="1"/>
  <c r="H77" i="4" s="1"/>
  <c r="H82" i="4" s="1"/>
  <c r="H87" i="4" s="1"/>
  <c r="H92" i="4" s="1"/>
  <c r="H97" i="4" s="1"/>
  <c r="H102" i="4" s="1"/>
  <c r="H107" i="4" s="1"/>
  <c r="H112" i="4" s="1"/>
  <c r="H117" i="4" s="1"/>
  <c r="H122" i="4" s="1"/>
  <c r="H127" i="4" s="1"/>
  <c r="H132" i="4" s="1"/>
  <c r="H137" i="4" s="1"/>
  <c r="H142" i="4" s="1"/>
  <c r="H147" i="4" s="1"/>
  <c r="H152" i="4" s="1"/>
  <c r="H157" i="4" s="1"/>
  <c r="H162" i="4" s="1"/>
  <c r="H167" i="4" s="1"/>
  <c r="H172" i="4" s="1"/>
  <c r="H177" i="4" s="1"/>
  <c r="H182" i="4" s="1"/>
  <c r="H187" i="4" s="1"/>
  <c r="H192" i="4" s="1"/>
  <c r="H197" i="4" s="1"/>
  <c r="H202" i="4" s="1"/>
  <c r="H207" i="4" s="1"/>
  <c r="H212" i="4" s="1"/>
  <c r="H217" i="4" s="1"/>
  <c r="H222" i="4" s="1"/>
  <c r="H227" i="4" s="1"/>
  <c r="H232" i="4" s="1"/>
  <c r="H237" i="4" s="1"/>
  <c r="H242" i="4" s="1"/>
  <c r="H247" i="4" s="1"/>
  <c r="H252" i="4" s="1"/>
  <c r="H257" i="4" s="1"/>
  <c r="H262" i="4" s="1"/>
  <c r="H267" i="4" s="1"/>
  <c r="H272" i="4" s="1"/>
  <c r="H277" i="4" s="1"/>
  <c r="H282" i="4" s="1"/>
  <c r="H287" i="4" s="1"/>
  <c r="H292" i="4" s="1"/>
  <c r="H297" i="4" s="1"/>
  <c r="H302" i="4" s="1"/>
  <c r="H307" i="4" s="1"/>
  <c r="H312" i="4" s="1"/>
  <c r="H317" i="4" s="1"/>
  <c r="H322" i="4" s="1"/>
  <c r="H327" i="4" s="1"/>
  <c r="H332" i="4" s="1"/>
  <c r="H337" i="4" s="1"/>
  <c r="H342" i="4" s="1"/>
  <c r="H347" i="4" s="1"/>
  <c r="H352" i="4" s="1"/>
  <c r="H357" i="4" s="1"/>
  <c r="H362" i="4" s="1"/>
  <c r="H367" i="4" s="1"/>
  <c r="H372" i="4" s="1"/>
  <c r="H377" i="4" s="1"/>
  <c r="H382" i="4" s="1"/>
  <c r="H387" i="4" s="1"/>
  <c r="H392" i="4" s="1"/>
  <c r="H397" i="4" s="1"/>
  <c r="H402" i="4" s="1"/>
  <c r="H407" i="4" s="1"/>
  <c r="H412" i="4" s="1"/>
  <c r="H417" i="4" s="1"/>
  <c r="H422" i="4" s="1"/>
  <c r="H427" i="4" s="1"/>
  <c r="H432" i="4" s="1"/>
  <c r="H437" i="4" s="1"/>
  <c r="H442" i="4" s="1"/>
  <c r="H447" i="4" s="1"/>
  <c r="H452" i="4" s="1"/>
  <c r="H457" i="4" s="1"/>
  <c r="H462" i="4" s="1"/>
  <c r="H467" i="4" s="1"/>
  <c r="H472" i="4" s="1"/>
  <c r="H477" i="4" s="1"/>
  <c r="H482" i="4" s="1"/>
  <c r="H487" i="4" s="1"/>
  <c r="H492" i="4" s="1"/>
  <c r="H497" i="4" s="1"/>
  <c r="H502" i="4" s="1"/>
  <c r="H507" i="4" s="1"/>
  <c r="H512" i="4" s="1"/>
  <c r="H517" i="4" s="1"/>
  <c r="H522" i="4" s="1"/>
  <c r="H527" i="4" s="1"/>
  <c r="H532" i="4" s="1"/>
  <c r="H537" i="4" s="1"/>
  <c r="H542" i="4" s="1"/>
  <c r="H547" i="4" s="1"/>
  <c r="H552" i="4" s="1"/>
  <c r="H557" i="4" s="1"/>
  <c r="H562" i="4" s="1"/>
  <c r="H567" i="4" s="1"/>
  <c r="H572" i="4" s="1"/>
  <c r="H577" i="4" s="1"/>
  <c r="H582" i="4" s="1"/>
  <c r="H587" i="4" s="1"/>
  <c r="H592" i="4" s="1"/>
  <c r="H597" i="4" s="1"/>
  <c r="H602" i="4" s="1"/>
  <c r="H607" i="4" s="1"/>
  <c r="H612" i="4" s="1"/>
  <c r="H617" i="4" s="1"/>
  <c r="H622" i="4" s="1"/>
  <c r="H627" i="4" s="1"/>
  <c r="H632" i="4" s="1"/>
  <c r="H637" i="4" s="1"/>
  <c r="H642" i="4" s="1"/>
  <c r="H647" i="4" s="1"/>
  <c r="H652" i="4" s="1"/>
  <c r="H657" i="4" s="1"/>
  <c r="H662" i="4" s="1"/>
  <c r="H667" i="4" s="1"/>
  <c r="H672" i="4" s="1"/>
  <c r="H677" i="4" s="1"/>
  <c r="H682" i="4" s="1"/>
  <c r="H687" i="4" s="1"/>
  <c r="H692" i="4" s="1"/>
  <c r="H697" i="4" s="1"/>
  <c r="S140" i="10"/>
  <c r="S136" i="10"/>
  <c r="S132" i="10"/>
  <c r="S128" i="10"/>
  <c r="S124" i="10"/>
  <c r="S120" i="10"/>
  <c r="S116" i="10"/>
  <c r="S112" i="10"/>
  <c r="S108" i="10"/>
  <c r="S104" i="10"/>
  <c r="S100" i="10"/>
  <c r="S96" i="10"/>
  <c r="S92" i="10"/>
  <c r="S88" i="10"/>
  <c r="S84" i="10"/>
  <c r="S80" i="10"/>
  <c r="S76" i="10"/>
  <c r="S72" i="10"/>
  <c r="S68" i="10"/>
  <c r="S64" i="10"/>
  <c r="S60" i="10"/>
  <c r="S56" i="10"/>
  <c r="S52" i="10"/>
  <c r="S48" i="10"/>
  <c r="S44" i="10"/>
  <c r="S40" i="10"/>
  <c r="S36" i="10"/>
  <c r="S32" i="10"/>
  <c r="S28" i="10"/>
  <c r="S24" i="10"/>
  <c r="S20" i="10"/>
  <c r="S16" i="10"/>
  <c r="S12" i="10"/>
  <c r="S8" i="10"/>
  <c r="V144" i="10"/>
  <c r="V140" i="10"/>
  <c r="V136" i="10"/>
  <c r="V132" i="10"/>
  <c r="V128" i="10"/>
  <c r="V124" i="10"/>
  <c r="V120" i="10"/>
  <c r="V116" i="10"/>
  <c r="V112" i="10"/>
  <c r="V108" i="10"/>
  <c r="V104" i="10"/>
  <c r="V100" i="10"/>
  <c r="V96" i="10"/>
  <c r="V92" i="10"/>
  <c r="V88" i="10"/>
  <c r="V84" i="10"/>
  <c r="V80" i="10"/>
  <c r="V76" i="10"/>
  <c r="V72" i="10"/>
  <c r="V68" i="10"/>
  <c r="V64" i="10"/>
  <c r="V60" i="10"/>
  <c r="V56" i="10"/>
  <c r="V52" i="10"/>
  <c r="V48" i="10"/>
  <c r="V44" i="10"/>
  <c r="V40" i="10"/>
  <c r="V36" i="10"/>
  <c r="V32" i="10"/>
  <c r="V28" i="10"/>
  <c r="V24" i="10"/>
  <c r="V20" i="10"/>
  <c r="V16" i="10"/>
  <c r="V12" i="10"/>
  <c r="V8" i="10"/>
  <c r="S139" i="10"/>
  <c r="S135" i="10"/>
  <c r="S131" i="10"/>
  <c r="S127" i="10"/>
  <c r="S123" i="10"/>
  <c r="S119" i="10"/>
  <c r="S115" i="10"/>
  <c r="S111" i="10"/>
  <c r="S107" i="10"/>
  <c r="S103" i="10"/>
  <c r="S99" i="10"/>
  <c r="S95" i="10"/>
  <c r="S91" i="10"/>
  <c r="S87" i="10"/>
  <c r="S83" i="10"/>
  <c r="S79" i="10"/>
  <c r="S75" i="10"/>
  <c r="S71" i="10"/>
  <c r="S67" i="10"/>
  <c r="S63" i="10"/>
  <c r="S59" i="10"/>
  <c r="S55" i="10"/>
  <c r="S51" i="10"/>
  <c r="S47" i="10"/>
  <c r="S43" i="10"/>
  <c r="S39" i="10"/>
  <c r="S35" i="10"/>
  <c r="S31" i="10"/>
  <c r="S27" i="10"/>
  <c r="S23" i="10"/>
  <c r="S19" i="10"/>
  <c r="S15" i="10"/>
  <c r="S11" i="10"/>
  <c r="S7" i="10"/>
  <c r="V143" i="10"/>
  <c r="V139" i="10"/>
  <c r="V135" i="10"/>
  <c r="V131" i="10"/>
  <c r="V127" i="10"/>
  <c r="V123" i="10"/>
  <c r="V119" i="10"/>
  <c r="V115" i="10"/>
  <c r="V111" i="10"/>
  <c r="V107" i="10"/>
  <c r="V103" i="10"/>
  <c r="V99" i="10"/>
  <c r="V95" i="10"/>
  <c r="V91" i="10"/>
  <c r="V87" i="10"/>
  <c r="V83" i="10"/>
  <c r="V79" i="10"/>
  <c r="V75" i="10"/>
  <c r="V71" i="10"/>
  <c r="V67" i="10"/>
  <c r="V63" i="10"/>
  <c r="V59" i="10"/>
  <c r="V55" i="10"/>
  <c r="V51" i="10"/>
  <c r="V47" i="10"/>
  <c r="V43" i="10"/>
  <c r="V39" i="10"/>
  <c r="V35" i="10"/>
  <c r="V31" i="10"/>
  <c r="V27" i="10"/>
  <c r="V23" i="10"/>
  <c r="V19" i="10"/>
  <c r="V15" i="10"/>
  <c r="V11" i="10"/>
  <c r="V7" i="10"/>
  <c r="S138" i="10"/>
  <c r="S134" i="10"/>
  <c r="S130" i="10"/>
  <c r="S126" i="10"/>
  <c r="S122" i="10"/>
  <c r="S118" i="10"/>
  <c r="S114" i="10"/>
  <c r="S110" i="10"/>
  <c r="S106" i="10"/>
  <c r="S102" i="10"/>
  <c r="S98" i="10"/>
  <c r="S94" i="10"/>
  <c r="S90" i="10"/>
  <c r="S86" i="10"/>
  <c r="S82" i="10"/>
  <c r="S78" i="10"/>
  <c r="S74" i="10"/>
  <c r="S70" i="10"/>
  <c r="S66" i="10"/>
  <c r="S62" i="10"/>
  <c r="S58" i="10"/>
  <c r="S54" i="10"/>
  <c r="S50" i="10"/>
  <c r="S46" i="10"/>
  <c r="S42" i="10"/>
  <c r="S38" i="10"/>
  <c r="S34" i="10"/>
  <c r="S30" i="10"/>
  <c r="S26" i="10"/>
  <c r="S22" i="10"/>
  <c r="S18" i="10"/>
  <c r="S14" i="10"/>
  <c r="S10" i="10"/>
  <c r="S6" i="10"/>
  <c r="V142" i="10"/>
  <c r="V138" i="10"/>
  <c r="V134" i="10"/>
  <c r="V130" i="10"/>
  <c r="V126" i="10"/>
  <c r="V122" i="10"/>
  <c r="V118" i="10"/>
  <c r="V114" i="10"/>
  <c r="V110" i="10"/>
  <c r="V106" i="10"/>
  <c r="V102" i="10"/>
  <c r="V98" i="10"/>
  <c r="V94" i="10"/>
  <c r="V90" i="10"/>
  <c r="V86" i="10"/>
  <c r="V82" i="10"/>
  <c r="V78" i="10"/>
  <c r="V74" i="10"/>
  <c r="V70" i="10"/>
  <c r="V66" i="10"/>
  <c r="V62" i="10"/>
  <c r="V58" i="10"/>
  <c r="V54" i="10"/>
  <c r="V50" i="10"/>
  <c r="V46" i="10"/>
  <c r="V42" i="10"/>
  <c r="V38" i="10"/>
  <c r="V34" i="10"/>
  <c r="V30" i="10"/>
  <c r="V26" i="10"/>
  <c r="V22" i="10"/>
  <c r="V18" i="10"/>
  <c r="V14" i="10"/>
  <c r="V10" i="10"/>
  <c r="V6" i="10"/>
  <c r="H99" i="11"/>
  <c r="J99" i="11" s="1"/>
  <c r="D2" i="4"/>
  <c r="M144" i="10"/>
  <c r="M142" i="10"/>
  <c r="M140" i="10"/>
  <c r="M138" i="10"/>
  <c r="M136" i="10"/>
  <c r="M134" i="10"/>
  <c r="M132" i="10"/>
  <c r="M130" i="10"/>
  <c r="M128" i="10"/>
  <c r="M126" i="10"/>
  <c r="M124" i="10"/>
  <c r="M122" i="10"/>
  <c r="M120" i="10"/>
  <c r="M118" i="10"/>
  <c r="M116" i="10"/>
  <c r="M114" i="10"/>
  <c r="M112" i="10"/>
  <c r="M110" i="10"/>
  <c r="M108" i="10"/>
  <c r="M106" i="10"/>
  <c r="M104" i="10"/>
  <c r="M102" i="10"/>
  <c r="M100" i="10"/>
  <c r="M98" i="10"/>
  <c r="M96" i="10"/>
  <c r="M94" i="10"/>
  <c r="M92" i="10"/>
  <c r="M90" i="10"/>
  <c r="M88" i="10"/>
  <c r="M86" i="10"/>
  <c r="M84" i="10"/>
  <c r="M82" i="10"/>
  <c r="M80" i="10"/>
  <c r="M78" i="10"/>
  <c r="M76" i="10"/>
  <c r="M74" i="10"/>
  <c r="M72" i="10"/>
  <c r="M70" i="10"/>
  <c r="M68" i="10"/>
  <c r="M66" i="10"/>
  <c r="M64" i="10"/>
  <c r="M62" i="10"/>
  <c r="M60" i="10"/>
  <c r="M58" i="10"/>
  <c r="M56" i="10"/>
  <c r="M54" i="10"/>
  <c r="M52" i="10"/>
  <c r="M50" i="10"/>
  <c r="M48" i="10"/>
  <c r="M46" i="10"/>
  <c r="M44" i="10"/>
  <c r="M42" i="10"/>
  <c r="M40" i="10"/>
  <c r="M38" i="10"/>
  <c r="M36" i="10"/>
  <c r="M34" i="10"/>
  <c r="M32" i="10"/>
  <c r="M30" i="10"/>
  <c r="M28" i="10"/>
  <c r="M26" i="10"/>
  <c r="M24" i="10"/>
  <c r="M22" i="10"/>
  <c r="M20" i="10"/>
  <c r="M18" i="10"/>
  <c r="M16" i="10"/>
  <c r="M14" i="10"/>
  <c r="M12" i="10"/>
  <c r="M10" i="10"/>
  <c r="M8" i="10"/>
  <c r="M6" i="10"/>
  <c r="M143" i="10"/>
  <c r="M141" i="10"/>
  <c r="M139" i="10"/>
  <c r="M137" i="10"/>
  <c r="M135" i="10"/>
  <c r="M133" i="10"/>
  <c r="M131" i="10"/>
  <c r="M129" i="10"/>
  <c r="M127" i="10"/>
  <c r="M125" i="10"/>
  <c r="M123" i="10"/>
  <c r="M121" i="10"/>
  <c r="M119" i="10"/>
  <c r="M117" i="10"/>
  <c r="M115" i="10"/>
  <c r="M113" i="10"/>
  <c r="M111" i="10"/>
  <c r="M109" i="10"/>
  <c r="M107" i="10"/>
  <c r="M105" i="10"/>
  <c r="M103" i="10"/>
  <c r="M101" i="10"/>
  <c r="M99" i="10"/>
  <c r="M97" i="10"/>
  <c r="M95" i="10"/>
  <c r="M93" i="10"/>
  <c r="M91" i="10"/>
  <c r="M89" i="10"/>
  <c r="M87" i="10"/>
  <c r="M85" i="10"/>
  <c r="M83" i="10"/>
  <c r="M81" i="10"/>
  <c r="M79" i="10"/>
  <c r="M77" i="10"/>
  <c r="M75" i="10"/>
  <c r="M73" i="10"/>
  <c r="M71" i="10"/>
  <c r="M69" i="10"/>
  <c r="M67" i="10"/>
  <c r="M65" i="10"/>
  <c r="M63" i="10"/>
  <c r="M61" i="10"/>
  <c r="M59" i="10"/>
  <c r="M57" i="10"/>
  <c r="M55" i="10"/>
  <c r="M53" i="10"/>
  <c r="M51" i="10"/>
  <c r="M49" i="10"/>
  <c r="M47" i="10"/>
  <c r="M45" i="10"/>
  <c r="M43" i="10"/>
  <c r="M41" i="10"/>
  <c r="M39" i="10"/>
  <c r="M37" i="10"/>
  <c r="M35" i="10"/>
  <c r="M33" i="10"/>
  <c r="M31" i="10"/>
  <c r="M29" i="10"/>
  <c r="M27" i="10"/>
  <c r="M25" i="10"/>
  <c r="M23" i="10"/>
  <c r="M21" i="10"/>
  <c r="M19" i="10"/>
  <c r="M17" i="10"/>
  <c r="M15" i="10"/>
  <c r="M13" i="10"/>
  <c r="M11" i="10"/>
  <c r="M9" i="10"/>
  <c r="M7" i="10"/>
  <c r="M5" i="10"/>
  <c r="C10" i="4"/>
  <c r="D10" i="4" s="1"/>
  <c r="C11" i="4"/>
  <c r="D11" i="4" s="1"/>
  <c r="C5" i="4"/>
  <c r="D5" i="4" s="1"/>
  <c r="C9" i="4"/>
  <c r="D9" i="4" s="1"/>
  <c r="C4" i="4"/>
  <c r="D4" i="4" s="1"/>
  <c r="C8" i="4"/>
  <c r="D8" i="4" s="1"/>
  <c r="C3" i="4"/>
  <c r="D3" i="4" s="1"/>
  <c r="S141" i="11"/>
  <c r="S133" i="11"/>
  <c r="S5" i="11"/>
  <c r="S137" i="11"/>
  <c r="S129" i="11"/>
  <c r="S143" i="11"/>
  <c r="S139" i="11"/>
  <c r="S135" i="11"/>
  <c r="S131" i="11"/>
  <c r="S127" i="11"/>
  <c r="S144" i="11"/>
  <c r="S142" i="11"/>
  <c r="S140" i="11"/>
  <c r="S138" i="11"/>
  <c r="S136" i="11"/>
  <c r="S134" i="11"/>
  <c r="S132" i="11"/>
  <c r="S130" i="11"/>
  <c r="S128" i="11"/>
  <c r="S126" i="11"/>
  <c r="M115" i="11"/>
  <c r="M107" i="11"/>
  <c r="M131" i="11"/>
  <c r="M123" i="11"/>
  <c r="M111" i="11"/>
  <c r="M103" i="11"/>
  <c r="M127" i="11"/>
  <c r="M119" i="11"/>
  <c r="M113" i="11"/>
  <c r="M109" i="11"/>
  <c r="M105" i="11"/>
  <c r="M101" i="11"/>
  <c r="M139" i="11"/>
  <c r="M143" i="11"/>
  <c r="M135" i="11"/>
  <c r="M5" i="11"/>
  <c r="M141" i="11"/>
  <c r="M137" i="11"/>
  <c r="M133" i="11"/>
  <c r="M129" i="11"/>
  <c r="M125" i="11"/>
  <c r="M121" i="11"/>
  <c r="M117" i="11"/>
  <c r="M144" i="11"/>
  <c r="M142" i="11"/>
  <c r="M140" i="11"/>
  <c r="M138" i="11"/>
  <c r="M136" i="11"/>
  <c r="M134" i="11"/>
  <c r="M132" i="11"/>
  <c r="M130" i="11"/>
  <c r="M128" i="11"/>
  <c r="M126" i="11"/>
  <c r="M124" i="11"/>
  <c r="M122" i="11"/>
  <c r="M120" i="11"/>
  <c r="M118" i="11"/>
  <c r="M116" i="11"/>
  <c r="M114" i="11"/>
  <c r="M112" i="11"/>
  <c r="M110" i="11"/>
  <c r="M108" i="11"/>
  <c r="M106" i="11"/>
  <c r="M104" i="11"/>
  <c r="M102" i="11"/>
  <c r="M100" i="11"/>
  <c r="H50" i="10"/>
  <c r="J50" i="10" s="1"/>
  <c r="H51" i="10"/>
  <c r="J51" i="10" s="1"/>
  <c r="H52" i="10"/>
  <c r="J52" i="10" s="1"/>
  <c r="H53" i="10"/>
  <c r="J53" i="10" s="1"/>
  <c r="H54" i="10"/>
  <c r="J54" i="10" s="1"/>
  <c r="H55" i="10"/>
  <c r="J55" i="10" s="1"/>
  <c r="H56" i="10"/>
  <c r="J56" i="10" s="1"/>
  <c r="H57" i="10"/>
  <c r="J57" i="10" s="1"/>
  <c r="H58" i="10"/>
  <c r="J58" i="10" s="1"/>
  <c r="H59" i="10"/>
  <c r="J59" i="10" s="1"/>
  <c r="H60" i="10"/>
  <c r="J60" i="10" s="1"/>
  <c r="H61" i="10"/>
  <c r="J61" i="10" s="1"/>
  <c r="H62" i="10"/>
  <c r="J62" i="10" s="1"/>
  <c r="H63" i="10"/>
  <c r="J63" i="10" s="1"/>
  <c r="H64" i="10"/>
  <c r="J64" i="10" s="1"/>
  <c r="H65" i="10"/>
  <c r="J65" i="10" s="1"/>
  <c r="H66" i="10"/>
  <c r="J66" i="10" s="1"/>
  <c r="H67" i="10"/>
  <c r="J67" i="10" s="1"/>
  <c r="H68" i="10"/>
  <c r="J68" i="10" s="1"/>
  <c r="H69" i="10"/>
  <c r="J69" i="10" s="1"/>
  <c r="H70" i="10"/>
  <c r="J70" i="10" s="1"/>
  <c r="H71" i="10"/>
  <c r="J71" i="10" s="1"/>
  <c r="H72" i="10"/>
  <c r="J72" i="10" s="1"/>
  <c r="H73" i="10"/>
  <c r="J73" i="10" s="1"/>
  <c r="H74" i="10"/>
  <c r="J74" i="10" s="1"/>
  <c r="H75" i="10"/>
  <c r="J75" i="10" s="1"/>
  <c r="H76" i="10"/>
  <c r="J76" i="10" s="1"/>
  <c r="H77" i="10"/>
  <c r="J77" i="10" s="1"/>
  <c r="H78" i="10"/>
  <c r="J78" i="10" s="1"/>
  <c r="H79" i="10"/>
  <c r="J79" i="10" s="1"/>
  <c r="H80" i="10"/>
  <c r="J80" i="10" s="1"/>
  <c r="H81" i="10"/>
  <c r="J81" i="10" s="1"/>
  <c r="H82" i="10"/>
  <c r="J82" i="10" s="1"/>
  <c r="H83" i="10"/>
  <c r="J83" i="10" s="1"/>
  <c r="H84" i="10"/>
  <c r="J84" i="10" s="1"/>
  <c r="H85" i="10"/>
  <c r="J85" i="10" s="1"/>
  <c r="H86" i="10"/>
  <c r="J86" i="10" s="1"/>
  <c r="H87" i="10"/>
  <c r="J87" i="10" s="1"/>
  <c r="H88" i="10"/>
  <c r="J88" i="10" s="1"/>
  <c r="H89" i="10"/>
  <c r="J89" i="10" s="1"/>
  <c r="H90" i="10"/>
  <c r="J90" i="10" s="1"/>
  <c r="H91" i="10"/>
  <c r="J91" i="10" s="1"/>
  <c r="H92" i="10"/>
  <c r="J92" i="10" s="1"/>
  <c r="H94" i="10"/>
  <c r="J94" i="10" s="1"/>
  <c r="H95" i="10"/>
  <c r="J95" i="10" s="1"/>
  <c r="H97" i="10"/>
  <c r="J97" i="10" s="1"/>
  <c r="H98" i="10"/>
  <c r="J98" i="10" s="1"/>
  <c r="H99" i="10"/>
  <c r="J99" i="10" s="1"/>
  <c r="H101" i="10"/>
  <c r="J101" i="10" s="1"/>
  <c r="H102" i="10"/>
  <c r="J102" i="10" s="1"/>
  <c r="H103" i="10"/>
  <c r="J103" i="10" s="1"/>
  <c r="H105" i="10"/>
  <c r="J105" i="10" s="1"/>
  <c r="H106" i="10"/>
  <c r="J106" i="10" s="1"/>
  <c r="H107" i="10"/>
  <c r="J107" i="10" s="1"/>
  <c r="H109" i="10"/>
  <c r="J109" i="10" s="1"/>
  <c r="H110" i="10"/>
  <c r="J110" i="10" s="1"/>
  <c r="H111" i="10"/>
  <c r="J111" i="10" s="1"/>
  <c r="H113" i="10"/>
  <c r="J113" i="10" s="1"/>
  <c r="H114" i="10"/>
  <c r="J114" i="10" s="1"/>
  <c r="H115" i="10"/>
  <c r="J115" i="10" s="1"/>
  <c r="H117" i="10"/>
  <c r="J117" i="10" s="1"/>
  <c r="H118" i="10"/>
  <c r="J118" i="10" s="1"/>
  <c r="H119" i="10"/>
  <c r="J119" i="10" s="1"/>
  <c r="H121" i="10"/>
  <c r="J121" i="10" s="1"/>
  <c r="H122" i="10"/>
  <c r="J122" i="10" s="1"/>
  <c r="H123" i="10"/>
  <c r="J123" i="10" s="1"/>
  <c r="H125" i="10"/>
  <c r="J125" i="10" s="1"/>
  <c r="H126" i="10"/>
  <c r="J126" i="10" s="1"/>
  <c r="H127" i="10"/>
  <c r="J127" i="10" s="1"/>
  <c r="H129" i="10"/>
  <c r="J129" i="10" s="1"/>
  <c r="H130" i="10"/>
  <c r="J130" i="10" s="1"/>
  <c r="H131" i="10"/>
  <c r="J131" i="10" s="1"/>
  <c r="H133" i="10"/>
  <c r="J133" i="10" s="1"/>
  <c r="H134" i="10"/>
  <c r="J134" i="10" s="1"/>
  <c r="H135" i="10"/>
  <c r="J135" i="10" s="1"/>
  <c r="H138" i="10"/>
  <c r="J138" i="10" s="1"/>
  <c r="H139" i="10"/>
  <c r="J139" i="10" s="1"/>
  <c r="H141" i="10"/>
  <c r="J141" i="10" s="1"/>
  <c r="H142" i="10"/>
  <c r="J142" i="10" s="1"/>
  <c r="H143" i="10"/>
  <c r="J143" i="10" s="1"/>
  <c r="H49" i="10"/>
  <c r="J49" i="10" s="1"/>
  <c r="A3" i="5"/>
  <c r="A3" i="6" s="1"/>
  <c r="B3" i="5"/>
  <c r="C3" i="5" s="1"/>
  <c r="D3" i="5" s="1"/>
  <c r="A4" i="5"/>
  <c r="A4" i="6" s="1"/>
  <c r="B4" i="5"/>
  <c r="C4" i="5" s="1"/>
  <c r="D4" i="5" s="1"/>
  <c r="A5" i="5"/>
  <c r="A5" i="6" s="1"/>
  <c r="B5" i="5"/>
  <c r="C5" i="5" s="1"/>
  <c r="D5" i="5" s="1"/>
  <c r="A6" i="5"/>
  <c r="A6" i="6" s="1"/>
  <c r="B6" i="5"/>
  <c r="C6" i="5" s="1"/>
  <c r="D6" i="5" s="1"/>
  <c r="A7" i="5"/>
  <c r="A7" i="6" s="1"/>
  <c r="B7" i="5"/>
  <c r="C7" i="5" s="1"/>
  <c r="D7" i="5" s="1"/>
  <c r="A8" i="5"/>
  <c r="A8" i="6" s="1"/>
  <c r="B8" i="5"/>
  <c r="C8" i="5" s="1"/>
  <c r="D8" i="5" s="1"/>
  <c r="A9" i="5"/>
  <c r="A9" i="6" s="1"/>
  <c r="B9" i="5"/>
  <c r="C9" i="5" s="1"/>
  <c r="D9" i="5" s="1"/>
  <c r="A10" i="5"/>
  <c r="A10" i="6" s="1"/>
  <c r="B10" i="5"/>
  <c r="C10" i="5" s="1"/>
  <c r="D10" i="5" s="1"/>
  <c r="A11" i="5"/>
  <c r="A11" i="6" s="1"/>
  <c r="B11" i="5"/>
  <c r="C11" i="5" s="1"/>
  <c r="D11" i="5" s="1"/>
  <c r="A12" i="5"/>
  <c r="A12" i="6" s="1"/>
  <c r="A13" i="5"/>
  <c r="A13" i="6" s="1"/>
  <c r="A14" i="5"/>
  <c r="A14" i="6" s="1"/>
  <c r="A15" i="5"/>
  <c r="A15" i="6" s="1"/>
  <c r="A16" i="5"/>
  <c r="A16" i="6" s="1"/>
  <c r="A17" i="5"/>
  <c r="A17" i="6" s="1"/>
  <c r="A18" i="5"/>
  <c r="A18" i="6" s="1"/>
  <c r="A19" i="5"/>
  <c r="A19" i="6" s="1"/>
  <c r="A20" i="5"/>
  <c r="A20" i="6" s="1"/>
  <c r="A21" i="5"/>
  <c r="A21" i="6" s="1"/>
  <c r="A22" i="5"/>
  <c r="A22" i="6" s="1"/>
  <c r="A23" i="5"/>
  <c r="A23" i="6" s="1"/>
  <c r="A24" i="5"/>
  <c r="A24" i="6" s="1"/>
  <c r="A25" i="5"/>
  <c r="A25" i="6" s="1"/>
  <c r="A26" i="5"/>
  <c r="A26" i="6" s="1"/>
  <c r="B2" i="5"/>
  <c r="C2" i="5" s="1"/>
  <c r="D2" i="5" s="1"/>
  <c r="A2" i="5"/>
  <c r="A2" i="6" s="1"/>
  <c r="E3" i="8"/>
  <c r="E4" i="8" s="1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E34" i="8" s="1"/>
  <c r="E35" i="8" s="1"/>
  <c r="E36" i="8" s="1"/>
  <c r="E37" i="8" s="1"/>
  <c r="E38" i="8" s="1"/>
  <c r="E39" i="8" s="1"/>
  <c r="E40" i="8" s="1"/>
  <c r="E41" i="8" s="1"/>
  <c r="E42" i="8" s="1"/>
  <c r="E43" i="8" s="1"/>
  <c r="E44" i="8" s="1"/>
  <c r="E45" i="8" s="1"/>
  <c r="E46" i="8" s="1"/>
  <c r="E47" i="8" s="1"/>
  <c r="E48" i="8" s="1"/>
  <c r="E49" i="8" s="1"/>
  <c r="E50" i="8" s="1"/>
  <c r="E51" i="8" s="1"/>
  <c r="E52" i="8" s="1"/>
  <c r="E53" i="8" s="1"/>
  <c r="E54" i="8" s="1"/>
  <c r="E55" i="8" s="1"/>
  <c r="E56" i="8" s="1"/>
  <c r="E57" i="8" s="1"/>
  <c r="E58" i="8" s="1"/>
  <c r="E59" i="8" s="1"/>
  <c r="E60" i="8" s="1"/>
  <c r="E61" i="8" s="1"/>
  <c r="E62" i="8" s="1"/>
  <c r="E63" i="8" s="1"/>
  <c r="E64" i="8" s="1"/>
  <c r="E65" i="8" s="1"/>
  <c r="E66" i="8" s="1"/>
  <c r="E67" i="8" s="1"/>
  <c r="E68" i="8" s="1"/>
  <c r="E69" i="8" s="1"/>
  <c r="E70" i="8" s="1"/>
  <c r="E71" i="8" s="1"/>
  <c r="E72" i="8" s="1"/>
  <c r="E73" i="8" s="1"/>
  <c r="E74" i="8" s="1"/>
  <c r="E75" i="8" s="1"/>
  <c r="E76" i="8" s="1"/>
  <c r="E77" i="8" s="1"/>
  <c r="E78" i="8" s="1"/>
  <c r="E79" i="8" s="1"/>
  <c r="E80" i="8" s="1"/>
  <c r="E81" i="8" s="1"/>
  <c r="E82" i="8" s="1"/>
  <c r="E83" i="8" s="1"/>
  <c r="E84" i="8" s="1"/>
  <c r="E85" i="8" s="1"/>
  <c r="E86" i="8" s="1"/>
  <c r="E87" i="8" s="1"/>
  <c r="E88" i="8" s="1"/>
  <c r="E89" i="8" s="1"/>
  <c r="E90" i="8" s="1"/>
  <c r="E91" i="8" s="1"/>
  <c r="E92" i="8" s="1"/>
  <c r="E93" i="8" s="1"/>
  <c r="E94" i="8" s="1"/>
  <c r="E95" i="8" s="1"/>
  <c r="E96" i="8" s="1"/>
  <c r="E97" i="8" s="1"/>
  <c r="E98" i="8" s="1"/>
  <c r="E99" i="8" s="1"/>
  <c r="E100" i="8" s="1"/>
  <c r="E101" i="8" s="1"/>
  <c r="E102" i="8" s="1"/>
  <c r="E103" i="8" s="1"/>
  <c r="E104" i="8" s="1"/>
  <c r="E105" i="8" s="1"/>
  <c r="E106" i="8" s="1"/>
  <c r="E107" i="8" s="1"/>
  <c r="E108" i="8" s="1"/>
  <c r="E109" i="8" s="1"/>
  <c r="E110" i="8" s="1"/>
  <c r="E111" i="8" s="1"/>
  <c r="E112" i="8" s="1"/>
  <c r="E113" i="8" s="1"/>
  <c r="E114" i="8" s="1"/>
  <c r="E115" i="8" s="1"/>
  <c r="E116" i="8" s="1"/>
  <c r="E117" i="8" s="1"/>
  <c r="E118" i="8" s="1"/>
  <c r="E119" i="8" s="1"/>
  <c r="E120" i="8" s="1"/>
  <c r="E121" i="8" s="1"/>
  <c r="E122" i="8" s="1"/>
  <c r="E123" i="8" s="1"/>
  <c r="E124" i="8" s="1"/>
  <c r="E125" i="8" s="1"/>
  <c r="E126" i="8" s="1"/>
  <c r="E127" i="8" s="1"/>
  <c r="E128" i="8" s="1"/>
  <c r="E129" i="8" s="1"/>
  <c r="E130" i="8" s="1"/>
  <c r="E131" i="8" s="1"/>
  <c r="E132" i="8" s="1"/>
  <c r="E133" i="8" s="1"/>
  <c r="E134" i="8" s="1"/>
  <c r="E135" i="8" s="1"/>
  <c r="E136" i="8" s="1"/>
  <c r="E137" i="8" s="1"/>
  <c r="E138" i="8" s="1"/>
  <c r="E139" i="8" s="1"/>
  <c r="E140" i="8" s="1"/>
  <c r="E141" i="8" s="1"/>
  <c r="A28" i="4"/>
  <c r="A28" i="5" s="1"/>
  <c r="A28" i="6" s="1"/>
  <c r="A29" i="4"/>
  <c r="A29" i="5" s="1"/>
  <c r="A29" i="6" s="1"/>
  <c r="A30" i="4"/>
  <c r="A30" i="5" s="1"/>
  <c r="A30" i="6" s="1"/>
  <c r="A31" i="4"/>
  <c r="A31" i="5" s="1"/>
  <c r="A31" i="6" s="1"/>
  <c r="A32" i="4"/>
  <c r="A32" i="5" s="1"/>
  <c r="A32" i="6" s="1"/>
  <c r="A33" i="4"/>
  <c r="A33" i="5" s="1"/>
  <c r="A33" i="6" s="1"/>
  <c r="A34" i="4"/>
  <c r="A34" i="5" s="1"/>
  <c r="A34" i="6" s="1"/>
  <c r="A35" i="4"/>
  <c r="A35" i="5" s="1"/>
  <c r="A35" i="6" s="1"/>
  <c r="A36" i="4"/>
  <c r="A36" i="5" s="1"/>
  <c r="A36" i="6" s="1"/>
  <c r="A37" i="4"/>
  <c r="A37" i="5" s="1"/>
  <c r="A37" i="6" s="1"/>
  <c r="A38" i="4"/>
  <c r="A38" i="5" s="1"/>
  <c r="A38" i="6" s="1"/>
  <c r="A39" i="4"/>
  <c r="A39" i="5" s="1"/>
  <c r="A39" i="6" s="1"/>
  <c r="A40" i="4"/>
  <c r="A40" i="5" s="1"/>
  <c r="A40" i="6" s="1"/>
  <c r="A41" i="4"/>
  <c r="A41" i="5" s="1"/>
  <c r="A41" i="6" s="1"/>
  <c r="A42" i="4"/>
  <c r="A42" i="5" s="1"/>
  <c r="A42" i="6" s="1"/>
  <c r="A43" i="4"/>
  <c r="A43" i="5" s="1"/>
  <c r="A43" i="6" s="1"/>
  <c r="A44" i="4"/>
  <c r="A44" i="5" s="1"/>
  <c r="A44" i="6" s="1"/>
  <c r="A45" i="4"/>
  <c r="A45" i="5" s="1"/>
  <c r="A45" i="6" s="1"/>
  <c r="A46" i="4"/>
  <c r="A46" i="5" s="1"/>
  <c r="A46" i="6" s="1"/>
  <c r="A47" i="4"/>
  <c r="A47" i="5" s="1"/>
  <c r="A47" i="6" s="1"/>
  <c r="A48" i="4"/>
  <c r="A48" i="5" s="1"/>
  <c r="A48" i="6" s="1"/>
  <c r="A49" i="4"/>
  <c r="A49" i="5" s="1"/>
  <c r="A49" i="6" s="1"/>
  <c r="A50" i="4"/>
  <c r="A50" i="5" s="1"/>
  <c r="A50" i="6" s="1"/>
  <c r="A51" i="4"/>
  <c r="A51" i="5" s="1"/>
  <c r="A51" i="6" s="1"/>
  <c r="A53" i="4"/>
  <c r="A53" i="5" s="1"/>
  <c r="A53" i="6" s="1"/>
  <c r="A55" i="4"/>
  <c r="A55" i="5" s="1"/>
  <c r="A55" i="6" s="1"/>
  <c r="A56" i="4"/>
  <c r="A56" i="5" s="1"/>
  <c r="A56" i="6" s="1"/>
  <c r="A57" i="4"/>
  <c r="A57" i="5" s="1"/>
  <c r="A57" i="6" s="1"/>
  <c r="A59" i="4"/>
  <c r="A59" i="5" s="1"/>
  <c r="A59" i="6" s="1"/>
  <c r="A60" i="4"/>
  <c r="A60" i="5" s="1"/>
  <c r="A60" i="6" s="1"/>
  <c r="A61" i="4"/>
  <c r="A61" i="5" s="1"/>
  <c r="A61" i="6" s="1"/>
  <c r="A63" i="4"/>
  <c r="A63" i="5" s="1"/>
  <c r="A63" i="6" s="1"/>
  <c r="A64" i="4"/>
  <c r="A64" i="5" s="1"/>
  <c r="A64" i="6" s="1"/>
  <c r="A65" i="4"/>
  <c r="A65" i="5" s="1"/>
  <c r="A65" i="6" s="1"/>
  <c r="A67" i="4"/>
  <c r="A67" i="5" s="1"/>
  <c r="A67" i="6" s="1"/>
  <c r="A68" i="4"/>
  <c r="A68" i="5" s="1"/>
  <c r="A68" i="6" s="1"/>
  <c r="A69" i="4"/>
  <c r="A69" i="5" s="1"/>
  <c r="A69" i="6" s="1"/>
  <c r="A71" i="4"/>
  <c r="A71" i="5" s="1"/>
  <c r="A71" i="6" s="1"/>
  <c r="A72" i="4"/>
  <c r="A72" i="5" s="1"/>
  <c r="A72" i="6" s="1"/>
  <c r="A73" i="4"/>
  <c r="A73" i="5" s="1"/>
  <c r="A73" i="6" s="1"/>
  <c r="A75" i="4"/>
  <c r="A75" i="5" s="1"/>
  <c r="A75" i="6" s="1"/>
  <c r="A76" i="4"/>
  <c r="A76" i="5" s="1"/>
  <c r="A76" i="6" s="1"/>
  <c r="A80" i="4"/>
  <c r="A80" i="5" s="1"/>
  <c r="A80" i="6" s="1"/>
  <c r="A81" i="4"/>
  <c r="A81" i="5" s="1"/>
  <c r="A81" i="6" s="1"/>
  <c r="A84" i="4"/>
  <c r="A84" i="5" s="1"/>
  <c r="A84" i="6" s="1"/>
  <c r="A85" i="4"/>
  <c r="A85" i="5" s="1"/>
  <c r="A85" i="6" s="1"/>
  <c r="A88" i="4"/>
  <c r="A88" i="5" s="1"/>
  <c r="A88" i="6" s="1"/>
  <c r="A89" i="4"/>
  <c r="A89" i="5" s="1"/>
  <c r="A89" i="6" s="1"/>
  <c r="A92" i="4"/>
  <c r="A92" i="5" s="1"/>
  <c r="A92" i="6" s="1"/>
  <c r="A93" i="4"/>
  <c r="A93" i="5" s="1"/>
  <c r="A93" i="6" s="1"/>
  <c r="A96" i="4"/>
  <c r="A96" i="5" s="1"/>
  <c r="A96" i="6" s="1"/>
  <c r="A97" i="4"/>
  <c r="A97" i="5" s="1"/>
  <c r="A97" i="6" s="1"/>
  <c r="A100" i="4"/>
  <c r="A100" i="5" s="1"/>
  <c r="A100" i="6" s="1"/>
  <c r="A101" i="4"/>
  <c r="A101" i="5" s="1"/>
  <c r="A101" i="6" s="1"/>
  <c r="A105" i="4"/>
  <c r="A105" i="5" s="1"/>
  <c r="A105" i="6" s="1"/>
  <c r="A109" i="4"/>
  <c r="A109" i="5" s="1"/>
  <c r="A109" i="6" s="1"/>
  <c r="A113" i="4"/>
  <c r="A113" i="5" s="1"/>
  <c r="A113" i="6" s="1"/>
  <c r="A117" i="4"/>
  <c r="A117" i="5" s="1"/>
  <c r="A117" i="6" s="1"/>
  <c r="A121" i="4"/>
  <c r="A121" i="5" s="1"/>
  <c r="A121" i="6" s="1"/>
  <c r="A125" i="4"/>
  <c r="A125" i="5" s="1"/>
  <c r="A125" i="6" s="1"/>
  <c r="A27" i="4"/>
  <c r="A52" i="4" s="1"/>
  <c r="B28" i="4"/>
  <c r="C28" i="4" s="1"/>
  <c r="D28" i="4" s="1"/>
  <c r="B29" i="4"/>
  <c r="C29" i="4" s="1"/>
  <c r="D29" i="4" s="1"/>
  <c r="B30" i="4"/>
  <c r="C30" i="4" s="1"/>
  <c r="D30" i="4" s="1"/>
  <c r="B31" i="4"/>
  <c r="C31" i="4" s="1"/>
  <c r="D31" i="4" s="1"/>
  <c r="B32" i="4"/>
  <c r="C32" i="4" s="1"/>
  <c r="D32" i="4" s="1"/>
  <c r="B33" i="4"/>
  <c r="C33" i="4" s="1"/>
  <c r="D33" i="4" s="1"/>
  <c r="B34" i="4"/>
  <c r="C34" i="4" s="1"/>
  <c r="D34" i="4" s="1"/>
  <c r="B35" i="4"/>
  <c r="C35" i="4" s="1"/>
  <c r="D35" i="4" s="1"/>
  <c r="B36" i="4"/>
  <c r="C36" i="4" s="1"/>
  <c r="D36" i="4" s="1"/>
  <c r="B53" i="4"/>
  <c r="C53" i="4" s="1"/>
  <c r="D53" i="4" s="1"/>
  <c r="B54" i="4"/>
  <c r="C54" i="4" s="1"/>
  <c r="D54" i="4" s="1"/>
  <c r="B55" i="4"/>
  <c r="C55" i="4" s="1"/>
  <c r="D55" i="4" s="1"/>
  <c r="B56" i="4"/>
  <c r="C56" i="4" s="1"/>
  <c r="D56" i="4" s="1"/>
  <c r="B57" i="4"/>
  <c r="C57" i="4" s="1"/>
  <c r="D57" i="4" s="1"/>
  <c r="B58" i="4"/>
  <c r="C58" i="4" s="1"/>
  <c r="D58" i="4" s="1"/>
  <c r="B59" i="4"/>
  <c r="C59" i="4" s="1"/>
  <c r="D59" i="4" s="1"/>
  <c r="B60" i="4"/>
  <c r="C60" i="4" s="1"/>
  <c r="D60" i="4" s="1"/>
  <c r="B61" i="4"/>
  <c r="C61" i="4" s="1"/>
  <c r="D61" i="4" s="1"/>
  <c r="B78" i="4"/>
  <c r="C78" i="4" s="1"/>
  <c r="D78" i="4" s="1"/>
  <c r="B79" i="4"/>
  <c r="C79" i="4" s="1"/>
  <c r="D79" i="4" s="1"/>
  <c r="B80" i="4"/>
  <c r="C80" i="4" s="1"/>
  <c r="D80" i="4" s="1"/>
  <c r="B81" i="4"/>
  <c r="C81" i="4" s="1"/>
  <c r="D81" i="4" s="1"/>
  <c r="B82" i="4"/>
  <c r="C82" i="4" s="1"/>
  <c r="D82" i="4" s="1"/>
  <c r="B83" i="4"/>
  <c r="C83" i="4" s="1"/>
  <c r="D83" i="4" s="1"/>
  <c r="B84" i="4"/>
  <c r="C84" i="4" s="1"/>
  <c r="D84" i="4" s="1"/>
  <c r="B85" i="4"/>
  <c r="C85" i="4" s="1"/>
  <c r="D85" i="4" s="1"/>
  <c r="B86" i="4"/>
  <c r="C86" i="4" s="1"/>
  <c r="D86" i="4" s="1"/>
  <c r="B103" i="4"/>
  <c r="C103" i="4" s="1"/>
  <c r="D103" i="4" s="1"/>
  <c r="B104" i="4"/>
  <c r="C104" i="4" s="1"/>
  <c r="D104" i="4" s="1"/>
  <c r="B105" i="4"/>
  <c r="C105" i="4" s="1"/>
  <c r="D105" i="4" s="1"/>
  <c r="B106" i="4"/>
  <c r="C106" i="4" s="1"/>
  <c r="D106" i="4" s="1"/>
  <c r="B107" i="4"/>
  <c r="C107" i="4" s="1"/>
  <c r="D107" i="4" s="1"/>
  <c r="B108" i="4"/>
  <c r="C108" i="4" s="1"/>
  <c r="D108" i="4" s="1"/>
  <c r="B109" i="4"/>
  <c r="C109" i="4" s="1"/>
  <c r="D109" i="4" s="1"/>
  <c r="B110" i="4"/>
  <c r="C110" i="4" s="1"/>
  <c r="D110" i="4" s="1"/>
  <c r="B111" i="4"/>
  <c r="C111" i="4" s="1"/>
  <c r="D111" i="4" s="1"/>
  <c r="B128" i="4"/>
  <c r="C128" i="4" s="1"/>
  <c r="D128" i="4" s="1"/>
  <c r="B129" i="4"/>
  <c r="C129" i="4" s="1"/>
  <c r="D129" i="4" s="1"/>
  <c r="B130" i="4"/>
  <c r="C130" i="4" s="1"/>
  <c r="D130" i="4" s="1"/>
  <c r="B131" i="4"/>
  <c r="C131" i="4" s="1"/>
  <c r="D131" i="4" s="1"/>
  <c r="B132" i="4"/>
  <c r="C132" i="4" s="1"/>
  <c r="D132" i="4" s="1"/>
  <c r="B133" i="4"/>
  <c r="C133" i="4" s="1"/>
  <c r="D133" i="4" s="1"/>
  <c r="B134" i="4"/>
  <c r="C134" i="4" s="1"/>
  <c r="D134" i="4" s="1"/>
  <c r="B135" i="4"/>
  <c r="C135" i="4" s="1"/>
  <c r="D135" i="4" s="1"/>
  <c r="B136" i="4"/>
  <c r="C136" i="4" s="1"/>
  <c r="D136" i="4" s="1"/>
  <c r="B153" i="4"/>
  <c r="B154" i="4"/>
  <c r="B155" i="4"/>
  <c r="B156" i="4"/>
  <c r="B181" i="4" s="1"/>
  <c r="B158" i="4"/>
  <c r="B159" i="4"/>
  <c r="B160" i="4"/>
  <c r="B185" i="4" s="1"/>
  <c r="B178" i="4"/>
  <c r="B179" i="4"/>
  <c r="B180" i="4"/>
  <c r="B205" i="4" s="1"/>
  <c r="B183" i="4"/>
  <c r="B184" i="4"/>
  <c r="B209" i="4" s="1"/>
  <c r="B203" i="4"/>
  <c r="B27" i="4"/>
  <c r="C27" i="4" s="1"/>
  <c r="D27" i="4" s="1"/>
  <c r="B13" i="4"/>
  <c r="C13" i="4" s="1"/>
  <c r="D13" i="4" s="1"/>
  <c r="B14" i="4"/>
  <c r="C14" i="4" s="1"/>
  <c r="D14" i="4" s="1"/>
  <c r="B15" i="4"/>
  <c r="C15" i="4" s="1"/>
  <c r="D15" i="4" s="1"/>
  <c r="B16" i="4"/>
  <c r="C16" i="4" s="1"/>
  <c r="D16" i="4" s="1"/>
  <c r="B18" i="4"/>
  <c r="C18" i="4" s="1"/>
  <c r="D18" i="4" s="1"/>
  <c r="B19" i="4"/>
  <c r="C19" i="4" s="1"/>
  <c r="D19" i="4" s="1"/>
  <c r="B20" i="4"/>
  <c r="C20" i="4" s="1"/>
  <c r="D20" i="4" s="1"/>
  <c r="B23" i="4"/>
  <c r="C23" i="4" s="1"/>
  <c r="D23" i="4" s="1"/>
  <c r="B24" i="4"/>
  <c r="C24" i="4" s="1"/>
  <c r="D24" i="4" s="1"/>
  <c r="B12" i="4"/>
  <c r="C12" i="4" s="1"/>
  <c r="D12" i="4" s="1"/>
  <c r="W54" i="11" l="1"/>
  <c r="W97" i="11"/>
  <c r="W23" i="11"/>
  <c r="W46" i="11"/>
  <c r="W91" i="11"/>
  <c r="W98" i="11"/>
  <c r="W12" i="11"/>
  <c r="W109" i="11"/>
  <c r="W19" i="10"/>
  <c r="W35" i="10"/>
  <c r="W41" i="11"/>
  <c r="W27" i="11"/>
  <c r="W81" i="11"/>
  <c r="W57" i="11"/>
  <c r="W68" i="11"/>
  <c r="W65" i="11"/>
  <c r="W84" i="11"/>
  <c r="W33" i="11"/>
  <c r="W39" i="11"/>
  <c r="W15" i="11"/>
  <c r="W42" i="11"/>
  <c r="W18" i="11"/>
  <c r="W30" i="11"/>
  <c r="W70" i="11"/>
  <c r="W88" i="11"/>
  <c r="W60" i="11"/>
  <c r="W13" i="11"/>
  <c r="W36" i="11"/>
  <c r="W31" i="11"/>
  <c r="W34" i="11"/>
  <c r="W73" i="11"/>
  <c r="W79" i="11"/>
  <c r="W35" i="11"/>
  <c r="W75" i="11"/>
  <c r="W71" i="11"/>
  <c r="W9" i="11"/>
  <c r="W20" i="11"/>
  <c r="W49" i="11"/>
  <c r="W26" i="11"/>
  <c r="W90" i="11"/>
  <c r="W10" i="11"/>
  <c r="W17" i="11"/>
  <c r="W19" i="11"/>
  <c r="W28" i="11"/>
  <c r="W37" i="11"/>
  <c r="W24" i="11"/>
  <c r="W77" i="11"/>
  <c r="W94" i="11"/>
  <c r="W32" i="11"/>
  <c r="W59" i="11"/>
  <c r="W50" i="11"/>
  <c r="W74" i="11"/>
  <c r="W11" i="11"/>
  <c r="W44" i="11"/>
  <c r="W45" i="11"/>
  <c r="W102" i="11"/>
  <c r="W110" i="11"/>
  <c r="W118" i="11"/>
  <c r="W141" i="11"/>
  <c r="W113" i="11"/>
  <c r="W18" i="10"/>
  <c r="W34" i="10"/>
  <c r="W112" i="11"/>
  <c r="W120" i="11"/>
  <c r="W101" i="11"/>
  <c r="W119" i="11"/>
  <c r="W15" i="10"/>
  <c r="W31" i="10"/>
  <c r="W47" i="10"/>
  <c r="W12" i="10"/>
  <c r="W28" i="10"/>
  <c r="W44" i="10"/>
  <c r="W95" i="11"/>
  <c r="W25" i="11"/>
  <c r="W6" i="10"/>
  <c r="W22" i="10"/>
  <c r="W38" i="10"/>
  <c r="W117" i="11"/>
  <c r="W105" i="11"/>
  <c r="W17" i="10"/>
  <c r="W33" i="10"/>
  <c r="W100" i="11"/>
  <c r="W108" i="11"/>
  <c r="W89" i="11"/>
  <c r="W66" i="11"/>
  <c r="W58" i="11"/>
  <c r="W82" i="11"/>
  <c r="W104" i="11"/>
  <c r="W123" i="11"/>
  <c r="W7" i="10"/>
  <c r="W78" i="11"/>
  <c r="W52" i="11"/>
  <c r="W86" i="11"/>
  <c r="W72" i="11"/>
  <c r="W53" i="11"/>
  <c r="W22" i="11"/>
  <c r="W69" i="11"/>
  <c r="W40" i="11"/>
  <c r="W67" i="11"/>
  <c r="W85" i="11"/>
  <c r="W14" i="11"/>
  <c r="W96" i="11"/>
  <c r="W64" i="11"/>
  <c r="W51" i="11"/>
  <c r="W80" i="11"/>
  <c r="W21" i="11"/>
  <c r="W87" i="11"/>
  <c r="W29" i="11"/>
  <c r="W43" i="11"/>
  <c r="W48" i="11"/>
  <c r="W56" i="11"/>
  <c r="W99" i="11"/>
  <c r="W62" i="11"/>
  <c r="W8" i="11"/>
  <c r="W47" i="11"/>
  <c r="W6" i="11"/>
  <c r="W92" i="11"/>
  <c r="W7" i="11"/>
  <c r="W16" i="11"/>
  <c r="W55" i="11"/>
  <c r="W93" i="11"/>
  <c r="W63" i="11"/>
  <c r="W76" i="11"/>
  <c r="W38" i="11"/>
  <c r="W83" i="11"/>
  <c r="W23" i="10"/>
  <c r="W39" i="10"/>
  <c r="W20" i="10"/>
  <c r="W36" i="10"/>
  <c r="W114" i="11"/>
  <c r="W9" i="10"/>
  <c r="W25" i="10"/>
  <c r="W41" i="10"/>
  <c r="W14" i="10"/>
  <c r="W30" i="10"/>
  <c r="W46" i="10"/>
  <c r="W106" i="11"/>
  <c r="W122" i="11"/>
  <c r="W116" i="11"/>
  <c r="W124" i="11"/>
  <c r="W121" i="11"/>
  <c r="W137" i="11"/>
  <c r="W143" i="11"/>
  <c r="W103" i="11"/>
  <c r="W107" i="11"/>
  <c r="W11" i="10"/>
  <c r="W27" i="10"/>
  <c r="W43" i="10"/>
  <c r="W8" i="10"/>
  <c r="W16" i="10"/>
  <c r="W24" i="10"/>
  <c r="W32" i="10"/>
  <c r="W40" i="10"/>
  <c r="W48" i="10"/>
  <c r="W125" i="11"/>
  <c r="W139" i="11"/>
  <c r="W111" i="11"/>
  <c r="W115" i="11"/>
  <c r="W5" i="10"/>
  <c r="W13" i="10"/>
  <c r="W21" i="10"/>
  <c r="W29" i="10"/>
  <c r="W37" i="10"/>
  <c r="W45" i="10"/>
  <c r="W10" i="10"/>
  <c r="W26" i="10"/>
  <c r="W42" i="10"/>
  <c r="C185" i="4"/>
  <c r="D185" i="4" s="1"/>
  <c r="B185" i="5"/>
  <c r="B210" i="4"/>
  <c r="A52" i="5"/>
  <c r="A52" i="6" s="1"/>
  <c r="A77" i="4"/>
  <c r="C205" i="4"/>
  <c r="D205" i="4" s="1"/>
  <c r="B205" i="5"/>
  <c r="B230" i="4"/>
  <c r="C209" i="4"/>
  <c r="D209" i="4" s="1"/>
  <c r="B209" i="5"/>
  <c r="B234" i="4"/>
  <c r="C181" i="4"/>
  <c r="D181" i="4" s="1"/>
  <c r="B181" i="5"/>
  <c r="B206" i="4"/>
  <c r="C203" i="4"/>
  <c r="D203" i="4" s="1"/>
  <c r="B203" i="5"/>
  <c r="C183" i="4"/>
  <c r="D183" i="4" s="1"/>
  <c r="B183" i="5"/>
  <c r="C179" i="4"/>
  <c r="D179" i="4" s="1"/>
  <c r="B179" i="5"/>
  <c r="C159" i="4"/>
  <c r="D159" i="4" s="1"/>
  <c r="B159" i="5"/>
  <c r="C155" i="4"/>
  <c r="D155" i="4" s="1"/>
  <c r="B155" i="5"/>
  <c r="B43" i="4"/>
  <c r="B39" i="4"/>
  <c r="B135" i="5"/>
  <c r="B133" i="5"/>
  <c r="B131" i="5"/>
  <c r="B129" i="5"/>
  <c r="B111" i="5"/>
  <c r="B109" i="5"/>
  <c r="B107" i="5"/>
  <c r="B105" i="5"/>
  <c r="B103" i="5"/>
  <c r="B85" i="5"/>
  <c r="B83" i="5"/>
  <c r="B81" i="5"/>
  <c r="B79" i="5"/>
  <c r="B61" i="5"/>
  <c r="B59" i="5"/>
  <c r="B57" i="5"/>
  <c r="B55" i="5"/>
  <c r="B53" i="5"/>
  <c r="B35" i="5"/>
  <c r="B33" i="5"/>
  <c r="B31" i="5"/>
  <c r="B29" i="5"/>
  <c r="B27" i="5"/>
  <c r="B23" i="5"/>
  <c r="B19" i="5"/>
  <c r="B15" i="5"/>
  <c r="B13" i="5"/>
  <c r="B11" i="6"/>
  <c r="B9" i="6"/>
  <c r="B7" i="6"/>
  <c r="B5" i="6"/>
  <c r="B3" i="6"/>
  <c r="C178" i="4"/>
  <c r="D178" i="4" s="1"/>
  <c r="B178" i="5"/>
  <c r="B158" i="5"/>
  <c r="C158" i="4"/>
  <c r="D158" i="4" s="1"/>
  <c r="C154" i="4"/>
  <c r="D154" i="4" s="1"/>
  <c r="B154" i="5"/>
  <c r="B38" i="4"/>
  <c r="B228" i="4"/>
  <c r="B208" i="4"/>
  <c r="B204" i="4"/>
  <c r="A150" i="4"/>
  <c r="A146" i="4"/>
  <c r="A142" i="4"/>
  <c r="A138" i="4"/>
  <c r="A134" i="4"/>
  <c r="A130" i="4"/>
  <c r="A126" i="4"/>
  <c r="A122" i="4"/>
  <c r="A118" i="4"/>
  <c r="A114" i="4"/>
  <c r="A110" i="4"/>
  <c r="A106" i="4"/>
  <c r="A98" i="4"/>
  <c r="A94" i="4"/>
  <c r="A90" i="4"/>
  <c r="A86" i="4"/>
  <c r="A82" i="4"/>
  <c r="A78" i="4"/>
  <c r="A74" i="4"/>
  <c r="A70" i="4"/>
  <c r="A66" i="4"/>
  <c r="A62" i="4"/>
  <c r="A58" i="4"/>
  <c r="A54" i="4"/>
  <c r="A27" i="5"/>
  <c r="A27" i="6" s="1"/>
  <c r="B25" i="4"/>
  <c r="B21" i="4"/>
  <c r="B17" i="4"/>
  <c r="B161" i="4"/>
  <c r="B157" i="4"/>
  <c r="C153" i="4"/>
  <c r="D153" i="4" s="1"/>
  <c r="B153" i="5"/>
  <c r="B49" i="4"/>
  <c r="B45" i="4"/>
  <c r="B41" i="4"/>
  <c r="B37" i="4"/>
  <c r="B136" i="5"/>
  <c r="B134" i="5"/>
  <c r="B132" i="5"/>
  <c r="B130" i="5"/>
  <c r="B128" i="5"/>
  <c r="B110" i="5"/>
  <c r="B108" i="5"/>
  <c r="B106" i="5"/>
  <c r="B104" i="5"/>
  <c r="B86" i="5"/>
  <c r="B84" i="5"/>
  <c r="B82" i="5"/>
  <c r="B80" i="5"/>
  <c r="B78" i="5"/>
  <c r="B60" i="5"/>
  <c r="B58" i="5"/>
  <c r="B56" i="5"/>
  <c r="B54" i="5"/>
  <c r="B36" i="5"/>
  <c r="B34" i="5"/>
  <c r="B32" i="5"/>
  <c r="B30" i="5"/>
  <c r="B28" i="5"/>
  <c r="B24" i="5"/>
  <c r="B20" i="5"/>
  <c r="B18" i="5"/>
  <c r="B16" i="5"/>
  <c r="B14" i="5"/>
  <c r="B12" i="5"/>
  <c r="B10" i="6"/>
  <c r="B8" i="6"/>
  <c r="C8" i="6" s="1"/>
  <c r="D8" i="6" s="1"/>
  <c r="B6" i="6"/>
  <c r="B4" i="6"/>
  <c r="B184" i="5"/>
  <c r="C184" i="4"/>
  <c r="D184" i="4" s="1"/>
  <c r="B180" i="5"/>
  <c r="C180" i="4"/>
  <c r="D180" i="4" s="1"/>
  <c r="C160" i="4"/>
  <c r="D160" i="4" s="1"/>
  <c r="B160" i="5"/>
  <c r="C156" i="4"/>
  <c r="D156" i="4" s="1"/>
  <c r="B156" i="5"/>
  <c r="B52" i="4"/>
  <c r="B48" i="4"/>
  <c r="B44" i="4"/>
  <c r="B40" i="4"/>
  <c r="B2" i="6"/>
  <c r="C2" i="6" s="1"/>
  <c r="D2" i="6" s="1"/>
  <c r="H136" i="10"/>
  <c r="J136" i="10" s="1"/>
  <c r="H132" i="10"/>
  <c r="J132" i="10" s="1"/>
  <c r="H128" i="10"/>
  <c r="J128" i="10" s="1"/>
  <c r="H124" i="10"/>
  <c r="J124" i="10" s="1"/>
  <c r="H120" i="10"/>
  <c r="J120" i="10" s="1"/>
  <c r="H116" i="10"/>
  <c r="J116" i="10" s="1"/>
  <c r="H112" i="10"/>
  <c r="J112" i="10" s="1"/>
  <c r="H108" i="10"/>
  <c r="J108" i="10" s="1"/>
  <c r="H104" i="10"/>
  <c r="J104" i="10" s="1"/>
  <c r="H100" i="10"/>
  <c r="H96" i="10"/>
  <c r="W131" i="11"/>
  <c r="W55" i="10"/>
  <c r="W63" i="10"/>
  <c r="W71" i="10"/>
  <c r="W79" i="10"/>
  <c r="W87" i="10"/>
  <c r="W95" i="10"/>
  <c r="W103" i="10"/>
  <c r="W111" i="10"/>
  <c r="W119" i="10"/>
  <c r="W127" i="10"/>
  <c r="W135" i="10"/>
  <c r="W143" i="10"/>
  <c r="W52" i="10"/>
  <c r="W60" i="10"/>
  <c r="W68" i="10"/>
  <c r="W76" i="10"/>
  <c r="W84" i="10"/>
  <c r="W92" i="10"/>
  <c r="W108" i="10"/>
  <c r="W116" i="10"/>
  <c r="W124" i="10"/>
  <c r="W132" i="10"/>
  <c r="H93" i="10"/>
  <c r="W51" i="10"/>
  <c r="W59" i="10"/>
  <c r="W67" i="10"/>
  <c r="W75" i="10"/>
  <c r="W83" i="10"/>
  <c r="W91" i="10"/>
  <c r="W99" i="10"/>
  <c r="W107" i="10"/>
  <c r="W115" i="10"/>
  <c r="W123" i="10"/>
  <c r="W131" i="10"/>
  <c r="W139" i="10"/>
  <c r="W56" i="10"/>
  <c r="W64" i="10"/>
  <c r="W72" i="10"/>
  <c r="W80" i="10"/>
  <c r="W88" i="10"/>
  <c r="W104" i="10"/>
  <c r="W112" i="10"/>
  <c r="W120" i="10"/>
  <c r="W128" i="10"/>
  <c r="W136" i="10"/>
  <c r="W49" i="10"/>
  <c r="W57" i="10"/>
  <c r="W65" i="10"/>
  <c r="W73" i="10"/>
  <c r="W81" i="10"/>
  <c r="W89" i="10"/>
  <c r="W97" i="10"/>
  <c r="W105" i="10"/>
  <c r="W113" i="10"/>
  <c r="W121" i="10"/>
  <c r="W129" i="10"/>
  <c r="W54" i="10"/>
  <c r="W62" i="10"/>
  <c r="W70" i="10"/>
  <c r="W78" i="10"/>
  <c r="W86" i="10"/>
  <c r="W94" i="10"/>
  <c r="W102" i="10"/>
  <c r="W110" i="10"/>
  <c r="W118" i="10"/>
  <c r="W126" i="10"/>
  <c r="W134" i="10"/>
  <c r="W142" i="10"/>
  <c r="W53" i="10"/>
  <c r="W61" i="10"/>
  <c r="W69" i="10"/>
  <c r="W77" i="10"/>
  <c r="W85" i="10"/>
  <c r="W101" i="10"/>
  <c r="W109" i="10"/>
  <c r="W117" i="10"/>
  <c r="W125" i="10"/>
  <c r="W133" i="10"/>
  <c r="W141" i="10"/>
  <c r="W50" i="10"/>
  <c r="W58" i="10"/>
  <c r="W66" i="10"/>
  <c r="W74" i="10"/>
  <c r="W82" i="10"/>
  <c r="W90" i="10"/>
  <c r="W98" i="10"/>
  <c r="W106" i="10"/>
  <c r="W114" i="10"/>
  <c r="W122" i="10"/>
  <c r="W130" i="10"/>
  <c r="W138" i="10"/>
  <c r="W128" i="11"/>
  <c r="W132" i="11"/>
  <c r="W136" i="11"/>
  <c r="W140" i="11"/>
  <c r="W144" i="11"/>
  <c r="W129" i="11"/>
  <c r="W5" i="11"/>
  <c r="W126" i="11"/>
  <c r="W130" i="11"/>
  <c r="W134" i="11"/>
  <c r="W138" i="11"/>
  <c r="W142" i="11"/>
  <c r="W133" i="11"/>
  <c r="W135" i="11"/>
  <c r="W127" i="11"/>
  <c r="A15" i="8"/>
  <c r="A17" i="8"/>
  <c r="A8" i="8"/>
  <c r="A9" i="8"/>
  <c r="A10" i="8"/>
  <c r="A11" i="8"/>
  <c r="A12" i="8"/>
  <c r="A13" i="8"/>
  <c r="A7" i="8"/>
  <c r="G11" i="8" l="1"/>
  <c r="H11" i="8" s="1"/>
  <c r="A11" i="15"/>
  <c r="A11" i="7"/>
  <c r="G17" i="8"/>
  <c r="H17" i="8" s="1"/>
  <c r="A17" i="15"/>
  <c r="A17" i="7"/>
  <c r="G13" i="8"/>
  <c r="H13" i="8" s="1"/>
  <c r="A13" i="15"/>
  <c r="A13" i="7"/>
  <c r="G9" i="8"/>
  <c r="H9" i="8" s="1"/>
  <c r="A9" i="15"/>
  <c r="A9" i="7"/>
  <c r="G15" i="8"/>
  <c r="H15" i="8" s="1"/>
  <c r="A15" i="15"/>
  <c r="A15" i="7"/>
  <c r="J100" i="10"/>
  <c r="W100" i="10" s="1"/>
  <c r="H144" i="10"/>
  <c r="C44" i="4"/>
  <c r="D44" i="4" s="1"/>
  <c r="B44" i="5"/>
  <c r="B69" i="4"/>
  <c r="C180" i="5"/>
  <c r="D180" i="5" s="1"/>
  <c r="B180" i="6"/>
  <c r="C6" i="6"/>
  <c r="D6" i="6" s="1"/>
  <c r="C14" i="5"/>
  <c r="D14" i="5" s="1"/>
  <c r="B14" i="6"/>
  <c r="C24" i="5"/>
  <c r="D24" i="5" s="1"/>
  <c r="B24" i="6"/>
  <c r="C34" i="5"/>
  <c r="D34" i="5" s="1"/>
  <c r="B34" i="6"/>
  <c r="C58" i="5"/>
  <c r="D58" i="5" s="1"/>
  <c r="B58" i="6"/>
  <c r="C82" i="5"/>
  <c r="D82" i="5" s="1"/>
  <c r="B82" i="6"/>
  <c r="C106" i="5"/>
  <c r="D106" i="5" s="1"/>
  <c r="B106" i="6"/>
  <c r="C130" i="5"/>
  <c r="D130" i="5" s="1"/>
  <c r="B130" i="6"/>
  <c r="C37" i="4"/>
  <c r="D37" i="4" s="1"/>
  <c r="B62" i="4"/>
  <c r="B37" i="5"/>
  <c r="C153" i="5"/>
  <c r="D153" i="5" s="1"/>
  <c r="B153" i="6"/>
  <c r="C17" i="4"/>
  <c r="D17" i="4" s="1"/>
  <c r="B42" i="4"/>
  <c r="B22" i="4"/>
  <c r="B17" i="5"/>
  <c r="A54" i="5"/>
  <c r="A54" i="6" s="1"/>
  <c r="A79" i="4"/>
  <c r="A70" i="5"/>
  <c r="A70" i="6" s="1"/>
  <c r="A95" i="4"/>
  <c r="A86" i="5"/>
  <c r="A86" i="6" s="1"/>
  <c r="A111" i="4"/>
  <c r="A106" i="5"/>
  <c r="A106" i="6" s="1"/>
  <c r="A131" i="4"/>
  <c r="A122" i="5"/>
  <c r="A122" i="6" s="1"/>
  <c r="A147" i="4"/>
  <c r="A138" i="5"/>
  <c r="A138" i="6" s="1"/>
  <c r="A163" i="4"/>
  <c r="B204" i="5"/>
  <c r="C204" i="4"/>
  <c r="D204" i="4" s="1"/>
  <c r="B229" i="4"/>
  <c r="C154" i="5"/>
  <c r="D154" i="5" s="1"/>
  <c r="B154" i="6"/>
  <c r="C178" i="5"/>
  <c r="D178" i="5" s="1"/>
  <c r="B178" i="6"/>
  <c r="C7" i="6"/>
  <c r="D7" i="6" s="1"/>
  <c r="C15" i="5"/>
  <c r="D15" i="5" s="1"/>
  <c r="B15" i="6"/>
  <c r="C29" i="5"/>
  <c r="D29" i="5" s="1"/>
  <c r="B29" i="6"/>
  <c r="C53" i="5"/>
  <c r="D53" i="5" s="1"/>
  <c r="B53" i="6"/>
  <c r="C61" i="5"/>
  <c r="D61" i="5" s="1"/>
  <c r="B61" i="6"/>
  <c r="C85" i="5"/>
  <c r="D85" i="5" s="1"/>
  <c r="B85" i="6"/>
  <c r="C109" i="5"/>
  <c r="D109" i="5" s="1"/>
  <c r="B109" i="6"/>
  <c r="C133" i="5"/>
  <c r="D133" i="5" s="1"/>
  <c r="B133" i="6"/>
  <c r="C155" i="5"/>
  <c r="D155" i="5" s="1"/>
  <c r="B155" i="6"/>
  <c r="C179" i="5"/>
  <c r="D179" i="5" s="1"/>
  <c r="B179" i="6"/>
  <c r="C203" i="5"/>
  <c r="D203" i="5" s="1"/>
  <c r="B203" i="6"/>
  <c r="C230" i="4"/>
  <c r="D230" i="4" s="1"/>
  <c r="B230" i="5"/>
  <c r="B255" i="4"/>
  <c r="G12" i="8"/>
  <c r="H12" i="8" s="1"/>
  <c r="A12" i="15"/>
  <c r="A12" i="7"/>
  <c r="G8" i="8"/>
  <c r="H8" i="8" s="1"/>
  <c r="A8" i="15"/>
  <c r="A8" i="7"/>
  <c r="A22" i="8"/>
  <c r="A18" i="8"/>
  <c r="A14" i="8"/>
  <c r="J93" i="10"/>
  <c r="W93" i="10" s="1"/>
  <c r="H137" i="10"/>
  <c r="C48" i="4"/>
  <c r="D48" i="4" s="1"/>
  <c r="B48" i="5"/>
  <c r="B73" i="4"/>
  <c r="C160" i="5"/>
  <c r="D160" i="5" s="1"/>
  <c r="B160" i="6"/>
  <c r="C16" i="5"/>
  <c r="D16" i="5" s="1"/>
  <c r="B16" i="6"/>
  <c r="C28" i="5"/>
  <c r="D28" i="5" s="1"/>
  <c r="B28" i="6"/>
  <c r="C36" i="5"/>
  <c r="D36" i="5" s="1"/>
  <c r="B36" i="6"/>
  <c r="C60" i="5"/>
  <c r="D60" i="5" s="1"/>
  <c r="B60" i="6"/>
  <c r="C84" i="5"/>
  <c r="D84" i="5" s="1"/>
  <c r="B84" i="6"/>
  <c r="C108" i="5"/>
  <c r="D108" i="5" s="1"/>
  <c r="B108" i="6"/>
  <c r="C132" i="5"/>
  <c r="D132" i="5" s="1"/>
  <c r="B132" i="6"/>
  <c r="C41" i="4"/>
  <c r="D41" i="4" s="1"/>
  <c r="B66" i="4"/>
  <c r="B41" i="5"/>
  <c r="C21" i="4"/>
  <c r="D21" i="4" s="1"/>
  <c r="B46" i="4"/>
  <c r="B26" i="4"/>
  <c r="B21" i="5"/>
  <c r="A58" i="5"/>
  <c r="A58" i="6" s="1"/>
  <c r="A83" i="4"/>
  <c r="A74" i="5"/>
  <c r="A74" i="6" s="1"/>
  <c r="A99" i="4"/>
  <c r="A90" i="5"/>
  <c r="A90" i="6" s="1"/>
  <c r="A115" i="4"/>
  <c r="A110" i="5"/>
  <c r="A110" i="6" s="1"/>
  <c r="A135" i="4"/>
  <c r="A126" i="5"/>
  <c r="A126" i="6" s="1"/>
  <c r="A151" i="4"/>
  <c r="A142" i="5"/>
  <c r="A142" i="6" s="1"/>
  <c r="A167" i="4"/>
  <c r="B208" i="5"/>
  <c r="C208" i="4"/>
  <c r="D208" i="4" s="1"/>
  <c r="B233" i="4"/>
  <c r="C9" i="6"/>
  <c r="D9" i="6" s="1"/>
  <c r="C19" i="5"/>
  <c r="D19" i="5" s="1"/>
  <c r="B19" i="6"/>
  <c r="C31" i="5"/>
  <c r="D31" i="5" s="1"/>
  <c r="B31" i="6"/>
  <c r="C55" i="5"/>
  <c r="D55" i="5" s="1"/>
  <c r="B55" i="6"/>
  <c r="C79" i="5"/>
  <c r="D79" i="5" s="1"/>
  <c r="B79" i="6"/>
  <c r="C103" i="5"/>
  <c r="D103" i="5" s="1"/>
  <c r="B103" i="6"/>
  <c r="C111" i="5"/>
  <c r="D111" i="5" s="1"/>
  <c r="B111" i="6"/>
  <c r="C135" i="5"/>
  <c r="D135" i="5" s="1"/>
  <c r="B135" i="6"/>
  <c r="C234" i="4"/>
  <c r="D234" i="4" s="1"/>
  <c r="B234" i="5"/>
  <c r="B259" i="4"/>
  <c r="C205" i="5"/>
  <c r="D205" i="5" s="1"/>
  <c r="B205" i="6"/>
  <c r="C210" i="4"/>
  <c r="D210" i="4" s="1"/>
  <c r="B210" i="5"/>
  <c r="B235" i="4"/>
  <c r="C52" i="4"/>
  <c r="D52" i="4" s="1"/>
  <c r="B52" i="5"/>
  <c r="B77" i="4"/>
  <c r="C184" i="5"/>
  <c r="D184" i="5" s="1"/>
  <c r="B184" i="6"/>
  <c r="C10" i="6"/>
  <c r="D10" i="6" s="1"/>
  <c r="C18" i="5"/>
  <c r="D18" i="5" s="1"/>
  <c r="B18" i="6"/>
  <c r="C30" i="5"/>
  <c r="D30" i="5" s="1"/>
  <c r="B30" i="6"/>
  <c r="C54" i="5"/>
  <c r="D54" i="5" s="1"/>
  <c r="B54" i="6"/>
  <c r="C78" i="5"/>
  <c r="D78" i="5" s="1"/>
  <c r="B78" i="6"/>
  <c r="C86" i="5"/>
  <c r="D86" i="5" s="1"/>
  <c r="B86" i="6"/>
  <c r="C110" i="5"/>
  <c r="D110" i="5" s="1"/>
  <c r="B110" i="6"/>
  <c r="C134" i="5"/>
  <c r="D134" i="5" s="1"/>
  <c r="B134" i="6"/>
  <c r="C45" i="4"/>
  <c r="D45" i="4" s="1"/>
  <c r="B70" i="4"/>
  <c r="B45" i="5"/>
  <c r="C157" i="4"/>
  <c r="D157" i="4" s="1"/>
  <c r="B157" i="5"/>
  <c r="B182" i="4"/>
  <c r="C25" i="4"/>
  <c r="D25" i="4" s="1"/>
  <c r="B50" i="4"/>
  <c r="B25" i="5"/>
  <c r="A62" i="5"/>
  <c r="A62" i="6" s="1"/>
  <c r="A87" i="4"/>
  <c r="A78" i="5"/>
  <c r="A78" i="6" s="1"/>
  <c r="A103" i="4"/>
  <c r="A94" i="5"/>
  <c r="A94" i="6" s="1"/>
  <c r="A119" i="4"/>
  <c r="A114" i="5"/>
  <c r="A114" i="6" s="1"/>
  <c r="A139" i="4"/>
  <c r="A130" i="5"/>
  <c r="A130" i="6" s="1"/>
  <c r="A155" i="4"/>
  <c r="A146" i="5"/>
  <c r="A146" i="6" s="1"/>
  <c r="A171" i="4"/>
  <c r="C228" i="4"/>
  <c r="D228" i="4" s="1"/>
  <c r="B228" i="5"/>
  <c r="B253" i="4"/>
  <c r="C3" i="6"/>
  <c r="D3" i="6" s="1"/>
  <c r="C11" i="6"/>
  <c r="D11" i="6" s="1"/>
  <c r="C23" i="5"/>
  <c r="D23" i="5" s="1"/>
  <c r="B23" i="6"/>
  <c r="C33" i="5"/>
  <c r="D33" i="5" s="1"/>
  <c r="B33" i="6"/>
  <c r="C57" i="5"/>
  <c r="D57" i="5" s="1"/>
  <c r="B57" i="6"/>
  <c r="C81" i="5"/>
  <c r="D81" i="5" s="1"/>
  <c r="B81" i="6"/>
  <c r="C105" i="5"/>
  <c r="D105" i="5" s="1"/>
  <c r="B105" i="6"/>
  <c r="C129" i="5"/>
  <c r="D129" i="5" s="1"/>
  <c r="B129" i="6"/>
  <c r="C39" i="4"/>
  <c r="D39" i="4" s="1"/>
  <c r="B64" i="4"/>
  <c r="B39" i="5"/>
  <c r="C159" i="5"/>
  <c r="D159" i="5" s="1"/>
  <c r="B159" i="6"/>
  <c r="C183" i="5"/>
  <c r="D183" i="5" s="1"/>
  <c r="B183" i="6"/>
  <c r="B206" i="5"/>
  <c r="C206" i="4"/>
  <c r="D206" i="4" s="1"/>
  <c r="B231" i="4"/>
  <c r="C209" i="5"/>
  <c r="D209" i="5" s="1"/>
  <c r="B209" i="6"/>
  <c r="C185" i="5"/>
  <c r="D185" i="5" s="1"/>
  <c r="B185" i="6"/>
  <c r="G7" i="8"/>
  <c r="H7" i="8" s="1"/>
  <c r="A7" i="15"/>
  <c r="A7" i="7"/>
  <c r="G10" i="8"/>
  <c r="H10" i="8" s="1"/>
  <c r="A10" i="15"/>
  <c r="A10" i="7"/>
  <c r="A20" i="8"/>
  <c r="A16" i="8"/>
  <c r="J96" i="10"/>
  <c r="W96" i="10" s="1"/>
  <c r="H140" i="10"/>
  <c r="C40" i="4"/>
  <c r="D40" i="4" s="1"/>
  <c r="B40" i="5"/>
  <c r="B65" i="4"/>
  <c r="C156" i="5"/>
  <c r="D156" i="5" s="1"/>
  <c r="B156" i="6"/>
  <c r="C4" i="6"/>
  <c r="D4" i="6" s="1"/>
  <c r="C12" i="5"/>
  <c r="D12" i="5" s="1"/>
  <c r="B12" i="6"/>
  <c r="C12" i="6" s="1"/>
  <c r="D12" i="6" s="1"/>
  <c r="C20" i="5"/>
  <c r="D20" i="5" s="1"/>
  <c r="B20" i="6"/>
  <c r="C32" i="5"/>
  <c r="D32" i="5" s="1"/>
  <c r="B32" i="6"/>
  <c r="C56" i="5"/>
  <c r="D56" i="5" s="1"/>
  <c r="B56" i="6"/>
  <c r="C80" i="5"/>
  <c r="D80" i="5" s="1"/>
  <c r="B80" i="6"/>
  <c r="C104" i="5"/>
  <c r="D104" i="5" s="1"/>
  <c r="B104" i="6"/>
  <c r="C128" i="5"/>
  <c r="D128" i="5" s="1"/>
  <c r="B128" i="6"/>
  <c r="C136" i="5"/>
  <c r="D136" i="5" s="1"/>
  <c r="B136" i="6"/>
  <c r="C49" i="4"/>
  <c r="D49" i="4" s="1"/>
  <c r="B74" i="4"/>
  <c r="B49" i="5"/>
  <c r="C161" i="4"/>
  <c r="D161" i="4" s="1"/>
  <c r="B161" i="5"/>
  <c r="B186" i="4"/>
  <c r="A66" i="5"/>
  <c r="A66" i="6" s="1"/>
  <c r="A91" i="4"/>
  <c r="A82" i="5"/>
  <c r="A82" i="6" s="1"/>
  <c r="A107" i="4"/>
  <c r="A98" i="5"/>
  <c r="A98" i="6" s="1"/>
  <c r="A123" i="4"/>
  <c r="A118" i="5"/>
  <c r="A118" i="6" s="1"/>
  <c r="A143" i="4"/>
  <c r="A134" i="5"/>
  <c r="A134" i="6" s="1"/>
  <c r="A159" i="4"/>
  <c r="A150" i="5"/>
  <c r="A150" i="6" s="1"/>
  <c r="A175" i="4"/>
  <c r="C38" i="4"/>
  <c r="D38" i="4" s="1"/>
  <c r="B38" i="5"/>
  <c r="B63" i="4"/>
  <c r="C158" i="5"/>
  <c r="D158" i="5" s="1"/>
  <c r="B158" i="6"/>
  <c r="C5" i="6"/>
  <c r="D5" i="6" s="1"/>
  <c r="C13" i="5"/>
  <c r="D13" i="5" s="1"/>
  <c r="B13" i="6"/>
  <c r="C13" i="6" s="1"/>
  <c r="D13" i="6" s="1"/>
  <c r="C27" i="5"/>
  <c r="D27" i="5" s="1"/>
  <c r="B27" i="6"/>
  <c r="C35" i="5"/>
  <c r="D35" i="5" s="1"/>
  <c r="B35" i="6"/>
  <c r="C59" i="5"/>
  <c r="D59" i="5" s="1"/>
  <c r="B59" i="6"/>
  <c r="C83" i="5"/>
  <c r="D83" i="5" s="1"/>
  <c r="B83" i="6"/>
  <c r="C107" i="5"/>
  <c r="D107" i="5" s="1"/>
  <c r="B107" i="6"/>
  <c r="C131" i="5"/>
  <c r="D131" i="5" s="1"/>
  <c r="B131" i="6"/>
  <c r="C43" i="4"/>
  <c r="D43" i="4" s="1"/>
  <c r="B68" i="4"/>
  <c r="B43" i="5"/>
  <c r="C181" i="5"/>
  <c r="D181" i="5" s="1"/>
  <c r="B181" i="6"/>
  <c r="A77" i="5"/>
  <c r="A77" i="6" s="1"/>
  <c r="A102" i="4"/>
  <c r="C68" i="4" l="1"/>
  <c r="D68" i="4" s="1"/>
  <c r="B68" i="5"/>
  <c r="B93" i="4"/>
  <c r="C38" i="5"/>
  <c r="D38" i="5" s="1"/>
  <c r="B38" i="6"/>
  <c r="A159" i="5"/>
  <c r="A159" i="6" s="1"/>
  <c r="A184" i="4"/>
  <c r="A148" i="4"/>
  <c r="A123" i="5"/>
  <c r="A123" i="6" s="1"/>
  <c r="A116" i="4"/>
  <c r="A91" i="5"/>
  <c r="A91" i="6" s="1"/>
  <c r="C40" i="5"/>
  <c r="D40" i="5" s="1"/>
  <c r="B40" i="6"/>
  <c r="G16" i="8"/>
  <c r="H16" i="8" s="1"/>
  <c r="A16" i="15"/>
  <c r="A16" i="7"/>
  <c r="A21" i="8"/>
  <c r="C231" i="4"/>
  <c r="D231" i="4" s="1"/>
  <c r="B231" i="5"/>
  <c r="B256" i="4"/>
  <c r="C64" i="4"/>
  <c r="D64" i="4" s="1"/>
  <c r="B64" i="5"/>
  <c r="B89" i="4"/>
  <c r="C253" i="4"/>
  <c r="D253" i="4" s="1"/>
  <c r="B253" i="5"/>
  <c r="B278" i="4"/>
  <c r="C50" i="4"/>
  <c r="D50" i="4" s="1"/>
  <c r="B50" i="5"/>
  <c r="B75" i="4"/>
  <c r="C235" i="4"/>
  <c r="D235" i="4" s="1"/>
  <c r="B235" i="5"/>
  <c r="B260" i="4"/>
  <c r="A151" i="5"/>
  <c r="A151" i="6" s="1"/>
  <c r="A176" i="4"/>
  <c r="A140" i="4"/>
  <c r="A115" i="5"/>
  <c r="A115" i="6" s="1"/>
  <c r="A108" i="4"/>
  <c r="A83" i="5"/>
  <c r="A83" i="6" s="1"/>
  <c r="C46" i="4"/>
  <c r="D46" i="4" s="1"/>
  <c r="B46" i="5"/>
  <c r="B71" i="4"/>
  <c r="J137" i="10"/>
  <c r="W137" i="10" s="1"/>
  <c r="G22" i="8"/>
  <c r="H22" i="8" s="1"/>
  <c r="A22" i="15"/>
  <c r="A22" i="7"/>
  <c r="A27" i="8"/>
  <c r="C230" i="5"/>
  <c r="D230" i="5" s="1"/>
  <c r="B230" i="6"/>
  <c r="C15" i="6"/>
  <c r="A147" i="5"/>
  <c r="A147" i="6" s="1"/>
  <c r="A172" i="4"/>
  <c r="A136" i="4"/>
  <c r="A111" i="5"/>
  <c r="A111" i="6" s="1"/>
  <c r="A104" i="4"/>
  <c r="A79" i="5"/>
  <c r="A79" i="6" s="1"/>
  <c r="C42" i="4"/>
  <c r="D42" i="4" s="1"/>
  <c r="B42" i="5"/>
  <c r="B67" i="4"/>
  <c r="C37" i="5"/>
  <c r="D37" i="5" s="1"/>
  <c r="B37" i="6"/>
  <c r="C69" i="4"/>
  <c r="D69" i="4" s="1"/>
  <c r="B94" i="4"/>
  <c r="B69" i="5"/>
  <c r="C49" i="5"/>
  <c r="D49" i="5" s="1"/>
  <c r="B49" i="6"/>
  <c r="G20" i="8"/>
  <c r="H20" i="8" s="1"/>
  <c r="A20" i="15"/>
  <c r="A20" i="7"/>
  <c r="A25" i="8"/>
  <c r="C228" i="5"/>
  <c r="D228" i="5" s="1"/>
  <c r="B228" i="6"/>
  <c r="A155" i="5"/>
  <c r="A155" i="6" s="1"/>
  <c r="A180" i="4"/>
  <c r="A144" i="4"/>
  <c r="A119" i="5"/>
  <c r="A119" i="6" s="1"/>
  <c r="A112" i="4"/>
  <c r="A87" i="5"/>
  <c r="A87" i="6" s="1"/>
  <c r="C45" i="5"/>
  <c r="D45" i="5" s="1"/>
  <c r="B45" i="6"/>
  <c r="C77" i="4"/>
  <c r="D77" i="4" s="1"/>
  <c r="B102" i="4"/>
  <c r="B77" i="5"/>
  <c r="C210" i="5"/>
  <c r="D210" i="5" s="1"/>
  <c r="B210" i="6"/>
  <c r="C259" i="4"/>
  <c r="D259" i="4" s="1"/>
  <c r="B259" i="5"/>
  <c r="B284" i="4"/>
  <c r="C208" i="5"/>
  <c r="D208" i="5" s="1"/>
  <c r="B208" i="6"/>
  <c r="C16" i="6"/>
  <c r="C73" i="4"/>
  <c r="D73" i="4" s="1"/>
  <c r="B98" i="4"/>
  <c r="B73" i="5"/>
  <c r="C204" i="5"/>
  <c r="D204" i="5" s="1"/>
  <c r="B204" i="6"/>
  <c r="C62" i="4"/>
  <c r="D62" i="4" s="1"/>
  <c r="B62" i="5"/>
  <c r="B87" i="4"/>
  <c r="C44" i="5"/>
  <c r="D44" i="5" s="1"/>
  <c r="B44" i="6"/>
  <c r="A175" i="5"/>
  <c r="A175" i="6" s="1"/>
  <c r="A200" i="4"/>
  <c r="A143" i="5"/>
  <c r="A143" i="6" s="1"/>
  <c r="A168" i="4"/>
  <c r="A132" i="4"/>
  <c r="A107" i="5"/>
  <c r="A107" i="6" s="1"/>
  <c r="C186" i="4"/>
  <c r="D186" i="4" s="1"/>
  <c r="B186" i="5"/>
  <c r="B211" i="4"/>
  <c r="C74" i="4"/>
  <c r="D74" i="4" s="1"/>
  <c r="B74" i="5"/>
  <c r="B99" i="4"/>
  <c r="J140" i="10"/>
  <c r="W140" i="10"/>
  <c r="C206" i="5"/>
  <c r="D206" i="5" s="1"/>
  <c r="B206" i="6"/>
  <c r="C182" i="4"/>
  <c r="D182" i="4" s="1"/>
  <c r="B182" i="5"/>
  <c r="B207" i="4"/>
  <c r="C70" i="4"/>
  <c r="D70" i="4" s="1"/>
  <c r="B70" i="5"/>
  <c r="B95" i="4"/>
  <c r="C52" i="5"/>
  <c r="D52" i="5" s="1"/>
  <c r="B52" i="6"/>
  <c r="C234" i="5"/>
  <c r="D234" i="5" s="1"/>
  <c r="B234" i="6"/>
  <c r="A167" i="5"/>
  <c r="A167" i="6" s="1"/>
  <c r="A192" i="4"/>
  <c r="A160" i="4"/>
  <c r="A135" i="5"/>
  <c r="A135" i="6" s="1"/>
  <c r="A124" i="4"/>
  <c r="A99" i="5"/>
  <c r="A99" i="6" s="1"/>
  <c r="C21" i="5"/>
  <c r="D21" i="5" s="1"/>
  <c r="B21" i="6"/>
  <c r="C41" i="5"/>
  <c r="D41" i="5" s="1"/>
  <c r="B41" i="6"/>
  <c r="C48" i="5"/>
  <c r="D48" i="5" s="1"/>
  <c r="B48" i="6"/>
  <c r="G14" i="8"/>
  <c r="H14" i="8" s="1"/>
  <c r="A14" i="15"/>
  <c r="A14" i="7"/>
  <c r="A19" i="8"/>
  <c r="A163" i="5"/>
  <c r="A163" i="6" s="1"/>
  <c r="A188" i="4"/>
  <c r="A156" i="4"/>
  <c r="A131" i="5"/>
  <c r="A131" i="6" s="1"/>
  <c r="A120" i="4"/>
  <c r="A95" i="5"/>
  <c r="A95" i="6" s="1"/>
  <c r="C17" i="5"/>
  <c r="D17" i="5" s="1"/>
  <c r="B17" i="6"/>
  <c r="C17" i="6" s="1"/>
  <c r="A102" i="5"/>
  <c r="A102" i="6" s="1"/>
  <c r="A127" i="4"/>
  <c r="C43" i="5"/>
  <c r="D43" i="5" s="1"/>
  <c r="B43" i="6"/>
  <c r="C63" i="4"/>
  <c r="D63" i="4" s="1"/>
  <c r="B88" i="4"/>
  <c r="B63" i="5"/>
  <c r="C161" i="5"/>
  <c r="D161" i="5" s="1"/>
  <c r="B161" i="6"/>
  <c r="C65" i="4"/>
  <c r="D65" i="4" s="1"/>
  <c r="B90" i="4"/>
  <c r="B65" i="5"/>
  <c r="C39" i="5"/>
  <c r="D39" i="5" s="1"/>
  <c r="B39" i="6"/>
  <c r="A171" i="5"/>
  <c r="A171" i="6" s="1"/>
  <c r="A196" i="4"/>
  <c r="A164" i="4"/>
  <c r="A139" i="5"/>
  <c r="A139" i="6" s="1"/>
  <c r="A128" i="4"/>
  <c r="A103" i="5"/>
  <c r="A103" i="6" s="1"/>
  <c r="C25" i="5"/>
  <c r="D25" i="5" s="1"/>
  <c r="B25" i="6"/>
  <c r="C157" i="5"/>
  <c r="D157" i="5" s="1"/>
  <c r="B157" i="6"/>
  <c r="C233" i="4"/>
  <c r="D233" i="4" s="1"/>
  <c r="B233" i="5"/>
  <c r="B258" i="4"/>
  <c r="C26" i="4"/>
  <c r="D26" i="4" s="1"/>
  <c r="B26" i="5"/>
  <c r="B51" i="4"/>
  <c r="C66" i="4"/>
  <c r="D66" i="4" s="1"/>
  <c r="B66" i="5"/>
  <c r="B91" i="4"/>
  <c r="G18" i="8"/>
  <c r="H18" i="8" s="1"/>
  <c r="A18" i="15"/>
  <c r="A18" i="7"/>
  <c r="A23" i="8"/>
  <c r="C255" i="4"/>
  <c r="D255" i="4" s="1"/>
  <c r="B255" i="5"/>
  <c r="B280" i="4"/>
  <c r="C229" i="4"/>
  <c r="D229" i="4" s="1"/>
  <c r="B229" i="5"/>
  <c r="B254" i="4"/>
  <c r="C22" i="4"/>
  <c r="D22" i="4" s="1"/>
  <c r="B22" i="5"/>
  <c r="B47" i="4"/>
  <c r="C14" i="6"/>
  <c r="J144" i="10"/>
  <c r="W144" i="10" s="1"/>
  <c r="G23" i="8" l="1"/>
  <c r="H23" i="8" s="1"/>
  <c r="A23" i="15"/>
  <c r="A23" i="7"/>
  <c r="A28" i="8"/>
  <c r="C91" i="4"/>
  <c r="D91" i="4" s="1"/>
  <c r="B116" i="4"/>
  <c r="B91" i="5"/>
  <c r="C26" i="5"/>
  <c r="D26" i="5" s="1"/>
  <c r="B26" i="6"/>
  <c r="A128" i="5"/>
  <c r="A128" i="6" s="1"/>
  <c r="A153" i="4"/>
  <c r="C65" i="5"/>
  <c r="D65" i="5" s="1"/>
  <c r="B65" i="6"/>
  <c r="A188" i="5"/>
  <c r="A188" i="6" s="1"/>
  <c r="A213" i="4"/>
  <c r="A160" i="5"/>
  <c r="A160" i="6" s="1"/>
  <c r="A185" i="4"/>
  <c r="C207" i="4"/>
  <c r="D207" i="4" s="1"/>
  <c r="B207" i="5"/>
  <c r="B232" i="4"/>
  <c r="A225" i="4"/>
  <c r="A200" i="5"/>
  <c r="A200" i="6" s="1"/>
  <c r="C73" i="5"/>
  <c r="D73" i="5" s="1"/>
  <c r="B73" i="6"/>
  <c r="A112" i="5"/>
  <c r="A112" i="6" s="1"/>
  <c r="A137" i="4"/>
  <c r="G25" i="8"/>
  <c r="H25" i="8" s="1"/>
  <c r="A25" i="15"/>
  <c r="A25" i="7"/>
  <c r="A30" i="8"/>
  <c r="A136" i="5"/>
  <c r="A136" i="6" s="1"/>
  <c r="A161" i="4"/>
  <c r="C71" i="4"/>
  <c r="D71" i="4" s="1"/>
  <c r="B96" i="4"/>
  <c r="B71" i="5"/>
  <c r="A108" i="5"/>
  <c r="A108" i="6" s="1"/>
  <c r="A133" i="4"/>
  <c r="C18" i="6"/>
  <c r="C75" i="4"/>
  <c r="D75" i="4" s="1"/>
  <c r="B100" i="4"/>
  <c r="B75" i="5"/>
  <c r="C253" i="5"/>
  <c r="D253" i="5" s="1"/>
  <c r="B253" i="6"/>
  <c r="C256" i="4"/>
  <c r="D256" i="4" s="1"/>
  <c r="B256" i="5"/>
  <c r="B281" i="4"/>
  <c r="G21" i="8"/>
  <c r="H21" i="8" s="1"/>
  <c r="A21" i="15"/>
  <c r="A21" i="7"/>
  <c r="A26" i="8"/>
  <c r="C254" i="4"/>
  <c r="D254" i="4" s="1"/>
  <c r="B254" i="5"/>
  <c r="B279" i="4"/>
  <c r="C280" i="4"/>
  <c r="D280" i="4" s="1"/>
  <c r="B280" i="5"/>
  <c r="B305" i="4"/>
  <c r="C66" i="5"/>
  <c r="D66" i="5" s="1"/>
  <c r="B66" i="6"/>
  <c r="C90" i="4"/>
  <c r="D90" i="4" s="1"/>
  <c r="B90" i="5"/>
  <c r="B115" i="4"/>
  <c r="C63" i="5"/>
  <c r="D63" i="5" s="1"/>
  <c r="B63" i="6"/>
  <c r="A120" i="5"/>
  <c r="A120" i="6" s="1"/>
  <c r="A145" i="4"/>
  <c r="A192" i="5"/>
  <c r="A192" i="6" s="1"/>
  <c r="A217" i="4"/>
  <c r="C95" i="4"/>
  <c r="D95" i="4" s="1"/>
  <c r="B120" i="4"/>
  <c r="B95" i="5"/>
  <c r="C182" i="5"/>
  <c r="D182" i="5" s="1"/>
  <c r="B182" i="6"/>
  <c r="C211" i="4"/>
  <c r="D211" i="4" s="1"/>
  <c r="B211" i="5"/>
  <c r="B236" i="4"/>
  <c r="A132" i="5"/>
  <c r="A132" i="6" s="1"/>
  <c r="A157" i="4"/>
  <c r="C98" i="4"/>
  <c r="D98" i="4" s="1"/>
  <c r="B98" i="5"/>
  <c r="B123" i="4"/>
  <c r="C284" i="4"/>
  <c r="D284" i="4" s="1"/>
  <c r="B284" i="5"/>
  <c r="B309" i="4"/>
  <c r="C69" i="5"/>
  <c r="D69" i="5" s="1"/>
  <c r="B69" i="6"/>
  <c r="A172" i="5"/>
  <c r="A172" i="6" s="1"/>
  <c r="A197" i="4"/>
  <c r="C46" i="5"/>
  <c r="D46" i="5" s="1"/>
  <c r="B46" i="6"/>
  <c r="C19" i="6"/>
  <c r="B260" i="5"/>
  <c r="C260" i="4"/>
  <c r="D260" i="4" s="1"/>
  <c r="B285" i="4"/>
  <c r="C50" i="5"/>
  <c r="D50" i="5" s="1"/>
  <c r="B50" i="6"/>
  <c r="C89" i="4"/>
  <c r="D89" i="4" s="1"/>
  <c r="B114" i="4"/>
  <c r="B89" i="5"/>
  <c r="C231" i="5"/>
  <c r="D231" i="5" s="1"/>
  <c r="B231" i="6"/>
  <c r="A148" i="5"/>
  <c r="A148" i="6" s="1"/>
  <c r="A173" i="4"/>
  <c r="C93" i="4"/>
  <c r="D93" i="4" s="1"/>
  <c r="B118" i="4"/>
  <c r="B93" i="5"/>
  <c r="D14" i="6"/>
  <c r="C47" i="4"/>
  <c r="D47" i="4" s="1"/>
  <c r="B72" i="4"/>
  <c r="B47" i="5"/>
  <c r="C229" i="5"/>
  <c r="D229" i="5" s="1"/>
  <c r="B229" i="6"/>
  <c r="C255" i="5"/>
  <c r="D255" i="5" s="1"/>
  <c r="B255" i="6"/>
  <c r="C258" i="4"/>
  <c r="D258" i="4" s="1"/>
  <c r="B258" i="5"/>
  <c r="B283" i="4"/>
  <c r="A164" i="5"/>
  <c r="A164" i="6" s="1"/>
  <c r="A189" i="4"/>
  <c r="C88" i="4"/>
  <c r="D88" i="4" s="1"/>
  <c r="B88" i="5"/>
  <c r="B113" i="4"/>
  <c r="A152" i="4"/>
  <c r="A127" i="5"/>
  <c r="A127" i="6" s="1"/>
  <c r="D17" i="6"/>
  <c r="A124" i="5"/>
  <c r="A124" i="6" s="1"/>
  <c r="A149" i="4"/>
  <c r="C70" i="5"/>
  <c r="D70" i="5" s="1"/>
  <c r="B70" i="6"/>
  <c r="C99" i="4"/>
  <c r="D99" i="4" s="1"/>
  <c r="B124" i="4"/>
  <c r="B99" i="5"/>
  <c r="C186" i="5"/>
  <c r="D186" i="5" s="1"/>
  <c r="B186" i="6"/>
  <c r="A168" i="5"/>
  <c r="A168" i="6" s="1"/>
  <c r="A193" i="4"/>
  <c r="C87" i="4"/>
  <c r="D87" i="4" s="1"/>
  <c r="B112" i="4"/>
  <c r="B87" i="5"/>
  <c r="C259" i="5"/>
  <c r="D259" i="5" s="1"/>
  <c r="B259" i="6"/>
  <c r="C77" i="5"/>
  <c r="D77" i="5" s="1"/>
  <c r="B77" i="6"/>
  <c r="A144" i="5"/>
  <c r="A144" i="6" s="1"/>
  <c r="A169" i="4"/>
  <c r="C94" i="4"/>
  <c r="D94" i="4" s="1"/>
  <c r="B94" i="5"/>
  <c r="B119" i="4"/>
  <c r="C67" i="4"/>
  <c r="D67" i="4" s="1"/>
  <c r="B92" i="4"/>
  <c r="B67" i="5"/>
  <c r="A104" i="5"/>
  <c r="A104" i="6" s="1"/>
  <c r="A129" i="4"/>
  <c r="G27" i="8"/>
  <c r="H27" i="8" s="1"/>
  <c r="A27" i="15"/>
  <c r="A27" i="7"/>
  <c r="A32" i="8"/>
  <c r="A140" i="5"/>
  <c r="A140" i="6" s="1"/>
  <c r="A165" i="4"/>
  <c r="C235" i="5"/>
  <c r="D235" i="5" s="1"/>
  <c r="B235" i="6"/>
  <c r="C64" i="5"/>
  <c r="D64" i="5" s="1"/>
  <c r="B64" i="6"/>
  <c r="C20" i="6"/>
  <c r="A184" i="5"/>
  <c r="A184" i="6" s="1"/>
  <c r="A209" i="4"/>
  <c r="C27" i="6"/>
  <c r="C68" i="5"/>
  <c r="D68" i="5" s="1"/>
  <c r="B68" i="6"/>
  <c r="C22" i="5"/>
  <c r="D22" i="5" s="1"/>
  <c r="B22" i="6"/>
  <c r="C51" i="4"/>
  <c r="D51" i="4" s="1"/>
  <c r="B76" i="4"/>
  <c r="B51" i="5"/>
  <c r="C233" i="5"/>
  <c r="D233" i="5" s="1"/>
  <c r="B233" i="6"/>
  <c r="A221" i="4"/>
  <c r="A196" i="5"/>
  <c r="A196" i="6" s="1"/>
  <c r="A156" i="5"/>
  <c r="A156" i="6" s="1"/>
  <c r="A181" i="4"/>
  <c r="G19" i="8"/>
  <c r="H19" i="8" s="1"/>
  <c r="A19" i="15"/>
  <c r="A19" i="7"/>
  <c r="A24" i="8"/>
  <c r="C21" i="6"/>
  <c r="C33" i="6"/>
  <c r="C74" i="5"/>
  <c r="D74" i="5" s="1"/>
  <c r="B74" i="6"/>
  <c r="C62" i="5"/>
  <c r="D62" i="5" s="1"/>
  <c r="B62" i="6"/>
  <c r="D16" i="6"/>
  <c r="C102" i="4"/>
  <c r="D102" i="4" s="1"/>
  <c r="B102" i="5"/>
  <c r="B127" i="4"/>
  <c r="A180" i="5"/>
  <c r="A180" i="6" s="1"/>
  <c r="A205" i="4"/>
  <c r="C42" i="5"/>
  <c r="D42" i="5" s="1"/>
  <c r="B42" i="6"/>
  <c r="C42" i="6" s="1"/>
  <c r="D15" i="6"/>
  <c r="A176" i="5"/>
  <c r="A176" i="6" s="1"/>
  <c r="A201" i="4"/>
  <c r="C278" i="4"/>
  <c r="D278" i="4" s="1"/>
  <c r="B278" i="5"/>
  <c r="B303" i="4"/>
  <c r="A116" i="5"/>
  <c r="A116" i="6" s="1"/>
  <c r="A141" i="4"/>
  <c r="C278" i="5" l="1"/>
  <c r="D278" i="5" s="1"/>
  <c r="B278" i="6"/>
  <c r="A201" i="5"/>
  <c r="A201" i="6" s="1"/>
  <c r="A226" i="4"/>
  <c r="C102" i="5"/>
  <c r="D102" i="5" s="1"/>
  <c r="B102" i="6"/>
  <c r="C24" i="6"/>
  <c r="C32" i="6"/>
  <c r="D21" i="6"/>
  <c r="D20" i="6"/>
  <c r="A165" i="5"/>
  <c r="A165" i="6" s="1"/>
  <c r="A190" i="4"/>
  <c r="C119" i="4"/>
  <c r="D119" i="4" s="1"/>
  <c r="B144" i="4"/>
  <c r="B119" i="5"/>
  <c r="C30" i="6"/>
  <c r="C258" i="5"/>
  <c r="D258" i="5" s="1"/>
  <c r="B258" i="6"/>
  <c r="C118" i="4"/>
  <c r="D118" i="4" s="1"/>
  <c r="B118" i="5"/>
  <c r="B143" i="4"/>
  <c r="C114" i="4"/>
  <c r="D114" i="4" s="1"/>
  <c r="B114" i="5"/>
  <c r="B139" i="4"/>
  <c r="D19" i="6"/>
  <c r="A197" i="5"/>
  <c r="A197" i="6" s="1"/>
  <c r="A222" i="4"/>
  <c r="C284" i="5"/>
  <c r="D284" i="5" s="1"/>
  <c r="B284" i="6"/>
  <c r="C98" i="5"/>
  <c r="D98" i="5" s="1"/>
  <c r="B98" i="6"/>
  <c r="C44" i="6"/>
  <c r="C211" i="5"/>
  <c r="D211" i="5" s="1"/>
  <c r="B211" i="6"/>
  <c r="C41" i="6"/>
  <c r="C279" i="4"/>
  <c r="D279" i="4" s="1"/>
  <c r="B279" i="5"/>
  <c r="B304" i="4"/>
  <c r="C38" i="6"/>
  <c r="C256" i="5"/>
  <c r="D256" i="5" s="1"/>
  <c r="B256" i="6"/>
  <c r="D18" i="6"/>
  <c r="C71" i="5"/>
  <c r="D71" i="5" s="1"/>
  <c r="B71" i="6"/>
  <c r="C207" i="5"/>
  <c r="D207" i="5" s="1"/>
  <c r="B207" i="6"/>
  <c r="A213" i="5"/>
  <c r="A213" i="6" s="1"/>
  <c r="A238" i="4"/>
  <c r="C26" i="6"/>
  <c r="A205" i="5"/>
  <c r="A205" i="6" s="1"/>
  <c r="A230" i="4"/>
  <c r="D33" i="6"/>
  <c r="C67" i="5"/>
  <c r="D67" i="5" s="1"/>
  <c r="B67" i="6"/>
  <c r="C35" i="6"/>
  <c r="C29" i="6"/>
  <c r="A152" i="5"/>
  <c r="A152" i="6" s="1"/>
  <c r="A177" i="4"/>
  <c r="A189" i="5"/>
  <c r="A189" i="6" s="1"/>
  <c r="A214" i="4"/>
  <c r="C285" i="4"/>
  <c r="D285" i="4" s="1"/>
  <c r="B285" i="5"/>
  <c r="B310" i="4"/>
  <c r="C46" i="6"/>
  <c r="A157" i="5"/>
  <c r="A157" i="6" s="1"/>
  <c r="A182" i="4"/>
  <c r="C39" i="6"/>
  <c r="C305" i="4"/>
  <c r="D305" i="4" s="1"/>
  <c r="B305" i="5"/>
  <c r="B330" i="4"/>
  <c r="C254" i="5"/>
  <c r="D254" i="5" s="1"/>
  <c r="B254" i="6"/>
  <c r="C75" i="5"/>
  <c r="D75" i="5" s="1"/>
  <c r="B75" i="6"/>
  <c r="C96" i="4"/>
  <c r="D96" i="4" s="1"/>
  <c r="B96" i="5"/>
  <c r="B121" i="4"/>
  <c r="A161" i="5"/>
  <c r="A161" i="6" s="1"/>
  <c r="A186" i="4"/>
  <c r="C36" i="6"/>
  <c r="A185" i="5"/>
  <c r="A185" i="6" s="1"/>
  <c r="A210" i="4"/>
  <c r="D42" i="6"/>
  <c r="C22" i="6"/>
  <c r="C34" i="6"/>
  <c r="C28" i="6"/>
  <c r="A141" i="5"/>
  <c r="A141" i="6" s="1"/>
  <c r="A166" i="4"/>
  <c r="G24" i="8"/>
  <c r="H24" i="8" s="1"/>
  <c r="A24" i="15"/>
  <c r="A24" i="7"/>
  <c r="A29" i="8"/>
  <c r="A181" i="5"/>
  <c r="A181" i="6" s="1"/>
  <c r="A206" i="4"/>
  <c r="C51" i="5"/>
  <c r="D51" i="5" s="1"/>
  <c r="B51" i="6"/>
  <c r="C51" i="6" s="1"/>
  <c r="A209" i="5"/>
  <c r="A209" i="6" s="1"/>
  <c r="A234" i="4"/>
  <c r="G32" i="8"/>
  <c r="H32" i="8" s="1"/>
  <c r="A32" i="15"/>
  <c r="A32" i="7"/>
  <c r="A37" i="8"/>
  <c r="C92" i="4"/>
  <c r="D92" i="4" s="1"/>
  <c r="B92" i="5"/>
  <c r="B117" i="4"/>
  <c r="C87" i="5"/>
  <c r="D87" i="5" s="1"/>
  <c r="B87" i="6"/>
  <c r="A193" i="5"/>
  <c r="A193" i="6" s="1"/>
  <c r="A218" i="4"/>
  <c r="C99" i="5"/>
  <c r="D99" i="5" s="1"/>
  <c r="B99" i="6"/>
  <c r="A149" i="5"/>
  <c r="A149" i="6" s="1"/>
  <c r="A174" i="4"/>
  <c r="C113" i="4"/>
  <c r="D113" i="4" s="1"/>
  <c r="B138" i="4"/>
  <c r="B113" i="5"/>
  <c r="C47" i="5"/>
  <c r="D47" i="5" s="1"/>
  <c r="B47" i="6"/>
  <c r="A173" i="5"/>
  <c r="A173" i="6" s="1"/>
  <c r="A198" i="4"/>
  <c r="C50" i="6"/>
  <c r="C69" i="6"/>
  <c r="C45" i="6"/>
  <c r="C95" i="5"/>
  <c r="D95" i="5" s="1"/>
  <c r="B95" i="6"/>
  <c r="A217" i="5"/>
  <c r="A217" i="6" s="1"/>
  <c r="A242" i="4"/>
  <c r="A145" i="5"/>
  <c r="A145" i="6" s="1"/>
  <c r="A170" i="4"/>
  <c r="C115" i="4"/>
  <c r="D115" i="4" s="1"/>
  <c r="B140" i="4"/>
  <c r="B115" i="5"/>
  <c r="C25" i="6"/>
  <c r="C280" i="5"/>
  <c r="D280" i="5" s="1"/>
  <c r="B280" i="6"/>
  <c r="C40" i="6"/>
  <c r="C100" i="4"/>
  <c r="D100" i="4" s="1"/>
  <c r="B100" i="5"/>
  <c r="B125" i="4"/>
  <c r="A133" i="5"/>
  <c r="A133" i="6" s="1"/>
  <c r="A158" i="4"/>
  <c r="G30" i="8"/>
  <c r="H30" i="8" s="1"/>
  <c r="A30" i="15"/>
  <c r="A30" i="7"/>
  <c r="A35" i="8"/>
  <c r="A137" i="5"/>
  <c r="A137" i="6" s="1"/>
  <c r="A162" i="4"/>
  <c r="A153" i="5"/>
  <c r="A153" i="6" s="1"/>
  <c r="A178" i="4"/>
  <c r="C91" i="5"/>
  <c r="D91" i="5" s="1"/>
  <c r="B91" i="6"/>
  <c r="G28" i="8"/>
  <c r="H28" i="8" s="1"/>
  <c r="A28" i="15"/>
  <c r="A28" i="7"/>
  <c r="A33" i="8"/>
  <c r="C48" i="6"/>
  <c r="D27" i="6"/>
  <c r="C64" i="6"/>
  <c r="C94" i="5"/>
  <c r="D94" i="5" s="1"/>
  <c r="B94" i="6"/>
  <c r="C57" i="6"/>
  <c r="C62" i="6"/>
  <c r="A221" i="5"/>
  <c r="A221" i="6" s="1"/>
  <c r="A246" i="4"/>
  <c r="C303" i="4"/>
  <c r="D303" i="4" s="1"/>
  <c r="B303" i="5"/>
  <c r="B328" i="4"/>
  <c r="C127" i="4"/>
  <c r="D127" i="4" s="1"/>
  <c r="B152" i="4"/>
  <c r="B127" i="5"/>
  <c r="C31" i="6"/>
  <c r="C76" i="4"/>
  <c r="D76" i="4" s="1"/>
  <c r="B76" i="5"/>
  <c r="B101" i="4"/>
  <c r="C68" i="6"/>
  <c r="C23" i="6"/>
  <c r="C55" i="6"/>
  <c r="A129" i="5"/>
  <c r="A129" i="6" s="1"/>
  <c r="A154" i="4"/>
  <c r="A169" i="5"/>
  <c r="A169" i="6" s="1"/>
  <c r="A194" i="4"/>
  <c r="C112" i="4"/>
  <c r="D112" i="4" s="1"/>
  <c r="B112" i="5"/>
  <c r="B137" i="4"/>
  <c r="C124" i="4"/>
  <c r="D124" i="4" s="1"/>
  <c r="B124" i="5"/>
  <c r="B149" i="4"/>
  <c r="C88" i="5"/>
  <c r="D88" i="5" s="1"/>
  <c r="B88" i="6"/>
  <c r="C283" i="4"/>
  <c r="D283" i="4" s="1"/>
  <c r="B283" i="5"/>
  <c r="B308" i="4"/>
  <c r="C72" i="4"/>
  <c r="D72" i="4" s="1"/>
  <c r="B72" i="5"/>
  <c r="B97" i="4"/>
  <c r="C93" i="5"/>
  <c r="D93" i="5" s="1"/>
  <c r="B93" i="6"/>
  <c r="C89" i="5"/>
  <c r="D89" i="5" s="1"/>
  <c r="B89" i="6"/>
  <c r="C260" i="5"/>
  <c r="D260" i="5" s="1"/>
  <c r="B260" i="6"/>
  <c r="C309" i="4"/>
  <c r="D309" i="4" s="1"/>
  <c r="B309" i="5"/>
  <c r="B334" i="4"/>
  <c r="C123" i="4"/>
  <c r="D123" i="4" s="1"/>
  <c r="B148" i="4"/>
  <c r="B123" i="5"/>
  <c r="C236" i="4"/>
  <c r="D236" i="4" s="1"/>
  <c r="B236" i="5"/>
  <c r="B261" i="4"/>
  <c r="C120" i="4"/>
  <c r="D120" i="4" s="1"/>
  <c r="B120" i="5"/>
  <c r="B145" i="4"/>
  <c r="C90" i="5"/>
  <c r="D90" i="5" s="1"/>
  <c r="B90" i="6"/>
  <c r="C66" i="6"/>
  <c r="G26" i="8"/>
  <c r="H26" i="8" s="1"/>
  <c r="A26" i="15"/>
  <c r="A26" i="7"/>
  <c r="A31" i="8"/>
  <c r="C281" i="4"/>
  <c r="D281" i="4" s="1"/>
  <c r="B281" i="5"/>
  <c r="B306" i="4"/>
  <c r="C37" i="6"/>
  <c r="A225" i="5"/>
  <c r="A225" i="6" s="1"/>
  <c r="A250" i="4"/>
  <c r="C232" i="4"/>
  <c r="D232" i="4" s="1"/>
  <c r="B232" i="5"/>
  <c r="B257" i="4"/>
  <c r="C52" i="6"/>
  <c r="C43" i="6"/>
  <c r="C116" i="4"/>
  <c r="D116" i="4" s="1"/>
  <c r="B116" i="5"/>
  <c r="B141" i="4"/>
  <c r="D52" i="6" l="1"/>
  <c r="A275" i="4"/>
  <c r="A250" i="5"/>
  <c r="A250" i="6" s="1"/>
  <c r="G31" i="8"/>
  <c r="H31" i="8" s="1"/>
  <c r="A31" i="15"/>
  <c r="A31" i="7"/>
  <c r="A36" i="8"/>
  <c r="C308" i="4"/>
  <c r="D308" i="4" s="1"/>
  <c r="B308" i="5"/>
  <c r="B333" i="4"/>
  <c r="D31" i="6"/>
  <c r="C257" i="4"/>
  <c r="D257" i="4" s="1"/>
  <c r="B257" i="5"/>
  <c r="B282" i="4"/>
  <c r="C306" i="4"/>
  <c r="D306" i="4" s="1"/>
  <c r="B306" i="5"/>
  <c r="B331" i="4"/>
  <c r="D66" i="6"/>
  <c r="C120" i="5"/>
  <c r="D120" i="5" s="1"/>
  <c r="B120" i="6"/>
  <c r="C236" i="5"/>
  <c r="D236" i="5" s="1"/>
  <c r="B236" i="6"/>
  <c r="C148" i="4"/>
  <c r="D148" i="4" s="1"/>
  <c r="B148" i="5"/>
  <c r="B173" i="4"/>
  <c r="C97" i="4"/>
  <c r="D97" i="4" s="1"/>
  <c r="B122" i="4"/>
  <c r="B97" i="5"/>
  <c r="C283" i="5"/>
  <c r="D283" i="5" s="1"/>
  <c r="B283" i="6"/>
  <c r="C137" i="4"/>
  <c r="D137" i="4" s="1"/>
  <c r="B162" i="4"/>
  <c r="B137" i="5"/>
  <c r="A219" i="4"/>
  <c r="A194" i="5"/>
  <c r="A194" i="6" s="1"/>
  <c r="D55" i="6"/>
  <c r="C76" i="5"/>
  <c r="D76" i="5" s="1"/>
  <c r="B76" i="6"/>
  <c r="C127" i="5"/>
  <c r="D127" i="5" s="1"/>
  <c r="B127" i="6"/>
  <c r="A271" i="4"/>
  <c r="A246" i="5"/>
  <c r="A246" i="6" s="1"/>
  <c r="D57" i="6"/>
  <c r="G33" i="8"/>
  <c r="H33" i="8" s="1"/>
  <c r="A33" i="15"/>
  <c r="A33" i="7"/>
  <c r="A38" i="8"/>
  <c r="A162" i="5"/>
  <c r="A162" i="6" s="1"/>
  <c r="A187" i="4"/>
  <c r="C125" i="4"/>
  <c r="D125" i="4" s="1"/>
  <c r="B150" i="4"/>
  <c r="B125" i="5"/>
  <c r="D40" i="6"/>
  <c r="C115" i="5"/>
  <c r="D115" i="5" s="1"/>
  <c r="B115" i="6"/>
  <c r="D45" i="6"/>
  <c r="C113" i="5"/>
  <c r="D113" i="5" s="1"/>
  <c r="B113" i="6"/>
  <c r="A243" i="4"/>
  <c r="A218" i="5"/>
  <c r="A218" i="6" s="1"/>
  <c r="C117" i="4"/>
  <c r="D117" i="4" s="1"/>
  <c r="B142" i="4"/>
  <c r="B117" i="5"/>
  <c r="G37" i="8"/>
  <c r="H37" i="8" s="1"/>
  <c r="A37" i="15"/>
  <c r="A37" i="7"/>
  <c r="A42" i="8"/>
  <c r="A259" i="4"/>
  <c r="A234" i="5"/>
  <c r="A234" i="6" s="1"/>
  <c r="A231" i="4"/>
  <c r="A206" i="5"/>
  <c r="A206" i="6" s="1"/>
  <c r="D34" i="6"/>
  <c r="D22" i="6"/>
  <c r="A235" i="4"/>
  <c r="A210" i="5"/>
  <c r="A210" i="6" s="1"/>
  <c r="D36" i="6"/>
  <c r="C121" i="4"/>
  <c r="D121" i="4" s="1"/>
  <c r="B146" i="4"/>
  <c r="B121" i="5"/>
  <c r="D39" i="6"/>
  <c r="C285" i="5"/>
  <c r="D285" i="5" s="1"/>
  <c r="B285" i="6"/>
  <c r="C67" i="6"/>
  <c r="C65" i="6"/>
  <c r="A247" i="4"/>
  <c r="A222" i="5"/>
  <c r="A222" i="6" s="1"/>
  <c r="C54" i="6"/>
  <c r="D30" i="6"/>
  <c r="D43" i="6"/>
  <c r="C232" i="5"/>
  <c r="D232" i="5" s="1"/>
  <c r="B232" i="6"/>
  <c r="D37" i="6"/>
  <c r="C281" i="5"/>
  <c r="D281" i="5" s="1"/>
  <c r="B281" i="6"/>
  <c r="C90" i="6"/>
  <c r="C72" i="5"/>
  <c r="D72" i="5" s="1"/>
  <c r="B72" i="6"/>
  <c r="C89" i="6" s="1"/>
  <c r="C149" i="4"/>
  <c r="D149" i="4" s="1"/>
  <c r="B149" i="5"/>
  <c r="B174" i="4"/>
  <c r="C112" i="5"/>
  <c r="D112" i="5" s="1"/>
  <c r="B112" i="6"/>
  <c r="D23" i="6"/>
  <c r="C152" i="4"/>
  <c r="D152" i="4" s="1"/>
  <c r="B152" i="5"/>
  <c r="B177" i="4"/>
  <c r="B328" i="5"/>
  <c r="C328" i="4"/>
  <c r="D328" i="4" s="1"/>
  <c r="B353" i="4"/>
  <c r="C94" i="6"/>
  <c r="C100" i="5"/>
  <c r="D100" i="5" s="1"/>
  <c r="B100" i="6"/>
  <c r="C140" i="4"/>
  <c r="D140" i="4" s="1"/>
  <c r="B140" i="5"/>
  <c r="B165" i="4"/>
  <c r="A267" i="4"/>
  <c r="A242" i="5"/>
  <c r="A242" i="6" s="1"/>
  <c r="D69" i="6"/>
  <c r="C47" i="6"/>
  <c r="C59" i="6"/>
  <c r="C56" i="6"/>
  <c r="C138" i="4"/>
  <c r="D138" i="4" s="1"/>
  <c r="B138" i="5"/>
  <c r="B163" i="4"/>
  <c r="C70" i="6"/>
  <c r="C92" i="5"/>
  <c r="D92" i="5" s="1"/>
  <c r="B92" i="6"/>
  <c r="C92" i="6" s="1"/>
  <c r="C83" i="6"/>
  <c r="C96" i="5"/>
  <c r="D96" i="5" s="1"/>
  <c r="B96" i="6"/>
  <c r="C96" i="6" s="1"/>
  <c r="C330" i="4"/>
  <c r="D330" i="4" s="1"/>
  <c r="B330" i="5"/>
  <c r="B355" i="4"/>
  <c r="A177" i="5"/>
  <c r="A177" i="6" s="1"/>
  <c r="A202" i="4"/>
  <c r="A255" i="4"/>
  <c r="A230" i="5"/>
  <c r="A230" i="6" s="1"/>
  <c r="A263" i="4"/>
  <c r="A238" i="5"/>
  <c r="A238" i="6" s="1"/>
  <c r="D38" i="6"/>
  <c r="C63" i="6"/>
  <c r="C139" i="4"/>
  <c r="D139" i="4" s="1"/>
  <c r="B164" i="4"/>
  <c r="B139" i="5"/>
  <c r="C143" i="4"/>
  <c r="D143" i="4" s="1"/>
  <c r="B143" i="5"/>
  <c r="B168" i="4"/>
  <c r="A190" i="5"/>
  <c r="A190" i="6" s="1"/>
  <c r="A215" i="4"/>
  <c r="C93" i="6"/>
  <c r="C88" i="6"/>
  <c r="C124" i="5"/>
  <c r="D124" i="5" s="1"/>
  <c r="B124" i="6"/>
  <c r="A154" i="5"/>
  <c r="A154" i="6" s="1"/>
  <c r="A179" i="4"/>
  <c r="D68" i="6"/>
  <c r="C303" i="5"/>
  <c r="D303" i="5" s="1"/>
  <c r="B303" i="6"/>
  <c r="D48" i="6"/>
  <c r="A178" i="5"/>
  <c r="A178" i="6" s="1"/>
  <c r="A203" i="4"/>
  <c r="G35" i="8"/>
  <c r="H35" i="8" s="1"/>
  <c r="A35" i="15"/>
  <c r="A35" i="7"/>
  <c r="A40" i="8"/>
  <c r="A158" i="5"/>
  <c r="A158" i="6" s="1"/>
  <c r="A183" i="4"/>
  <c r="D50" i="6"/>
  <c r="C87" i="6"/>
  <c r="D51" i="6"/>
  <c r="G29" i="8"/>
  <c r="H29" i="8" s="1"/>
  <c r="A29" i="15"/>
  <c r="A29" i="7"/>
  <c r="A34" i="8"/>
  <c r="C74" i="6"/>
  <c r="A166" i="5"/>
  <c r="A166" i="6" s="1"/>
  <c r="A191" i="4"/>
  <c r="C60" i="6"/>
  <c r="A186" i="5"/>
  <c r="A186" i="6" s="1"/>
  <c r="A211" i="4"/>
  <c r="C305" i="5"/>
  <c r="D305" i="5" s="1"/>
  <c r="B305" i="6"/>
  <c r="D46" i="6"/>
  <c r="D35" i="6"/>
  <c r="C80" i="6"/>
  <c r="C53" i="6"/>
  <c r="C304" i="4"/>
  <c r="D304" i="4" s="1"/>
  <c r="B304" i="5"/>
  <c r="B329" i="4"/>
  <c r="D41" i="6"/>
  <c r="D44" i="6"/>
  <c r="C114" i="5"/>
  <c r="D114" i="5" s="1"/>
  <c r="B114" i="6"/>
  <c r="C118" i="5"/>
  <c r="D118" i="5" s="1"/>
  <c r="B118" i="6"/>
  <c r="C119" i="5"/>
  <c r="D119" i="5" s="1"/>
  <c r="B119" i="6"/>
  <c r="D32" i="6"/>
  <c r="C141" i="4"/>
  <c r="D141" i="4" s="1"/>
  <c r="B166" i="4"/>
  <c r="B141" i="5"/>
  <c r="C334" i="4"/>
  <c r="D334" i="4" s="1"/>
  <c r="B334" i="5"/>
  <c r="B359" i="4"/>
  <c r="C116" i="5"/>
  <c r="D116" i="5" s="1"/>
  <c r="B116" i="6"/>
  <c r="C145" i="4"/>
  <c r="D145" i="4" s="1"/>
  <c r="B145" i="5"/>
  <c r="B170" i="4"/>
  <c r="C261" i="4"/>
  <c r="D261" i="4" s="1"/>
  <c r="B261" i="5"/>
  <c r="B286" i="4"/>
  <c r="C123" i="5"/>
  <c r="D123" i="5" s="1"/>
  <c r="B123" i="6"/>
  <c r="C309" i="5"/>
  <c r="D309" i="5" s="1"/>
  <c r="B309" i="6"/>
  <c r="C101" i="4"/>
  <c r="D101" i="4" s="1"/>
  <c r="B126" i="4"/>
  <c r="B101" i="5"/>
  <c r="D62" i="6"/>
  <c r="D64" i="6"/>
  <c r="D25" i="6"/>
  <c r="A170" i="5"/>
  <c r="A170" i="6" s="1"/>
  <c r="A195" i="4"/>
  <c r="C95" i="6"/>
  <c r="A223" i="4"/>
  <c r="A198" i="5"/>
  <c r="A198" i="6" s="1"/>
  <c r="A174" i="5"/>
  <c r="A174" i="6" s="1"/>
  <c r="A199" i="4"/>
  <c r="D28" i="6"/>
  <c r="C61" i="6"/>
  <c r="A182" i="5"/>
  <c r="A182" i="6" s="1"/>
  <c r="A207" i="4"/>
  <c r="C310" i="4"/>
  <c r="D310" i="4" s="1"/>
  <c r="B310" i="5"/>
  <c r="B335" i="4"/>
  <c r="A239" i="4"/>
  <c r="A214" i="5"/>
  <c r="A214" i="6" s="1"/>
  <c r="D29" i="6"/>
  <c r="D26" i="6"/>
  <c r="C79" i="6"/>
  <c r="C58" i="6"/>
  <c r="C71" i="6"/>
  <c r="C279" i="5"/>
  <c r="D279" i="5" s="1"/>
  <c r="B279" i="6"/>
  <c r="C49" i="6"/>
  <c r="C144" i="4"/>
  <c r="D144" i="4" s="1"/>
  <c r="B144" i="5"/>
  <c r="B169" i="4"/>
  <c r="C86" i="6"/>
  <c r="D24" i="6"/>
  <c r="A251" i="4"/>
  <c r="A226" i="5"/>
  <c r="A226" i="6" s="1"/>
  <c r="D89" i="6" l="1"/>
  <c r="B335" i="5"/>
  <c r="C335" i="4"/>
  <c r="D335" i="4" s="1"/>
  <c r="B360" i="4"/>
  <c r="C126" i="4"/>
  <c r="D126" i="4" s="1"/>
  <c r="B126" i="5"/>
  <c r="B151" i="4"/>
  <c r="A211" i="5"/>
  <c r="A211" i="6" s="1"/>
  <c r="A236" i="4"/>
  <c r="D60" i="6"/>
  <c r="D74" i="6"/>
  <c r="A215" i="5"/>
  <c r="A215" i="6" s="1"/>
  <c r="A240" i="4"/>
  <c r="B168" i="5"/>
  <c r="C168" i="4"/>
  <c r="D168" i="4" s="1"/>
  <c r="B193" i="4"/>
  <c r="B164" i="5"/>
  <c r="C164" i="4"/>
  <c r="D164" i="4" s="1"/>
  <c r="B189" i="4"/>
  <c r="A263" i="5"/>
  <c r="A263" i="6" s="1"/>
  <c r="A288" i="4"/>
  <c r="A227" i="4"/>
  <c r="A202" i="5"/>
  <c r="A202" i="6" s="1"/>
  <c r="C355" i="4"/>
  <c r="D355" i="4" s="1"/>
  <c r="B355" i="5"/>
  <c r="B380" i="4"/>
  <c r="D47" i="6"/>
  <c r="A267" i="5"/>
  <c r="A267" i="6" s="1"/>
  <c r="A292" i="4"/>
  <c r="D94" i="6"/>
  <c r="C177" i="4"/>
  <c r="D177" i="4" s="1"/>
  <c r="B177" i="5"/>
  <c r="B202" i="4"/>
  <c r="C149" i="5"/>
  <c r="D149" i="5" s="1"/>
  <c r="B149" i="6"/>
  <c r="D90" i="6"/>
  <c r="C121" i="5"/>
  <c r="D121" i="5" s="1"/>
  <c r="B121" i="6"/>
  <c r="C77" i="6"/>
  <c r="C150" i="4"/>
  <c r="D150" i="4" s="1"/>
  <c r="B150" i="5"/>
  <c r="B175" i="4"/>
  <c r="C91" i="6"/>
  <c r="A271" i="5"/>
  <c r="A271" i="6" s="1"/>
  <c r="A296" i="4"/>
  <c r="A219" i="5"/>
  <c r="A219" i="6" s="1"/>
  <c r="A244" i="4"/>
  <c r="C306" i="5"/>
  <c r="D306" i="5" s="1"/>
  <c r="B306" i="6"/>
  <c r="C308" i="5"/>
  <c r="D308" i="5" s="1"/>
  <c r="B308" i="6"/>
  <c r="D49" i="6"/>
  <c r="C310" i="5"/>
  <c r="D310" i="5" s="1"/>
  <c r="B310" i="6"/>
  <c r="D61" i="6"/>
  <c r="A223" i="5"/>
  <c r="A223" i="6" s="1"/>
  <c r="A248" i="4"/>
  <c r="C170" i="4"/>
  <c r="D170" i="4" s="1"/>
  <c r="B170" i="5"/>
  <c r="B195" i="4"/>
  <c r="C141" i="5"/>
  <c r="D141" i="5" s="1"/>
  <c r="B141" i="6"/>
  <c r="D53" i="6"/>
  <c r="G34" i="8"/>
  <c r="H34" i="8" s="1"/>
  <c r="A34" i="15"/>
  <c r="A34" i="7"/>
  <c r="A39" i="8"/>
  <c r="G40" i="8"/>
  <c r="H40" i="8" s="1"/>
  <c r="A40" i="15"/>
  <c r="A40" i="7"/>
  <c r="A45" i="8"/>
  <c r="A203" i="5"/>
  <c r="A203" i="6" s="1"/>
  <c r="A228" i="4"/>
  <c r="A179" i="5"/>
  <c r="A179" i="6" s="1"/>
  <c r="A204" i="4"/>
  <c r="D88" i="6"/>
  <c r="C143" i="5"/>
  <c r="D143" i="5" s="1"/>
  <c r="B143" i="6"/>
  <c r="C330" i="5"/>
  <c r="D330" i="5" s="1"/>
  <c r="B330" i="6"/>
  <c r="D70" i="6"/>
  <c r="D56" i="6"/>
  <c r="C165" i="4"/>
  <c r="D165" i="4" s="1"/>
  <c r="B165" i="5"/>
  <c r="B190" i="4"/>
  <c r="C353" i="4"/>
  <c r="D353" i="4" s="1"/>
  <c r="B353" i="5"/>
  <c r="B378" i="4"/>
  <c r="C152" i="5"/>
  <c r="D152" i="5" s="1"/>
  <c r="B152" i="6"/>
  <c r="D54" i="6"/>
  <c r="D67" i="6"/>
  <c r="B146" i="5"/>
  <c r="C146" i="4"/>
  <c r="D146" i="4" s="1"/>
  <c r="B171" i="4"/>
  <c r="A259" i="5"/>
  <c r="A259" i="6" s="1"/>
  <c r="A284" i="4"/>
  <c r="G38" i="8"/>
  <c r="H38" i="8" s="1"/>
  <c r="A38" i="15"/>
  <c r="A38" i="7"/>
  <c r="A43" i="8"/>
  <c r="C137" i="5"/>
  <c r="D137" i="5" s="1"/>
  <c r="B137" i="6"/>
  <c r="D79" i="6"/>
  <c r="C144" i="5"/>
  <c r="D144" i="5" s="1"/>
  <c r="B144" i="6"/>
  <c r="D71" i="6"/>
  <c r="A199" i="5"/>
  <c r="A199" i="6" s="1"/>
  <c r="A224" i="4"/>
  <c r="D95" i="6"/>
  <c r="C286" i="4"/>
  <c r="D286" i="4" s="1"/>
  <c r="B286" i="5"/>
  <c r="B311" i="4"/>
  <c r="C145" i="5"/>
  <c r="D145" i="5" s="1"/>
  <c r="B145" i="6"/>
  <c r="C359" i="4"/>
  <c r="D359" i="4" s="1"/>
  <c r="B359" i="5"/>
  <c r="B384" i="4"/>
  <c r="B166" i="5"/>
  <c r="C166" i="4"/>
  <c r="D166" i="4" s="1"/>
  <c r="B191" i="4"/>
  <c r="C329" i="4"/>
  <c r="D329" i="4" s="1"/>
  <c r="B329" i="5"/>
  <c r="B354" i="4"/>
  <c r="D80" i="6"/>
  <c r="A191" i="5"/>
  <c r="A191" i="6" s="1"/>
  <c r="A216" i="4"/>
  <c r="D93" i="6"/>
  <c r="A255" i="5"/>
  <c r="A255" i="6" s="1"/>
  <c r="A280" i="4"/>
  <c r="D83" i="6"/>
  <c r="C163" i="4"/>
  <c r="D163" i="4" s="1"/>
  <c r="B163" i="5"/>
  <c r="B188" i="4"/>
  <c r="D59" i="6"/>
  <c r="C140" i="5"/>
  <c r="D140" i="5" s="1"/>
  <c r="B140" i="6"/>
  <c r="C72" i="6"/>
  <c r="C84" i="6"/>
  <c r="C73" i="6"/>
  <c r="C81" i="6"/>
  <c r="C78" i="6"/>
  <c r="C85" i="6"/>
  <c r="C82" i="6"/>
  <c r="A235" i="5"/>
  <c r="A235" i="6" s="1"/>
  <c r="A260" i="4"/>
  <c r="G42" i="8"/>
  <c r="H42" i="8" s="1"/>
  <c r="A42" i="15"/>
  <c r="A42" i="7"/>
  <c r="A47" i="8"/>
  <c r="C117" i="5"/>
  <c r="D117" i="5" s="1"/>
  <c r="B117" i="6"/>
  <c r="A243" i="5"/>
  <c r="A243" i="6" s="1"/>
  <c r="A268" i="4"/>
  <c r="A187" i="5"/>
  <c r="A187" i="6" s="1"/>
  <c r="A212" i="4"/>
  <c r="C162" i="4"/>
  <c r="D162" i="4" s="1"/>
  <c r="B162" i="5"/>
  <c r="B187" i="4"/>
  <c r="C97" i="5"/>
  <c r="D97" i="5" s="1"/>
  <c r="B97" i="6"/>
  <c r="C119" i="6" s="1"/>
  <c r="C173" i="4"/>
  <c r="D173" i="4" s="1"/>
  <c r="B173" i="5"/>
  <c r="B198" i="4"/>
  <c r="C282" i="4"/>
  <c r="D282" i="4" s="1"/>
  <c r="B282" i="5"/>
  <c r="B307" i="4"/>
  <c r="G36" i="8"/>
  <c r="H36" i="8" s="1"/>
  <c r="A36" i="15"/>
  <c r="A36" i="7"/>
  <c r="A41" i="8"/>
  <c r="C169" i="4"/>
  <c r="D169" i="4" s="1"/>
  <c r="B169" i="5"/>
  <c r="B194" i="4"/>
  <c r="A251" i="5"/>
  <c r="A251" i="6" s="1"/>
  <c r="A276" i="4"/>
  <c r="D86" i="6"/>
  <c r="D58" i="6"/>
  <c r="A239" i="5"/>
  <c r="A239" i="6" s="1"/>
  <c r="A264" i="4"/>
  <c r="A207" i="5"/>
  <c r="A207" i="6" s="1"/>
  <c r="A232" i="4"/>
  <c r="A195" i="5"/>
  <c r="A195" i="6" s="1"/>
  <c r="A220" i="4"/>
  <c r="C101" i="5"/>
  <c r="D101" i="5" s="1"/>
  <c r="B101" i="6"/>
  <c r="C261" i="5"/>
  <c r="D261" i="5" s="1"/>
  <c r="B261" i="6"/>
  <c r="C334" i="5"/>
  <c r="D334" i="5" s="1"/>
  <c r="B334" i="6"/>
  <c r="C304" i="5"/>
  <c r="D304" i="5" s="1"/>
  <c r="B304" i="6"/>
  <c r="D87" i="6"/>
  <c r="A183" i="5"/>
  <c r="A183" i="6" s="1"/>
  <c r="A208" i="4"/>
  <c r="C139" i="5"/>
  <c r="D139" i="5" s="1"/>
  <c r="B139" i="6"/>
  <c r="D63" i="6"/>
  <c r="D96" i="6"/>
  <c r="D92" i="6"/>
  <c r="C138" i="5"/>
  <c r="D138" i="5" s="1"/>
  <c r="B138" i="6"/>
  <c r="C328" i="5"/>
  <c r="D328" i="5" s="1"/>
  <c r="B328" i="6"/>
  <c r="C174" i="4"/>
  <c r="D174" i="4" s="1"/>
  <c r="B174" i="5"/>
  <c r="B199" i="4"/>
  <c r="A247" i="5"/>
  <c r="A247" i="6" s="1"/>
  <c r="A272" i="4"/>
  <c r="D65" i="6"/>
  <c r="C75" i="6"/>
  <c r="A231" i="5"/>
  <c r="A231" i="6" s="1"/>
  <c r="A256" i="4"/>
  <c r="C142" i="4"/>
  <c r="D142" i="4" s="1"/>
  <c r="B142" i="5"/>
  <c r="B167" i="4"/>
  <c r="C113" i="6"/>
  <c r="C115" i="6"/>
  <c r="C125" i="5"/>
  <c r="D125" i="5" s="1"/>
  <c r="B125" i="6"/>
  <c r="C76" i="6"/>
  <c r="C122" i="4"/>
  <c r="D122" i="4" s="1"/>
  <c r="B122" i="5"/>
  <c r="B147" i="4"/>
  <c r="C148" i="5"/>
  <c r="D148" i="5" s="1"/>
  <c r="B148" i="6"/>
  <c r="C120" i="6"/>
  <c r="C331" i="4"/>
  <c r="D331" i="4" s="1"/>
  <c r="B331" i="5"/>
  <c r="B356" i="4"/>
  <c r="C257" i="5"/>
  <c r="D257" i="5" s="1"/>
  <c r="B257" i="6"/>
  <c r="C333" i="4"/>
  <c r="D333" i="4" s="1"/>
  <c r="B333" i="5"/>
  <c r="B358" i="4"/>
  <c r="A275" i="5"/>
  <c r="A275" i="6" s="1"/>
  <c r="A300" i="4"/>
  <c r="D119" i="6" l="1"/>
  <c r="C122" i="5"/>
  <c r="D122" i="5" s="1"/>
  <c r="B122" i="6"/>
  <c r="A325" i="4"/>
  <c r="A300" i="5"/>
  <c r="A300" i="6" s="1"/>
  <c r="D113" i="6"/>
  <c r="A281" i="4"/>
  <c r="A256" i="5"/>
  <c r="A256" i="6" s="1"/>
  <c r="C194" i="4"/>
  <c r="D194" i="4" s="1"/>
  <c r="B194" i="5"/>
  <c r="B219" i="4"/>
  <c r="G41" i="8"/>
  <c r="H41" i="8" s="1"/>
  <c r="A41" i="15"/>
  <c r="A41" i="7"/>
  <c r="A46" i="8"/>
  <c r="C307" i="4"/>
  <c r="D307" i="4" s="1"/>
  <c r="B307" i="5"/>
  <c r="B332" i="4"/>
  <c r="C173" i="5"/>
  <c r="D173" i="5" s="1"/>
  <c r="B173" i="6"/>
  <c r="C187" i="4"/>
  <c r="D187" i="4" s="1"/>
  <c r="B187" i="5"/>
  <c r="B212" i="4"/>
  <c r="A237" i="4"/>
  <c r="A212" i="5"/>
  <c r="A212" i="6" s="1"/>
  <c r="C117" i="6"/>
  <c r="D85" i="6"/>
  <c r="D78" i="6"/>
  <c r="C163" i="5"/>
  <c r="D163" i="5" s="1"/>
  <c r="B163" i="6"/>
  <c r="A305" i="4"/>
  <c r="A280" i="5"/>
  <c r="A280" i="6" s="1"/>
  <c r="A241" i="4"/>
  <c r="A216" i="5"/>
  <c r="A216" i="6" s="1"/>
  <c r="C354" i="4"/>
  <c r="D354" i="4" s="1"/>
  <c r="B354" i="5"/>
  <c r="B379" i="4"/>
  <c r="C384" i="4"/>
  <c r="D384" i="4" s="1"/>
  <c r="B384" i="5"/>
  <c r="B409" i="4"/>
  <c r="A249" i="4"/>
  <c r="A224" i="5"/>
  <c r="A224" i="6" s="1"/>
  <c r="C100" i="6"/>
  <c r="C195" i="4"/>
  <c r="D195" i="4" s="1"/>
  <c r="B195" i="5"/>
  <c r="B220" i="4"/>
  <c r="A269" i="4"/>
  <c r="A244" i="5"/>
  <c r="A244" i="6" s="1"/>
  <c r="D91" i="6"/>
  <c r="D77" i="6"/>
  <c r="C355" i="5"/>
  <c r="D355" i="5" s="1"/>
  <c r="B355" i="6"/>
  <c r="A313" i="4"/>
  <c r="A288" i="5"/>
  <c r="A288" i="6" s="1"/>
  <c r="C164" i="5"/>
  <c r="D164" i="5" s="1"/>
  <c r="B164" i="6"/>
  <c r="A265" i="4"/>
  <c r="A240" i="5"/>
  <c r="A240" i="6" s="1"/>
  <c r="C114" i="6"/>
  <c r="C151" i="4"/>
  <c r="D151" i="4" s="1"/>
  <c r="B151" i="5"/>
  <c r="B176" i="4"/>
  <c r="C174" i="5"/>
  <c r="D174" i="5" s="1"/>
  <c r="B174" i="6"/>
  <c r="D115" i="6"/>
  <c r="C331" i="5"/>
  <c r="D331" i="5" s="1"/>
  <c r="B331" i="6"/>
  <c r="D76" i="6"/>
  <c r="C147" i="4"/>
  <c r="D147" i="4" s="1"/>
  <c r="B147" i="5"/>
  <c r="B172" i="4"/>
  <c r="C125" i="6"/>
  <c r="C167" i="4"/>
  <c r="D167" i="4" s="1"/>
  <c r="B167" i="5"/>
  <c r="B192" i="4"/>
  <c r="C199" i="4"/>
  <c r="D199" i="4" s="1"/>
  <c r="B199" i="5"/>
  <c r="B224" i="4"/>
  <c r="C101" i="6"/>
  <c r="C104" i="6"/>
  <c r="C111" i="6"/>
  <c r="A257" i="4"/>
  <c r="A232" i="5"/>
  <c r="A232" i="6" s="1"/>
  <c r="C169" i="5"/>
  <c r="D169" i="5" s="1"/>
  <c r="B169" i="6"/>
  <c r="C282" i="5"/>
  <c r="D282" i="5" s="1"/>
  <c r="B282" i="6"/>
  <c r="C162" i="5"/>
  <c r="D162" i="5" s="1"/>
  <c r="B162" i="6"/>
  <c r="C109" i="6"/>
  <c r="C110" i="6"/>
  <c r="D81" i="6"/>
  <c r="C107" i="6"/>
  <c r="D73" i="6"/>
  <c r="C329" i="5"/>
  <c r="D329" i="5" s="1"/>
  <c r="B329" i="6"/>
  <c r="C191" i="4"/>
  <c r="D191" i="4" s="1"/>
  <c r="B191" i="5"/>
  <c r="B216" i="4"/>
  <c r="C359" i="5"/>
  <c r="D359" i="5" s="1"/>
  <c r="B359" i="6"/>
  <c r="C311" i="4"/>
  <c r="D311" i="4" s="1"/>
  <c r="B311" i="5"/>
  <c r="B336" i="4"/>
  <c r="G43" i="8"/>
  <c r="H43" i="8" s="1"/>
  <c r="A43" i="15"/>
  <c r="A43" i="7"/>
  <c r="A48" i="8"/>
  <c r="A309" i="4"/>
  <c r="A284" i="5"/>
  <c r="A284" i="6" s="1"/>
  <c r="C146" i="5"/>
  <c r="D146" i="5" s="1"/>
  <c r="B146" i="6"/>
  <c r="C378" i="4"/>
  <c r="D378" i="4" s="1"/>
  <c r="B378" i="5"/>
  <c r="B403" i="4"/>
  <c r="C190" i="4"/>
  <c r="D190" i="4" s="1"/>
  <c r="B190" i="5"/>
  <c r="B215" i="4"/>
  <c r="A253" i="4"/>
  <c r="A228" i="5"/>
  <c r="A228" i="6" s="1"/>
  <c r="C170" i="5"/>
  <c r="D170" i="5" s="1"/>
  <c r="B170" i="6"/>
  <c r="C175" i="4"/>
  <c r="D175" i="4" s="1"/>
  <c r="B175" i="5"/>
  <c r="B200" i="4"/>
  <c r="C193" i="4"/>
  <c r="D193" i="4" s="1"/>
  <c r="B193" i="5"/>
  <c r="B218" i="4"/>
  <c r="C126" i="5"/>
  <c r="D126" i="5" s="1"/>
  <c r="B126" i="6"/>
  <c r="C335" i="5"/>
  <c r="D335" i="5" s="1"/>
  <c r="B335" i="6"/>
  <c r="C358" i="4"/>
  <c r="D358" i="4" s="1"/>
  <c r="B358" i="5"/>
  <c r="B383" i="4"/>
  <c r="A301" i="4"/>
  <c r="A276" i="5"/>
  <c r="A276" i="6" s="1"/>
  <c r="C97" i="6"/>
  <c r="C130" i="6"/>
  <c r="C98" i="6"/>
  <c r="C99" i="6"/>
  <c r="A293" i="4"/>
  <c r="A268" i="5"/>
  <c r="A268" i="6" s="1"/>
  <c r="G47" i="8"/>
  <c r="H47" i="8" s="1"/>
  <c r="A47" i="15"/>
  <c r="A47" i="7"/>
  <c r="A52" i="8"/>
  <c r="A285" i="4"/>
  <c r="A260" i="5"/>
  <c r="A260" i="6" s="1"/>
  <c r="C106" i="6"/>
  <c r="C105" i="6"/>
  <c r="D72" i="6"/>
  <c r="C286" i="5"/>
  <c r="D286" i="5" s="1"/>
  <c r="B286" i="6"/>
  <c r="C137" i="6"/>
  <c r="C112" i="6"/>
  <c r="C353" i="5"/>
  <c r="D353" i="5" s="1"/>
  <c r="B353" i="6"/>
  <c r="C165" i="5"/>
  <c r="D165" i="5" s="1"/>
  <c r="B165" i="6"/>
  <c r="C143" i="6"/>
  <c r="A229" i="4"/>
  <c r="A204" i="5"/>
  <c r="A204" i="6" s="1"/>
  <c r="C141" i="6"/>
  <c r="A321" i="4"/>
  <c r="A296" i="5"/>
  <c r="A296" i="6" s="1"/>
  <c r="C150" i="5"/>
  <c r="D150" i="5" s="1"/>
  <c r="B150" i="6"/>
  <c r="C121" i="6"/>
  <c r="C202" i="4"/>
  <c r="D202" i="4" s="1"/>
  <c r="B202" i="5"/>
  <c r="B227" i="4"/>
  <c r="C189" i="4"/>
  <c r="D189" i="4" s="1"/>
  <c r="B189" i="5"/>
  <c r="B214" i="4"/>
  <c r="A261" i="4"/>
  <c r="A236" i="5"/>
  <c r="A236" i="6" s="1"/>
  <c r="C116" i="6"/>
  <c r="D120" i="6"/>
  <c r="C142" i="5"/>
  <c r="D142" i="5" s="1"/>
  <c r="B142" i="6"/>
  <c r="C142" i="6" s="1"/>
  <c r="C333" i="5"/>
  <c r="D333" i="5" s="1"/>
  <c r="B333" i="6"/>
  <c r="C356" i="4"/>
  <c r="D356" i="4" s="1"/>
  <c r="B356" i="5"/>
  <c r="B381" i="4"/>
  <c r="D75" i="6"/>
  <c r="A297" i="4"/>
  <c r="A272" i="5"/>
  <c r="A272" i="6" s="1"/>
  <c r="C138" i="6"/>
  <c r="C108" i="6"/>
  <c r="A233" i="4"/>
  <c r="A208" i="5"/>
  <c r="A208" i="6" s="1"/>
  <c r="A245" i="4"/>
  <c r="A220" i="5"/>
  <c r="A220" i="6" s="1"/>
  <c r="A289" i="4"/>
  <c r="A264" i="5"/>
  <c r="A264" i="6" s="1"/>
  <c r="C198" i="4"/>
  <c r="D198" i="4" s="1"/>
  <c r="B198" i="5"/>
  <c r="B223" i="4"/>
  <c r="C103" i="6"/>
  <c r="D82" i="6"/>
  <c r="D84" i="6"/>
  <c r="C140" i="6"/>
  <c r="C188" i="4"/>
  <c r="D188" i="4" s="1"/>
  <c r="B188" i="5"/>
  <c r="B213" i="4"/>
  <c r="C118" i="6"/>
  <c r="C166" i="5"/>
  <c r="D166" i="5" s="1"/>
  <c r="B166" i="6"/>
  <c r="C145" i="6"/>
  <c r="C171" i="4"/>
  <c r="D171" i="4" s="1"/>
  <c r="B171" i="5"/>
  <c r="B196" i="4"/>
  <c r="C102" i="6"/>
  <c r="G45" i="8"/>
  <c r="H45" i="8" s="1"/>
  <c r="A45" i="15"/>
  <c r="A45" i="7"/>
  <c r="A50" i="8"/>
  <c r="G39" i="8"/>
  <c r="H39" i="8" s="1"/>
  <c r="A39" i="15"/>
  <c r="A39" i="7"/>
  <c r="A44" i="8"/>
  <c r="A273" i="4"/>
  <c r="A248" i="5"/>
  <c r="A248" i="6" s="1"/>
  <c r="C177" i="5"/>
  <c r="D177" i="5" s="1"/>
  <c r="B177" i="6"/>
  <c r="A317" i="4"/>
  <c r="A292" i="5"/>
  <c r="A292" i="6" s="1"/>
  <c r="B380" i="5"/>
  <c r="C380" i="4"/>
  <c r="D380" i="4" s="1"/>
  <c r="B405" i="4"/>
  <c r="A227" i="5"/>
  <c r="A227" i="6" s="1"/>
  <c r="A252" i="4"/>
  <c r="C168" i="5"/>
  <c r="D168" i="5" s="1"/>
  <c r="B168" i="6"/>
  <c r="C123" i="6"/>
  <c r="B360" i="5"/>
  <c r="C360" i="4"/>
  <c r="D360" i="4" s="1"/>
  <c r="B385" i="4"/>
  <c r="A277" i="4" l="1"/>
  <c r="A252" i="5"/>
  <c r="A252" i="6" s="1"/>
  <c r="D103" i="6"/>
  <c r="C381" i="4"/>
  <c r="D381" i="4" s="1"/>
  <c r="B381" i="5"/>
  <c r="B406" i="4"/>
  <c r="C214" i="4"/>
  <c r="D214" i="4" s="1"/>
  <c r="B214" i="5"/>
  <c r="B239" i="4"/>
  <c r="C227" i="4"/>
  <c r="D227" i="4" s="1"/>
  <c r="B227" i="5"/>
  <c r="B252" i="4"/>
  <c r="D141" i="6"/>
  <c r="D112" i="6"/>
  <c r="A285" i="5"/>
  <c r="A285" i="6" s="1"/>
  <c r="A310" i="4"/>
  <c r="D97" i="6"/>
  <c r="C218" i="4"/>
  <c r="D218" i="4" s="1"/>
  <c r="B218" i="5"/>
  <c r="B243" i="4"/>
  <c r="C175" i="5"/>
  <c r="D175" i="5" s="1"/>
  <c r="B175" i="6"/>
  <c r="C190" i="5"/>
  <c r="D190" i="5" s="1"/>
  <c r="B190" i="6"/>
  <c r="C311" i="5"/>
  <c r="D311" i="5" s="1"/>
  <c r="B311" i="6"/>
  <c r="C216" i="4"/>
  <c r="D216" i="4" s="1"/>
  <c r="B216" i="5"/>
  <c r="B241" i="4"/>
  <c r="A257" i="5"/>
  <c r="A257" i="6" s="1"/>
  <c r="A282" i="4"/>
  <c r="C192" i="4"/>
  <c r="D192" i="4" s="1"/>
  <c r="B192" i="5"/>
  <c r="B217" i="4"/>
  <c r="C172" i="4"/>
  <c r="D172" i="4" s="1"/>
  <c r="B172" i="5"/>
  <c r="B197" i="4"/>
  <c r="D114" i="6"/>
  <c r="A269" i="5"/>
  <c r="A269" i="6" s="1"/>
  <c r="A294" i="4"/>
  <c r="C127" i="6"/>
  <c r="C379" i="4"/>
  <c r="D379" i="4" s="1"/>
  <c r="B379" i="5"/>
  <c r="B404" i="4"/>
  <c r="A241" i="5"/>
  <c r="A241" i="6" s="1"/>
  <c r="A266" i="4"/>
  <c r="A237" i="5"/>
  <c r="A237" i="6" s="1"/>
  <c r="A262" i="4"/>
  <c r="C139" i="6"/>
  <c r="C122" i="6"/>
  <c r="C124" i="6"/>
  <c r="G44" i="8"/>
  <c r="H44" i="8" s="1"/>
  <c r="A44" i="15"/>
  <c r="A44" i="7"/>
  <c r="A49" i="8"/>
  <c r="G50" i="8"/>
  <c r="H50" i="8" s="1"/>
  <c r="A50" i="15"/>
  <c r="A50" i="7"/>
  <c r="A55" i="8"/>
  <c r="C380" i="5"/>
  <c r="D380" i="5" s="1"/>
  <c r="B380" i="6"/>
  <c r="C171" i="5"/>
  <c r="D171" i="5" s="1"/>
  <c r="B171" i="6"/>
  <c r="D123" i="6"/>
  <c r="A273" i="5"/>
  <c r="A273" i="6" s="1"/>
  <c r="A298" i="4"/>
  <c r="D102" i="6"/>
  <c r="D118" i="6"/>
  <c r="D140" i="6"/>
  <c r="C223" i="4"/>
  <c r="D223" i="4" s="1"/>
  <c r="B223" i="5"/>
  <c r="B248" i="4"/>
  <c r="A245" i="5"/>
  <c r="A245" i="6" s="1"/>
  <c r="A270" i="4"/>
  <c r="A233" i="5"/>
  <c r="A233" i="6" s="1"/>
  <c r="A258" i="4"/>
  <c r="A297" i="5"/>
  <c r="A297" i="6" s="1"/>
  <c r="A322" i="4"/>
  <c r="C356" i="5"/>
  <c r="D356" i="5" s="1"/>
  <c r="B356" i="6"/>
  <c r="D142" i="6"/>
  <c r="D116" i="6"/>
  <c r="C189" i="5"/>
  <c r="D189" i="5" s="1"/>
  <c r="B189" i="6"/>
  <c r="C202" i="5"/>
  <c r="D202" i="5" s="1"/>
  <c r="B202" i="6"/>
  <c r="D137" i="6"/>
  <c r="D106" i="6"/>
  <c r="G52" i="8"/>
  <c r="H52" i="8" s="1"/>
  <c r="A52" i="15"/>
  <c r="A52" i="7"/>
  <c r="A57" i="8"/>
  <c r="C383" i="4"/>
  <c r="D383" i="4" s="1"/>
  <c r="B383" i="5"/>
  <c r="B408" i="4"/>
  <c r="C193" i="5"/>
  <c r="D193" i="5" s="1"/>
  <c r="B193" i="6"/>
  <c r="A309" i="5"/>
  <c r="A309" i="6" s="1"/>
  <c r="A334" i="4"/>
  <c r="C191" i="5"/>
  <c r="D191" i="5" s="1"/>
  <c r="B191" i="6"/>
  <c r="D111" i="6"/>
  <c r="C224" i="4"/>
  <c r="D224" i="4" s="1"/>
  <c r="B224" i="5"/>
  <c r="B249" i="4"/>
  <c r="C167" i="5"/>
  <c r="D167" i="5" s="1"/>
  <c r="B167" i="6"/>
  <c r="C147" i="5"/>
  <c r="D147" i="5" s="1"/>
  <c r="B147" i="6"/>
  <c r="C165" i="6" s="1"/>
  <c r="C176" i="4"/>
  <c r="D176" i="4" s="1"/>
  <c r="B176" i="5"/>
  <c r="B201" i="4"/>
  <c r="C149" i="6"/>
  <c r="B220" i="5"/>
  <c r="C220" i="4"/>
  <c r="D220" i="4" s="1"/>
  <c r="B245" i="4"/>
  <c r="C144" i="6"/>
  <c r="C409" i="4"/>
  <c r="D409" i="4" s="1"/>
  <c r="B409" i="5"/>
  <c r="B434" i="4"/>
  <c r="C354" i="5"/>
  <c r="D354" i="5" s="1"/>
  <c r="B354" i="6"/>
  <c r="C212" i="4"/>
  <c r="D212" i="4" s="1"/>
  <c r="B212" i="5"/>
  <c r="B237" i="4"/>
  <c r="G46" i="8"/>
  <c r="H46" i="8" s="1"/>
  <c r="A46" i="15"/>
  <c r="A46" i="7"/>
  <c r="A51" i="8"/>
  <c r="C219" i="4"/>
  <c r="D219" i="4" s="1"/>
  <c r="B219" i="5"/>
  <c r="B244" i="4"/>
  <c r="C196" i="4"/>
  <c r="D196" i="4" s="1"/>
  <c r="B196" i="5"/>
  <c r="B221" i="4"/>
  <c r="C360" i="5"/>
  <c r="D360" i="5" s="1"/>
  <c r="B360" i="6"/>
  <c r="C385" i="4"/>
  <c r="D385" i="4" s="1"/>
  <c r="B385" i="5"/>
  <c r="B410" i="4"/>
  <c r="C405" i="4"/>
  <c r="D405" i="4" s="1"/>
  <c r="B405" i="5"/>
  <c r="B430" i="4"/>
  <c r="A317" i="5"/>
  <c r="A317" i="6" s="1"/>
  <c r="A342" i="4"/>
  <c r="D145" i="6"/>
  <c r="C213" i="4"/>
  <c r="D213" i="4" s="1"/>
  <c r="B213" i="5"/>
  <c r="B238" i="4"/>
  <c r="C198" i="5"/>
  <c r="D198" i="5" s="1"/>
  <c r="B198" i="6"/>
  <c r="D108" i="6"/>
  <c r="A229" i="5"/>
  <c r="A229" i="6" s="1"/>
  <c r="A254" i="4"/>
  <c r="D105" i="6"/>
  <c r="A293" i="5"/>
  <c r="A293" i="6" s="1"/>
  <c r="A318" i="4"/>
  <c r="D98" i="6"/>
  <c r="A301" i="5"/>
  <c r="A301" i="6" s="1"/>
  <c r="A326" i="4"/>
  <c r="C358" i="5"/>
  <c r="D358" i="5" s="1"/>
  <c r="B358" i="6"/>
  <c r="C126" i="6"/>
  <c r="C131" i="6"/>
  <c r="C132" i="6"/>
  <c r="C134" i="6"/>
  <c r="C135" i="6"/>
  <c r="C136" i="6"/>
  <c r="C128" i="6"/>
  <c r="C133" i="6"/>
  <c r="C129" i="6"/>
  <c r="A253" i="5"/>
  <c r="A253" i="6" s="1"/>
  <c r="A278" i="4"/>
  <c r="C403" i="4"/>
  <c r="D403" i="4" s="1"/>
  <c r="B403" i="5"/>
  <c r="B428" i="4"/>
  <c r="C146" i="6"/>
  <c r="G48" i="8"/>
  <c r="H48" i="8" s="1"/>
  <c r="A48" i="15"/>
  <c r="A48" i="7"/>
  <c r="A53" i="8"/>
  <c r="D110" i="6"/>
  <c r="D104" i="6"/>
  <c r="C199" i="5"/>
  <c r="D199" i="5" s="1"/>
  <c r="B199" i="6"/>
  <c r="C151" i="5"/>
  <c r="D151" i="5" s="1"/>
  <c r="B151" i="6"/>
  <c r="A265" i="5"/>
  <c r="A265" i="6" s="1"/>
  <c r="A290" i="4"/>
  <c r="A313" i="5"/>
  <c r="A313" i="6" s="1"/>
  <c r="A338" i="4"/>
  <c r="C195" i="5"/>
  <c r="D195" i="5" s="1"/>
  <c r="B195" i="6"/>
  <c r="D100" i="6"/>
  <c r="C384" i="5"/>
  <c r="D384" i="5" s="1"/>
  <c r="B384" i="6"/>
  <c r="A305" i="5"/>
  <c r="A305" i="6" s="1"/>
  <c r="A330" i="4"/>
  <c r="D117" i="6"/>
  <c r="C187" i="5"/>
  <c r="D187" i="5" s="1"/>
  <c r="B187" i="6"/>
  <c r="C332" i="4"/>
  <c r="D332" i="4" s="1"/>
  <c r="B332" i="5"/>
  <c r="B357" i="4"/>
  <c r="C194" i="5"/>
  <c r="D194" i="5" s="1"/>
  <c r="B194" i="6"/>
  <c r="A281" i="5"/>
  <c r="A281" i="6" s="1"/>
  <c r="A306" i="4"/>
  <c r="A325" i="5"/>
  <c r="A325" i="6" s="1"/>
  <c r="A350" i="4"/>
  <c r="C166" i="6"/>
  <c r="C188" i="5"/>
  <c r="D188" i="5" s="1"/>
  <c r="B188" i="6"/>
  <c r="A289" i="5"/>
  <c r="A289" i="6" s="1"/>
  <c r="A314" i="4"/>
  <c r="D138" i="6"/>
  <c r="A261" i="5"/>
  <c r="A261" i="6" s="1"/>
  <c r="A286" i="4"/>
  <c r="D121" i="6"/>
  <c r="A321" i="5"/>
  <c r="A321" i="6" s="1"/>
  <c r="A346" i="4"/>
  <c r="D143" i="6"/>
  <c r="D99" i="6"/>
  <c r="D130" i="6"/>
  <c r="B200" i="5"/>
  <c r="C200" i="4"/>
  <c r="D200" i="4" s="1"/>
  <c r="B225" i="4"/>
  <c r="C170" i="6"/>
  <c r="C215" i="4"/>
  <c r="D215" i="4" s="1"/>
  <c r="B215" i="5"/>
  <c r="B240" i="4"/>
  <c r="C378" i="5"/>
  <c r="D378" i="5" s="1"/>
  <c r="B378" i="6"/>
  <c r="C336" i="4"/>
  <c r="D336" i="4" s="1"/>
  <c r="B336" i="5"/>
  <c r="B361" i="4"/>
  <c r="D107" i="6"/>
  <c r="D109" i="6"/>
  <c r="D101" i="6"/>
  <c r="D125" i="6"/>
  <c r="C164" i="6"/>
  <c r="A249" i="5"/>
  <c r="A249" i="6" s="1"/>
  <c r="A274" i="4"/>
  <c r="C163" i="6"/>
  <c r="C307" i="5"/>
  <c r="D307" i="5" s="1"/>
  <c r="B307" i="6"/>
  <c r="C148" i="6"/>
  <c r="D165" i="6" l="1"/>
  <c r="D170" i="6"/>
  <c r="A371" i="4"/>
  <c r="A346" i="5"/>
  <c r="A346" i="6" s="1"/>
  <c r="A311" i="4"/>
  <c r="A286" i="5"/>
  <c r="A286" i="6" s="1"/>
  <c r="C332" i="5"/>
  <c r="D332" i="5" s="1"/>
  <c r="B332" i="6"/>
  <c r="D129" i="6"/>
  <c r="D135" i="6"/>
  <c r="D126" i="6"/>
  <c r="C213" i="5"/>
  <c r="D213" i="5" s="1"/>
  <c r="B213" i="6"/>
  <c r="A367" i="4"/>
  <c r="A342" i="5"/>
  <c r="A342" i="6" s="1"/>
  <c r="C196" i="5"/>
  <c r="D196" i="5" s="1"/>
  <c r="B196" i="6"/>
  <c r="C176" i="5"/>
  <c r="D176" i="5" s="1"/>
  <c r="B176" i="6"/>
  <c r="C167" i="6"/>
  <c r="C162" i="6"/>
  <c r="C408" i="4"/>
  <c r="D408" i="4" s="1"/>
  <c r="B408" i="5"/>
  <c r="B433" i="4"/>
  <c r="C223" i="5"/>
  <c r="D223" i="5" s="1"/>
  <c r="B223" i="6"/>
  <c r="A323" i="4"/>
  <c r="A298" i="5"/>
  <c r="A298" i="6" s="1"/>
  <c r="C171" i="6"/>
  <c r="G55" i="8"/>
  <c r="H55" i="8" s="1"/>
  <c r="A55" i="15"/>
  <c r="A55" i="7"/>
  <c r="A60" i="8"/>
  <c r="G49" i="8"/>
  <c r="H49" i="8" s="1"/>
  <c r="A49" i="15"/>
  <c r="A49" i="7"/>
  <c r="A54" i="8"/>
  <c r="C217" i="4"/>
  <c r="D217" i="4" s="1"/>
  <c r="B217" i="5"/>
  <c r="B242" i="4"/>
  <c r="A307" i="4"/>
  <c r="A282" i="5"/>
  <c r="A282" i="6" s="1"/>
  <c r="C216" i="5"/>
  <c r="D216" i="5" s="1"/>
  <c r="B216" i="6"/>
  <c r="C243" i="4"/>
  <c r="D243" i="4" s="1"/>
  <c r="B243" i="5"/>
  <c r="B268" i="4"/>
  <c r="C150" i="6"/>
  <c r="C239" i="4"/>
  <c r="D239" i="4" s="1"/>
  <c r="B239" i="5"/>
  <c r="B264" i="4"/>
  <c r="C381" i="5"/>
  <c r="D381" i="5" s="1"/>
  <c r="B381" i="6"/>
  <c r="C361" i="4"/>
  <c r="D361" i="4" s="1"/>
  <c r="B361" i="5"/>
  <c r="B386" i="4"/>
  <c r="C336" i="5"/>
  <c r="D336" i="5" s="1"/>
  <c r="B336" i="6"/>
  <c r="C240" i="4"/>
  <c r="D240" i="4" s="1"/>
  <c r="B240" i="5"/>
  <c r="B265" i="4"/>
  <c r="C225" i="4"/>
  <c r="D225" i="4" s="1"/>
  <c r="B225" i="5"/>
  <c r="B250" i="4"/>
  <c r="A339" i="4"/>
  <c r="A314" i="5"/>
  <c r="A314" i="6" s="1"/>
  <c r="A375" i="4"/>
  <c r="A350" i="5"/>
  <c r="A350" i="6" s="1"/>
  <c r="A315" i="4"/>
  <c r="A290" i="5"/>
  <c r="A290" i="6" s="1"/>
  <c r="G53" i="8"/>
  <c r="H53" i="8" s="1"/>
  <c r="A53" i="15"/>
  <c r="A53" i="7"/>
  <c r="A58" i="8"/>
  <c r="D146" i="6"/>
  <c r="A303" i="4"/>
  <c r="A278" i="5"/>
  <c r="A278" i="6" s="1"/>
  <c r="D133" i="6"/>
  <c r="D134" i="6"/>
  <c r="A279" i="4"/>
  <c r="A254" i="5"/>
  <c r="A254" i="6" s="1"/>
  <c r="C168" i="6"/>
  <c r="G51" i="8"/>
  <c r="H51" i="8" s="1"/>
  <c r="A51" i="15"/>
  <c r="A51" i="7"/>
  <c r="A56" i="8"/>
  <c r="C237" i="4"/>
  <c r="D237" i="4" s="1"/>
  <c r="B237" i="5"/>
  <c r="B262" i="4"/>
  <c r="D144" i="6"/>
  <c r="C220" i="5"/>
  <c r="D220" i="5" s="1"/>
  <c r="B220" i="6"/>
  <c r="C383" i="5"/>
  <c r="D383" i="5" s="1"/>
  <c r="B383" i="6"/>
  <c r="A347" i="4"/>
  <c r="A322" i="5"/>
  <c r="A322" i="6" s="1"/>
  <c r="A295" i="4"/>
  <c r="A270" i="5"/>
  <c r="A270" i="6" s="1"/>
  <c r="D124" i="6"/>
  <c r="A287" i="4"/>
  <c r="A262" i="5"/>
  <c r="A262" i="6" s="1"/>
  <c r="B404" i="5"/>
  <c r="C404" i="4"/>
  <c r="D404" i="4" s="1"/>
  <c r="B429" i="4"/>
  <c r="D127" i="6"/>
  <c r="C197" i="4"/>
  <c r="D197" i="4" s="1"/>
  <c r="B197" i="5"/>
  <c r="B222" i="4"/>
  <c r="C192" i="5"/>
  <c r="D192" i="5" s="1"/>
  <c r="B192" i="6"/>
  <c r="C218" i="5"/>
  <c r="D218" i="5" s="1"/>
  <c r="B218" i="6"/>
  <c r="A335" i="4"/>
  <c r="A310" i="5"/>
  <c r="A310" i="6" s="1"/>
  <c r="C252" i="4"/>
  <c r="D252" i="4" s="1"/>
  <c r="B252" i="5"/>
  <c r="B277" i="4"/>
  <c r="C214" i="5"/>
  <c r="D214" i="5" s="1"/>
  <c r="B214" i="6"/>
  <c r="A277" i="5"/>
  <c r="A277" i="6" s="1"/>
  <c r="A302" i="4"/>
  <c r="D163" i="6"/>
  <c r="D148" i="6"/>
  <c r="A299" i="4"/>
  <c r="A274" i="5"/>
  <c r="A274" i="6" s="1"/>
  <c r="C215" i="5"/>
  <c r="D215" i="5" s="1"/>
  <c r="B215" i="6"/>
  <c r="D166" i="6"/>
  <c r="A355" i="4"/>
  <c r="A330" i="5"/>
  <c r="A330" i="6" s="1"/>
  <c r="C428" i="4"/>
  <c r="D428" i="4" s="1"/>
  <c r="B428" i="5"/>
  <c r="B453" i="4"/>
  <c r="D128" i="6"/>
  <c r="D132" i="6"/>
  <c r="A343" i="4"/>
  <c r="A318" i="5"/>
  <c r="A318" i="6" s="1"/>
  <c r="C430" i="4"/>
  <c r="D430" i="4" s="1"/>
  <c r="B430" i="5"/>
  <c r="B455" i="4"/>
  <c r="C410" i="4"/>
  <c r="D410" i="4" s="1"/>
  <c r="B410" i="5"/>
  <c r="B435" i="4"/>
  <c r="B244" i="5"/>
  <c r="C244" i="4"/>
  <c r="D244" i="4" s="1"/>
  <c r="B269" i="4"/>
  <c r="C212" i="5"/>
  <c r="D212" i="5" s="1"/>
  <c r="B212" i="6"/>
  <c r="C434" i="4"/>
  <c r="D434" i="4" s="1"/>
  <c r="B434" i="5"/>
  <c r="B459" i="4"/>
  <c r="D149" i="6"/>
  <c r="C147" i="6"/>
  <c r="C155" i="6"/>
  <c r="C159" i="6"/>
  <c r="C156" i="6"/>
  <c r="C152" i="6"/>
  <c r="C154" i="6"/>
  <c r="C160" i="6"/>
  <c r="C249" i="4"/>
  <c r="D249" i="4" s="1"/>
  <c r="B249" i="5"/>
  <c r="B274" i="4"/>
  <c r="C193" i="6"/>
  <c r="G57" i="8"/>
  <c r="H57" i="8" s="1"/>
  <c r="A57" i="15"/>
  <c r="A57" i="7"/>
  <c r="A62" i="8"/>
  <c r="D122" i="6"/>
  <c r="C379" i="5"/>
  <c r="D379" i="5" s="1"/>
  <c r="B379" i="6"/>
  <c r="C172" i="5"/>
  <c r="D172" i="5" s="1"/>
  <c r="B172" i="6"/>
  <c r="C175" i="6"/>
  <c r="C227" i="5"/>
  <c r="D227" i="5" s="1"/>
  <c r="B227" i="6"/>
  <c r="D164" i="6"/>
  <c r="C200" i="5"/>
  <c r="D200" i="5" s="1"/>
  <c r="B200" i="6"/>
  <c r="A331" i="4"/>
  <c r="A306" i="5"/>
  <c r="A306" i="6" s="1"/>
  <c r="C357" i="4"/>
  <c r="D357" i="4" s="1"/>
  <c r="B357" i="5"/>
  <c r="B382" i="4"/>
  <c r="A363" i="4"/>
  <c r="A338" i="5"/>
  <c r="A338" i="6" s="1"/>
  <c r="C151" i="6"/>
  <c r="C158" i="6"/>
  <c r="C161" i="6"/>
  <c r="C157" i="6"/>
  <c r="C153" i="6"/>
  <c r="C403" i="5"/>
  <c r="D403" i="5" s="1"/>
  <c r="B403" i="6"/>
  <c r="D136" i="6"/>
  <c r="D131" i="6"/>
  <c r="A351" i="4"/>
  <c r="A326" i="5"/>
  <c r="A326" i="6" s="1"/>
  <c r="B238" i="5"/>
  <c r="C238" i="4"/>
  <c r="D238" i="4" s="1"/>
  <c r="B263" i="4"/>
  <c r="C405" i="5"/>
  <c r="D405" i="5" s="1"/>
  <c r="B405" i="6"/>
  <c r="C385" i="5"/>
  <c r="D385" i="5" s="1"/>
  <c r="B385" i="6"/>
  <c r="C221" i="4"/>
  <c r="D221" i="4" s="1"/>
  <c r="B221" i="5"/>
  <c r="B246" i="4"/>
  <c r="C219" i="5"/>
  <c r="D219" i="5" s="1"/>
  <c r="B219" i="6"/>
  <c r="C409" i="5"/>
  <c r="D409" i="5" s="1"/>
  <c r="B409" i="6"/>
  <c r="C245" i="4"/>
  <c r="D245" i="4" s="1"/>
  <c r="B245" i="5"/>
  <c r="B270" i="4"/>
  <c r="C201" i="4"/>
  <c r="D201" i="4" s="1"/>
  <c r="B201" i="5"/>
  <c r="B226" i="4"/>
  <c r="C224" i="5"/>
  <c r="D224" i="5" s="1"/>
  <c r="B224" i="6"/>
  <c r="C169" i="6"/>
  <c r="A359" i="4"/>
  <c r="A334" i="5"/>
  <c r="A334" i="6" s="1"/>
  <c r="A283" i="4"/>
  <c r="A258" i="5"/>
  <c r="A258" i="6" s="1"/>
  <c r="C248" i="4"/>
  <c r="D248" i="4" s="1"/>
  <c r="B248" i="5"/>
  <c r="B273" i="4"/>
  <c r="D139" i="6"/>
  <c r="A291" i="4"/>
  <c r="A266" i="5"/>
  <c r="A266" i="6" s="1"/>
  <c r="A319" i="4"/>
  <c r="A294" i="5"/>
  <c r="A294" i="6" s="1"/>
  <c r="C241" i="4"/>
  <c r="D241" i="4" s="1"/>
  <c r="B241" i="5"/>
  <c r="B266" i="4"/>
  <c r="B406" i="5"/>
  <c r="C406" i="4"/>
  <c r="D406" i="4" s="1"/>
  <c r="B431" i="4"/>
  <c r="C183" i="6"/>
  <c r="A359" i="5" l="1"/>
  <c r="A359" i="6" s="1"/>
  <c r="A384" i="4"/>
  <c r="B226" i="5"/>
  <c r="C226" i="4"/>
  <c r="D226" i="4" s="1"/>
  <c r="B251" i="4"/>
  <c r="C245" i="5"/>
  <c r="D245" i="5" s="1"/>
  <c r="B245" i="6"/>
  <c r="D157" i="6"/>
  <c r="D169" i="6"/>
  <c r="C201" i="5"/>
  <c r="D201" i="5" s="1"/>
  <c r="B201" i="6"/>
  <c r="C241" i="5"/>
  <c r="D241" i="5" s="1"/>
  <c r="B241" i="6"/>
  <c r="A319" i="5"/>
  <c r="A319" i="6" s="1"/>
  <c r="A344" i="4"/>
  <c r="B246" i="5"/>
  <c r="C246" i="4"/>
  <c r="D246" i="4" s="1"/>
  <c r="B271" i="4"/>
  <c r="A351" i="5"/>
  <c r="A351" i="6" s="1"/>
  <c r="A376" i="4"/>
  <c r="D158" i="6"/>
  <c r="C382" i="4"/>
  <c r="D382" i="4" s="1"/>
  <c r="B382" i="5"/>
  <c r="B407" i="4"/>
  <c r="A331" i="5"/>
  <c r="A331" i="6" s="1"/>
  <c r="A356" i="4"/>
  <c r="C172" i="6"/>
  <c r="C181" i="6"/>
  <c r="C180" i="6"/>
  <c r="C174" i="6"/>
  <c r="C179" i="6"/>
  <c r="C185" i="6"/>
  <c r="C184" i="6"/>
  <c r="C177" i="6"/>
  <c r="C178" i="6"/>
  <c r="C249" i="5"/>
  <c r="D249" i="5" s="1"/>
  <c r="B249" i="6"/>
  <c r="D156" i="6"/>
  <c r="C212" i="6"/>
  <c r="C244" i="5"/>
  <c r="D244" i="5" s="1"/>
  <c r="B244" i="6"/>
  <c r="C455" i="4"/>
  <c r="D455" i="4" s="1"/>
  <c r="B455" i="5"/>
  <c r="B480" i="4"/>
  <c r="A343" i="5"/>
  <c r="A343" i="6" s="1"/>
  <c r="A368" i="4"/>
  <c r="A299" i="5"/>
  <c r="A299" i="6" s="1"/>
  <c r="A324" i="4"/>
  <c r="C197" i="5"/>
  <c r="D197" i="5" s="1"/>
  <c r="B197" i="6"/>
  <c r="B429" i="5"/>
  <c r="C429" i="4"/>
  <c r="D429" i="4" s="1"/>
  <c r="B454" i="4"/>
  <c r="A287" i="5"/>
  <c r="A287" i="6" s="1"/>
  <c r="A312" i="4"/>
  <c r="A295" i="5"/>
  <c r="A295" i="6" s="1"/>
  <c r="A320" i="4"/>
  <c r="C191" i="6"/>
  <c r="G56" i="8"/>
  <c r="H56" i="8" s="1"/>
  <c r="A56" i="15"/>
  <c r="A56" i="7"/>
  <c r="A61" i="8"/>
  <c r="A279" i="5"/>
  <c r="A279" i="6" s="1"/>
  <c r="A304" i="4"/>
  <c r="A303" i="5"/>
  <c r="A303" i="6" s="1"/>
  <c r="A328" i="4"/>
  <c r="C250" i="4"/>
  <c r="D250" i="4" s="1"/>
  <c r="B250" i="5"/>
  <c r="B275" i="4"/>
  <c r="C240" i="5"/>
  <c r="D240" i="5" s="1"/>
  <c r="B240" i="6"/>
  <c r="B386" i="5"/>
  <c r="C386" i="4"/>
  <c r="D386" i="4" s="1"/>
  <c r="B411" i="4"/>
  <c r="D150" i="6"/>
  <c r="C243" i="5"/>
  <c r="D243" i="5" s="1"/>
  <c r="B243" i="6"/>
  <c r="C217" i="5"/>
  <c r="D217" i="5" s="1"/>
  <c r="B217" i="6"/>
  <c r="C217" i="6" s="1"/>
  <c r="C173" i="6"/>
  <c r="A323" i="5"/>
  <c r="A323" i="6" s="1"/>
  <c r="A348" i="4"/>
  <c r="C433" i="4"/>
  <c r="D433" i="4" s="1"/>
  <c r="B433" i="5"/>
  <c r="B458" i="4"/>
  <c r="D167" i="6"/>
  <c r="C196" i="6"/>
  <c r="C213" i="6"/>
  <c r="D183" i="6"/>
  <c r="C219" i="6"/>
  <c r="C431" i="4"/>
  <c r="D431" i="4" s="1"/>
  <c r="B431" i="5"/>
  <c r="B456" i="4"/>
  <c r="C248" i="5"/>
  <c r="D248" i="5" s="1"/>
  <c r="B248" i="6"/>
  <c r="C406" i="5"/>
  <c r="D406" i="5" s="1"/>
  <c r="B406" i="6"/>
  <c r="C270" i="4"/>
  <c r="D270" i="4" s="1"/>
  <c r="B270" i="5"/>
  <c r="B295" i="4"/>
  <c r="C221" i="5"/>
  <c r="D221" i="5" s="1"/>
  <c r="B221" i="6"/>
  <c r="C221" i="6" s="1"/>
  <c r="C238" i="5"/>
  <c r="D238" i="5" s="1"/>
  <c r="B238" i="6"/>
  <c r="D153" i="6"/>
  <c r="D151" i="6"/>
  <c r="C357" i="5"/>
  <c r="D357" i="5" s="1"/>
  <c r="B357" i="6"/>
  <c r="C200" i="6"/>
  <c r="D155" i="6"/>
  <c r="C459" i="4"/>
  <c r="D459" i="4" s="1"/>
  <c r="B459" i="5"/>
  <c r="B484" i="4"/>
  <c r="C435" i="4"/>
  <c r="D435" i="4" s="1"/>
  <c r="B435" i="5"/>
  <c r="B460" i="4"/>
  <c r="C430" i="5"/>
  <c r="D430" i="5" s="1"/>
  <c r="B430" i="6"/>
  <c r="C453" i="4"/>
  <c r="D453" i="4" s="1"/>
  <c r="B453" i="5"/>
  <c r="B478" i="4"/>
  <c r="A355" i="5"/>
  <c r="A355" i="6" s="1"/>
  <c r="A380" i="4"/>
  <c r="C215" i="6"/>
  <c r="A327" i="4"/>
  <c r="A302" i="5"/>
  <c r="A302" i="6" s="1"/>
  <c r="C277" i="4"/>
  <c r="D277" i="4" s="1"/>
  <c r="B277" i="5"/>
  <c r="B302" i="4"/>
  <c r="A335" i="5"/>
  <c r="A335" i="6" s="1"/>
  <c r="A360" i="4"/>
  <c r="C192" i="6"/>
  <c r="C220" i="6"/>
  <c r="C262" i="4"/>
  <c r="D262" i="4" s="1"/>
  <c r="B262" i="5"/>
  <c r="B287" i="4"/>
  <c r="D168" i="6"/>
  <c r="A315" i="5"/>
  <c r="A315" i="6" s="1"/>
  <c r="A340" i="4"/>
  <c r="A375" i="5"/>
  <c r="A375" i="6" s="1"/>
  <c r="A400" i="4"/>
  <c r="C225" i="5"/>
  <c r="D225" i="5" s="1"/>
  <c r="B225" i="6"/>
  <c r="C361" i="5"/>
  <c r="D361" i="5" s="1"/>
  <c r="B361" i="6"/>
  <c r="B264" i="5"/>
  <c r="C264" i="4"/>
  <c r="D264" i="4" s="1"/>
  <c r="B289" i="4"/>
  <c r="C408" i="5"/>
  <c r="D408" i="5" s="1"/>
  <c r="B408" i="6"/>
  <c r="C176" i="6"/>
  <c r="C186" i="6"/>
  <c r="C182" i="6"/>
  <c r="C195" i="6"/>
  <c r="C188" i="6"/>
  <c r="A371" i="5"/>
  <c r="A371" i="6" s="1"/>
  <c r="A396" i="4"/>
  <c r="D175" i="6"/>
  <c r="G62" i="8"/>
  <c r="H62" i="8" s="1"/>
  <c r="A62" i="15"/>
  <c r="A62" i="7"/>
  <c r="A67" i="8"/>
  <c r="D193" i="6"/>
  <c r="D160" i="6"/>
  <c r="D152" i="6"/>
  <c r="D159" i="6"/>
  <c r="D147" i="6"/>
  <c r="C434" i="5"/>
  <c r="D434" i="5" s="1"/>
  <c r="B434" i="6"/>
  <c r="C269" i="4"/>
  <c r="D269" i="4" s="1"/>
  <c r="B269" i="5"/>
  <c r="B294" i="4"/>
  <c r="C410" i="5"/>
  <c r="D410" i="5" s="1"/>
  <c r="B410" i="6"/>
  <c r="C428" i="5"/>
  <c r="D428" i="5" s="1"/>
  <c r="B428" i="6"/>
  <c r="C187" i="6"/>
  <c r="C252" i="5"/>
  <c r="D252" i="5" s="1"/>
  <c r="B252" i="6"/>
  <c r="C404" i="5"/>
  <c r="D404" i="5" s="1"/>
  <c r="B404" i="6"/>
  <c r="A347" i="5"/>
  <c r="A347" i="6" s="1"/>
  <c r="A372" i="4"/>
  <c r="C237" i="5"/>
  <c r="D237" i="5" s="1"/>
  <c r="B237" i="6"/>
  <c r="C198" i="6"/>
  <c r="C239" i="5"/>
  <c r="D239" i="5" s="1"/>
  <c r="B239" i="6"/>
  <c r="C190" i="6"/>
  <c r="A307" i="5"/>
  <c r="A307" i="6" s="1"/>
  <c r="A332" i="4"/>
  <c r="G54" i="8"/>
  <c r="H54" i="8" s="1"/>
  <c r="A54" i="15"/>
  <c r="A54" i="7"/>
  <c r="A59" i="8"/>
  <c r="G60" i="8"/>
  <c r="H60" i="8" s="1"/>
  <c r="A60" i="15"/>
  <c r="A60" i="7"/>
  <c r="A65" i="8"/>
  <c r="D171" i="6"/>
  <c r="C207" i="6"/>
  <c r="A291" i="5"/>
  <c r="A291" i="6" s="1"/>
  <c r="A316" i="4"/>
  <c r="C273" i="4"/>
  <c r="D273" i="4" s="1"/>
  <c r="B273" i="5"/>
  <c r="B298" i="4"/>
  <c r="A283" i="5"/>
  <c r="A283" i="6" s="1"/>
  <c r="A308" i="4"/>
  <c r="C266" i="4"/>
  <c r="D266" i="4" s="1"/>
  <c r="B266" i="5"/>
  <c r="B291" i="4"/>
  <c r="C263" i="4"/>
  <c r="D263" i="4" s="1"/>
  <c r="B263" i="5"/>
  <c r="B288" i="4"/>
  <c r="D161" i="6"/>
  <c r="A363" i="5"/>
  <c r="A363" i="6" s="1"/>
  <c r="A388" i="4"/>
  <c r="C274" i="4"/>
  <c r="D274" i="4" s="1"/>
  <c r="B274" i="5"/>
  <c r="B299" i="4"/>
  <c r="D154" i="6"/>
  <c r="C214" i="6"/>
  <c r="C218" i="6"/>
  <c r="C222" i="4"/>
  <c r="D222" i="4" s="1"/>
  <c r="B222" i="5"/>
  <c r="B247" i="4"/>
  <c r="C189" i="6"/>
  <c r="G58" i="8"/>
  <c r="H58" i="8" s="1"/>
  <c r="A58" i="15"/>
  <c r="A58" i="7"/>
  <c r="A63" i="8"/>
  <c r="C199" i="6"/>
  <c r="C194" i="6"/>
  <c r="A339" i="5"/>
  <c r="A339" i="6" s="1"/>
  <c r="A364" i="4"/>
  <c r="C265" i="4"/>
  <c r="D265" i="4" s="1"/>
  <c r="B265" i="5"/>
  <c r="B290" i="4"/>
  <c r="C268" i="4"/>
  <c r="D268" i="4" s="1"/>
  <c r="B268" i="5"/>
  <c r="B293" i="4"/>
  <c r="C216" i="6"/>
  <c r="C242" i="4"/>
  <c r="D242" i="4" s="1"/>
  <c r="B242" i="5"/>
  <c r="B267" i="4"/>
  <c r="D162" i="6"/>
  <c r="A367" i="5"/>
  <c r="A367" i="6" s="1"/>
  <c r="A392" i="4"/>
  <c r="A311" i="5"/>
  <c r="A311" i="6" s="1"/>
  <c r="A336" i="4"/>
  <c r="D218" i="6" l="1"/>
  <c r="C299" i="4"/>
  <c r="D299" i="4" s="1"/>
  <c r="B299" i="5"/>
  <c r="B324" i="4"/>
  <c r="A388" i="5"/>
  <c r="A388" i="6" s="1"/>
  <c r="A413" i="4"/>
  <c r="C288" i="4"/>
  <c r="D288" i="4" s="1"/>
  <c r="B288" i="5"/>
  <c r="B313" i="4"/>
  <c r="C291" i="4"/>
  <c r="D291" i="4" s="1"/>
  <c r="B291" i="5"/>
  <c r="B316" i="4"/>
  <c r="A341" i="4"/>
  <c r="A316" i="5"/>
  <c r="A316" i="6" s="1"/>
  <c r="D199" i="6"/>
  <c r="C222" i="5"/>
  <c r="D222" i="5" s="1"/>
  <c r="B222" i="6"/>
  <c r="C273" i="5"/>
  <c r="D273" i="5" s="1"/>
  <c r="B273" i="6"/>
  <c r="D207" i="6"/>
  <c r="D190" i="6"/>
  <c r="A372" i="5"/>
  <c r="A372" i="6" s="1"/>
  <c r="A397" i="4"/>
  <c r="C294" i="4"/>
  <c r="D294" i="4" s="1"/>
  <c r="B294" i="5"/>
  <c r="B319" i="4"/>
  <c r="D188" i="6"/>
  <c r="D176" i="6"/>
  <c r="A400" i="5"/>
  <c r="A400" i="6" s="1"/>
  <c r="A425" i="4"/>
  <c r="A385" i="4"/>
  <c r="A360" i="5"/>
  <c r="A360" i="6" s="1"/>
  <c r="A380" i="5"/>
  <c r="A380" i="6" s="1"/>
  <c r="A405" i="4"/>
  <c r="C435" i="5"/>
  <c r="D435" i="5" s="1"/>
  <c r="B435" i="6"/>
  <c r="D200" i="6"/>
  <c r="C295" i="4"/>
  <c r="D295" i="4" s="1"/>
  <c r="B295" i="5"/>
  <c r="B320" i="4"/>
  <c r="C431" i="5"/>
  <c r="D431" i="5" s="1"/>
  <c r="B431" i="6"/>
  <c r="D217" i="6"/>
  <c r="C386" i="5"/>
  <c r="D386" i="5" s="1"/>
  <c r="B386" i="6"/>
  <c r="C250" i="5"/>
  <c r="D250" i="5" s="1"/>
  <c r="B250" i="6"/>
  <c r="A329" i="4"/>
  <c r="A304" i="5"/>
  <c r="A304" i="6" s="1"/>
  <c r="A345" i="4"/>
  <c r="A320" i="5"/>
  <c r="A320" i="6" s="1"/>
  <c r="C454" i="4"/>
  <c r="D454" i="4" s="1"/>
  <c r="B454" i="5"/>
  <c r="B479" i="4"/>
  <c r="D178" i="6"/>
  <c r="D174" i="6"/>
  <c r="D172" i="6"/>
  <c r="C382" i="5"/>
  <c r="D382" i="5" s="1"/>
  <c r="B382" i="6"/>
  <c r="A376" i="5"/>
  <c r="A376" i="6" s="1"/>
  <c r="A401" i="4"/>
  <c r="C246" i="5"/>
  <c r="D246" i="5" s="1"/>
  <c r="B246" i="6"/>
  <c r="D189" i="6"/>
  <c r="A333" i="4"/>
  <c r="A308" i="5"/>
  <c r="A308" i="6" s="1"/>
  <c r="G65" i="8"/>
  <c r="H65" i="8" s="1"/>
  <c r="A65" i="15"/>
  <c r="A65" i="7"/>
  <c r="A70" i="8"/>
  <c r="G59" i="8"/>
  <c r="H59" i="8" s="1"/>
  <c r="A59" i="15"/>
  <c r="A59" i="7"/>
  <c r="A64" i="8"/>
  <c r="D198" i="6"/>
  <c r="C269" i="5"/>
  <c r="D269" i="5" s="1"/>
  <c r="B269" i="6"/>
  <c r="D195" i="6"/>
  <c r="C289" i="4"/>
  <c r="D289" i="4" s="1"/>
  <c r="B289" i="5"/>
  <c r="B314" i="4"/>
  <c r="D220" i="6"/>
  <c r="C270" i="5"/>
  <c r="D270" i="5" s="1"/>
  <c r="B270" i="6"/>
  <c r="A373" i="4"/>
  <c r="A348" i="5"/>
  <c r="A348" i="6" s="1"/>
  <c r="A349" i="4"/>
  <c r="A324" i="5"/>
  <c r="A324" i="6" s="1"/>
  <c r="C480" i="4"/>
  <c r="D480" i="4" s="1"/>
  <c r="B480" i="5"/>
  <c r="B505" i="4"/>
  <c r="D177" i="6"/>
  <c r="A381" i="4"/>
  <c r="A356" i="5"/>
  <c r="A356" i="6" s="1"/>
  <c r="C226" i="5"/>
  <c r="D226" i="5" s="1"/>
  <c r="B226" i="6"/>
  <c r="D216" i="6"/>
  <c r="A357" i="4"/>
  <c r="A332" i="5"/>
  <c r="A332" i="6" s="1"/>
  <c r="D187" i="6"/>
  <c r="A396" i="5"/>
  <c r="A396" i="6" s="1"/>
  <c r="A421" i="4"/>
  <c r="D182" i="6"/>
  <c r="C225" i="6"/>
  <c r="A365" i="4"/>
  <c r="A340" i="5"/>
  <c r="A340" i="6" s="1"/>
  <c r="C287" i="4"/>
  <c r="D287" i="4" s="1"/>
  <c r="B287" i="5"/>
  <c r="B312" i="4"/>
  <c r="C302" i="4"/>
  <c r="D302" i="4" s="1"/>
  <c r="B302" i="5"/>
  <c r="B327" i="4"/>
  <c r="A327" i="5"/>
  <c r="A327" i="6" s="1"/>
  <c r="A352" i="4"/>
  <c r="B478" i="5"/>
  <c r="C478" i="4"/>
  <c r="D478" i="4" s="1"/>
  <c r="B503" i="4"/>
  <c r="B484" i="5"/>
  <c r="C484" i="4"/>
  <c r="D484" i="4" s="1"/>
  <c r="B509" i="4"/>
  <c r="D221" i="6"/>
  <c r="D213" i="6"/>
  <c r="C458" i="4"/>
  <c r="D458" i="4" s="1"/>
  <c r="B458" i="5"/>
  <c r="B483" i="4"/>
  <c r="C411" i="4"/>
  <c r="D411" i="4" s="1"/>
  <c r="B411" i="5"/>
  <c r="B436" i="4"/>
  <c r="A353" i="4"/>
  <c r="A328" i="5"/>
  <c r="A328" i="6" s="1"/>
  <c r="A337" i="4"/>
  <c r="A312" i="5"/>
  <c r="A312" i="6" s="1"/>
  <c r="C429" i="5"/>
  <c r="D429" i="5" s="1"/>
  <c r="B429" i="6"/>
  <c r="C455" i="5"/>
  <c r="D455" i="5" s="1"/>
  <c r="B455" i="6"/>
  <c r="D212" i="6"/>
  <c r="D184" i="6"/>
  <c r="D179" i="6"/>
  <c r="D180" i="6"/>
  <c r="C231" i="6"/>
  <c r="C234" i="6"/>
  <c r="C271" i="4"/>
  <c r="D271" i="4" s="1"/>
  <c r="B271" i="5"/>
  <c r="B296" i="4"/>
  <c r="A384" i="5"/>
  <c r="A384" i="6" s="1"/>
  <c r="A409" i="4"/>
  <c r="A392" i="5"/>
  <c r="A392" i="6" s="1"/>
  <c r="A417" i="4"/>
  <c r="A364" i="5"/>
  <c r="A364" i="6" s="1"/>
  <c r="A389" i="4"/>
  <c r="G63" i="8"/>
  <c r="H63" i="8" s="1"/>
  <c r="A63" i="15"/>
  <c r="A63" i="7"/>
  <c r="A68" i="8"/>
  <c r="A361" i="4"/>
  <c r="A336" i="5"/>
  <c r="A336" i="6" s="1"/>
  <c r="C267" i="4"/>
  <c r="D267" i="4" s="1"/>
  <c r="B267" i="5"/>
  <c r="B292" i="4"/>
  <c r="C293" i="4"/>
  <c r="D293" i="4" s="1"/>
  <c r="B293" i="5"/>
  <c r="B318" i="4"/>
  <c r="C290" i="4"/>
  <c r="D290" i="4" s="1"/>
  <c r="B290" i="5"/>
  <c r="B315" i="4"/>
  <c r="C242" i="5"/>
  <c r="D242" i="5" s="1"/>
  <c r="B242" i="6"/>
  <c r="C242" i="6" s="1"/>
  <c r="C268" i="5"/>
  <c r="D268" i="5" s="1"/>
  <c r="B268" i="6"/>
  <c r="C265" i="5"/>
  <c r="D265" i="5" s="1"/>
  <c r="B265" i="6"/>
  <c r="D194" i="6"/>
  <c r="C247" i="4"/>
  <c r="D247" i="4" s="1"/>
  <c r="B247" i="5"/>
  <c r="B272" i="4"/>
  <c r="D214" i="6"/>
  <c r="C274" i="5"/>
  <c r="D274" i="5" s="1"/>
  <c r="B274" i="6"/>
  <c r="C263" i="5"/>
  <c r="D263" i="5" s="1"/>
  <c r="B263" i="6"/>
  <c r="C266" i="5"/>
  <c r="D266" i="5" s="1"/>
  <c r="B266" i="6"/>
  <c r="C298" i="4"/>
  <c r="D298" i="4" s="1"/>
  <c r="B298" i="5"/>
  <c r="B323" i="4"/>
  <c r="G67" i="8"/>
  <c r="H67" i="8" s="1"/>
  <c r="A67" i="15"/>
  <c r="A67" i="7"/>
  <c r="A72" i="8"/>
  <c r="D186" i="6"/>
  <c r="C264" i="5"/>
  <c r="D264" i="5" s="1"/>
  <c r="B264" i="6"/>
  <c r="C262" i="5"/>
  <c r="D262" i="5" s="1"/>
  <c r="B262" i="6"/>
  <c r="D192" i="6"/>
  <c r="C277" i="5"/>
  <c r="D277" i="5" s="1"/>
  <c r="B277" i="6"/>
  <c r="D215" i="6"/>
  <c r="C453" i="5"/>
  <c r="D453" i="5" s="1"/>
  <c r="B453" i="6"/>
  <c r="B460" i="5"/>
  <c r="C460" i="4"/>
  <c r="D460" i="4" s="1"/>
  <c r="B485" i="4"/>
  <c r="C459" i="5"/>
  <c r="D459" i="5" s="1"/>
  <c r="B459" i="6"/>
  <c r="C238" i="6"/>
  <c r="C456" i="4"/>
  <c r="D456" i="4" s="1"/>
  <c r="B456" i="5"/>
  <c r="B481" i="4"/>
  <c r="D219" i="6"/>
  <c r="D196" i="6"/>
  <c r="C433" i="5"/>
  <c r="D433" i="5" s="1"/>
  <c r="B433" i="6"/>
  <c r="D173" i="6"/>
  <c r="C275" i="4"/>
  <c r="D275" i="4" s="1"/>
  <c r="B275" i="5"/>
  <c r="B300" i="4"/>
  <c r="G61" i="8"/>
  <c r="H61" i="8" s="1"/>
  <c r="A61" i="15"/>
  <c r="A61" i="7"/>
  <c r="A66" i="8"/>
  <c r="D191" i="6"/>
  <c r="C197" i="6"/>
  <c r="C202" i="6"/>
  <c r="C206" i="6"/>
  <c r="C209" i="6"/>
  <c r="C208" i="6"/>
  <c r="C205" i="6"/>
  <c r="C204" i="6"/>
  <c r="C210" i="6"/>
  <c r="C203" i="6"/>
  <c r="A368" i="5"/>
  <c r="A368" i="6" s="1"/>
  <c r="A393" i="4"/>
  <c r="D185" i="6"/>
  <c r="D181" i="6"/>
  <c r="C235" i="6"/>
  <c r="C229" i="6"/>
  <c r="C407" i="4"/>
  <c r="D407" i="4" s="1"/>
  <c r="B407" i="5"/>
  <c r="B432" i="4"/>
  <c r="A369" i="4"/>
  <c r="A344" i="5"/>
  <c r="A344" i="6" s="1"/>
  <c r="C201" i="6"/>
  <c r="C211" i="6"/>
  <c r="C251" i="4"/>
  <c r="D251" i="4" s="1"/>
  <c r="B251" i="5"/>
  <c r="B276" i="4"/>
  <c r="C432" i="4" l="1"/>
  <c r="D432" i="4" s="1"/>
  <c r="B432" i="5"/>
  <c r="B457" i="4"/>
  <c r="C251" i="5"/>
  <c r="D251" i="5" s="1"/>
  <c r="B251" i="6"/>
  <c r="D204" i="6"/>
  <c r="A369" i="5"/>
  <c r="A369" i="6" s="1"/>
  <c r="A394" i="4"/>
  <c r="D229" i="6"/>
  <c r="D205" i="6"/>
  <c r="D209" i="6"/>
  <c r="D206" i="6"/>
  <c r="G66" i="8"/>
  <c r="H66" i="8" s="1"/>
  <c r="A66" i="15"/>
  <c r="A66" i="7"/>
  <c r="A71" i="8"/>
  <c r="C300" i="4"/>
  <c r="D300" i="4" s="1"/>
  <c r="B300" i="5"/>
  <c r="B325" i="4"/>
  <c r="C456" i="5"/>
  <c r="D456" i="5" s="1"/>
  <c r="B456" i="6"/>
  <c r="C460" i="5"/>
  <c r="D460" i="5" s="1"/>
  <c r="B460" i="6"/>
  <c r="C272" i="4"/>
  <c r="D272" i="4" s="1"/>
  <c r="B272" i="5"/>
  <c r="B297" i="4"/>
  <c r="C290" i="5"/>
  <c r="D290" i="5" s="1"/>
  <c r="B290" i="6"/>
  <c r="A417" i="5"/>
  <c r="A417" i="6" s="1"/>
  <c r="A442" i="4"/>
  <c r="C296" i="4"/>
  <c r="D296" i="4" s="1"/>
  <c r="B296" i="5"/>
  <c r="B321" i="4"/>
  <c r="D231" i="6"/>
  <c r="C411" i="5"/>
  <c r="D411" i="5" s="1"/>
  <c r="B411" i="6"/>
  <c r="C458" i="5"/>
  <c r="D458" i="5" s="1"/>
  <c r="B458" i="6"/>
  <c r="C478" i="5"/>
  <c r="D478" i="5" s="1"/>
  <c r="B478" i="6"/>
  <c r="C302" i="5"/>
  <c r="D302" i="5" s="1"/>
  <c r="B302" i="6"/>
  <c r="A357" i="5"/>
  <c r="A357" i="6" s="1"/>
  <c r="A382" i="4"/>
  <c r="A373" i="5"/>
  <c r="A373" i="6" s="1"/>
  <c r="A398" i="4"/>
  <c r="C289" i="5"/>
  <c r="D289" i="5" s="1"/>
  <c r="B289" i="6"/>
  <c r="C479" i="4"/>
  <c r="D479" i="4" s="1"/>
  <c r="B479" i="5"/>
  <c r="B504" i="4"/>
  <c r="A345" i="5"/>
  <c r="A345" i="6" s="1"/>
  <c r="A370" i="4"/>
  <c r="C295" i="5"/>
  <c r="D295" i="5" s="1"/>
  <c r="B295" i="6"/>
  <c r="A341" i="5"/>
  <c r="A341" i="6" s="1"/>
  <c r="A366" i="4"/>
  <c r="C313" i="4"/>
  <c r="D313" i="4" s="1"/>
  <c r="B313" i="5"/>
  <c r="B338" i="4"/>
  <c r="D203" i="6"/>
  <c r="D197" i="6"/>
  <c r="C275" i="5"/>
  <c r="D275" i="5" s="1"/>
  <c r="B275" i="6"/>
  <c r="C323" i="4"/>
  <c r="D323" i="4" s="1"/>
  <c r="B323" i="5"/>
  <c r="B348" i="4"/>
  <c r="C247" i="5"/>
  <c r="D247" i="5" s="1"/>
  <c r="B247" i="6"/>
  <c r="D242" i="6"/>
  <c r="C292" i="4"/>
  <c r="D292" i="4" s="1"/>
  <c r="B292" i="5"/>
  <c r="B317" i="4"/>
  <c r="A361" i="5"/>
  <c r="A361" i="6" s="1"/>
  <c r="A386" i="4"/>
  <c r="C271" i="5"/>
  <c r="D271" i="5" s="1"/>
  <c r="B271" i="6"/>
  <c r="C484" i="5"/>
  <c r="D484" i="5" s="1"/>
  <c r="B484" i="6"/>
  <c r="A377" i="4"/>
  <c r="A352" i="5"/>
  <c r="A352" i="6" s="1"/>
  <c r="C245" i="6"/>
  <c r="A381" i="5"/>
  <c r="A381" i="6" s="1"/>
  <c r="A406" i="4"/>
  <c r="C505" i="4"/>
  <c r="D505" i="4" s="1"/>
  <c r="B505" i="5"/>
  <c r="B530" i="4"/>
  <c r="A349" i="5"/>
  <c r="A349" i="6" s="1"/>
  <c r="A374" i="4"/>
  <c r="C269" i="6"/>
  <c r="C239" i="6"/>
  <c r="A401" i="5"/>
  <c r="A401" i="6" s="1"/>
  <c r="A426" i="4"/>
  <c r="C227" i="6"/>
  <c r="C454" i="5"/>
  <c r="D454" i="5" s="1"/>
  <c r="B454" i="6"/>
  <c r="A385" i="5"/>
  <c r="A385" i="6" s="1"/>
  <c r="A410" i="4"/>
  <c r="C319" i="4"/>
  <c r="D319" i="4" s="1"/>
  <c r="B319" i="5"/>
  <c r="B344" i="4"/>
  <c r="C316" i="4"/>
  <c r="D316" i="4" s="1"/>
  <c r="B316" i="5"/>
  <c r="B341" i="4"/>
  <c r="C288" i="5"/>
  <c r="D288" i="5" s="1"/>
  <c r="B288" i="6"/>
  <c r="C324" i="4"/>
  <c r="D324" i="4" s="1"/>
  <c r="B324" i="5"/>
  <c r="B349" i="4"/>
  <c r="D211" i="6"/>
  <c r="D201" i="6"/>
  <c r="C407" i="5"/>
  <c r="D407" i="5" s="1"/>
  <c r="B407" i="6"/>
  <c r="D210" i="6"/>
  <c r="D202" i="6"/>
  <c r="C485" i="4"/>
  <c r="D485" i="4" s="1"/>
  <c r="B485" i="5"/>
  <c r="B510" i="4"/>
  <c r="C298" i="5"/>
  <c r="D298" i="5" s="1"/>
  <c r="B298" i="6"/>
  <c r="C263" i="6"/>
  <c r="C318" i="4"/>
  <c r="D318" i="4" s="1"/>
  <c r="B318" i="5"/>
  <c r="B343" i="4"/>
  <c r="C267" i="5"/>
  <c r="D267" i="5" s="1"/>
  <c r="B267" i="6"/>
  <c r="G68" i="8"/>
  <c r="H68" i="8" s="1"/>
  <c r="A68" i="15"/>
  <c r="A68" i="7"/>
  <c r="A73" i="8"/>
  <c r="A389" i="5"/>
  <c r="A389" i="6" s="1"/>
  <c r="A414" i="4"/>
  <c r="A409" i="5"/>
  <c r="A409" i="6" s="1"/>
  <c r="A434" i="4"/>
  <c r="A353" i="5"/>
  <c r="A353" i="6" s="1"/>
  <c r="A378" i="4"/>
  <c r="C243" i="6"/>
  <c r="C503" i="4"/>
  <c r="D503" i="4" s="1"/>
  <c r="B503" i="5"/>
  <c r="B528" i="4"/>
  <c r="C312" i="4"/>
  <c r="D312" i="4" s="1"/>
  <c r="B312" i="5"/>
  <c r="B337" i="4"/>
  <c r="A365" i="5"/>
  <c r="A365" i="6" s="1"/>
  <c r="A390" i="4"/>
  <c r="A421" i="5"/>
  <c r="A421" i="6" s="1"/>
  <c r="A446" i="4"/>
  <c r="C237" i="6"/>
  <c r="C241" i="6"/>
  <c r="C228" i="6"/>
  <c r="C480" i="5"/>
  <c r="D480" i="5" s="1"/>
  <c r="B480" i="6"/>
  <c r="C240" i="6"/>
  <c r="G64" i="8"/>
  <c r="H64" i="8" s="1"/>
  <c r="A64" i="15"/>
  <c r="A64" i="7"/>
  <c r="A69" i="8"/>
  <c r="G70" i="8"/>
  <c r="H70" i="8" s="1"/>
  <c r="A70" i="15"/>
  <c r="A70" i="7"/>
  <c r="A75" i="8"/>
  <c r="C230" i="6"/>
  <c r="A329" i="5"/>
  <c r="A329" i="6" s="1"/>
  <c r="A354" i="4"/>
  <c r="A405" i="5"/>
  <c r="A405" i="6" s="1"/>
  <c r="A430" i="4"/>
  <c r="A425" i="5"/>
  <c r="A425" i="6" s="1"/>
  <c r="A450" i="4"/>
  <c r="C294" i="5"/>
  <c r="D294" i="5" s="1"/>
  <c r="B294" i="6"/>
  <c r="C291" i="5"/>
  <c r="D291" i="5" s="1"/>
  <c r="B291" i="6"/>
  <c r="C299" i="5"/>
  <c r="D299" i="5" s="1"/>
  <c r="B299" i="6"/>
  <c r="D235" i="6"/>
  <c r="C276" i="4"/>
  <c r="D276" i="4" s="1"/>
  <c r="B276" i="5"/>
  <c r="B301" i="4"/>
  <c r="A393" i="5"/>
  <c r="A393" i="6" s="1"/>
  <c r="A418" i="4"/>
  <c r="D208" i="6"/>
  <c r="C481" i="4"/>
  <c r="D481" i="4" s="1"/>
  <c r="B481" i="5"/>
  <c r="B506" i="4"/>
  <c r="D238" i="6"/>
  <c r="G72" i="8"/>
  <c r="H72" i="8" s="1"/>
  <c r="A72" i="15"/>
  <c r="A72" i="7"/>
  <c r="A77" i="8"/>
  <c r="C268" i="6"/>
  <c r="C315" i="4"/>
  <c r="D315" i="4" s="1"/>
  <c r="B315" i="5"/>
  <c r="B340" i="4"/>
  <c r="C293" i="5"/>
  <c r="D293" i="5" s="1"/>
  <c r="B293" i="6"/>
  <c r="D234" i="6"/>
  <c r="C249" i="6"/>
  <c r="A337" i="5"/>
  <c r="A337" i="6" s="1"/>
  <c r="A362" i="4"/>
  <c r="C436" i="4"/>
  <c r="D436" i="4" s="1"/>
  <c r="B436" i="5"/>
  <c r="B461" i="4"/>
  <c r="C483" i="4"/>
  <c r="D483" i="4" s="1"/>
  <c r="B483" i="5"/>
  <c r="B508" i="4"/>
  <c r="B509" i="5"/>
  <c r="C509" i="4"/>
  <c r="D509" i="4" s="1"/>
  <c r="B534" i="4"/>
  <c r="C327" i="4"/>
  <c r="D327" i="4" s="1"/>
  <c r="B327" i="5"/>
  <c r="B352" i="4"/>
  <c r="C287" i="5"/>
  <c r="D287" i="5" s="1"/>
  <c r="B287" i="6"/>
  <c r="D225" i="6"/>
  <c r="C226" i="6"/>
  <c r="C232" i="6"/>
  <c r="C236" i="6"/>
  <c r="C233" i="6"/>
  <c r="C270" i="6"/>
  <c r="C314" i="4"/>
  <c r="D314" i="4" s="1"/>
  <c r="B314" i="5"/>
  <c r="B339" i="4"/>
  <c r="A333" i="5"/>
  <c r="A333" i="6" s="1"/>
  <c r="A358" i="4"/>
  <c r="C246" i="6"/>
  <c r="C244" i="6"/>
  <c r="C250" i="6"/>
  <c r="C320" i="4"/>
  <c r="D320" i="4" s="1"/>
  <c r="B320" i="5"/>
  <c r="B345" i="4"/>
  <c r="C254" i="6"/>
  <c r="A397" i="5"/>
  <c r="A397" i="6" s="1"/>
  <c r="A422" i="4"/>
  <c r="C222" i="6"/>
  <c r="C223" i="6"/>
  <c r="A413" i="5"/>
  <c r="A413" i="6" s="1"/>
  <c r="A438" i="4"/>
  <c r="C224" i="6"/>
  <c r="A438" i="5" l="1"/>
  <c r="A438" i="6" s="1"/>
  <c r="A463" i="4"/>
  <c r="D223" i="6"/>
  <c r="D254" i="6"/>
  <c r="D250" i="6"/>
  <c r="D246" i="6"/>
  <c r="C314" i="5"/>
  <c r="D314" i="5" s="1"/>
  <c r="B314" i="6"/>
  <c r="D233" i="6"/>
  <c r="D226" i="6"/>
  <c r="C534" i="4"/>
  <c r="D534" i="4" s="1"/>
  <c r="B534" i="5"/>
  <c r="B559" i="4"/>
  <c r="C483" i="5"/>
  <c r="D483" i="5" s="1"/>
  <c r="B483" i="6"/>
  <c r="B340" i="5"/>
  <c r="C340" i="4"/>
  <c r="D340" i="4" s="1"/>
  <c r="B365" i="4"/>
  <c r="G77" i="8"/>
  <c r="H77" i="8" s="1"/>
  <c r="A77" i="15"/>
  <c r="A77" i="7"/>
  <c r="A82" i="8"/>
  <c r="C264" i="6"/>
  <c r="C481" i="5"/>
  <c r="D481" i="5" s="1"/>
  <c r="B481" i="6"/>
  <c r="A418" i="5"/>
  <c r="A418" i="6" s="1"/>
  <c r="A443" i="4"/>
  <c r="G75" i="8"/>
  <c r="H75" i="8" s="1"/>
  <c r="A75" i="15"/>
  <c r="A75" i="7"/>
  <c r="A80" i="8"/>
  <c r="G69" i="8"/>
  <c r="H69" i="8" s="1"/>
  <c r="A69" i="15"/>
  <c r="A69" i="7"/>
  <c r="A74" i="8"/>
  <c r="D237" i="6"/>
  <c r="A390" i="5"/>
  <c r="A390" i="6" s="1"/>
  <c r="A415" i="4"/>
  <c r="D243" i="6"/>
  <c r="A434" i="5"/>
  <c r="A434" i="6" s="1"/>
  <c r="A459" i="4"/>
  <c r="G73" i="8"/>
  <c r="H73" i="8" s="1"/>
  <c r="A73" i="15"/>
  <c r="A73" i="7"/>
  <c r="A78" i="8"/>
  <c r="C267" i="6"/>
  <c r="C510" i="4"/>
  <c r="D510" i="4" s="1"/>
  <c r="B510" i="5"/>
  <c r="B535" i="4"/>
  <c r="B344" i="5"/>
  <c r="C344" i="4"/>
  <c r="D344" i="4" s="1"/>
  <c r="B369" i="4"/>
  <c r="D239" i="6"/>
  <c r="C292" i="5"/>
  <c r="D292" i="5" s="1"/>
  <c r="B292" i="6"/>
  <c r="C265" i="6"/>
  <c r="C323" i="5"/>
  <c r="D323" i="5" s="1"/>
  <c r="B323" i="6"/>
  <c r="A366" i="5"/>
  <c r="A366" i="6" s="1"/>
  <c r="A391" i="4"/>
  <c r="C260" i="6"/>
  <c r="B504" i="5"/>
  <c r="C504" i="4"/>
  <c r="D504" i="4" s="1"/>
  <c r="B529" i="4"/>
  <c r="A398" i="5"/>
  <c r="A398" i="6" s="1"/>
  <c r="A423" i="4"/>
  <c r="A382" i="5"/>
  <c r="A382" i="6" s="1"/>
  <c r="A407" i="4"/>
  <c r="C321" i="4"/>
  <c r="D321" i="4" s="1"/>
  <c r="B321" i="5"/>
  <c r="B346" i="4"/>
  <c r="C272" i="5"/>
  <c r="D272" i="5" s="1"/>
  <c r="B272" i="6"/>
  <c r="C432" i="5"/>
  <c r="D432" i="5" s="1"/>
  <c r="B432" i="6"/>
  <c r="D244" i="6"/>
  <c r="A383" i="4"/>
  <c r="A358" i="5"/>
  <c r="A358" i="6" s="1"/>
  <c r="C352" i="4"/>
  <c r="D352" i="4" s="1"/>
  <c r="B352" i="5"/>
  <c r="B377" i="4"/>
  <c r="A387" i="4"/>
  <c r="A362" i="5"/>
  <c r="A362" i="6" s="1"/>
  <c r="D263" i="6"/>
  <c r="C485" i="5"/>
  <c r="D485" i="5" s="1"/>
  <c r="B485" i="6"/>
  <c r="B349" i="5"/>
  <c r="C349" i="4"/>
  <c r="D349" i="4" s="1"/>
  <c r="B374" i="4"/>
  <c r="D269" i="6"/>
  <c r="C530" i="4"/>
  <c r="D530" i="4" s="1"/>
  <c r="B530" i="5"/>
  <c r="B555" i="4"/>
  <c r="A406" i="5"/>
  <c r="A406" i="6" s="1"/>
  <c r="A431" i="4"/>
  <c r="C479" i="5"/>
  <c r="D479" i="5" s="1"/>
  <c r="B479" i="6"/>
  <c r="C296" i="5"/>
  <c r="D296" i="5" s="1"/>
  <c r="B296" i="6"/>
  <c r="G71" i="8"/>
  <c r="H71" i="8" s="1"/>
  <c r="A71" i="15"/>
  <c r="A71" i="7"/>
  <c r="A76" i="8"/>
  <c r="A394" i="5"/>
  <c r="A394" i="6" s="1"/>
  <c r="A419" i="4"/>
  <c r="C251" i="6"/>
  <c r="C257" i="6"/>
  <c r="D222" i="6"/>
  <c r="C345" i="4"/>
  <c r="D345" i="4" s="1"/>
  <c r="B345" i="5"/>
  <c r="B370" i="4"/>
  <c r="C315" i="5"/>
  <c r="D315" i="5" s="1"/>
  <c r="B315" i="6"/>
  <c r="A450" i="5"/>
  <c r="A450" i="6" s="1"/>
  <c r="A475" i="4"/>
  <c r="A379" i="4"/>
  <c r="A354" i="5"/>
  <c r="A354" i="6" s="1"/>
  <c r="B528" i="5"/>
  <c r="C528" i="4"/>
  <c r="D528" i="4" s="1"/>
  <c r="B553" i="4"/>
  <c r="A378" i="5"/>
  <c r="A378" i="6" s="1"/>
  <c r="A403" i="4"/>
  <c r="C319" i="5"/>
  <c r="D319" i="5" s="1"/>
  <c r="B319" i="6"/>
  <c r="D227" i="6"/>
  <c r="A386" i="5"/>
  <c r="A386" i="6" s="1"/>
  <c r="A411" i="4"/>
  <c r="C247" i="6"/>
  <c r="C261" i="6"/>
  <c r="C338" i="4"/>
  <c r="D338" i="4" s="1"/>
  <c r="B338" i="5"/>
  <c r="B363" i="4"/>
  <c r="A422" i="5"/>
  <c r="A422" i="6" s="1"/>
  <c r="A447" i="4"/>
  <c r="C320" i="5"/>
  <c r="D320" i="5" s="1"/>
  <c r="B320" i="6"/>
  <c r="C256" i="6"/>
  <c r="D236" i="6"/>
  <c r="C327" i="5"/>
  <c r="D327" i="5" s="1"/>
  <c r="B327" i="6"/>
  <c r="C509" i="5"/>
  <c r="D509" i="5" s="1"/>
  <c r="B509" i="6"/>
  <c r="C461" i="4"/>
  <c r="D461" i="4" s="1"/>
  <c r="B461" i="5"/>
  <c r="B486" i="4"/>
  <c r="C301" i="4"/>
  <c r="D301" i="4" s="1"/>
  <c r="B301" i="5"/>
  <c r="B326" i="4"/>
  <c r="C248" i="6"/>
  <c r="D228" i="6"/>
  <c r="A446" i="5"/>
  <c r="A446" i="6" s="1"/>
  <c r="A471" i="4"/>
  <c r="C337" i="4"/>
  <c r="D337" i="4" s="1"/>
  <c r="B337" i="5"/>
  <c r="B362" i="4"/>
  <c r="C503" i="5"/>
  <c r="D503" i="5" s="1"/>
  <c r="B503" i="6"/>
  <c r="A414" i="5"/>
  <c r="A414" i="6" s="1"/>
  <c r="A439" i="4"/>
  <c r="C343" i="4"/>
  <c r="D343" i="4" s="1"/>
  <c r="B343" i="5"/>
  <c r="B368" i="4"/>
  <c r="C324" i="5"/>
  <c r="D324" i="5" s="1"/>
  <c r="B324" i="6"/>
  <c r="C341" i="4"/>
  <c r="D341" i="4" s="1"/>
  <c r="B341" i="5"/>
  <c r="B366" i="4"/>
  <c r="C255" i="6"/>
  <c r="A426" i="5"/>
  <c r="A426" i="6" s="1"/>
  <c r="A451" i="4"/>
  <c r="C505" i="5"/>
  <c r="D505" i="5" s="1"/>
  <c r="B505" i="6"/>
  <c r="C262" i="6"/>
  <c r="C313" i="5"/>
  <c r="D313" i="5" s="1"/>
  <c r="B313" i="6"/>
  <c r="A370" i="5"/>
  <c r="A370" i="6" s="1"/>
  <c r="A395" i="4"/>
  <c r="C274" i="6"/>
  <c r="C325" i="4"/>
  <c r="D325" i="4" s="1"/>
  <c r="B325" i="5"/>
  <c r="B350" i="4"/>
  <c r="C252" i="6"/>
  <c r="D224" i="6"/>
  <c r="C339" i="4"/>
  <c r="D339" i="4" s="1"/>
  <c r="B339" i="5"/>
  <c r="B364" i="4"/>
  <c r="D270" i="6"/>
  <c r="D232" i="6"/>
  <c r="C508" i="4"/>
  <c r="D508" i="4" s="1"/>
  <c r="B508" i="5"/>
  <c r="B533" i="4"/>
  <c r="C436" i="5"/>
  <c r="D436" i="5" s="1"/>
  <c r="B436" i="6"/>
  <c r="D249" i="6"/>
  <c r="D268" i="6"/>
  <c r="C506" i="4"/>
  <c r="D506" i="4" s="1"/>
  <c r="B506" i="5"/>
  <c r="B531" i="4"/>
  <c r="C276" i="5"/>
  <c r="D276" i="5" s="1"/>
  <c r="B276" i="6"/>
  <c r="A430" i="5"/>
  <c r="A430" i="6" s="1"/>
  <c r="A455" i="4"/>
  <c r="D230" i="6"/>
  <c r="D240" i="6"/>
  <c r="D241" i="6"/>
  <c r="C312" i="5"/>
  <c r="D312" i="5" s="1"/>
  <c r="B312" i="6"/>
  <c r="C318" i="5"/>
  <c r="D318" i="5" s="1"/>
  <c r="B318" i="6"/>
  <c r="C316" i="5"/>
  <c r="D316" i="5" s="1"/>
  <c r="B316" i="6"/>
  <c r="C259" i="6"/>
  <c r="A410" i="5"/>
  <c r="A410" i="6" s="1"/>
  <c r="A435" i="4"/>
  <c r="A374" i="5"/>
  <c r="A374" i="6" s="1"/>
  <c r="A399" i="4"/>
  <c r="D245" i="6"/>
  <c r="A377" i="5"/>
  <c r="A377" i="6" s="1"/>
  <c r="A402" i="4"/>
  <c r="C271" i="6"/>
  <c r="C317" i="4"/>
  <c r="D317" i="4" s="1"/>
  <c r="B317" i="5"/>
  <c r="B342" i="4"/>
  <c r="C348" i="4"/>
  <c r="D348" i="4" s="1"/>
  <c r="B348" i="5"/>
  <c r="B373" i="4"/>
  <c r="C285" i="6"/>
  <c r="C284" i="6"/>
  <c r="C275" i="6"/>
  <c r="C253" i="6"/>
  <c r="C295" i="6"/>
  <c r="A442" i="5"/>
  <c r="A442" i="6" s="1"/>
  <c r="A467" i="4"/>
  <c r="C297" i="4"/>
  <c r="D297" i="4" s="1"/>
  <c r="B297" i="5"/>
  <c r="B322" i="4"/>
  <c r="C266" i="6"/>
  <c r="C300" i="5"/>
  <c r="D300" i="5" s="1"/>
  <c r="B300" i="6"/>
  <c r="C457" i="4"/>
  <c r="D457" i="4" s="1"/>
  <c r="B457" i="5"/>
  <c r="B482" i="4"/>
  <c r="C258" i="6"/>
  <c r="D258" i="6" l="1"/>
  <c r="C322" i="4"/>
  <c r="D322" i="4" s="1"/>
  <c r="B322" i="5"/>
  <c r="B347" i="4"/>
  <c r="D295" i="6"/>
  <c r="D285" i="6"/>
  <c r="D271" i="6"/>
  <c r="A435" i="5"/>
  <c r="A435" i="6" s="1"/>
  <c r="A460" i="4"/>
  <c r="C506" i="5"/>
  <c r="D506" i="5" s="1"/>
  <c r="B506" i="6"/>
  <c r="C533" i="4"/>
  <c r="D533" i="4" s="1"/>
  <c r="B533" i="5"/>
  <c r="B558" i="4"/>
  <c r="B364" i="5"/>
  <c r="C364" i="4"/>
  <c r="D364" i="4" s="1"/>
  <c r="B389" i="4"/>
  <c r="C341" i="5"/>
  <c r="D341" i="5" s="1"/>
  <c r="B341" i="6"/>
  <c r="A439" i="5"/>
  <c r="A439" i="6" s="1"/>
  <c r="A464" i="4"/>
  <c r="C362" i="4"/>
  <c r="D362" i="4" s="1"/>
  <c r="B362" i="5"/>
  <c r="B387" i="4"/>
  <c r="B326" i="5"/>
  <c r="C326" i="4"/>
  <c r="D326" i="4" s="1"/>
  <c r="B351" i="4"/>
  <c r="B486" i="5"/>
  <c r="C486" i="4"/>
  <c r="D486" i="4" s="1"/>
  <c r="B511" i="4"/>
  <c r="A447" i="5"/>
  <c r="A447" i="6" s="1"/>
  <c r="A472" i="4"/>
  <c r="A403" i="5"/>
  <c r="A403" i="6" s="1"/>
  <c r="A428" i="4"/>
  <c r="C528" i="5"/>
  <c r="D528" i="5" s="1"/>
  <c r="B528" i="6"/>
  <c r="C370" i="4"/>
  <c r="D370" i="4" s="1"/>
  <c r="B370" i="5"/>
  <c r="B395" i="4"/>
  <c r="C555" i="4"/>
  <c r="D555" i="4" s="1"/>
  <c r="B555" i="5"/>
  <c r="B580" i="4"/>
  <c r="C272" i="6"/>
  <c r="C273" i="6"/>
  <c r="C280" i="6"/>
  <c r="A423" i="5"/>
  <c r="A423" i="6" s="1"/>
  <c r="A448" i="4"/>
  <c r="C504" i="5"/>
  <c r="D504" i="5" s="1"/>
  <c r="B504" i="6"/>
  <c r="C277" i="6"/>
  <c r="D265" i="6"/>
  <c r="C535" i="4"/>
  <c r="D535" i="4" s="1"/>
  <c r="B535" i="5"/>
  <c r="B560" i="4"/>
  <c r="G78" i="8"/>
  <c r="H78" i="8" s="1"/>
  <c r="A78" i="15"/>
  <c r="A78" i="7"/>
  <c r="A83" i="8"/>
  <c r="A459" i="5"/>
  <c r="A459" i="6" s="1"/>
  <c r="A484" i="4"/>
  <c r="A415" i="5"/>
  <c r="A415" i="6" s="1"/>
  <c r="A440" i="4"/>
  <c r="C559" i="4"/>
  <c r="D559" i="4" s="1"/>
  <c r="B559" i="5"/>
  <c r="B584" i="4"/>
  <c r="C457" i="5"/>
  <c r="D457" i="5" s="1"/>
  <c r="B457" i="6"/>
  <c r="C482" i="4"/>
  <c r="D482" i="4" s="1"/>
  <c r="B482" i="5"/>
  <c r="B507" i="4"/>
  <c r="C297" i="5"/>
  <c r="D297" i="5" s="1"/>
  <c r="B297" i="6"/>
  <c r="D253" i="6"/>
  <c r="C373" i="4"/>
  <c r="D373" i="4" s="1"/>
  <c r="B373" i="5"/>
  <c r="B398" i="4"/>
  <c r="C342" i="4"/>
  <c r="D342" i="4" s="1"/>
  <c r="B342" i="5"/>
  <c r="B367" i="4"/>
  <c r="A402" i="5"/>
  <c r="A402" i="6" s="1"/>
  <c r="A427" i="4"/>
  <c r="A399" i="5"/>
  <c r="A399" i="6" s="1"/>
  <c r="A424" i="4"/>
  <c r="A455" i="5"/>
  <c r="A455" i="6" s="1"/>
  <c r="A480" i="4"/>
  <c r="C276" i="6"/>
  <c r="C279" i="6"/>
  <c r="C283" i="6"/>
  <c r="C282" i="6"/>
  <c r="C508" i="5"/>
  <c r="D508" i="5" s="1"/>
  <c r="B508" i="6"/>
  <c r="C339" i="5"/>
  <c r="D339" i="5" s="1"/>
  <c r="B339" i="6"/>
  <c r="D252" i="6"/>
  <c r="D274" i="6"/>
  <c r="B368" i="5"/>
  <c r="C368" i="4"/>
  <c r="D368" i="4" s="1"/>
  <c r="B393" i="4"/>
  <c r="C337" i="5"/>
  <c r="D337" i="5" s="1"/>
  <c r="B337" i="6"/>
  <c r="C301" i="5"/>
  <c r="D301" i="5" s="1"/>
  <c r="B301" i="6"/>
  <c r="C461" i="5"/>
  <c r="D461" i="5" s="1"/>
  <c r="B461" i="6"/>
  <c r="D256" i="6"/>
  <c r="B363" i="5"/>
  <c r="C363" i="4"/>
  <c r="D363" i="4" s="1"/>
  <c r="B388" i="4"/>
  <c r="C286" i="6"/>
  <c r="D247" i="6"/>
  <c r="C291" i="6"/>
  <c r="C345" i="5"/>
  <c r="D345" i="5" s="1"/>
  <c r="B345" i="6"/>
  <c r="D257" i="6"/>
  <c r="G76" i="8"/>
  <c r="H76" i="8" s="1"/>
  <c r="A76" i="15"/>
  <c r="A76" i="7"/>
  <c r="A81" i="8"/>
  <c r="C530" i="5"/>
  <c r="D530" i="5" s="1"/>
  <c r="B530" i="6"/>
  <c r="C374" i="4"/>
  <c r="D374" i="4" s="1"/>
  <c r="B374" i="5"/>
  <c r="B399" i="4"/>
  <c r="A387" i="5"/>
  <c r="A387" i="6" s="1"/>
  <c r="A412" i="4"/>
  <c r="D260" i="6"/>
  <c r="C278" i="6"/>
  <c r="C292" i="6"/>
  <c r="C344" i="5"/>
  <c r="D344" i="5" s="1"/>
  <c r="B344" i="6"/>
  <c r="C510" i="5"/>
  <c r="D510" i="5" s="1"/>
  <c r="B510" i="6"/>
  <c r="C340" i="5"/>
  <c r="D340" i="5" s="1"/>
  <c r="B340" i="6"/>
  <c r="C534" i="5"/>
  <c r="D534" i="5" s="1"/>
  <c r="B534" i="6"/>
  <c r="A463" i="5"/>
  <c r="A463" i="6" s="1"/>
  <c r="A488" i="4"/>
  <c r="D275" i="6"/>
  <c r="C348" i="5"/>
  <c r="D348" i="5" s="1"/>
  <c r="B348" i="6"/>
  <c r="C317" i="5"/>
  <c r="D317" i="5" s="1"/>
  <c r="B317" i="6"/>
  <c r="D259" i="6"/>
  <c r="C350" i="4"/>
  <c r="D350" i="4" s="1"/>
  <c r="B350" i="5"/>
  <c r="B375" i="4"/>
  <c r="C313" i="6"/>
  <c r="C281" i="6"/>
  <c r="D255" i="6"/>
  <c r="C343" i="5"/>
  <c r="D343" i="5" s="1"/>
  <c r="B343" i="6"/>
  <c r="C320" i="6"/>
  <c r="C338" i="5"/>
  <c r="D338" i="5" s="1"/>
  <c r="B338" i="6"/>
  <c r="D261" i="6"/>
  <c r="C307" i="6"/>
  <c r="A411" i="5"/>
  <c r="A411" i="6" s="1"/>
  <c r="A436" i="4"/>
  <c r="C319" i="6"/>
  <c r="C553" i="4"/>
  <c r="D553" i="4" s="1"/>
  <c r="B553" i="5"/>
  <c r="B578" i="4"/>
  <c r="A379" i="5"/>
  <c r="A379" i="6" s="1"/>
  <c r="A404" i="4"/>
  <c r="C315" i="6"/>
  <c r="D251" i="6"/>
  <c r="C290" i="6"/>
  <c r="C289" i="6"/>
  <c r="A431" i="5"/>
  <c r="A431" i="6" s="1"/>
  <c r="A456" i="4"/>
  <c r="C377" i="4"/>
  <c r="D377" i="4" s="1"/>
  <c r="B377" i="5"/>
  <c r="B402" i="4"/>
  <c r="A383" i="5"/>
  <c r="A383" i="6" s="1"/>
  <c r="A408" i="4"/>
  <c r="C346" i="4"/>
  <c r="D346" i="4" s="1"/>
  <c r="B346" i="5"/>
  <c r="B371" i="4"/>
  <c r="A407" i="5"/>
  <c r="A407" i="6" s="1"/>
  <c r="A432" i="4"/>
  <c r="C529" i="4"/>
  <c r="D529" i="4" s="1"/>
  <c r="B529" i="5"/>
  <c r="B554" i="4"/>
  <c r="A391" i="5"/>
  <c r="A391" i="6" s="1"/>
  <c r="A416" i="4"/>
  <c r="C288" i="6"/>
  <c r="G74" i="8"/>
  <c r="H74" i="8" s="1"/>
  <c r="A74" i="15"/>
  <c r="A74" i="7"/>
  <c r="A79" i="8"/>
  <c r="G80" i="8"/>
  <c r="H80" i="8" s="1"/>
  <c r="A80" i="15"/>
  <c r="A80" i="7"/>
  <c r="A85" i="8"/>
  <c r="A443" i="5"/>
  <c r="A443" i="6" s="1"/>
  <c r="A468" i="4"/>
  <c r="D264" i="6"/>
  <c r="D266" i="6"/>
  <c r="A467" i="5"/>
  <c r="A467" i="6" s="1"/>
  <c r="A492" i="4"/>
  <c r="D284" i="6"/>
  <c r="C316" i="6"/>
  <c r="C294" i="6"/>
  <c r="C531" i="4"/>
  <c r="D531" i="4" s="1"/>
  <c r="B531" i="5"/>
  <c r="B556" i="4"/>
  <c r="C287" i="6"/>
  <c r="C325" i="5"/>
  <c r="D325" i="5" s="1"/>
  <c r="B325" i="6"/>
  <c r="A395" i="5"/>
  <c r="A395" i="6" s="1"/>
  <c r="A420" i="4"/>
  <c r="D262" i="6"/>
  <c r="A451" i="5"/>
  <c r="A451" i="6" s="1"/>
  <c r="A476" i="4"/>
  <c r="B366" i="5"/>
  <c r="C366" i="4"/>
  <c r="D366" i="4" s="1"/>
  <c r="B391" i="4"/>
  <c r="A471" i="5"/>
  <c r="A471" i="6" s="1"/>
  <c r="A496" i="4"/>
  <c r="D248" i="6"/>
  <c r="C293" i="6"/>
  <c r="A475" i="5"/>
  <c r="A475" i="6" s="1"/>
  <c r="A500" i="4"/>
  <c r="A419" i="5"/>
  <c r="A419" i="6" s="1"/>
  <c r="A444" i="4"/>
  <c r="C296" i="6"/>
  <c r="C349" i="5"/>
  <c r="D349" i="5" s="1"/>
  <c r="B349" i="6"/>
  <c r="C352" i="5"/>
  <c r="D352" i="5" s="1"/>
  <c r="B352" i="6"/>
  <c r="C321" i="5"/>
  <c r="D321" i="5" s="1"/>
  <c r="B321" i="6"/>
  <c r="C321" i="6" s="1"/>
  <c r="C369" i="4"/>
  <c r="D369" i="4" s="1"/>
  <c r="B369" i="5"/>
  <c r="B394" i="4"/>
  <c r="D267" i="6"/>
  <c r="G82" i="8"/>
  <c r="H82" i="8" s="1"/>
  <c r="A82" i="15"/>
  <c r="A82" i="7"/>
  <c r="A87" i="8"/>
  <c r="C365" i="4"/>
  <c r="D365" i="4" s="1"/>
  <c r="B365" i="5"/>
  <c r="B390" i="4"/>
  <c r="C314" i="6"/>
  <c r="D289" i="6" l="1"/>
  <c r="A412" i="5"/>
  <c r="A412" i="6" s="1"/>
  <c r="A437" i="4"/>
  <c r="D286" i="6"/>
  <c r="C368" i="5"/>
  <c r="D368" i="5" s="1"/>
  <c r="B368" i="6"/>
  <c r="D276" i="6"/>
  <c r="A424" i="5"/>
  <c r="A424" i="6" s="1"/>
  <c r="A449" i="4"/>
  <c r="C367" i="4"/>
  <c r="D367" i="4" s="1"/>
  <c r="B367" i="5"/>
  <c r="B392" i="4"/>
  <c r="C373" i="5"/>
  <c r="D373" i="5" s="1"/>
  <c r="B373" i="6"/>
  <c r="C297" i="6"/>
  <c r="C305" i="6"/>
  <c r="C302" i="6"/>
  <c r="C306" i="6"/>
  <c r="C309" i="6"/>
  <c r="C303" i="6"/>
  <c r="C559" i="5"/>
  <c r="D559" i="5" s="1"/>
  <c r="B559" i="6"/>
  <c r="A440" i="5"/>
  <c r="A440" i="6" s="1"/>
  <c r="A465" i="4"/>
  <c r="G83" i="8"/>
  <c r="H83" i="8" s="1"/>
  <c r="A83" i="15"/>
  <c r="A83" i="7"/>
  <c r="A88" i="8"/>
  <c r="C560" i="4"/>
  <c r="D560" i="4" s="1"/>
  <c r="B560" i="5"/>
  <c r="B585" i="4"/>
  <c r="D272" i="6"/>
  <c r="C326" i="5"/>
  <c r="D326" i="5" s="1"/>
  <c r="B326" i="6"/>
  <c r="A464" i="5"/>
  <c r="A464" i="6" s="1"/>
  <c r="A489" i="4"/>
  <c r="C364" i="5"/>
  <c r="D364" i="5" s="1"/>
  <c r="B364" i="6"/>
  <c r="A460" i="5"/>
  <c r="A460" i="6" s="1"/>
  <c r="A485" i="4"/>
  <c r="C347" i="4"/>
  <c r="D347" i="4" s="1"/>
  <c r="B347" i="5"/>
  <c r="B372" i="4"/>
  <c r="C394" i="4"/>
  <c r="D394" i="4" s="1"/>
  <c r="B394" i="5"/>
  <c r="B419" i="4"/>
  <c r="D316" i="6"/>
  <c r="D315" i="6"/>
  <c r="C553" i="5"/>
  <c r="D553" i="5" s="1"/>
  <c r="B553" i="6"/>
  <c r="D313" i="6"/>
  <c r="D314" i="6"/>
  <c r="G87" i="8"/>
  <c r="H87" i="8" s="1"/>
  <c r="A87" i="15"/>
  <c r="A87" i="7"/>
  <c r="A92" i="8"/>
  <c r="C369" i="5"/>
  <c r="D369" i="5" s="1"/>
  <c r="B369" i="6"/>
  <c r="A444" i="5"/>
  <c r="A444" i="6" s="1"/>
  <c r="A469" i="4"/>
  <c r="C531" i="5"/>
  <c r="D531" i="5" s="1"/>
  <c r="B531" i="6"/>
  <c r="G85" i="8"/>
  <c r="H85" i="8" s="1"/>
  <c r="A85" i="15"/>
  <c r="A85" i="7"/>
  <c r="A90" i="8"/>
  <c r="G79" i="8"/>
  <c r="H79" i="8" s="1"/>
  <c r="A79" i="15"/>
  <c r="A79" i="7"/>
  <c r="A84" i="8"/>
  <c r="D288" i="6"/>
  <c r="C554" i="4"/>
  <c r="D554" i="4" s="1"/>
  <c r="B554" i="5"/>
  <c r="B579" i="4"/>
  <c r="A408" i="5"/>
  <c r="A408" i="6" s="1"/>
  <c r="A433" i="4"/>
  <c r="D290" i="6"/>
  <c r="A404" i="5"/>
  <c r="A404" i="6" s="1"/>
  <c r="A429" i="4"/>
  <c r="C311" i="6"/>
  <c r="C317" i="6"/>
  <c r="C388" i="4"/>
  <c r="D388" i="4" s="1"/>
  <c r="B388" i="5"/>
  <c r="B413" i="4"/>
  <c r="C328" i="6"/>
  <c r="D282" i="6"/>
  <c r="A480" i="5"/>
  <c r="A480" i="6" s="1"/>
  <c r="A505" i="4"/>
  <c r="C342" i="5"/>
  <c r="D342" i="5" s="1"/>
  <c r="B342" i="6"/>
  <c r="C535" i="5"/>
  <c r="D535" i="5" s="1"/>
  <c r="B535" i="6"/>
  <c r="A448" i="5"/>
  <c r="A448" i="6" s="1"/>
  <c r="A473" i="4"/>
  <c r="A472" i="5"/>
  <c r="A472" i="6" s="1"/>
  <c r="A497" i="4"/>
  <c r="C486" i="5"/>
  <c r="D486" i="5" s="1"/>
  <c r="B486" i="6"/>
  <c r="C387" i="4"/>
  <c r="D387" i="4" s="1"/>
  <c r="B387" i="5"/>
  <c r="B412" i="4"/>
  <c r="C558" i="4"/>
  <c r="D558" i="4" s="1"/>
  <c r="B558" i="5"/>
  <c r="B583" i="4"/>
  <c r="C322" i="5"/>
  <c r="D322" i="5" s="1"/>
  <c r="B322" i="6"/>
  <c r="D321" i="6"/>
  <c r="C556" i="4"/>
  <c r="D556" i="4" s="1"/>
  <c r="B556" i="5"/>
  <c r="B581" i="4"/>
  <c r="A492" i="5"/>
  <c r="A492" i="6" s="1"/>
  <c r="A517" i="4"/>
  <c r="A432" i="5"/>
  <c r="A432" i="6" s="1"/>
  <c r="A457" i="4"/>
  <c r="D320" i="6"/>
  <c r="C344" i="6"/>
  <c r="C390" i="4"/>
  <c r="D390" i="4" s="1"/>
  <c r="B390" i="5"/>
  <c r="B415" i="4"/>
  <c r="A496" i="5"/>
  <c r="A496" i="6" s="1"/>
  <c r="A521" i="4"/>
  <c r="C366" i="5"/>
  <c r="D366" i="5" s="1"/>
  <c r="B366" i="6"/>
  <c r="C323" i="6"/>
  <c r="C529" i="5"/>
  <c r="D529" i="5" s="1"/>
  <c r="B529" i="6"/>
  <c r="C371" i="4"/>
  <c r="D371" i="4" s="1"/>
  <c r="B371" i="5"/>
  <c r="B396" i="4"/>
  <c r="A456" i="5"/>
  <c r="A456" i="6" s="1"/>
  <c r="A481" i="4"/>
  <c r="D319" i="6"/>
  <c r="D307" i="6"/>
  <c r="C338" i="6"/>
  <c r="C343" i="6"/>
  <c r="C375" i="4"/>
  <c r="D375" i="4" s="1"/>
  <c r="B375" i="5"/>
  <c r="B400" i="4"/>
  <c r="C318" i="6"/>
  <c r="D292" i="6"/>
  <c r="C399" i="4"/>
  <c r="D399" i="4" s="1"/>
  <c r="B399" i="5"/>
  <c r="B424" i="4"/>
  <c r="G81" i="8"/>
  <c r="H81" i="8" s="1"/>
  <c r="A81" i="15"/>
  <c r="A81" i="7"/>
  <c r="A86" i="8"/>
  <c r="D291" i="6"/>
  <c r="C333" i="6"/>
  <c r="C330" i="6"/>
  <c r="C301" i="6"/>
  <c r="C308" i="6"/>
  <c r="C310" i="6"/>
  <c r="C304" i="6"/>
  <c r="C393" i="4"/>
  <c r="D393" i="4" s="1"/>
  <c r="B393" i="5"/>
  <c r="B418" i="4"/>
  <c r="D283" i="6"/>
  <c r="A427" i="5"/>
  <c r="A427" i="6" s="1"/>
  <c r="A452" i="4"/>
  <c r="C507" i="4"/>
  <c r="D507" i="4" s="1"/>
  <c r="B507" i="5"/>
  <c r="B532" i="4"/>
  <c r="A484" i="5"/>
  <c r="A484" i="6" s="1"/>
  <c r="A509" i="4"/>
  <c r="D277" i="6"/>
  <c r="D280" i="6"/>
  <c r="D273" i="6"/>
  <c r="B580" i="5"/>
  <c r="C580" i="4"/>
  <c r="D580" i="4" s="1"/>
  <c r="B605" i="4"/>
  <c r="C395" i="4"/>
  <c r="D395" i="4" s="1"/>
  <c r="B395" i="5"/>
  <c r="B420" i="4"/>
  <c r="C351" i="4"/>
  <c r="D351" i="4" s="1"/>
  <c r="B351" i="5"/>
  <c r="B376" i="4"/>
  <c r="C362" i="5"/>
  <c r="D362" i="5" s="1"/>
  <c r="B362" i="6"/>
  <c r="C298" i="6"/>
  <c r="C389" i="4"/>
  <c r="D389" i="4" s="1"/>
  <c r="B389" i="5"/>
  <c r="B414" i="4"/>
  <c r="C533" i="5"/>
  <c r="D533" i="5" s="1"/>
  <c r="B533" i="6"/>
  <c r="C299" i="6"/>
  <c r="D296" i="6"/>
  <c r="B391" i="5"/>
  <c r="C391" i="4"/>
  <c r="D391" i="4" s="1"/>
  <c r="B416" i="4"/>
  <c r="C377" i="5"/>
  <c r="D377" i="5" s="1"/>
  <c r="B377" i="6"/>
  <c r="C365" i="5"/>
  <c r="D365" i="5" s="1"/>
  <c r="B365" i="6"/>
  <c r="A500" i="5"/>
  <c r="A500" i="6" s="1"/>
  <c r="A525" i="4"/>
  <c r="D293" i="6"/>
  <c r="A476" i="5"/>
  <c r="A476" i="6" s="1"/>
  <c r="A501" i="4"/>
  <c r="A420" i="5"/>
  <c r="A420" i="6" s="1"/>
  <c r="A445" i="4"/>
  <c r="D287" i="6"/>
  <c r="D294" i="6"/>
  <c r="A468" i="5"/>
  <c r="A468" i="6" s="1"/>
  <c r="A493" i="4"/>
  <c r="A416" i="5"/>
  <c r="A416" i="6" s="1"/>
  <c r="A441" i="4"/>
  <c r="C346" i="5"/>
  <c r="D346" i="5" s="1"/>
  <c r="B346" i="6"/>
  <c r="C346" i="6" s="1"/>
  <c r="C402" i="4"/>
  <c r="D402" i="4" s="1"/>
  <c r="B402" i="5"/>
  <c r="B427" i="4"/>
  <c r="C578" i="4"/>
  <c r="D578" i="4" s="1"/>
  <c r="B578" i="5"/>
  <c r="B603" i="4"/>
  <c r="A436" i="5"/>
  <c r="A436" i="6" s="1"/>
  <c r="A461" i="4"/>
  <c r="D281" i="6"/>
  <c r="C350" i="5"/>
  <c r="D350" i="5" s="1"/>
  <c r="B350" i="6"/>
  <c r="A488" i="5"/>
  <c r="A488" i="6" s="1"/>
  <c r="A513" i="4"/>
  <c r="C340" i="6"/>
  <c r="D278" i="6"/>
  <c r="C374" i="5"/>
  <c r="D374" i="5" s="1"/>
  <c r="B374" i="6"/>
  <c r="C331" i="6"/>
  <c r="C363" i="5"/>
  <c r="D363" i="5" s="1"/>
  <c r="B363" i="6"/>
  <c r="C329" i="6"/>
  <c r="C327" i="6"/>
  <c r="D279" i="6"/>
  <c r="C312" i="6"/>
  <c r="B398" i="5"/>
  <c r="C398" i="4"/>
  <c r="D398" i="4" s="1"/>
  <c r="B423" i="4"/>
  <c r="C482" i="5"/>
  <c r="D482" i="5" s="1"/>
  <c r="B482" i="6"/>
  <c r="B584" i="5"/>
  <c r="C584" i="4"/>
  <c r="D584" i="4" s="1"/>
  <c r="B609" i="4"/>
  <c r="C555" i="5"/>
  <c r="D555" i="5" s="1"/>
  <c r="B555" i="6"/>
  <c r="C370" i="5"/>
  <c r="D370" i="5" s="1"/>
  <c r="B370" i="6"/>
  <c r="A428" i="5"/>
  <c r="A428" i="6" s="1"/>
  <c r="A453" i="4"/>
  <c r="C511" i="4"/>
  <c r="D511" i="4" s="1"/>
  <c r="B511" i="5"/>
  <c r="B536" i="4"/>
  <c r="C341" i="6"/>
  <c r="C300" i="6"/>
  <c r="C335" i="6"/>
  <c r="C584" i="5" l="1"/>
  <c r="D584" i="5" s="1"/>
  <c r="B584" i="6"/>
  <c r="C398" i="5"/>
  <c r="D398" i="5" s="1"/>
  <c r="B398" i="6"/>
  <c r="D329" i="6"/>
  <c r="A513" i="5"/>
  <c r="A513" i="6" s="1"/>
  <c r="A538" i="4"/>
  <c r="C427" i="4"/>
  <c r="D427" i="4" s="1"/>
  <c r="B427" i="5"/>
  <c r="B452" i="4"/>
  <c r="C391" i="5"/>
  <c r="D391" i="5" s="1"/>
  <c r="B391" i="6"/>
  <c r="C376" i="4"/>
  <c r="D376" i="4" s="1"/>
  <c r="B376" i="5"/>
  <c r="B401" i="4"/>
  <c r="B420" i="5"/>
  <c r="C420" i="4"/>
  <c r="D420" i="4" s="1"/>
  <c r="B445" i="4"/>
  <c r="C532" i="4"/>
  <c r="D532" i="4" s="1"/>
  <c r="B532" i="5"/>
  <c r="B557" i="4"/>
  <c r="C418" i="4"/>
  <c r="D418" i="4" s="1"/>
  <c r="B418" i="5"/>
  <c r="B443" i="4"/>
  <c r="D310" i="6"/>
  <c r="D333" i="6"/>
  <c r="G86" i="8"/>
  <c r="H86" i="8" s="1"/>
  <c r="A86" i="15"/>
  <c r="A86" i="7"/>
  <c r="A91" i="8"/>
  <c r="B424" i="5"/>
  <c r="C424" i="4"/>
  <c r="D424" i="4" s="1"/>
  <c r="B449" i="4"/>
  <c r="C400" i="4"/>
  <c r="D400" i="4" s="1"/>
  <c r="B400" i="5"/>
  <c r="B425" i="4"/>
  <c r="D338" i="6"/>
  <c r="C371" i="5"/>
  <c r="D371" i="5" s="1"/>
  <c r="B371" i="6"/>
  <c r="D323" i="6"/>
  <c r="A521" i="5"/>
  <c r="A521" i="6" s="1"/>
  <c r="A546" i="4"/>
  <c r="B415" i="5"/>
  <c r="C415" i="4"/>
  <c r="D415" i="4" s="1"/>
  <c r="B440" i="4"/>
  <c r="A517" i="5"/>
  <c r="A517" i="6" s="1"/>
  <c r="A542" i="4"/>
  <c r="A505" i="5"/>
  <c r="A505" i="6" s="1"/>
  <c r="A530" i="4"/>
  <c r="C579" i="4"/>
  <c r="D579" i="4" s="1"/>
  <c r="B579" i="5"/>
  <c r="B604" i="4"/>
  <c r="C325" i="6"/>
  <c r="C419" i="4"/>
  <c r="D419" i="4" s="1"/>
  <c r="B419" i="5"/>
  <c r="B444" i="4"/>
  <c r="C347" i="5"/>
  <c r="D347" i="5" s="1"/>
  <c r="B347" i="6"/>
  <c r="C360" i="6" s="1"/>
  <c r="C560" i="5"/>
  <c r="D560" i="5" s="1"/>
  <c r="B560" i="6"/>
  <c r="D309" i="6"/>
  <c r="D305" i="6"/>
  <c r="A449" i="5"/>
  <c r="A449" i="6" s="1"/>
  <c r="A474" i="4"/>
  <c r="C339" i="6"/>
  <c r="C345" i="6"/>
  <c r="C324" i="6"/>
  <c r="D341" i="6"/>
  <c r="D335" i="6"/>
  <c r="C536" i="4"/>
  <c r="D536" i="4" s="1"/>
  <c r="B536" i="5"/>
  <c r="B561" i="4"/>
  <c r="A453" i="5"/>
  <c r="A453" i="6" s="1"/>
  <c r="A478" i="4"/>
  <c r="C609" i="4"/>
  <c r="D609" i="4" s="1"/>
  <c r="B609" i="5"/>
  <c r="B634" i="4"/>
  <c r="D312" i="6"/>
  <c r="C361" i="6"/>
  <c r="B603" i="5"/>
  <c r="C603" i="4"/>
  <c r="D603" i="4" s="1"/>
  <c r="B628" i="4"/>
  <c r="C402" i="5"/>
  <c r="D402" i="5" s="1"/>
  <c r="B402" i="6"/>
  <c r="A441" i="5"/>
  <c r="A441" i="6" s="1"/>
  <c r="A466" i="4"/>
  <c r="A445" i="5"/>
  <c r="A445" i="6" s="1"/>
  <c r="A470" i="4"/>
  <c r="D298" i="6"/>
  <c r="C351" i="5"/>
  <c r="D351" i="5" s="1"/>
  <c r="B351" i="6"/>
  <c r="C395" i="5"/>
  <c r="D395" i="5" s="1"/>
  <c r="B395" i="6"/>
  <c r="C580" i="5"/>
  <c r="D580" i="5" s="1"/>
  <c r="B580" i="6"/>
  <c r="A509" i="5"/>
  <c r="A509" i="6" s="1"/>
  <c r="A534" i="4"/>
  <c r="C507" i="5"/>
  <c r="D507" i="5" s="1"/>
  <c r="B507" i="6"/>
  <c r="C393" i="5"/>
  <c r="D393" i="5" s="1"/>
  <c r="B393" i="6"/>
  <c r="D308" i="6"/>
  <c r="C399" i="5"/>
  <c r="D399" i="5" s="1"/>
  <c r="B399" i="6"/>
  <c r="C375" i="5"/>
  <c r="D375" i="5" s="1"/>
  <c r="B375" i="6"/>
  <c r="A481" i="5"/>
  <c r="A481" i="6" s="1"/>
  <c r="A506" i="4"/>
  <c r="C390" i="5"/>
  <c r="D390" i="5" s="1"/>
  <c r="B390" i="6"/>
  <c r="C583" i="4"/>
  <c r="D583" i="4" s="1"/>
  <c r="B583" i="5"/>
  <c r="B608" i="4"/>
  <c r="C412" i="4"/>
  <c r="D412" i="4" s="1"/>
  <c r="B412" i="5"/>
  <c r="B437" i="4"/>
  <c r="A473" i="5"/>
  <c r="A473" i="6" s="1"/>
  <c r="A498" i="4"/>
  <c r="D328" i="6"/>
  <c r="D317" i="6"/>
  <c r="D311" i="6"/>
  <c r="C554" i="5"/>
  <c r="D554" i="5" s="1"/>
  <c r="B554" i="6"/>
  <c r="G84" i="8"/>
  <c r="H84" i="8" s="1"/>
  <c r="A84" i="15"/>
  <c r="A84" i="7"/>
  <c r="A89" i="8"/>
  <c r="G90" i="8"/>
  <c r="H90" i="8" s="1"/>
  <c r="A90" i="15"/>
  <c r="A90" i="7"/>
  <c r="A95" i="8"/>
  <c r="A469" i="5"/>
  <c r="A469" i="6" s="1"/>
  <c r="A494" i="4"/>
  <c r="C394" i="5"/>
  <c r="D394" i="5" s="1"/>
  <c r="B394" i="6"/>
  <c r="C364" i="6"/>
  <c r="C326" i="6"/>
  <c r="C332" i="6"/>
  <c r="C392" i="4"/>
  <c r="D392" i="4" s="1"/>
  <c r="B392" i="5"/>
  <c r="B417" i="4"/>
  <c r="C334" i="6"/>
  <c r="D300" i="6"/>
  <c r="C511" i="5"/>
  <c r="D511" i="5" s="1"/>
  <c r="B511" i="6"/>
  <c r="C423" i="4"/>
  <c r="D423" i="4" s="1"/>
  <c r="B423" i="5"/>
  <c r="B448" i="4"/>
  <c r="C348" i="6"/>
  <c r="C578" i="5"/>
  <c r="D578" i="5" s="1"/>
  <c r="B578" i="6"/>
  <c r="C359" i="6"/>
  <c r="C355" i="6"/>
  <c r="C365" i="6"/>
  <c r="C416" i="4"/>
  <c r="D416" i="4" s="1"/>
  <c r="B416" i="5"/>
  <c r="B441" i="4"/>
  <c r="C414" i="4"/>
  <c r="D414" i="4" s="1"/>
  <c r="B414" i="5"/>
  <c r="B439" i="4"/>
  <c r="C362" i="6"/>
  <c r="D301" i="6"/>
  <c r="C366" i="6"/>
  <c r="A457" i="5"/>
  <c r="A457" i="6" s="1"/>
  <c r="A482" i="4"/>
  <c r="C581" i="4"/>
  <c r="D581" i="4" s="1"/>
  <c r="B581" i="5"/>
  <c r="B606" i="4"/>
  <c r="C558" i="5"/>
  <c r="D558" i="5" s="1"/>
  <c r="B558" i="6"/>
  <c r="C387" i="5"/>
  <c r="D387" i="5" s="1"/>
  <c r="B387" i="6"/>
  <c r="A497" i="5"/>
  <c r="A497" i="6" s="1"/>
  <c r="A522" i="4"/>
  <c r="C342" i="6"/>
  <c r="C413" i="4"/>
  <c r="D413" i="4" s="1"/>
  <c r="B413" i="5"/>
  <c r="B438" i="4"/>
  <c r="A429" i="5"/>
  <c r="A429" i="6" s="1"/>
  <c r="A454" i="4"/>
  <c r="A433" i="5"/>
  <c r="A433" i="6" s="1"/>
  <c r="A458" i="4"/>
  <c r="G92" i="8"/>
  <c r="H92" i="8" s="1"/>
  <c r="A92" i="15"/>
  <c r="A92" i="7"/>
  <c r="A97" i="8"/>
  <c r="A485" i="5"/>
  <c r="A485" i="6" s="1"/>
  <c r="A510" i="4"/>
  <c r="C336" i="6"/>
  <c r="G88" i="8"/>
  <c r="H88" i="8" s="1"/>
  <c r="A88" i="15"/>
  <c r="A88" i="7"/>
  <c r="A93" i="8"/>
  <c r="A465" i="5"/>
  <c r="A465" i="6" s="1"/>
  <c r="A490" i="4"/>
  <c r="D306" i="6"/>
  <c r="D297" i="6"/>
  <c r="C367" i="5"/>
  <c r="D367" i="5" s="1"/>
  <c r="B367" i="6"/>
  <c r="C367" i="6" s="1"/>
  <c r="A437" i="5"/>
  <c r="A437" i="6" s="1"/>
  <c r="A462" i="4"/>
  <c r="C370" i="6"/>
  <c r="D327" i="6"/>
  <c r="D331" i="6"/>
  <c r="D340" i="6"/>
  <c r="C350" i="6"/>
  <c r="A461" i="5"/>
  <c r="A461" i="6" s="1"/>
  <c r="A486" i="4"/>
  <c r="D346" i="6"/>
  <c r="A493" i="5"/>
  <c r="A493" i="6" s="1"/>
  <c r="A518" i="4"/>
  <c r="A501" i="5"/>
  <c r="A501" i="6" s="1"/>
  <c r="A526" i="4"/>
  <c r="A525" i="5"/>
  <c r="A525" i="6" s="1"/>
  <c r="A550" i="4"/>
  <c r="C354" i="6"/>
  <c r="C352" i="6"/>
  <c r="D299" i="6"/>
  <c r="C389" i="5"/>
  <c r="D389" i="5" s="1"/>
  <c r="B389" i="6"/>
  <c r="C605" i="4"/>
  <c r="D605" i="4" s="1"/>
  <c r="B605" i="5"/>
  <c r="B630" i="4"/>
  <c r="A452" i="5"/>
  <c r="A452" i="6" s="1"/>
  <c r="A477" i="4"/>
  <c r="D304" i="6"/>
  <c r="D330" i="6"/>
  <c r="D318" i="6"/>
  <c r="D343" i="6"/>
  <c r="C396" i="4"/>
  <c r="D396" i="4" s="1"/>
  <c r="B396" i="5"/>
  <c r="B421" i="4"/>
  <c r="D344" i="6"/>
  <c r="C556" i="5"/>
  <c r="D556" i="5" s="1"/>
  <c r="B556" i="6"/>
  <c r="C322" i="6"/>
  <c r="C388" i="5"/>
  <c r="D388" i="5" s="1"/>
  <c r="B388" i="6"/>
  <c r="C349" i="6"/>
  <c r="C372" i="4"/>
  <c r="D372" i="4" s="1"/>
  <c r="B372" i="5"/>
  <c r="B397" i="4"/>
  <c r="A489" i="5"/>
  <c r="A489" i="6" s="1"/>
  <c r="A514" i="4"/>
  <c r="C585" i="4"/>
  <c r="D585" i="4" s="1"/>
  <c r="B585" i="5"/>
  <c r="B610" i="4"/>
  <c r="D303" i="6"/>
  <c r="D302" i="6"/>
  <c r="C337" i="6"/>
  <c r="C356" i="6"/>
  <c r="D360" i="6" l="1"/>
  <c r="D322" i="6"/>
  <c r="D352" i="6"/>
  <c r="A526" i="5"/>
  <c r="A526" i="6" s="1"/>
  <c r="A551" i="4"/>
  <c r="D350" i="6"/>
  <c r="A462" i="5"/>
  <c r="A462" i="6" s="1"/>
  <c r="A487" i="4"/>
  <c r="A490" i="5"/>
  <c r="A490" i="6" s="1"/>
  <c r="A515" i="4"/>
  <c r="D342" i="6"/>
  <c r="C581" i="5"/>
  <c r="D581" i="5" s="1"/>
  <c r="B581" i="6"/>
  <c r="D362" i="6"/>
  <c r="C441" i="4"/>
  <c r="D441" i="4" s="1"/>
  <c r="B441" i="5"/>
  <c r="B466" i="4"/>
  <c r="D355" i="6"/>
  <c r="D348" i="6"/>
  <c r="C417" i="4"/>
  <c r="D417" i="4" s="1"/>
  <c r="B417" i="5"/>
  <c r="B442" i="4"/>
  <c r="D332" i="6"/>
  <c r="G95" i="8"/>
  <c r="H95" i="8" s="1"/>
  <c r="A95" i="15"/>
  <c r="A95" i="7"/>
  <c r="A100" i="8"/>
  <c r="G89" i="8"/>
  <c r="H89" i="8" s="1"/>
  <c r="A89" i="15"/>
  <c r="A89" i="7"/>
  <c r="A94" i="8"/>
  <c r="C437" i="4"/>
  <c r="D437" i="4" s="1"/>
  <c r="B437" i="5"/>
  <c r="B462" i="4"/>
  <c r="C583" i="5"/>
  <c r="D583" i="5" s="1"/>
  <c r="B583" i="6"/>
  <c r="A506" i="5"/>
  <c r="A506" i="6" s="1"/>
  <c r="A531" i="4"/>
  <c r="C561" i="4"/>
  <c r="D561" i="4" s="1"/>
  <c r="B561" i="5"/>
  <c r="B586" i="4"/>
  <c r="D345" i="6"/>
  <c r="B444" i="5"/>
  <c r="C444" i="4"/>
  <c r="D444" i="4" s="1"/>
  <c r="B469" i="4"/>
  <c r="D325" i="6"/>
  <c r="G91" i="8"/>
  <c r="H91" i="8" s="1"/>
  <c r="A91" i="15"/>
  <c r="A91" i="7"/>
  <c r="A96" i="8"/>
  <c r="B443" i="5"/>
  <c r="C443" i="4"/>
  <c r="D443" i="4" s="1"/>
  <c r="B468" i="4"/>
  <c r="C532" i="5"/>
  <c r="D532" i="5" s="1"/>
  <c r="B532" i="6"/>
  <c r="C427" i="5"/>
  <c r="D427" i="5" s="1"/>
  <c r="B427" i="6"/>
  <c r="C372" i="5"/>
  <c r="D372" i="5" s="1"/>
  <c r="B372" i="6"/>
  <c r="C389" i="6" s="1"/>
  <c r="C630" i="4"/>
  <c r="D630" i="4" s="1"/>
  <c r="B630" i="5"/>
  <c r="B655" i="4"/>
  <c r="D354" i="6"/>
  <c r="A454" i="5"/>
  <c r="A454" i="6" s="1"/>
  <c r="A479" i="4"/>
  <c r="B438" i="5"/>
  <c r="C438" i="4"/>
  <c r="D438" i="4" s="1"/>
  <c r="B463" i="4"/>
  <c r="A522" i="5"/>
  <c r="A522" i="6" s="1"/>
  <c r="A547" i="4"/>
  <c r="D366" i="6"/>
  <c r="C439" i="4"/>
  <c r="D439" i="4" s="1"/>
  <c r="B439" i="5"/>
  <c r="B464" i="4"/>
  <c r="C416" i="5"/>
  <c r="D416" i="5" s="1"/>
  <c r="B416" i="6"/>
  <c r="D359" i="6"/>
  <c r="C374" i="6"/>
  <c r="C392" i="5"/>
  <c r="D392" i="5" s="1"/>
  <c r="B392" i="6"/>
  <c r="D326" i="6"/>
  <c r="A494" i="5"/>
  <c r="A494" i="6" s="1"/>
  <c r="A519" i="4"/>
  <c r="A498" i="5"/>
  <c r="A498" i="6" s="1"/>
  <c r="A523" i="4"/>
  <c r="C412" i="5"/>
  <c r="D412" i="5" s="1"/>
  <c r="B412" i="6"/>
  <c r="A534" i="5"/>
  <c r="A534" i="6" s="1"/>
  <c r="A559" i="4"/>
  <c r="A470" i="5"/>
  <c r="A470" i="6" s="1"/>
  <c r="A495" i="4"/>
  <c r="C603" i="5"/>
  <c r="D603" i="5" s="1"/>
  <c r="B603" i="6"/>
  <c r="C536" i="5"/>
  <c r="D536" i="5" s="1"/>
  <c r="B536" i="6"/>
  <c r="C419" i="5"/>
  <c r="D419" i="5" s="1"/>
  <c r="B419" i="6"/>
  <c r="B604" i="5"/>
  <c r="C604" i="4"/>
  <c r="D604" i="4" s="1"/>
  <c r="B629" i="4"/>
  <c r="A542" i="5"/>
  <c r="A542" i="6" s="1"/>
  <c r="A567" i="4"/>
  <c r="C415" i="5"/>
  <c r="D415" i="5" s="1"/>
  <c r="B415" i="6"/>
  <c r="C449" i="4"/>
  <c r="D449" i="4" s="1"/>
  <c r="B449" i="5"/>
  <c r="B474" i="4"/>
  <c r="C418" i="5"/>
  <c r="D418" i="5" s="1"/>
  <c r="B418" i="6"/>
  <c r="C420" i="5"/>
  <c r="D420" i="5" s="1"/>
  <c r="B420" i="6"/>
  <c r="D337" i="6"/>
  <c r="A514" i="5"/>
  <c r="A514" i="6" s="1"/>
  <c r="A539" i="4"/>
  <c r="C421" i="4"/>
  <c r="D421" i="4" s="1"/>
  <c r="B421" i="5"/>
  <c r="B446" i="4"/>
  <c r="A477" i="5"/>
  <c r="A477" i="6" s="1"/>
  <c r="A502" i="4"/>
  <c r="C605" i="5"/>
  <c r="D605" i="5" s="1"/>
  <c r="B605" i="6"/>
  <c r="A550" i="5"/>
  <c r="A550" i="6" s="1"/>
  <c r="A575" i="4"/>
  <c r="A518" i="5"/>
  <c r="A518" i="6" s="1"/>
  <c r="A543" i="4"/>
  <c r="A486" i="5"/>
  <c r="A486" i="6" s="1"/>
  <c r="A511" i="4"/>
  <c r="D367" i="6"/>
  <c r="G93" i="8"/>
  <c r="H93" i="8" s="1"/>
  <c r="A93" i="15"/>
  <c r="A93" i="7"/>
  <c r="A98" i="8"/>
  <c r="D336" i="6"/>
  <c r="G97" i="8"/>
  <c r="H97" i="8" s="1"/>
  <c r="A97" i="15"/>
  <c r="A97" i="7"/>
  <c r="A102" i="8"/>
  <c r="C413" i="5"/>
  <c r="D413" i="5" s="1"/>
  <c r="B413" i="6"/>
  <c r="A482" i="5"/>
  <c r="A482" i="6" s="1"/>
  <c r="A507" i="4"/>
  <c r="C414" i="5"/>
  <c r="D414" i="5" s="1"/>
  <c r="B414" i="6"/>
  <c r="B448" i="5"/>
  <c r="C448" i="4"/>
  <c r="D448" i="4" s="1"/>
  <c r="B473" i="4"/>
  <c r="D334" i="6"/>
  <c r="D364" i="6"/>
  <c r="C375" i="6"/>
  <c r="D361" i="6"/>
  <c r="C634" i="4"/>
  <c r="D634" i="4" s="1"/>
  <c r="B634" i="5"/>
  <c r="B659" i="4"/>
  <c r="A478" i="5"/>
  <c r="A478" i="6" s="1"/>
  <c r="A503" i="4"/>
  <c r="D339" i="6"/>
  <c r="C347" i="6"/>
  <c r="C358" i="6"/>
  <c r="C579" i="5"/>
  <c r="D579" i="5" s="1"/>
  <c r="B579" i="6"/>
  <c r="A546" i="5"/>
  <c r="A546" i="6" s="1"/>
  <c r="A571" i="4"/>
  <c r="C371" i="6"/>
  <c r="C425" i="4"/>
  <c r="D425" i="4" s="1"/>
  <c r="B425" i="5"/>
  <c r="B450" i="4"/>
  <c r="C401" i="4"/>
  <c r="D401" i="4" s="1"/>
  <c r="B401" i="5"/>
  <c r="B426" i="4"/>
  <c r="A538" i="5"/>
  <c r="A538" i="6" s="1"/>
  <c r="A563" i="4"/>
  <c r="D356" i="6"/>
  <c r="C585" i="5"/>
  <c r="D585" i="5" s="1"/>
  <c r="B585" i="6"/>
  <c r="C397" i="4"/>
  <c r="D397" i="4" s="1"/>
  <c r="B397" i="5"/>
  <c r="B422" i="4"/>
  <c r="C610" i="4"/>
  <c r="D610" i="4" s="1"/>
  <c r="B610" i="5"/>
  <c r="B635" i="4"/>
  <c r="D349" i="6"/>
  <c r="C396" i="5"/>
  <c r="D396" i="5" s="1"/>
  <c r="B396" i="6"/>
  <c r="D370" i="6"/>
  <c r="A510" i="5"/>
  <c r="A510" i="6" s="1"/>
  <c r="A535" i="4"/>
  <c r="A458" i="5"/>
  <c r="A458" i="6" s="1"/>
  <c r="A483" i="4"/>
  <c r="B606" i="5"/>
  <c r="C606" i="4"/>
  <c r="D606" i="4" s="1"/>
  <c r="B631" i="4"/>
  <c r="D365" i="6"/>
  <c r="C423" i="5"/>
  <c r="D423" i="5" s="1"/>
  <c r="B423" i="6"/>
  <c r="C368" i="6"/>
  <c r="C608" i="4"/>
  <c r="D608" i="4" s="1"/>
  <c r="B608" i="5"/>
  <c r="B633" i="4"/>
  <c r="C351" i="6"/>
  <c r="C357" i="6"/>
  <c r="C353" i="6"/>
  <c r="A466" i="5"/>
  <c r="A466" i="6" s="1"/>
  <c r="A491" i="4"/>
  <c r="B628" i="5"/>
  <c r="C628" i="4"/>
  <c r="D628" i="4" s="1"/>
  <c r="B653" i="4"/>
  <c r="C363" i="6"/>
  <c r="C609" i="5"/>
  <c r="D609" i="5" s="1"/>
  <c r="B609" i="6"/>
  <c r="D324" i="6"/>
  <c r="A474" i="5"/>
  <c r="A474" i="6" s="1"/>
  <c r="A499" i="4"/>
  <c r="C369" i="6"/>
  <c r="A530" i="5"/>
  <c r="A530" i="6" s="1"/>
  <c r="A555" i="4"/>
  <c r="B440" i="5"/>
  <c r="C440" i="4"/>
  <c r="D440" i="4" s="1"/>
  <c r="B465" i="4"/>
  <c r="C400" i="5"/>
  <c r="D400" i="5" s="1"/>
  <c r="B400" i="6"/>
  <c r="C424" i="5"/>
  <c r="D424" i="5" s="1"/>
  <c r="B424" i="6"/>
  <c r="C557" i="4"/>
  <c r="D557" i="4" s="1"/>
  <c r="B557" i="5"/>
  <c r="B582" i="4"/>
  <c r="C445" i="4"/>
  <c r="D445" i="4" s="1"/>
  <c r="B445" i="5"/>
  <c r="B470" i="4"/>
  <c r="C376" i="5"/>
  <c r="D376" i="5" s="1"/>
  <c r="B376" i="6"/>
  <c r="C377" i="6"/>
  <c r="C452" i="4"/>
  <c r="D452" i="4" s="1"/>
  <c r="B452" i="5"/>
  <c r="B477" i="4"/>
  <c r="D389" i="6" l="1"/>
  <c r="C465" i="4"/>
  <c r="D465" i="4" s="1"/>
  <c r="B465" i="5"/>
  <c r="B490" i="4"/>
  <c r="A555" i="5"/>
  <c r="A555" i="6" s="1"/>
  <c r="A580" i="4"/>
  <c r="C628" i="5"/>
  <c r="D628" i="5" s="1"/>
  <c r="B628" i="6"/>
  <c r="C470" i="4"/>
  <c r="D470" i="4" s="1"/>
  <c r="B470" i="5"/>
  <c r="B495" i="4"/>
  <c r="C557" i="5"/>
  <c r="D557" i="5" s="1"/>
  <c r="B557" i="6"/>
  <c r="C440" i="5"/>
  <c r="D440" i="5" s="1"/>
  <c r="B440" i="6"/>
  <c r="D369" i="6"/>
  <c r="C653" i="4"/>
  <c r="D653" i="4" s="1"/>
  <c r="B653" i="5"/>
  <c r="B678" i="4"/>
  <c r="D368" i="6"/>
  <c r="C387" i="6"/>
  <c r="C610" i="5"/>
  <c r="D610" i="5" s="1"/>
  <c r="B610" i="6"/>
  <c r="C401" i="5"/>
  <c r="D401" i="5" s="1"/>
  <c r="B401" i="6"/>
  <c r="C382" i="6"/>
  <c r="C659" i="4"/>
  <c r="D659" i="4" s="1"/>
  <c r="B659" i="5"/>
  <c r="B684" i="4"/>
  <c r="A511" i="5"/>
  <c r="A511" i="6" s="1"/>
  <c r="A536" i="4"/>
  <c r="A575" i="5"/>
  <c r="A575" i="6" s="1"/>
  <c r="A600" i="4"/>
  <c r="A502" i="5"/>
  <c r="A502" i="6" s="1"/>
  <c r="A527" i="4"/>
  <c r="C380" i="6"/>
  <c r="A495" i="5"/>
  <c r="A495" i="6" s="1"/>
  <c r="A520" i="4"/>
  <c r="A519" i="5"/>
  <c r="A519" i="6" s="1"/>
  <c r="A544" i="4"/>
  <c r="C392" i="6"/>
  <c r="C464" i="4"/>
  <c r="D464" i="4" s="1"/>
  <c r="B464" i="5"/>
  <c r="B489" i="4"/>
  <c r="C463" i="4"/>
  <c r="D463" i="4" s="1"/>
  <c r="B463" i="5"/>
  <c r="B488" i="4"/>
  <c r="B655" i="5"/>
  <c r="C655" i="4"/>
  <c r="D655" i="4" s="1"/>
  <c r="B680" i="4"/>
  <c r="C378" i="6"/>
  <c r="C444" i="5"/>
  <c r="D444" i="5" s="1"/>
  <c r="B444" i="6"/>
  <c r="C561" i="5"/>
  <c r="D561" i="5" s="1"/>
  <c r="B561" i="6"/>
  <c r="C437" i="5"/>
  <c r="D437" i="5" s="1"/>
  <c r="B437" i="6"/>
  <c r="G94" i="8"/>
  <c r="H94" i="8" s="1"/>
  <c r="A94" i="15"/>
  <c r="A94" i="7"/>
  <c r="A99" i="8"/>
  <c r="G100" i="8"/>
  <c r="H100" i="8" s="1"/>
  <c r="A100" i="15"/>
  <c r="A100" i="7"/>
  <c r="A105" i="8"/>
  <c r="A515" i="5"/>
  <c r="A515" i="6" s="1"/>
  <c r="A540" i="4"/>
  <c r="A499" i="5"/>
  <c r="A499" i="6" s="1"/>
  <c r="A524" i="4"/>
  <c r="B631" i="5"/>
  <c r="C631" i="4"/>
  <c r="D631" i="4" s="1"/>
  <c r="B656" i="4"/>
  <c r="A483" i="5"/>
  <c r="A483" i="6" s="1"/>
  <c r="A508" i="4"/>
  <c r="C384" i="6"/>
  <c r="D371" i="6"/>
  <c r="C386" i="6"/>
  <c r="D358" i="6"/>
  <c r="C634" i="5"/>
  <c r="D634" i="5" s="1"/>
  <c r="B634" i="6"/>
  <c r="D375" i="6"/>
  <c r="C448" i="5"/>
  <c r="D448" i="5" s="1"/>
  <c r="B448" i="6"/>
  <c r="G98" i="8"/>
  <c r="H98" i="8" s="1"/>
  <c r="A98" i="15"/>
  <c r="A98" i="7"/>
  <c r="A103" i="8"/>
  <c r="C388" i="6"/>
  <c r="C379" i="6"/>
  <c r="C604" i="5"/>
  <c r="D604" i="5" s="1"/>
  <c r="B604" i="6"/>
  <c r="C393" i="6"/>
  <c r="A523" i="5"/>
  <c r="A523" i="6" s="1"/>
  <c r="A548" i="4"/>
  <c r="C439" i="5"/>
  <c r="D439" i="5" s="1"/>
  <c r="B439" i="6"/>
  <c r="C630" i="5"/>
  <c r="D630" i="5" s="1"/>
  <c r="B630" i="6"/>
  <c r="C443" i="5"/>
  <c r="D443" i="5" s="1"/>
  <c r="B443" i="6"/>
  <c r="B466" i="5"/>
  <c r="C466" i="4"/>
  <c r="D466" i="4" s="1"/>
  <c r="B491" i="4"/>
  <c r="C445" i="5"/>
  <c r="D445" i="5" s="1"/>
  <c r="B445" i="6"/>
  <c r="D357" i="6"/>
  <c r="C633" i="4"/>
  <c r="D633" i="4" s="1"/>
  <c r="B633" i="5"/>
  <c r="B658" i="4"/>
  <c r="D347" i="6"/>
  <c r="A503" i="5"/>
  <c r="A503" i="6" s="1"/>
  <c r="A528" i="4"/>
  <c r="C390" i="6"/>
  <c r="A507" i="5"/>
  <c r="A507" i="6" s="1"/>
  <c r="A532" i="4"/>
  <c r="A543" i="5"/>
  <c r="A543" i="6" s="1"/>
  <c r="A568" i="4"/>
  <c r="B446" i="5"/>
  <c r="C446" i="4"/>
  <c r="D446" i="4" s="1"/>
  <c r="B471" i="4"/>
  <c r="A539" i="5"/>
  <c r="A539" i="6" s="1"/>
  <c r="A564" i="4"/>
  <c r="C474" i="4"/>
  <c r="D474" i="4" s="1"/>
  <c r="B474" i="5"/>
  <c r="B499" i="4"/>
  <c r="C395" i="6"/>
  <c r="A547" i="5"/>
  <c r="A547" i="6" s="1"/>
  <c r="A572" i="4"/>
  <c r="C438" i="5"/>
  <c r="D438" i="5" s="1"/>
  <c r="B438" i="6"/>
  <c r="G96" i="8"/>
  <c r="H96" i="8" s="1"/>
  <c r="A96" i="15"/>
  <c r="A96" i="7"/>
  <c r="A101" i="8"/>
  <c r="C469" i="4"/>
  <c r="D469" i="4" s="1"/>
  <c r="B469" i="5"/>
  <c r="B494" i="4"/>
  <c r="C442" i="4"/>
  <c r="D442" i="4" s="1"/>
  <c r="B442" i="5"/>
  <c r="B467" i="4"/>
  <c r="C441" i="5"/>
  <c r="D441" i="5" s="1"/>
  <c r="B441" i="6"/>
  <c r="A487" i="5"/>
  <c r="A487" i="6" s="1"/>
  <c r="A512" i="4"/>
  <c r="A551" i="5"/>
  <c r="A551" i="6" s="1"/>
  <c r="A576" i="4"/>
  <c r="D377" i="6"/>
  <c r="D353" i="6"/>
  <c r="C477" i="4"/>
  <c r="D477" i="4" s="1"/>
  <c r="B477" i="5"/>
  <c r="B502" i="4"/>
  <c r="C376" i="6"/>
  <c r="C381" i="6"/>
  <c r="C385" i="6"/>
  <c r="C394" i="6"/>
  <c r="C422" i="4"/>
  <c r="D422" i="4" s="1"/>
  <c r="B422" i="5"/>
  <c r="B447" i="4"/>
  <c r="C391" i="6"/>
  <c r="C450" i="4"/>
  <c r="D450" i="4" s="1"/>
  <c r="B450" i="5"/>
  <c r="B475" i="4"/>
  <c r="A571" i="5"/>
  <c r="A571" i="6" s="1"/>
  <c r="A596" i="4"/>
  <c r="C452" i="5"/>
  <c r="D452" i="5" s="1"/>
  <c r="B452" i="6"/>
  <c r="C582" i="4"/>
  <c r="D582" i="4" s="1"/>
  <c r="B582" i="5"/>
  <c r="B607" i="4"/>
  <c r="D363" i="6"/>
  <c r="A491" i="5"/>
  <c r="A491" i="6" s="1"/>
  <c r="A516" i="4"/>
  <c r="D351" i="6"/>
  <c r="C608" i="5"/>
  <c r="D608" i="5" s="1"/>
  <c r="B608" i="6"/>
  <c r="C606" i="5"/>
  <c r="D606" i="5" s="1"/>
  <c r="B606" i="6"/>
  <c r="A535" i="5"/>
  <c r="A535" i="6" s="1"/>
  <c r="A560" i="4"/>
  <c r="C396" i="6"/>
  <c r="C635" i="4"/>
  <c r="D635" i="4" s="1"/>
  <c r="B635" i="5"/>
  <c r="B660" i="4"/>
  <c r="C397" i="5"/>
  <c r="D397" i="5" s="1"/>
  <c r="B397" i="6"/>
  <c r="A563" i="5"/>
  <c r="A563" i="6" s="1"/>
  <c r="A588" i="4"/>
  <c r="C426" i="4"/>
  <c r="D426" i="4" s="1"/>
  <c r="B426" i="5"/>
  <c r="B451" i="4"/>
  <c r="C425" i="5"/>
  <c r="D425" i="5" s="1"/>
  <c r="B425" i="6"/>
  <c r="C473" i="4"/>
  <c r="D473" i="4" s="1"/>
  <c r="B473" i="5"/>
  <c r="B498" i="4"/>
  <c r="C414" i="6"/>
  <c r="G102" i="8"/>
  <c r="H102" i="8" s="1"/>
  <c r="A102" i="15"/>
  <c r="A102" i="7"/>
  <c r="A107" i="8"/>
  <c r="C421" i="5"/>
  <c r="D421" i="5" s="1"/>
  <c r="B421" i="6"/>
  <c r="C449" i="5"/>
  <c r="D449" i="5" s="1"/>
  <c r="B449" i="6"/>
  <c r="A567" i="5"/>
  <c r="A567" i="6" s="1"/>
  <c r="A592" i="4"/>
  <c r="C629" i="4"/>
  <c r="D629" i="4" s="1"/>
  <c r="B629" i="5"/>
  <c r="B654" i="4"/>
  <c r="C408" i="6"/>
  <c r="C402" i="6"/>
  <c r="A559" i="5"/>
  <c r="A559" i="6" s="1"/>
  <c r="A584" i="4"/>
  <c r="C412" i="6"/>
  <c r="D374" i="6"/>
  <c r="A479" i="5"/>
  <c r="A479" i="6" s="1"/>
  <c r="A504" i="4"/>
  <c r="C372" i="6"/>
  <c r="C383" i="6"/>
  <c r="C373" i="6"/>
  <c r="C468" i="4"/>
  <c r="D468" i="4" s="1"/>
  <c r="B468" i="5"/>
  <c r="B493" i="4"/>
  <c r="C586" i="4"/>
  <c r="D586" i="4" s="1"/>
  <c r="B586" i="5"/>
  <c r="B611" i="4"/>
  <c r="A531" i="5"/>
  <c r="A531" i="6" s="1"/>
  <c r="A556" i="4"/>
  <c r="C462" i="4"/>
  <c r="D462" i="4" s="1"/>
  <c r="B462" i="5"/>
  <c r="B487" i="4"/>
  <c r="C417" i="5"/>
  <c r="D417" i="5" s="1"/>
  <c r="B417" i="6"/>
  <c r="C417" i="6" s="1"/>
  <c r="D372" i="6" l="1"/>
  <c r="D402" i="6"/>
  <c r="G107" i="8"/>
  <c r="H107" i="8" s="1"/>
  <c r="A107" i="15"/>
  <c r="A107" i="7"/>
  <c r="A112" i="8"/>
  <c r="D414" i="6"/>
  <c r="C426" i="5"/>
  <c r="D426" i="5" s="1"/>
  <c r="B426" i="6"/>
  <c r="C397" i="6"/>
  <c r="A596" i="5"/>
  <c r="A596" i="6" s="1"/>
  <c r="A621" i="4"/>
  <c r="D376" i="6"/>
  <c r="A576" i="5"/>
  <c r="A576" i="6" s="1"/>
  <c r="A601" i="4"/>
  <c r="C442" i="5"/>
  <c r="D442" i="5" s="1"/>
  <c r="B442" i="6"/>
  <c r="C469" i="5"/>
  <c r="D469" i="5" s="1"/>
  <c r="B469" i="6"/>
  <c r="A572" i="5"/>
  <c r="A572" i="6" s="1"/>
  <c r="A597" i="4"/>
  <c r="D395" i="6"/>
  <c r="C474" i="5"/>
  <c r="D474" i="5" s="1"/>
  <c r="B474" i="6"/>
  <c r="A564" i="5"/>
  <c r="A564" i="6" s="1"/>
  <c r="A589" i="4"/>
  <c r="C446" i="5"/>
  <c r="D446" i="5" s="1"/>
  <c r="B446" i="6"/>
  <c r="B658" i="5"/>
  <c r="C658" i="4"/>
  <c r="D658" i="4" s="1"/>
  <c r="B683" i="4"/>
  <c r="C415" i="6"/>
  <c r="D384" i="6"/>
  <c r="C656" i="4"/>
  <c r="D656" i="4" s="1"/>
  <c r="B656" i="5"/>
  <c r="B681" i="4"/>
  <c r="A524" i="5"/>
  <c r="A524" i="6" s="1"/>
  <c r="A549" i="4"/>
  <c r="D378" i="6"/>
  <c r="C488" i="4"/>
  <c r="D488" i="4" s="1"/>
  <c r="B488" i="5"/>
  <c r="B513" i="4"/>
  <c r="C464" i="5"/>
  <c r="D464" i="5" s="1"/>
  <c r="B464" i="6"/>
  <c r="C406" i="6"/>
  <c r="D380" i="6"/>
  <c r="A600" i="5"/>
  <c r="A600" i="6" s="1"/>
  <c r="A625" i="4"/>
  <c r="C413" i="6"/>
  <c r="D382" i="6"/>
  <c r="C653" i="5"/>
  <c r="D653" i="5" s="1"/>
  <c r="B653" i="6"/>
  <c r="C490" i="4"/>
  <c r="D490" i="4" s="1"/>
  <c r="B490" i="5"/>
  <c r="B515" i="4"/>
  <c r="D373" i="6"/>
  <c r="C487" i="4"/>
  <c r="D487" i="4" s="1"/>
  <c r="B487" i="5"/>
  <c r="B512" i="4"/>
  <c r="C493" i="4"/>
  <c r="D493" i="4" s="1"/>
  <c r="B493" i="5"/>
  <c r="B518" i="4"/>
  <c r="D412" i="6"/>
  <c r="D396" i="6"/>
  <c r="D391" i="6"/>
  <c r="D394" i="6"/>
  <c r="C502" i="4"/>
  <c r="D502" i="4" s="1"/>
  <c r="B502" i="5"/>
  <c r="B527" i="4"/>
  <c r="C405" i="6"/>
  <c r="C419" i="6"/>
  <c r="D390" i="6"/>
  <c r="C633" i="5"/>
  <c r="D633" i="5" s="1"/>
  <c r="B633" i="6"/>
  <c r="C491" i="4"/>
  <c r="D491" i="4" s="1"/>
  <c r="B491" i="5"/>
  <c r="B516" i="4"/>
  <c r="D393" i="6"/>
  <c r="D386" i="6"/>
  <c r="B680" i="5"/>
  <c r="C680" i="4"/>
  <c r="D680" i="4" s="1"/>
  <c r="C463" i="5"/>
  <c r="D463" i="5" s="1"/>
  <c r="B463" i="6"/>
  <c r="A520" i="5"/>
  <c r="A520" i="6" s="1"/>
  <c r="A545" i="4"/>
  <c r="B684" i="5"/>
  <c r="C684" i="4"/>
  <c r="D684" i="4" s="1"/>
  <c r="B495" i="5"/>
  <c r="C495" i="4"/>
  <c r="D495" i="4" s="1"/>
  <c r="B520" i="4"/>
  <c r="C465" i="5"/>
  <c r="D465" i="5" s="1"/>
  <c r="B465" i="6"/>
  <c r="A504" i="5"/>
  <c r="A504" i="6" s="1"/>
  <c r="A529" i="4"/>
  <c r="B498" i="5"/>
  <c r="C498" i="4"/>
  <c r="D498" i="4" s="1"/>
  <c r="B523" i="4"/>
  <c r="C421" i="6"/>
  <c r="C473" i="5"/>
  <c r="D473" i="5" s="1"/>
  <c r="B473" i="6"/>
  <c r="A588" i="5"/>
  <c r="A588" i="6" s="1"/>
  <c r="A613" i="4"/>
  <c r="B660" i="5"/>
  <c r="C660" i="4"/>
  <c r="D660" i="4" s="1"/>
  <c r="B685" i="4"/>
  <c r="A560" i="5"/>
  <c r="A560" i="6" s="1"/>
  <c r="A585" i="4"/>
  <c r="D385" i="6"/>
  <c r="C477" i="5"/>
  <c r="D477" i="5" s="1"/>
  <c r="B477" i="6"/>
  <c r="A512" i="5"/>
  <c r="A512" i="6" s="1"/>
  <c r="A537" i="4"/>
  <c r="G101" i="8"/>
  <c r="H101" i="8" s="1"/>
  <c r="A101" i="15"/>
  <c r="A101" i="7"/>
  <c r="A106" i="8"/>
  <c r="C416" i="6"/>
  <c r="C409" i="6"/>
  <c r="C420" i="6"/>
  <c r="B471" i="5"/>
  <c r="C471" i="4"/>
  <c r="D471" i="4" s="1"/>
  <c r="B496" i="4"/>
  <c r="A568" i="5"/>
  <c r="A568" i="6" s="1"/>
  <c r="A593" i="4"/>
  <c r="A532" i="5"/>
  <c r="A532" i="6" s="1"/>
  <c r="A557" i="4"/>
  <c r="A528" i="5"/>
  <c r="A528" i="6" s="1"/>
  <c r="A553" i="4"/>
  <c r="C403" i="6"/>
  <c r="D388" i="6"/>
  <c r="A508" i="5"/>
  <c r="A508" i="6" s="1"/>
  <c r="A533" i="4"/>
  <c r="C631" i="5"/>
  <c r="D631" i="5" s="1"/>
  <c r="B631" i="6"/>
  <c r="G105" i="8"/>
  <c r="H105" i="8" s="1"/>
  <c r="A105" i="15"/>
  <c r="A105" i="7"/>
  <c r="A110" i="8"/>
  <c r="G99" i="8"/>
  <c r="H99" i="8" s="1"/>
  <c r="A99" i="15"/>
  <c r="A99" i="7"/>
  <c r="A104" i="8"/>
  <c r="D392" i="6"/>
  <c r="A527" i="5"/>
  <c r="A527" i="6" s="1"/>
  <c r="A552" i="4"/>
  <c r="A536" i="5"/>
  <c r="A536" i="6" s="1"/>
  <c r="A561" i="4"/>
  <c r="C659" i="5"/>
  <c r="D659" i="5" s="1"/>
  <c r="B659" i="6"/>
  <c r="C400" i="6"/>
  <c r="C470" i="5"/>
  <c r="D470" i="5" s="1"/>
  <c r="B470" i="6"/>
  <c r="A580" i="5"/>
  <c r="A580" i="6" s="1"/>
  <c r="A605" i="4"/>
  <c r="A556" i="5"/>
  <c r="A556" i="6" s="1"/>
  <c r="A581" i="4"/>
  <c r="D408" i="6"/>
  <c r="A592" i="5"/>
  <c r="A592" i="6" s="1"/>
  <c r="A617" i="4"/>
  <c r="D417" i="6"/>
  <c r="C462" i="5"/>
  <c r="D462" i="5" s="1"/>
  <c r="B462" i="6"/>
  <c r="C611" i="4"/>
  <c r="D611" i="4" s="1"/>
  <c r="B611" i="5"/>
  <c r="B636" i="4"/>
  <c r="C468" i="5"/>
  <c r="D468" i="5" s="1"/>
  <c r="B468" i="6"/>
  <c r="A584" i="5"/>
  <c r="A584" i="6" s="1"/>
  <c r="A609" i="4"/>
  <c r="C654" i="4"/>
  <c r="D654" i="4" s="1"/>
  <c r="B654" i="5"/>
  <c r="B679" i="4"/>
  <c r="A516" i="5"/>
  <c r="A516" i="6" s="1"/>
  <c r="A541" i="4"/>
  <c r="C607" i="4"/>
  <c r="D607" i="4" s="1"/>
  <c r="B607" i="5"/>
  <c r="B632" i="4"/>
  <c r="C475" i="4"/>
  <c r="D475" i="4" s="1"/>
  <c r="B475" i="5"/>
  <c r="B500" i="4"/>
  <c r="C447" i="4"/>
  <c r="D447" i="4" s="1"/>
  <c r="B447" i="5"/>
  <c r="B472" i="4"/>
  <c r="C586" i="5"/>
  <c r="D586" i="5" s="1"/>
  <c r="B586" i="6"/>
  <c r="D383" i="6"/>
  <c r="C629" i="5"/>
  <c r="D629" i="5" s="1"/>
  <c r="B629" i="6"/>
  <c r="C451" i="4"/>
  <c r="D451" i="4" s="1"/>
  <c r="B451" i="5"/>
  <c r="B476" i="4"/>
  <c r="C635" i="5"/>
  <c r="D635" i="5" s="1"/>
  <c r="B635" i="6"/>
  <c r="C582" i="5"/>
  <c r="D582" i="5" s="1"/>
  <c r="B582" i="6"/>
  <c r="C450" i="5"/>
  <c r="D450" i="5" s="1"/>
  <c r="B450" i="6"/>
  <c r="C422" i="5"/>
  <c r="D422" i="5" s="1"/>
  <c r="B422" i="6"/>
  <c r="D381" i="6"/>
  <c r="C467" i="4"/>
  <c r="D467" i="4" s="1"/>
  <c r="B467" i="5"/>
  <c r="B492" i="4"/>
  <c r="C494" i="4"/>
  <c r="D494" i="4" s="1"/>
  <c r="B494" i="5"/>
  <c r="B519" i="4"/>
  <c r="C399" i="6"/>
  <c r="C499" i="4"/>
  <c r="D499" i="4" s="1"/>
  <c r="B499" i="5"/>
  <c r="B524" i="4"/>
  <c r="C398" i="6"/>
  <c r="C466" i="5"/>
  <c r="D466" i="5" s="1"/>
  <c r="B466" i="6"/>
  <c r="A548" i="5"/>
  <c r="A548" i="6" s="1"/>
  <c r="A573" i="4"/>
  <c r="C410" i="6"/>
  <c r="D379" i="6"/>
  <c r="G103" i="8"/>
  <c r="H103" i="8" s="1"/>
  <c r="A103" i="15"/>
  <c r="A103" i="7"/>
  <c r="A108" i="8"/>
  <c r="A540" i="5"/>
  <c r="A540" i="6" s="1"/>
  <c r="A565" i="4"/>
  <c r="C655" i="5"/>
  <c r="D655" i="5" s="1"/>
  <c r="B655" i="6"/>
  <c r="C489" i="4"/>
  <c r="D489" i="4" s="1"/>
  <c r="B489" i="5"/>
  <c r="B514" i="4"/>
  <c r="A544" i="5"/>
  <c r="A544" i="6" s="1"/>
  <c r="A569" i="4"/>
  <c r="C404" i="6"/>
  <c r="C418" i="6"/>
  <c r="C401" i="6"/>
  <c r="C411" i="6"/>
  <c r="C407" i="6"/>
  <c r="D387" i="6"/>
  <c r="C678" i="4"/>
  <c r="D678" i="4" s="1"/>
  <c r="B678" i="5"/>
  <c r="C424" i="6"/>
  <c r="D418" i="6" l="1"/>
  <c r="C514" i="4"/>
  <c r="D514" i="4" s="1"/>
  <c r="B514" i="5"/>
  <c r="B539" i="4"/>
  <c r="A573" i="5"/>
  <c r="A573" i="6" s="1"/>
  <c r="A598" i="4"/>
  <c r="C678" i="5"/>
  <c r="D678" i="5" s="1"/>
  <c r="B678" i="6"/>
  <c r="D404" i="6"/>
  <c r="C489" i="5"/>
  <c r="D489" i="5" s="1"/>
  <c r="B489" i="6"/>
  <c r="A565" i="5"/>
  <c r="A565" i="6" s="1"/>
  <c r="A590" i="4"/>
  <c r="G108" i="8"/>
  <c r="H108" i="8" s="1"/>
  <c r="A108" i="15"/>
  <c r="A108" i="7"/>
  <c r="A113" i="8"/>
  <c r="D399" i="6"/>
  <c r="C494" i="5"/>
  <c r="D494" i="5" s="1"/>
  <c r="B494" i="6"/>
  <c r="C422" i="6"/>
  <c r="C476" i="4"/>
  <c r="D476" i="4" s="1"/>
  <c r="B476" i="5"/>
  <c r="B501" i="4"/>
  <c r="C447" i="5"/>
  <c r="D447" i="5" s="1"/>
  <c r="B447" i="6"/>
  <c r="A541" i="5"/>
  <c r="A541" i="6" s="1"/>
  <c r="A566" i="4"/>
  <c r="C654" i="5"/>
  <c r="D654" i="5" s="1"/>
  <c r="B654" i="6"/>
  <c r="D416" i="6"/>
  <c r="G106" i="8"/>
  <c r="H106" i="8" s="1"/>
  <c r="A106" i="15"/>
  <c r="A106" i="7"/>
  <c r="A111" i="8"/>
  <c r="A613" i="5"/>
  <c r="A613" i="6" s="1"/>
  <c r="A638" i="4"/>
  <c r="D421" i="6"/>
  <c r="A529" i="5"/>
  <c r="A529" i="6" s="1"/>
  <c r="A554" i="4"/>
  <c r="B520" i="5"/>
  <c r="C520" i="4"/>
  <c r="D520" i="4" s="1"/>
  <c r="B545" i="4"/>
  <c r="C428" i="6"/>
  <c r="C490" i="5"/>
  <c r="D490" i="5" s="1"/>
  <c r="B490" i="6"/>
  <c r="D413" i="6"/>
  <c r="C513" i="4"/>
  <c r="D513" i="4" s="1"/>
  <c r="B513" i="5"/>
  <c r="B538" i="4"/>
  <c r="C681" i="4"/>
  <c r="D681" i="4" s="1"/>
  <c r="B681" i="5"/>
  <c r="D415" i="6"/>
  <c r="C683" i="4"/>
  <c r="D683" i="4" s="1"/>
  <c r="B683" i="5"/>
  <c r="C446" i="6"/>
  <c r="C435" i="6"/>
  <c r="D407" i="6"/>
  <c r="B524" i="5"/>
  <c r="C524" i="4"/>
  <c r="D524" i="4" s="1"/>
  <c r="B549" i="4"/>
  <c r="D411" i="6"/>
  <c r="A569" i="5"/>
  <c r="A569" i="6" s="1"/>
  <c r="A594" i="4"/>
  <c r="C466" i="6"/>
  <c r="C499" i="5"/>
  <c r="D499" i="5" s="1"/>
  <c r="B499" i="6"/>
  <c r="C434" i="6"/>
  <c r="C451" i="5"/>
  <c r="D451" i="5" s="1"/>
  <c r="B451" i="6"/>
  <c r="C451" i="6" s="1"/>
  <c r="C632" i="4"/>
  <c r="D632" i="4" s="1"/>
  <c r="B632" i="5"/>
  <c r="B657" i="4"/>
  <c r="C462" i="6"/>
  <c r="A617" i="5"/>
  <c r="A617" i="6" s="1"/>
  <c r="A642" i="4"/>
  <c r="A581" i="5"/>
  <c r="A581" i="6" s="1"/>
  <c r="A606" i="4"/>
  <c r="A552" i="5"/>
  <c r="A552" i="6" s="1"/>
  <c r="A577" i="4"/>
  <c r="C444" i="6"/>
  <c r="A533" i="5"/>
  <c r="A533" i="6" s="1"/>
  <c r="A558" i="4"/>
  <c r="D403" i="6"/>
  <c r="A553" i="5"/>
  <c r="A553" i="6" s="1"/>
  <c r="A578" i="4"/>
  <c r="A593" i="5"/>
  <c r="A593" i="6" s="1"/>
  <c r="A618" i="4"/>
  <c r="C471" i="5"/>
  <c r="D471" i="5" s="1"/>
  <c r="B471" i="6"/>
  <c r="C438" i="6"/>
  <c r="A537" i="5"/>
  <c r="A537" i="6" s="1"/>
  <c r="A562" i="4"/>
  <c r="C685" i="4"/>
  <c r="D685" i="4" s="1"/>
  <c r="B685" i="5"/>
  <c r="B523" i="5"/>
  <c r="C523" i="4"/>
  <c r="D523" i="4" s="1"/>
  <c r="B548" i="4"/>
  <c r="A545" i="5"/>
  <c r="A545" i="6" s="1"/>
  <c r="A570" i="4"/>
  <c r="C445" i="6"/>
  <c r="D419" i="6"/>
  <c r="C441" i="6"/>
  <c r="C460" i="6"/>
  <c r="C459" i="6"/>
  <c r="C512" i="4"/>
  <c r="D512" i="4" s="1"/>
  <c r="B512" i="5"/>
  <c r="B537" i="4"/>
  <c r="A625" i="5"/>
  <c r="A625" i="6" s="1"/>
  <c r="A650" i="4"/>
  <c r="D406" i="6"/>
  <c r="C488" i="5"/>
  <c r="D488" i="5" s="1"/>
  <c r="B488" i="6"/>
  <c r="C656" i="5"/>
  <c r="D656" i="5" s="1"/>
  <c r="B656" i="6"/>
  <c r="A597" i="5"/>
  <c r="A597" i="6" s="1"/>
  <c r="A622" i="4"/>
  <c r="A601" i="5"/>
  <c r="A601" i="6" s="1"/>
  <c r="A626" i="4"/>
  <c r="A621" i="5"/>
  <c r="A621" i="6" s="1"/>
  <c r="A646" i="4"/>
  <c r="D424" i="6"/>
  <c r="D401" i="6"/>
  <c r="C423" i="6"/>
  <c r="D410" i="6"/>
  <c r="C430" i="6"/>
  <c r="C492" i="4"/>
  <c r="D492" i="4" s="1"/>
  <c r="B492" i="5"/>
  <c r="B517" i="4"/>
  <c r="C450" i="6"/>
  <c r="B500" i="5"/>
  <c r="C500" i="4"/>
  <c r="D500" i="4" s="1"/>
  <c r="B525" i="4"/>
  <c r="C607" i="5"/>
  <c r="D607" i="5" s="1"/>
  <c r="B607" i="6"/>
  <c r="A609" i="5"/>
  <c r="A609" i="6" s="1"/>
  <c r="A634" i="4"/>
  <c r="C636" i="4"/>
  <c r="D636" i="4" s="1"/>
  <c r="B636" i="5"/>
  <c r="B661" i="4"/>
  <c r="C437" i="6"/>
  <c r="D420" i="6"/>
  <c r="C433" i="6"/>
  <c r="C465" i="6"/>
  <c r="C495" i="5"/>
  <c r="D495" i="5" s="1"/>
  <c r="B495" i="6"/>
  <c r="C684" i="5"/>
  <c r="D684" i="5" s="1"/>
  <c r="B684" i="6"/>
  <c r="C680" i="5"/>
  <c r="D680" i="5" s="1"/>
  <c r="B680" i="6"/>
  <c r="C516" i="4"/>
  <c r="D516" i="4" s="1"/>
  <c r="B516" i="5"/>
  <c r="B541" i="4"/>
  <c r="D405" i="6"/>
  <c r="C527" i="4"/>
  <c r="D527" i="4" s="1"/>
  <c r="B527" i="5"/>
  <c r="B552" i="4"/>
  <c r="C456" i="6"/>
  <c r="C455" i="6"/>
  <c r="C518" i="4"/>
  <c r="D518" i="4" s="1"/>
  <c r="B518" i="5"/>
  <c r="B543" i="4"/>
  <c r="C487" i="5"/>
  <c r="D487" i="5" s="1"/>
  <c r="B487" i="6"/>
  <c r="C464" i="6"/>
  <c r="A549" i="5"/>
  <c r="A549" i="6" s="1"/>
  <c r="A574" i="4"/>
  <c r="C658" i="5"/>
  <c r="D658" i="5" s="1"/>
  <c r="B658" i="6"/>
  <c r="A589" i="5"/>
  <c r="A589" i="6" s="1"/>
  <c r="A614" i="4"/>
  <c r="D397" i="6"/>
  <c r="D398" i="6"/>
  <c r="C519" i="4"/>
  <c r="D519" i="4" s="1"/>
  <c r="B519" i="5"/>
  <c r="B544" i="4"/>
  <c r="C467" i="5"/>
  <c r="D467" i="5" s="1"/>
  <c r="B467" i="6"/>
  <c r="C467" i="6" s="1"/>
  <c r="C472" i="4"/>
  <c r="D472" i="4" s="1"/>
  <c r="B472" i="5"/>
  <c r="B497" i="4"/>
  <c r="C475" i="5"/>
  <c r="D475" i="5" s="1"/>
  <c r="B475" i="6"/>
  <c r="C679" i="4"/>
  <c r="D679" i="4" s="1"/>
  <c r="B679" i="5"/>
  <c r="C611" i="5"/>
  <c r="D611" i="5" s="1"/>
  <c r="B611" i="6"/>
  <c r="A605" i="5"/>
  <c r="A605" i="6" s="1"/>
  <c r="A630" i="4"/>
  <c r="D400" i="6"/>
  <c r="A561" i="5"/>
  <c r="A561" i="6" s="1"/>
  <c r="A586" i="4"/>
  <c r="G104" i="8"/>
  <c r="H104" i="8" s="1"/>
  <c r="A104" i="15"/>
  <c r="A104" i="7"/>
  <c r="A109" i="8"/>
  <c r="G110" i="8"/>
  <c r="H110" i="8" s="1"/>
  <c r="A110" i="15"/>
  <c r="A110" i="7"/>
  <c r="A115" i="8"/>
  <c r="C443" i="6"/>
  <c r="A557" i="5"/>
  <c r="A557" i="6" s="1"/>
  <c r="A582" i="4"/>
  <c r="C496" i="4"/>
  <c r="D496" i="4" s="1"/>
  <c r="B496" i="5"/>
  <c r="B521" i="4"/>
  <c r="D409" i="6"/>
  <c r="C431" i="6"/>
  <c r="A585" i="5"/>
  <c r="A585" i="6" s="1"/>
  <c r="A610" i="4"/>
  <c r="C660" i="5"/>
  <c r="D660" i="5" s="1"/>
  <c r="B660" i="6"/>
  <c r="C498" i="5"/>
  <c r="D498" i="5" s="1"/>
  <c r="B498" i="6"/>
  <c r="C463" i="6"/>
  <c r="C439" i="6"/>
  <c r="C491" i="5"/>
  <c r="D491" i="5" s="1"/>
  <c r="B491" i="6"/>
  <c r="C427" i="6"/>
  <c r="C502" i="5"/>
  <c r="D502" i="5" s="1"/>
  <c r="B502" i="6"/>
  <c r="C458" i="6"/>
  <c r="C453" i="6"/>
  <c r="C425" i="6"/>
  <c r="C493" i="5"/>
  <c r="D493" i="5" s="1"/>
  <c r="B493" i="6"/>
  <c r="C515" i="4"/>
  <c r="D515" i="4" s="1"/>
  <c r="B515" i="5"/>
  <c r="B540" i="4"/>
  <c r="C440" i="6"/>
  <c r="C448" i="6"/>
  <c r="C429" i="6"/>
  <c r="C442" i="6"/>
  <c r="C426" i="6"/>
  <c r="C432" i="6"/>
  <c r="C436" i="6"/>
  <c r="G112" i="8"/>
  <c r="H112" i="8" s="1"/>
  <c r="A112" i="15"/>
  <c r="A112" i="7"/>
  <c r="A117" i="8"/>
  <c r="C461" i="6"/>
  <c r="D429" i="6" l="1"/>
  <c r="D458" i="6"/>
  <c r="D463" i="6"/>
  <c r="D431" i="6"/>
  <c r="C496" i="5"/>
  <c r="D496" i="5" s="1"/>
  <c r="B496" i="6"/>
  <c r="D443" i="6"/>
  <c r="C519" i="5"/>
  <c r="D519" i="5" s="1"/>
  <c r="B519" i="6"/>
  <c r="A614" i="5"/>
  <c r="A614" i="6" s="1"/>
  <c r="A639" i="4"/>
  <c r="D464" i="6"/>
  <c r="D455" i="6"/>
  <c r="C541" i="4"/>
  <c r="D541" i="4" s="1"/>
  <c r="B541" i="5"/>
  <c r="B566" i="4"/>
  <c r="C661" i="4"/>
  <c r="D661" i="4" s="1"/>
  <c r="B661" i="5"/>
  <c r="B686" i="4"/>
  <c r="C525" i="4"/>
  <c r="D525" i="4" s="1"/>
  <c r="B525" i="5"/>
  <c r="B550" i="4"/>
  <c r="D450" i="6"/>
  <c r="D430" i="6"/>
  <c r="A626" i="5"/>
  <c r="A626" i="6" s="1"/>
  <c r="A651" i="4"/>
  <c r="C512" i="5"/>
  <c r="D512" i="5" s="1"/>
  <c r="B512" i="6"/>
  <c r="D460" i="6"/>
  <c r="D445" i="6"/>
  <c r="B548" i="5"/>
  <c r="C548" i="4"/>
  <c r="D548" i="4" s="1"/>
  <c r="B573" i="4"/>
  <c r="C471" i="6"/>
  <c r="A578" i="5"/>
  <c r="A578" i="6" s="1"/>
  <c r="A603" i="4"/>
  <c r="A558" i="5"/>
  <c r="A558" i="6" s="1"/>
  <c r="A583" i="4"/>
  <c r="C657" i="4"/>
  <c r="D657" i="4" s="1"/>
  <c r="B657" i="5"/>
  <c r="B682" i="4"/>
  <c r="D451" i="6"/>
  <c r="C524" i="5"/>
  <c r="D524" i="5" s="1"/>
  <c r="B524" i="6"/>
  <c r="D446" i="6"/>
  <c r="C513" i="5"/>
  <c r="D513" i="5" s="1"/>
  <c r="B513" i="6"/>
  <c r="C454" i="6"/>
  <c r="A554" i="5"/>
  <c r="A554" i="6" s="1"/>
  <c r="A579" i="4"/>
  <c r="A638" i="5"/>
  <c r="A638" i="6" s="1"/>
  <c r="A663" i="4"/>
  <c r="A566" i="5"/>
  <c r="A566" i="6" s="1"/>
  <c r="A591" i="4"/>
  <c r="G113" i="8"/>
  <c r="H113" i="8" s="1"/>
  <c r="A113" i="15"/>
  <c r="A113" i="7"/>
  <c r="A118" i="8"/>
  <c r="A590" i="5"/>
  <c r="A590" i="6" s="1"/>
  <c r="A615" i="4"/>
  <c r="A598" i="5"/>
  <c r="A598" i="6" s="1"/>
  <c r="A623" i="4"/>
  <c r="G117" i="8"/>
  <c r="H117" i="8" s="1"/>
  <c r="A117" i="15"/>
  <c r="A117" i="7"/>
  <c r="A122" i="8"/>
  <c r="D440" i="6"/>
  <c r="B540" i="5"/>
  <c r="C540" i="4"/>
  <c r="D540" i="4" s="1"/>
  <c r="B565" i="4"/>
  <c r="D467" i="6"/>
  <c r="C543" i="4"/>
  <c r="D543" i="4" s="1"/>
  <c r="B543" i="5"/>
  <c r="B568" i="4"/>
  <c r="D456" i="6"/>
  <c r="C516" i="5"/>
  <c r="D516" i="5" s="1"/>
  <c r="B516" i="6"/>
  <c r="D465" i="6"/>
  <c r="C636" i="5"/>
  <c r="D636" i="5" s="1"/>
  <c r="B636" i="6"/>
  <c r="C517" i="4"/>
  <c r="D517" i="4" s="1"/>
  <c r="B517" i="5"/>
  <c r="B542" i="4"/>
  <c r="A650" i="5"/>
  <c r="A650" i="6" s="1"/>
  <c r="A675" i="4"/>
  <c r="D441" i="6"/>
  <c r="A562" i="5"/>
  <c r="A562" i="6" s="1"/>
  <c r="A587" i="4"/>
  <c r="A642" i="5"/>
  <c r="A642" i="6" s="1"/>
  <c r="A667" i="4"/>
  <c r="C632" i="5"/>
  <c r="D632" i="5" s="1"/>
  <c r="B632" i="6"/>
  <c r="D466" i="6"/>
  <c r="C683" i="5"/>
  <c r="D683" i="5" s="1"/>
  <c r="B683" i="6"/>
  <c r="C681" i="5"/>
  <c r="D681" i="5" s="1"/>
  <c r="B681" i="6"/>
  <c r="D428" i="6"/>
  <c r="C545" i="4"/>
  <c r="D545" i="4" s="1"/>
  <c r="B545" i="5"/>
  <c r="B570" i="4"/>
  <c r="C468" i="6"/>
  <c r="C501" i="4"/>
  <c r="D501" i="4" s="1"/>
  <c r="B501" i="5"/>
  <c r="B526" i="4"/>
  <c r="D432" i="6"/>
  <c r="D426" i="6"/>
  <c r="D461" i="6"/>
  <c r="D448" i="6"/>
  <c r="C515" i="5"/>
  <c r="D515" i="5" s="1"/>
  <c r="B515" i="6"/>
  <c r="D425" i="6"/>
  <c r="D439" i="6"/>
  <c r="A582" i="5"/>
  <c r="A582" i="6" s="1"/>
  <c r="A607" i="4"/>
  <c r="G115" i="8"/>
  <c r="H115" i="8" s="1"/>
  <c r="A115" i="15"/>
  <c r="A115" i="7"/>
  <c r="A120" i="8"/>
  <c r="G109" i="8"/>
  <c r="H109" i="8" s="1"/>
  <c r="A109" i="15"/>
  <c r="A109" i="7"/>
  <c r="A114" i="8"/>
  <c r="A586" i="5"/>
  <c r="A586" i="6" s="1"/>
  <c r="A611" i="4"/>
  <c r="A630" i="5"/>
  <c r="A630" i="6" s="1"/>
  <c r="A655" i="4"/>
  <c r="C679" i="5"/>
  <c r="D679" i="5" s="1"/>
  <c r="B679" i="6"/>
  <c r="C497" i="4"/>
  <c r="D497" i="4" s="1"/>
  <c r="B497" i="5"/>
  <c r="B522" i="4"/>
  <c r="A574" i="5"/>
  <c r="A574" i="6" s="1"/>
  <c r="A599" i="4"/>
  <c r="C518" i="5"/>
  <c r="D518" i="5" s="1"/>
  <c r="B518" i="6"/>
  <c r="C552" i="4"/>
  <c r="D552" i="4" s="1"/>
  <c r="B552" i="5"/>
  <c r="B577" i="4"/>
  <c r="C500" i="5"/>
  <c r="D500" i="5" s="1"/>
  <c r="B500" i="6"/>
  <c r="C492" i="5"/>
  <c r="D492" i="5" s="1"/>
  <c r="B492" i="6"/>
  <c r="A646" i="5"/>
  <c r="A646" i="6" s="1"/>
  <c r="A671" i="4"/>
  <c r="C469" i="6"/>
  <c r="A570" i="5"/>
  <c r="A570" i="6" s="1"/>
  <c r="A595" i="4"/>
  <c r="C523" i="5"/>
  <c r="D523" i="5" s="1"/>
  <c r="B523" i="6"/>
  <c r="A618" i="5"/>
  <c r="A618" i="6" s="1"/>
  <c r="A643" i="4"/>
  <c r="D444" i="6"/>
  <c r="C470" i="6"/>
  <c r="D434" i="6"/>
  <c r="A594" i="5"/>
  <c r="A594" i="6" s="1"/>
  <c r="A619" i="4"/>
  <c r="C549" i="4"/>
  <c r="D549" i="4" s="1"/>
  <c r="B549" i="5"/>
  <c r="B574" i="4"/>
  <c r="D435" i="6"/>
  <c r="C457" i="6"/>
  <c r="C447" i="6"/>
  <c r="C449" i="6"/>
  <c r="C476" i="5"/>
  <c r="D476" i="5" s="1"/>
  <c r="B476" i="6"/>
  <c r="C539" i="4"/>
  <c r="D539" i="4" s="1"/>
  <c r="B539" i="5"/>
  <c r="B564" i="4"/>
  <c r="D436" i="6"/>
  <c r="D442" i="6"/>
  <c r="D453" i="6"/>
  <c r="D427" i="6"/>
  <c r="A610" i="5"/>
  <c r="A610" i="6" s="1"/>
  <c r="A635" i="4"/>
  <c r="C521" i="4"/>
  <c r="D521" i="4" s="1"/>
  <c r="B521" i="5"/>
  <c r="B546" i="4"/>
  <c r="C472" i="5"/>
  <c r="D472" i="5" s="1"/>
  <c r="B472" i="6"/>
  <c r="C544" i="4"/>
  <c r="D544" i="4" s="1"/>
  <c r="B544" i="5"/>
  <c r="B569" i="4"/>
  <c r="C487" i="6"/>
  <c r="C527" i="5"/>
  <c r="D527" i="5" s="1"/>
  <c r="B527" i="6"/>
  <c r="C495" i="6"/>
  <c r="D433" i="6"/>
  <c r="D437" i="6"/>
  <c r="A634" i="5"/>
  <c r="A634" i="6" s="1"/>
  <c r="A659" i="4"/>
  <c r="D423" i="6"/>
  <c r="A622" i="5"/>
  <c r="A622" i="6" s="1"/>
  <c r="A647" i="4"/>
  <c r="C537" i="4"/>
  <c r="D537" i="4" s="1"/>
  <c r="B537" i="5"/>
  <c r="B562" i="4"/>
  <c r="D459" i="6"/>
  <c r="C685" i="5"/>
  <c r="D685" i="5" s="1"/>
  <c r="B685" i="6"/>
  <c r="D438" i="6"/>
  <c r="A577" i="5"/>
  <c r="A577" i="6" s="1"/>
  <c r="A602" i="4"/>
  <c r="A606" i="5"/>
  <c r="A606" i="6" s="1"/>
  <c r="A631" i="4"/>
  <c r="D462" i="6"/>
  <c r="C474" i="6"/>
  <c r="C538" i="4"/>
  <c r="D538" i="4" s="1"/>
  <c r="B538" i="5"/>
  <c r="B563" i="4"/>
  <c r="C452" i="6"/>
  <c r="C520" i="5"/>
  <c r="D520" i="5" s="1"/>
  <c r="B520" i="6"/>
  <c r="G111" i="8"/>
  <c r="H111" i="8" s="1"/>
  <c r="A111" i="15"/>
  <c r="A111" i="7"/>
  <c r="A116" i="8"/>
  <c r="D422" i="6"/>
  <c r="C514" i="5"/>
  <c r="D514" i="5" s="1"/>
  <c r="B514" i="6"/>
  <c r="C482" i="6"/>
  <c r="C538" i="5" l="1"/>
  <c r="D538" i="5" s="1"/>
  <c r="B538" i="6"/>
  <c r="A647" i="5"/>
  <c r="A647" i="6" s="1"/>
  <c r="A672" i="4"/>
  <c r="D487" i="6"/>
  <c r="C472" i="6"/>
  <c r="C477" i="6"/>
  <c r="C479" i="6"/>
  <c r="C478" i="6"/>
  <c r="C485" i="6"/>
  <c r="C484" i="6"/>
  <c r="C481" i="6"/>
  <c r="C480" i="6"/>
  <c r="B564" i="5"/>
  <c r="C564" i="4"/>
  <c r="D564" i="4" s="1"/>
  <c r="B589" i="4"/>
  <c r="C489" i="6"/>
  <c r="A643" i="5"/>
  <c r="A643" i="6" s="1"/>
  <c r="A668" i="4"/>
  <c r="A595" i="5"/>
  <c r="A595" i="6" s="1"/>
  <c r="A620" i="4"/>
  <c r="A671" i="5"/>
  <c r="A671" i="6" s="1"/>
  <c r="A696" i="4"/>
  <c r="A696" i="5" s="1"/>
  <c r="A696" i="6" s="1"/>
  <c r="C473" i="6"/>
  <c r="C497" i="5"/>
  <c r="D497" i="5" s="1"/>
  <c r="B497" i="6"/>
  <c r="A655" i="5"/>
  <c r="A655" i="6" s="1"/>
  <c r="A680" i="4"/>
  <c r="A680" i="5" s="1"/>
  <c r="A680" i="6" s="1"/>
  <c r="G114" i="8"/>
  <c r="H114" i="8" s="1"/>
  <c r="A114" i="15"/>
  <c r="A114" i="7"/>
  <c r="A119" i="8"/>
  <c r="G120" i="8"/>
  <c r="H120" i="8" s="1"/>
  <c r="A120" i="15"/>
  <c r="A120" i="7"/>
  <c r="A125" i="8"/>
  <c r="A607" i="5"/>
  <c r="A607" i="6" s="1"/>
  <c r="A632" i="4"/>
  <c r="D468" i="6"/>
  <c r="A667" i="5"/>
  <c r="A667" i="6" s="1"/>
  <c r="A692" i="4"/>
  <c r="A692" i="5" s="1"/>
  <c r="A692" i="6" s="1"/>
  <c r="A675" i="5"/>
  <c r="A675" i="6" s="1"/>
  <c r="A700" i="4"/>
  <c r="A700" i="5" s="1"/>
  <c r="A700" i="6" s="1"/>
  <c r="C542" i="4"/>
  <c r="D542" i="4" s="1"/>
  <c r="B542" i="5"/>
  <c r="B567" i="4"/>
  <c r="C540" i="5"/>
  <c r="D540" i="5" s="1"/>
  <c r="B540" i="6"/>
  <c r="C682" i="4"/>
  <c r="D682" i="4" s="1"/>
  <c r="B682" i="5"/>
  <c r="C573" i="4"/>
  <c r="D573" i="4" s="1"/>
  <c r="B573" i="5"/>
  <c r="B598" i="4"/>
  <c r="B686" i="5"/>
  <c r="C686" i="4"/>
  <c r="D686" i="4" s="1"/>
  <c r="C541" i="5"/>
  <c r="D541" i="5" s="1"/>
  <c r="B541" i="6"/>
  <c r="C493" i="6"/>
  <c r="D482" i="6"/>
  <c r="A602" i="5"/>
  <c r="A602" i="6" s="1"/>
  <c r="A627" i="4"/>
  <c r="C562" i="4"/>
  <c r="D562" i="4" s="1"/>
  <c r="B562" i="5"/>
  <c r="B587" i="4"/>
  <c r="A659" i="5"/>
  <c r="A659" i="6" s="1"/>
  <c r="A684" i="4"/>
  <c r="A684" i="5" s="1"/>
  <c r="A684" i="6" s="1"/>
  <c r="C569" i="4"/>
  <c r="D569" i="4" s="1"/>
  <c r="B569" i="5"/>
  <c r="B594" i="4"/>
  <c r="A635" i="5"/>
  <c r="A635" i="6" s="1"/>
  <c r="A660" i="4"/>
  <c r="C539" i="5"/>
  <c r="D539" i="5" s="1"/>
  <c r="B539" i="6"/>
  <c r="D457" i="6"/>
  <c r="A619" i="5"/>
  <c r="A619" i="6" s="1"/>
  <c r="A644" i="4"/>
  <c r="D470" i="6"/>
  <c r="C577" i="4"/>
  <c r="D577" i="4" s="1"/>
  <c r="B577" i="5"/>
  <c r="B602" i="4"/>
  <c r="B526" i="5"/>
  <c r="C526" i="4"/>
  <c r="D526" i="4" s="1"/>
  <c r="B551" i="4"/>
  <c r="C517" i="5"/>
  <c r="D517" i="5" s="1"/>
  <c r="B517" i="6"/>
  <c r="C568" i="4"/>
  <c r="D568" i="4" s="1"/>
  <c r="B568" i="5"/>
  <c r="B593" i="4"/>
  <c r="A615" i="5"/>
  <c r="A615" i="6" s="1"/>
  <c r="A640" i="4"/>
  <c r="A663" i="5"/>
  <c r="A663" i="6" s="1"/>
  <c r="A688" i="4"/>
  <c r="A688" i="5" s="1"/>
  <c r="A688" i="6" s="1"/>
  <c r="C657" i="5"/>
  <c r="D657" i="5" s="1"/>
  <c r="B657" i="6"/>
  <c r="A603" i="5"/>
  <c r="A603" i="6" s="1"/>
  <c r="A628" i="4"/>
  <c r="C550" i="4"/>
  <c r="D550" i="4" s="1"/>
  <c r="B550" i="5"/>
  <c r="B575" i="4"/>
  <c r="C661" i="5"/>
  <c r="D661" i="5" s="1"/>
  <c r="B661" i="6"/>
  <c r="C491" i="6"/>
  <c r="D452" i="6"/>
  <c r="D474" i="6"/>
  <c r="C537" i="5"/>
  <c r="D537" i="5" s="1"/>
  <c r="B537" i="6"/>
  <c r="C544" i="5"/>
  <c r="D544" i="5" s="1"/>
  <c r="B544" i="6"/>
  <c r="B546" i="5"/>
  <c r="C546" i="4"/>
  <c r="D546" i="4" s="1"/>
  <c r="B571" i="4"/>
  <c r="C476" i="6"/>
  <c r="C483" i="6"/>
  <c r="C486" i="6"/>
  <c r="D449" i="6"/>
  <c r="C574" i="4"/>
  <c r="D574" i="4" s="1"/>
  <c r="B574" i="5"/>
  <c r="B599" i="4"/>
  <c r="C492" i="6"/>
  <c r="C552" i="5"/>
  <c r="D552" i="5" s="1"/>
  <c r="B552" i="6"/>
  <c r="A611" i="5"/>
  <c r="A611" i="6" s="1"/>
  <c r="A636" i="4"/>
  <c r="C501" i="5"/>
  <c r="D501" i="5" s="1"/>
  <c r="B501" i="6"/>
  <c r="C570" i="4"/>
  <c r="D570" i="4" s="1"/>
  <c r="B570" i="5"/>
  <c r="B595" i="4"/>
  <c r="C488" i="6"/>
  <c r="C543" i="5"/>
  <c r="D543" i="5" s="1"/>
  <c r="B543" i="6"/>
  <c r="C565" i="4"/>
  <c r="D565" i="4" s="1"/>
  <c r="B565" i="5"/>
  <c r="B590" i="4"/>
  <c r="D454" i="6"/>
  <c r="C548" i="5"/>
  <c r="D548" i="5" s="1"/>
  <c r="B548" i="6"/>
  <c r="A651" i="5"/>
  <c r="A651" i="6" s="1"/>
  <c r="A676" i="4"/>
  <c r="C525" i="5"/>
  <c r="D525" i="5" s="1"/>
  <c r="B525" i="6"/>
  <c r="G116" i="8"/>
  <c r="H116" i="8" s="1"/>
  <c r="A116" i="15"/>
  <c r="A116" i="7"/>
  <c r="A121" i="8"/>
  <c r="C563" i="4"/>
  <c r="D563" i="4" s="1"/>
  <c r="B563" i="5"/>
  <c r="B588" i="4"/>
  <c r="A631" i="5"/>
  <c r="A631" i="6" s="1"/>
  <c r="A656" i="4"/>
  <c r="D495" i="6"/>
  <c r="C521" i="5"/>
  <c r="D521" i="5" s="1"/>
  <c r="B521" i="6"/>
  <c r="C498" i="6"/>
  <c r="D447" i="6"/>
  <c r="C549" i="5"/>
  <c r="D549" i="5" s="1"/>
  <c r="B549" i="6"/>
  <c r="D469" i="6"/>
  <c r="A599" i="5"/>
  <c r="A599" i="6" s="1"/>
  <c r="A624" i="4"/>
  <c r="C522" i="4"/>
  <c r="D522" i="4" s="1"/>
  <c r="B522" i="5"/>
  <c r="B547" i="4"/>
  <c r="C545" i="5"/>
  <c r="D545" i="5" s="1"/>
  <c r="B545" i="6"/>
  <c r="C490" i="6"/>
  <c r="A587" i="5"/>
  <c r="A587" i="6" s="1"/>
  <c r="A612" i="4"/>
  <c r="G122" i="8"/>
  <c r="H122" i="8" s="1"/>
  <c r="A122" i="15"/>
  <c r="A122" i="7"/>
  <c r="A127" i="8"/>
  <c r="A623" i="5"/>
  <c r="A623" i="6" s="1"/>
  <c r="A648" i="4"/>
  <c r="G118" i="8"/>
  <c r="H118" i="8" s="1"/>
  <c r="A118" i="15"/>
  <c r="A118" i="7"/>
  <c r="A123" i="8"/>
  <c r="C494" i="6"/>
  <c r="A591" i="5"/>
  <c r="A591" i="6" s="1"/>
  <c r="A616" i="4"/>
  <c r="A579" i="5"/>
  <c r="A579" i="6" s="1"/>
  <c r="A604" i="4"/>
  <c r="A583" i="5"/>
  <c r="A583" i="6" s="1"/>
  <c r="A608" i="4"/>
  <c r="D471" i="6"/>
  <c r="B566" i="5"/>
  <c r="C566" i="4"/>
  <c r="D566" i="4" s="1"/>
  <c r="B591" i="4"/>
  <c r="A639" i="5"/>
  <c r="A639" i="6" s="1"/>
  <c r="A664" i="4"/>
  <c r="C475" i="6"/>
  <c r="C496" i="6"/>
  <c r="A644" i="5" l="1"/>
  <c r="A644" i="6" s="1"/>
  <c r="A669" i="4"/>
  <c r="D490" i="6"/>
  <c r="C547" i="4"/>
  <c r="D547" i="4" s="1"/>
  <c r="B547" i="5"/>
  <c r="B572" i="4"/>
  <c r="D498" i="6"/>
  <c r="C563" i="5"/>
  <c r="D563" i="5" s="1"/>
  <c r="B563" i="6"/>
  <c r="C505" i="6"/>
  <c r="D488" i="6"/>
  <c r="C595" i="4"/>
  <c r="D595" i="4" s="1"/>
  <c r="B595" i="5"/>
  <c r="B620" i="4"/>
  <c r="D492" i="6"/>
  <c r="C574" i="5"/>
  <c r="D574" i="5" s="1"/>
  <c r="B574" i="6"/>
  <c r="D486" i="6"/>
  <c r="C534" i="6"/>
  <c r="C519" i="6"/>
  <c r="C550" i="5"/>
  <c r="D550" i="5" s="1"/>
  <c r="B550" i="6"/>
  <c r="C502" i="6"/>
  <c r="C593" i="4"/>
  <c r="D593" i="4" s="1"/>
  <c r="B593" i="5"/>
  <c r="B618" i="4"/>
  <c r="C517" i="6"/>
  <c r="C526" i="5"/>
  <c r="D526" i="5" s="1"/>
  <c r="B526" i="6"/>
  <c r="A660" i="5"/>
  <c r="A660" i="6" s="1"/>
  <c r="A685" i="4"/>
  <c r="A685" i="5" s="1"/>
  <c r="A685" i="6" s="1"/>
  <c r="C587" i="4"/>
  <c r="D587" i="4" s="1"/>
  <c r="B587" i="5"/>
  <c r="B612" i="4"/>
  <c r="A627" i="5"/>
  <c r="A627" i="6" s="1"/>
  <c r="A652" i="4"/>
  <c r="C598" i="4"/>
  <c r="D598" i="4" s="1"/>
  <c r="B598" i="5"/>
  <c r="B623" i="4"/>
  <c r="C542" i="5"/>
  <c r="D542" i="5" s="1"/>
  <c r="B542" i="6"/>
  <c r="C542" i="6" s="1"/>
  <c r="D473" i="6"/>
  <c r="A620" i="5"/>
  <c r="A620" i="6" s="1"/>
  <c r="A645" i="4"/>
  <c r="D484" i="6"/>
  <c r="D485" i="6"/>
  <c r="D477" i="6"/>
  <c r="A664" i="5"/>
  <c r="A664" i="6" s="1"/>
  <c r="A689" i="4"/>
  <c r="A689" i="5" s="1"/>
  <c r="A689" i="6" s="1"/>
  <c r="C566" i="5"/>
  <c r="D566" i="5" s="1"/>
  <c r="B566" i="6"/>
  <c r="A608" i="5"/>
  <c r="A608" i="6" s="1"/>
  <c r="A633" i="4"/>
  <c r="G123" i="8"/>
  <c r="H123" i="8" s="1"/>
  <c r="A123" i="15"/>
  <c r="A123" i="7"/>
  <c r="A128" i="8"/>
  <c r="A648" i="5"/>
  <c r="A648" i="6" s="1"/>
  <c r="A673" i="4"/>
  <c r="B588" i="5"/>
  <c r="C588" i="4"/>
  <c r="D588" i="4" s="1"/>
  <c r="B613" i="4"/>
  <c r="G121" i="8"/>
  <c r="H121" i="8" s="1"/>
  <c r="A121" i="15"/>
  <c r="A121" i="7"/>
  <c r="A126" i="8"/>
  <c r="C599" i="4"/>
  <c r="D599" i="4" s="1"/>
  <c r="B599" i="5"/>
  <c r="B624" i="4"/>
  <c r="C571" i="4"/>
  <c r="D571" i="4" s="1"/>
  <c r="B571" i="5"/>
  <c r="B596" i="4"/>
  <c r="D491" i="6"/>
  <c r="B575" i="5"/>
  <c r="C575" i="4"/>
  <c r="D575" i="4" s="1"/>
  <c r="B600" i="4"/>
  <c r="A628" i="5"/>
  <c r="A628" i="6" s="1"/>
  <c r="A653" i="4"/>
  <c r="C569" i="5"/>
  <c r="D569" i="5" s="1"/>
  <c r="B569" i="6"/>
  <c r="C682" i="5"/>
  <c r="D682" i="5" s="1"/>
  <c r="B682" i="6"/>
  <c r="G125" i="8"/>
  <c r="H125" i="8" s="1"/>
  <c r="A125" i="15"/>
  <c r="A125" i="7"/>
  <c r="A130" i="8"/>
  <c r="G119" i="8"/>
  <c r="H119" i="8" s="1"/>
  <c r="A119" i="15"/>
  <c r="A119" i="7"/>
  <c r="A124" i="8"/>
  <c r="C518" i="6"/>
  <c r="B589" i="5"/>
  <c r="C589" i="4"/>
  <c r="D589" i="4" s="1"/>
  <c r="B614" i="4"/>
  <c r="D479" i="6"/>
  <c r="C512" i="6"/>
  <c r="A616" i="5"/>
  <c r="A616" i="6" s="1"/>
  <c r="A641" i="4"/>
  <c r="D496" i="6"/>
  <c r="C591" i="4"/>
  <c r="D591" i="4" s="1"/>
  <c r="B591" i="5"/>
  <c r="B616" i="4"/>
  <c r="G127" i="8"/>
  <c r="H127" i="8" s="1"/>
  <c r="A127" i="15"/>
  <c r="A127" i="7"/>
  <c r="A132" i="8"/>
  <c r="C503" i="6"/>
  <c r="A612" i="5"/>
  <c r="A612" i="6" s="1"/>
  <c r="A637" i="4"/>
  <c r="C521" i="6"/>
  <c r="A656" i="5"/>
  <c r="A656" i="6" s="1"/>
  <c r="A681" i="4"/>
  <c r="A681" i="5" s="1"/>
  <c r="A681" i="6" s="1"/>
  <c r="C590" i="4"/>
  <c r="D590" i="4" s="1"/>
  <c r="B590" i="5"/>
  <c r="B615" i="4"/>
  <c r="C511" i="6"/>
  <c r="C570" i="5"/>
  <c r="D570" i="5" s="1"/>
  <c r="B570" i="6"/>
  <c r="C515" i="6"/>
  <c r="D483" i="6"/>
  <c r="C546" i="5"/>
  <c r="D546" i="5" s="1"/>
  <c r="B546" i="6"/>
  <c r="C506" i="6"/>
  <c r="C568" i="5"/>
  <c r="D568" i="5" s="1"/>
  <c r="B568" i="6"/>
  <c r="C562" i="5"/>
  <c r="D562" i="5" s="1"/>
  <c r="B562" i="6"/>
  <c r="D493" i="6"/>
  <c r="C573" i="5"/>
  <c r="D573" i="5" s="1"/>
  <c r="B573" i="6"/>
  <c r="C509" i="6"/>
  <c r="A632" i="5"/>
  <c r="A632" i="6" s="1"/>
  <c r="A657" i="4"/>
  <c r="C497" i="6"/>
  <c r="C499" i="6"/>
  <c r="C500" i="6"/>
  <c r="C564" i="5"/>
  <c r="D564" i="5" s="1"/>
  <c r="B564" i="6"/>
  <c r="D478" i="6"/>
  <c r="C501" i="6"/>
  <c r="C507" i="6"/>
  <c r="C516" i="6"/>
  <c r="C577" i="5"/>
  <c r="D577" i="5" s="1"/>
  <c r="B577" i="6"/>
  <c r="C541" i="6"/>
  <c r="C567" i="4"/>
  <c r="D567" i="4" s="1"/>
  <c r="B567" i="5"/>
  <c r="B592" i="4"/>
  <c r="D481" i="6"/>
  <c r="C545" i="6"/>
  <c r="C522" i="5"/>
  <c r="D522" i="5" s="1"/>
  <c r="B522" i="6"/>
  <c r="C525" i="6" s="1"/>
  <c r="D475" i="6"/>
  <c r="A604" i="5"/>
  <c r="A604" i="6" s="1"/>
  <c r="A629" i="4"/>
  <c r="D494" i="6"/>
  <c r="C508" i="6"/>
  <c r="A624" i="5"/>
  <c r="A624" i="6" s="1"/>
  <c r="A649" i="4"/>
  <c r="C520" i="6"/>
  <c r="A676" i="5"/>
  <c r="A676" i="6" s="1"/>
  <c r="A701" i="4"/>
  <c r="A701" i="5" s="1"/>
  <c r="A701" i="6" s="1"/>
  <c r="C565" i="5"/>
  <c r="D565" i="5" s="1"/>
  <c r="B565" i="6"/>
  <c r="A636" i="5"/>
  <c r="A636" i="6" s="1"/>
  <c r="A661" i="4"/>
  <c r="C523" i="6"/>
  <c r="D476" i="6"/>
  <c r="C533" i="6"/>
  <c r="C527" i="6"/>
  <c r="C514" i="6"/>
  <c r="A640" i="5"/>
  <c r="A640" i="6" s="1"/>
  <c r="A665" i="4"/>
  <c r="C504" i="6"/>
  <c r="B551" i="5"/>
  <c r="C551" i="4"/>
  <c r="D551" i="4" s="1"/>
  <c r="B576" i="4"/>
  <c r="C602" i="4"/>
  <c r="D602" i="4" s="1"/>
  <c r="B602" i="5"/>
  <c r="B627" i="4"/>
  <c r="C594" i="4"/>
  <c r="D594" i="4" s="1"/>
  <c r="B594" i="5"/>
  <c r="B619" i="4"/>
  <c r="C686" i="5"/>
  <c r="D686" i="5" s="1"/>
  <c r="B686" i="6"/>
  <c r="C513" i="6"/>
  <c r="C510" i="6"/>
  <c r="A668" i="5"/>
  <c r="A668" i="6" s="1"/>
  <c r="A693" i="4"/>
  <c r="A693" i="5" s="1"/>
  <c r="A693" i="6" s="1"/>
  <c r="D489" i="6"/>
  <c r="D480" i="6"/>
  <c r="D472" i="6"/>
  <c r="A672" i="5"/>
  <c r="A672" i="6" s="1"/>
  <c r="A697" i="4"/>
  <c r="A697" i="5" s="1"/>
  <c r="A697" i="6" s="1"/>
  <c r="C535" i="6"/>
  <c r="D525" i="6" l="1"/>
  <c r="D499" i="6"/>
  <c r="D511" i="6"/>
  <c r="C591" i="5"/>
  <c r="D591" i="5" s="1"/>
  <c r="B591" i="6"/>
  <c r="A641" i="5"/>
  <c r="A641" i="6" s="1"/>
  <c r="A666" i="4"/>
  <c r="D535" i="6"/>
  <c r="C594" i="5"/>
  <c r="D594" i="5" s="1"/>
  <c r="B594" i="6"/>
  <c r="C602" i="5"/>
  <c r="D602" i="5" s="1"/>
  <c r="B602" i="6"/>
  <c r="C551" i="5"/>
  <c r="D551" i="5" s="1"/>
  <c r="B551" i="6"/>
  <c r="C544" i="6"/>
  <c r="A661" i="5"/>
  <c r="A661" i="6" s="1"/>
  <c r="A686" i="4"/>
  <c r="A686" i="5" s="1"/>
  <c r="A686" i="6" s="1"/>
  <c r="D520" i="6"/>
  <c r="D508" i="6"/>
  <c r="D501" i="6"/>
  <c r="D500" i="6"/>
  <c r="C546" i="6"/>
  <c r="C556" i="6"/>
  <c r="A637" i="5"/>
  <c r="A637" i="6" s="1"/>
  <c r="A662" i="4"/>
  <c r="C616" i="4"/>
  <c r="D616" i="4" s="1"/>
  <c r="B616" i="5"/>
  <c r="B641" i="4"/>
  <c r="C589" i="5"/>
  <c r="D589" i="5" s="1"/>
  <c r="B589" i="6"/>
  <c r="A653" i="5"/>
  <c r="A653" i="6" s="1"/>
  <c r="A678" i="4"/>
  <c r="A678" i="5" s="1"/>
  <c r="A678" i="6" s="1"/>
  <c r="C575" i="5"/>
  <c r="D575" i="5" s="1"/>
  <c r="B575" i="6"/>
  <c r="C571" i="5"/>
  <c r="D571" i="5" s="1"/>
  <c r="B571" i="6"/>
  <c r="A673" i="5"/>
  <c r="A673" i="6" s="1"/>
  <c r="A698" i="4"/>
  <c r="A698" i="5" s="1"/>
  <c r="A698" i="6" s="1"/>
  <c r="C538" i="6"/>
  <c r="C598" i="5"/>
  <c r="D598" i="5" s="1"/>
  <c r="B598" i="6"/>
  <c r="D519" i="6"/>
  <c r="C572" i="4"/>
  <c r="D572" i="4" s="1"/>
  <c r="B572" i="5"/>
  <c r="B597" i="4"/>
  <c r="C547" i="5"/>
  <c r="D547" i="5" s="1"/>
  <c r="B547" i="6"/>
  <c r="A669" i="5"/>
  <c r="A669" i="6" s="1"/>
  <c r="A694" i="4"/>
  <c r="A694" i="5" s="1"/>
  <c r="A694" i="6" s="1"/>
  <c r="D514" i="6"/>
  <c r="D541" i="6"/>
  <c r="C564" i="6"/>
  <c r="D509" i="6"/>
  <c r="D506" i="6"/>
  <c r="D515" i="6"/>
  <c r="G126" i="8"/>
  <c r="H126" i="8" s="1"/>
  <c r="A126" i="15"/>
  <c r="A126" i="7"/>
  <c r="A131" i="8"/>
  <c r="C613" i="4"/>
  <c r="D613" i="4" s="1"/>
  <c r="B613" i="5"/>
  <c r="B638" i="4"/>
  <c r="A645" i="5"/>
  <c r="A645" i="6" s="1"/>
  <c r="A670" i="4"/>
  <c r="D517" i="6"/>
  <c r="D534" i="6"/>
  <c r="D510" i="6"/>
  <c r="C576" i="4"/>
  <c r="D576" i="4" s="1"/>
  <c r="B576" i="5"/>
  <c r="B601" i="4"/>
  <c r="A665" i="5"/>
  <c r="A665" i="6" s="1"/>
  <c r="A690" i="4"/>
  <c r="A690" i="5" s="1"/>
  <c r="A690" i="6" s="1"/>
  <c r="D527" i="6"/>
  <c r="A649" i="5"/>
  <c r="A649" i="6" s="1"/>
  <c r="A674" i="4"/>
  <c r="C567" i="5"/>
  <c r="D567" i="5" s="1"/>
  <c r="B567" i="6"/>
  <c r="C567" i="6" s="1"/>
  <c r="C531" i="6"/>
  <c r="D497" i="6"/>
  <c r="C524" i="6"/>
  <c r="C528" i="6"/>
  <c r="C553" i="6"/>
  <c r="C555" i="6"/>
  <c r="C615" i="4"/>
  <c r="D615" i="4" s="1"/>
  <c r="B615" i="5"/>
  <c r="B640" i="4"/>
  <c r="D503" i="6"/>
  <c r="C614" i="4"/>
  <c r="D614" i="4" s="1"/>
  <c r="B614" i="5"/>
  <c r="B639" i="4"/>
  <c r="G124" i="8"/>
  <c r="H124" i="8" s="1"/>
  <c r="A124" i="15"/>
  <c r="A124" i="7"/>
  <c r="A129" i="8"/>
  <c r="G130" i="8"/>
  <c r="H130" i="8" s="1"/>
  <c r="A130" i="15"/>
  <c r="A130" i="7"/>
  <c r="A135" i="8"/>
  <c r="C540" i="6"/>
  <c r="B600" i="5"/>
  <c r="C600" i="4"/>
  <c r="D600" i="4" s="1"/>
  <c r="B625" i="4"/>
  <c r="C624" i="4"/>
  <c r="D624" i="4" s="1"/>
  <c r="B624" i="5"/>
  <c r="B649" i="4"/>
  <c r="G128" i="8"/>
  <c r="H128" i="8" s="1"/>
  <c r="A128" i="15"/>
  <c r="A128" i="7"/>
  <c r="A133" i="8"/>
  <c r="A633" i="5"/>
  <c r="A633" i="6" s="1"/>
  <c r="A658" i="4"/>
  <c r="C587" i="5"/>
  <c r="D587" i="5" s="1"/>
  <c r="B587" i="6"/>
  <c r="C539" i="6"/>
  <c r="B618" i="5"/>
  <c r="C618" i="4"/>
  <c r="D618" i="4" s="1"/>
  <c r="B643" i="4"/>
  <c r="C550" i="6"/>
  <c r="C530" i="6"/>
  <c r="B620" i="5"/>
  <c r="C620" i="4"/>
  <c r="D620" i="4" s="1"/>
  <c r="B645" i="4"/>
  <c r="D504" i="6"/>
  <c r="D545" i="6"/>
  <c r="C592" i="4"/>
  <c r="D592" i="4" s="1"/>
  <c r="B592" i="5"/>
  <c r="B617" i="4"/>
  <c r="D516" i="6"/>
  <c r="D518" i="6"/>
  <c r="D542" i="6"/>
  <c r="C612" i="4"/>
  <c r="D612" i="4" s="1"/>
  <c r="B612" i="5"/>
  <c r="B637" i="4"/>
  <c r="D502" i="6"/>
  <c r="C548" i="6"/>
  <c r="D513" i="6"/>
  <c r="C619" i="4"/>
  <c r="D619" i="4" s="1"/>
  <c r="B619" i="5"/>
  <c r="B644" i="4"/>
  <c r="C627" i="4"/>
  <c r="D627" i="4" s="1"/>
  <c r="B627" i="5"/>
  <c r="B652" i="4"/>
  <c r="D533" i="6"/>
  <c r="D523" i="6"/>
  <c r="C543" i="6"/>
  <c r="A629" i="5"/>
  <c r="A629" i="6" s="1"/>
  <c r="A654" i="4"/>
  <c r="C522" i="6"/>
  <c r="C532" i="6"/>
  <c r="D507" i="6"/>
  <c r="A657" i="5"/>
  <c r="A657" i="6" s="1"/>
  <c r="A682" i="4"/>
  <c r="A682" i="5" s="1"/>
  <c r="A682" i="6" s="1"/>
  <c r="C562" i="6"/>
  <c r="C568" i="6"/>
  <c r="C529" i="6"/>
  <c r="C554" i="6"/>
  <c r="C559" i="6"/>
  <c r="C590" i="5"/>
  <c r="D590" i="5" s="1"/>
  <c r="B590" i="6"/>
  <c r="D521" i="6"/>
  <c r="G132" i="8"/>
  <c r="H132" i="8" s="1"/>
  <c r="A132" i="15"/>
  <c r="A132" i="7"/>
  <c r="A137" i="8"/>
  <c r="D512" i="6"/>
  <c r="C596" i="4"/>
  <c r="D596" i="4" s="1"/>
  <c r="B596" i="5"/>
  <c r="B621" i="4"/>
  <c r="C599" i="5"/>
  <c r="D599" i="5" s="1"/>
  <c r="B599" i="6"/>
  <c r="C588" i="5"/>
  <c r="D588" i="5" s="1"/>
  <c r="B588" i="6"/>
  <c r="C623" i="4"/>
  <c r="D623" i="4" s="1"/>
  <c r="B623" i="5"/>
  <c r="B648" i="4"/>
  <c r="A652" i="5"/>
  <c r="A652" i="6" s="1"/>
  <c r="A677" i="4"/>
  <c r="A677" i="5" s="1"/>
  <c r="A677" i="6" s="1"/>
  <c r="C526" i="6"/>
  <c r="C536" i="6"/>
  <c r="C593" i="5"/>
  <c r="D593" i="5" s="1"/>
  <c r="B593" i="6"/>
  <c r="C595" i="5"/>
  <c r="D595" i="5" s="1"/>
  <c r="B595" i="6"/>
  <c r="D505" i="6"/>
  <c r="C563" i="6"/>
  <c r="C537" i="6"/>
  <c r="D559" i="6" l="1"/>
  <c r="D532" i="6"/>
  <c r="D548" i="6"/>
  <c r="C637" i="4"/>
  <c r="D637" i="4" s="1"/>
  <c r="B637" i="5"/>
  <c r="B662" i="4"/>
  <c r="D550" i="6"/>
  <c r="D528" i="6"/>
  <c r="A662" i="5"/>
  <c r="A662" i="6" s="1"/>
  <c r="A687" i="4"/>
  <c r="A687" i="5" s="1"/>
  <c r="A687" i="6" s="1"/>
  <c r="D554" i="6"/>
  <c r="D562" i="6"/>
  <c r="A654" i="5"/>
  <c r="A654" i="6" s="1"/>
  <c r="A679" i="4"/>
  <c r="A679" i="5" s="1"/>
  <c r="A679" i="6" s="1"/>
  <c r="C627" i="5"/>
  <c r="D627" i="5" s="1"/>
  <c r="B627" i="6"/>
  <c r="C574" i="6"/>
  <c r="C612" i="5"/>
  <c r="D612" i="5" s="1"/>
  <c r="B612" i="6"/>
  <c r="C617" i="4"/>
  <c r="D617" i="4" s="1"/>
  <c r="B617" i="5"/>
  <c r="B642" i="4"/>
  <c r="C643" i="4"/>
  <c r="D643" i="4" s="1"/>
  <c r="B643" i="5"/>
  <c r="B668" i="4"/>
  <c r="G133" i="8"/>
  <c r="H133" i="8" s="1"/>
  <c r="A133" i="15"/>
  <c r="A133" i="7"/>
  <c r="A138" i="8"/>
  <c r="C649" i="4"/>
  <c r="D649" i="4" s="1"/>
  <c r="B649" i="5"/>
  <c r="B674" i="4"/>
  <c r="G135" i="8"/>
  <c r="H135" i="8" s="1"/>
  <c r="A135" i="15"/>
  <c r="A135" i="7"/>
  <c r="A140" i="8"/>
  <c r="G129" i="8"/>
  <c r="H129" i="8" s="1"/>
  <c r="A129" i="15"/>
  <c r="A129" i="7"/>
  <c r="A134" i="8"/>
  <c r="C639" i="4"/>
  <c r="D639" i="4" s="1"/>
  <c r="B639" i="5"/>
  <c r="B664" i="4"/>
  <c r="C570" i="6"/>
  <c r="C601" i="4"/>
  <c r="D601" i="4" s="1"/>
  <c r="B601" i="5"/>
  <c r="B626" i="4"/>
  <c r="G131" i="8"/>
  <c r="H131" i="8" s="1"/>
  <c r="A131" i="15"/>
  <c r="A131" i="7"/>
  <c r="A136" i="8"/>
  <c r="C572" i="5"/>
  <c r="D572" i="5" s="1"/>
  <c r="B572" i="6"/>
  <c r="D538" i="6"/>
  <c r="C571" i="6"/>
  <c r="C641" i="4"/>
  <c r="D641" i="4" s="1"/>
  <c r="B641" i="5"/>
  <c r="B666" i="4"/>
  <c r="D546" i="6"/>
  <c r="C565" i="6"/>
  <c r="C561" i="6"/>
  <c r="A666" i="5"/>
  <c r="A666" i="6" s="1"/>
  <c r="A691" i="4"/>
  <c r="A691" i="5" s="1"/>
  <c r="A691" i="6" s="1"/>
  <c r="D568" i="6"/>
  <c r="D522" i="6"/>
  <c r="C652" i="4"/>
  <c r="D652" i="4" s="1"/>
  <c r="B652" i="5"/>
  <c r="B677" i="4"/>
  <c r="C619" i="5"/>
  <c r="D619" i="5" s="1"/>
  <c r="B619" i="6"/>
  <c r="C645" i="4"/>
  <c r="D645" i="4" s="1"/>
  <c r="B645" i="5"/>
  <c r="B670" i="4"/>
  <c r="D539" i="6"/>
  <c r="C625" i="4"/>
  <c r="D625" i="4" s="1"/>
  <c r="B625" i="5"/>
  <c r="B650" i="4"/>
  <c r="D567" i="6"/>
  <c r="A670" i="5"/>
  <c r="A670" i="6" s="1"/>
  <c r="A695" i="4"/>
  <c r="A695" i="5" s="1"/>
  <c r="A695" i="6" s="1"/>
  <c r="C597" i="4"/>
  <c r="D597" i="4" s="1"/>
  <c r="B597" i="5"/>
  <c r="B622" i="4"/>
  <c r="D544" i="6"/>
  <c r="D537" i="6"/>
  <c r="D536" i="6"/>
  <c r="C648" i="4"/>
  <c r="D648" i="4" s="1"/>
  <c r="B648" i="5"/>
  <c r="B673" i="4"/>
  <c r="C621" i="4"/>
  <c r="D621" i="4" s="1"/>
  <c r="B621" i="5"/>
  <c r="B646" i="4"/>
  <c r="D529" i="6"/>
  <c r="C573" i="6"/>
  <c r="C580" i="6"/>
  <c r="C592" i="5"/>
  <c r="D592" i="5" s="1"/>
  <c r="B592" i="6"/>
  <c r="C592" i="6" s="1"/>
  <c r="C620" i="5"/>
  <c r="D620" i="5" s="1"/>
  <c r="B620" i="6"/>
  <c r="C624" i="5"/>
  <c r="D624" i="5" s="1"/>
  <c r="B624" i="6"/>
  <c r="C600" i="5"/>
  <c r="D600" i="5" s="1"/>
  <c r="B600" i="6"/>
  <c r="C614" i="5"/>
  <c r="D614" i="5" s="1"/>
  <c r="B614" i="6"/>
  <c r="C640" i="4"/>
  <c r="D640" i="4" s="1"/>
  <c r="B640" i="5"/>
  <c r="B665" i="4"/>
  <c r="D555" i="6"/>
  <c r="D524" i="6"/>
  <c r="D531" i="6"/>
  <c r="A674" i="5"/>
  <c r="A674" i="6" s="1"/>
  <c r="A699" i="4"/>
  <c r="A699" i="5" s="1"/>
  <c r="A699" i="6" s="1"/>
  <c r="C576" i="5"/>
  <c r="D576" i="5" s="1"/>
  <c r="B576" i="6"/>
  <c r="C638" i="4"/>
  <c r="D638" i="4" s="1"/>
  <c r="B638" i="5"/>
  <c r="B663" i="4"/>
  <c r="C547" i="6"/>
  <c r="C558" i="6"/>
  <c r="C560" i="6"/>
  <c r="C549" i="6"/>
  <c r="C566" i="6"/>
  <c r="C616" i="5"/>
  <c r="D616" i="5" s="1"/>
  <c r="B616" i="6"/>
  <c r="C552" i="6"/>
  <c r="C551" i="6"/>
  <c r="C557" i="6"/>
  <c r="C594" i="6"/>
  <c r="C593" i="6"/>
  <c r="G137" i="8"/>
  <c r="H137" i="8" s="1"/>
  <c r="A137" i="15"/>
  <c r="A137" i="7"/>
  <c r="D540" i="6"/>
  <c r="D563" i="6"/>
  <c r="D526" i="6"/>
  <c r="C623" i="5"/>
  <c r="D623" i="5" s="1"/>
  <c r="B623" i="6"/>
  <c r="C596" i="5"/>
  <c r="D596" i="5" s="1"/>
  <c r="B596" i="6"/>
  <c r="C596" i="6" s="1"/>
  <c r="C585" i="6"/>
  <c r="C577" i="6"/>
  <c r="D543" i="6"/>
  <c r="B644" i="5"/>
  <c r="C644" i="4"/>
  <c r="D644" i="4" s="1"/>
  <c r="B669" i="4"/>
  <c r="D530" i="6"/>
  <c r="C618" i="5"/>
  <c r="D618" i="5" s="1"/>
  <c r="B618" i="6"/>
  <c r="A658" i="5"/>
  <c r="A658" i="6" s="1"/>
  <c r="A683" i="4"/>
  <c r="A683" i="5" s="1"/>
  <c r="A683" i="6" s="1"/>
  <c r="C569" i="6"/>
  <c r="C615" i="5"/>
  <c r="D615" i="5" s="1"/>
  <c r="B615" i="6"/>
  <c r="D553" i="6"/>
  <c r="C613" i="5"/>
  <c r="D613" i="5" s="1"/>
  <c r="B613" i="6"/>
  <c r="D564" i="6"/>
  <c r="C575" i="6"/>
  <c r="C589" i="6"/>
  <c r="D556" i="6"/>
  <c r="C591" i="6"/>
  <c r="C582" i="6"/>
  <c r="D580" i="6" l="1"/>
  <c r="D561" i="6"/>
  <c r="C666" i="4"/>
  <c r="D666" i="4" s="1"/>
  <c r="B666" i="5"/>
  <c r="B691" i="4"/>
  <c r="G136" i="8"/>
  <c r="H136" i="8" s="1"/>
  <c r="A136" i="15"/>
  <c r="A136" i="7"/>
  <c r="A141" i="8"/>
  <c r="B626" i="5"/>
  <c r="C626" i="4"/>
  <c r="D626" i="4" s="1"/>
  <c r="B651" i="4"/>
  <c r="D574" i="6"/>
  <c r="D594" i="6"/>
  <c r="C638" i="5"/>
  <c r="D638" i="5" s="1"/>
  <c r="B638" i="6"/>
  <c r="C614" i="6"/>
  <c r="D592" i="6"/>
  <c r="C583" i="6"/>
  <c r="C590" i="6"/>
  <c r="C588" i="6"/>
  <c r="C606" i="6"/>
  <c r="C650" i="4"/>
  <c r="D650" i="4" s="1"/>
  <c r="B650" i="5"/>
  <c r="B675" i="4"/>
  <c r="D565" i="6"/>
  <c r="C641" i="5"/>
  <c r="D641" i="5" s="1"/>
  <c r="B641" i="6"/>
  <c r="C601" i="5"/>
  <c r="D601" i="5" s="1"/>
  <c r="B601" i="6"/>
  <c r="B664" i="5"/>
  <c r="C664" i="4"/>
  <c r="D664" i="4" s="1"/>
  <c r="B689" i="4"/>
  <c r="C649" i="5"/>
  <c r="D649" i="5" s="1"/>
  <c r="B649" i="6"/>
  <c r="C643" i="5"/>
  <c r="D643" i="5" s="1"/>
  <c r="B643" i="6"/>
  <c r="C662" i="4"/>
  <c r="D662" i="4" s="1"/>
  <c r="B662" i="5"/>
  <c r="B687" i="4"/>
  <c r="D591" i="6"/>
  <c r="D569" i="6"/>
  <c r="C669" i="4"/>
  <c r="D669" i="4" s="1"/>
  <c r="B669" i="5"/>
  <c r="B694" i="4"/>
  <c r="C663" i="4"/>
  <c r="D663" i="4" s="1"/>
  <c r="B663" i="5"/>
  <c r="B688" i="4"/>
  <c r="C652" i="5"/>
  <c r="D652" i="5" s="1"/>
  <c r="B652" i="6"/>
  <c r="D570" i="6"/>
  <c r="G134" i="8"/>
  <c r="H134" i="8" s="1"/>
  <c r="A134" i="15"/>
  <c r="A134" i="7"/>
  <c r="A139" i="8"/>
  <c r="G140" i="8"/>
  <c r="H140" i="8" s="1"/>
  <c r="A140" i="15"/>
  <c r="A140" i="7"/>
  <c r="C674" i="4"/>
  <c r="D674" i="4" s="1"/>
  <c r="B674" i="5"/>
  <c r="B699" i="4"/>
  <c r="C668" i="4"/>
  <c r="D668" i="4" s="1"/>
  <c r="B668" i="5"/>
  <c r="B693" i="4"/>
  <c r="C617" i="5"/>
  <c r="D617" i="5" s="1"/>
  <c r="B617" i="6"/>
  <c r="D552" i="6"/>
  <c r="C644" i="5"/>
  <c r="D644" i="5" s="1"/>
  <c r="B644" i="6"/>
  <c r="D577" i="6"/>
  <c r="D557" i="6"/>
  <c r="D549" i="6"/>
  <c r="D558" i="6"/>
  <c r="C665" i="4"/>
  <c r="D665" i="4" s="1"/>
  <c r="B665" i="5"/>
  <c r="B690" i="4"/>
  <c r="D573" i="6"/>
  <c r="B646" i="5"/>
  <c r="C646" i="4"/>
  <c r="D646" i="4" s="1"/>
  <c r="B671" i="4"/>
  <c r="C673" i="4"/>
  <c r="D673" i="4" s="1"/>
  <c r="B673" i="5"/>
  <c r="B698" i="4"/>
  <c r="C622" i="4"/>
  <c r="D622" i="4" s="1"/>
  <c r="B622" i="5"/>
  <c r="B647" i="4"/>
  <c r="C625" i="5"/>
  <c r="D625" i="5" s="1"/>
  <c r="B625" i="6"/>
  <c r="C670" i="4"/>
  <c r="D670" i="4" s="1"/>
  <c r="B670" i="5"/>
  <c r="B695" i="4"/>
  <c r="C572" i="6"/>
  <c r="C584" i="6"/>
  <c r="C581" i="6"/>
  <c r="C639" i="5"/>
  <c r="D639" i="5" s="1"/>
  <c r="B639" i="6"/>
  <c r="C612" i="6"/>
  <c r="C578" i="6"/>
  <c r="C637" i="5"/>
  <c r="D637" i="5" s="1"/>
  <c r="B637" i="6"/>
  <c r="C599" i="6"/>
  <c r="D575" i="6"/>
  <c r="D593" i="6"/>
  <c r="D566" i="6"/>
  <c r="D582" i="6"/>
  <c r="D589" i="6"/>
  <c r="C613" i="6"/>
  <c r="C618" i="6"/>
  <c r="D585" i="6"/>
  <c r="D596" i="6"/>
  <c r="D551" i="6"/>
  <c r="D560" i="6"/>
  <c r="D547" i="6"/>
  <c r="C576" i="6"/>
  <c r="C586" i="6"/>
  <c r="C640" i="5"/>
  <c r="D640" i="5" s="1"/>
  <c r="B640" i="6"/>
  <c r="C600" i="6"/>
  <c r="C620" i="6"/>
  <c r="C621" i="5"/>
  <c r="D621" i="5" s="1"/>
  <c r="B621" i="6"/>
  <c r="C648" i="5"/>
  <c r="D648" i="5" s="1"/>
  <c r="B648" i="6"/>
  <c r="C595" i="6"/>
  <c r="C608" i="6"/>
  <c r="C602" i="6"/>
  <c r="C597" i="5"/>
  <c r="D597" i="5" s="1"/>
  <c r="B597" i="6"/>
  <c r="C645" i="5"/>
  <c r="D645" i="5" s="1"/>
  <c r="B645" i="6"/>
  <c r="C677" i="4"/>
  <c r="D677" i="4" s="1"/>
  <c r="B677" i="5"/>
  <c r="D571" i="6"/>
  <c r="G138" i="8"/>
  <c r="H138" i="8" s="1"/>
  <c r="A138" i="15"/>
  <c r="A138" i="7"/>
  <c r="C587" i="6"/>
  <c r="C642" i="4"/>
  <c r="D642" i="4" s="1"/>
  <c r="B642" i="5"/>
  <c r="B667" i="4"/>
  <c r="C579" i="6"/>
  <c r="D602" i="6" l="1"/>
  <c r="D620" i="6"/>
  <c r="D586" i="6"/>
  <c r="D618" i="6"/>
  <c r="D599" i="6"/>
  <c r="D612" i="6"/>
  <c r="D584" i="6"/>
  <c r="C670" i="5"/>
  <c r="D670" i="5" s="1"/>
  <c r="B670" i="6"/>
  <c r="C647" i="4"/>
  <c r="D647" i="4" s="1"/>
  <c r="B647" i="5"/>
  <c r="B672" i="4"/>
  <c r="C671" i="4"/>
  <c r="D671" i="4" s="1"/>
  <c r="B671" i="5"/>
  <c r="B696" i="4"/>
  <c r="C616" i="6"/>
  <c r="C699" i="4"/>
  <c r="D699" i="4" s="1"/>
  <c r="B699" i="5"/>
  <c r="C687" i="4"/>
  <c r="D687" i="4" s="1"/>
  <c r="B687" i="5"/>
  <c r="C619" i="6"/>
  <c r="C605" i="6"/>
  <c r="D590" i="6"/>
  <c r="C651" i="4"/>
  <c r="D651" i="4" s="1"/>
  <c r="B651" i="5"/>
  <c r="B676" i="4"/>
  <c r="C666" i="5"/>
  <c r="D666" i="5" s="1"/>
  <c r="B666" i="6"/>
  <c r="C667" i="4"/>
  <c r="D667" i="4" s="1"/>
  <c r="B667" i="5"/>
  <c r="B692" i="4"/>
  <c r="C642" i="5"/>
  <c r="D642" i="5" s="1"/>
  <c r="B642" i="6"/>
  <c r="D600" i="6"/>
  <c r="D613" i="6"/>
  <c r="C694" i="4"/>
  <c r="D694" i="4" s="1"/>
  <c r="B694" i="5"/>
  <c r="C662" i="5"/>
  <c r="D662" i="5" s="1"/>
  <c r="B662" i="6"/>
  <c r="C664" i="5"/>
  <c r="D664" i="5" s="1"/>
  <c r="B664" i="6"/>
  <c r="C675" i="4"/>
  <c r="D675" i="4" s="1"/>
  <c r="B675" i="5"/>
  <c r="B700" i="4"/>
  <c r="D606" i="6"/>
  <c r="D583" i="6"/>
  <c r="D614" i="6"/>
  <c r="C677" i="5"/>
  <c r="D677" i="5" s="1"/>
  <c r="B677" i="6"/>
  <c r="C597" i="6"/>
  <c r="C604" i="6"/>
  <c r="C603" i="6"/>
  <c r="C598" i="6"/>
  <c r="C621" i="6"/>
  <c r="D572" i="6"/>
  <c r="C673" i="5"/>
  <c r="D673" i="5" s="1"/>
  <c r="B673" i="6"/>
  <c r="C646" i="5"/>
  <c r="D646" i="5" s="1"/>
  <c r="B646" i="6"/>
  <c r="C665" i="5"/>
  <c r="D665" i="5" s="1"/>
  <c r="B665" i="6"/>
  <c r="C668" i="5"/>
  <c r="D668" i="5" s="1"/>
  <c r="B668" i="6"/>
  <c r="G139" i="8"/>
  <c r="H139" i="8" s="1"/>
  <c r="A139" i="15"/>
  <c r="A139" i="7"/>
  <c r="C688" i="4"/>
  <c r="D688" i="4" s="1"/>
  <c r="B688" i="5"/>
  <c r="C669" i="5"/>
  <c r="D669" i="5" s="1"/>
  <c r="B669" i="6"/>
  <c r="C627" i="6"/>
  <c r="C601" i="6"/>
  <c r="C611" i="6"/>
  <c r="C607" i="6"/>
  <c r="C650" i="5"/>
  <c r="D650" i="5" s="1"/>
  <c r="B650" i="6"/>
  <c r="C626" i="5"/>
  <c r="D626" i="5" s="1"/>
  <c r="B626" i="6"/>
  <c r="D608" i="6"/>
  <c r="D576" i="6"/>
  <c r="C622" i="5"/>
  <c r="D622" i="5" s="1"/>
  <c r="B622" i="6"/>
  <c r="B698" i="5"/>
  <c r="C698" i="4"/>
  <c r="D698" i="4" s="1"/>
  <c r="C690" i="4"/>
  <c r="D690" i="4" s="1"/>
  <c r="B690" i="5"/>
  <c r="C693" i="4"/>
  <c r="D693" i="4" s="1"/>
  <c r="B693" i="5"/>
  <c r="C674" i="5"/>
  <c r="D674" i="5" s="1"/>
  <c r="B674" i="6"/>
  <c r="D579" i="6"/>
  <c r="D587" i="6"/>
  <c r="D595" i="6"/>
  <c r="D578" i="6"/>
  <c r="D581" i="6"/>
  <c r="C695" i="4"/>
  <c r="D695" i="4" s="1"/>
  <c r="B695" i="5"/>
  <c r="C610" i="6"/>
  <c r="C615" i="6"/>
  <c r="C617" i="6"/>
  <c r="C663" i="5"/>
  <c r="D663" i="5" s="1"/>
  <c r="B663" i="6"/>
  <c r="C643" i="6"/>
  <c r="C689" i="4"/>
  <c r="D689" i="4" s="1"/>
  <c r="B689" i="5"/>
  <c r="D588" i="6"/>
  <c r="G141" i="8"/>
  <c r="H141" i="8" s="1"/>
  <c r="A141" i="15"/>
  <c r="A141" i="7"/>
  <c r="C691" i="4"/>
  <c r="D691" i="4" s="1"/>
  <c r="B691" i="5"/>
  <c r="C609" i="6"/>
  <c r="C698" i="5" l="1"/>
  <c r="D698" i="5" s="1"/>
  <c r="B698" i="6"/>
  <c r="D609" i="6"/>
  <c r="D615" i="6"/>
  <c r="C622" i="6"/>
  <c r="C629" i="6"/>
  <c r="C628" i="6"/>
  <c r="C633" i="6"/>
  <c r="D603" i="6"/>
  <c r="D597" i="6"/>
  <c r="C639" i="6"/>
  <c r="C641" i="6"/>
  <c r="D616" i="6"/>
  <c r="D643" i="6"/>
  <c r="C626" i="6"/>
  <c r="C635" i="6"/>
  <c r="C632" i="6"/>
  <c r="C636" i="6"/>
  <c r="C692" i="4"/>
  <c r="D692" i="4" s="1"/>
  <c r="B692" i="5"/>
  <c r="C691" i="5"/>
  <c r="D691" i="5" s="1"/>
  <c r="B691" i="6"/>
  <c r="C689" i="5"/>
  <c r="D689" i="5" s="1"/>
  <c r="B689" i="6"/>
  <c r="D610" i="6"/>
  <c r="C693" i="5"/>
  <c r="D693" i="5" s="1"/>
  <c r="B693" i="6"/>
  <c r="C638" i="6"/>
  <c r="D611" i="6"/>
  <c r="C640" i="6"/>
  <c r="B700" i="5"/>
  <c r="C700" i="4"/>
  <c r="D700" i="4" s="1"/>
  <c r="C694" i="5"/>
  <c r="D694" i="5" s="1"/>
  <c r="B694" i="6"/>
  <c r="C667" i="5"/>
  <c r="D667" i="5" s="1"/>
  <c r="B667" i="6"/>
  <c r="C676" i="4"/>
  <c r="D676" i="4" s="1"/>
  <c r="B676" i="5"/>
  <c r="B701" i="4"/>
  <c r="C630" i="6"/>
  <c r="C699" i="5"/>
  <c r="D699" i="5" s="1"/>
  <c r="B699" i="6"/>
  <c r="C696" i="4"/>
  <c r="D696" i="4" s="1"/>
  <c r="B696" i="5"/>
  <c r="C672" i="4"/>
  <c r="D672" i="4" s="1"/>
  <c r="B672" i="5"/>
  <c r="B697" i="4"/>
  <c r="C645" i="6"/>
  <c r="D617" i="6"/>
  <c r="D627" i="6"/>
  <c r="C688" i="5"/>
  <c r="D688" i="5" s="1"/>
  <c r="B688" i="6"/>
  <c r="D604" i="6"/>
  <c r="C644" i="6"/>
  <c r="D619" i="6"/>
  <c r="C687" i="5"/>
  <c r="D687" i="5" s="1"/>
  <c r="B687" i="6"/>
  <c r="C634" i="6"/>
  <c r="C690" i="5"/>
  <c r="D690" i="5" s="1"/>
  <c r="B690" i="6"/>
  <c r="D607" i="6"/>
  <c r="C695" i="5"/>
  <c r="D695" i="5" s="1"/>
  <c r="B695" i="6"/>
  <c r="C637" i="6"/>
  <c r="D601" i="6"/>
  <c r="C623" i="6"/>
  <c r="C646" i="6"/>
  <c r="C625" i="6"/>
  <c r="D621" i="6"/>
  <c r="D598" i="6"/>
  <c r="C675" i="5"/>
  <c r="D675" i="5" s="1"/>
  <c r="B675" i="6"/>
  <c r="C642" i="6"/>
  <c r="C651" i="5"/>
  <c r="D651" i="5" s="1"/>
  <c r="B651" i="6"/>
  <c r="C656" i="6" s="1"/>
  <c r="D605" i="6"/>
  <c r="C631" i="6"/>
  <c r="C660" i="6"/>
  <c r="C671" i="5"/>
  <c r="D671" i="5" s="1"/>
  <c r="B671" i="6"/>
  <c r="C647" i="5"/>
  <c r="D647" i="5" s="1"/>
  <c r="B647" i="6"/>
  <c r="C647" i="6" s="1"/>
  <c r="C648" i="6"/>
  <c r="C624" i="6"/>
  <c r="D656" i="6" l="1"/>
  <c r="C671" i="6"/>
  <c r="C697" i="4"/>
  <c r="D697" i="4" s="1"/>
  <c r="B697" i="5"/>
  <c r="C692" i="5"/>
  <c r="D692" i="5" s="1"/>
  <c r="B692" i="6"/>
  <c r="D626" i="6"/>
  <c r="D629" i="6"/>
  <c r="D648" i="6"/>
  <c r="D642" i="6"/>
  <c r="D625" i="6"/>
  <c r="D644" i="6"/>
  <c r="C672" i="5"/>
  <c r="D672" i="5" s="1"/>
  <c r="B672" i="6"/>
  <c r="C672" i="6" s="1"/>
  <c r="D630" i="6"/>
  <c r="C667" i="6"/>
  <c r="D636" i="6"/>
  <c r="D641" i="6"/>
  <c r="C665" i="6"/>
  <c r="D622" i="6"/>
  <c r="D660" i="6"/>
  <c r="C651" i="6"/>
  <c r="C657" i="6"/>
  <c r="C661" i="6"/>
  <c r="D624" i="6"/>
  <c r="D631" i="6"/>
  <c r="C653" i="6"/>
  <c r="C654" i="6"/>
  <c r="C666" i="6"/>
  <c r="C670" i="6"/>
  <c r="C673" i="6"/>
  <c r="D647" i="6"/>
  <c r="C655" i="6"/>
  <c r="C649" i="6"/>
  <c r="D646" i="6"/>
  <c r="C650" i="6"/>
  <c r="C668" i="6"/>
  <c r="D645" i="6"/>
  <c r="C701" i="4"/>
  <c r="D701" i="4" s="1"/>
  <c r="B701" i="5"/>
  <c r="C700" i="5"/>
  <c r="D700" i="5" s="1"/>
  <c r="B700" i="6"/>
  <c r="D640" i="6"/>
  <c r="D638" i="6"/>
  <c r="C664" i="6"/>
  <c r="D632" i="6"/>
  <c r="D639" i="6"/>
  <c r="D633" i="6"/>
  <c r="C674" i="6"/>
  <c r="D623" i="6"/>
  <c r="D637" i="6"/>
  <c r="D634" i="6"/>
  <c r="C696" i="5"/>
  <c r="D696" i="5" s="1"/>
  <c r="B696" i="6"/>
  <c r="C659" i="6"/>
  <c r="C676" i="5"/>
  <c r="D676" i="5" s="1"/>
  <c r="B676" i="6"/>
  <c r="C669" i="6"/>
  <c r="C663" i="6"/>
  <c r="C658" i="6"/>
  <c r="D635" i="6"/>
  <c r="C652" i="6"/>
  <c r="D628" i="6"/>
  <c r="C662" i="6"/>
  <c r="C676" i="6" l="1"/>
  <c r="C683" i="6"/>
  <c r="C682" i="6"/>
  <c r="C684" i="6"/>
  <c r="C686" i="6"/>
  <c r="D662" i="6"/>
  <c r="C693" i="6"/>
  <c r="C694" i="6"/>
  <c r="C696" i="6"/>
  <c r="D664" i="6"/>
  <c r="D666" i="6"/>
  <c r="D661" i="6"/>
  <c r="C685" i="6"/>
  <c r="D671" i="6"/>
  <c r="D669" i="6"/>
  <c r="D674" i="6"/>
  <c r="C691" i="6"/>
  <c r="C701" i="5"/>
  <c r="D701" i="5" s="1"/>
  <c r="B701" i="6"/>
  <c r="D668" i="6"/>
  <c r="D649" i="6"/>
  <c r="C677" i="6"/>
  <c r="D657" i="6"/>
  <c r="D667" i="6"/>
  <c r="D672" i="6"/>
  <c r="C689" i="6"/>
  <c r="C688" i="6"/>
  <c r="C675" i="6"/>
  <c r="D658" i="6"/>
  <c r="C681" i="6"/>
  <c r="C680" i="6"/>
  <c r="D650" i="6"/>
  <c r="D655" i="6"/>
  <c r="D673" i="6"/>
  <c r="D654" i="6"/>
  <c r="D651" i="6"/>
  <c r="C687" i="6"/>
  <c r="C679" i="6"/>
  <c r="D652" i="6"/>
  <c r="D663" i="6"/>
  <c r="C678" i="6"/>
  <c r="D659" i="6"/>
  <c r="C700" i="6"/>
  <c r="D670" i="6"/>
  <c r="D653" i="6"/>
  <c r="D665" i="6"/>
  <c r="C690" i="6"/>
  <c r="C692" i="6"/>
  <c r="C697" i="5"/>
  <c r="D697" i="5" s="1"/>
  <c r="B697" i="6"/>
  <c r="C697" i="6" s="1"/>
  <c r="C695" i="6"/>
  <c r="D700" i="6" l="1"/>
  <c r="D687" i="6"/>
  <c r="D680" i="6"/>
  <c r="C701" i="6"/>
  <c r="D693" i="6"/>
  <c r="D684" i="6"/>
  <c r="D695" i="6"/>
  <c r="D697" i="6"/>
  <c r="D692" i="6"/>
  <c r="D675" i="6"/>
  <c r="C699" i="6"/>
  <c r="D682" i="6"/>
  <c r="D678" i="6"/>
  <c r="D681" i="6"/>
  <c r="D688" i="6"/>
  <c r="D677" i="6"/>
  <c r="D691" i="6"/>
  <c r="D685" i="6"/>
  <c r="D696" i="6"/>
  <c r="D683" i="6"/>
  <c r="D690" i="6"/>
  <c r="D679" i="6"/>
  <c r="D689" i="6"/>
  <c r="C698" i="6"/>
  <c r="D694" i="6"/>
  <c r="D686" i="6"/>
  <c r="D676" i="6"/>
  <c r="D698" i="6" l="1"/>
  <c r="D701" i="6"/>
  <c r="D699" i="6"/>
  <c r="H352" i="6" l="1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2" i="6" l="1"/>
  <c r="H350" i="6"/>
  <c r="H346" i="6"/>
  <c r="H342" i="6"/>
  <c r="H338" i="6"/>
  <c r="H334" i="6"/>
  <c r="H330" i="6"/>
  <c r="H326" i="6"/>
  <c r="H322" i="6"/>
  <c r="H318" i="6"/>
  <c r="H314" i="6"/>
  <c r="H310" i="6"/>
  <c r="H306" i="6"/>
  <c r="H302" i="6"/>
  <c r="H298" i="6"/>
  <c r="H294" i="6"/>
  <c r="H290" i="6"/>
  <c r="H286" i="6"/>
  <c r="H282" i="6"/>
  <c r="H278" i="6"/>
  <c r="H274" i="6"/>
  <c r="H270" i="6"/>
  <c r="H266" i="6"/>
  <c r="H262" i="6"/>
  <c r="H258" i="6"/>
  <c r="H254" i="6"/>
  <c r="H250" i="6"/>
  <c r="H246" i="6"/>
  <c r="H242" i="6"/>
  <c r="H238" i="6"/>
  <c r="H234" i="6"/>
  <c r="H230" i="6"/>
  <c r="H226" i="6"/>
  <c r="H222" i="6"/>
  <c r="H218" i="6"/>
  <c r="H214" i="6"/>
  <c r="H210" i="6"/>
  <c r="H206" i="6"/>
  <c r="H202" i="6"/>
  <c r="H198" i="6"/>
  <c r="H194" i="6"/>
  <c r="H190" i="6"/>
  <c r="H186" i="6"/>
  <c r="H182" i="6"/>
  <c r="H178" i="6"/>
  <c r="H174" i="6"/>
  <c r="H170" i="6"/>
  <c r="H166" i="6"/>
  <c r="H162" i="6"/>
  <c r="H158" i="6"/>
  <c r="H154" i="6"/>
  <c r="H150" i="6"/>
  <c r="H146" i="6"/>
  <c r="H142" i="6"/>
  <c r="H138" i="6"/>
  <c r="H134" i="6"/>
  <c r="H130" i="6"/>
  <c r="H126" i="6"/>
  <c r="H122" i="6"/>
  <c r="H118" i="6"/>
  <c r="H114" i="6"/>
  <c r="H110" i="6"/>
  <c r="H106" i="6"/>
  <c r="H102" i="6"/>
  <c r="H98" i="6"/>
  <c r="H94" i="6"/>
  <c r="H90" i="6"/>
  <c r="H86" i="6"/>
  <c r="H82" i="6"/>
  <c r="H78" i="6"/>
  <c r="H74" i="6"/>
  <c r="H70" i="6"/>
  <c r="H66" i="6"/>
  <c r="H62" i="6"/>
  <c r="H58" i="6"/>
  <c r="H54" i="6"/>
  <c r="H50" i="6"/>
  <c r="H46" i="6"/>
  <c r="H42" i="6"/>
  <c r="H38" i="6"/>
  <c r="H34" i="6"/>
  <c r="H30" i="6"/>
  <c r="H26" i="6"/>
  <c r="H22" i="6"/>
  <c r="H18" i="6"/>
  <c r="H14" i="6"/>
  <c r="H10" i="6"/>
  <c r="H6" i="6"/>
  <c r="H349" i="6"/>
  <c r="H345" i="6"/>
  <c r="H341" i="6"/>
  <c r="H337" i="6"/>
  <c r="H333" i="6"/>
  <c r="H329" i="6"/>
  <c r="H325" i="6"/>
  <c r="H321" i="6"/>
  <c r="H317" i="6"/>
  <c r="H313" i="6"/>
  <c r="H309" i="6"/>
  <c r="H305" i="6"/>
  <c r="H301" i="6"/>
  <c r="H297" i="6"/>
  <c r="H293" i="6"/>
  <c r="H289" i="6"/>
  <c r="H285" i="6"/>
  <c r="H281" i="6"/>
  <c r="H277" i="6"/>
  <c r="H273" i="6"/>
  <c r="H269" i="6"/>
  <c r="H265" i="6"/>
  <c r="H261" i="6"/>
  <c r="H257" i="6"/>
  <c r="H253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348" i="6"/>
  <c r="H344" i="6"/>
  <c r="H340" i="6"/>
  <c r="H336" i="6"/>
  <c r="H332" i="6"/>
  <c r="H328" i="6"/>
  <c r="H324" i="6"/>
  <c r="H320" i="6"/>
  <c r="H316" i="6"/>
  <c r="H312" i="6"/>
  <c r="H308" i="6"/>
  <c r="H304" i="6"/>
  <c r="H300" i="6"/>
  <c r="H296" i="6"/>
  <c r="H292" i="6"/>
  <c r="H288" i="6"/>
  <c r="H284" i="6"/>
  <c r="H280" i="6"/>
  <c r="H276" i="6"/>
  <c r="H272" i="6"/>
  <c r="H268" i="6"/>
  <c r="H264" i="6"/>
  <c r="H260" i="6"/>
  <c r="H256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351" i="6"/>
  <c r="H347" i="6"/>
  <c r="H343" i="6"/>
  <c r="H339" i="6"/>
  <c r="H335" i="6"/>
  <c r="H331" i="6"/>
  <c r="H327" i="6"/>
  <c r="H323" i="6"/>
  <c r="H319" i="6"/>
  <c r="H315" i="6"/>
  <c r="H311" i="6"/>
  <c r="H307" i="6"/>
  <c r="H303" i="6"/>
  <c r="H299" i="6"/>
  <c r="H295" i="6"/>
  <c r="H291" i="6"/>
  <c r="H287" i="6"/>
  <c r="H283" i="6"/>
  <c r="H279" i="6"/>
  <c r="H275" i="6"/>
  <c r="H271" i="6"/>
  <c r="H267" i="6"/>
  <c r="H263" i="6"/>
  <c r="H259" i="6"/>
  <c r="H255" i="6"/>
  <c r="H251" i="6"/>
  <c r="H247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G78" i="7" l="1"/>
  <c r="G110" i="7"/>
  <c r="G77" i="7"/>
  <c r="G134" i="7"/>
  <c r="G85" i="7"/>
  <c r="G120" i="7"/>
  <c r="G126" i="7"/>
  <c r="G73" i="7"/>
  <c r="G89" i="7"/>
  <c r="G135" i="7"/>
  <c r="G114" i="7"/>
  <c r="G93" i="7"/>
  <c r="G129" i="7"/>
  <c r="G107" i="7"/>
  <c r="G86" i="7"/>
  <c r="G122" i="7"/>
  <c r="G101" i="7"/>
  <c r="G79" i="7"/>
  <c r="G132" i="7"/>
  <c r="G116" i="7"/>
  <c r="G100" i="7"/>
  <c r="G84" i="7"/>
  <c r="G94" i="7"/>
  <c r="G119" i="7"/>
  <c r="G113" i="7"/>
  <c r="G106" i="7"/>
  <c r="G104" i="7"/>
  <c r="G72" i="7"/>
  <c r="G105" i="7"/>
  <c r="G121" i="7"/>
  <c r="G137" i="7"/>
  <c r="G130" i="7"/>
  <c r="G109" i="7"/>
  <c r="G87" i="7"/>
  <c r="G123" i="7"/>
  <c r="G102" i="7"/>
  <c r="G81" i="7"/>
  <c r="G138" i="7"/>
  <c r="G117" i="7"/>
  <c r="G95" i="7"/>
  <c r="G74" i="7"/>
  <c r="G128" i="7"/>
  <c r="G112" i="7"/>
  <c r="G96" i="7"/>
  <c r="G80" i="7"/>
  <c r="G141" i="7"/>
  <c r="G98" i="7"/>
  <c r="G91" i="7"/>
  <c r="G127" i="7"/>
  <c r="G136" i="7"/>
  <c r="G88" i="7"/>
  <c r="G83" i="7"/>
  <c r="G99" i="7"/>
  <c r="G115" i="7"/>
  <c r="G131" i="7"/>
  <c r="G125" i="7"/>
  <c r="G103" i="7"/>
  <c r="G82" i="7"/>
  <c r="G139" i="7"/>
  <c r="G118" i="7"/>
  <c r="G97" i="7"/>
  <c r="G75" i="7"/>
  <c r="G133" i="7"/>
  <c r="G111" i="7"/>
  <c r="G90" i="7"/>
  <c r="G140" i="7"/>
  <c r="G124" i="7"/>
  <c r="G108" i="7"/>
  <c r="G92" i="7"/>
  <c r="G76" i="7"/>
  <c r="G55" i="7" l="1"/>
  <c r="G22" i="7"/>
  <c r="G23" i="7"/>
  <c r="G28" i="7"/>
  <c r="G17" i="7"/>
  <c r="G69" i="7"/>
  <c r="G42" i="7"/>
  <c r="G40" i="7"/>
  <c r="G62" i="7"/>
  <c r="G59" i="7"/>
  <c r="G64" i="7"/>
  <c r="G53" i="7"/>
  <c r="G34" i="7"/>
  <c r="G3" i="7"/>
  <c r="G13" i="7"/>
  <c r="G15" i="7"/>
  <c r="G20" i="7"/>
  <c r="G9" i="7"/>
  <c r="G54" i="7"/>
  <c r="G10" i="7"/>
  <c r="G50" i="7"/>
  <c r="G56" i="7"/>
  <c r="G39" i="7"/>
  <c r="G33" i="7"/>
  <c r="G61" i="7"/>
  <c r="G18" i="7"/>
  <c r="G11" i="7"/>
  <c r="G16" i="7"/>
  <c r="G5" i="7"/>
  <c r="G38" i="7"/>
  <c r="G51" i="7"/>
  <c r="G6" i="7"/>
  <c r="G46" i="7"/>
  <c r="G31" i="7"/>
  <c r="G36" i="7"/>
  <c r="G25" i="7"/>
  <c r="G65" i="7"/>
  <c r="G30" i="7"/>
  <c r="G2" i="7"/>
  <c r="G26" i="7"/>
  <c r="G60" i="7"/>
  <c r="G49" i="7"/>
  <c r="G8" i="7"/>
  <c r="G27" i="7"/>
  <c r="G32" i="7"/>
  <c r="G21" i="7"/>
  <c r="G58" i="7"/>
  <c r="G14" i="7"/>
  <c r="G47" i="7"/>
  <c r="G52" i="7"/>
  <c r="G41" i="7"/>
  <c r="G71" i="7"/>
  <c r="G29" i="7"/>
  <c r="G7" i="7"/>
  <c r="G44" i="7"/>
  <c r="G12" i="7"/>
  <c r="G24" i="7"/>
  <c r="G45" i="7"/>
  <c r="G43" i="7"/>
  <c r="G48" i="7"/>
  <c r="G37" i="7"/>
  <c r="G66" i="7"/>
  <c r="G67" i="7"/>
  <c r="G70" i="7"/>
  <c r="G4" i="7"/>
  <c r="G68" i="7"/>
  <c r="G57" i="7"/>
  <c r="G35" i="7"/>
  <c r="G63" i="7"/>
  <c r="G19" i="7"/>
</calcChain>
</file>

<file path=xl/sharedStrings.xml><?xml version="1.0" encoding="utf-8"?>
<sst xmlns="http://schemas.openxmlformats.org/spreadsheetml/2006/main" count="2583" uniqueCount="1259">
  <si>
    <r>
      <t>Rosean</t>
    </r>
    <r>
      <rPr>
        <sz val="10"/>
        <color theme="1"/>
        <rFont val="宋体"/>
        <family val="3"/>
        <charset val="134"/>
      </rPr>
      <t>山脉</t>
    </r>
  </si>
  <si>
    <r>
      <rPr>
        <b/>
        <sz val="10"/>
        <color theme="1"/>
        <rFont val="宋体"/>
        <family val="2"/>
      </rPr>
      <t>材料</t>
    </r>
    <r>
      <rPr>
        <b/>
        <sz val="10"/>
        <color theme="1"/>
        <rFont val="Arial"/>
        <family val="2"/>
      </rPr>
      <t>id</t>
    </r>
    <phoneticPr fontId="1" type="noConversion"/>
  </si>
  <si>
    <t>材料名字</t>
    <phoneticPr fontId="1" type="noConversion"/>
  </si>
  <si>
    <t>des</t>
    <phoneticPr fontId="1" type="noConversion"/>
  </si>
  <si>
    <t>image</t>
    <phoneticPr fontId="1" type="noConversion"/>
  </si>
  <si>
    <t>用途</t>
    <phoneticPr fontId="1" type="noConversion"/>
  </si>
  <si>
    <t>材料等级</t>
    <phoneticPr fontId="1" type="noConversion"/>
  </si>
  <si>
    <t>合成等级</t>
    <phoneticPr fontId="1" type="noConversion"/>
  </si>
  <si>
    <t>掉落率</t>
    <phoneticPr fontId="1" type="noConversion"/>
  </si>
  <si>
    <t>cost</t>
    <phoneticPr fontId="1" type="noConversion"/>
  </si>
  <si>
    <t>材料种类</t>
    <phoneticPr fontId="1" type="noConversion"/>
  </si>
  <si>
    <t>石材</t>
    <phoneticPr fontId="1" type="noConversion"/>
  </si>
  <si>
    <t>店铺升级用的石材</t>
    <phoneticPr fontId="1" type="noConversion"/>
  </si>
  <si>
    <t>IC0911</t>
    <phoneticPr fontId="1" type="noConversion"/>
  </si>
  <si>
    <t>店铺升级</t>
    <phoneticPr fontId="1" type="noConversion"/>
  </si>
  <si>
    <t>矿物</t>
    <phoneticPr fontId="1" type="noConversion"/>
  </si>
  <si>
    <t>优良石材</t>
    <phoneticPr fontId="1" type="noConversion"/>
  </si>
  <si>
    <t>品质高的店铺用的升级石材</t>
    <phoneticPr fontId="1" type="noConversion"/>
  </si>
  <si>
    <t>高级石材</t>
    <phoneticPr fontId="1" type="noConversion"/>
  </si>
  <si>
    <t>高品质的店铺升级用的石材</t>
    <phoneticPr fontId="1" type="noConversion"/>
  </si>
  <si>
    <t>IC0911</t>
  </si>
  <si>
    <t>顶级石材</t>
    <phoneticPr fontId="1" type="noConversion"/>
  </si>
  <si>
    <t>最高品质店铺用的升级石材</t>
    <phoneticPr fontId="1" type="noConversion"/>
  </si>
  <si>
    <t>粘土</t>
    <phoneticPr fontId="1" type="noConversion"/>
  </si>
  <si>
    <t>工房升级用的粘土</t>
    <phoneticPr fontId="1" type="noConversion"/>
  </si>
  <si>
    <t>IC0614</t>
  </si>
  <si>
    <t>工房升级</t>
    <phoneticPr fontId="1" type="noConversion"/>
  </si>
  <si>
    <t>优良粘土</t>
    <phoneticPr fontId="1" type="noConversion"/>
  </si>
  <si>
    <t>品质高的工房升级用的粘土</t>
    <phoneticPr fontId="1" type="noConversion"/>
  </si>
  <si>
    <t>高级粘土</t>
    <phoneticPr fontId="1" type="noConversion"/>
  </si>
  <si>
    <t>高品质的工房升级用的粘土</t>
    <phoneticPr fontId="1" type="noConversion"/>
  </si>
  <si>
    <t>顶级粘土</t>
    <phoneticPr fontId="1" type="noConversion"/>
  </si>
  <si>
    <t>最高品质工房用的升级粘土</t>
    <phoneticPr fontId="1" type="noConversion"/>
  </si>
  <si>
    <t>土</t>
    <phoneticPr fontId="1" type="noConversion"/>
  </si>
  <si>
    <t>庭院升级用的土</t>
    <phoneticPr fontId="1" type="noConversion"/>
  </si>
  <si>
    <t>庭院升级</t>
    <phoneticPr fontId="1" type="noConversion"/>
  </si>
  <si>
    <t>优良土</t>
    <phoneticPr fontId="1" type="noConversion"/>
  </si>
  <si>
    <t>品质高的庭院升级用的土</t>
    <phoneticPr fontId="1" type="noConversion"/>
  </si>
  <si>
    <t>高级土</t>
    <phoneticPr fontId="1" type="noConversion"/>
  </si>
  <si>
    <t>高品质的庭院升级用的土</t>
    <phoneticPr fontId="1" type="noConversion"/>
  </si>
  <si>
    <t>顶级土</t>
    <phoneticPr fontId="1" type="noConversion"/>
  </si>
  <si>
    <t>最高品质的庭院升级用的土</t>
    <phoneticPr fontId="1" type="noConversion"/>
  </si>
  <si>
    <t>新鲜的泥巴</t>
    <phoneticPr fontId="1" type="noConversion"/>
  </si>
  <si>
    <t>新鲜挖掘出来的优良泥巴</t>
    <phoneticPr fontId="1" type="noConversion"/>
  </si>
  <si>
    <t>IC0627</t>
  </si>
  <si>
    <t>通用</t>
    <phoneticPr fontId="1" type="noConversion"/>
  </si>
  <si>
    <t>研磨土块</t>
    <phoneticPr fontId="1" type="noConversion"/>
  </si>
  <si>
    <t>绮丽的碾磨土块</t>
    <phoneticPr fontId="1" type="noConversion"/>
  </si>
  <si>
    <t>矿石</t>
    <phoneticPr fontId="1" type="noConversion"/>
  </si>
  <si>
    <t>矿场深处挖掘出来的矿物</t>
    <phoneticPr fontId="1" type="noConversion"/>
  </si>
  <si>
    <t>炎石</t>
    <phoneticPr fontId="1" type="noConversion"/>
  </si>
  <si>
    <t>发出赤色火炎的矿物</t>
    <phoneticPr fontId="1" type="noConversion"/>
  </si>
  <si>
    <t>IC0920</t>
  </si>
  <si>
    <t>苍石</t>
    <phoneticPr fontId="1" type="noConversion"/>
  </si>
  <si>
    <t>发出苍色辉光的矿物</t>
    <phoneticPr fontId="1" type="noConversion"/>
  </si>
  <si>
    <t>IC0921</t>
  </si>
  <si>
    <t>魔法石</t>
    <phoneticPr fontId="1" type="noConversion"/>
  </si>
  <si>
    <t>带有魔力的矿物</t>
    <phoneticPr fontId="1" type="noConversion"/>
  </si>
  <si>
    <t>IC0912</t>
  </si>
  <si>
    <t>物理</t>
    <phoneticPr fontId="1" type="noConversion"/>
  </si>
  <si>
    <t>赤魔法石</t>
    <phoneticPr fontId="1" type="noConversion"/>
  </si>
  <si>
    <t>赤色的高品质魔法石</t>
    <phoneticPr fontId="1" type="noConversion"/>
  </si>
  <si>
    <t>IC0915</t>
  </si>
  <si>
    <t>火炎</t>
    <phoneticPr fontId="1" type="noConversion"/>
  </si>
  <si>
    <t>青魔法石</t>
    <phoneticPr fontId="1" type="noConversion"/>
  </si>
  <si>
    <t>青色的高品质魔法石</t>
    <phoneticPr fontId="1" type="noConversion"/>
  </si>
  <si>
    <t>IC0914</t>
  </si>
  <si>
    <t>冷却</t>
    <phoneticPr fontId="1" type="noConversion"/>
  </si>
  <si>
    <t>绿魔法石</t>
    <phoneticPr fontId="1" type="noConversion"/>
  </si>
  <si>
    <t>绿色的高品质魔法石</t>
    <phoneticPr fontId="1" type="noConversion"/>
  </si>
  <si>
    <t>IC0916</t>
  </si>
  <si>
    <t>电击</t>
    <phoneticPr fontId="1" type="noConversion"/>
  </si>
  <si>
    <t>紫魔法石</t>
    <phoneticPr fontId="1" type="noConversion"/>
  </si>
  <si>
    <t>紫色的高品质魔法石</t>
    <phoneticPr fontId="1" type="noConversion"/>
  </si>
  <si>
    <t>IC0913</t>
  </si>
  <si>
    <t>地脉</t>
    <phoneticPr fontId="1" type="noConversion"/>
  </si>
  <si>
    <t>白魔法石</t>
    <phoneticPr fontId="1" type="noConversion"/>
  </si>
  <si>
    <t>白色的高品质魔法石</t>
    <phoneticPr fontId="1" type="noConversion"/>
  </si>
  <si>
    <t>IC0917</t>
  </si>
  <si>
    <t>神圣</t>
    <phoneticPr fontId="1" type="noConversion"/>
  </si>
  <si>
    <t>黑魔法石</t>
    <phoneticPr fontId="1" type="noConversion"/>
  </si>
  <si>
    <t>黑色的高品质魔法石</t>
    <phoneticPr fontId="1" type="noConversion"/>
  </si>
  <si>
    <t>IC0918</t>
  </si>
  <si>
    <t>黑暗</t>
    <phoneticPr fontId="1" type="noConversion"/>
  </si>
  <si>
    <t>浮游石</t>
    <phoneticPr fontId="1" type="noConversion"/>
  </si>
  <si>
    <t>不可思议具有浮游能力的石头</t>
    <phoneticPr fontId="1" type="noConversion"/>
  </si>
  <si>
    <t>IC0919</t>
  </si>
  <si>
    <t>珍珠石</t>
    <phoneticPr fontId="1" type="noConversion"/>
  </si>
  <si>
    <t>绮丽的球体纯白色的石头</t>
    <phoneticPr fontId="1" type="noConversion"/>
  </si>
  <si>
    <t>IC0923</t>
  </si>
  <si>
    <t>黑晶石</t>
    <phoneticPr fontId="1" type="noConversion"/>
  </si>
  <si>
    <t>神兽骨常年累月变化而成</t>
    <phoneticPr fontId="1" type="noConversion"/>
  </si>
  <si>
    <t>IC0924</t>
  </si>
  <si>
    <t>绿晶石</t>
    <phoneticPr fontId="1" type="noConversion"/>
  </si>
  <si>
    <t>稀少的铜矿结晶析出而成</t>
    <phoneticPr fontId="1" type="noConversion"/>
  </si>
  <si>
    <t>IC0925</t>
  </si>
  <si>
    <t>金刚石</t>
    <phoneticPr fontId="1" type="noConversion"/>
  </si>
  <si>
    <t>天然形成最坚硬的石头</t>
    <phoneticPr fontId="1" type="noConversion"/>
  </si>
  <si>
    <t>IC0926</t>
    <phoneticPr fontId="1" type="noConversion"/>
  </si>
  <si>
    <t>水结晶石</t>
    <phoneticPr fontId="1" type="noConversion"/>
  </si>
  <si>
    <t>水结晶形成的石头</t>
    <phoneticPr fontId="1" type="noConversion"/>
  </si>
  <si>
    <t>IC0922</t>
  </si>
  <si>
    <t>黑铜矿</t>
    <phoneticPr fontId="1" type="noConversion"/>
  </si>
  <si>
    <t>轻量坚硬的魔法铜</t>
    <phoneticPr fontId="1" type="noConversion"/>
  </si>
  <si>
    <t>IC0931</t>
  </si>
  <si>
    <t>优良黑铜矿</t>
    <phoneticPr fontId="1" type="noConversion"/>
  </si>
  <si>
    <t>南方特产的魔法铜</t>
    <phoneticPr fontId="1" type="noConversion"/>
  </si>
  <si>
    <t>高级黑铜矿</t>
    <phoneticPr fontId="1" type="noConversion"/>
  </si>
  <si>
    <t>矿石融合树液凝结而成</t>
    <phoneticPr fontId="1" type="noConversion"/>
  </si>
  <si>
    <t>顶级黑铜矿</t>
    <phoneticPr fontId="1" type="noConversion"/>
  </si>
  <si>
    <t>白金色的魔法铜</t>
    <phoneticPr fontId="1" type="noConversion"/>
  </si>
  <si>
    <t>粉铜矿</t>
    <phoneticPr fontId="1" type="noConversion"/>
  </si>
  <si>
    <t>粉色带有魔法的金属</t>
    <phoneticPr fontId="1" type="noConversion"/>
  </si>
  <si>
    <t>IC0936</t>
  </si>
  <si>
    <t>优良粉铜矿</t>
    <phoneticPr fontId="1" type="noConversion"/>
  </si>
  <si>
    <t>纯度很高的稀有金属</t>
    <phoneticPr fontId="1" type="noConversion"/>
  </si>
  <si>
    <t>桃色粉铜矿</t>
    <phoneticPr fontId="1" type="noConversion"/>
  </si>
  <si>
    <t>IC0937</t>
  </si>
  <si>
    <t>黑色粉铜矿</t>
    <phoneticPr fontId="1" type="noConversion"/>
  </si>
  <si>
    <t>IC0938</t>
  </si>
  <si>
    <t>紫色粉铜矿</t>
    <phoneticPr fontId="1" type="noConversion"/>
  </si>
  <si>
    <t>IC0939</t>
  </si>
  <si>
    <t>黄色粉铜矿</t>
    <phoneticPr fontId="1" type="noConversion"/>
  </si>
  <si>
    <t>IC0940</t>
  </si>
  <si>
    <t>木材</t>
    <phoneticPr fontId="1" type="noConversion"/>
  </si>
  <si>
    <t>房屋升级所需的木材</t>
    <phoneticPr fontId="1" type="noConversion"/>
  </si>
  <si>
    <t>IC0601</t>
  </si>
  <si>
    <t>房屋升级</t>
    <phoneticPr fontId="1" type="noConversion"/>
  </si>
  <si>
    <t>植物</t>
    <phoneticPr fontId="1" type="noConversion"/>
  </si>
  <si>
    <t>优良木材</t>
    <phoneticPr fontId="1" type="noConversion"/>
  </si>
  <si>
    <t>品质高的房屋升级所需的木材</t>
    <phoneticPr fontId="1" type="noConversion"/>
  </si>
  <si>
    <t>高级木材</t>
    <phoneticPr fontId="1" type="noConversion"/>
  </si>
  <si>
    <t>高品质的房屋升级所需的木材</t>
    <phoneticPr fontId="1" type="noConversion"/>
  </si>
  <si>
    <t>顶级木材</t>
    <phoneticPr fontId="1" type="noConversion"/>
  </si>
  <si>
    <t>顶级品质房屋升级所需的木材</t>
    <phoneticPr fontId="1" type="noConversion"/>
  </si>
  <si>
    <t>树枝</t>
    <phoneticPr fontId="1" type="noConversion"/>
  </si>
  <si>
    <t>高级树枝</t>
    <phoneticPr fontId="1" type="noConversion"/>
  </si>
  <si>
    <t>高级植物的树枝</t>
    <phoneticPr fontId="1" type="noConversion"/>
  </si>
  <si>
    <t>家具用木材</t>
    <phoneticPr fontId="1" type="noConversion"/>
  </si>
  <si>
    <t>家具制作需要的木材</t>
    <phoneticPr fontId="1" type="noConversion"/>
  </si>
  <si>
    <t>家具制作</t>
    <phoneticPr fontId="1" type="noConversion"/>
  </si>
  <si>
    <t>家具用良木材</t>
    <phoneticPr fontId="1" type="noConversion"/>
  </si>
  <si>
    <t>家具制作需要的优质木材</t>
    <phoneticPr fontId="1" type="noConversion"/>
  </si>
  <si>
    <t>家具用高级木材</t>
    <phoneticPr fontId="1" type="noConversion"/>
  </si>
  <si>
    <t>家具制作需要的高级木材</t>
    <phoneticPr fontId="1" type="noConversion"/>
  </si>
  <si>
    <t>家具用最高级木材</t>
    <phoneticPr fontId="1" type="noConversion"/>
  </si>
  <si>
    <t>家具制作需要的顶级木材</t>
    <phoneticPr fontId="1" type="noConversion"/>
  </si>
  <si>
    <t>香叶</t>
    <phoneticPr fontId="1" type="noConversion"/>
  </si>
  <si>
    <t>香气迷人的植物采集的叶子</t>
    <phoneticPr fontId="1" type="noConversion"/>
  </si>
  <si>
    <t>IC0950</t>
  </si>
  <si>
    <t>植物制作</t>
    <phoneticPr fontId="1" type="noConversion"/>
  </si>
  <si>
    <t>绿草</t>
    <phoneticPr fontId="1" type="noConversion"/>
  </si>
  <si>
    <t>轻盈植物采集的叶子</t>
    <phoneticPr fontId="1" type="noConversion"/>
  </si>
  <si>
    <t>水草</t>
    <phoneticPr fontId="1" type="noConversion"/>
  </si>
  <si>
    <t>水边生长植物采集的叶子</t>
    <phoneticPr fontId="1" type="noConversion"/>
  </si>
  <si>
    <t>白草</t>
    <phoneticPr fontId="1" type="noConversion"/>
  </si>
  <si>
    <t>白色珍惜植物采集的叶子</t>
    <phoneticPr fontId="1" type="noConversion"/>
  </si>
  <si>
    <t>IC0953</t>
  </si>
  <si>
    <t>枯草</t>
    <phoneticPr fontId="1" type="noConversion"/>
  </si>
  <si>
    <t>完全枯萎的植物</t>
    <phoneticPr fontId="1" type="noConversion"/>
  </si>
  <si>
    <t>IC0952</t>
    <phoneticPr fontId="1" type="noConversion"/>
  </si>
  <si>
    <t>干草</t>
    <phoneticPr fontId="1" type="noConversion"/>
  </si>
  <si>
    <t>杂草晒干后收集而成</t>
    <phoneticPr fontId="1" type="noConversion"/>
  </si>
  <si>
    <t>IC0602</t>
  </si>
  <si>
    <t>弹力草</t>
    <phoneticPr fontId="1" type="noConversion"/>
  </si>
  <si>
    <t>树海里特殊植物生长的具有弹力的茎</t>
    <phoneticPr fontId="1" type="noConversion"/>
  </si>
  <si>
    <t>IC0988</t>
  </si>
  <si>
    <t>月间草</t>
    <phoneticPr fontId="1" type="noConversion"/>
  </si>
  <si>
    <t>随着时间而改变颜色的草</t>
    <phoneticPr fontId="1" type="noConversion"/>
  </si>
  <si>
    <t>彩虹草</t>
    <phoneticPr fontId="1" type="noConversion"/>
  </si>
  <si>
    <t>突变而生的具有七彩颜色的草</t>
    <phoneticPr fontId="1" type="noConversion"/>
  </si>
  <si>
    <t>IC0956</t>
  </si>
  <si>
    <t>黑暗花</t>
    <phoneticPr fontId="1" type="noConversion"/>
  </si>
  <si>
    <t>黑色的花朵生长在阴暗处</t>
    <phoneticPr fontId="1" type="noConversion"/>
  </si>
  <si>
    <t>IC0968</t>
  </si>
  <si>
    <t>闪光花</t>
    <phoneticPr fontId="1" type="noConversion"/>
  </si>
  <si>
    <t>会闪光突然吓你一跳</t>
    <phoneticPr fontId="1" type="noConversion"/>
  </si>
  <si>
    <t>IC0959</t>
  </si>
  <si>
    <t>太阳花</t>
    <phoneticPr fontId="1" type="noConversion"/>
  </si>
  <si>
    <t>向着太阳生长的花朵</t>
    <phoneticPr fontId="1" type="noConversion"/>
  </si>
  <si>
    <t>IC0960</t>
  </si>
  <si>
    <t>灵木的根</t>
    <phoneticPr fontId="1" type="noConversion"/>
  </si>
  <si>
    <t>灵木的根生长到地表采集到的根</t>
    <phoneticPr fontId="1" type="noConversion"/>
  </si>
  <si>
    <t>IC0957</t>
  </si>
  <si>
    <t>灵木的枝</t>
    <phoneticPr fontId="1" type="noConversion"/>
  </si>
  <si>
    <t>爬到灵木的枝干上采集的树枝</t>
    <phoneticPr fontId="1" type="noConversion"/>
  </si>
  <si>
    <t>IC0958</t>
  </si>
  <si>
    <t>奇特树的茎</t>
    <phoneticPr fontId="1" type="noConversion"/>
  </si>
  <si>
    <t>奇怪的树奇怪的茎</t>
    <phoneticPr fontId="1" type="noConversion"/>
  </si>
  <si>
    <t>赤色蘑菇</t>
    <phoneticPr fontId="1" type="noConversion"/>
  </si>
  <si>
    <t>森林内生长的赤色蘑菇</t>
    <phoneticPr fontId="1" type="noConversion"/>
  </si>
  <si>
    <t>IC0942</t>
  </si>
  <si>
    <t>青色蘑菇</t>
    <phoneticPr fontId="1" type="noConversion"/>
  </si>
  <si>
    <t>森林内生长的青色蘑菇</t>
    <phoneticPr fontId="1" type="noConversion"/>
  </si>
  <si>
    <t>IC0943</t>
  </si>
  <si>
    <t>七色蘑菇</t>
    <phoneticPr fontId="1" type="noConversion"/>
  </si>
  <si>
    <t>特别稀有的七彩蘑菇</t>
    <phoneticPr fontId="1" type="noConversion"/>
  </si>
  <si>
    <t>IC0945</t>
  </si>
  <si>
    <t>成熟的果实</t>
    <phoneticPr fontId="1" type="noConversion"/>
  </si>
  <si>
    <t>熟透的果子掉在地上收集而来</t>
    <phoneticPr fontId="1" type="noConversion"/>
  </si>
  <si>
    <t>IC0946</t>
  </si>
  <si>
    <t>南瓜</t>
    <phoneticPr fontId="1" type="noConversion"/>
  </si>
  <si>
    <t>味道鲜美长相良好的南瓜</t>
    <phoneticPr fontId="1" type="noConversion"/>
  </si>
  <si>
    <t>IC0941</t>
  </si>
  <si>
    <t>赤色的魔术丝</t>
    <phoneticPr fontId="1" type="noConversion"/>
  </si>
  <si>
    <t>具有特殊魔力的赤色丝带</t>
    <phoneticPr fontId="1" type="noConversion"/>
  </si>
  <si>
    <t>IC0963</t>
  </si>
  <si>
    <t>青色的魔术丝</t>
    <phoneticPr fontId="1" type="noConversion"/>
  </si>
  <si>
    <t>具有特殊魔力的青色丝带</t>
    <phoneticPr fontId="1" type="noConversion"/>
  </si>
  <si>
    <t>IC0962</t>
  </si>
  <si>
    <t>绿色的魔术丝</t>
    <phoneticPr fontId="1" type="noConversion"/>
  </si>
  <si>
    <t>具有特殊魔力的绿色丝带</t>
    <phoneticPr fontId="1" type="noConversion"/>
  </si>
  <si>
    <t>IC0964</t>
  </si>
  <si>
    <t>茶色的魔术丝</t>
    <phoneticPr fontId="1" type="noConversion"/>
  </si>
  <si>
    <t>具有特殊魔力的茶色丝带</t>
    <phoneticPr fontId="1" type="noConversion"/>
  </si>
  <si>
    <t>IC0961</t>
  </si>
  <si>
    <t>白色的魔术丝</t>
    <phoneticPr fontId="1" type="noConversion"/>
  </si>
  <si>
    <t>具有特殊魔力的白色丝带</t>
    <phoneticPr fontId="1" type="noConversion"/>
  </si>
  <si>
    <t>IC0965</t>
  </si>
  <si>
    <t>黑色的魔术丝</t>
    <phoneticPr fontId="1" type="noConversion"/>
  </si>
  <si>
    <t>具有特殊魔力的黑色丝带</t>
    <phoneticPr fontId="1" type="noConversion"/>
  </si>
  <si>
    <t>IC0966</t>
  </si>
  <si>
    <t>七彩的魔术丝</t>
    <phoneticPr fontId="1" type="noConversion"/>
  </si>
  <si>
    <t>具有特殊魔力的七彩丝带</t>
    <phoneticPr fontId="1" type="noConversion"/>
  </si>
  <si>
    <t>IC0967</t>
  </si>
  <si>
    <t>兽骨</t>
    <phoneticPr fontId="1" type="noConversion"/>
  </si>
  <si>
    <t>泥土中腐败的野兽骨头</t>
    <phoneticPr fontId="1" type="noConversion"/>
  </si>
  <si>
    <t>IC0971</t>
  </si>
  <si>
    <t>器官</t>
    <phoneticPr fontId="1" type="noConversion"/>
  </si>
  <si>
    <t>骷髅骨</t>
    <phoneticPr fontId="1" type="noConversion"/>
  </si>
  <si>
    <t>绮丽外形的骨头残骸</t>
    <phoneticPr fontId="1" type="noConversion"/>
  </si>
  <si>
    <t>IC0972</t>
  </si>
  <si>
    <t>地系魔物骨头</t>
    <phoneticPr fontId="1" type="noConversion"/>
  </si>
  <si>
    <t>埋于地下的地兽骨头</t>
    <phoneticPr fontId="1" type="noConversion"/>
  </si>
  <si>
    <t>IC0973</t>
  </si>
  <si>
    <t>水系魔物骨头</t>
    <phoneticPr fontId="1" type="noConversion"/>
  </si>
  <si>
    <t>埋于地下的水兽骨头</t>
    <phoneticPr fontId="1" type="noConversion"/>
  </si>
  <si>
    <t>IC0974</t>
  </si>
  <si>
    <t>火系魔物骨头</t>
    <phoneticPr fontId="1" type="noConversion"/>
  </si>
  <si>
    <t>埋于地下的火兽骨头</t>
    <phoneticPr fontId="1" type="noConversion"/>
  </si>
  <si>
    <t>IC0975</t>
  </si>
  <si>
    <t>电系魔物骨头</t>
    <phoneticPr fontId="1" type="noConversion"/>
  </si>
  <si>
    <t>埋于地下的雷兽骨头</t>
    <phoneticPr fontId="1" type="noConversion"/>
  </si>
  <si>
    <t>IC0976</t>
  </si>
  <si>
    <t>圣系魔物骨头</t>
    <phoneticPr fontId="1" type="noConversion"/>
  </si>
  <si>
    <t>埋于地下的圣兽骨头</t>
    <phoneticPr fontId="1" type="noConversion"/>
  </si>
  <si>
    <t>IC0977</t>
  </si>
  <si>
    <t>暗系魔物骨头</t>
    <phoneticPr fontId="1" type="noConversion"/>
  </si>
  <si>
    <t>埋于地下的暗兽骨头</t>
    <phoneticPr fontId="1" type="noConversion"/>
  </si>
  <si>
    <t>IC0978</t>
  </si>
  <si>
    <t>魔物骨头</t>
    <phoneticPr fontId="1" type="noConversion"/>
  </si>
  <si>
    <t>埋于地下的魔物骨头</t>
    <phoneticPr fontId="1" type="noConversion"/>
  </si>
  <si>
    <t>胆石</t>
    <phoneticPr fontId="1" type="noConversion"/>
  </si>
  <si>
    <t>外形奇特的石头</t>
    <phoneticPr fontId="1" type="noConversion"/>
  </si>
  <si>
    <t>IC0611</t>
  </si>
  <si>
    <t>灵石</t>
    <phoneticPr fontId="1" type="noConversion"/>
  </si>
  <si>
    <t>注入灵力的石头</t>
    <phoneticPr fontId="1" type="noConversion"/>
  </si>
  <si>
    <t>IC0612</t>
  </si>
  <si>
    <t>魅灵石</t>
    <phoneticPr fontId="1" type="noConversion"/>
  </si>
  <si>
    <t>注入魅灵力的石头</t>
    <phoneticPr fontId="1" type="noConversion"/>
  </si>
  <si>
    <t>IC0613</t>
  </si>
  <si>
    <t>水块</t>
    <phoneticPr fontId="1" type="noConversion"/>
  </si>
  <si>
    <t>水和空气凝结而成</t>
    <phoneticPr fontId="1" type="noConversion"/>
  </si>
  <si>
    <t>IC0620</t>
    <phoneticPr fontId="1" type="noConversion"/>
  </si>
  <si>
    <t>赤之液</t>
    <phoneticPr fontId="1" type="noConversion"/>
  </si>
  <si>
    <t>魔神留下的赤色液体</t>
    <phoneticPr fontId="1" type="noConversion"/>
  </si>
  <si>
    <t>IC0625</t>
  </si>
  <si>
    <t>青之液</t>
    <phoneticPr fontId="1" type="noConversion"/>
  </si>
  <si>
    <t>魔神留下的青色液体</t>
    <phoneticPr fontId="1" type="noConversion"/>
  </si>
  <si>
    <t>IC0621</t>
  </si>
  <si>
    <t>黄之液</t>
    <phoneticPr fontId="1" type="noConversion"/>
  </si>
  <si>
    <t>魔神留下的黄色液体</t>
    <phoneticPr fontId="1" type="noConversion"/>
  </si>
  <si>
    <t>IC0622</t>
  </si>
  <si>
    <t>绿之液</t>
    <phoneticPr fontId="1" type="noConversion"/>
  </si>
  <si>
    <t>魔神留下的绿色液体</t>
    <phoneticPr fontId="1" type="noConversion"/>
  </si>
  <si>
    <t>IC0624</t>
  </si>
  <si>
    <t>紫之液</t>
    <phoneticPr fontId="1" type="noConversion"/>
  </si>
  <si>
    <t>魔神留下的紫色液体</t>
    <phoneticPr fontId="1" type="noConversion"/>
  </si>
  <si>
    <t>IC0623</t>
  </si>
  <si>
    <t>酸之液</t>
    <phoneticPr fontId="1" type="noConversion"/>
  </si>
  <si>
    <t>魔神留下的带有腐蚀性的液体</t>
    <phoneticPr fontId="1" type="noConversion"/>
  </si>
  <si>
    <t>IC0626</t>
  </si>
  <si>
    <t>地系魔物血液</t>
    <phoneticPr fontId="1" type="noConversion"/>
  </si>
  <si>
    <t>地兽身上采集的血液</t>
    <phoneticPr fontId="1" type="noConversion"/>
  </si>
  <si>
    <t>水系魔物血液</t>
    <phoneticPr fontId="1" type="noConversion"/>
  </si>
  <si>
    <t>水兽身上采集的血液</t>
    <phoneticPr fontId="1" type="noConversion"/>
  </si>
  <si>
    <t>火系魔物血液</t>
    <phoneticPr fontId="1" type="noConversion"/>
  </si>
  <si>
    <t>火兽身上采集的血液</t>
    <phoneticPr fontId="1" type="noConversion"/>
  </si>
  <si>
    <t>电系魔物血液</t>
    <phoneticPr fontId="1" type="noConversion"/>
  </si>
  <si>
    <t>雷兽身上采集的血液</t>
    <phoneticPr fontId="1" type="noConversion"/>
  </si>
  <si>
    <t>圣系魔物血液</t>
    <phoneticPr fontId="1" type="noConversion"/>
  </si>
  <si>
    <t>圣兽身上采集的血液</t>
    <phoneticPr fontId="1" type="noConversion"/>
  </si>
  <si>
    <t>暗系魔物血液</t>
    <phoneticPr fontId="1" type="noConversion"/>
  </si>
  <si>
    <t>暗兽身上采集的血液</t>
    <phoneticPr fontId="1" type="noConversion"/>
  </si>
  <si>
    <t>魔物血液</t>
    <phoneticPr fontId="1" type="noConversion"/>
  </si>
  <si>
    <t>魔物身上采集的血液</t>
    <phoneticPr fontId="1" type="noConversion"/>
  </si>
  <si>
    <t>IC0671</t>
  </si>
  <si>
    <t>蜥蜴皮革</t>
    <phoneticPr fontId="1" type="noConversion"/>
  </si>
  <si>
    <t>从蜥蜴身上剥下来的皮革</t>
    <phoneticPr fontId="1" type="noConversion"/>
  </si>
  <si>
    <t>IC0661</t>
  </si>
  <si>
    <t>水兽皮革</t>
    <phoneticPr fontId="1" type="noConversion"/>
  </si>
  <si>
    <t>从水兽身上剥下来的皮革</t>
    <phoneticPr fontId="1" type="noConversion"/>
  </si>
  <si>
    <t>IC0670</t>
    <phoneticPr fontId="1" type="noConversion"/>
  </si>
  <si>
    <t>火兽皮革</t>
    <phoneticPr fontId="1" type="noConversion"/>
  </si>
  <si>
    <t>从火兽身上剥下来的皮革</t>
    <phoneticPr fontId="1" type="noConversion"/>
  </si>
  <si>
    <t>IC0669</t>
    <phoneticPr fontId="1" type="noConversion"/>
  </si>
  <si>
    <t>雷兽皮革</t>
    <phoneticPr fontId="1" type="noConversion"/>
  </si>
  <si>
    <t>从雷兽身上剥下来的皮革</t>
    <phoneticPr fontId="1" type="noConversion"/>
  </si>
  <si>
    <t>IC0662</t>
    <phoneticPr fontId="1" type="noConversion"/>
  </si>
  <si>
    <t>水鸟的白皮</t>
    <phoneticPr fontId="1" type="noConversion"/>
  </si>
  <si>
    <t>从珍惜的水鸟上剥下来的白色皮革</t>
    <phoneticPr fontId="1" type="noConversion"/>
  </si>
  <si>
    <t>水兽的鳞片</t>
    <phoneticPr fontId="1" type="noConversion"/>
  </si>
  <si>
    <t>水兽逃跑时留下的鳞片</t>
    <phoneticPr fontId="1" type="noConversion"/>
  </si>
  <si>
    <t>IC0666</t>
  </si>
  <si>
    <t>人狼毛皮</t>
    <phoneticPr fontId="1" type="noConversion"/>
  </si>
  <si>
    <t>从人狼身上剥下来的毛皮</t>
    <phoneticPr fontId="1" type="noConversion"/>
  </si>
  <si>
    <t>巨人之皮</t>
    <phoneticPr fontId="1" type="noConversion"/>
  </si>
  <si>
    <t>巨人身上剥下的毛皮</t>
    <phoneticPr fontId="1" type="noConversion"/>
  </si>
  <si>
    <t>IC0662</t>
  </si>
  <si>
    <t>巨人赤皮</t>
    <phoneticPr fontId="1" type="noConversion"/>
  </si>
  <si>
    <t>赤色巨人身上剥下的毛皮</t>
    <phoneticPr fontId="1" type="noConversion"/>
  </si>
  <si>
    <t>IC0669</t>
  </si>
  <si>
    <t>巨人青皮</t>
    <phoneticPr fontId="1" type="noConversion"/>
  </si>
  <si>
    <t>青色巨人身上剥下的毛皮</t>
    <phoneticPr fontId="1" type="noConversion"/>
  </si>
  <si>
    <t>柔软的毛皮</t>
    <phoneticPr fontId="1" type="noConversion"/>
  </si>
  <si>
    <t>手感优良的毛皮</t>
    <phoneticPr fontId="1" type="noConversion"/>
  </si>
  <si>
    <t>狐炎兽毛皮</t>
    <phoneticPr fontId="1" type="noConversion"/>
  </si>
  <si>
    <t>强力狐炎兽的毛皮</t>
    <phoneticPr fontId="1" type="noConversion"/>
  </si>
  <si>
    <t>龙之皮革</t>
    <phoneticPr fontId="1" type="noConversion"/>
  </si>
  <si>
    <t>巨龙身上剥下的皮革</t>
    <phoneticPr fontId="1" type="noConversion"/>
  </si>
  <si>
    <t>腐败的皮革</t>
    <phoneticPr fontId="1" type="noConversion"/>
  </si>
  <si>
    <t>在石壁下腐烂的皮革</t>
    <phoneticPr fontId="1" type="noConversion"/>
  </si>
  <si>
    <t>恶魔毛皮</t>
    <phoneticPr fontId="1" type="noConversion"/>
  </si>
  <si>
    <t>恶魔的毛皮</t>
    <phoneticPr fontId="1" type="noConversion"/>
  </si>
  <si>
    <t>腐败的毛皮</t>
    <phoneticPr fontId="1" type="noConversion"/>
  </si>
  <si>
    <t>在石壁下腐烂的毛皮</t>
    <phoneticPr fontId="1" type="noConversion"/>
  </si>
  <si>
    <t>IC0678</t>
  </si>
  <si>
    <t>水鸟的羽毛</t>
    <phoneticPr fontId="1" type="noConversion"/>
  </si>
  <si>
    <t>在水边活动的水鸟羽毛</t>
    <phoneticPr fontId="1" type="noConversion"/>
  </si>
  <si>
    <t>IC0702</t>
    <phoneticPr fontId="1" type="noConversion"/>
  </si>
  <si>
    <t>冰鸟的羽毛</t>
    <phoneticPr fontId="1" type="noConversion"/>
  </si>
  <si>
    <t>具有超强冰冻能力的冰鸟的羽毛</t>
    <phoneticPr fontId="1" type="noConversion"/>
  </si>
  <si>
    <t>IC0701</t>
    <phoneticPr fontId="1" type="noConversion"/>
  </si>
  <si>
    <t>震动羽翼</t>
    <phoneticPr fontId="1" type="noConversion"/>
  </si>
  <si>
    <r>
      <rPr>
        <sz val="10"/>
        <color theme="1"/>
        <rFont val="宋体"/>
        <family val="3"/>
        <charset val="134"/>
      </rPr>
      <t>会突然发出震动的羽毛</t>
    </r>
    <r>
      <rPr>
        <sz val="10"/>
        <color theme="1"/>
        <rFont val="Arial"/>
        <family val="2"/>
      </rPr>
      <t xml:space="preserve"> </t>
    </r>
    <phoneticPr fontId="1" type="noConversion"/>
  </si>
  <si>
    <t>IC0703</t>
  </si>
  <si>
    <t>大天使羽翼</t>
    <phoneticPr fontId="1" type="noConversion"/>
  </si>
  <si>
    <t>八位天使蜕下来的羽毛</t>
    <phoneticPr fontId="1" type="noConversion"/>
  </si>
  <si>
    <t>IC0717</t>
    <phoneticPr fontId="1" type="noConversion"/>
  </si>
  <si>
    <t>蝙蝠羽翼</t>
    <phoneticPr fontId="1" type="noConversion"/>
  </si>
  <si>
    <t>羽翼的边缘具有锐利的爪尖</t>
    <phoneticPr fontId="1" type="noConversion"/>
  </si>
  <si>
    <t>IC0707</t>
  </si>
  <si>
    <t>黑蝙蝠羽翼</t>
    <phoneticPr fontId="1" type="noConversion"/>
  </si>
  <si>
    <t>具有很多锐利爪尖的黑蝙蝠羽翼</t>
    <phoneticPr fontId="1" type="noConversion"/>
  </si>
  <si>
    <t>睡魔羽翼</t>
    <phoneticPr fontId="1" type="noConversion"/>
  </si>
  <si>
    <t>黑暗睡魔的羽翼</t>
    <phoneticPr fontId="1" type="noConversion"/>
  </si>
  <si>
    <t>IC0716</t>
  </si>
  <si>
    <t>精灵女王羽翼</t>
    <phoneticPr fontId="1" type="noConversion"/>
  </si>
  <si>
    <t>细长的精灵女王羽翼</t>
    <phoneticPr fontId="1" type="noConversion"/>
  </si>
  <si>
    <t>石像鬼羽翼</t>
    <phoneticPr fontId="1" type="noConversion"/>
  </si>
  <si>
    <t>顽强的石像兵的羽翼</t>
    <phoneticPr fontId="1" type="noConversion"/>
  </si>
  <si>
    <t>昆虫躯壳</t>
    <phoneticPr fontId="1" type="noConversion"/>
  </si>
  <si>
    <t>从死去的昆虫尸体上剥下的躯壳</t>
    <phoneticPr fontId="1" type="noConversion"/>
  </si>
  <si>
    <t>IC0691</t>
  </si>
  <si>
    <t>大型昆虫躯壳</t>
    <phoneticPr fontId="1" type="noConversion"/>
  </si>
  <si>
    <t>从巨大昆虫尸体上剥下的躯壳</t>
    <phoneticPr fontId="1" type="noConversion"/>
  </si>
  <si>
    <t>天使的桃羽</t>
    <phoneticPr fontId="1" type="noConversion"/>
  </si>
  <si>
    <t>非常绚烂的天使羽毛</t>
    <phoneticPr fontId="1" type="noConversion"/>
  </si>
  <si>
    <t>IC0714</t>
  </si>
  <si>
    <t>天使的黑羽</t>
    <phoneticPr fontId="1" type="noConversion"/>
  </si>
  <si>
    <t>IC0715</t>
  </si>
  <si>
    <t>天使的紫羽</t>
    <phoneticPr fontId="1" type="noConversion"/>
  </si>
  <si>
    <t>天使的黄羽</t>
    <phoneticPr fontId="1" type="noConversion"/>
  </si>
  <si>
    <t>IC0717</t>
  </si>
  <si>
    <t>鬼爪</t>
    <phoneticPr fontId="1" type="noConversion"/>
  </si>
  <si>
    <t>狩猎获得的恶鬼的爪子</t>
    <phoneticPr fontId="1" type="noConversion"/>
  </si>
  <si>
    <t>IC0731</t>
    <phoneticPr fontId="1" type="noConversion"/>
  </si>
  <si>
    <t>人狼爪</t>
    <phoneticPr fontId="1" type="noConversion"/>
  </si>
  <si>
    <t>狩猎获得的人狼的爪子</t>
    <phoneticPr fontId="1" type="noConversion"/>
  </si>
  <si>
    <t>IC0732</t>
  </si>
  <si>
    <t>蜥蜴爪</t>
    <phoneticPr fontId="1" type="noConversion"/>
  </si>
  <si>
    <t>狩猎获得的蜥蜴的爪子</t>
    <phoneticPr fontId="1" type="noConversion"/>
  </si>
  <si>
    <t>火兽爪</t>
    <phoneticPr fontId="1" type="noConversion"/>
  </si>
  <si>
    <t>狩猎获得的火兽的爪子</t>
    <phoneticPr fontId="1" type="noConversion"/>
  </si>
  <si>
    <t>IC0734</t>
  </si>
  <si>
    <t>雷兽爪</t>
    <phoneticPr fontId="1" type="noConversion"/>
  </si>
  <si>
    <t>狩猎获得的雷兽的爪子</t>
    <phoneticPr fontId="1" type="noConversion"/>
  </si>
  <si>
    <t>IC0735</t>
    <phoneticPr fontId="1" type="noConversion"/>
  </si>
  <si>
    <t>大型昆虫爪</t>
    <phoneticPr fontId="1" type="noConversion"/>
  </si>
  <si>
    <t>狩猎获得的大型昆虫的爪子</t>
    <phoneticPr fontId="1" type="noConversion"/>
  </si>
  <si>
    <t>IC0737</t>
  </si>
  <si>
    <t>恶魔爪</t>
    <phoneticPr fontId="1" type="noConversion"/>
  </si>
  <si>
    <t>狩猎获得的恶魔的爪子</t>
    <phoneticPr fontId="1" type="noConversion"/>
  </si>
  <si>
    <t>IC0738</t>
  </si>
  <si>
    <t>狐炎兽爪</t>
    <phoneticPr fontId="1" type="noConversion"/>
  </si>
  <si>
    <t>狩猎获得的狐炎兽的爪子</t>
    <phoneticPr fontId="1" type="noConversion"/>
  </si>
  <si>
    <t>蛇龟爪</t>
    <phoneticPr fontId="1" type="noConversion"/>
  </si>
  <si>
    <t>狩猎获得的蛇龟的爪子</t>
    <phoneticPr fontId="1" type="noConversion"/>
  </si>
  <si>
    <t>IC0732</t>
    <phoneticPr fontId="1" type="noConversion"/>
  </si>
  <si>
    <t>龙爪</t>
    <phoneticPr fontId="1" type="noConversion"/>
  </si>
  <si>
    <t>狩猎获得的龙爪</t>
    <phoneticPr fontId="1" type="noConversion"/>
  </si>
  <si>
    <t>IC0737</t>
    <phoneticPr fontId="1" type="noConversion"/>
  </si>
  <si>
    <t>腐败爪</t>
    <phoneticPr fontId="1" type="noConversion"/>
  </si>
  <si>
    <t>从泥土里挖掘出来的腐败的爪子</t>
    <phoneticPr fontId="1" type="noConversion"/>
  </si>
  <si>
    <t>鬼牙</t>
    <phoneticPr fontId="1" type="noConversion"/>
  </si>
  <si>
    <t>恶鬼的牙齿</t>
    <phoneticPr fontId="1" type="noConversion"/>
  </si>
  <si>
    <t>IC0738</t>
    <phoneticPr fontId="1" type="noConversion"/>
  </si>
  <si>
    <t>蜥蜴牙</t>
    <phoneticPr fontId="1" type="noConversion"/>
  </si>
  <si>
    <t>蜥蜴的牙齿</t>
    <phoneticPr fontId="1" type="noConversion"/>
  </si>
  <si>
    <t>IC0761</t>
    <phoneticPr fontId="1" type="noConversion"/>
  </si>
  <si>
    <t>火兽牙</t>
    <phoneticPr fontId="1" type="noConversion"/>
  </si>
  <si>
    <t>火兽的牙齿</t>
    <phoneticPr fontId="1" type="noConversion"/>
  </si>
  <si>
    <t>IC0763</t>
  </si>
  <si>
    <t>雷兽牙</t>
    <phoneticPr fontId="1" type="noConversion"/>
  </si>
  <si>
    <t>雷兽的牙齿</t>
    <phoneticPr fontId="1" type="noConversion"/>
  </si>
  <si>
    <t>IC0765</t>
    <phoneticPr fontId="1" type="noConversion"/>
  </si>
  <si>
    <t>水兽牙</t>
    <phoneticPr fontId="1" type="noConversion"/>
  </si>
  <si>
    <t>水兽的牙齿</t>
    <phoneticPr fontId="1" type="noConversion"/>
  </si>
  <si>
    <t>IC0764</t>
    <phoneticPr fontId="1" type="noConversion"/>
  </si>
  <si>
    <t>巨大鱼牙</t>
    <phoneticPr fontId="1" type="noConversion"/>
  </si>
  <si>
    <t>深海巨鱼的牙齿</t>
    <phoneticPr fontId="1" type="noConversion"/>
  </si>
  <si>
    <t>IC0768</t>
    <phoneticPr fontId="1" type="noConversion"/>
  </si>
  <si>
    <t>蝙蝠牙</t>
    <phoneticPr fontId="1" type="noConversion"/>
  </si>
  <si>
    <t>蝙蝠的牙齿</t>
    <phoneticPr fontId="1" type="noConversion"/>
  </si>
  <si>
    <t>IC0775</t>
    <phoneticPr fontId="1" type="noConversion"/>
  </si>
  <si>
    <t>黑蝙蝠牙</t>
    <phoneticPr fontId="1" type="noConversion"/>
  </si>
  <si>
    <t>黑蝙蝠的牙齿</t>
    <phoneticPr fontId="1" type="noConversion"/>
  </si>
  <si>
    <t>狐炎兽牙</t>
    <phoneticPr fontId="1" type="noConversion"/>
  </si>
  <si>
    <t>狐炎兽的牙齿</t>
    <phoneticPr fontId="1" type="noConversion"/>
  </si>
  <si>
    <t>IC0763</t>
    <phoneticPr fontId="1" type="noConversion"/>
  </si>
  <si>
    <t>蛇龟牙</t>
    <phoneticPr fontId="1" type="noConversion"/>
  </si>
  <si>
    <t>蛇龟的牙齿</t>
    <phoneticPr fontId="1" type="noConversion"/>
  </si>
  <si>
    <t>IC0762</t>
    <phoneticPr fontId="1" type="noConversion"/>
  </si>
  <si>
    <t>龙牙</t>
    <phoneticPr fontId="1" type="noConversion"/>
  </si>
  <si>
    <t>腐败牙</t>
    <phoneticPr fontId="1" type="noConversion"/>
  </si>
  <si>
    <t>泥土里挖掘出来的腐败的牙齿</t>
    <phoneticPr fontId="1" type="noConversion"/>
  </si>
  <si>
    <t>地精魂片</t>
    <phoneticPr fontId="1" type="noConversion"/>
  </si>
  <si>
    <t>寄宿地精能力的魂片</t>
    <phoneticPr fontId="1" type="noConversion"/>
  </si>
  <si>
    <t>IC0841</t>
  </si>
  <si>
    <t>宝石</t>
    <phoneticPr fontId="1" type="noConversion"/>
  </si>
  <si>
    <t>水精魂片</t>
    <phoneticPr fontId="1" type="noConversion"/>
  </si>
  <si>
    <t>寄宿水精能力的魂片</t>
    <phoneticPr fontId="1" type="noConversion"/>
  </si>
  <si>
    <t>IC0842</t>
  </si>
  <si>
    <t>火精魂片</t>
    <phoneticPr fontId="1" type="noConversion"/>
  </si>
  <si>
    <t>寄宿火精能力的魂片</t>
    <phoneticPr fontId="1" type="noConversion"/>
  </si>
  <si>
    <t>IC0843</t>
  </si>
  <si>
    <t>雷精魂片</t>
    <phoneticPr fontId="1" type="noConversion"/>
  </si>
  <si>
    <t>寄宿雷精能力的魂片</t>
    <phoneticPr fontId="1" type="noConversion"/>
  </si>
  <si>
    <t>IC0844</t>
    <phoneticPr fontId="1" type="noConversion"/>
  </si>
  <si>
    <t>灵魂片</t>
    <phoneticPr fontId="1" type="noConversion"/>
  </si>
  <si>
    <t>注入灵力的魂片</t>
    <phoneticPr fontId="1" type="noConversion"/>
  </si>
  <si>
    <t>IC0845</t>
    <phoneticPr fontId="1" type="noConversion"/>
  </si>
  <si>
    <t>魅灵魂片</t>
    <phoneticPr fontId="1" type="noConversion"/>
  </si>
  <si>
    <t>注入魅灵力的魂片</t>
    <phoneticPr fontId="1" type="noConversion"/>
  </si>
  <si>
    <t>IC0847</t>
    <phoneticPr fontId="1" type="noConversion"/>
  </si>
  <si>
    <t>天使魂片</t>
    <phoneticPr fontId="1" type="noConversion"/>
  </si>
  <si>
    <t>寄宿天使能力的魂片</t>
    <phoneticPr fontId="1" type="noConversion"/>
  </si>
  <si>
    <t>IC0850</t>
    <phoneticPr fontId="1" type="noConversion"/>
  </si>
  <si>
    <t>睡魔魂片</t>
    <phoneticPr fontId="1" type="noConversion"/>
  </si>
  <si>
    <t>寄宿睡魔能力的魂片</t>
    <phoneticPr fontId="1" type="noConversion"/>
  </si>
  <si>
    <t>IC0845</t>
  </si>
  <si>
    <t>恶魔魂片</t>
    <phoneticPr fontId="1" type="noConversion"/>
  </si>
  <si>
    <t>寄宿恶魔能力的魂片</t>
    <phoneticPr fontId="1" type="noConversion"/>
  </si>
  <si>
    <t>万能魂片</t>
    <phoneticPr fontId="1" type="noConversion"/>
  </si>
  <si>
    <t>四重属性混合而成的魂片</t>
    <phoneticPr fontId="1" type="noConversion"/>
  </si>
  <si>
    <t>女战士的秘药</t>
    <phoneticPr fontId="1" type="noConversion"/>
  </si>
  <si>
    <t>体力提高的秘药</t>
    <phoneticPr fontId="1" type="noConversion"/>
  </si>
  <si>
    <t>IC0871</t>
  </si>
  <si>
    <t>强力的秘药</t>
    <phoneticPr fontId="1" type="noConversion"/>
  </si>
  <si>
    <t>IC0872</t>
  </si>
  <si>
    <t>终极秘药</t>
    <phoneticPr fontId="1" type="noConversion"/>
  </si>
  <si>
    <t>IC0873</t>
  </si>
  <si>
    <t>女战士的甘蜜</t>
    <phoneticPr fontId="1" type="noConversion"/>
  </si>
  <si>
    <t>女性战士分泌的甘蜜</t>
    <phoneticPr fontId="1" type="noConversion"/>
  </si>
  <si>
    <t>IC0875</t>
  </si>
  <si>
    <t>水晶眼泪</t>
    <phoneticPr fontId="1" type="noConversion"/>
  </si>
  <si>
    <t>水精灵泪珠凝结成的眼泪</t>
    <phoneticPr fontId="1" type="noConversion"/>
  </si>
  <si>
    <t>IC0877</t>
    <phoneticPr fontId="1" type="noConversion"/>
  </si>
  <si>
    <t>蓝缌片</t>
    <phoneticPr fontId="1" type="noConversion"/>
  </si>
  <si>
    <t>蓝色的缌矿</t>
    <phoneticPr fontId="1" type="noConversion"/>
  </si>
  <si>
    <t>IC0887</t>
    <phoneticPr fontId="1" type="noConversion"/>
  </si>
  <si>
    <t>沙盘缌片</t>
    <phoneticPr fontId="1" type="noConversion"/>
  </si>
  <si>
    <t>沙盘缌矿</t>
    <phoneticPr fontId="1" type="noConversion"/>
  </si>
  <si>
    <t>IC0888</t>
  </si>
  <si>
    <t>火之缌片</t>
    <phoneticPr fontId="1" type="noConversion"/>
  </si>
  <si>
    <t>火之缌矿</t>
    <phoneticPr fontId="1" type="noConversion"/>
  </si>
  <si>
    <t>IC0890</t>
    <phoneticPr fontId="1" type="noConversion"/>
  </si>
  <si>
    <t>风之缌片</t>
    <phoneticPr fontId="1" type="noConversion"/>
  </si>
  <si>
    <t>风之缌矿</t>
    <phoneticPr fontId="1" type="noConversion"/>
  </si>
  <si>
    <t>IC0889</t>
    <phoneticPr fontId="1" type="noConversion"/>
  </si>
  <si>
    <t>赤色的水晶</t>
    <phoneticPr fontId="1" type="noConversion"/>
  </si>
  <si>
    <t>发出赤色火焰的水晶</t>
    <phoneticPr fontId="1" type="noConversion"/>
  </si>
  <si>
    <t>IC0892</t>
    <phoneticPr fontId="1" type="noConversion"/>
  </si>
  <si>
    <t>青色的水晶</t>
    <phoneticPr fontId="1" type="noConversion"/>
  </si>
  <si>
    <t>闪耀青色光芒的水晶</t>
    <phoneticPr fontId="1" type="noConversion"/>
  </si>
  <si>
    <t>IC0893</t>
    <phoneticPr fontId="1" type="noConversion"/>
  </si>
  <si>
    <t>黄色的水晶</t>
    <phoneticPr fontId="1" type="noConversion"/>
  </si>
  <si>
    <t>闪耀黄色光芒的水晶</t>
    <phoneticPr fontId="1" type="noConversion"/>
  </si>
  <si>
    <t>IC0894</t>
    <phoneticPr fontId="1" type="noConversion"/>
  </si>
  <si>
    <t>紫色的水晶</t>
    <phoneticPr fontId="1" type="noConversion"/>
  </si>
  <si>
    <t>闪耀紫色光芒的水晶</t>
    <phoneticPr fontId="1" type="noConversion"/>
  </si>
  <si>
    <t>IC0895</t>
    <phoneticPr fontId="1" type="noConversion"/>
  </si>
  <si>
    <t>精灵女王的神珠</t>
    <phoneticPr fontId="1" type="noConversion"/>
  </si>
  <si>
    <t>精灵女王身上取得的神奇魔力的珠子</t>
    <phoneticPr fontId="1" type="noConversion"/>
  </si>
  <si>
    <t>IC0901</t>
    <phoneticPr fontId="1" type="noConversion"/>
  </si>
  <si>
    <t>天使的神珠</t>
    <phoneticPr fontId="1" type="noConversion"/>
  </si>
  <si>
    <t>天使的身上取得的神奇魔力的珠子</t>
    <phoneticPr fontId="1" type="noConversion"/>
  </si>
  <si>
    <t>IC0902</t>
    <phoneticPr fontId="1" type="noConversion"/>
  </si>
  <si>
    <t>歪魔的神珠</t>
    <phoneticPr fontId="1" type="noConversion"/>
  </si>
  <si>
    <t>歪魔神圣取得的神奇魔力的珠子</t>
    <phoneticPr fontId="1" type="noConversion"/>
  </si>
  <si>
    <t>IC0905</t>
    <phoneticPr fontId="1" type="noConversion"/>
  </si>
  <si>
    <t>魔神的神珠</t>
    <phoneticPr fontId="1" type="noConversion"/>
  </si>
  <si>
    <t>魔神身上取得的神奇魔力的珠子</t>
    <phoneticPr fontId="1" type="noConversion"/>
  </si>
  <si>
    <t>IC0906</t>
    <phoneticPr fontId="1" type="noConversion"/>
  </si>
  <si>
    <t>龙魂的神珠</t>
    <phoneticPr fontId="1" type="noConversion"/>
  </si>
  <si>
    <t>龙的魂魄凝聚而成的神珠</t>
    <phoneticPr fontId="1" type="noConversion"/>
  </si>
  <si>
    <t>IC0907</t>
    <phoneticPr fontId="1" type="noConversion"/>
  </si>
  <si>
    <t>西方神殿的法印</t>
    <phoneticPr fontId="1" type="noConversion"/>
  </si>
  <si>
    <t>西方光之神殿的封印法印</t>
    <phoneticPr fontId="1" type="noConversion"/>
  </si>
  <si>
    <t>IC0981</t>
    <phoneticPr fontId="1" type="noConversion"/>
  </si>
  <si>
    <t>白石粉</t>
    <phoneticPr fontId="1" type="noConversion"/>
  </si>
  <si>
    <t>质地纯白的宝石研磨成的粉末</t>
    <phoneticPr fontId="1" type="noConversion"/>
  </si>
  <si>
    <t>IC0750</t>
    <phoneticPr fontId="1" type="noConversion"/>
  </si>
  <si>
    <t>超级方便面</t>
    <phoneticPr fontId="1" type="noConversion"/>
  </si>
  <si>
    <t>超级没有营养的方便面</t>
    <phoneticPr fontId="1" type="noConversion"/>
  </si>
  <si>
    <t>IC0751</t>
    <phoneticPr fontId="1" type="noConversion"/>
  </si>
  <si>
    <t>干燥的草药</t>
    <phoneticPr fontId="1" type="noConversion"/>
  </si>
  <si>
    <t>草药晒干捆绑而成</t>
    <phoneticPr fontId="1" type="noConversion"/>
  </si>
  <si>
    <t>IC0953</t>
    <phoneticPr fontId="1" type="noConversion"/>
  </si>
  <si>
    <t>金色的棒子</t>
    <phoneticPr fontId="1" type="noConversion"/>
  </si>
  <si>
    <t>棒子？？？</t>
    <phoneticPr fontId="1" type="noConversion"/>
  </si>
  <si>
    <t>IC0753</t>
    <phoneticPr fontId="1" type="noConversion"/>
  </si>
  <si>
    <t>【矿物】店铺升级用的石材</t>
  </si>
  <si>
    <t>【矿物】品质高的店铺用的升级石材</t>
  </si>
  <si>
    <t>【矿物】高品质的店铺升级用的石材</t>
  </si>
  <si>
    <t>【矿物】最高品质店铺用的升级石材</t>
  </si>
  <si>
    <t>【矿物】工房升级用的粘土</t>
  </si>
  <si>
    <t>【矿物】品质高的工房升级用的粘土</t>
  </si>
  <si>
    <t>【矿物】高品质的工房升级用的粘土</t>
  </si>
  <si>
    <t>【矿物】最高品质工房用的升级粘土</t>
  </si>
  <si>
    <t>【矿物】庭院升级用的土</t>
  </si>
  <si>
    <t>【矿物】品质高的庭院升级用的土</t>
  </si>
  <si>
    <t>【矿物】高品质的庭院升级用的土</t>
  </si>
  <si>
    <t>【矿物】最高品质的庭院升级用的土</t>
  </si>
  <si>
    <t>【矿物】新鲜挖掘出来的优良泥巴</t>
  </si>
  <si>
    <t>【矿物】绮丽的碾磨土块</t>
  </si>
  <si>
    <t>【矿物】矿场深处挖掘出来的矿物</t>
  </si>
  <si>
    <t>【矿物】发出赤色火炎的矿物</t>
  </si>
  <si>
    <t>【矿物】发出苍色辉光的矿物</t>
  </si>
  <si>
    <t>【矿物】带有魔力的矿物</t>
  </si>
  <si>
    <t>【矿物】赤色的高品质魔法石</t>
  </si>
  <si>
    <t>【矿物】青色的高品质魔法石</t>
  </si>
  <si>
    <t>【矿物】绿色的高品质魔法石</t>
  </si>
  <si>
    <t>【矿物】紫色的高品质魔法石</t>
  </si>
  <si>
    <t>【矿物】白色的高品质魔法石</t>
  </si>
  <si>
    <t>【矿物】黑色的高品质魔法石</t>
  </si>
  <si>
    <t>【矿物】不可思议具有浮游能力的石头</t>
  </si>
  <si>
    <t>【矿物】绮丽的球体纯白色的石头</t>
  </si>
  <si>
    <t>【矿物】神兽骨常年累月变化而成</t>
  </si>
  <si>
    <t>【矿物】稀少的铜矿结晶析出而成</t>
  </si>
  <si>
    <t>【矿物】天然形成最坚硬的石头</t>
  </si>
  <si>
    <t>【矿物】水结晶形成的石头</t>
  </si>
  <si>
    <t>【矿物】轻量坚硬的魔法铜</t>
  </si>
  <si>
    <t>【矿物】南方特产的魔法铜</t>
  </si>
  <si>
    <t>【矿物】矿石融合树液凝结而成</t>
  </si>
  <si>
    <t>【矿物】白金色的魔法铜</t>
  </si>
  <si>
    <t>【矿物】粉色带有魔法的金属</t>
  </si>
  <si>
    <t>【矿物】纯度很高的稀有金属</t>
  </si>
  <si>
    <t>【植物】房屋升级所需的木材</t>
  </si>
  <si>
    <t>【植物】品质高的房屋升级所需的木材</t>
  </si>
  <si>
    <t>【植物】高品质的房屋升级所需的木材</t>
  </si>
  <si>
    <t>【植物】顶级品质房屋升级所需的木材</t>
  </si>
  <si>
    <t>【植物】树枝</t>
  </si>
  <si>
    <t>【植物】高级植物的树枝</t>
  </si>
  <si>
    <t>【植物】家具制作需要的木材</t>
  </si>
  <si>
    <t>【植物】家具制作需要的优质木材</t>
  </si>
  <si>
    <t>【植物】家具制作需要的高级木材</t>
  </si>
  <si>
    <t>【植物】家具制作需要的顶级木材</t>
  </si>
  <si>
    <t>【植物】香气迷人的植物采集的叶子</t>
  </si>
  <si>
    <t>【植物】轻盈植物采集的叶子</t>
  </si>
  <si>
    <t>【植物】水边生长植物采集的叶子</t>
  </si>
  <si>
    <t>【植物】白色珍惜植物采集的叶子</t>
  </si>
  <si>
    <t>【植物】完全枯萎的植物</t>
  </si>
  <si>
    <t>【植物】杂草晒干后收集而成</t>
  </si>
  <si>
    <t>【植物】树海里特殊植物生长的具有弹力的茎</t>
  </si>
  <si>
    <t>【植物】随着时间而改变颜色的草</t>
  </si>
  <si>
    <t>【植物】突变而生的具有七彩颜色的草</t>
  </si>
  <si>
    <t>【植物】黑色的花朵生长在阴暗处</t>
  </si>
  <si>
    <t>【植物】会闪光突然吓你一跳</t>
  </si>
  <si>
    <t>【植物】向着太阳生长的花朵</t>
  </si>
  <si>
    <t>【植物】灵木的根生长到地表采集到的根</t>
  </si>
  <si>
    <t>【植物】爬到灵木的枝干上采集的树枝</t>
  </si>
  <si>
    <t>【植物】奇怪的树奇怪的茎</t>
  </si>
  <si>
    <t>【植物】森林内生长的赤色蘑菇</t>
  </si>
  <si>
    <t>【植物】森林内生长的青色蘑菇</t>
  </si>
  <si>
    <t>【植物】特别稀有的七彩蘑菇</t>
  </si>
  <si>
    <t>【植物】熟透的果子掉在地上收集而来</t>
  </si>
  <si>
    <t>【植物】味道鲜美长相良好的南瓜</t>
  </si>
  <si>
    <t>【植物】具有特殊魔力的赤色丝带</t>
  </si>
  <si>
    <t>【植物】具有特殊魔力的青色丝带</t>
  </si>
  <si>
    <t>【植物】具有特殊魔力的绿色丝带</t>
  </si>
  <si>
    <t>【植物】具有特殊魔力的茶色丝带</t>
  </si>
  <si>
    <t>【植物】具有特殊魔力的白色丝带</t>
  </si>
  <si>
    <t>【植物】具有特殊魔力的黑色丝带</t>
  </si>
  <si>
    <t>【植物】具有特殊魔力的七彩丝带</t>
  </si>
  <si>
    <t>【器官】泥土中腐败的野兽骨头</t>
  </si>
  <si>
    <t>【器官】绮丽外形的骨头残骸</t>
  </si>
  <si>
    <t>【器官】埋于地下的地兽骨头</t>
  </si>
  <si>
    <t>【器官】埋于地下的水兽骨头</t>
  </si>
  <si>
    <t>【器官】埋于地下的火兽骨头</t>
  </si>
  <si>
    <t>【器官】埋于地下的雷兽骨头</t>
  </si>
  <si>
    <t>【器官】埋于地下的圣兽骨头</t>
  </si>
  <si>
    <t>【器官】埋于地下的暗兽骨头</t>
  </si>
  <si>
    <t>【器官】埋于地下的魔物骨头</t>
  </si>
  <si>
    <t>【矿物】外形奇特的石头</t>
  </si>
  <si>
    <t>【矿物】注入灵力的石头</t>
  </si>
  <si>
    <t>【矿物】注入魅灵力的石头</t>
  </si>
  <si>
    <t>【器官】水和空气凝结而成</t>
  </si>
  <si>
    <t>【器官】魔神留下的赤色液体</t>
  </si>
  <si>
    <t>【器官】魔神留下的青色液体</t>
  </si>
  <si>
    <t>【器官】魔神留下的黄色液体</t>
  </si>
  <si>
    <t>【器官】魔神留下的绿色液体</t>
  </si>
  <si>
    <t>【器官】魔神留下的紫色液体</t>
  </si>
  <si>
    <t>【器官】魔神留下的带有腐蚀性的液体</t>
  </si>
  <si>
    <t>【器官】地兽身上采集的血液</t>
  </si>
  <si>
    <t>【器官】水兽身上采集的血液</t>
  </si>
  <si>
    <t>【器官】火兽身上采集的血液</t>
  </si>
  <si>
    <t>【器官】雷兽身上采集的血液</t>
  </si>
  <si>
    <t>【器官】圣兽身上采集的血液</t>
  </si>
  <si>
    <t>【器官】暗兽身上采集的血液</t>
  </si>
  <si>
    <t>【器官】魔物身上采集的血液</t>
  </si>
  <si>
    <t>【器官】从蜥蜴身上剥下来的皮革</t>
  </si>
  <si>
    <t>【器官】从水兽身上剥下来的皮革</t>
  </si>
  <si>
    <t>【器官】从火兽身上剥下来的皮革</t>
  </si>
  <si>
    <t>【器官】从雷兽身上剥下来的皮革</t>
  </si>
  <si>
    <t>【器官】从珍惜的水鸟上剥下来的白色皮革</t>
  </si>
  <si>
    <t>【器官】水兽逃跑时留下的鳞片</t>
  </si>
  <si>
    <t>【器官】从人狼身上剥下来的毛皮</t>
  </si>
  <si>
    <t>【器官】巨人身上剥下的毛皮</t>
  </si>
  <si>
    <t>【器官】赤色巨人身上剥下的毛皮</t>
  </si>
  <si>
    <t>【器官】青色巨人身上剥下的毛皮</t>
  </si>
  <si>
    <t>【器官】手感优良的毛皮</t>
  </si>
  <si>
    <t>【器官】强力狐炎兽的毛皮</t>
  </si>
  <si>
    <t>【器官】巨龙身上剥下的皮革</t>
  </si>
  <si>
    <t>【器官】在石壁下腐烂的皮革</t>
  </si>
  <si>
    <t>【器官】恶魔的毛皮</t>
  </si>
  <si>
    <t>【器官】在石壁下腐烂的毛皮</t>
  </si>
  <si>
    <t>【器官】在水边活动的水鸟羽毛</t>
  </si>
  <si>
    <t>【器官】具有超强冰冻能力的冰鸟的羽毛</t>
  </si>
  <si>
    <t xml:space="preserve">【器官】会突然发出震动的羽毛 </t>
  </si>
  <si>
    <t>【器官】八位天使蜕下来的羽毛</t>
  </si>
  <si>
    <t>【器官】羽翼的边缘具有锐利的爪尖</t>
  </si>
  <si>
    <t>【器官】具有很多锐利爪尖的黑蝙蝠羽翼</t>
  </si>
  <si>
    <t>【器官】黑暗睡魔的羽翼</t>
  </si>
  <si>
    <t>【器官】细长的精灵女王羽翼</t>
  </si>
  <si>
    <t>【器官】顽强的石像兵的羽翼</t>
  </si>
  <si>
    <t>【器官】从死去的昆虫尸体上剥下的躯壳</t>
  </si>
  <si>
    <t>【器官】从巨大昆虫尸体上剥下的躯壳</t>
  </si>
  <si>
    <t>【器官】非常绚烂的天使羽毛</t>
  </si>
  <si>
    <t>【器官】狩猎获得的恶鬼的爪子</t>
  </si>
  <si>
    <t>【器官】狩猎获得的人狼的爪子</t>
  </si>
  <si>
    <t>【器官】狩猎获得的蜥蜴的爪子</t>
  </si>
  <si>
    <t>【器官】狩猎获得的火兽的爪子</t>
  </si>
  <si>
    <t>【器官】狩猎获得的雷兽的爪子</t>
  </si>
  <si>
    <t>【器官】狩猎获得的大型昆虫的爪子</t>
  </si>
  <si>
    <t>【器官】狩猎获得的恶魔的爪子</t>
  </si>
  <si>
    <t>【器官】狩猎获得的狐炎兽的爪子</t>
  </si>
  <si>
    <t>【器官】狩猎获得的蛇龟的爪子</t>
  </si>
  <si>
    <t>【器官】狩猎获得的龙爪</t>
  </si>
  <si>
    <t>【器官】从泥土里挖掘出来的腐败的爪子</t>
  </si>
  <si>
    <t>【器官】恶鬼的牙齿</t>
  </si>
  <si>
    <t>【器官】蜥蜴的牙齿</t>
  </si>
  <si>
    <t>【器官】火兽的牙齿</t>
  </si>
  <si>
    <t>【器官】雷兽的牙齿</t>
  </si>
  <si>
    <t>【器官】水兽的牙齿</t>
  </si>
  <si>
    <t>【器官】深海巨鱼的牙齿</t>
  </si>
  <si>
    <t>【器官】蝙蝠的牙齿</t>
  </si>
  <si>
    <t>【器官】黑蝙蝠的牙齿</t>
  </si>
  <si>
    <t>【器官】狐炎兽的牙齿</t>
  </si>
  <si>
    <t>【器官】蛇龟的牙齿</t>
  </si>
  <si>
    <t>【器官】龙牙</t>
  </si>
  <si>
    <t>【器官】泥土里挖掘出来的腐败的牙齿</t>
  </si>
  <si>
    <t>【宝石】寄宿地精能力的魂片</t>
  </si>
  <si>
    <t>【宝石】寄宿水精能力的魂片</t>
  </si>
  <si>
    <t>【宝石】寄宿火精能力的魂片</t>
  </si>
  <si>
    <t>【宝石】寄宿雷精能力的魂片</t>
  </si>
  <si>
    <t>【宝石】注入灵力的魂片</t>
  </si>
  <si>
    <t>【宝石】注入魅灵力的魂片</t>
  </si>
  <si>
    <t>【宝石】寄宿天使能力的魂片</t>
  </si>
  <si>
    <t>【宝石】寄宿睡魔能力的魂片</t>
  </si>
  <si>
    <t>【宝石】寄宿恶魔能力的魂片</t>
  </si>
  <si>
    <t>【宝石】四重属性混合而成的魂片</t>
  </si>
  <si>
    <t>【植物】体力提高的秘药</t>
  </si>
  <si>
    <t>【植物】女性战士分泌的甘蜜</t>
  </si>
  <si>
    <t>【宝石】水精灵泪珠凝结成的眼泪</t>
  </si>
  <si>
    <t>【矿物】蓝色的缌矿</t>
  </si>
  <si>
    <t>【矿物】沙盘缌矿</t>
  </si>
  <si>
    <t>【矿物】火之缌矿</t>
  </si>
  <si>
    <t>【矿物】风之缌矿</t>
  </si>
  <si>
    <t>【宝石】发出赤色火焰的水晶</t>
  </si>
  <si>
    <t>【宝石】闪耀青色光芒的水晶</t>
  </si>
  <si>
    <t>【宝石】闪耀黄色光芒的水晶</t>
  </si>
  <si>
    <t>【宝石】闪耀紫色光芒的水晶</t>
  </si>
  <si>
    <t>【宝石】精灵女王身上取得的神奇魔力的珠子</t>
  </si>
  <si>
    <t>【宝石】天使的身上取得的神奇魔力的珠子</t>
  </si>
  <si>
    <t>【宝石】歪魔神圣取得的神奇魔力的珠子</t>
  </si>
  <si>
    <t>【宝石】魔神身上取得的神奇魔力的珠子</t>
  </si>
  <si>
    <t>【宝石】龙的魂魄凝聚而成的神珠</t>
  </si>
  <si>
    <t>【宝石】西方光之神殿的封印法印</t>
  </si>
  <si>
    <t>【宝石】质地纯白的宝石研磨成的粉末</t>
  </si>
  <si>
    <t>【植物】超级没有营养的方便面</t>
  </si>
  <si>
    <t>【植物】草药晒干捆绑而成</t>
  </si>
  <si>
    <t>【植物】棒子？？？</t>
  </si>
  <si>
    <r>
      <rPr>
        <sz val="10"/>
        <color rgb="FFFF0000"/>
        <rFont val="宋体"/>
        <family val="2"/>
      </rPr>
      <t>主材料循环掉落，其他材料等级大于主材料等级就随机和主材料一样等级的材料，如果小于等于主材料的等级就按照配置随机掉落。数量根据</t>
    </r>
    <phoneticPr fontId="1" type="noConversion"/>
  </si>
  <si>
    <r>
      <rPr>
        <sz val="10"/>
        <color theme="1"/>
        <rFont val="宋体"/>
        <family val="2"/>
      </rPr>
      <t>主材料</t>
    </r>
    <phoneticPr fontId="1" type="noConversion"/>
  </si>
  <si>
    <r>
      <t>1-2</t>
    </r>
    <r>
      <rPr>
        <sz val="10"/>
        <color theme="1"/>
        <rFont val="宋体"/>
        <family val="2"/>
      </rPr>
      <t>级</t>
    </r>
    <phoneticPr fontId="1" type="noConversion"/>
  </si>
  <si>
    <r>
      <t>2-3</t>
    </r>
    <r>
      <rPr>
        <sz val="10"/>
        <color theme="1"/>
        <rFont val="宋体"/>
        <family val="2"/>
      </rPr>
      <t>级</t>
    </r>
    <phoneticPr fontId="1" type="noConversion"/>
  </si>
  <si>
    <r>
      <t>4-5</t>
    </r>
    <r>
      <rPr>
        <sz val="10"/>
        <color theme="1"/>
        <rFont val="宋体"/>
        <family val="2"/>
      </rPr>
      <t>级</t>
    </r>
    <phoneticPr fontId="1" type="noConversion"/>
  </si>
  <si>
    <r>
      <t>6-8</t>
    </r>
    <r>
      <rPr>
        <sz val="10"/>
        <color theme="1"/>
        <rFont val="宋体"/>
        <family val="2"/>
      </rPr>
      <t>级</t>
    </r>
    <phoneticPr fontId="1" type="noConversion"/>
  </si>
  <si>
    <r>
      <rPr>
        <sz val="10"/>
        <color theme="1"/>
        <rFont val="宋体"/>
        <family val="2"/>
      </rPr>
      <t>主材料等级</t>
    </r>
    <phoneticPr fontId="1" type="noConversion"/>
  </si>
  <si>
    <r>
      <rPr>
        <sz val="10"/>
        <color theme="1"/>
        <rFont val="宋体"/>
        <family val="2"/>
      </rPr>
      <t>价值</t>
    </r>
    <phoneticPr fontId="1" type="noConversion"/>
  </si>
  <si>
    <r>
      <rPr>
        <sz val="10"/>
        <color theme="0"/>
        <rFont val="宋体"/>
        <family val="2"/>
      </rPr>
      <t>掉落方案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</si>
  <si>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</si>
  <si>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</si>
  <si>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</si>
  <si>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</si>
  <si>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</si>
  <si>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</si>
  <si>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</si>
  <si>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</si>
  <si>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</si>
  <si>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</si>
  <si>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</si>
  <si>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</si>
  <si>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</si>
  <si>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</si>
  <si>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</si>
  <si>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2"/>
      </rPr>
      <t>主材料等级</t>
    </r>
    <phoneticPr fontId="1" type="noConversion"/>
  </si>
  <si>
    <r>
      <rPr>
        <sz val="10"/>
        <color theme="1"/>
        <rFont val="宋体"/>
        <family val="2"/>
      </rPr>
      <t>精灵森林</t>
    </r>
  </si>
  <si>
    <r>
      <rPr>
        <sz val="10"/>
        <color theme="1"/>
        <rFont val="宋体"/>
        <family val="2"/>
      </rPr>
      <t>风的训练地</t>
    </r>
  </si>
  <si>
    <r>
      <rPr>
        <sz val="10"/>
        <color theme="1"/>
        <rFont val="宋体"/>
        <family val="2"/>
      </rPr>
      <t>飞翔恶魔的坑道</t>
    </r>
  </si>
  <si>
    <r>
      <rPr>
        <sz val="10"/>
        <color theme="1"/>
        <rFont val="宋体"/>
        <family val="2"/>
      </rPr>
      <t>工匠协会试炼地区</t>
    </r>
  </si>
  <si>
    <r>
      <rPr>
        <sz val="10"/>
        <color theme="1"/>
        <rFont val="宋体"/>
        <family val="2"/>
      </rPr>
      <t>不归的黑暗空洞</t>
    </r>
    <phoneticPr fontId="1" type="noConversion"/>
  </si>
  <si>
    <r>
      <rPr>
        <sz val="10"/>
        <color theme="1"/>
        <rFont val="宋体"/>
        <family val="2"/>
      </rPr>
      <t>苍月的南湖畔</t>
    </r>
    <phoneticPr fontId="1" type="noConversion"/>
  </si>
  <si>
    <r>
      <rPr>
        <sz val="10"/>
        <color theme="1"/>
        <rFont val="宋体"/>
        <family val="2"/>
      </rPr>
      <t>凉风西湖畔</t>
    </r>
    <phoneticPr fontId="1" type="noConversion"/>
  </si>
  <si>
    <r>
      <rPr>
        <sz val="10"/>
        <color theme="1"/>
        <rFont val="宋体"/>
        <family val="2"/>
      </rPr>
      <t>变化的中央湖畔</t>
    </r>
    <phoneticPr fontId="1" type="noConversion"/>
  </si>
  <si>
    <r>
      <rPr>
        <sz val="10"/>
        <color theme="1"/>
        <rFont val="宋体"/>
        <family val="2"/>
      </rPr>
      <t>愤怒的水妖精</t>
    </r>
    <phoneticPr fontId="1" type="noConversion"/>
  </si>
  <si>
    <r>
      <rPr>
        <sz val="10"/>
        <color theme="1"/>
        <rFont val="宋体"/>
        <family val="2"/>
      </rPr>
      <t>卡伦契约的河道</t>
    </r>
    <phoneticPr fontId="1" type="noConversion"/>
  </si>
  <si>
    <r>
      <rPr>
        <sz val="10"/>
        <color theme="1"/>
        <rFont val="宋体"/>
        <family val="2"/>
      </rPr>
      <t>灵气紫森林</t>
    </r>
    <phoneticPr fontId="1" type="noConversion"/>
  </si>
  <si>
    <r>
      <rPr>
        <sz val="10"/>
        <color theme="1"/>
        <rFont val="宋体"/>
        <family val="2"/>
      </rPr>
      <t>瘴气污浊的森林</t>
    </r>
    <phoneticPr fontId="1" type="noConversion"/>
  </si>
  <si>
    <r>
      <rPr>
        <sz val="10"/>
        <color theme="1"/>
        <rFont val="宋体"/>
        <family val="2"/>
      </rPr>
      <t>污染的上游河流</t>
    </r>
    <phoneticPr fontId="1" type="noConversion"/>
  </si>
  <si>
    <r>
      <rPr>
        <sz val="10"/>
        <color theme="1"/>
        <rFont val="宋体"/>
        <family val="2"/>
      </rPr>
      <t>异质的河川</t>
    </r>
    <phoneticPr fontId="1" type="noConversion"/>
  </si>
  <si>
    <r>
      <rPr>
        <sz val="10"/>
        <color theme="1"/>
        <rFont val="宋体"/>
        <family val="2"/>
      </rPr>
      <t>睡魔的藏身处</t>
    </r>
    <phoneticPr fontId="1" type="noConversion"/>
  </si>
  <si>
    <r>
      <rPr>
        <sz val="10"/>
        <color theme="1"/>
        <rFont val="宋体"/>
        <family val="2"/>
      </rPr>
      <t>教堂内的蛛丝马迹</t>
    </r>
    <phoneticPr fontId="1" type="noConversion"/>
  </si>
  <si>
    <r>
      <rPr>
        <sz val="10"/>
        <color theme="1"/>
        <rFont val="宋体"/>
        <family val="2"/>
      </rPr>
      <t>被天蓝色包围的山</t>
    </r>
    <phoneticPr fontId="1" type="noConversion"/>
  </si>
  <si>
    <r>
      <rPr>
        <sz val="10"/>
        <color theme="1"/>
        <rFont val="宋体"/>
        <family val="2"/>
      </rPr>
      <t>教会的踪迹</t>
    </r>
    <phoneticPr fontId="1" type="noConversion"/>
  </si>
  <si>
    <r>
      <rPr>
        <sz val="10"/>
        <color theme="1"/>
        <rFont val="宋体"/>
        <family val="2"/>
      </rPr>
      <t>神圣的困境地带</t>
    </r>
    <phoneticPr fontId="1" type="noConversion"/>
  </si>
  <si>
    <r>
      <rPr>
        <sz val="10"/>
        <color theme="1"/>
        <rFont val="宋体"/>
        <family val="2"/>
      </rPr>
      <t>圣天兽的山路</t>
    </r>
    <phoneticPr fontId="1" type="noConversion"/>
  </si>
  <si>
    <r>
      <rPr>
        <sz val="10"/>
        <color theme="1"/>
        <rFont val="宋体"/>
        <family val="2"/>
      </rPr>
      <t>古老的鬼族遗迹</t>
    </r>
    <phoneticPr fontId="1" type="noConversion"/>
  </si>
  <si>
    <r>
      <rPr>
        <sz val="10"/>
        <color theme="1"/>
        <rFont val="宋体"/>
        <family val="2"/>
      </rPr>
      <t>漆黑的决战地带</t>
    </r>
    <phoneticPr fontId="1" type="noConversion"/>
  </si>
  <si>
    <r>
      <rPr>
        <sz val="10"/>
        <color theme="1"/>
        <rFont val="宋体"/>
        <family val="2"/>
      </rPr>
      <t>法术的修炼地Ⅰ</t>
    </r>
    <phoneticPr fontId="1" type="noConversion"/>
  </si>
  <si>
    <r>
      <rPr>
        <sz val="10"/>
        <color theme="1"/>
        <rFont val="宋体"/>
        <family val="2"/>
      </rPr>
      <t>法术的修炼地Ⅱ</t>
    </r>
    <phoneticPr fontId="1" type="noConversion"/>
  </si>
  <si>
    <r>
      <rPr>
        <sz val="10"/>
        <color theme="1"/>
        <rFont val="宋体"/>
        <family val="2"/>
      </rPr>
      <t>追忆之乡</t>
    </r>
    <phoneticPr fontId="1" type="noConversion"/>
  </si>
  <si>
    <r>
      <rPr>
        <sz val="10"/>
        <color theme="1"/>
        <rFont val="宋体"/>
        <family val="2"/>
      </rPr>
      <t>寂静的湖底</t>
    </r>
    <phoneticPr fontId="1" type="noConversion"/>
  </si>
  <si>
    <r>
      <rPr>
        <sz val="10"/>
        <color theme="1"/>
        <rFont val="宋体"/>
        <family val="2"/>
      </rPr>
      <t>湖底的退路</t>
    </r>
    <phoneticPr fontId="1" type="noConversion"/>
  </si>
  <si>
    <r>
      <rPr>
        <sz val="10"/>
        <color theme="1"/>
        <rFont val="宋体"/>
        <family val="2"/>
      </rPr>
      <t>神奇的湖底</t>
    </r>
    <phoneticPr fontId="1" type="noConversion"/>
  </si>
  <si>
    <r>
      <rPr>
        <sz val="10"/>
        <color theme="1"/>
        <rFont val="宋体"/>
        <family val="2"/>
      </rPr>
      <t>忘却的湖底空洞</t>
    </r>
    <phoneticPr fontId="1" type="noConversion"/>
  </si>
  <si>
    <r>
      <rPr>
        <sz val="10"/>
        <color theme="1"/>
        <rFont val="宋体"/>
        <family val="2"/>
      </rPr>
      <t>清澈的西湖畔</t>
    </r>
    <phoneticPr fontId="1" type="noConversion"/>
  </si>
  <si>
    <r>
      <rPr>
        <sz val="10"/>
        <color theme="1"/>
        <rFont val="宋体"/>
        <family val="2"/>
      </rPr>
      <t>隐秘的火焰山路</t>
    </r>
    <phoneticPr fontId="1" type="noConversion"/>
  </si>
  <si>
    <r>
      <rPr>
        <sz val="10"/>
        <color theme="1"/>
        <rFont val="宋体"/>
        <family val="2"/>
      </rPr>
      <t>火炎幻兽的山</t>
    </r>
    <phoneticPr fontId="1" type="noConversion"/>
  </si>
  <si>
    <r>
      <rPr>
        <sz val="10"/>
        <color theme="1"/>
        <rFont val="宋体"/>
        <family val="2"/>
      </rPr>
      <t>真彩的山峦</t>
    </r>
    <phoneticPr fontId="1" type="noConversion"/>
  </si>
  <si>
    <r>
      <rPr>
        <sz val="10"/>
        <color theme="1"/>
        <rFont val="宋体"/>
        <family val="2"/>
      </rPr>
      <t>灼热的山峦地带</t>
    </r>
    <phoneticPr fontId="1" type="noConversion"/>
  </si>
  <si>
    <r>
      <rPr>
        <sz val="10"/>
        <color theme="1"/>
        <rFont val="宋体"/>
        <family val="2"/>
      </rPr>
      <t>巨人族矿床</t>
    </r>
    <phoneticPr fontId="1" type="noConversion"/>
  </si>
  <si>
    <r>
      <rPr>
        <sz val="10"/>
        <color theme="1"/>
        <rFont val="宋体"/>
        <family val="2"/>
      </rPr>
      <t>亚种族的密林Ⅰ</t>
    </r>
    <phoneticPr fontId="1" type="noConversion"/>
  </si>
  <si>
    <r>
      <rPr>
        <sz val="10"/>
        <color theme="1"/>
        <rFont val="宋体"/>
        <family val="2"/>
      </rPr>
      <t>亚种族的密林Ⅱ</t>
    </r>
    <phoneticPr fontId="1" type="noConversion"/>
  </si>
  <si>
    <r>
      <rPr>
        <sz val="10"/>
        <color theme="1"/>
        <rFont val="宋体"/>
        <family val="2"/>
      </rPr>
      <t>巨石龟的栖息地Ⅰ</t>
    </r>
    <phoneticPr fontId="1" type="noConversion"/>
  </si>
  <si>
    <r>
      <rPr>
        <sz val="10"/>
        <color theme="1"/>
        <rFont val="宋体"/>
        <family val="2"/>
      </rPr>
      <t>巨石龟的栖息地Ⅱ</t>
    </r>
    <phoneticPr fontId="1" type="noConversion"/>
  </si>
  <si>
    <r>
      <rPr>
        <sz val="10"/>
        <color theme="1"/>
        <rFont val="宋体"/>
        <family val="2"/>
      </rPr>
      <t>秘境的封印遗迹</t>
    </r>
    <phoneticPr fontId="1" type="noConversion"/>
  </si>
  <si>
    <r>
      <rPr>
        <sz val="10"/>
        <color theme="1"/>
        <rFont val="宋体"/>
        <family val="2"/>
      </rPr>
      <t>闭塞的辽原</t>
    </r>
    <phoneticPr fontId="1" type="noConversion"/>
  </si>
  <si>
    <r>
      <rPr>
        <sz val="10"/>
        <color theme="1"/>
        <rFont val="宋体"/>
        <family val="2"/>
      </rPr>
      <t>移动的荒地</t>
    </r>
    <phoneticPr fontId="1" type="noConversion"/>
  </si>
  <si>
    <r>
      <rPr>
        <sz val="10"/>
        <color theme="1"/>
        <rFont val="宋体"/>
        <family val="2"/>
      </rPr>
      <t>不祥的漩涡</t>
    </r>
    <phoneticPr fontId="1" type="noConversion"/>
  </si>
  <si>
    <r>
      <rPr>
        <sz val="10"/>
        <color theme="1"/>
        <rFont val="宋体"/>
        <family val="2"/>
      </rPr>
      <t>灵魇的异界Ⅰ</t>
    </r>
    <phoneticPr fontId="1" type="noConversion"/>
  </si>
  <si>
    <r>
      <rPr>
        <sz val="10"/>
        <color theme="1"/>
        <rFont val="宋体"/>
        <family val="2"/>
      </rPr>
      <t>灵魇的异界Ⅱ</t>
    </r>
    <phoneticPr fontId="1" type="noConversion"/>
  </si>
  <si>
    <r>
      <rPr>
        <sz val="10"/>
        <color theme="1"/>
        <rFont val="宋体"/>
        <family val="2"/>
      </rPr>
      <t>平静的流水洞穴</t>
    </r>
    <phoneticPr fontId="1" type="noConversion"/>
  </si>
  <si>
    <r>
      <rPr>
        <sz val="10"/>
        <color theme="1"/>
        <rFont val="宋体"/>
        <family val="2"/>
      </rPr>
      <t>亚种生物的巢穴Ⅰ</t>
    </r>
    <phoneticPr fontId="1" type="noConversion"/>
  </si>
  <si>
    <r>
      <rPr>
        <sz val="10"/>
        <color theme="1"/>
        <rFont val="宋体"/>
        <family val="2"/>
      </rPr>
      <t>亚种生物的巢穴Ⅱ</t>
    </r>
    <phoneticPr fontId="1" type="noConversion"/>
  </si>
  <si>
    <r>
      <rPr>
        <sz val="10"/>
        <color theme="1"/>
        <rFont val="宋体"/>
        <family val="2"/>
      </rPr>
      <t>迷幻的钟乳洞口</t>
    </r>
    <phoneticPr fontId="1" type="noConversion"/>
  </si>
  <si>
    <r>
      <rPr>
        <sz val="10"/>
        <color theme="1"/>
        <rFont val="宋体"/>
        <family val="2"/>
      </rPr>
      <t>土匪的巢穴</t>
    </r>
    <phoneticPr fontId="1" type="noConversion"/>
  </si>
  <si>
    <r>
      <rPr>
        <sz val="10"/>
        <color theme="1"/>
        <rFont val="宋体"/>
        <family val="2"/>
      </rPr>
      <t>魔兽的巢穴Ⅰ</t>
    </r>
    <phoneticPr fontId="1" type="noConversion"/>
  </si>
  <si>
    <r>
      <rPr>
        <sz val="10"/>
        <color theme="1"/>
        <rFont val="宋体"/>
        <family val="2"/>
      </rPr>
      <t>魔兽的巢穴Ⅱ</t>
    </r>
    <phoneticPr fontId="1" type="noConversion"/>
  </si>
  <si>
    <r>
      <rPr>
        <sz val="10"/>
        <color theme="1"/>
        <rFont val="宋体"/>
        <family val="2"/>
      </rPr>
      <t>巨人的巢穴Ⅰ</t>
    </r>
    <phoneticPr fontId="1" type="noConversion"/>
  </si>
  <si>
    <r>
      <rPr>
        <sz val="10"/>
        <color theme="1"/>
        <rFont val="宋体"/>
        <family val="2"/>
      </rPr>
      <t>巨人的巢穴Ⅱ</t>
    </r>
    <phoneticPr fontId="1" type="noConversion"/>
  </si>
  <si>
    <r>
      <rPr>
        <sz val="10"/>
        <color theme="1"/>
        <rFont val="宋体"/>
        <family val="2"/>
      </rPr>
      <t>巨人的巢穴Ⅲ</t>
    </r>
    <phoneticPr fontId="1" type="noConversion"/>
  </si>
  <si>
    <r>
      <rPr>
        <sz val="10"/>
        <color theme="1"/>
        <rFont val="宋体"/>
        <family val="2"/>
      </rPr>
      <t>幻境悬崖Ⅰ</t>
    </r>
    <phoneticPr fontId="1" type="noConversion"/>
  </si>
  <si>
    <r>
      <rPr>
        <sz val="10"/>
        <color theme="1"/>
        <rFont val="宋体"/>
        <family val="2"/>
      </rPr>
      <t>幻境悬崖Ⅱ</t>
    </r>
    <phoneticPr fontId="1" type="noConversion"/>
  </si>
  <si>
    <r>
      <rPr>
        <sz val="10"/>
        <color theme="1"/>
        <rFont val="宋体"/>
        <family val="2"/>
      </rPr>
      <t>古老的圣域Ⅰ</t>
    </r>
    <phoneticPr fontId="1" type="noConversion"/>
  </si>
  <si>
    <r>
      <rPr>
        <sz val="10"/>
        <color theme="1"/>
        <rFont val="宋体"/>
        <family val="2"/>
      </rPr>
      <t>古老的圣域Ⅱ</t>
    </r>
    <phoneticPr fontId="1" type="noConversion"/>
  </si>
  <si>
    <r>
      <rPr>
        <sz val="10"/>
        <color theme="1"/>
        <rFont val="宋体"/>
        <family val="2"/>
      </rPr>
      <t>古老的圣域Ⅲ</t>
    </r>
    <phoneticPr fontId="1" type="noConversion"/>
  </si>
  <si>
    <r>
      <rPr>
        <sz val="10"/>
        <color theme="1"/>
        <rFont val="宋体"/>
        <family val="2"/>
      </rPr>
      <t>修罗的混沌遗迹Ⅰ</t>
    </r>
    <phoneticPr fontId="1" type="noConversion"/>
  </si>
  <si>
    <r>
      <rPr>
        <sz val="10"/>
        <color theme="1"/>
        <rFont val="宋体"/>
        <family val="2"/>
      </rPr>
      <t>修罗的混沌遗迹Ⅱ</t>
    </r>
    <phoneticPr fontId="1" type="noConversion"/>
  </si>
  <si>
    <r>
      <rPr>
        <sz val="10"/>
        <color theme="1"/>
        <rFont val="宋体"/>
        <family val="2"/>
      </rPr>
      <t>狂乱的蛇行道Ⅰ</t>
    </r>
    <phoneticPr fontId="1" type="noConversion"/>
  </si>
  <si>
    <r>
      <rPr>
        <sz val="10"/>
        <color theme="1"/>
        <rFont val="宋体"/>
        <family val="2"/>
      </rPr>
      <t>狂乱的蛇行道Ⅱ</t>
    </r>
    <phoneticPr fontId="1" type="noConversion"/>
  </si>
  <si>
    <r>
      <rPr>
        <sz val="10"/>
        <color theme="1"/>
        <rFont val="宋体"/>
        <family val="2"/>
      </rPr>
      <t>狂乱的蛇行道Ⅲ</t>
    </r>
    <phoneticPr fontId="1" type="noConversion"/>
  </si>
  <si>
    <r>
      <rPr>
        <sz val="10"/>
        <color theme="1"/>
        <rFont val="宋体"/>
        <family val="2"/>
      </rPr>
      <t>河畔的风之遗迹Ⅰ</t>
    </r>
    <phoneticPr fontId="1" type="noConversion"/>
  </si>
  <si>
    <r>
      <rPr>
        <sz val="10"/>
        <color theme="1"/>
        <rFont val="宋体"/>
        <family val="2"/>
      </rPr>
      <t>河畔的风之遗迹Ⅱ</t>
    </r>
    <phoneticPr fontId="1" type="noConversion"/>
  </si>
  <si>
    <r>
      <rPr>
        <sz val="10"/>
        <color theme="1"/>
        <rFont val="宋体"/>
        <family val="2"/>
      </rPr>
      <t>被封印的黑暗之根Ⅰ</t>
    </r>
    <phoneticPr fontId="1" type="noConversion"/>
  </si>
  <si>
    <r>
      <rPr>
        <sz val="10"/>
        <color theme="1"/>
        <rFont val="宋体"/>
        <family val="2"/>
      </rPr>
      <t>被封印的黑暗之根Ⅱ</t>
    </r>
    <phoneticPr fontId="1" type="noConversion"/>
  </si>
  <si>
    <r>
      <rPr>
        <sz val="10"/>
        <color theme="1"/>
        <rFont val="宋体"/>
        <family val="2"/>
      </rPr>
      <t>被封印的黑暗之根Ⅲ</t>
    </r>
    <phoneticPr fontId="1" type="noConversion"/>
  </si>
  <si>
    <r>
      <rPr>
        <sz val="10"/>
        <color theme="1"/>
        <rFont val="宋体"/>
        <family val="2"/>
      </rPr>
      <t>九尾狐的领地</t>
    </r>
    <phoneticPr fontId="1" type="noConversion"/>
  </si>
  <si>
    <r>
      <rPr>
        <sz val="10"/>
        <color theme="1"/>
        <rFont val="宋体"/>
        <family val="2"/>
      </rPr>
      <t>灼烧的火炎地带Ⅰ</t>
    </r>
    <phoneticPr fontId="1" type="noConversion"/>
  </si>
  <si>
    <r>
      <rPr>
        <sz val="10"/>
        <color theme="1"/>
        <rFont val="宋体"/>
        <family val="2"/>
      </rPr>
      <t>灼烧的火炎地带Ⅱ</t>
    </r>
    <phoneticPr fontId="1" type="noConversion"/>
  </si>
  <si>
    <r>
      <rPr>
        <sz val="10"/>
        <color theme="1"/>
        <rFont val="宋体"/>
        <family val="2"/>
      </rPr>
      <t>进攻火焰山Ⅰ</t>
    </r>
    <phoneticPr fontId="1" type="noConversion"/>
  </si>
  <si>
    <r>
      <rPr>
        <sz val="10"/>
        <color theme="1"/>
        <rFont val="宋体"/>
        <family val="2"/>
      </rPr>
      <t>进攻火焰山Ⅱ</t>
    </r>
    <phoneticPr fontId="1" type="noConversion"/>
  </si>
  <si>
    <r>
      <rPr>
        <sz val="10"/>
        <color theme="1"/>
        <rFont val="宋体"/>
        <family val="2"/>
      </rPr>
      <t>淑琳的圣宫Ⅰ</t>
    </r>
    <phoneticPr fontId="1" type="noConversion"/>
  </si>
  <si>
    <r>
      <rPr>
        <sz val="10"/>
        <color theme="1"/>
        <rFont val="宋体"/>
        <family val="2"/>
      </rPr>
      <t>淑琳的圣宫Ⅱ</t>
    </r>
    <phoneticPr fontId="1" type="noConversion"/>
  </si>
  <si>
    <r>
      <rPr>
        <sz val="10"/>
        <color theme="1"/>
        <rFont val="宋体"/>
        <family val="2"/>
      </rPr>
      <t>淑琳的圣宫Ⅲ</t>
    </r>
    <phoneticPr fontId="1" type="noConversion"/>
  </si>
  <si>
    <r>
      <rPr>
        <sz val="10"/>
        <color theme="1"/>
        <rFont val="宋体"/>
        <family val="2"/>
      </rPr>
      <t>淑琳的圣宫Ⅳ</t>
    </r>
    <phoneticPr fontId="1" type="noConversion"/>
  </si>
  <si>
    <r>
      <rPr>
        <sz val="10"/>
        <color theme="1"/>
        <rFont val="宋体"/>
        <family val="2"/>
      </rPr>
      <t>淑琳的圣宫Ⅴ</t>
    </r>
    <phoneticPr fontId="1" type="noConversion"/>
  </si>
  <si>
    <r>
      <rPr>
        <sz val="10"/>
        <color theme="1"/>
        <rFont val="宋体"/>
        <family val="2"/>
      </rPr>
      <t>碧王的神庙Ⅰ</t>
    </r>
    <phoneticPr fontId="1" type="noConversion"/>
  </si>
  <si>
    <r>
      <rPr>
        <sz val="10"/>
        <color theme="1"/>
        <rFont val="宋体"/>
        <family val="2"/>
      </rPr>
      <t>碧王的神庙Ⅱ</t>
    </r>
    <phoneticPr fontId="1" type="noConversion"/>
  </si>
  <si>
    <r>
      <rPr>
        <sz val="10"/>
        <color theme="1"/>
        <rFont val="宋体"/>
        <family val="2"/>
      </rPr>
      <t>邪魔的封印洞Ⅰ</t>
    </r>
    <phoneticPr fontId="1" type="noConversion"/>
  </si>
  <si>
    <r>
      <rPr>
        <sz val="10"/>
        <color theme="1"/>
        <rFont val="宋体"/>
        <family val="2"/>
      </rPr>
      <t>邪魔的封印洞Ⅱ</t>
    </r>
    <phoneticPr fontId="1" type="noConversion"/>
  </si>
  <si>
    <r>
      <rPr>
        <sz val="10"/>
        <color theme="1"/>
        <rFont val="宋体"/>
        <family val="2"/>
      </rPr>
      <t>邪魔的封印洞Ⅲ</t>
    </r>
    <phoneticPr fontId="1" type="noConversion"/>
  </si>
  <si>
    <r>
      <rPr>
        <sz val="10"/>
        <color theme="1"/>
        <rFont val="宋体"/>
        <family val="2"/>
      </rPr>
      <t>遥远的故乡Ⅰ</t>
    </r>
    <phoneticPr fontId="1" type="noConversion"/>
  </si>
  <si>
    <r>
      <rPr>
        <sz val="10"/>
        <color theme="1"/>
        <rFont val="宋体"/>
        <family val="2"/>
      </rPr>
      <t>遥远的故乡Ⅱ</t>
    </r>
    <phoneticPr fontId="1" type="noConversion"/>
  </si>
  <si>
    <r>
      <rPr>
        <sz val="10"/>
        <color theme="1"/>
        <rFont val="宋体"/>
        <family val="2"/>
      </rPr>
      <t>遥远的故乡Ⅲ</t>
    </r>
    <phoneticPr fontId="1" type="noConversion"/>
  </si>
  <si>
    <r>
      <rPr>
        <sz val="10"/>
        <color theme="1"/>
        <rFont val="宋体"/>
        <family val="2"/>
      </rPr>
      <t>遥远的故乡Ⅳ</t>
    </r>
    <phoneticPr fontId="1" type="noConversion"/>
  </si>
  <si>
    <r>
      <rPr>
        <sz val="10"/>
        <color theme="1"/>
        <rFont val="宋体"/>
        <family val="2"/>
      </rPr>
      <t>遥远的故乡Ⅴ</t>
    </r>
    <phoneticPr fontId="1" type="noConversion"/>
  </si>
  <si>
    <r>
      <rPr>
        <sz val="10"/>
        <color theme="1"/>
        <rFont val="宋体"/>
        <family val="2"/>
      </rPr>
      <t>光之溪谷Ⅰ</t>
    </r>
    <phoneticPr fontId="1" type="noConversion"/>
  </si>
  <si>
    <r>
      <rPr>
        <sz val="10"/>
        <color theme="1"/>
        <rFont val="宋体"/>
        <family val="2"/>
      </rPr>
      <t>光之溪谷Ⅱ</t>
    </r>
    <phoneticPr fontId="1" type="noConversion"/>
  </si>
  <si>
    <r>
      <rPr>
        <sz val="10"/>
        <color theme="1"/>
        <rFont val="宋体"/>
        <family val="2"/>
      </rPr>
      <t>光之溪谷Ⅲ</t>
    </r>
    <phoneticPr fontId="1" type="noConversion"/>
  </si>
  <si>
    <r>
      <rPr>
        <sz val="10"/>
        <color theme="1"/>
        <rFont val="宋体"/>
        <family val="2"/>
      </rPr>
      <t>光之溪谷Ⅳ</t>
    </r>
    <phoneticPr fontId="1" type="noConversion"/>
  </si>
  <si>
    <r>
      <rPr>
        <sz val="10"/>
        <color theme="1"/>
        <rFont val="宋体"/>
        <family val="2"/>
      </rPr>
      <t>光之溪谷Ⅴ</t>
    </r>
    <phoneticPr fontId="1" type="noConversion"/>
  </si>
  <si>
    <r>
      <rPr>
        <sz val="10"/>
        <color theme="1"/>
        <rFont val="宋体"/>
        <family val="2"/>
      </rPr>
      <t>前往魔王宫殿Ⅰ</t>
    </r>
    <phoneticPr fontId="1" type="noConversion"/>
  </si>
  <si>
    <r>
      <rPr>
        <sz val="10"/>
        <color theme="1"/>
        <rFont val="宋体"/>
        <family val="2"/>
      </rPr>
      <t>前往魔王宫殿Ⅱ</t>
    </r>
    <phoneticPr fontId="1" type="noConversion"/>
  </si>
  <si>
    <r>
      <rPr>
        <sz val="10"/>
        <color theme="1"/>
        <rFont val="宋体"/>
        <family val="2"/>
      </rPr>
      <t>宫殿的间隙Ⅰ</t>
    </r>
    <phoneticPr fontId="1" type="noConversion"/>
  </si>
  <si>
    <r>
      <rPr>
        <sz val="10"/>
        <color theme="1"/>
        <rFont val="宋体"/>
        <family val="2"/>
      </rPr>
      <t>宫殿的间隙Ⅱ</t>
    </r>
    <phoneticPr fontId="1" type="noConversion"/>
  </si>
  <si>
    <r>
      <rPr>
        <sz val="10"/>
        <color theme="1"/>
        <rFont val="宋体"/>
        <family val="2"/>
      </rPr>
      <t>决战魔王</t>
    </r>
    <phoneticPr fontId="1" type="noConversion"/>
  </si>
  <si>
    <r>
      <rPr>
        <sz val="10"/>
        <color theme="1"/>
        <rFont val="宋体"/>
        <family val="2"/>
      </rPr>
      <t>海岸线街道Ⅰ</t>
    </r>
    <phoneticPr fontId="1" type="noConversion"/>
  </si>
  <si>
    <r>
      <rPr>
        <sz val="10"/>
        <color theme="1"/>
        <rFont val="宋体"/>
        <family val="2"/>
      </rPr>
      <t>海岸线街道Ⅱ</t>
    </r>
    <phoneticPr fontId="1" type="noConversion"/>
  </si>
  <si>
    <r>
      <rPr>
        <sz val="10"/>
        <color theme="1"/>
        <rFont val="宋体"/>
        <family val="2"/>
      </rPr>
      <t>摇曳的海岸线Ⅰ</t>
    </r>
    <phoneticPr fontId="1" type="noConversion"/>
  </si>
  <si>
    <r>
      <rPr>
        <sz val="10"/>
        <color theme="1"/>
        <rFont val="宋体"/>
        <family val="2"/>
      </rPr>
      <t>摇曳的海岸线Ⅱ</t>
    </r>
    <phoneticPr fontId="1" type="noConversion"/>
  </si>
  <si>
    <r>
      <rPr>
        <sz val="10"/>
        <color theme="1"/>
        <rFont val="宋体"/>
        <family val="2"/>
      </rPr>
      <t>漂泊的遇难船</t>
    </r>
    <phoneticPr fontId="1" type="noConversion"/>
  </si>
  <si>
    <r>
      <rPr>
        <sz val="10"/>
        <color theme="1"/>
        <rFont val="宋体"/>
        <family val="2"/>
      </rPr>
      <t>迷宫入口</t>
    </r>
    <phoneticPr fontId="1" type="noConversion"/>
  </si>
  <si>
    <r>
      <rPr>
        <sz val="10"/>
        <color theme="1"/>
        <rFont val="宋体"/>
        <family val="2"/>
      </rPr>
      <t>迷宫通道</t>
    </r>
    <phoneticPr fontId="1" type="noConversion"/>
  </si>
  <si>
    <r>
      <rPr>
        <sz val="10"/>
        <color theme="1"/>
        <rFont val="宋体"/>
        <family val="2"/>
      </rPr>
      <t>迷宫第一法则</t>
    </r>
    <phoneticPr fontId="1" type="noConversion"/>
  </si>
  <si>
    <r>
      <rPr>
        <sz val="10"/>
        <color theme="1"/>
        <rFont val="宋体"/>
        <family val="2"/>
      </rPr>
      <t>迷宫第二法则</t>
    </r>
    <phoneticPr fontId="1" type="noConversion"/>
  </si>
  <si>
    <r>
      <rPr>
        <sz val="10"/>
        <color theme="1"/>
        <rFont val="宋体"/>
        <family val="2"/>
      </rPr>
      <t>进击吧！炼金师</t>
    </r>
    <phoneticPr fontId="1" type="noConversion"/>
  </si>
  <si>
    <r>
      <rPr>
        <sz val="10"/>
        <color theme="1"/>
        <rFont val="宋体"/>
        <family val="2"/>
      </rPr>
      <t>崎岖的山峦</t>
    </r>
    <phoneticPr fontId="1" type="noConversion"/>
  </si>
  <si>
    <r>
      <rPr>
        <sz val="10"/>
        <color theme="1"/>
        <rFont val="宋体"/>
        <family val="2"/>
      </rPr>
      <t>雷鸣山Ⅰ</t>
    </r>
    <phoneticPr fontId="1" type="noConversion"/>
  </si>
  <si>
    <r>
      <rPr>
        <sz val="10"/>
        <color theme="1"/>
        <rFont val="宋体"/>
        <family val="2"/>
      </rPr>
      <t>雷鸣山Ⅱ</t>
    </r>
    <phoneticPr fontId="1" type="noConversion"/>
  </si>
  <si>
    <r>
      <rPr>
        <sz val="10"/>
        <color theme="1"/>
        <rFont val="宋体"/>
        <family val="2"/>
      </rPr>
      <t>雷鸣山Ⅲ</t>
    </r>
    <phoneticPr fontId="1" type="noConversion"/>
  </si>
  <si>
    <r>
      <rPr>
        <sz val="10"/>
        <color theme="1"/>
        <rFont val="宋体"/>
        <family val="2"/>
      </rPr>
      <t>雷鸣之顶</t>
    </r>
    <phoneticPr fontId="1" type="noConversion"/>
  </si>
  <si>
    <r>
      <rPr>
        <sz val="10"/>
        <color theme="1"/>
        <rFont val="宋体"/>
        <family val="2"/>
      </rPr>
      <t>整洁的河川</t>
    </r>
    <phoneticPr fontId="1" type="noConversion"/>
  </si>
  <si>
    <r>
      <rPr>
        <sz val="10"/>
        <color theme="1"/>
        <rFont val="宋体"/>
        <family val="2"/>
      </rPr>
      <t>河床下的秘密Ⅰ</t>
    </r>
    <phoneticPr fontId="1" type="noConversion"/>
  </si>
  <si>
    <r>
      <rPr>
        <sz val="10"/>
        <color theme="1"/>
        <rFont val="宋体"/>
        <family val="2"/>
      </rPr>
      <t>河床下的秘密Ⅱ</t>
    </r>
    <phoneticPr fontId="1" type="noConversion"/>
  </si>
  <si>
    <r>
      <rPr>
        <sz val="10"/>
        <color theme="1"/>
        <rFont val="宋体"/>
        <family val="2"/>
      </rPr>
      <t>河床下的秘密Ⅲ</t>
    </r>
    <phoneticPr fontId="1" type="noConversion"/>
  </si>
  <si>
    <r>
      <rPr>
        <sz val="10"/>
        <color theme="1"/>
        <rFont val="宋体"/>
        <family val="2"/>
      </rPr>
      <t>河床下的秘密Ⅳ</t>
    </r>
    <phoneticPr fontId="1" type="noConversion"/>
  </si>
  <si>
    <r>
      <rPr>
        <sz val="10"/>
        <color theme="0"/>
        <rFont val="宋体"/>
        <family val="3"/>
        <charset val="134"/>
      </rPr>
      <t>关卡</t>
    </r>
    <r>
      <rPr>
        <sz val="10"/>
        <color theme="0"/>
        <rFont val="Arial"/>
        <family val="2"/>
      </rPr>
      <t>id</t>
    </r>
    <phoneticPr fontId="1" type="noConversion"/>
  </si>
  <si>
    <r>
      <rPr>
        <sz val="10"/>
        <color theme="0"/>
        <rFont val="宋体"/>
        <family val="2"/>
      </rPr>
      <t>关卡名字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</si>
  <si>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1</t>
    </r>
    <phoneticPr fontId="1" type="noConversion"/>
  </si>
  <si>
    <t>形象1</t>
    <phoneticPr fontId="1" type="noConversion"/>
  </si>
  <si>
    <t>等级1</t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</si>
  <si>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</si>
  <si>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</si>
  <si>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</si>
  <si>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</si>
  <si>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</si>
  <si>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</si>
  <si>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</si>
  <si>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</si>
  <si>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</si>
  <si>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</si>
  <si>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</si>
  <si>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</si>
  <si>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</si>
  <si>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</si>
  <si>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</si>
  <si>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</si>
  <si>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5</t>
    </r>
    <phoneticPr fontId="1" type="noConversion"/>
  </si>
  <si>
    <t>boss</t>
    <phoneticPr fontId="1" type="noConversion"/>
  </si>
  <si>
    <t>形象</t>
    <phoneticPr fontId="1" type="noConversion"/>
  </si>
  <si>
    <t>等级</t>
    <phoneticPr fontId="1" type="noConversion"/>
  </si>
  <si>
    <t>类型</t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</si>
  <si>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</si>
  <si>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</si>
  <si>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</si>
  <si>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</si>
  <si>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</si>
  <si>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</si>
  <si>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</si>
  <si>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</si>
  <si>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</si>
  <si>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5</t>
    </r>
    <phoneticPr fontId="1" type="noConversion"/>
  </si>
  <si>
    <t>飞行系</t>
    <phoneticPr fontId="1" type="noConversion"/>
  </si>
  <si>
    <t>CB741AAA</t>
  </si>
  <si>
    <t>小蝙蝠</t>
    <phoneticPr fontId="1" type="noConversion"/>
  </si>
  <si>
    <t>CB751AAA</t>
  </si>
  <si>
    <t>变异飞蛾</t>
    <phoneticPr fontId="1" type="noConversion"/>
  </si>
  <si>
    <t>僵尸系</t>
    <phoneticPr fontId="1" type="noConversion"/>
  </si>
  <si>
    <t>CB605AAA</t>
  </si>
  <si>
    <t>森林凶兽</t>
    <phoneticPr fontId="1" type="noConversion"/>
  </si>
  <si>
    <t>土系</t>
    <phoneticPr fontId="1" type="noConversion"/>
  </si>
  <si>
    <r>
      <rPr>
        <sz val="10"/>
        <color theme="1"/>
        <rFont val="宋体"/>
        <family val="3"/>
        <charset val="134"/>
      </rPr>
      <t>索引</t>
    </r>
    <phoneticPr fontId="1" type="noConversion"/>
  </si>
  <si>
    <r>
      <rPr>
        <sz val="10"/>
        <color theme="1"/>
        <rFont val="宋体"/>
        <family val="2"/>
      </rPr>
      <t>章节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</si>
  <si>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2"/>
      </rPr>
      <t>关卡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</si>
  <si>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2"/>
      </rPr>
      <t>权重</t>
    </r>
    <phoneticPr fontId="1" type="noConversion"/>
  </si>
  <si>
    <r>
      <rPr>
        <sz val="10"/>
        <color theme="1"/>
        <rFont val="宋体"/>
        <family val="2"/>
      </rPr>
      <t>数量</t>
    </r>
    <phoneticPr fontId="1" type="noConversion"/>
  </si>
  <si>
    <r>
      <rPr>
        <sz val="10"/>
        <color theme="1"/>
        <rFont val="宋体"/>
        <family val="2"/>
      </rPr>
      <t>怪物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</si>
  <si>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2"/>
      </rPr>
      <t>收集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</si>
  <si>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2"/>
      </rPr>
      <t>关卡</t>
    </r>
    <r>
      <rPr>
        <sz val="10"/>
        <color theme="1"/>
        <rFont val="Arial"/>
        <family val="2"/>
      </rPr>
      <t xml:space="preserve">id </t>
    </r>
    <phoneticPr fontId="1" type="noConversion"/>
  </si>
  <si>
    <r>
      <rPr>
        <sz val="10"/>
        <color theme="1"/>
        <rFont val="宋体"/>
        <family val="2"/>
      </rPr>
      <t>关卡名字</t>
    </r>
    <phoneticPr fontId="1" type="noConversion"/>
  </si>
  <si>
    <r>
      <rPr>
        <sz val="10"/>
        <color theme="1"/>
        <rFont val="宋体"/>
        <family val="2"/>
      </rPr>
      <t>材料产出</t>
    </r>
    <phoneticPr fontId="1" type="noConversion"/>
  </si>
  <si>
    <r>
      <rPr>
        <sz val="10"/>
        <color theme="1"/>
        <rFont val="宋体"/>
        <family val="3"/>
        <charset val="134"/>
      </rPr>
      <t>精灵森林</t>
    </r>
  </si>
  <si>
    <r>
      <rPr>
        <sz val="10"/>
        <color theme="1"/>
        <rFont val="宋体"/>
        <family val="3"/>
        <charset val="134"/>
      </rPr>
      <t>斯塞提卡湖</t>
    </r>
  </si>
  <si>
    <r>
      <rPr>
        <sz val="10"/>
        <color theme="1"/>
        <rFont val="宋体"/>
        <family val="3"/>
        <charset val="134"/>
      </rPr>
      <t>忏悔森林</t>
    </r>
  </si>
  <si>
    <r>
      <rPr>
        <sz val="10"/>
        <color theme="1"/>
        <rFont val="宋体"/>
        <family val="3"/>
        <charset val="134"/>
      </rPr>
      <t>废弃教堂</t>
    </r>
  </si>
  <si>
    <r>
      <rPr>
        <sz val="10"/>
        <color theme="1"/>
        <rFont val="宋体"/>
        <family val="3"/>
        <charset val="134"/>
      </rPr>
      <t>言语树林</t>
    </r>
  </si>
  <si>
    <r>
      <rPr>
        <sz val="10"/>
        <color theme="1"/>
        <rFont val="宋体"/>
        <family val="3"/>
        <charset val="134"/>
      </rPr>
      <t>神龙湖</t>
    </r>
  </si>
  <si>
    <r>
      <rPr>
        <sz val="10"/>
        <color theme="1"/>
        <rFont val="宋体"/>
        <family val="3"/>
        <charset val="134"/>
      </rPr>
      <t>塞尔塔的树海</t>
    </r>
  </si>
  <si>
    <r>
      <rPr>
        <sz val="10"/>
        <color theme="1"/>
        <rFont val="宋体"/>
        <family val="3"/>
        <charset val="134"/>
      </rPr>
      <t>卡尼亚荒地</t>
    </r>
  </si>
  <si>
    <r>
      <rPr>
        <sz val="10"/>
        <color theme="1"/>
        <rFont val="宋体"/>
        <family val="3"/>
        <charset val="134"/>
      </rPr>
      <t>钟乳洞穴</t>
    </r>
  </si>
  <si>
    <r>
      <rPr>
        <sz val="10"/>
        <color theme="1"/>
        <rFont val="宋体"/>
        <family val="3"/>
        <charset val="134"/>
      </rPr>
      <t>丘陵地带</t>
    </r>
  </si>
  <si>
    <r>
      <rPr>
        <sz val="10"/>
        <color theme="1"/>
        <rFont val="宋体"/>
        <family val="3"/>
        <charset val="134"/>
      </rPr>
      <t>天空之城</t>
    </r>
  </si>
  <si>
    <r>
      <rPr>
        <sz val="10"/>
        <color theme="1"/>
        <rFont val="宋体"/>
        <family val="3"/>
        <charset val="134"/>
      </rPr>
      <t>混乱之地</t>
    </r>
  </si>
  <si>
    <r>
      <rPr>
        <sz val="10"/>
        <color theme="1"/>
        <rFont val="宋体"/>
        <family val="3"/>
        <charset val="134"/>
      </rPr>
      <t>大瀑布</t>
    </r>
  </si>
  <si>
    <r>
      <rPr>
        <sz val="10"/>
        <color theme="1"/>
        <rFont val="宋体"/>
        <family val="3"/>
        <charset val="134"/>
      </rPr>
      <t>火焰神殿</t>
    </r>
  </si>
  <si>
    <r>
      <rPr>
        <sz val="10"/>
        <color theme="1"/>
        <rFont val="宋体"/>
        <family val="3"/>
        <charset val="134"/>
      </rPr>
      <t>神社</t>
    </r>
  </si>
  <si>
    <r>
      <rPr>
        <sz val="10"/>
        <color theme="1"/>
        <rFont val="宋体"/>
        <family val="3"/>
        <charset val="134"/>
      </rPr>
      <t>火焰神社</t>
    </r>
  </si>
  <si>
    <r>
      <rPr>
        <sz val="10"/>
        <color theme="1"/>
        <rFont val="宋体"/>
        <family val="3"/>
        <charset val="134"/>
      </rPr>
      <t>遗迹群</t>
    </r>
  </si>
  <si>
    <r>
      <rPr>
        <sz val="10"/>
        <color theme="1"/>
        <rFont val="宋体"/>
        <family val="3"/>
        <charset val="134"/>
      </rPr>
      <t>炎热河床</t>
    </r>
  </si>
  <si>
    <r>
      <rPr>
        <sz val="10"/>
        <color theme="1"/>
        <rFont val="宋体"/>
        <family val="3"/>
        <charset val="134"/>
      </rPr>
      <t>阳光山谷</t>
    </r>
  </si>
  <si>
    <r>
      <rPr>
        <sz val="10"/>
        <color theme="1"/>
        <rFont val="宋体"/>
        <family val="3"/>
        <charset val="134"/>
      </rPr>
      <t>魔王宫殿</t>
    </r>
  </si>
  <si>
    <r>
      <rPr>
        <sz val="10"/>
        <color theme="1"/>
        <rFont val="宋体"/>
        <family val="3"/>
        <charset val="134"/>
      </rPr>
      <t>死亡海岸</t>
    </r>
  </si>
  <si>
    <r>
      <rPr>
        <sz val="10"/>
        <color theme="1"/>
        <rFont val="宋体"/>
        <family val="3"/>
        <charset val="134"/>
      </rPr>
      <t>海拉尔迷宫</t>
    </r>
  </si>
  <si>
    <r>
      <rPr>
        <sz val="10"/>
        <color theme="1"/>
        <rFont val="宋体"/>
        <family val="3"/>
        <charset val="134"/>
      </rPr>
      <t>管理局山脉</t>
    </r>
  </si>
  <si>
    <r>
      <rPr>
        <sz val="10"/>
        <color theme="1"/>
        <rFont val="宋体"/>
        <family val="3"/>
        <charset val="134"/>
      </rPr>
      <t>管理局水闸</t>
    </r>
  </si>
  <si>
    <r>
      <rPr>
        <sz val="10"/>
        <color theme="1"/>
        <rFont val="宋体"/>
        <family val="3"/>
        <charset val="134"/>
      </rPr>
      <t>虚幻树海</t>
    </r>
  </si>
  <si>
    <r>
      <rPr>
        <sz val="10"/>
        <color theme="1"/>
        <rFont val="宋体"/>
        <family val="3"/>
        <charset val="134"/>
      </rPr>
      <t>女神瀑布</t>
    </r>
  </si>
  <si>
    <r>
      <rPr>
        <sz val="10"/>
        <color theme="1"/>
        <rFont val="宋体"/>
        <family val="3"/>
        <charset val="134"/>
      </rPr>
      <t>降临弯</t>
    </r>
  </si>
  <si>
    <r>
      <rPr>
        <sz val="10"/>
        <color theme="1"/>
        <rFont val="宋体"/>
        <family val="3"/>
        <charset val="134"/>
      </rPr>
      <t>章节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</si>
  <si>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3"/>
        <charset val="134"/>
      </rPr>
      <t>章节名字</t>
    </r>
    <phoneticPr fontId="1" type="noConversion"/>
  </si>
  <si>
    <r>
      <rPr>
        <sz val="10"/>
        <color theme="1"/>
        <rFont val="宋体"/>
        <family val="3"/>
        <charset val="134"/>
      </rPr>
      <t>关卡数量</t>
    </r>
    <phoneticPr fontId="1" type="noConversion"/>
  </si>
  <si>
    <t>CB734AAA</t>
  </si>
  <si>
    <t>飞蛇</t>
    <phoneticPr fontId="1" type="noConversion"/>
  </si>
  <si>
    <t>土系</t>
    <phoneticPr fontId="1" type="noConversion"/>
  </si>
  <si>
    <t>地图属性</t>
    <phoneticPr fontId="1" type="noConversion"/>
  </si>
  <si>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</si>
  <si>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</si>
  <si>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</si>
  <si>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</si>
  <si>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</si>
  <si>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水系</t>
    <phoneticPr fontId="1" type="noConversion"/>
  </si>
  <si>
    <t>火系</t>
    <phoneticPr fontId="1" type="noConversion"/>
  </si>
  <si>
    <t>光系</t>
    <phoneticPr fontId="1" type="noConversion"/>
  </si>
  <si>
    <t>暗系</t>
    <phoneticPr fontId="1" type="noConversion"/>
  </si>
  <si>
    <t>雷系</t>
    <phoneticPr fontId="1" type="noConversion"/>
  </si>
  <si>
    <t>风系</t>
    <phoneticPr fontId="1" type="noConversion"/>
  </si>
  <si>
    <t>水系</t>
    <phoneticPr fontId="1" type="noConversion"/>
  </si>
  <si>
    <t>水系</t>
    <phoneticPr fontId="1" type="noConversion"/>
  </si>
  <si>
    <t>龙系</t>
    <phoneticPr fontId="1" type="noConversion"/>
  </si>
  <si>
    <t>金属系</t>
    <phoneticPr fontId="1" type="noConversion"/>
  </si>
  <si>
    <t>火系</t>
    <phoneticPr fontId="1" type="noConversion"/>
  </si>
  <si>
    <t>暗系</t>
    <phoneticPr fontId="1" type="noConversion"/>
  </si>
  <si>
    <t>雷系</t>
    <phoneticPr fontId="1" type="noConversion"/>
  </si>
  <si>
    <t>光系</t>
    <phoneticPr fontId="1" type="noConversion"/>
  </si>
  <si>
    <t>风系</t>
    <phoneticPr fontId="1" type="noConversion"/>
  </si>
  <si>
    <t>火系</t>
    <phoneticPr fontId="1" type="noConversion"/>
  </si>
  <si>
    <t>CB507AAA</t>
  </si>
  <si>
    <t>恶魔</t>
    <phoneticPr fontId="1" type="noConversion"/>
  </si>
  <si>
    <t>CB742AAA</t>
  </si>
  <si>
    <t>愤怒蝙蝠</t>
    <phoneticPr fontId="1" type="noConversion"/>
  </si>
  <si>
    <t>CB401AAA</t>
  </si>
  <si>
    <t>CB403AAA</t>
  </si>
  <si>
    <t>CB404AAA</t>
  </si>
  <si>
    <t>碧蓝湖灵</t>
    <phoneticPr fontId="1" type="noConversion"/>
  </si>
  <si>
    <t>CB411AAA</t>
  </si>
  <si>
    <t>恐怖泥人</t>
    <phoneticPr fontId="1" type="noConversion"/>
  </si>
  <si>
    <t>CB956AAA</t>
  </si>
  <si>
    <t>恶灵</t>
    <phoneticPr fontId="1" type="noConversion"/>
  </si>
  <si>
    <t>CB732AAA</t>
  </si>
  <si>
    <t>僵硬蟒蛇</t>
    <phoneticPr fontId="1" type="noConversion"/>
  </si>
  <si>
    <t>CB733AAA</t>
  </si>
  <si>
    <t>土鳗兽</t>
    <phoneticPr fontId="1" type="noConversion"/>
  </si>
  <si>
    <t>CB736AAA</t>
  </si>
  <si>
    <t>翼龙兽</t>
    <phoneticPr fontId="1" type="noConversion"/>
  </si>
  <si>
    <t>CB756AAA</t>
  </si>
  <si>
    <t>铜矿怪</t>
    <phoneticPr fontId="1" type="noConversion"/>
  </si>
  <si>
    <t>CB862AAA</t>
  </si>
  <si>
    <t>铠甲怪</t>
    <phoneticPr fontId="1" type="noConversion"/>
  </si>
  <si>
    <t>CB896AAA</t>
  </si>
  <si>
    <t>水魔晶</t>
    <phoneticPr fontId="1" type="noConversion"/>
  </si>
  <si>
    <t>CB897AAA</t>
  </si>
  <si>
    <t>CB898AAA</t>
  </si>
  <si>
    <t>CB899AAA</t>
  </si>
  <si>
    <t>CB900AAA</t>
  </si>
  <si>
    <r>
      <rPr>
        <sz val="10"/>
        <color theme="1"/>
        <rFont val="宋体"/>
        <family val="3"/>
        <charset val="134"/>
      </rPr>
      <t>火</t>
    </r>
    <r>
      <rPr>
        <sz val="10"/>
        <color theme="1"/>
        <rFont val="宋体"/>
        <family val="3"/>
        <charset val="134"/>
      </rPr>
      <t>魔晶</t>
    </r>
    <phoneticPr fontId="1" type="noConversion"/>
  </si>
  <si>
    <t>CB760AAA</t>
  </si>
  <si>
    <t>火泥怪</t>
    <phoneticPr fontId="1" type="noConversion"/>
  </si>
  <si>
    <t>幽怨湖灵</t>
    <phoneticPr fontId="1" type="noConversion"/>
  </si>
  <si>
    <t>愤怒湖灵</t>
    <phoneticPr fontId="1" type="noConversion"/>
  </si>
  <si>
    <t>愤怒湖灵</t>
    <phoneticPr fontId="1" type="noConversion"/>
  </si>
  <si>
    <t>CB371AAA</t>
  </si>
  <si>
    <t>赤色独眼巨人</t>
    <phoneticPr fontId="1" type="noConversion"/>
  </si>
  <si>
    <t>土色独眼巨人</t>
    <phoneticPr fontId="1" type="noConversion"/>
  </si>
  <si>
    <t>CB376AAA</t>
  </si>
  <si>
    <t>青色独眼巨人</t>
    <phoneticPr fontId="1" type="noConversion"/>
  </si>
  <si>
    <t>CB613AAA</t>
  </si>
  <si>
    <t>多毛蜘蛛</t>
    <phoneticPr fontId="1" type="noConversion"/>
  </si>
  <si>
    <t>CB224AAA</t>
  </si>
  <si>
    <t>盗贼</t>
    <phoneticPr fontId="1" type="noConversion"/>
  </si>
  <si>
    <t>CB223AAA</t>
  </si>
  <si>
    <t>雷之盗贼</t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</si>
  <si>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</si>
  <si>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</si>
  <si>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t>忍者土匪</t>
    <phoneticPr fontId="1" type="noConversion"/>
  </si>
  <si>
    <t>CB892AAA</t>
  </si>
  <si>
    <t>硬质魔球</t>
    <phoneticPr fontId="1" type="noConversion"/>
  </si>
  <si>
    <t>CB222AAA</t>
  </si>
  <si>
    <t>铁甲土匪</t>
    <phoneticPr fontId="1" type="noConversion"/>
  </si>
  <si>
    <t>CB373AAA</t>
  </si>
  <si>
    <t>钢铁巨人</t>
    <phoneticPr fontId="1" type="noConversion"/>
  </si>
  <si>
    <t>CB372AAA</t>
  </si>
  <si>
    <t>狂躁巨人</t>
    <phoneticPr fontId="1" type="noConversion"/>
  </si>
  <si>
    <t>CB431AAA</t>
  </si>
  <si>
    <t>光精灵</t>
    <phoneticPr fontId="1" type="noConversion"/>
  </si>
  <si>
    <t>光魔鬼</t>
    <phoneticPr fontId="1" type="noConversion"/>
  </si>
  <si>
    <t>CB432AAA</t>
  </si>
  <si>
    <t>CB225AAA</t>
  </si>
  <si>
    <t>黑暗盗贼</t>
    <phoneticPr fontId="1" type="noConversion"/>
  </si>
  <si>
    <t>CB231AAA</t>
  </si>
  <si>
    <t>修罗战士</t>
    <phoneticPr fontId="1" type="noConversion"/>
  </si>
  <si>
    <t>金属系</t>
    <phoneticPr fontId="1" type="noConversion"/>
  </si>
  <si>
    <t>暗系</t>
    <phoneticPr fontId="1" type="noConversion"/>
  </si>
  <si>
    <t>CB232AAA</t>
  </si>
  <si>
    <t>CB233AAA</t>
  </si>
  <si>
    <t>CB611AAA</t>
  </si>
  <si>
    <t>狂舞蜘蛛</t>
    <phoneticPr fontId="1" type="noConversion"/>
  </si>
  <si>
    <t>CB632AAA</t>
  </si>
  <si>
    <t>黑暗石鱼</t>
    <phoneticPr fontId="1" type="noConversion"/>
  </si>
  <si>
    <t>CB764AAA</t>
  </si>
  <si>
    <t>粘稠怪</t>
    <phoneticPr fontId="1" type="noConversion"/>
  </si>
  <si>
    <t>CB762AAA</t>
  </si>
  <si>
    <t>炎之虚幻</t>
    <phoneticPr fontId="1" type="noConversion"/>
  </si>
  <si>
    <t>炎魔晶</t>
    <phoneticPr fontId="1" type="noConversion"/>
  </si>
  <si>
    <t>光魔晶</t>
    <phoneticPr fontId="1" type="noConversion"/>
  </si>
  <si>
    <t>CB853AAA</t>
  </si>
  <si>
    <t>光恶魔</t>
    <phoneticPr fontId="1" type="noConversion"/>
  </si>
  <si>
    <t>CB767AAA</t>
  </si>
  <si>
    <t>光之女护卫</t>
    <phoneticPr fontId="1" type="noConversion"/>
  </si>
  <si>
    <t>CB852AAA</t>
  </si>
  <si>
    <t>水恶魔</t>
    <phoneticPr fontId="1" type="noConversion"/>
  </si>
  <si>
    <t>CB766AAA</t>
  </si>
  <si>
    <t>水之女护卫</t>
    <phoneticPr fontId="1" type="noConversion"/>
  </si>
  <si>
    <t>CB811AAA</t>
  </si>
  <si>
    <t>魔鬼幽魂</t>
    <phoneticPr fontId="1" type="noConversion"/>
  </si>
  <si>
    <t>恶魔蝙蝠</t>
    <phoneticPr fontId="1" type="noConversion"/>
  </si>
  <si>
    <t>CB633AAA</t>
  </si>
  <si>
    <t>魔鬼鱼</t>
    <phoneticPr fontId="1" type="noConversion"/>
  </si>
  <si>
    <t>CB747AAA</t>
  </si>
  <si>
    <t>金属土龙</t>
    <phoneticPr fontId="1" type="noConversion"/>
  </si>
  <si>
    <t>CB357AAA</t>
  </si>
  <si>
    <t>小恶魔</t>
    <phoneticPr fontId="1" type="noConversion"/>
  </si>
  <si>
    <t>小蝙蝠</t>
    <phoneticPr fontId="1" type="noConversion"/>
  </si>
  <si>
    <t>CB604AAA</t>
  </si>
  <si>
    <t>变异凶兽</t>
    <phoneticPr fontId="1" type="noConversion"/>
  </si>
  <si>
    <t>CB606AAA</t>
  </si>
  <si>
    <t>凶猛恶狼</t>
    <phoneticPr fontId="1" type="noConversion"/>
  </si>
  <si>
    <t>CB602AAA</t>
  </si>
  <si>
    <t>蛇狼兽</t>
    <phoneticPr fontId="1" type="noConversion"/>
  </si>
  <si>
    <t>CB603AAA</t>
  </si>
  <si>
    <t>究极双狼</t>
    <phoneticPr fontId="1" type="noConversion"/>
  </si>
  <si>
    <t>CB433AAA</t>
  </si>
  <si>
    <t>水之祭祀</t>
    <phoneticPr fontId="1" type="noConversion"/>
  </si>
  <si>
    <t>CB765AAA</t>
  </si>
  <si>
    <t>水之法师</t>
    <phoneticPr fontId="1" type="noConversion"/>
  </si>
  <si>
    <t>水之男巫</t>
    <phoneticPr fontId="1" type="noConversion"/>
  </si>
  <si>
    <t>CB770AAA</t>
  </si>
  <si>
    <t>寒冰女王</t>
    <phoneticPr fontId="1" type="noConversion"/>
  </si>
  <si>
    <t>CB407AAA</t>
  </si>
  <si>
    <t>CB408AAA</t>
  </si>
  <si>
    <t>紫焰女王</t>
    <phoneticPr fontId="1" type="noConversion"/>
  </si>
  <si>
    <t>水系</t>
    <phoneticPr fontId="1" type="noConversion"/>
  </si>
  <si>
    <t>CB439AAA</t>
  </si>
  <si>
    <t>人形树怪</t>
    <phoneticPr fontId="1" type="noConversion"/>
  </si>
  <si>
    <t>僵尸系</t>
    <phoneticPr fontId="1" type="noConversion"/>
  </si>
  <si>
    <t>CB443AAA</t>
  </si>
  <si>
    <t>僵硬恶龙</t>
    <phoneticPr fontId="1" type="noConversion"/>
  </si>
  <si>
    <t>CB359AAA</t>
  </si>
  <si>
    <t>屠夫</t>
    <phoneticPr fontId="1" type="noConversion"/>
  </si>
  <si>
    <t>CB532AAA</t>
  </si>
  <si>
    <t>睡魔</t>
    <phoneticPr fontId="1" type="noConversion"/>
  </si>
  <si>
    <t>鳗龙兽</t>
    <phoneticPr fontId="1" type="noConversion"/>
  </si>
  <si>
    <t>CB442AAA</t>
  </si>
  <si>
    <t>七彩龙鸟</t>
    <phoneticPr fontId="1" type="noConversion"/>
  </si>
  <si>
    <t>龙系</t>
    <phoneticPr fontId="1" type="noConversion"/>
  </si>
  <si>
    <t>CB705AAA</t>
  </si>
  <si>
    <t>石像飞龙</t>
    <phoneticPr fontId="1" type="noConversion"/>
  </si>
  <si>
    <t>异化蝙蝠龙</t>
    <phoneticPr fontId="1" type="noConversion"/>
  </si>
  <si>
    <t>CB873AAA</t>
  </si>
  <si>
    <t>CB700AAA</t>
  </si>
  <si>
    <t>蓝龙</t>
    <phoneticPr fontId="1" type="noConversion"/>
  </si>
  <si>
    <t>CB552AAA</t>
  </si>
  <si>
    <t>圣天兽</t>
    <phoneticPr fontId="1" type="noConversion"/>
  </si>
  <si>
    <t>CB354AAA</t>
  </si>
  <si>
    <t>面具鬼</t>
    <phoneticPr fontId="1" type="noConversion"/>
  </si>
  <si>
    <t>CB353AAA</t>
  </si>
  <si>
    <t>超强面具鬼</t>
    <phoneticPr fontId="1" type="noConversion"/>
  </si>
  <si>
    <t>钢铁巨人</t>
    <phoneticPr fontId="1" type="noConversion"/>
  </si>
  <si>
    <t>CB052AAA</t>
  </si>
  <si>
    <t>诡异体</t>
    <phoneticPr fontId="1" type="noConversion"/>
  </si>
  <si>
    <t>暗系</t>
    <phoneticPr fontId="1" type="noConversion"/>
  </si>
  <si>
    <t>CB201AAA</t>
  </si>
  <si>
    <t>钢铁圣徒</t>
    <phoneticPr fontId="1" type="noConversion"/>
  </si>
  <si>
    <t>CB731AAA</t>
  </si>
  <si>
    <t>水龙兽</t>
    <phoneticPr fontId="1" type="noConversion"/>
  </si>
  <si>
    <t>水系</t>
    <phoneticPr fontId="1" type="noConversion"/>
  </si>
  <si>
    <t>CB531AAA</t>
  </si>
  <si>
    <t>湖底恶魔</t>
    <phoneticPr fontId="1" type="noConversion"/>
  </si>
  <si>
    <t>珊瑚恶魔</t>
    <phoneticPr fontId="1" type="noConversion"/>
  </si>
  <si>
    <t>CB461AAA</t>
  </si>
  <si>
    <t>圣天使</t>
    <phoneticPr fontId="1" type="noConversion"/>
  </si>
  <si>
    <t>光系</t>
    <phoneticPr fontId="1" type="noConversion"/>
  </si>
  <si>
    <t>CB503AAA</t>
  </si>
  <si>
    <t>女体吸血鬼</t>
    <phoneticPr fontId="1" type="noConversion"/>
  </si>
  <si>
    <t>暗系</t>
    <phoneticPr fontId="1" type="noConversion"/>
  </si>
  <si>
    <t>CB332AAA</t>
  </si>
  <si>
    <t>赤炎天使</t>
    <phoneticPr fontId="1" type="noConversion"/>
  </si>
  <si>
    <t>火系</t>
    <phoneticPr fontId="1" type="noConversion"/>
  </si>
  <si>
    <t>CB356AAA</t>
  </si>
  <si>
    <t>火炎恶灵</t>
    <phoneticPr fontId="1" type="noConversion"/>
  </si>
  <si>
    <t>CB748AAA</t>
  </si>
  <si>
    <t>火炎幻兽</t>
    <phoneticPr fontId="1" type="noConversion"/>
  </si>
  <si>
    <t>CB773AAA</t>
  </si>
  <si>
    <t>炎蝎</t>
    <phoneticPr fontId="1" type="noConversion"/>
  </si>
  <si>
    <t>CB438AAA</t>
  </si>
  <si>
    <t>魔幻水晶</t>
    <phoneticPr fontId="1" type="noConversion"/>
  </si>
  <si>
    <t>CB504AAA</t>
  </si>
  <si>
    <t>赤裸天使</t>
    <phoneticPr fontId="1" type="noConversion"/>
  </si>
  <si>
    <t>CB894AAA</t>
  </si>
  <si>
    <t>山峦之王</t>
    <phoneticPr fontId="1" type="noConversion"/>
  </si>
  <si>
    <t>CB891AAA</t>
  </si>
  <si>
    <t>巨石凶兽</t>
    <phoneticPr fontId="1" type="noConversion"/>
  </si>
  <si>
    <t>CS023AAA</t>
  </si>
  <si>
    <t>亚种魔龙</t>
    <phoneticPr fontId="1" type="noConversion"/>
  </si>
  <si>
    <t>魅惑吸血鬼</t>
    <phoneticPr fontId="1" type="noConversion"/>
  </si>
  <si>
    <t>CB555AAA</t>
  </si>
  <si>
    <t>辽原女王</t>
    <phoneticPr fontId="1" type="noConversion"/>
  </si>
  <si>
    <t>CB534AAA</t>
  </si>
  <si>
    <t>黑暗人狼王</t>
    <phoneticPr fontId="1" type="noConversion"/>
  </si>
  <si>
    <t>CB511AAA</t>
  </si>
  <si>
    <t>黑暗小丑</t>
    <phoneticPr fontId="1" type="noConversion"/>
  </si>
  <si>
    <t>CB521AAA</t>
  </si>
  <si>
    <t>彩蛋小丑</t>
    <phoneticPr fontId="1" type="noConversion"/>
  </si>
  <si>
    <t>魔焰小丑</t>
    <phoneticPr fontId="1" type="noConversion"/>
  </si>
  <si>
    <t>CB514AAA</t>
  </si>
  <si>
    <t>CB501AAA</t>
  </si>
  <si>
    <t>远古食人鱼</t>
    <phoneticPr fontId="1" type="noConversion"/>
  </si>
  <si>
    <t>巨鲸兽</t>
    <phoneticPr fontId="1" type="noConversion"/>
  </si>
  <si>
    <t>CB721AAA</t>
  </si>
  <si>
    <t>水系</t>
    <phoneticPr fontId="1" type="noConversion"/>
  </si>
  <si>
    <t>地狱使者</t>
    <phoneticPr fontId="1" type="noConversion"/>
  </si>
  <si>
    <t>CB801AAA</t>
  </si>
  <si>
    <t>暗系</t>
    <phoneticPr fontId="1" type="noConversion"/>
  </si>
  <si>
    <t>土匪首领</t>
    <phoneticPr fontId="1" type="noConversion"/>
  </si>
  <si>
    <t>CB301AAA</t>
  </si>
  <si>
    <t>雷系</t>
    <phoneticPr fontId="1" type="noConversion"/>
  </si>
  <si>
    <t>金属魔兽</t>
    <phoneticPr fontId="1" type="noConversion"/>
  </si>
  <si>
    <t>CB883AAA</t>
  </si>
  <si>
    <t>金属系</t>
    <phoneticPr fontId="1" type="noConversion"/>
  </si>
  <si>
    <t>CB882AAA</t>
  </si>
  <si>
    <t>CB881AAA</t>
  </si>
  <si>
    <t>CB302AAA</t>
  </si>
  <si>
    <t>黄金射手</t>
    <phoneticPr fontId="1" type="noConversion"/>
  </si>
  <si>
    <t>金属系</t>
    <phoneticPr fontId="1" type="noConversion"/>
  </si>
  <si>
    <t>CB021AAA</t>
  </si>
  <si>
    <t>究极钢铁战士</t>
    <phoneticPr fontId="1" type="noConversion"/>
  </si>
  <si>
    <t>CB022AAA</t>
  </si>
  <si>
    <t>燃烧女王</t>
    <phoneticPr fontId="1" type="noConversion"/>
  </si>
  <si>
    <t>火系</t>
    <phoneticPr fontId="1" type="noConversion"/>
  </si>
  <si>
    <t>CB331AAA</t>
  </si>
  <si>
    <t>湛蓝天使</t>
    <phoneticPr fontId="1" type="noConversion"/>
  </si>
  <si>
    <t>大天使</t>
    <phoneticPr fontId="1" type="noConversion"/>
  </si>
  <si>
    <t>CB452AAA</t>
  </si>
  <si>
    <t>天马战士</t>
    <phoneticPr fontId="1" type="noConversion"/>
  </si>
  <si>
    <t>CB817AAA</t>
  </si>
  <si>
    <t>圣域守护者</t>
    <phoneticPr fontId="1" type="noConversion"/>
  </si>
  <si>
    <t>修罗护卫</t>
    <phoneticPr fontId="1" type="noConversion"/>
  </si>
  <si>
    <t>CB553AAA</t>
  </si>
  <si>
    <t>僵尸系</t>
    <phoneticPr fontId="1" type="noConversion"/>
  </si>
  <si>
    <t>守护圣龙</t>
    <phoneticPr fontId="1" type="noConversion"/>
  </si>
  <si>
    <t>钢铁暗龙</t>
    <phoneticPr fontId="1" type="noConversion"/>
  </si>
  <si>
    <t>钢铁战鹰</t>
    <phoneticPr fontId="1" type="noConversion"/>
  </si>
  <si>
    <t>CB377AAA</t>
  </si>
  <si>
    <t>野蛮酋长</t>
    <phoneticPr fontId="1" type="noConversion"/>
  </si>
  <si>
    <t>僵尸系</t>
  </si>
  <si>
    <t>僵尸系</t>
    <phoneticPr fontId="1" type="noConversion"/>
  </si>
  <si>
    <t>CB506AAA</t>
  </si>
  <si>
    <t>风翼仙子</t>
    <phoneticPr fontId="1" type="noConversion"/>
  </si>
  <si>
    <t>小蝙蝠</t>
  </si>
  <si>
    <t>飞行系</t>
  </si>
  <si>
    <t>飞蛇</t>
  </si>
  <si>
    <t>恶魔</t>
  </si>
  <si>
    <t>愤怒蝙蝠</t>
  </si>
  <si>
    <t>幽怨湖灵</t>
  </si>
  <si>
    <t>水系</t>
  </si>
  <si>
    <t>愤怒湖灵</t>
  </si>
  <si>
    <t>碧蓝湖灵</t>
  </si>
  <si>
    <t>恐怖泥人</t>
  </si>
  <si>
    <t>恶灵</t>
  </si>
  <si>
    <t>僵硬蟒蛇</t>
  </si>
  <si>
    <t>土鳗兽</t>
  </si>
  <si>
    <t>龙系</t>
  </si>
  <si>
    <t>翼龙兽</t>
  </si>
  <si>
    <t>铜矿怪</t>
  </si>
  <si>
    <t>金属系</t>
  </si>
  <si>
    <t>铠甲怪</t>
  </si>
  <si>
    <t>水魔晶</t>
  </si>
  <si>
    <t>火魔晶</t>
  </si>
  <si>
    <t>火系</t>
  </si>
  <si>
    <t>火泥怪</t>
  </si>
  <si>
    <t>赤色独眼巨人</t>
  </si>
  <si>
    <t>土色独眼巨人</t>
  </si>
  <si>
    <t>土系</t>
  </si>
  <si>
    <t>青色独眼巨人</t>
  </si>
  <si>
    <t>多毛蜘蛛</t>
  </si>
  <si>
    <t>暗系</t>
  </si>
  <si>
    <t>盗贼</t>
  </si>
  <si>
    <t>雷之盗贼</t>
  </si>
  <si>
    <t>雷系</t>
  </si>
  <si>
    <t xml:space="preserve">雷魔晶 </t>
  </si>
  <si>
    <t>忍者土匪</t>
  </si>
  <si>
    <t>硬质魔球</t>
  </si>
  <si>
    <t>铁甲土匪</t>
  </si>
  <si>
    <t>钢铁巨人</t>
  </si>
  <si>
    <t>狂躁巨人</t>
  </si>
  <si>
    <t>光精灵</t>
  </si>
  <si>
    <t>光系</t>
  </si>
  <si>
    <t>光魔鬼</t>
  </si>
  <si>
    <t>修罗战士</t>
  </si>
  <si>
    <t>狂舞蜘蛛</t>
  </si>
  <si>
    <t>风系</t>
  </si>
  <si>
    <t>黑暗盗贼</t>
  </si>
  <si>
    <t>黑暗石鱼</t>
  </si>
  <si>
    <t>粘稠怪</t>
  </si>
  <si>
    <t>炎之虚幻</t>
  </si>
  <si>
    <t>炎魔晶</t>
  </si>
  <si>
    <t>光魔晶</t>
  </si>
  <si>
    <t>光恶魔</t>
  </si>
  <si>
    <t>光之女护卫</t>
  </si>
  <si>
    <t>水恶魔</t>
  </si>
  <si>
    <t>水之女护卫</t>
  </si>
  <si>
    <t>魔鬼幽魂</t>
  </si>
  <si>
    <t>恶魔蝙蝠</t>
  </si>
  <si>
    <t>魔鬼鱼</t>
  </si>
  <si>
    <t>金属土龙</t>
  </si>
  <si>
    <t>小恶魔</t>
  </si>
  <si>
    <r>
      <rPr>
        <sz val="10"/>
        <color theme="1"/>
        <rFont val="宋体"/>
        <family val="3"/>
        <charset val="134"/>
      </rPr>
      <t>剧情</t>
    </r>
    <r>
      <rPr>
        <sz val="10"/>
        <color theme="1"/>
        <rFont val="Arial"/>
        <family val="2"/>
      </rPr>
      <t>id</t>
    </r>
    <phoneticPr fontId="1" type="noConversion"/>
  </si>
  <si>
    <t>产出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</si>
</sst>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b/>
      <sz val="10"/>
      <color theme="1"/>
      <name val="Arial"/>
      <family val="2"/>
    </font>
    <font>
      <b/>
      <sz val="10"/>
      <color theme="1"/>
      <name val="宋体"/>
      <family val="2"/>
    </font>
    <font>
      <b/>
      <sz val="10"/>
      <color theme="1"/>
      <name val="宋体"/>
      <family val="3"/>
      <charset val="134"/>
    </font>
    <font>
      <sz val="10"/>
      <color rgb="FFFF0000"/>
      <name val="Arial"/>
      <family val="2"/>
    </font>
    <font>
      <sz val="10"/>
      <color rgb="FFFF0000"/>
      <name val="宋体"/>
      <family val="2"/>
    </font>
    <font>
      <sz val="10"/>
      <color theme="1"/>
      <name val="宋体"/>
      <family val="2"/>
    </font>
    <font>
      <sz val="10"/>
      <color theme="0"/>
      <name val="Arial"/>
      <family val="2"/>
    </font>
    <font>
      <sz val="10"/>
      <color theme="0"/>
      <name val="宋体"/>
      <family val="2"/>
    </font>
    <font>
      <sz val="10"/>
      <color theme="0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2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植物!$W$5:$W$144</c:f>
              <c:numCache>
                <c:formatCode>General</c:formatCode>
                <c:ptCount val="14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50</c:v>
                </c:pt>
                <c:pt idx="9">
                  <c:v>40</c:v>
                </c:pt>
                <c:pt idx="10">
                  <c:v>30</c:v>
                </c:pt>
                <c:pt idx="11">
                  <c:v>50</c:v>
                </c:pt>
                <c:pt idx="12">
                  <c:v>40</c:v>
                </c:pt>
                <c:pt idx="13">
                  <c:v>50</c:v>
                </c:pt>
                <c:pt idx="14">
                  <c:v>20</c:v>
                </c:pt>
                <c:pt idx="15">
                  <c:v>30</c:v>
                </c:pt>
                <c:pt idx="16">
                  <c:v>40</c:v>
                </c:pt>
                <c:pt idx="17">
                  <c:v>30</c:v>
                </c:pt>
                <c:pt idx="18">
                  <c:v>70</c:v>
                </c:pt>
                <c:pt idx="19">
                  <c:v>80</c:v>
                </c:pt>
                <c:pt idx="20">
                  <c:v>80</c:v>
                </c:pt>
                <c:pt idx="21">
                  <c:v>50</c:v>
                </c:pt>
                <c:pt idx="22">
                  <c:v>80</c:v>
                </c:pt>
                <c:pt idx="23">
                  <c:v>60</c:v>
                </c:pt>
                <c:pt idx="24">
                  <c:v>100</c:v>
                </c:pt>
                <c:pt idx="25">
                  <c:v>90</c:v>
                </c:pt>
                <c:pt idx="26">
                  <c:v>60</c:v>
                </c:pt>
                <c:pt idx="27">
                  <c:v>80</c:v>
                </c:pt>
                <c:pt idx="28">
                  <c:v>100</c:v>
                </c:pt>
                <c:pt idx="29">
                  <c:v>100</c:v>
                </c:pt>
                <c:pt idx="30">
                  <c:v>80</c:v>
                </c:pt>
                <c:pt idx="31">
                  <c:v>100</c:v>
                </c:pt>
                <c:pt idx="32">
                  <c:v>80</c:v>
                </c:pt>
                <c:pt idx="33">
                  <c:v>80</c:v>
                </c:pt>
                <c:pt idx="34">
                  <c:v>90</c:v>
                </c:pt>
                <c:pt idx="35">
                  <c:v>90</c:v>
                </c:pt>
                <c:pt idx="36">
                  <c:v>130</c:v>
                </c:pt>
                <c:pt idx="37">
                  <c:v>130</c:v>
                </c:pt>
                <c:pt idx="38">
                  <c:v>70</c:v>
                </c:pt>
                <c:pt idx="39">
                  <c:v>130</c:v>
                </c:pt>
                <c:pt idx="40">
                  <c:v>70</c:v>
                </c:pt>
                <c:pt idx="41">
                  <c:v>130</c:v>
                </c:pt>
                <c:pt idx="42">
                  <c:v>70</c:v>
                </c:pt>
                <c:pt idx="43">
                  <c:v>110</c:v>
                </c:pt>
                <c:pt idx="44">
                  <c:v>70</c:v>
                </c:pt>
                <c:pt idx="45">
                  <c:v>70</c:v>
                </c:pt>
                <c:pt idx="46">
                  <c:v>80</c:v>
                </c:pt>
                <c:pt idx="47">
                  <c:v>50</c:v>
                </c:pt>
                <c:pt idx="48">
                  <c:v>90</c:v>
                </c:pt>
                <c:pt idx="49">
                  <c:v>80</c:v>
                </c:pt>
                <c:pt idx="50">
                  <c:v>70</c:v>
                </c:pt>
                <c:pt idx="51">
                  <c:v>60</c:v>
                </c:pt>
                <c:pt idx="52">
                  <c:v>90</c:v>
                </c:pt>
                <c:pt idx="53">
                  <c:v>80</c:v>
                </c:pt>
                <c:pt idx="54">
                  <c:v>90</c:v>
                </c:pt>
                <c:pt idx="55">
                  <c:v>110</c:v>
                </c:pt>
                <c:pt idx="56">
                  <c:v>90</c:v>
                </c:pt>
                <c:pt idx="57">
                  <c:v>120</c:v>
                </c:pt>
                <c:pt idx="58">
                  <c:v>80</c:v>
                </c:pt>
                <c:pt idx="59">
                  <c:v>70</c:v>
                </c:pt>
                <c:pt idx="60">
                  <c:v>90</c:v>
                </c:pt>
                <c:pt idx="61">
                  <c:v>110</c:v>
                </c:pt>
                <c:pt idx="62">
                  <c:v>130</c:v>
                </c:pt>
                <c:pt idx="63">
                  <c:v>100</c:v>
                </c:pt>
                <c:pt idx="64">
                  <c:v>80</c:v>
                </c:pt>
                <c:pt idx="65">
                  <c:v>100</c:v>
                </c:pt>
                <c:pt idx="66">
                  <c:v>130</c:v>
                </c:pt>
                <c:pt idx="67">
                  <c:v>80</c:v>
                </c:pt>
                <c:pt idx="68">
                  <c:v>100</c:v>
                </c:pt>
                <c:pt idx="69">
                  <c:v>140</c:v>
                </c:pt>
                <c:pt idx="70">
                  <c:v>80</c:v>
                </c:pt>
                <c:pt idx="71">
                  <c:v>120</c:v>
                </c:pt>
                <c:pt idx="72">
                  <c:v>110</c:v>
                </c:pt>
                <c:pt idx="73">
                  <c:v>120</c:v>
                </c:pt>
                <c:pt idx="74">
                  <c:v>150</c:v>
                </c:pt>
                <c:pt idx="75">
                  <c:v>110</c:v>
                </c:pt>
                <c:pt idx="76">
                  <c:v>120</c:v>
                </c:pt>
                <c:pt idx="77">
                  <c:v>150</c:v>
                </c:pt>
                <c:pt idx="78">
                  <c:v>140</c:v>
                </c:pt>
                <c:pt idx="79">
                  <c:v>110</c:v>
                </c:pt>
                <c:pt idx="80">
                  <c:v>130</c:v>
                </c:pt>
                <c:pt idx="81">
                  <c:v>100</c:v>
                </c:pt>
                <c:pt idx="82">
                  <c:v>70</c:v>
                </c:pt>
                <c:pt idx="83">
                  <c:v>100</c:v>
                </c:pt>
                <c:pt idx="84">
                  <c:v>90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70</c:v>
                </c:pt>
                <c:pt idx="89">
                  <c:v>70</c:v>
                </c:pt>
                <c:pt idx="90">
                  <c:v>80</c:v>
                </c:pt>
                <c:pt idx="91">
                  <c:v>100</c:v>
                </c:pt>
                <c:pt idx="92">
                  <c:v>100</c:v>
                </c:pt>
                <c:pt idx="93">
                  <c:v>60</c:v>
                </c:pt>
                <c:pt idx="94">
                  <c:v>60</c:v>
                </c:pt>
                <c:pt idx="95">
                  <c:v>80</c:v>
                </c:pt>
                <c:pt idx="96">
                  <c:v>90</c:v>
                </c:pt>
                <c:pt idx="97">
                  <c:v>120</c:v>
                </c:pt>
                <c:pt idx="98">
                  <c:v>90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90</c:v>
                </c:pt>
                <c:pt idx="103">
                  <c:v>90</c:v>
                </c:pt>
                <c:pt idx="104">
                  <c:v>70</c:v>
                </c:pt>
                <c:pt idx="105">
                  <c:v>70</c:v>
                </c:pt>
                <c:pt idx="106">
                  <c:v>100</c:v>
                </c:pt>
                <c:pt idx="107">
                  <c:v>100</c:v>
                </c:pt>
                <c:pt idx="108">
                  <c:v>130</c:v>
                </c:pt>
                <c:pt idx="109">
                  <c:v>130</c:v>
                </c:pt>
                <c:pt idx="110">
                  <c:v>80</c:v>
                </c:pt>
                <c:pt idx="111">
                  <c:v>100</c:v>
                </c:pt>
                <c:pt idx="112">
                  <c:v>130</c:v>
                </c:pt>
                <c:pt idx="113">
                  <c:v>100</c:v>
                </c:pt>
                <c:pt idx="114">
                  <c:v>110</c:v>
                </c:pt>
                <c:pt idx="115">
                  <c:v>100</c:v>
                </c:pt>
                <c:pt idx="116">
                  <c:v>140</c:v>
                </c:pt>
                <c:pt idx="117">
                  <c:v>110</c:v>
                </c:pt>
                <c:pt idx="118">
                  <c:v>110</c:v>
                </c:pt>
                <c:pt idx="119">
                  <c:v>80</c:v>
                </c:pt>
                <c:pt idx="120">
                  <c:v>120</c:v>
                </c:pt>
                <c:pt idx="121">
                  <c:v>100</c:v>
                </c:pt>
                <c:pt idx="122">
                  <c:v>70</c:v>
                </c:pt>
                <c:pt idx="123">
                  <c:v>130</c:v>
                </c:pt>
                <c:pt idx="124">
                  <c:v>130</c:v>
                </c:pt>
                <c:pt idx="125">
                  <c:v>70</c:v>
                </c:pt>
                <c:pt idx="126">
                  <c:v>130</c:v>
                </c:pt>
                <c:pt idx="127">
                  <c:v>80</c:v>
                </c:pt>
                <c:pt idx="128">
                  <c:v>70</c:v>
                </c:pt>
                <c:pt idx="129">
                  <c:v>110</c:v>
                </c:pt>
                <c:pt idx="130">
                  <c:v>90</c:v>
                </c:pt>
                <c:pt idx="131">
                  <c:v>130</c:v>
                </c:pt>
                <c:pt idx="132">
                  <c:v>80</c:v>
                </c:pt>
                <c:pt idx="133">
                  <c:v>80</c:v>
                </c:pt>
                <c:pt idx="134">
                  <c:v>70</c:v>
                </c:pt>
                <c:pt idx="135">
                  <c:v>110</c:v>
                </c:pt>
                <c:pt idx="136">
                  <c:v>60</c:v>
                </c:pt>
                <c:pt idx="137">
                  <c:v>80</c:v>
                </c:pt>
                <c:pt idx="138">
                  <c:v>60</c:v>
                </c:pt>
                <c:pt idx="139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9880080"/>
        <c:axId val="979880624"/>
      </c:lineChart>
      <c:catAx>
        <c:axId val="979880080"/>
        <c:scaling>
          <c:orientation val="minMax"/>
        </c:scaling>
        <c:delete val="0"/>
        <c:axPos val="b"/>
        <c:majorTickMark val="out"/>
        <c:minorTickMark val="none"/>
        <c:tickLblPos val="nextTo"/>
        <c:crossAx val="979880624"/>
        <c:crosses val="autoZero"/>
        <c:auto val="1"/>
        <c:lblAlgn val="ctr"/>
        <c:lblOffset val="100"/>
        <c:noMultiLvlLbl val="0"/>
      </c:catAx>
      <c:valAx>
        <c:axId val="979880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9880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矿物!$W$5:$W$144</c:f>
              <c:numCache>
                <c:formatCode>General</c:formatCode>
                <c:ptCount val="14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30</c:v>
                </c:pt>
                <c:pt idx="8">
                  <c:v>50</c:v>
                </c:pt>
                <c:pt idx="9">
                  <c:v>40</c:v>
                </c:pt>
                <c:pt idx="10">
                  <c:v>40</c:v>
                </c:pt>
                <c:pt idx="11">
                  <c:v>20</c:v>
                </c:pt>
                <c:pt idx="12">
                  <c:v>70</c:v>
                </c:pt>
                <c:pt idx="13">
                  <c:v>100</c:v>
                </c:pt>
                <c:pt idx="14">
                  <c:v>110</c:v>
                </c:pt>
                <c:pt idx="15">
                  <c:v>90</c:v>
                </c:pt>
                <c:pt idx="16">
                  <c:v>80</c:v>
                </c:pt>
                <c:pt idx="17">
                  <c:v>80</c:v>
                </c:pt>
                <c:pt idx="18">
                  <c:v>90</c:v>
                </c:pt>
                <c:pt idx="19">
                  <c:v>80</c:v>
                </c:pt>
                <c:pt idx="20">
                  <c:v>80</c:v>
                </c:pt>
                <c:pt idx="21">
                  <c:v>100</c:v>
                </c:pt>
                <c:pt idx="22">
                  <c:v>80</c:v>
                </c:pt>
                <c:pt idx="23">
                  <c:v>90</c:v>
                </c:pt>
                <c:pt idx="24">
                  <c:v>60</c:v>
                </c:pt>
                <c:pt idx="25">
                  <c:v>70</c:v>
                </c:pt>
                <c:pt idx="26">
                  <c:v>80</c:v>
                </c:pt>
                <c:pt idx="27">
                  <c:v>90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70</c:v>
                </c:pt>
                <c:pt idx="34">
                  <c:v>90</c:v>
                </c:pt>
                <c:pt idx="35">
                  <c:v>110</c:v>
                </c:pt>
                <c:pt idx="36">
                  <c:v>70</c:v>
                </c:pt>
                <c:pt idx="37">
                  <c:v>110</c:v>
                </c:pt>
                <c:pt idx="38">
                  <c:v>70</c:v>
                </c:pt>
                <c:pt idx="39">
                  <c:v>100</c:v>
                </c:pt>
                <c:pt idx="40">
                  <c:v>100</c:v>
                </c:pt>
                <c:pt idx="41">
                  <c:v>150</c:v>
                </c:pt>
                <c:pt idx="42">
                  <c:v>140</c:v>
                </c:pt>
                <c:pt idx="43">
                  <c:v>120</c:v>
                </c:pt>
                <c:pt idx="44">
                  <c:v>100</c:v>
                </c:pt>
                <c:pt idx="45">
                  <c:v>120</c:v>
                </c:pt>
                <c:pt idx="46">
                  <c:v>70</c:v>
                </c:pt>
                <c:pt idx="47">
                  <c:v>80</c:v>
                </c:pt>
                <c:pt idx="48">
                  <c:v>80</c:v>
                </c:pt>
                <c:pt idx="49">
                  <c:v>100</c:v>
                </c:pt>
                <c:pt idx="50">
                  <c:v>100</c:v>
                </c:pt>
                <c:pt idx="51">
                  <c:v>80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150</c:v>
                </c:pt>
                <c:pt idx="61">
                  <c:v>140</c:v>
                </c:pt>
                <c:pt idx="62">
                  <c:v>150</c:v>
                </c:pt>
                <c:pt idx="63">
                  <c:v>130</c:v>
                </c:pt>
                <c:pt idx="64">
                  <c:v>150</c:v>
                </c:pt>
                <c:pt idx="65">
                  <c:v>100</c:v>
                </c:pt>
                <c:pt idx="66">
                  <c:v>120</c:v>
                </c:pt>
                <c:pt idx="67">
                  <c:v>120</c:v>
                </c:pt>
                <c:pt idx="68">
                  <c:v>130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130</c:v>
                </c:pt>
                <c:pt idx="73">
                  <c:v>150</c:v>
                </c:pt>
                <c:pt idx="74">
                  <c:v>150</c:v>
                </c:pt>
                <c:pt idx="75">
                  <c:v>150</c:v>
                </c:pt>
                <c:pt idx="76">
                  <c:v>150</c:v>
                </c:pt>
                <c:pt idx="77">
                  <c:v>120</c:v>
                </c:pt>
                <c:pt idx="78">
                  <c:v>90</c:v>
                </c:pt>
                <c:pt idx="79">
                  <c:v>140</c:v>
                </c:pt>
                <c:pt idx="80">
                  <c:v>120</c:v>
                </c:pt>
                <c:pt idx="81">
                  <c:v>100</c:v>
                </c:pt>
                <c:pt idx="82">
                  <c:v>150</c:v>
                </c:pt>
                <c:pt idx="83">
                  <c:v>140</c:v>
                </c:pt>
                <c:pt idx="84">
                  <c:v>120</c:v>
                </c:pt>
                <c:pt idx="85">
                  <c:v>130</c:v>
                </c:pt>
                <c:pt idx="86">
                  <c:v>160</c:v>
                </c:pt>
                <c:pt idx="87">
                  <c:v>140</c:v>
                </c:pt>
                <c:pt idx="88">
                  <c:v>120</c:v>
                </c:pt>
                <c:pt idx="89">
                  <c:v>140</c:v>
                </c:pt>
                <c:pt idx="90">
                  <c:v>180</c:v>
                </c:pt>
                <c:pt idx="91">
                  <c:v>150</c:v>
                </c:pt>
                <c:pt idx="92">
                  <c:v>160</c:v>
                </c:pt>
                <c:pt idx="93">
                  <c:v>110</c:v>
                </c:pt>
                <c:pt idx="94">
                  <c:v>80</c:v>
                </c:pt>
                <c:pt idx="95">
                  <c:v>90</c:v>
                </c:pt>
                <c:pt idx="96">
                  <c:v>80</c:v>
                </c:pt>
                <c:pt idx="97">
                  <c:v>100</c:v>
                </c:pt>
                <c:pt idx="98">
                  <c:v>80</c:v>
                </c:pt>
                <c:pt idx="99">
                  <c:v>70</c:v>
                </c:pt>
                <c:pt idx="100">
                  <c:v>100</c:v>
                </c:pt>
                <c:pt idx="101">
                  <c:v>100</c:v>
                </c:pt>
                <c:pt idx="102">
                  <c:v>80</c:v>
                </c:pt>
                <c:pt idx="103">
                  <c:v>120</c:v>
                </c:pt>
                <c:pt idx="104">
                  <c:v>110</c:v>
                </c:pt>
                <c:pt idx="105">
                  <c:v>130</c:v>
                </c:pt>
                <c:pt idx="106">
                  <c:v>150</c:v>
                </c:pt>
                <c:pt idx="107">
                  <c:v>100</c:v>
                </c:pt>
                <c:pt idx="108">
                  <c:v>100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140</c:v>
                </c:pt>
                <c:pt idx="113">
                  <c:v>100</c:v>
                </c:pt>
                <c:pt idx="114">
                  <c:v>120</c:v>
                </c:pt>
                <c:pt idx="115">
                  <c:v>150</c:v>
                </c:pt>
                <c:pt idx="116">
                  <c:v>140</c:v>
                </c:pt>
                <c:pt idx="117">
                  <c:v>150</c:v>
                </c:pt>
                <c:pt idx="118">
                  <c:v>150</c:v>
                </c:pt>
                <c:pt idx="119">
                  <c:v>130</c:v>
                </c:pt>
                <c:pt idx="120">
                  <c:v>150</c:v>
                </c:pt>
                <c:pt idx="121">
                  <c:v>110</c:v>
                </c:pt>
                <c:pt idx="122">
                  <c:v>140</c:v>
                </c:pt>
                <c:pt idx="123">
                  <c:v>110</c:v>
                </c:pt>
                <c:pt idx="124">
                  <c:v>120</c:v>
                </c:pt>
                <c:pt idx="125">
                  <c:v>110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100</c:v>
                </c:pt>
                <c:pt idx="130">
                  <c:v>100</c:v>
                </c:pt>
                <c:pt idx="131">
                  <c:v>170</c:v>
                </c:pt>
                <c:pt idx="132">
                  <c:v>130</c:v>
                </c:pt>
                <c:pt idx="133">
                  <c:v>130</c:v>
                </c:pt>
                <c:pt idx="134">
                  <c:v>140</c:v>
                </c:pt>
                <c:pt idx="135">
                  <c:v>140</c:v>
                </c:pt>
                <c:pt idx="136">
                  <c:v>140</c:v>
                </c:pt>
                <c:pt idx="137">
                  <c:v>110</c:v>
                </c:pt>
                <c:pt idx="138">
                  <c:v>130</c:v>
                </c:pt>
                <c:pt idx="139">
                  <c:v>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9883888"/>
        <c:axId val="1147995760"/>
      </c:lineChart>
      <c:catAx>
        <c:axId val="979883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147995760"/>
        <c:crosses val="autoZero"/>
        <c:auto val="1"/>
        <c:lblAlgn val="ctr"/>
        <c:lblOffset val="100"/>
        <c:noMultiLvlLbl val="0"/>
      </c:catAx>
      <c:valAx>
        <c:axId val="114799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9883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119</xdr:row>
      <xdr:rowOff>52387</xdr:rowOff>
    </xdr:from>
    <xdr:to>
      <xdr:col>17</xdr:col>
      <xdr:colOff>466725</xdr:colOff>
      <xdr:row>136</xdr:row>
      <xdr:rowOff>42862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119</xdr:row>
      <xdr:rowOff>52387</xdr:rowOff>
    </xdr:from>
    <xdr:to>
      <xdr:col>17</xdr:col>
      <xdr:colOff>133350</xdr:colOff>
      <xdr:row>136</xdr:row>
      <xdr:rowOff>42862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port%20to%20mos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kill"/>
      <sheetName val="item"/>
      <sheetName val="zone"/>
      <sheetName val="Sheet1"/>
      <sheetName val="植物"/>
      <sheetName val="矿物"/>
      <sheetName val="掉落"/>
      <sheetName val="怪物"/>
      <sheetName val="Sheet3"/>
      <sheetName val="Sheet4"/>
      <sheetName val="Sheet2"/>
      <sheetName val="Sheet5"/>
      <sheetName val="Sheet6"/>
    </sheetNames>
    <definedNames>
      <definedName name="moster1" refersTo="='掉落'!$B$3:$M$842"/>
    </definedNames>
    <sheetDataSet>
      <sheetData sheetId="0">
        <row r="2">
          <cell r="B2">
            <v>10101</v>
          </cell>
        </row>
        <row r="3">
          <cell r="B3">
            <v>10201</v>
          </cell>
          <cell r="E3" t="str">
            <v>丛林中凶猛的小蝙蝠。</v>
          </cell>
          <cell r="F3">
            <v>1</v>
          </cell>
          <cell r="G3">
            <v>40</v>
          </cell>
          <cell r="H3">
            <v>0</v>
          </cell>
          <cell r="I3">
            <v>1</v>
          </cell>
          <cell r="J3">
            <v>20</v>
          </cell>
          <cell r="K3">
            <v>1</v>
          </cell>
          <cell r="L3">
            <v>11</v>
          </cell>
          <cell r="M3">
            <v>2</v>
          </cell>
        </row>
        <row r="4">
          <cell r="B4">
            <v>10301</v>
          </cell>
          <cell r="E4" t="str">
            <v>可以再树木间相互跳跃。</v>
          </cell>
          <cell r="F4">
            <v>1</v>
          </cell>
          <cell r="G4">
            <v>40</v>
          </cell>
          <cell r="H4">
            <v>0</v>
          </cell>
          <cell r="I4">
            <v>1</v>
          </cell>
          <cell r="J4">
            <v>20</v>
          </cell>
          <cell r="K4">
            <v>1</v>
          </cell>
          <cell r="L4">
            <v>11</v>
          </cell>
          <cell r="M4">
            <v>2</v>
          </cell>
        </row>
        <row r="5">
          <cell r="B5">
            <v>10401</v>
          </cell>
          <cell r="E5" t="str">
            <v>凶残成性但是智商捉襟见肘。</v>
          </cell>
          <cell r="F5">
            <v>1</v>
          </cell>
          <cell r="G5">
            <v>40</v>
          </cell>
          <cell r="H5">
            <v>0</v>
          </cell>
          <cell r="I5">
            <v>1</v>
          </cell>
          <cell r="J5">
            <v>20</v>
          </cell>
          <cell r="K5">
            <v>1</v>
          </cell>
          <cell r="L5">
            <v>11</v>
          </cell>
          <cell r="M5">
            <v>2</v>
          </cell>
        </row>
        <row r="6">
          <cell r="B6">
            <v>10501</v>
          </cell>
          <cell r="E6" t="str">
            <v>小蝙蝠的进化体。</v>
          </cell>
          <cell r="F6">
            <v>2</v>
          </cell>
          <cell r="G6">
            <v>45</v>
          </cell>
          <cell r="H6">
            <v>5</v>
          </cell>
          <cell r="I6">
            <v>1</v>
          </cell>
          <cell r="J6">
            <v>22</v>
          </cell>
          <cell r="K6">
            <v>2</v>
          </cell>
          <cell r="L6">
            <v>12</v>
          </cell>
          <cell r="M6">
            <v>8</v>
          </cell>
        </row>
        <row r="7">
          <cell r="B7">
            <v>20101</v>
          </cell>
          <cell r="E7" t="str">
            <v>斯塞提卡湖中寄居的幽灵。</v>
          </cell>
          <cell r="F7">
            <v>2</v>
          </cell>
          <cell r="G7">
            <v>32</v>
          </cell>
          <cell r="H7">
            <v>10</v>
          </cell>
          <cell r="I7">
            <v>1</v>
          </cell>
          <cell r="J7">
            <v>25</v>
          </cell>
          <cell r="K7">
            <v>3</v>
          </cell>
          <cell r="L7">
            <v>17</v>
          </cell>
          <cell r="M7">
            <v>9</v>
          </cell>
        </row>
        <row r="8">
          <cell r="B8">
            <v>20201</v>
          </cell>
          <cell r="E8" t="str">
            <v>比一般幽灵更容易愤怒遇见她要小心了。</v>
          </cell>
          <cell r="F8">
            <v>3</v>
          </cell>
          <cell r="G8">
            <v>39</v>
          </cell>
          <cell r="H8">
            <v>12</v>
          </cell>
          <cell r="I8">
            <v>1</v>
          </cell>
          <cell r="J8">
            <v>28</v>
          </cell>
          <cell r="K8">
            <v>3</v>
          </cell>
          <cell r="L8">
            <v>19</v>
          </cell>
          <cell r="M8">
            <v>16</v>
          </cell>
        </row>
        <row r="9">
          <cell r="B9">
            <v>20301</v>
          </cell>
          <cell r="E9" t="str">
            <v>心地善良但是被恶魔蛊惑的心智。</v>
          </cell>
          <cell r="F9">
            <v>3</v>
          </cell>
          <cell r="G9">
            <v>39</v>
          </cell>
          <cell r="H9">
            <v>12</v>
          </cell>
          <cell r="I9">
            <v>1</v>
          </cell>
          <cell r="J9">
            <v>28</v>
          </cell>
          <cell r="K9">
            <v>3</v>
          </cell>
          <cell r="L9">
            <v>19</v>
          </cell>
          <cell r="M9">
            <v>16</v>
          </cell>
        </row>
        <row r="10">
          <cell r="B10">
            <v>20401</v>
          </cell>
          <cell r="E10" t="str">
            <v>斯塞提卡湖中寄居的幽灵。</v>
          </cell>
          <cell r="F10">
            <v>3</v>
          </cell>
          <cell r="G10">
            <v>39</v>
          </cell>
          <cell r="H10">
            <v>12</v>
          </cell>
          <cell r="I10">
            <v>1</v>
          </cell>
          <cell r="J10">
            <v>28</v>
          </cell>
          <cell r="K10">
            <v>3</v>
          </cell>
          <cell r="L10">
            <v>19</v>
          </cell>
          <cell r="M10">
            <v>16</v>
          </cell>
        </row>
        <row r="11">
          <cell r="B11">
            <v>20501</v>
          </cell>
          <cell r="E11" t="str">
            <v>比一般幽灵更容易愤怒遇见她要小心了。</v>
          </cell>
          <cell r="F11">
            <v>4</v>
          </cell>
          <cell r="G11">
            <v>47</v>
          </cell>
          <cell r="H11">
            <v>14</v>
          </cell>
          <cell r="I11">
            <v>1</v>
          </cell>
          <cell r="J11">
            <v>31</v>
          </cell>
          <cell r="K11">
            <v>4</v>
          </cell>
          <cell r="L11">
            <v>24</v>
          </cell>
          <cell r="M11">
            <v>23</v>
          </cell>
        </row>
        <row r="12">
          <cell r="B12">
            <v>30101</v>
          </cell>
          <cell r="E12" t="str">
            <v>腐朽的泥土中产生的怪物。</v>
          </cell>
          <cell r="F12">
            <v>4</v>
          </cell>
          <cell r="G12">
            <v>61</v>
          </cell>
          <cell r="H12">
            <v>14</v>
          </cell>
          <cell r="I12">
            <v>1</v>
          </cell>
          <cell r="J12">
            <v>24</v>
          </cell>
          <cell r="K12">
            <v>3</v>
          </cell>
          <cell r="L12">
            <v>33</v>
          </cell>
          <cell r="M12">
            <v>20</v>
          </cell>
        </row>
        <row r="13">
          <cell r="B13">
            <v>30201</v>
          </cell>
          <cell r="E13" t="str">
            <v>腐朽的泥土中产生的怪物。</v>
          </cell>
          <cell r="F13">
            <v>5</v>
          </cell>
          <cell r="G13">
            <v>74</v>
          </cell>
          <cell r="H13">
            <v>16</v>
          </cell>
          <cell r="I13">
            <v>1</v>
          </cell>
          <cell r="J13">
            <v>28</v>
          </cell>
          <cell r="K13">
            <v>3</v>
          </cell>
          <cell r="L13">
            <v>37</v>
          </cell>
          <cell r="M13">
            <v>26</v>
          </cell>
        </row>
        <row r="14">
          <cell r="B14">
            <v>30301</v>
          </cell>
          <cell r="E14" t="str">
            <v>大教堂中没有得到超度的灵魂。</v>
          </cell>
          <cell r="F14">
            <v>5</v>
          </cell>
          <cell r="G14">
            <v>74</v>
          </cell>
          <cell r="H14">
            <v>16</v>
          </cell>
          <cell r="I14">
            <v>1</v>
          </cell>
          <cell r="J14">
            <v>28</v>
          </cell>
          <cell r="K14">
            <v>3</v>
          </cell>
          <cell r="L14">
            <v>37</v>
          </cell>
          <cell r="M14">
            <v>26</v>
          </cell>
        </row>
        <row r="15">
          <cell r="B15">
            <v>30401</v>
          </cell>
          <cell r="E15" t="str">
            <v>大教堂中没有得到超度的灵魂。</v>
          </cell>
          <cell r="F15">
            <v>6</v>
          </cell>
          <cell r="G15">
            <v>84</v>
          </cell>
          <cell r="H15">
            <v>18</v>
          </cell>
          <cell r="I15">
            <v>1</v>
          </cell>
          <cell r="J15">
            <v>32</v>
          </cell>
          <cell r="K15">
            <v>4</v>
          </cell>
          <cell r="L15">
            <v>45</v>
          </cell>
          <cell r="M15">
            <v>32</v>
          </cell>
        </row>
        <row r="16">
          <cell r="B16">
            <v>30501</v>
          </cell>
          <cell r="E16" t="str">
            <v>已经死亡的蟒蛇在某种诡异的力量下复活了。</v>
          </cell>
          <cell r="F16">
            <v>6</v>
          </cell>
          <cell r="G16">
            <v>84</v>
          </cell>
          <cell r="H16">
            <v>18</v>
          </cell>
          <cell r="I16">
            <v>1</v>
          </cell>
          <cell r="J16">
            <v>32</v>
          </cell>
          <cell r="K16">
            <v>4</v>
          </cell>
          <cell r="L16">
            <v>45</v>
          </cell>
          <cell r="M16">
            <v>32</v>
          </cell>
        </row>
        <row r="17">
          <cell r="B17">
            <v>40101</v>
          </cell>
          <cell r="E17" t="str">
            <v>鳗鱼的变异体凶残异常。</v>
          </cell>
          <cell r="F17">
            <v>6</v>
          </cell>
          <cell r="G17">
            <v>100</v>
          </cell>
          <cell r="H17">
            <v>9</v>
          </cell>
          <cell r="I17">
            <v>1</v>
          </cell>
          <cell r="J17">
            <v>70</v>
          </cell>
          <cell r="K17">
            <v>4</v>
          </cell>
          <cell r="L17">
            <v>30</v>
          </cell>
          <cell r="M17">
            <v>32</v>
          </cell>
        </row>
        <row r="18">
          <cell r="B18">
            <v>40201</v>
          </cell>
          <cell r="E18" t="str">
            <v>鳗鱼的变异体凶残异常。</v>
          </cell>
          <cell r="F18">
            <v>7</v>
          </cell>
          <cell r="G18">
            <v>118</v>
          </cell>
          <cell r="H18">
            <v>10</v>
          </cell>
          <cell r="I18">
            <v>1</v>
          </cell>
          <cell r="J18">
            <v>79</v>
          </cell>
          <cell r="K18">
            <v>4</v>
          </cell>
          <cell r="L18">
            <v>34</v>
          </cell>
          <cell r="M18">
            <v>38</v>
          </cell>
        </row>
        <row r="19">
          <cell r="B19">
            <v>40301</v>
          </cell>
          <cell r="E19" t="str">
            <v>在邪恶力量驱使下从远古化石中转生。</v>
          </cell>
          <cell r="F19">
            <v>7</v>
          </cell>
          <cell r="G19">
            <v>118</v>
          </cell>
          <cell r="H19">
            <v>10</v>
          </cell>
          <cell r="I19">
            <v>1</v>
          </cell>
          <cell r="J19">
            <v>79</v>
          </cell>
          <cell r="K19">
            <v>4</v>
          </cell>
          <cell r="L19">
            <v>34</v>
          </cell>
          <cell r="M19">
            <v>38</v>
          </cell>
        </row>
        <row r="20">
          <cell r="B20">
            <v>40401</v>
          </cell>
          <cell r="E20" t="str">
            <v>在邪恶力量驱使下从远古化石中转生。</v>
          </cell>
          <cell r="F20">
            <v>8</v>
          </cell>
          <cell r="G20">
            <v>135</v>
          </cell>
          <cell r="H20">
            <v>11</v>
          </cell>
          <cell r="I20">
            <v>1</v>
          </cell>
          <cell r="J20">
            <v>90</v>
          </cell>
          <cell r="K20">
            <v>5</v>
          </cell>
          <cell r="L20">
            <v>40</v>
          </cell>
          <cell r="M20">
            <v>44</v>
          </cell>
        </row>
        <row r="21">
          <cell r="B21">
            <v>40501</v>
          </cell>
          <cell r="E21" t="str">
            <v>在邪恶力量驱使下从远古化石中转生。</v>
          </cell>
          <cell r="F21">
            <v>8</v>
          </cell>
          <cell r="G21">
            <v>135</v>
          </cell>
          <cell r="H21">
            <v>11</v>
          </cell>
          <cell r="I21">
            <v>1</v>
          </cell>
          <cell r="J21">
            <v>90</v>
          </cell>
          <cell r="K21">
            <v>5</v>
          </cell>
          <cell r="L21">
            <v>40</v>
          </cell>
          <cell r="M21">
            <v>44</v>
          </cell>
        </row>
        <row r="22">
          <cell r="B22">
            <v>50101</v>
          </cell>
          <cell r="E22" t="str">
            <v>铜矿的守护者，受到了恶魔的蛊惑。</v>
          </cell>
          <cell r="F22">
            <v>9</v>
          </cell>
          <cell r="G22">
            <v>234</v>
          </cell>
          <cell r="H22">
            <v>12</v>
          </cell>
          <cell r="I22">
            <v>1</v>
          </cell>
          <cell r="J22">
            <v>78</v>
          </cell>
          <cell r="K22">
            <v>9</v>
          </cell>
          <cell r="L22">
            <v>22</v>
          </cell>
          <cell r="M22">
            <v>25</v>
          </cell>
        </row>
        <row r="23">
          <cell r="B23">
            <v>50201</v>
          </cell>
          <cell r="E23" t="str">
            <v>铜矿的守护者，受到了恶魔的蛊惑。</v>
          </cell>
          <cell r="F23">
            <v>10</v>
          </cell>
          <cell r="G23">
            <v>270</v>
          </cell>
          <cell r="H23">
            <v>14</v>
          </cell>
          <cell r="I23">
            <v>1</v>
          </cell>
          <cell r="J23">
            <v>88</v>
          </cell>
          <cell r="K23">
            <v>10</v>
          </cell>
          <cell r="L23">
            <v>25</v>
          </cell>
          <cell r="M23">
            <v>28</v>
          </cell>
        </row>
        <row r="24">
          <cell r="B24">
            <v>50301</v>
          </cell>
          <cell r="E24" t="str">
            <v>身披坚硬的铁甲，一般攻击很难奏效。</v>
          </cell>
          <cell r="F24">
            <v>10</v>
          </cell>
          <cell r="G24">
            <v>270</v>
          </cell>
          <cell r="H24">
            <v>14</v>
          </cell>
          <cell r="I24">
            <v>1</v>
          </cell>
          <cell r="J24">
            <v>88</v>
          </cell>
          <cell r="K24">
            <v>10</v>
          </cell>
          <cell r="L24">
            <v>25</v>
          </cell>
          <cell r="M24">
            <v>28</v>
          </cell>
        </row>
        <row r="25">
          <cell r="B25">
            <v>50401</v>
          </cell>
          <cell r="E25" t="str">
            <v>身披坚硬的铁甲，一般攻击很难奏效。</v>
          </cell>
          <cell r="F25">
            <v>11</v>
          </cell>
          <cell r="G25">
            <v>304</v>
          </cell>
          <cell r="H25">
            <v>15</v>
          </cell>
          <cell r="I25">
            <v>1</v>
          </cell>
          <cell r="J25">
            <v>97</v>
          </cell>
          <cell r="K25">
            <v>12</v>
          </cell>
          <cell r="L25">
            <v>28</v>
          </cell>
          <cell r="M25">
            <v>31</v>
          </cell>
        </row>
        <row r="26">
          <cell r="B26">
            <v>50501</v>
          </cell>
          <cell r="E26" t="str">
            <v>身披坚硬的铁甲，一般攻击很难奏效。</v>
          </cell>
          <cell r="F26">
            <v>11</v>
          </cell>
          <cell r="G26">
            <v>304</v>
          </cell>
          <cell r="H26">
            <v>15</v>
          </cell>
          <cell r="I26">
            <v>1</v>
          </cell>
          <cell r="J26">
            <v>97</v>
          </cell>
          <cell r="K26">
            <v>12</v>
          </cell>
          <cell r="L26">
            <v>28</v>
          </cell>
          <cell r="M26">
            <v>31</v>
          </cell>
        </row>
        <row r="27">
          <cell r="B27">
            <v>60101</v>
          </cell>
          <cell r="E27" t="str">
            <v>拥有水之能力的魔晶。</v>
          </cell>
          <cell r="F27">
            <v>12</v>
          </cell>
          <cell r="G27">
            <v>142</v>
          </cell>
          <cell r="H27">
            <v>34</v>
          </cell>
          <cell r="I27">
            <v>1</v>
          </cell>
          <cell r="J27">
            <v>85</v>
          </cell>
          <cell r="K27">
            <v>11</v>
          </cell>
          <cell r="L27">
            <v>70</v>
          </cell>
          <cell r="M27">
            <v>78</v>
          </cell>
        </row>
        <row r="28">
          <cell r="B28">
            <v>60201</v>
          </cell>
          <cell r="E28" t="str">
            <v>拥有水之能力的魔晶。</v>
          </cell>
          <cell r="F28">
            <v>12</v>
          </cell>
          <cell r="G28">
            <v>142</v>
          </cell>
          <cell r="H28">
            <v>34</v>
          </cell>
          <cell r="I28">
            <v>1</v>
          </cell>
          <cell r="J28">
            <v>85</v>
          </cell>
          <cell r="K28">
            <v>11</v>
          </cell>
          <cell r="L28">
            <v>70</v>
          </cell>
          <cell r="M28">
            <v>78</v>
          </cell>
        </row>
        <row r="29">
          <cell r="B29">
            <v>60301</v>
          </cell>
          <cell r="E29" t="str">
            <v>拥有水之能力的魔晶。</v>
          </cell>
          <cell r="F29">
            <v>13</v>
          </cell>
          <cell r="G29">
            <v>159</v>
          </cell>
          <cell r="H29">
            <v>37</v>
          </cell>
          <cell r="I29">
            <v>1</v>
          </cell>
          <cell r="J29">
            <v>94</v>
          </cell>
          <cell r="K29">
            <v>12</v>
          </cell>
          <cell r="L29">
            <v>79</v>
          </cell>
          <cell r="M29">
            <v>85</v>
          </cell>
        </row>
        <row r="30">
          <cell r="B30">
            <v>60401</v>
          </cell>
          <cell r="E30" t="str">
            <v>拥有水之能力的魔晶。</v>
          </cell>
          <cell r="F30">
            <v>13</v>
          </cell>
          <cell r="G30">
            <v>159</v>
          </cell>
          <cell r="H30">
            <v>37</v>
          </cell>
          <cell r="I30">
            <v>1</v>
          </cell>
          <cell r="J30">
            <v>94</v>
          </cell>
          <cell r="K30">
            <v>12</v>
          </cell>
          <cell r="L30">
            <v>79</v>
          </cell>
          <cell r="M30">
            <v>85</v>
          </cell>
        </row>
        <row r="31">
          <cell r="B31">
            <v>60501</v>
          </cell>
          <cell r="E31" t="str">
            <v>拥有水之能力的魔晶。</v>
          </cell>
          <cell r="F31">
            <v>14</v>
          </cell>
          <cell r="G31">
            <v>175</v>
          </cell>
          <cell r="H31">
            <v>40</v>
          </cell>
          <cell r="I31">
            <v>1</v>
          </cell>
          <cell r="J31">
            <v>105</v>
          </cell>
          <cell r="K31">
            <v>14</v>
          </cell>
          <cell r="L31">
            <v>88</v>
          </cell>
          <cell r="M31">
            <v>92</v>
          </cell>
        </row>
        <row r="32">
          <cell r="B32">
            <v>70101</v>
          </cell>
          <cell r="E32" t="str">
            <v>拥有火之能力的魔晶。</v>
          </cell>
          <cell r="F32">
            <v>15</v>
          </cell>
          <cell r="G32">
            <v>192</v>
          </cell>
          <cell r="H32">
            <v>43</v>
          </cell>
          <cell r="I32">
            <v>1</v>
          </cell>
          <cell r="J32">
            <v>107</v>
          </cell>
          <cell r="K32">
            <v>13</v>
          </cell>
          <cell r="L32">
            <v>100</v>
          </cell>
          <cell r="M32">
            <v>98</v>
          </cell>
        </row>
        <row r="33">
          <cell r="B33">
            <v>70201</v>
          </cell>
          <cell r="E33" t="str">
            <v>拥有火之能力的魔晶。</v>
          </cell>
          <cell r="F33">
            <v>15</v>
          </cell>
          <cell r="G33">
            <v>192</v>
          </cell>
          <cell r="H33">
            <v>43</v>
          </cell>
          <cell r="I33">
            <v>1</v>
          </cell>
          <cell r="J33">
            <v>107</v>
          </cell>
          <cell r="K33">
            <v>13</v>
          </cell>
          <cell r="L33">
            <v>100</v>
          </cell>
          <cell r="M33">
            <v>98</v>
          </cell>
        </row>
        <row r="34">
          <cell r="B34">
            <v>70301</v>
          </cell>
          <cell r="E34" t="str">
            <v>在火焰熔炼中诞生，全身炙热。</v>
          </cell>
          <cell r="F34">
            <v>16</v>
          </cell>
          <cell r="G34">
            <v>209</v>
          </cell>
          <cell r="H34">
            <v>46</v>
          </cell>
          <cell r="I34">
            <v>1</v>
          </cell>
          <cell r="J34">
            <v>119</v>
          </cell>
          <cell r="K34">
            <v>14</v>
          </cell>
          <cell r="L34">
            <v>111</v>
          </cell>
          <cell r="M34">
            <v>105</v>
          </cell>
        </row>
        <row r="35">
          <cell r="B35">
            <v>70401</v>
          </cell>
          <cell r="E35" t="str">
            <v>在火焰熔炼中诞生，全身炙热。</v>
          </cell>
          <cell r="F35">
            <v>16</v>
          </cell>
          <cell r="G35">
            <v>209</v>
          </cell>
          <cell r="H35">
            <v>46</v>
          </cell>
          <cell r="I35">
            <v>1</v>
          </cell>
          <cell r="J35">
            <v>119</v>
          </cell>
          <cell r="K35">
            <v>14</v>
          </cell>
          <cell r="L35">
            <v>111</v>
          </cell>
          <cell r="M35">
            <v>105</v>
          </cell>
        </row>
        <row r="36">
          <cell r="B36">
            <v>70501</v>
          </cell>
          <cell r="E36" t="str">
            <v>身形硕大，外边呈赤色，发起怒来震人心魄。</v>
          </cell>
          <cell r="F36">
            <v>17</v>
          </cell>
          <cell r="G36">
            <v>228</v>
          </cell>
          <cell r="H36">
            <v>49</v>
          </cell>
          <cell r="I36">
            <v>1</v>
          </cell>
          <cell r="J36">
            <v>129</v>
          </cell>
          <cell r="K36">
            <v>16</v>
          </cell>
          <cell r="L36">
            <v>121</v>
          </cell>
          <cell r="M36">
            <v>112</v>
          </cell>
        </row>
        <row r="37">
          <cell r="B37">
            <v>80101</v>
          </cell>
          <cell r="E37" t="str">
            <v>身形硕大，外边土赤色，发起怒来震人心魄。</v>
          </cell>
          <cell r="F37">
            <v>18</v>
          </cell>
          <cell r="G37">
            <v>350</v>
          </cell>
          <cell r="H37">
            <v>41</v>
          </cell>
          <cell r="I37">
            <v>1</v>
          </cell>
          <cell r="J37">
            <v>198</v>
          </cell>
          <cell r="K37">
            <v>15</v>
          </cell>
          <cell r="L37">
            <v>138</v>
          </cell>
          <cell r="M37">
            <v>104</v>
          </cell>
        </row>
        <row r="38">
          <cell r="B38">
            <v>80201</v>
          </cell>
          <cell r="E38" t="str">
            <v>身形硕大，外边土赤色，发起怒来震人心魄。</v>
          </cell>
          <cell r="F38">
            <v>18</v>
          </cell>
          <cell r="G38">
            <v>350</v>
          </cell>
          <cell r="H38">
            <v>41</v>
          </cell>
          <cell r="I38">
            <v>1</v>
          </cell>
          <cell r="J38">
            <v>198</v>
          </cell>
          <cell r="K38">
            <v>15</v>
          </cell>
          <cell r="L38">
            <v>138</v>
          </cell>
          <cell r="M38">
            <v>104</v>
          </cell>
        </row>
        <row r="39">
          <cell r="B39">
            <v>80301</v>
          </cell>
          <cell r="E39" t="str">
            <v>身形硕大，外边土赤色，发起怒来震人心魄。</v>
          </cell>
          <cell r="F39">
            <v>19</v>
          </cell>
          <cell r="G39">
            <v>376</v>
          </cell>
          <cell r="H39">
            <v>44</v>
          </cell>
          <cell r="I39">
            <v>1</v>
          </cell>
          <cell r="J39">
            <v>213</v>
          </cell>
          <cell r="K39">
            <v>16</v>
          </cell>
          <cell r="L39">
            <v>150</v>
          </cell>
          <cell r="M39">
            <v>110</v>
          </cell>
        </row>
        <row r="40">
          <cell r="B40">
            <v>80401</v>
          </cell>
          <cell r="E40" t="str">
            <v>身形硕大，外边土赤色，发起怒来震人心魄。</v>
          </cell>
          <cell r="F40">
            <v>19</v>
          </cell>
          <cell r="G40">
            <v>376</v>
          </cell>
          <cell r="H40">
            <v>44</v>
          </cell>
          <cell r="I40">
            <v>1</v>
          </cell>
          <cell r="J40">
            <v>213</v>
          </cell>
          <cell r="K40">
            <v>16</v>
          </cell>
          <cell r="L40">
            <v>150</v>
          </cell>
          <cell r="M40">
            <v>110</v>
          </cell>
        </row>
        <row r="41">
          <cell r="B41">
            <v>80501</v>
          </cell>
          <cell r="E41" t="str">
            <v>身形硕大，外边青赤色，发起怒来震人心魄。</v>
          </cell>
          <cell r="F41">
            <v>20</v>
          </cell>
          <cell r="G41">
            <v>408</v>
          </cell>
          <cell r="H41">
            <v>47</v>
          </cell>
          <cell r="I41">
            <v>1</v>
          </cell>
          <cell r="J41">
            <v>231</v>
          </cell>
          <cell r="K41">
            <v>17</v>
          </cell>
          <cell r="L41">
            <v>162</v>
          </cell>
          <cell r="M41">
            <v>110</v>
          </cell>
        </row>
        <row r="42">
          <cell r="B42">
            <v>90101</v>
          </cell>
          <cell r="E42" t="str">
            <v>每一根绒毛都充满了毒液，千万不要被它碰到。</v>
          </cell>
          <cell r="F42">
            <v>21</v>
          </cell>
          <cell r="G42">
            <v>310</v>
          </cell>
          <cell r="H42">
            <v>63</v>
          </cell>
          <cell r="I42">
            <v>1</v>
          </cell>
          <cell r="J42">
            <v>156</v>
          </cell>
          <cell r="K42">
            <v>21</v>
          </cell>
          <cell r="L42">
            <v>182</v>
          </cell>
          <cell r="M42">
            <v>126</v>
          </cell>
        </row>
        <row r="43">
          <cell r="B43">
            <v>90201</v>
          </cell>
          <cell r="E43" t="str">
            <v>每一根绒毛都充满了毒液，千万不要被它碰到。</v>
          </cell>
          <cell r="F43">
            <v>21</v>
          </cell>
          <cell r="G43">
            <v>310</v>
          </cell>
          <cell r="H43">
            <v>63</v>
          </cell>
          <cell r="I43">
            <v>1</v>
          </cell>
          <cell r="J43">
            <v>156</v>
          </cell>
          <cell r="K43">
            <v>21</v>
          </cell>
          <cell r="L43">
            <v>182</v>
          </cell>
          <cell r="M43">
            <v>126</v>
          </cell>
        </row>
        <row r="44">
          <cell r="B44">
            <v>90301</v>
          </cell>
          <cell r="E44" t="str">
            <v>被赋予恶魔力量的凶残强盗。</v>
          </cell>
          <cell r="F44">
            <v>22</v>
          </cell>
          <cell r="G44">
            <v>331</v>
          </cell>
          <cell r="H44">
            <v>67</v>
          </cell>
          <cell r="I44">
            <v>1</v>
          </cell>
          <cell r="J44">
            <v>168</v>
          </cell>
          <cell r="K44">
            <v>23</v>
          </cell>
          <cell r="L44">
            <v>197</v>
          </cell>
          <cell r="M44">
            <v>126</v>
          </cell>
        </row>
        <row r="45">
          <cell r="B45">
            <v>90401</v>
          </cell>
          <cell r="E45" t="str">
            <v>被赋予恶魔力量的凶残强盗。</v>
          </cell>
          <cell r="F45">
            <v>23</v>
          </cell>
          <cell r="G45">
            <v>351</v>
          </cell>
          <cell r="H45">
            <v>71</v>
          </cell>
          <cell r="I45">
            <v>1</v>
          </cell>
          <cell r="J45">
            <v>180</v>
          </cell>
          <cell r="K45">
            <v>25</v>
          </cell>
          <cell r="L45">
            <v>212</v>
          </cell>
          <cell r="M45">
            <v>126</v>
          </cell>
        </row>
        <row r="46">
          <cell r="B46">
            <v>90501</v>
          </cell>
          <cell r="E46" t="str">
            <v>被赋予恶魔力量的凶残强盗。</v>
          </cell>
          <cell r="F46">
            <v>23</v>
          </cell>
          <cell r="G46">
            <v>351</v>
          </cell>
          <cell r="H46">
            <v>71</v>
          </cell>
          <cell r="I46">
            <v>1</v>
          </cell>
          <cell r="J46">
            <v>180</v>
          </cell>
          <cell r="K46">
            <v>25</v>
          </cell>
          <cell r="L46">
            <v>212</v>
          </cell>
          <cell r="M46">
            <v>126</v>
          </cell>
        </row>
        <row r="47">
          <cell r="B47">
            <v>100101</v>
          </cell>
          <cell r="E47" t="str">
            <v>拥有雷之力量的凶残盗贼。</v>
          </cell>
          <cell r="F47">
            <v>24</v>
          </cell>
          <cell r="G47">
            <v>376</v>
          </cell>
          <cell r="H47">
            <v>75</v>
          </cell>
          <cell r="I47">
            <v>1</v>
          </cell>
          <cell r="J47">
            <v>231</v>
          </cell>
          <cell r="K47">
            <v>26</v>
          </cell>
          <cell r="L47">
            <v>200</v>
          </cell>
          <cell r="M47">
            <v>126</v>
          </cell>
        </row>
        <row r="48">
          <cell r="B48">
            <v>100201</v>
          </cell>
          <cell r="E48" t="str">
            <v>拥有雷之力量的凶残盗贼。</v>
          </cell>
          <cell r="F48">
            <v>25</v>
          </cell>
          <cell r="G48">
            <v>400</v>
          </cell>
          <cell r="H48">
            <v>79</v>
          </cell>
          <cell r="I48">
            <v>1</v>
          </cell>
          <cell r="J48">
            <v>247</v>
          </cell>
          <cell r="K48">
            <v>27</v>
          </cell>
          <cell r="L48">
            <v>214</v>
          </cell>
          <cell r="M48">
            <v>126</v>
          </cell>
        </row>
        <row r="49">
          <cell r="B49">
            <v>100301</v>
          </cell>
          <cell r="E49" t="str">
            <v>拥有雷之能力的魔晶。</v>
          </cell>
          <cell r="F49">
            <v>25</v>
          </cell>
          <cell r="G49">
            <v>400</v>
          </cell>
          <cell r="H49">
            <v>79</v>
          </cell>
          <cell r="I49">
            <v>1</v>
          </cell>
          <cell r="J49">
            <v>247</v>
          </cell>
          <cell r="K49">
            <v>27</v>
          </cell>
          <cell r="L49">
            <v>214</v>
          </cell>
          <cell r="M49">
            <v>126</v>
          </cell>
        </row>
        <row r="50">
          <cell r="B50">
            <v>100401</v>
          </cell>
          <cell r="E50" t="str">
            <v>拥有雷之能力的魔晶。</v>
          </cell>
          <cell r="F50">
            <v>26</v>
          </cell>
          <cell r="G50">
            <v>422</v>
          </cell>
          <cell r="H50">
            <v>83</v>
          </cell>
          <cell r="I50">
            <v>1</v>
          </cell>
          <cell r="J50">
            <v>263</v>
          </cell>
          <cell r="K50">
            <v>29</v>
          </cell>
          <cell r="L50">
            <v>228</v>
          </cell>
          <cell r="M50">
            <v>126</v>
          </cell>
        </row>
        <row r="51">
          <cell r="B51">
            <v>100501</v>
          </cell>
          <cell r="E51" t="str">
            <v>擅长忍术的强盗，诡计多端。</v>
          </cell>
          <cell r="F51">
            <v>27</v>
          </cell>
          <cell r="G51">
            <v>447</v>
          </cell>
          <cell r="H51">
            <v>87</v>
          </cell>
          <cell r="I51">
            <v>1</v>
          </cell>
          <cell r="J51">
            <v>280</v>
          </cell>
          <cell r="K51">
            <v>31</v>
          </cell>
          <cell r="L51">
            <v>243</v>
          </cell>
          <cell r="M51">
            <v>126</v>
          </cell>
        </row>
        <row r="52">
          <cell r="B52">
            <v>110101</v>
          </cell>
          <cell r="E52" t="str">
            <v>坚硬的外表下藏着一颗恶毒的心。</v>
          </cell>
          <cell r="F52">
            <v>27</v>
          </cell>
          <cell r="G52">
            <v>1052</v>
          </cell>
          <cell r="H52">
            <v>43</v>
          </cell>
          <cell r="I52">
            <v>1</v>
          </cell>
          <cell r="J52">
            <v>358</v>
          </cell>
          <cell r="K52">
            <v>42</v>
          </cell>
          <cell r="L52">
            <v>110</v>
          </cell>
          <cell r="M52">
            <v>55</v>
          </cell>
        </row>
        <row r="53">
          <cell r="B53">
            <v>110201</v>
          </cell>
          <cell r="E53" t="str">
            <v>身披坚硬的铁甲，一般攻击很难奏效。</v>
          </cell>
          <cell r="F53">
            <v>28</v>
          </cell>
          <cell r="G53">
            <v>1110</v>
          </cell>
          <cell r="H53">
            <v>45</v>
          </cell>
          <cell r="I53">
            <v>1</v>
          </cell>
          <cell r="J53">
            <v>379</v>
          </cell>
          <cell r="K53">
            <v>44</v>
          </cell>
          <cell r="L53">
            <v>117</v>
          </cell>
          <cell r="M53">
            <v>55</v>
          </cell>
        </row>
        <row r="54">
          <cell r="B54">
            <v>110301</v>
          </cell>
          <cell r="E54" t="str">
            <v>四肢发达但智商低下，是恶魔忠实的打手。</v>
          </cell>
          <cell r="F54">
            <v>29</v>
          </cell>
          <cell r="G54">
            <v>1172</v>
          </cell>
          <cell r="H54">
            <v>47</v>
          </cell>
          <cell r="I54">
            <v>1</v>
          </cell>
          <cell r="J54">
            <v>402</v>
          </cell>
          <cell r="K54">
            <v>46</v>
          </cell>
          <cell r="L54">
            <v>124</v>
          </cell>
          <cell r="M54">
            <v>55</v>
          </cell>
        </row>
        <row r="55">
          <cell r="B55">
            <v>110401</v>
          </cell>
          <cell r="E55" t="str">
            <v>发起疯来会破坏周围的一切，还是不要惹他了。</v>
          </cell>
          <cell r="F55">
            <v>29</v>
          </cell>
          <cell r="G55">
            <v>1172</v>
          </cell>
          <cell r="H55">
            <v>47</v>
          </cell>
          <cell r="I55">
            <v>1</v>
          </cell>
          <cell r="J55">
            <v>402</v>
          </cell>
          <cell r="K55">
            <v>46</v>
          </cell>
          <cell r="L55">
            <v>124</v>
          </cell>
          <cell r="M55">
            <v>55</v>
          </cell>
        </row>
        <row r="56">
          <cell r="B56">
            <v>110501</v>
          </cell>
          <cell r="E56" t="str">
            <v>四肢发达但智商低下，是恶魔忠实的打手。</v>
          </cell>
          <cell r="F56">
            <v>30</v>
          </cell>
          <cell r="G56">
            <v>1234</v>
          </cell>
          <cell r="H56">
            <v>49</v>
          </cell>
          <cell r="I56">
            <v>1</v>
          </cell>
          <cell r="J56">
            <v>425</v>
          </cell>
          <cell r="K56">
            <v>49</v>
          </cell>
          <cell r="L56">
            <v>132</v>
          </cell>
          <cell r="M56">
            <v>55</v>
          </cell>
        </row>
        <row r="57">
          <cell r="B57">
            <v>120101</v>
          </cell>
          <cell r="E57" t="str">
            <v>原本是天使忠诚的奴仆，但是被邪恶力量蛊惑了心智。</v>
          </cell>
          <cell r="F57">
            <v>31</v>
          </cell>
          <cell r="G57">
            <v>549</v>
          </cell>
          <cell r="H57">
            <v>103</v>
          </cell>
          <cell r="I57">
            <v>1</v>
          </cell>
          <cell r="J57">
            <v>312</v>
          </cell>
          <cell r="K57">
            <v>38</v>
          </cell>
          <cell r="L57">
            <v>334</v>
          </cell>
          <cell r="M57">
            <v>126</v>
          </cell>
        </row>
        <row r="58">
          <cell r="B58">
            <v>120201</v>
          </cell>
          <cell r="E58" t="str">
            <v>原本是天使忠诚的奴仆，但是被邪恶力量蛊惑了心智。</v>
          </cell>
          <cell r="F58">
            <v>31</v>
          </cell>
          <cell r="G58">
            <v>549</v>
          </cell>
          <cell r="H58">
            <v>103</v>
          </cell>
          <cell r="I58">
            <v>1</v>
          </cell>
          <cell r="J58">
            <v>312</v>
          </cell>
          <cell r="K58">
            <v>38</v>
          </cell>
          <cell r="L58">
            <v>334</v>
          </cell>
          <cell r="M58">
            <v>126</v>
          </cell>
        </row>
        <row r="59">
          <cell r="B59">
            <v>120301</v>
          </cell>
          <cell r="E59" t="str">
            <v>吞噬了光之能量的恶魔。</v>
          </cell>
          <cell r="F59">
            <v>32</v>
          </cell>
          <cell r="G59">
            <v>578</v>
          </cell>
          <cell r="H59">
            <v>107</v>
          </cell>
          <cell r="I59">
            <v>1</v>
          </cell>
          <cell r="J59">
            <v>329</v>
          </cell>
          <cell r="K59">
            <v>40</v>
          </cell>
          <cell r="L59">
            <v>354</v>
          </cell>
          <cell r="M59">
            <v>126</v>
          </cell>
        </row>
        <row r="60">
          <cell r="B60">
            <v>120401</v>
          </cell>
          <cell r="E60" t="str">
            <v>吞噬了光之能量的恶魔。</v>
          </cell>
          <cell r="F60">
            <v>33</v>
          </cell>
          <cell r="G60">
            <v>605</v>
          </cell>
          <cell r="H60">
            <v>111</v>
          </cell>
          <cell r="I60">
            <v>1</v>
          </cell>
          <cell r="J60">
            <v>346</v>
          </cell>
          <cell r="K60">
            <v>43</v>
          </cell>
          <cell r="L60">
            <v>373</v>
          </cell>
          <cell r="M60">
            <v>126</v>
          </cell>
        </row>
        <row r="61">
          <cell r="B61">
            <v>120501</v>
          </cell>
          <cell r="E61" t="str">
            <v>吞噬了光之能量的恶魔。</v>
          </cell>
          <cell r="F61">
            <v>33</v>
          </cell>
          <cell r="G61">
            <v>605</v>
          </cell>
          <cell r="H61">
            <v>111</v>
          </cell>
          <cell r="I61">
            <v>1</v>
          </cell>
          <cell r="J61">
            <v>346</v>
          </cell>
          <cell r="K61">
            <v>43</v>
          </cell>
          <cell r="L61">
            <v>373</v>
          </cell>
          <cell r="M61">
            <v>126</v>
          </cell>
        </row>
        <row r="62">
          <cell r="B62">
            <v>130101</v>
          </cell>
          <cell r="E62" t="str">
            <v>恶神阿修罗忠诚的打手。</v>
          </cell>
          <cell r="F62">
            <v>34</v>
          </cell>
          <cell r="G62">
            <v>818</v>
          </cell>
          <cell r="H62">
            <v>115</v>
          </cell>
          <cell r="I62">
            <v>1</v>
          </cell>
          <cell r="J62">
            <v>319</v>
          </cell>
          <cell r="K62">
            <v>40</v>
          </cell>
          <cell r="L62">
            <v>492</v>
          </cell>
          <cell r="M62">
            <v>110</v>
          </cell>
        </row>
        <row r="63">
          <cell r="B63">
            <v>130201</v>
          </cell>
          <cell r="E63" t="str">
            <v>恶神阿修罗忠诚的打手。</v>
          </cell>
          <cell r="F63">
            <v>35</v>
          </cell>
          <cell r="G63">
            <v>1556</v>
          </cell>
          <cell r="H63">
            <v>59</v>
          </cell>
          <cell r="I63">
            <v>1</v>
          </cell>
          <cell r="J63">
            <v>552</v>
          </cell>
          <cell r="K63">
            <v>62</v>
          </cell>
          <cell r="L63">
            <v>172</v>
          </cell>
          <cell r="M63">
            <v>55</v>
          </cell>
        </row>
        <row r="64">
          <cell r="B64">
            <v>130301</v>
          </cell>
          <cell r="E64" t="str">
            <v>恶神阿修罗忠诚的打手。</v>
          </cell>
          <cell r="F64">
            <v>36</v>
          </cell>
          <cell r="G64">
            <v>691</v>
          </cell>
          <cell r="H64">
            <v>124</v>
          </cell>
          <cell r="I64">
            <v>1</v>
          </cell>
          <cell r="J64">
            <v>377</v>
          </cell>
          <cell r="K64">
            <v>48</v>
          </cell>
          <cell r="L64">
            <v>452</v>
          </cell>
          <cell r="M64">
            <v>126</v>
          </cell>
        </row>
        <row r="65">
          <cell r="B65">
            <v>130401</v>
          </cell>
          <cell r="E65" t="str">
            <v>恶神阿修罗忠诚的打手。</v>
          </cell>
          <cell r="F65">
            <v>36</v>
          </cell>
          <cell r="G65">
            <v>1628</v>
          </cell>
          <cell r="H65">
            <v>62</v>
          </cell>
          <cell r="I65">
            <v>1</v>
          </cell>
          <cell r="J65">
            <v>578</v>
          </cell>
          <cell r="K65">
            <v>64</v>
          </cell>
          <cell r="L65">
            <v>181</v>
          </cell>
          <cell r="M65">
            <v>55</v>
          </cell>
        </row>
        <row r="66">
          <cell r="B66">
            <v>130501</v>
          </cell>
          <cell r="E66" t="str">
            <v>恶神阿修罗忠诚的打手。</v>
          </cell>
          <cell r="F66">
            <v>37</v>
          </cell>
          <cell r="G66">
            <v>932</v>
          </cell>
          <cell r="H66">
            <v>129</v>
          </cell>
          <cell r="I66">
            <v>1</v>
          </cell>
          <cell r="J66">
            <v>368</v>
          </cell>
          <cell r="K66">
            <v>45</v>
          </cell>
          <cell r="L66">
            <v>570</v>
          </cell>
          <cell r="M66">
            <v>110</v>
          </cell>
        </row>
        <row r="67">
          <cell r="B67">
            <v>140101</v>
          </cell>
          <cell r="E67" t="str">
            <v>发了狂的蜘蛛，异常凶残。</v>
          </cell>
          <cell r="F67">
            <v>38</v>
          </cell>
          <cell r="G67">
            <v>751</v>
          </cell>
          <cell r="H67">
            <v>134</v>
          </cell>
          <cell r="I67">
            <v>1</v>
          </cell>
          <cell r="J67">
            <v>553</v>
          </cell>
          <cell r="K67">
            <v>53</v>
          </cell>
          <cell r="L67">
            <v>399</v>
          </cell>
          <cell r="M67">
            <v>126</v>
          </cell>
        </row>
        <row r="68">
          <cell r="B68">
            <v>140201</v>
          </cell>
          <cell r="E68" t="str">
            <v>发了狂的蜘蛛，异常凶残。</v>
          </cell>
          <cell r="F68">
            <v>38</v>
          </cell>
          <cell r="G68">
            <v>751</v>
          </cell>
          <cell r="H68">
            <v>134</v>
          </cell>
          <cell r="I68">
            <v>1</v>
          </cell>
          <cell r="J68">
            <v>553</v>
          </cell>
          <cell r="K68">
            <v>53</v>
          </cell>
          <cell r="L68">
            <v>399</v>
          </cell>
          <cell r="M68">
            <v>126</v>
          </cell>
        </row>
        <row r="69">
          <cell r="B69">
            <v>140301</v>
          </cell>
          <cell r="E69" t="str">
            <v>因把灵魂出卖给了冥王，获得了永久的生命。</v>
          </cell>
          <cell r="F69">
            <v>39</v>
          </cell>
          <cell r="G69">
            <v>779</v>
          </cell>
          <cell r="H69">
            <v>139</v>
          </cell>
          <cell r="I69">
            <v>1</v>
          </cell>
          <cell r="J69">
            <v>433</v>
          </cell>
          <cell r="K69">
            <v>55</v>
          </cell>
          <cell r="L69">
            <v>522</v>
          </cell>
          <cell r="M69">
            <v>126</v>
          </cell>
        </row>
        <row r="70">
          <cell r="B70">
            <v>140401</v>
          </cell>
          <cell r="E70" t="str">
            <v>因把灵魂出卖给了冥王，获得了永久的生命。</v>
          </cell>
          <cell r="F70">
            <v>40</v>
          </cell>
          <cell r="G70">
            <v>809</v>
          </cell>
          <cell r="H70">
            <v>144</v>
          </cell>
          <cell r="I70">
            <v>1</v>
          </cell>
          <cell r="J70">
            <v>453</v>
          </cell>
          <cell r="K70">
            <v>57</v>
          </cell>
          <cell r="L70">
            <v>546</v>
          </cell>
          <cell r="M70">
            <v>126</v>
          </cell>
        </row>
        <row r="71">
          <cell r="B71">
            <v>140501</v>
          </cell>
          <cell r="E71" t="str">
            <v>在黑暗力量的影响下，从远古化石中复活。</v>
          </cell>
          <cell r="F71">
            <v>41</v>
          </cell>
          <cell r="G71">
            <v>841</v>
          </cell>
          <cell r="H71">
            <v>149</v>
          </cell>
          <cell r="I71">
            <v>1</v>
          </cell>
          <cell r="J71">
            <v>474</v>
          </cell>
          <cell r="K71">
            <v>60</v>
          </cell>
          <cell r="L71">
            <v>572</v>
          </cell>
          <cell r="M71">
            <v>126</v>
          </cell>
        </row>
        <row r="72">
          <cell r="B72">
            <v>150101</v>
          </cell>
          <cell r="E72" t="str">
            <v>外表黏黏糊糊，看起来非常恶心的小怪物。</v>
          </cell>
          <cell r="F72">
            <v>41</v>
          </cell>
          <cell r="G72">
            <v>841</v>
          </cell>
          <cell r="H72">
            <v>149</v>
          </cell>
          <cell r="I72">
            <v>1</v>
          </cell>
          <cell r="J72">
            <v>538</v>
          </cell>
          <cell r="K72">
            <v>60</v>
          </cell>
          <cell r="L72">
            <v>526</v>
          </cell>
          <cell r="M72">
            <v>126</v>
          </cell>
        </row>
        <row r="73">
          <cell r="B73">
            <v>150201</v>
          </cell>
          <cell r="E73" t="str">
            <v>火神在用赤炎烈火熔炼天灵石时，幻化出来的恶魔。</v>
          </cell>
          <cell r="F73">
            <v>42</v>
          </cell>
          <cell r="G73">
            <v>873</v>
          </cell>
          <cell r="H73">
            <v>154</v>
          </cell>
          <cell r="I73">
            <v>1</v>
          </cell>
          <cell r="J73">
            <v>561</v>
          </cell>
          <cell r="K73">
            <v>62</v>
          </cell>
          <cell r="L73">
            <v>549</v>
          </cell>
          <cell r="M73">
            <v>126</v>
          </cell>
        </row>
        <row r="74">
          <cell r="B74">
            <v>150301</v>
          </cell>
          <cell r="E74" t="str">
            <v>拥有火之能力的魔晶。</v>
          </cell>
          <cell r="F74">
            <v>43</v>
          </cell>
          <cell r="G74">
            <v>903</v>
          </cell>
          <cell r="H74">
            <v>159</v>
          </cell>
          <cell r="I74">
            <v>1</v>
          </cell>
          <cell r="J74">
            <v>584</v>
          </cell>
          <cell r="K74">
            <v>64</v>
          </cell>
          <cell r="L74">
            <v>573</v>
          </cell>
          <cell r="M74">
            <v>126</v>
          </cell>
        </row>
        <row r="75">
          <cell r="B75">
            <v>150401</v>
          </cell>
          <cell r="E75" t="str">
            <v>火神在用赤炎烈火熔炼天灵石时，幻化出来的恶魔。</v>
          </cell>
          <cell r="F75">
            <v>44</v>
          </cell>
          <cell r="G75">
            <v>935</v>
          </cell>
          <cell r="H75">
            <v>164</v>
          </cell>
          <cell r="I75">
            <v>1</v>
          </cell>
          <cell r="J75">
            <v>609</v>
          </cell>
          <cell r="K75">
            <v>66</v>
          </cell>
          <cell r="L75">
            <v>598</v>
          </cell>
          <cell r="M75">
            <v>126</v>
          </cell>
        </row>
        <row r="76">
          <cell r="B76">
            <v>150501</v>
          </cell>
          <cell r="E76" t="str">
            <v>拥有火之能力的魔晶。</v>
          </cell>
          <cell r="F76">
            <v>44</v>
          </cell>
          <cell r="G76">
            <v>935</v>
          </cell>
          <cell r="H76">
            <v>164</v>
          </cell>
          <cell r="I76">
            <v>1</v>
          </cell>
          <cell r="J76">
            <v>609</v>
          </cell>
          <cell r="K76">
            <v>66</v>
          </cell>
          <cell r="L76">
            <v>598</v>
          </cell>
          <cell r="M76">
            <v>126</v>
          </cell>
        </row>
        <row r="77">
          <cell r="B77">
            <v>160101</v>
          </cell>
          <cell r="E77" t="str">
            <v>拥有光之能力的魔晶。</v>
          </cell>
          <cell r="F77">
            <v>45</v>
          </cell>
          <cell r="G77">
            <v>967</v>
          </cell>
          <cell r="H77">
            <v>169</v>
          </cell>
          <cell r="I77">
            <v>1</v>
          </cell>
          <cell r="J77">
            <v>597</v>
          </cell>
          <cell r="K77">
            <v>69</v>
          </cell>
          <cell r="L77">
            <v>650</v>
          </cell>
          <cell r="M77">
            <v>126</v>
          </cell>
        </row>
        <row r="78">
          <cell r="B78">
            <v>160201</v>
          </cell>
          <cell r="E78" t="str">
            <v>吞噬了光之能量的恶魔。</v>
          </cell>
          <cell r="F78">
            <v>46</v>
          </cell>
          <cell r="G78">
            <v>999</v>
          </cell>
          <cell r="H78">
            <v>174</v>
          </cell>
          <cell r="I78">
            <v>1</v>
          </cell>
          <cell r="J78">
            <v>621</v>
          </cell>
          <cell r="K78">
            <v>72</v>
          </cell>
          <cell r="L78">
            <v>678</v>
          </cell>
          <cell r="M78">
            <v>126</v>
          </cell>
        </row>
        <row r="79">
          <cell r="B79">
            <v>160301</v>
          </cell>
          <cell r="E79" t="str">
            <v>拥有光之能力的魔晶。</v>
          </cell>
          <cell r="F79">
            <v>47</v>
          </cell>
          <cell r="G79">
            <v>1033</v>
          </cell>
          <cell r="H79">
            <v>179</v>
          </cell>
          <cell r="I79">
            <v>1</v>
          </cell>
          <cell r="J79">
            <v>646</v>
          </cell>
          <cell r="K79">
            <v>73</v>
          </cell>
          <cell r="L79">
            <v>704</v>
          </cell>
          <cell r="M79">
            <v>126</v>
          </cell>
        </row>
        <row r="80">
          <cell r="B80">
            <v>160401</v>
          </cell>
          <cell r="E80" t="str">
            <v>吞噬了光之能量的恶魔。</v>
          </cell>
          <cell r="F80">
            <v>47</v>
          </cell>
          <cell r="G80">
            <v>1033</v>
          </cell>
          <cell r="H80">
            <v>179</v>
          </cell>
          <cell r="I80">
            <v>1</v>
          </cell>
          <cell r="J80">
            <v>646</v>
          </cell>
          <cell r="K80">
            <v>73</v>
          </cell>
          <cell r="L80">
            <v>704</v>
          </cell>
          <cell r="M80">
            <v>126</v>
          </cell>
        </row>
        <row r="81">
          <cell r="B81">
            <v>160501</v>
          </cell>
          <cell r="E81" t="str">
            <v>守护光之能量的女护卫，但是被恶魔蒙蔽了眼睛。</v>
          </cell>
          <cell r="F81">
            <v>48</v>
          </cell>
          <cell r="G81">
            <v>1066</v>
          </cell>
          <cell r="H81">
            <v>184</v>
          </cell>
          <cell r="I81">
            <v>1</v>
          </cell>
          <cell r="J81">
            <v>672</v>
          </cell>
          <cell r="K81">
            <v>76</v>
          </cell>
          <cell r="L81">
            <v>733</v>
          </cell>
          <cell r="M81">
            <v>126</v>
          </cell>
        </row>
        <row r="82">
          <cell r="B82">
            <v>170101</v>
          </cell>
          <cell r="E82" t="str">
            <v>寄居在斯塞提卡湖底，以残害渔民为乐。</v>
          </cell>
          <cell r="F82">
            <v>49</v>
          </cell>
          <cell r="G82">
            <v>1099</v>
          </cell>
          <cell r="H82">
            <v>189</v>
          </cell>
          <cell r="I82">
            <v>1</v>
          </cell>
          <cell r="J82">
            <v>785</v>
          </cell>
          <cell r="K82">
            <v>88</v>
          </cell>
          <cell r="L82">
            <v>699</v>
          </cell>
          <cell r="M82">
            <v>126</v>
          </cell>
        </row>
        <row r="83">
          <cell r="B83">
            <v>170201</v>
          </cell>
          <cell r="E83" t="str">
            <v>守护水之能量的女护卫，但是被恶魔蒙蔽了眼睛。</v>
          </cell>
          <cell r="F83">
            <v>50</v>
          </cell>
          <cell r="G83">
            <v>1130</v>
          </cell>
          <cell r="H83">
            <v>194</v>
          </cell>
          <cell r="I83">
            <v>1</v>
          </cell>
          <cell r="J83">
            <v>816</v>
          </cell>
          <cell r="K83">
            <v>91</v>
          </cell>
          <cell r="L83">
            <v>726</v>
          </cell>
          <cell r="M83">
            <v>126</v>
          </cell>
        </row>
        <row r="84">
          <cell r="B84">
            <v>170301</v>
          </cell>
          <cell r="E84" t="str">
            <v>他们漂浮在空气中，随时都有可能向你发动攻击。</v>
          </cell>
          <cell r="F84">
            <v>50</v>
          </cell>
          <cell r="G84">
            <v>1596</v>
          </cell>
          <cell r="H84">
            <v>97</v>
          </cell>
          <cell r="I84">
            <v>1</v>
          </cell>
          <cell r="J84">
            <v>725</v>
          </cell>
          <cell r="K84">
            <v>68</v>
          </cell>
          <cell r="L84">
            <v>528</v>
          </cell>
          <cell r="M84">
            <v>110</v>
          </cell>
        </row>
        <row r="85">
          <cell r="B85">
            <v>170401</v>
          </cell>
          <cell r="E85" t="str">
            <v>地狱魔王最喜爱的宠物，非常凶残。</v>
          </cell>
          <cell r="F85">
            <v>51</v>
          </cell>
          <cell r="G85">
            <v>1648</v>
          </cell>
          <cell r="H85">
            <v>99</v>
          </cell>
          <cell r="I85">
            <v>1</v>
          </cell>
          <cell r="J85">
            <v>752</v>
          </cell>
          <cell r="K85">
            <v>69</v>
          </cell>
          <cell r="L85">
            <v>548</v>
          </cell>
          <cell r="M85">
            <v>110</v>
          </cell>
        </row>
        <row r="86">
          <cell r="B86">
            <v>170501</v>
          </cell>
          <cell r="E86" t="str">
            <v>地狱魔王用来吞噬犯人尸体的食人鱼。</v>
          </cell>
          <cell r="F86">
            <v>52</v>
          </cell>
          <cell r="G86">
            <v>1695</v>
          </cell>
          <cell r="H86">
            <v>102</v>
          </cell>
          <cell r="I86">
            <v>1</v>
          </cell>
          <cell r="J86">
            <v>780</v>
          </cell>
          <cell r="K86">
            <v>72</v>
          </cell>
          <cell r="L86">
            <v>568</v>
          </cell>
          <cell r="M86">
            <v>110</v>
          </cell>
        </row>
        <row r="87">
          <cell r="B87">
            <v>180101</v>
          </cell>
          <cell r="E87" t="str">
            <v>原本是守护大地的神龙，因贪图强大的力量而走上歧途。</v>
          </cell>
          <cell r="F87">
            <v>53</v>
          </cell>
          <cell r="G87">
            <v>2906</v>
          </cell>
          <cell r="H87">
            <v>104</v>
          </cell>
          <cell r="I87">
            <v>1</v>
          </cell>
          <cell r="J87">
            <v>1161</v>
          </cell>
          <cell r="K87">
            <v>118</v>
          </cell>
          <cell r="L87">
            <v>369</v>
          </cell>
          <cell r="M87">
            <v>55</v>
          </cell>
        </row>
        <row r="88">
          <cell r="B88">
            <v>180201</v>
          </cell>
          <cell r="E88" t="str">
            <v>四肢发达但智商低下，是恶魔忠实的打手。</v>
          </cell>
          <cell r="F88">
            <v>54</v>
          </cell>
          <cell r="G88">
            <v>2986</v>
          </cell>
          <cell r="H88">
            <v>107</v>
          </cell>
          <cell r="I88">
            <v>1</v>
          </cell>
          <cell r="J88">
            <v>1204</v>
          </cell>
          <cell r="K88">
            <v>122</v>
          </cell>
          <cell r="L88">
            <v>382</v>
          </cell>
          <cell r="M88">
            <v>55</v>
          </cell>
        </row>
        <row r="89">
          <cell r="B89">
            <v>180301</v>
          </cell>
          <cell r="E89" t="str">
            <v>具有强大的攻击能力，千万不要被他的外表蒙蔽。</v>
          </cell>
          <cell r="F89">
            <v>54</v>
          </cell>
          <cell r="G89">
            <v>2986</v>
          </cell>
          <cell r="H89">
            <v>107</v>
          </cell>
          <cell r="I89">
            <v>1</v>
          </cell>
          <cell r="J89">
            <v>1204</v>
          </cell>
          <cell r="K89">
            <v>122</v>
          </cell>
          <cell r="L89">
            <v>382</v>
          </cell>
          <cell r="M89">
            <v>55</v>
          </cell>
        </row>
        <row r="90">
          <cell r="B90">
            <v>180401</v>
          </cell>
          <cell r="E90" t="str">
            <v>原本是守护大地的神龙，因贪图强大的力量而走上歧途。</v>
          </cell>
          <cell r="F90">
            <v>55</v>
          </cell>
          <cell r="G90">
            <v>3066</v>
          </cell>
          <cell r="H90">
            <v>109</v>
          </cell>
          <cell r="I90">
            <v>1</v>
          </cell>
          <cell r="J90">
            <v>1245</v>
          </cell>
          <cell r="K90">
            <v>126</v>
          </cell>
          <cell r="L90">
            <v>396</v>
          </cell>
          <cell r="M90">
            <v>55</v>
          </cell>
        </row>
        <row r="91">
          <cell r="B91">
            <v>180501</v>
          </cell>
          <cell r="E91" t="str">
            <v>具有强大的攻击能力，千万不要被他的外表蒙蔽。</v>
          </cell>
          <cell r="F91">
            <v>56</v>
          </cell>
          <cell r="G91">
            <v>3148</v>
          </cell>
          <cell r="H91">
            <v>112</v>
          </cell>
          <cell r="I91">
            <v>1</v>
          </cell>
          <cell r="J91">
            <v>1290</v>
          </cell>
          <cell r="K91">
            <v>129</v>
          </cell>
          <cell r="L91">
            <v>410</v>
          </cell>
          <cell r="M91">
            <v>55</v>
          </cell>
        </row>
        <row r="92">
          <cell r="B92">
            <v>10102</v>
          </cell>
          <cell r="E92" t="str">
            <v>受到邪恶力量的影响后，体型和性格都发生了重大的变化。</v>
          </cell>
          <cell r="F92">
            <v>1</v>
          </cell>
          <cell r="G92">
            <v>40</v>
          </cell>
          <cell r="H92">
            <v>0</v>
          </cell>
          <cell r="I92">
            <v>1</v>
          </cell>
          <cell r="J92">
            <v>20</v>
          </cell>
          <cell r="K92">
            <v>1</v>
          </cell>
          <cell r="L92">
            <v>11</v>
          </cell>
          <cell r="M92">
            <v>2</v>
          </cell>
        </row>
        <row r="93">
          <cell r="B93">
            <v>10202</v>
          </cell>
          <cell r="E93" t="str">
            <v>受到邪恶力量的影响后，体型和性格都发生了重大的变化。</v>
          </cell>
          <cell r="F93">
            <v>1</v>
          </cell>
          <cell r="G93">
            <v>40</v>
          </cell>
          <cell r="H93">
            <v>0</v>
          </cell>
          <cell r="I93">
            <v>1</v>
          </cell>
          <cell r="J93">
            <v>20</v>
          </cell>
          <cell r="K93">
            <v>1</v>
          </cell>
          <cell r="L93">
            <v>11</v>
          </cell>
          <cell r="M93">
            <v>2</v>
          </cell>
        </row>
        <row r="94">
          <cell r="B94">
            <v>10302</v>
          </cell>
          <cell r="E94" t="str">
            <v>丛林中凶猛的小蝙蝠。</v>
          </cell>
          <cell r="F94">
            <v>2</v>
          </cell>
          <cell r="G94">
            <v>45</v>
          </cell>
          <cell r="H94">
            <v>5</v>
          </cell>
          <cell r="I94">
            <v>1</v>
          </cell>
          <cell r="J94">
            <v>22</v>
          </cell>
          <cell r="K94">
            <v>2</v>
          </cell>
          <cell r="L94">
            <v>12</v>
          </cell>
          <cell r="M94">
            <v>8</v>
          </cell>
        </row>
        <row r="95">
          <cell r="B95">
            <v>10402</v>
          </cell>
          <cell r="E95" t="str">
            <v>可以再树木间相互跳跃。</v>
          </cell>
          <cell r="F95">
            <v>3</v>
          </cell>
          <cell r="G95">
            <v>56</v>
          </cell>
          <cell r="H95">
            <v>0</v>
          </cell>
          <cell r="I95">
            <v>1</v>
          </cell>
          <cell r="J95">
            <v>25</v>
          </cell>
          <cell r="K95">
            <v>2</v>
          </cell>
          <cell r="L95">
            <v>14</v>
          </cell>
          <cell r="M95">
            <v>14</v>
          </cell>
        </row>
        <row r="96">
          <cell r="B96">
            <v>10502</v>
          </cell>
          <cell r="E96" t="str">
            <v>凶残成性但是智商捉襟见肘。</v>
          </cell>
          <cell r="F96">
            <v>3</v>
          </cell>
          <cell r="G96">
            <v>56</v>
          </cell>
          <cell r="H96">
            <v>0</v>
          </cell>
          <cell r="I96">
            <v>1</v>
          </cell>
          <cell r="J96">
            <v>25</v>
          </cell>
          <cell r="K96">
            <v>2</v>
          </cell>
          <cell r="L96">
            <v>14</v>
          </cell>
          <cell r="M96">
            <v>14</v>
          </cell>
        </row>
        <row r="97">
          <cell r="B97">
            <v>20102</v>
          </cell>
          <cell r="E97" t="str">
            <v>比一般幽灵更容易愤怒遇见她要小心了。</v>
          </cell>
          <cell r="F97">
            <v>4</v>
          </cell>
          <cell r="G97">
            <v>47</v>
          </cell>
          <cell r="H97">
            <v>14</v>
          </cell>
          <cell r="I97">
            <v>1</v>
          </cell>
          <cell r="J97">
            <v>31</v>
          </cell>
          <cell r="K97">
            <v>4</v>
          </cell>
          <cell r="L97">
            <v>24</v>
          </cell>
          <cell r="M97">
            <v>23</v>
          </cell>
        </row>
        <row r="98">
          <cell r="B98">
            <v>20202</v>
          </cell>
          <cell r="E98" t="str">
            <v>心地善良但是被恶魔蛊惑的心智。</v>
          </cell>
          <cell r="F98">
            <v>4</v>
          </cell>
          <cell r="G98">
            <v>47</v>
          </cell>
          <cell r="H98">
            <v>14</v>
          </cell>
          <cell r="I98">
            <v>1</v>
          </cell>
          <cell r="J98">
            <v>31</v>
          </cell>
          <cell r="K98">
            <v>4</v>
          </cell>
          <cell r="L98">
            <v>24</v>
          </cell>
          <cell r="M98">
            <v>23</v>
          </cell>
        </row>
        <row r="99">
          <cell r="B99">
            <v>20302</v>
          </cell>
          <cell r="E99" t="str">
            <v>拥有水之能力的魔晶。</v>
          </cell>
          <cell r="F99">
            <v>5</v>
          </cell>
          <cell r="G99">
            <v>57</v>
          </cell>
          <cell r="H99">
            <v>16</v>
          </cell>
          <cell r="I99">
            <v>1</v>
          </cell>
          <cell r="J99">
            <v>36</v>
          </cell>
          <cell r="K99">
            <v>4</v>
          </cell>
          <cell r="L99">
            <v>27</v>
          </cell>
          <cell r="M99">
            <v>29</v>
          </cell>
        </row>
        <row r="100">
          <cell r="B100">
            <v>20402</v>
          </cell>
          <cell r="E100" t="str">
            <v>心地善良但是被恶魔蛊惑的心智。</v>
          </cell>
          <cell r="F100">
            <v>6</v>
          </cell>
          <cell r="G100">
            <v>65</v>
          </cell>
          <cell r="H100">
            <v>18</v>
          </cell>
          <cell r="I100">
            <v>1</v>
          </cell>
          <cell r="J100">
            <v>42</v>
          </cell>
          <cell r="K100">
            <v>5</v>
          </cell>
          <cell r="L100">
            <v>33</v>
          </cell>
          <cell r="M100">
            <v>36</v>
          </cell>
        </row>
        <row r="101">
          <cell r="B101">
            <v>20502</v>
          </cell>
          <cell r="E101" t="str">
            <v>拥有水之能力的魔晶。</v>
          </cell>
          <cell r="F101">
            <v>6</v>
          </cell>
          <cell r="G101">
            <v>65</v>
          </cell>
          <cell r="H101">
            <v>18</v>
          </cell>
          <cell r="I101">
            <v>1</v>
          </cell>
          <cell r="J101">
            <v>42</v>
          </cell>
          <cell r="K101">
            <v>5</v>
          </cell>
          <cell r="L101">
            <v>33</v>
          </cell>
          <cell r="M101">
            <v>36</v>
          </cell>
        </row>
        <row r="102">
          <cell r="B102">
            <v>30102</v>
          </cell>
          <cell r="E102" t="str">
            <v>恶神阿修罗忠诚的打手。</v>
          </cell>
          <cell r="F102">
            <v>7</v>
          </cell>
          <cell r="G102">
            <v>100</v>
          </cell>
          <cell r="H102">
            <v>20</v>
          </cell>
          <cell r="I102">
            <v>1</v>
          </cell>
          <cell r="J102">
            <v>37</v>
          </cell>
          <cell r="K102">
            <v>4</v>
          </cell>
          <cell r="L102">
            <v>51</v>
          </cell>
          <cell r="M102">
            <v>38</v>
          </cell>
        </row>
        <row r="103">
          <cell r="B103">
            <v>30202</v>
          </cell>
          <cell r="E103" t="str">
            <v>恶神阿修罗忠诚的打手。</v>
          </cell>
          <cell r="F103">
            <v>7</v>
          </cell>
          <cell r="G103">
            <v>100</v>
          </cell>
          <cell r="H103">
            <v>20</v>
          </cell>
          <cell r="I103">
            <v>1</v>
          </cell>
          <cell r="J103">
            <v>37</v>
          </cell>
          <cell r="K103">
            <v>4</v>
          </cell>
          <cell r="L103">
            <v>51</v>
          </cell>
          <cell r="M103">
            <v>38</v>
          </cell>
        </row>
        <row r="104">
          <cell r="B104">
            <v>30302</v>
          </cell>
          <cell r="E104" t="str">
            <v>恶神阿修罗忠诚的打手。</v>
          </cell>
          <cell r="F104">
            <v>8</v>
          </cell>
          <cell r="G104">
            <v>114</v>
          </cell>
          <cell r="H104">
            <v>22</v>
          </cell>
          <cell r="I104">
            <v>1</v>
          </cell>
          <cell r="J104">
            <v>42</v>
          </cell>
          <cell r="K104">
            <v>5</v>
          </cell>
          <cell r="L104">
            <v>60</v>
          </cell>
          <cell r="M104">
            <v>44</v>
          </cell>
        </row>
        <row r="105">
          <cell r="B105">
            <v>30402</v>
          </cell>
          <cell r="E105" t="str">
            <v>已经死亡的蟒蛇在某种诡异的力量下复活了。</v>
          </cell>
          <cell r="F105">
            <v>9</v>
          </cell>
          <cell r="G105">
            <v>128</v>
          </cell>
          <cell r="H105">
            <v>25</v>
          </cell>
          <cell r="I105">
            <v>1</v>
          </cell>
          <cell r="J105">
            <v>47</v>
          </cell>
          <cell r="K105">
            <v>6</v>
          </cell>
          <cell r="L105">
            <v>67</v>
          </cell>
          <cell r="M105">
            <v>50</v>
          </cell>
        </row>
        <row r="106">
          <cell r="B106">
            <v>30502</v>
          </cell>
          <cell r="E106" t="str">
            <v>腐朽的泥土中产生的怪物。</v>
          </cell>
          <cell r="F106">
            <v>9</v>
          </cell>
          <cell r="G106">
            <v>128</v>
          </cell>
          <cell r="H106">
            <v>25</v>
          </cell>
          <cell r="I106">
            <v>1</v>
          </cell>
          <cell r="J106">
            <v>47</v>
          </cell>
          <cell r="K106">
            <v>6</v>
          </cell>
          <cell r="L106">
            <v>67</v>
          </cell>
          <cell r="M106">
            <v>50</v>
          </cell>
        </row>
        <row r="107">
          <cell r="B107">
            <v>40102</v>
          </cell>
          <cell r="E107" t="str">
            <v>在邪恶力量驱使下从远古化石中转生。</v>
          </cell>
          <cell r="F107">
            <v>10</v>
          </cell>
          <cell r="G107">
            <v>175</v>
          </cell>
          <cell r="H107">
            <v>14</v>
          </cell>
          <cell r="I107">
            <v>1</v>
          </cell>
          <cell r="J107">
            <v>115</v>
          </cell>
          <cell r="K107">
            <v>7</v>
          </cell>
          <cell r="L107">
            <v>51</v>
          </cell>
          <cell r="M107">
            <v>56</v>
          </cell>
        </row>
        <row r="108">
          <cell r="B108">
            <v>40202</v>
          </cell>
          <cell r="E108" t="str">
            <v>鳗鱼的变异体凶残异常。</v>
          </cell>
          <cell r="F108">
            <v>11</v>
          </cell>
          <cell r="G108">
            <v>197</v>
          </cell>
          <cell r="H108">
            <v>15</v>
          </cell>
          <cell r="I108">
            <v>1</v>
          </cell>
          <cell r="J108">
            <v>127</v>
          </cell>
          <cell r="K108">
            <v>8</v>
          </cell>
          <cell r="L108">
            <v>57</v>
          </cell>
          <cell r="M108">
            <v>62</v>
          </cell>
        </row>
        <row r="109">
          <cell r="B109">
            <v>40302</v>
          </cell>
          <cell r="E109" t="str">
            <v>在邪恶力量驱使下从远古化石中转生。</v>
          </cell>
          <cell r="F109">
            <v>11</v>
          </cell>
          <cell r="G109">
            <v>197</v>
          </cell>
          <cell r="H109">
            <v>15</v>
          </cell>
          <cell r="I109">
            <v>1</v>
          </cell>
          <cell r="J109">
            <v>127</v>
          </cell>
          <cell r="K109">
            <v>8</v>
          </cell>
          <cell r="L109">
            <v>57</v>
          </cell>
          <cell r="M109">
            <v>62</v>
          </cell>
        </row>
        <row r="110">
          <cell r="B110">
            <v>40402</v>
          </cell>
          <cell r="E110" t="str">
            <v>在邪恶力量驱使下从远古化石中转生。</v>
          </cell>
          <cell r="F110">
            <v>12</v>
          </cell>
          <cell r="G110">
            <v>218</v>
          </cell>
          <cell r="H110">
            <v>17</v>
          </cell>
          <cell r="I110">
            <v>1</v>
          </cell>
          <cell r="J110">
            <v>142</v>
          </cell>
          <cell r="K110">
            <v>8</v>
          </cell>
          <cell r="L110">
            <v>64</v>
          </cell>
          <cell r="M110">
            <v>68</v>
          </cell>
        </row>
        <row r="111">
          <cell r="B111">
            <v>40502</v>
          </cell>
          <cell r="E111" t="str">
            <v>鳗鱼的变异体凶残异常。</v>
          </cell>
          <cell r="F111">
            <v>13</v>
          </cell>
          <cell r="G111">
            <v>244</v>
          </cell>
          <cell r="H111">
            <v>18</v>
          </cell>
          <cell r="I111">
            <v>1</v>
          </cell>
          <cell r="J111">
            <v>157</v>
          </cell>
          <cell r="K111">
            <v>9</v>
          </cell>
          <cell r="L111">
            <v>72</v>
          </cell>
          <cell r="M111">
            <v>74</v>
          </cell>
        </row>
        <row r="112">
          <cell r="B112">
            <v>50102</v>
          </cell>
          <cell r="E112" t="str">
            <v>发起疯来会破坏周围的一切，还是不要惹他了。</v>
          </cell>
          <cell r="F112">
            <v>13</v>
          </cell>
          <cell r="G112">
            <v>376</v>
          </cell>
          <cell r="H112">
            <v>18</v>
          </cell>
          <cell r="I112">
            <v>1</v>
          </cell>
          <cell r="J112">
            <v>120</v>
          </cell>
          <cell r="K112">
            <v>14</v>
          </cell>
          <cell r="L112">
            <v>36</v>
          </cell>
          <cell r="M112">
            <v>37</v>
          </cell>
        </row>
        <row r="113">
          <cell r="B113">
            <v>50202</v>
          </cell>
          <cell r="E113" t="str">
            <v>身披坚硬的铁甲，一般攻击很难奏效。</v>
          </cell>
          <cell r="F113">
            <v>14</v>
          </cell>
          <cell r="G113">
            <v>412</v>
          </cell>
          <cell r="H113">
            <v>20</v>
          </cell>
          <cell r="I113">
            <v>1</v>
          </cell>
          <cell r="J113">
            <v>134</v>
          </cell>
          <cell r="K113">
            <v>16</v>
          </cell>
          <cell r="L113">
            <v>40</v>
          </cell>
          <cell r="M113">
            <v>40</v>
          </cell>
        </row>
        <row r="114">
          <cell r="B114">
            <v>50302</v>
          </cell>
          <cell r="E114" t="str">
            <v>发起疯来会破坏周围的一切，还是不要惹他了。</v>
          </cell>
          <cell r="F114">
            <v>14</v>
          </cell>
          <cell r="G114">
            <v>412</v>
          </cell>
          <cell r="H114">
            <v>20</v>
          </cell>
          <cell r="I114">
            <v>1</v>
          </cell>
          <cell r="J114">
            <v>134</v>
          </cell>
          <cell r="K114">
            <v>16</v>
          </cell>
          <cell r="L114">
            <v>40</v>
          </cell>
          <cell r="M114">
            <v>40</v>
          </cell>
        </row>
        <row r="115">
          <cell r="B115">
            <v>50402</v>
          </cell>
          <cell r="E115" t="str">
            <v>身披坚硬的铁甲，一般攻击很难奏效。</v>
          </cell>
          <cell r="F115">
            <v>15</v>
          </cell>
          <cell r="G115">
            <v>452</v>
          </cell>
          <cell r="H115">
            <v>21</v>
          </cell>
          <cell r="I115">
            <v>1</v>
          </cell>
          <cell r="J115">
            <v>146</v>
          </cell>
          <cell r="K115">
            <v>18</v>
          </cell>
          <cell r="L115">
            <v>43</v>
          </cell>
          <cell r="M115">
            <v>43</v>
          </cell>
        </row>
        <row r="116">
          <cell r="B116">
            <v>50502</v>
          </cell>
          <cell r="E116" t="str">
            <v>四肢发达但智商低下，是恶魔忠实的打手。</v>
          </cell>
          <cell r="F116">
            <v>16</v>
          </cell>
          <cell r="G116">
            <v>494</v>
          </cell>
          <cell r="H116">
            <v>23</v>
          </cell>
          <cell r="I116">
            <v>1</v>
          </cell>
          <cell r="J116">
            <v>161</v>
          </cell>
          <cell r="K116">
            <v>19</v>
          </cell>
          <cell r="L116">
            <v>48</v>
          </cell>
          <cell r="M116">
            <v>46</v>
          </cell>
        </row>
        <row r="117">
          <cell r="B117">
            <v>60102</v>
          </cell>
          <cell r="E117" t="str">
            <v>斯塞提卡湖中寄居的幽灵。</v>
          </cell>
          <cell r="F117">
            <v>16</v>
          </cell>
          <cell r="G117">
            <v>209</v>
          </cell>
          <cell r="H117">
            <v>46</v>
          </cell>
          <cell r="I117">
            <v>1</v>
          </cell>
          <cell r="J117">
            <v>126</v>
          </cell>
          <cell r="K117">
            <v>16</v>
          </cell>
          <cell r="L117">
            <v>106</v>
          </cell>
          <cell r="M117">
            <v>105</v>
          </cell>
        </row>
        <row r="118">
          <cell r="B118">
            <v>60202</v>
          </cell>
          <cell r="E118" t="str">
            <v>比一般幽灵更容易愤怒遇见她要小心了。</v>
          </cell>
          <cell r="F118">
            <v>17</v>
          </cell>
          <cell r="G118">
            <v>228</v>
          </cell>
          <cell r="H118">
            <v>49</v>
          </cell>
          <cell r="I118">
            <v>1</v>
          </cell>
          <cell r="J118">
            <v>136</v>
          </cell>
          <cell r="K118">
            <v>18</v>
          </cell>
          <cell r="L118">
            <v>116</v>
          </cell>
          <cell r="M118">
            <v>112</v>
          </cell>
        </row>
        <row r="119">
          <cell r="B119">
            <v>60302</v>
          </cell>
          <cell r="E119" t="str">
            <v>拥有水之能力的魔晶。</v>
          </cell>
          <cell r="F119">
            <v>18</v>
          </cell>
          <cell r="G119">
            <v>248</v>
          </cell>
          <cell r="H119">
            <v>52</v>
          </cell>
          <cell r="I119">
            <v>1</v>
          </cell>
          <cell r="J119">
            <v>148</v>
          </cell>
          <cell r="K119">
            <v>19</v>
          </cell>
          <cell r="L119">
            <v>126</v>
          </cell>
          <cell r="M119">
            <v>119</v>
          </cell>
        </row>
        <row r="120">
          <cell r="B120">
            <v>60402</v>
          </cell>
          <cell r="E120" t="str">
            <v>斯塞提卡湖中寄居的幽灵。</v>
          </cell>
          <cell r="F120">
            <v>18</v>
          </cell>
          <cell r="G120">
            <v>248</v>
          </cell>
          <cell r="H120">
            <v>52</v>
          </cell>
          <cell r="I120">
            <v>1</v>
          </cell>
          <cell r="J120">
            <v>148</v>
          </cell>
          <cell r="K120">
            <v>19</v>
          </cell>
          <cell r="L120">
            <v>126</v>
          </cell>
          <cell r="M120">
            <v>119</v>
          </cell>
        </row>
        <row r="121">
          <cell r="B121">
            <v>60502</v>
          </cell>
          <cell r="E121" t="str">
            <v>比一般幽灵更容易愤怒遇见她要小心了。</v>
          </cell>
          <cell r="F121">
            <v>19</v>
          </cell>
          <cell r="G121">
            <v>266</v>
          </cell>
          <cell r="H121">
            <v>55</v>
          </cell>
          <cell r="I121">
            <v>1</v>
          </cell>
          <cell r="J121">
            <v>160</v>
          </cell>
          <cell r="K121">
            <v>21</v>
          </cell>
          <cell r="L121">
            <v>137</v>
          </cell>
          <cell r="M121">
            <v>126</v>
          </cell>
        </row>
        <row r="122">
          <cell r="B122">
            <v>70102</v>
          </cell>
          <cell r="E122" t="str">
            <v>外表黏黏糊糊，看起来非常恶心的小怪物。</v>
          </cell>
          <cell r="F122">
            <v>20</v>
          </cell>
          <cell r="G122">
            <v>289</v>
          </cell>
          <cell r="H122">
            <v>59</v>
          </cell>
          <cell r="I122">
            <v>1</v>
          </cell>
          <cell r="J122">
            <v>164</v>
          </cell>
          <cell r="K122">
            <v>19</v>
          </cell>
          <cell r="L122">
            <v>155</v>
          </cell>
          <cell r="M122">
            <v>126</v>
          </cell>
        </row>
        <row r="123">
          <cell r="B123">
            <v>70202</v>
          </cell>
          <cell r="E123" t="str">
            <v>火神在用赤炎烈火熔炼天灵石时，幻化出来的恶魔。</v>
          </cell>
          <cell r="F123">
            <v>20</v>
          </cell>
          <cell r="G123">
            <v>289</v>
          </cell>
          <cell r="H123">
            <v>59</v>
          </cell>
          <cell r="I123">
            <v>1</v>
          </cell>
          <cell r="J123">
            <v>164</v>
          </cell>
          <cell r="K123">
            <v>19</v>
          </cell>
          <cell r="L123">
            <v>155</v>
          </cell>
          <cell r="M123">
            <v>126</v>
          </cell>
        </row>
        <row r="124">
          <cell r="B124">
            <v>70302</v>
          </cell>
          <cell r="E124" t="str">
            <v>拥有火之能力的魔晶。</v>
          </cell>
          <cell r="F124">
            <v>21</v>
          </cell>
          <cell r="G124">
            <v>310</v>
          </cell>
          <cell r="H124">
            <v>63</v>
          </cell>
          <cell r="I124">
            <v>1</v>
          </cell>
          <cell r="J124">
            <v>176</v>
          </cell>
          <cell r="K124">
            <v>21</v>
          </cell>
          <cell r="L124">
            <v>167</v>
          </cell>
          <cell r="M124">
            <v>126</v>
          </cell>
        </row>
        <row r="125">
          <cell r="B125">
            <v>70402</v>
          </cell>
          <cell r="E125" t="str">
            <v>在火焰熔炼中诞生，全身炙热。</v>
          </cell>
          <cell r="F125">
            <v>22</v>
          </cell>
          <cell r="G125">
            <v>331</v>
          </cell>
          <cell r="H125">
            <v>67</v>
          </cell>
          <cell r="I125">
            <v>1</v>
          </cell>
          <cell r="J125">
            <v>191</v>
          </cell>
          <cell r="K125">
            <v>23</v>
          </cell>
          <cell r="L125">
            <v>181</v>
          </cell>
          <cell r="M125">
            <v>126</v>
          </cell>
        </row>
        <row r="126">
          <cell r="B126">
            <v>70502</v>
          </cell>
          <cell r="E126" t="str">
            <v>外表黏黏糊糊，看起来非常恶心的小怪物。</v>
          </cell>
          <cell r="F126">
            <v>23</v>
          </cell>
          <cell r="G126">
            <v>351</v>
          </cell>
          <cell r="H126">
            <v>71</v>
          </cell>
          <cell r="I126">
            <v>1</v>
          </cell>
          <cell r="J126">
            <v>204</v>
          </cell>
          <cell r="K126">
            <v>25</v>
          </cell>
          <cell r="L126">
            <v>195</v>
          </cell>
          <cell r="M126">
            <v>126</v>
          </cell>
        </row>
        <row r="127">
          <cell r="B127">
            <v>80102</v>
          </cell>
          <cell r="E127" t="str">
            <v>身形硕大，外边土赤色，发起怒来震人心魄。</v>
          </cell>
          <cell r="F127">
            <v>23</v>
          </cell>
          <cell r="G127">
            <v>495</v>
          </cell>
          <cell r="H127">
            <v>56</v>
          </cell>
          <cell r="I127">
            <v>1</v>
          </cell>
          <cell r="J127">
            <v>288</v>
          </cell>
          <cell r="K127">
            <v>22</v>
          </cell>
          <cell r="L127">
            <v>204</v>
          </cell>
          <cell r="M127">
            <v>110</v>
          </cell>
        </row>
        <row r="128">
          <cell r="B128">
            <v>80202</v>
          </cell>
          <cell r="E128" t="str">
            <v>身形硕大，外边土赤色，发起怒来震人心魄。</v>
          </cell>
          <cell r="F128">
            <v>24</v>
          </cell>
          <cell r="G128">
            <v>531</v>
          </cell>
          <cell r="H128">
            <v>60</v>
          </cell>
          <cell r="I128">
            <v>1</v>
          </cell>
          <cell r="J128">
            <v>308</v>
          </cell>
          <cell r="K128">
            <v>23</v>
          </cell>
          <cell r="L128">
            <v>218</v>
          </cell>
          <cell r="M128">
            <v>110</v>
          </cell>
        </row>
        <row r="129">
          <cell r="B129">
            <v>80302</v>
          </cell>
          <cell r="E129" t="str">
            <v>身形硕大，外边青赤色，发起怒来震人心魄。</v>
          </cell>
          <cell r="F129">
            <v>25</v>
          </cell>
          <cell r="G129">
            <v>565</v>
          </cell>
          <cell r="H129">
            <v>63</v>
          </cell>
          <cell r="I129">
            <v>1</v>
          </cell>
          <cell r="J129">
            <v>330</v>
          </cell>
          <cell r="K129">
            <v>24</v>
          </cell>
          <cell r="L129">
            <v>234</v>
          </cell>
          <cell r="M129">
            <v>110</v>
          </cell>
        </row>
        <row r="130">
          <cell r="B130">
            <v>80402</v>
          </cell>
          <cell r="E130" t="str">
            <v>身形硕大，外边青赤色，发起怒来震人心魄。</v>
          </cell>
          <cell r="F130">
            <v>25</v>
          </cell>
          <cell r="G130">
            <v>565</v>
          </cell>
          <cell r="H130">
            <v>63</v>
          </cell>
          <cell r="I130">
            <v>1</v>
          </cell>
          <cell r="J130">
            <v>330</v>
          </cell>
          <cell r="K130">
            <v>24</v>
          </cell>
          <cell r="L130">
            <v>234</v>
          </cell>
          <cell r="M130">
            <v>110</v>
          </cell>
        </row>
        <row r="131">
          <cell r="B131">
            <v>80502</v>
          </cell>
          <cell r="E131" t="str">
            <v>身形硕大，外边土赤色，发起怒来震人心魄。</v>
          </cell>
          <cell r="F131">
            <v>26</v>
          </cell>
          <cell r="G131">
            <v>596</v>
          </cell>
          <cell r="H131">
            <v>66</v>
          </cell>
          <cell r="I131">
            <v>1</v>
          </cell>
          <cell r="J131">
            <v>351</v>
          </cell>
          <cell r="K131">
            <v>26</v>
          </cell>
          <cell r="L131">
            <v>249</v>
          </cell>
          <cell r="M131">
            <v>110</v>
          </cell>
        </row>
        <row r="132">
          <cell r="B132">
            <v>90102</v>
          </cell>
          <cell r="E132" t="str">
            <v>被赋予恶魔力量的凶残强盗。</v>
          </cell>
          <cell r="F132">
            <v>27</v>
          </cell>
          <cell r="G132">
            <v>447</v>
          </cell>
          <cell r="H132">
            <v>87</v>
          </cell>
          <cell r="I132">
            <v>1</v>
          </cell>
          <cell r="J132">
            <v>234</v>
          </cell>
          <cell r="K132">
            <v>31</v>
          </cell>
          <cell r="L132">
            <v>276</v>
          </cell>
          <cell r="M132">
            <v>126</v>
          </cell>
        </row>
        <row r="133">
          <cell r="B133">
            <v>90202</v>
          </cell>
          <cell r="E133" t="str">
            <v>每一根绒毛都充满了毒液，千万不要被它碰到。</v>
          </cell>
          <cell r="F133">
            <v>27</v>
          </cell>
          <cell r="G133">
            <v>447</v>
          </cell>
          <cell r="H133">
            <v>87</v>
          </cell>
          <cell r="I133">
            <v>1</v>
          </cell>
          <cell r="J133">
            <v>234</v>
          </cell>
          <cell r="K133">
            <v>31</v>
          </cell>
          <cell r="L133">
            <v>276</v>
          </cell>
          <cell r="M133">
            <v>126</v>
          </cell>
        </row>
        <row r="134">
          <cell r="B134">
            <v>90302</v>
          </cell>
          <cell r="E134" t="str">
            <v>因把灵魂出卖给了冥王，获得了永久的生命。</v>
          </cell>
          <cell r="F134">
            <v>28</v>
          </cell>
          <cell r="G134">
            <v>471</v>
          </cell>
          <cell r="H134">
            <v>91</v>
          </cell>
          <cell r="I134">
            <v>1</v>
          </cell>
          <cell r="J134">
            <v>247</v>
          </cell>
          <cell r="K134">
            <v>33</v>
          </cell>
          <cell r="L134">
            <v>293</v>
          </cell>
          <cell r="M134">
            <v>126</v>
          </cell>
        </row>
        <row r="135">
          <cell r="B135">
            <v>90402</v>
          </cell>
          <cell r="E135" t="str">
            <v>被赋予恶魔力量的凶残强盗。</v>
          </cell>
          <cell r="F135">
            <v>29</v>
          </cell>
          <cell r="G135">
            <v>498</v>
          </cell>
          <cell r="H135">
            <v>95</v>
          </cell>
          <cell r="I135">
            <v>1</v>
          </cell>
          <cell r="J135">
            <v>262</v>
          </cell>
          <cell r="K135">
            <v>35</v>
          </cell>
          <cell r="L135">
            <v>311</v>
          </cell>
          <cell r="M135">
            <v>126</v>
          </cell>
        </row>
        <row r="136">
          <cell r="B136">
            <v>90502</v>
          </cell>
          <cell r="E136" t="str">
            <v>因把灵魂出卖给了冥王，获得了永久的生命。</v>
          </cell>
          <cell r="F136">
            <v>29</v>
          </cell>
          <cell r="G136">
            <v>498</v>
          </cell>
          <cell r="H136">
            <v>95</v>
          </cell>
          <cell r="I136">
            <v>1</v>
          </cell>
          <cell r="J136">
            <v>262</v>
          </cell>
          <cell r="K136">
            <v>35</v>
          </cell>
          <cell r="L136">
            <v>311</v>
          </cell>
          <cell r="M136">
            <v>126</v>
          </cell>
        </row>
        <row r="137">
          <cell r="B137">
            <v>100102</v>
          </cell>
          <cell r="E137" t="str">
            <v>擅长忍术的强盗，诡计多端。</v>
          </cell>
          <cell r="F137">
            <v>30</v>
          </cell>
          <cell r="G137">
            <v>524</v>
          </cell>
          <cell r="H137">
            <v>99</v>
          </cell>
          <cell r="I137">
            <v>1</v>
          </cell>
          <cell r="J137">
            <v>333</v>
          </cell>
          <cell r="K137">
            <v>36</v>
          </cell>
          <cell r="L137">
            <v>290</v>
          </cell>
          <cell r="M137">
            <v>126</v>
          </cell>
        </row>
        <row r="138">
          <cell r="B138">
            <v>100202</v>
          </cell>
          <cell r="E138" t="str">
            <v>拥有雷之能力的魔晶。</v>
          </cell>
          <cell r="F138">
            <v>31</v>
          </cell>
          <cell r="G138">
            <v>549</v>
          </cell>
          <cell r="H138">
            <v>103</v>
          </cell>
          <cell r="I138">
            <v>1</v>
          </cell>
          <cell r="J138">
            <v>351</v>
          </cell>
          <cell r="K138">
            <v>38</v>
          </cell>
          <cell r="L138">
            <v>306</v>
          </cell>
          <cell r="M138">
            <v>126</v>
          </cell>
        </row>
        <row r="139">
          <cell r="B139">
            <v>100302</v>
          </cell>
          <cell r="E139" t="str">
            <v>拥有雷之能力的魔晶。</v>
          </cell>
          <cell r="F139">
            <v>31</v>
          </cell>
          <cell r="G139">
            <v>549</v>
          </cell>
          <cell r="H139">
            <v>103</v>
          </cell>
          <cell r="I139">
            <v>1</v>
          </cell>
          <cell r="J139">
            <v>351</v>
          </cell>
          <cell r="K139">
            <v>38</v>
          </cell>
          <cell r="L139">
            <v>306</v>
          </cell>
          <cell r="M139">
            <v>126</v>
          </cell>
        </row>
        <row r="140">
          <cell r="B140">
            <v>100402</v>
          </cell>
          <cell r="E140" t="str">
            <v>擅长忍术的强盗，诡计多端。</v>
          </cell>
          <cell r="F140">
            <v>32</v>
          </cell>
          <cell r="G140">
            <v>578</v>
          </cell>
          <cell r="H140">
            <v>107</v>
          </cell>
          <cell r="I140">
            <v>1</v>
          </cell>
          <cell r="J140">
            <v>370</v>
          </cell>
          <cell r="K140">
            <v>40</v>
          </cell>
          <cell r="L140">
            <v>324</v>
          </cell>
          <cell r="M140">
            <v>126</v>
          </cell>
        </row>
        <row r="141">
          <cell r="B141">
            <v>100502</v>
          </cell>
          <cell r="E141" t="str">
            <v>擅长忍术的强盗，诡计多端。</v>
          </cell>
          <cell r="F141">
            <v>33</v>
          </cell>
          <cell r="G141">
            <v>605</v>
          </cell>
          <cell r="H141">
            <v>111</v>
          </cell>
          <cell r="I141">
            <v>1</v>
          </cell>
          <cell r="J141">
            <v>389</v>
          </cell>
          <cell r="K141">
            <v>43</v>
          </cell>
          <cell r="L141">
            <v>342</v>
          </cell>
          <cell r="M141">
            <v>126</v>
          </cell>
        </row>
        <row r="142">
          <cell r="B142">
            <v>110102</v>
          </cell>
          <cell r="E142" t="str">
            <v>身披坚硬的铁甲，一般攻击很难奏效。</v>
          </cell>
          <cell r="F142">
            <v>34</v>
          </cell>
          <cell r="G142">
            <v>1488</v>
          </cell>
          <cell r="H142">
            <v>57</v>
          </cell>
          <cell r="I142">
            <v>1</v>
          </cell>
          <cell r="J142">
            <v>525</v>
          </cell>
          <cell r="K142">
            <v>60</v>
          </cell>
          <cell r="L142">
            <v>164</v>
          </cell>
          <cell r="M142">
            <v>55</v>
          </cell>
        </row>
        <row r="143">
          <cell r="B143">
            <v>110202</v>
          </cell>
          <cell r="E143" t="str">
            <v>四肢发达但智商低下，是恶魔忠实的打手。</v>
          </cell>
          <cell r="F143">
            <v>34</v>
          </cell>
          <cell r="G143">
            <v>1488</v>
          </cell>
          <cell r="H143">
            <v>57</v>
          </cell>
          <cell r="I143">
            <v>1</v>
          </cell>
          <cell r="J143">
            <v>525</v>
          </cell>
          <cell r="K143">
            <v>60</v>
          </cell>
          <cell r="L143">
            <v>164</v>
          </cell>
          <cell r="M143">
            <v>55</v>
          </cell>
        </row>
        <row r="144">
          <cell r="B144">
            <v>110302</v>
          </cell>
          <cell r="E144" t="str">
            <v>身披坚硬的铁甲，一般攻击很难奏效。</v>
          </cell>
          <cell r="F144">
            <v>35</v>
          </cell>
          <cell r="G144">
            <v>1556</v>
          </cell>
          <cell r="H144">
            <v>59</v>
          </cell>
          <cell r="I144">
            <v>1</v>
          </cell>
          <cell r="J144">
            <v>552</v>
          </cell>
          <cell r="K144">
            <v>62</v>
          </cell>
          <cell r="L144">
            <v>172</v>
          </cell>
          <cell r="M144">
            <v>55</v>
          </cell>
        </row>
        <row r="145">
          <cell r="B145">
            <v>110402</v>
          </cell>
          <cell r="E145" t="str">
            <v>坚硬的外表下藏着一颗恶毒的心。</v>
          </cell>
          <cell r="F145">
            <v>36</v>
          </cell>
          <cell r="G145">
            <v>1628</v>
          </cell>
          <cell r="H145">
            <v>62</v>
          </cell>
          <cell r="I145">
            <v>1</v>
          </cell>
          <cell r="J145">
            <v>578</v>
          </cell>
          <cell r="K145">
            <v>64</v>
          </cell>
          <cell r="L145">
            <v>181</v>
          </cell>
          <cell r="M145">
            <v>55</v>
          </cell>
        </row>
        <row r="146">
          <cell r="B146">
            <v>110502</v>
          </cell>
          <cell r="E146" t="str">
            <v>身披坚硬的铁甲，一般攻击很难奏效。</v>
          </cell>
          <cell r="F146">
            <v>36</v>
          </cell>
          <cell r="G146">
            <v>1628</v>
          </cell>
          <cell r="H146">
            <v>62</v>
          </cell>
          <cell r="I146">
            <v>1</v>
          </cell>
          <cell r="J146">
            <v>578</v>
          </cell>
          <cell r="K146">
            <v>64</v>
          </cell>
          <cell r="L146">
            <v>181</v>
          </cell>
          <cell r="M146">
            <v>55</v>
          </cell>
        </row>
        <row r="147">
          <cell r="B147">
            <v>120102</v>
          </cell>
          <cell r="E147" t="str">
            <v>吞噬了光之能量的恶魔。</v>
          </cell>
          <cell r="F147">
            <v>37</v>
          </cell>
          <cell r="G147">
            <v>720</v>
          </cell>
          <cell r="H147">
            <v>129</v>
          </cell>
          <cell r="I147">
            <v>1</v>
          </cell>
          <cell r="J147">
            <v>421</v>
          </cell>
          <cell r="K147">
            <v>51</v>
          </cell>
          <cell r="L147">
            <v>456</v>
          </cell>
          <cell r="M147">
            <v>126</v>
          </cell>
        </row>
        <row r="148">
          <cell r="B148">
            <v>120202</v>
          </cell>
          <cell r="E148" t="str">
            <v>吞噬了光之能量的恶魔。</v>
          </cell>
          <cell r="F148">
            <v>38</v>
          </cell>
          <cell r="G148">
            <v>751</v>
          </cell>
          <cell r="H148">
            <v>134</v>
          </cell>
          <cell r="I148">
            <v>1</v>
          </cell>
          <cell r="J148">
            <v>442</v>
          </cell>
          <cell r="K148">
            <v>53</v>
          </cell>
          <cell r="L148">
            <v>478</v>
          </cell>
          <cell r="M148">
            <v>126</v>
          </cell>
        </row>
        <row r="149">
          <cell r="B149">
            <v>120302</v>
          </cell>
          <cell r="E149" t="str">
            <v>吞噬了光之能量的恶魔。</v>
          </cell>
          <cell r="F149">
            <v>38</v>
          </cell>
          <cell r="G149">
            <v>751</v>
          </cell>
          <cell r="H149">
            <v>134</v>
          </cell>
          <cell r="I149">
            <v>1</v>
          </cell>
          <cell r="J149">
            <v>442</v>
          </cell>
          <cell r="K149">
            <v>53</v>
          </cell>
          <cell r="L149">
            <v>478</v>
          </cell>
          <cell r="M149">
            <v>126</v>
          </cell>
        </row>
        <row r="150">
          <cell r="B150">
            <v>120402</v>
          </cell>
          <cell r="E150" t="str">
            <v>吞噬了光之能量的恶魔。</v>
          </cell>
          <cell r="F150">
            <v>39</v>
          </cell>
          <cell r="G150">
            <v>779</v>
          </cell>
          <cell r="H150">
            <v>139</v>
          </cell>
          <cell r="I150">
            <v>1</v>
          </cell>
          <cell r="J150">
            <v>462</v>
          </cell>
          <cell r="K150">
            <v>55</v>
          </cell>
          <cell r="L150">
            <v>501</v>
          </cell>
          <cell r="M150">
            <v>126</v>
          </cell>
        </row>
        <row r="151">
          <cell r="B151">
            <v>120502</v>
          </cell>
          <cell r="E151" t="str">
            <v>原本是天使忠诚的奴仆，但是被邪恶力量蛊惑了心智。</v>
          </cell>
          <cell r="F151">
            <v>40</v>
          </cell>
          <cell r="G151">
            <v>809</v>
          </cell>
          <cell r="H151">
            <v>144</v>
          </cell>
          <cell r="I151">
            <v>1</v>
          </cell>
          <cell r="J151">
            <v>484</v>
          </cell>
          <cell r="K151">
            <v>57</v>
          </cell>
          <cell r="L151">
            <v>524</v>
          </cell>
          <cell r="M151">
            <v>126</v>
          </cell>
        </row>
        <row r="152">
          <cell r="B152">
            <v>130102</v>
          </cell>
          <cell r="E152" t="str">
            <v>已经死亡的蟒蛇在某种诡异的力量下复活了。</v>
          </cell>
          <cell r="F152">
            <v>41</v>
          </cell>
          <cell r="G152">
            <v>1089</v>
          </cell>
          <cell r="H152">
            <v>149</v>
          </cell>
          <cell r="I152">
            <v>1</v>
          </cell>
          <cell r="J152">
            <v>443</v>
          </cell>
          <cell r="K152">
            <v>53</v>
          </cell>
          <cell r="L152">
            <v>687</v>
          </cell>
          <cell r="M152">
            <v>110</v>
          </cell>
        </row>
        <row r="153">
          <cell r="B153">
            <v>130202</v>
          </cell>
          <cell r="E153" t="str">
            <v>具有强大的攻击能力，千万不要被他的外表蒙蔽。</v>
          </cell>
          <cell r="F153">
            <v>41</v>
          </cell>
          <cell r="G153">
            <v>1980</v>
          </cell>
          <cell r="H153">
            <v>74</v>
          </cell>
          <cell r="I153">
            <v>1</v>
          </cell>
          <cell r="J153">
            <v>727</v>
          </cell>
          <cell r="K153">
            <v>80</v>
          </cell>
          <cell r="L153">
            <v>229</v>
          </cell>
          <cell r="M153">
            <v>55</v>
          </cell>
        </row>
        <row r="154">
          <cell r="B154">
            <v>130302</v>
          </cell>
          <cell r="E154" t="str">
            <v>每一根绒毛都充满了毒液，千万不要被它碰到。</v>
          </cell>
          <cell r="F154">
            <v>42</v>
          </cell>
          <cell r="G154">
            <v>873</v>
          </cell>
          <cell r="H154">
            <v>154</v>
          </cell>
          <cell r="I154">
            <v>1</v>
          </cell>
          <cell r="J154">
            <v>495</v>
          </cell>
          <cell r="K154">
            <v>62</v>
          </cell>
          <cell r="L154">
            <v>597</v>
          </cell>
          <cell r="M154">
            <v>126</v>
          </cell>
        </row>
        <row r="155">
          <cell r="B155">
            <v>130402</v>
          </cell>
          <cell r="E155" t="str">
            <v>身披坚硬的铁甲，一般攻击很难奏效。</v>
          </cell>
          <cell r="F155">
            <v>43</v>
          </cell>
          <cell r="G155">
            <v>2126</v>
          </cell>
          <cell r="H155">
            <v>79</v>
          </cell>
          <cell r="I155">
            <v>1</v>
          </cell>
          <cell r="J155">
            <v>791</v>
          </cell>
          <cell r="K155">
            <v>86</v>
          </cell>
          <cell r="L155">
            <v>249</v>
          </cell>
          <cell r="M155">
            <v>55</v>
          </cell>
        </row>
        <row r="156">
          <cell r="B156">
            <v>130502</v>
          </cell>
          <cell r="E156" t="str">
            <v>恶神阿修罗忠诚的打手。</v>
          </cell>
          <cell r="F156">
            <v>43</v>
          </cell>
          <cell r="G156">
            <v>1169</v>
          </cell>
          <cell r="H156">
            <v>159</v>
          </cell>
          <cell r="I156">
            <v>1</v>
          </cell>
          <cell r="J156">
            <v>481</v>
          </cell>
          <cell r="K156">
            <v>57</v>
          </cell>
          <cell r="L156">
            <v>748</v>
          </cell>
          <cell r="M156">
            <v>110</v>
          </cell>
        </row>
        <row r="157">
          <cell r="B157">
            <v>140102</v>
          </cell>
          <cell r="E157" t="str">
            <v>发了狂的蜘蛛，异常凶残。</v>
          </cell>
          <cell r="F157">
            <v>44</v>
          </cell>
          <cell r="G157">
            <v>935</v>
          </cell>
          <cell r="H157">
            <v>164</v>
          </cell>
          <cell r="I157">
            <v>1</v>
          </cell>
          <cell r="J157">
            <v>717</v>
          </cell>
          <cell r="K157">
            <v>66</v>
          </cell>
          <cell r="L157">
            <v>520</v>
          </cell>
          <cell r="M157">
            <v>126</v>
          </cell>
        </row>
        <row r="158">
          <cell r="B158">
            <v>140202</v>
          </cell>
          <cell r="E158" t="str">
            <v>发了狂的蜘蛛，异常凶残。</v>
          </cell>
          <cell r="F158">
            <v>45</v>
          </cell>
          <cell r="G158">
            <v>967</v>
          </cell>
          <cell r="H158">
            <v>169</v>
          </cell>
          <cell r="I158">
            <v>1</v>
          </cell>
          <cell r="J158">
            <v>747</v>
          </cell>
          <cell r="K158">
            <v>69</v>
          </cell>
          <cell r="L158">
            <v>542</v>
          </cell>
          <cell r="M158">
            <v>126</v>
          </cell>
        </row>
        <row r="159">
          <cell r="B159">
            <v>140302</v>
          </cell>
          <cell r="E159" t="str">
            <v>在黑暗力量的影响下，从远古化石中复活。</v>
          </cell>
          <cell r="F159">
            <v>46</v>
          </cell>
          <cell r="G159">
            <v>999</v>
          </cell>
          <cell r="H159">
            <v>174</v>
          </cell>
          <cell r="I159">
            <v>1</v>
          </cell>
          <cell r="J159">
            <v>582</v>
          </cell>
          <cell r="K159">
            <v>72</v>
          </cell>
          <cell r="L159">
            <v>706</v>
          </cell>
          <cell r="M159">
            <v>126</v>
          </cell>
        </row>
        <row r="160">
          <cell r="B160">
            <v>140402</v>
          </cell>
          <cell r="E160" t="str">
            <v>每一根绒毛都充满了毒液，千万不要被它碰到。</v>
          </cell>
          <cell r="F160">
            <v>46</v>
          </cell>
          <cell r="G160">
            <v>999</v>
          </cell>
          <cell r="H160">
            <v>174</v>
          </cell>
          <cell r="I160">
            <v>1</v>
          </cell>
          <cell r="J160">
            <v>582</v>
          </cell>
          <cell r="K160">
            <v>72</v>
          </cell>
          <cell r="L160">
            <v>706</v>
          </cell>
          <cell r="M160">
            <v>126</v>
          </cell>
        </row>
        <row r="161">
          <cell r="B161">
            <v>140502</v>
          </cell>
          <cell r="E161" t="str">
            <v>因把灵魂出卖给了冥王，获得了永久的生命。</v>
          </cell>
          <cell r="F161">
            <v>47</v>
          </cell>
          <cell r="G161">
            <v>1033</v>
          </cell>
          <cell r="H161">
            <v>179</v>
          </cell>
          <cell r="I161">
            <v>1</v>
          </cell>
          <cell r="J161">
            <v>606</v>
          </cell>
          <cell r="K161">
            <v>73</v>
          </cell>
          <cell r="L161">
            <v>733</v>
          </cell>
          <cell r="M161">
            <v>126</v>
          </cell>
        </row>
        <row r="162">
          <cell r="B162">
            <v>150102</v>
          </cell>
          <cell r="E162" t="str">
            <v>拥有火之能力的魔晶。</v>
          </cell>
          <cell r="F162">
            <v>48</v>
          </cell>
          <cell r="G162">
            <v>1066</v>
          </cell>
          <cell r="H162">
            <v>184</v>
          </cell>
          <cell r="I162">
            <v>1</v>
          </cell>
          <cell r="J162">
            <v>714</v>
          </cell>
          <cell r="K162">
            <v>76</v>
          </cell>
          <cell r="L162">
            <v>702</v>
          </cell>
          <cell r="M162">
            <v>126</v>
          </cell>
        </row>
        <row r="163">
          <cell r="B163">
            <v>150202</v>
          </cell>
          <cell r="E163" t="str">
            <v>拥有火之能力的魔晶。</v>
          </cell>
          <cell r="F163">
            <v>48</v>
          </cell>
          <cell r="G163">
            <v>1066</v>
          </cell>
          <cell r="H163">
            <v>184</v>
          </cell>
          <cell r="I163">
            <v>1</v>
          </cell>
          <cell r="J163">
            <v>714</v>
          </cell>
          <cell r="K163">
            <v>76</v>
          </cell>
          <cell r="L163">
            <v>702</v>
          </cell>
          <cell r="M163">
            <v>126</v>
          </cell>
        </row>
        <row r="164">
          <cell r="B164">
            <v>150302</v>
          </cell>
          <cell r="E164" t="str">
            <v>身形硕大，外边呈赤色，发起怒来震人心魄。</v>
          </cell>
          <cell r="F164">
            <v>49</v>
          </cell>
          <cell r="G164">
            <v>1099</v>
          </cell>
          <cell r="H164">
            <v>189</v>
          </cell>
          <cell r="I164">
            <v>1</v>
          </cell>
          <cell r="J164">
            <v>742</v>
          </cell>
          <cell r="K164">
            <v>79</v>
          </cell>
          <cell r="L164">
            <v>731</v>
          </cell>
          <cell r="M164">
            <v>126</v>
          </cell>
        </row>
        <row r="165">
          <cell r="B165">
            <v>150402</v>
          </cell>
          <cell r="E165" t="str">
            <v>火神在用赤炎烈火熔炼天灵石时，幻化出来的恶魔。</v>
          </cell>
          <cell r="F165">
            <v>50</v>
          </cell>
          <cell r="G165">
            <v>1130</v>
          </cell>
          <cell r="H165">
            <v>194</v>
          </cell>
          <cell r="I165">
            <v>1</v>
          </cell>
          <cell r="J165">
            <v>770</v>
          </cell>
          <cell r="K165">
            <v>81</v>
          </cell>
          <cell r="L165">
            <v>759</v>
          </cell>
          <cell r="M165">
            <v>126</v>
          </cell>
        </row>
        <row r="166">
          <cell r="B166">
            <v>150502</v>
          </cell>
          <cell r="E166" t="str">
            <v>身形硕大，外边呈赤色，发起怒来震人心魄。</v>
          </cell>
          <cell r="F166">
            <v>51</v>
          </cell>
          <cell r="G166">
            <v>1167</v>
          </cell>
          <cell r="H166">
            <v>199</v>
          </cell>
          <cell r="I166">
            <v>1</v>
          </cell>
          <cell r="J166">
            <v>799</v>
          </cell>
          <cell r="K166">
            <v>83</v>
          </cell>
          <cell r="L166">
            <v>787</v>
          </cell>
          <cell r="M166">
            <v>126</v>
          </cell>
        </row>
        <row r="167">
          <cell r="B167">
            <v>160102</v>
          </cell>
          <cell r="E167" t="str">
            <v>原本是天使忠诚的奴仆，但是被邪恶力量蛊惑了心智。</v>
          </cell>
          <cell r="F167">
            <v>51</v>
          </cell>
          <cell r="G167">
            <v>1167</v>
          </cell>
          <cell r="H167">
            <v>199</v>
          </cell>
          <cell r="I167">
            <v>1</v>
          </cell>
          <cell r="J167">
            <v>752</v>
          </cell>
          <cell r="K167">
            <v>83</v>
          </cell>
          <cell r="L167">
            <v>822</v>
          </cell>
          <cell r="M167">
            <v>126</v>
          </cell>
        </row>
        <row r="168">
          <cell r="B168">
            <v>160202</v>
          </cell>
          <cell r="E168" t="str">
            <v>守护光之能量的女护卫，但是被恶魔蒙蔽了眼睛。</v>
          </cell>
          <cell r="F168">
            <v>52</v>
          </cell>
          <cell r="G168">
            <v>1201</v>
          </cell>
          <cell r="H168">
            <v>204</v>
          </cell>
          <cell r="I168">
            <v>1</v>
          </cell>
          <cell r="J168">
            <v>780</v>
          </cell>
          <cell r="K168">
            <v>86</v>
          </cell>
          <cell r="L168">
            <v>853</v>
          </cell>
          <cell r="M168">
            <v>126</v>
          </cell>
        </row>
        <row r="169">
          <cell r="B169">
            <v>160302</v>
          </cell>
          <cell r="E169" t="str">
            <v>吞噬了光之能量的恶魔。</v>
          </cell>
          <cell r="F169">
            <v>53</v>
          </cell>
          <cell r="G169">
            <v>1235</v>
          </cell>
          <cell r="H169">
            <v>209</v>
          </cell>
          <cell r="I169">
            <v>1</v>
          </cell>
          <cell r="J169">
            <v>808</v>
          </cell>
          <cell r="K169">
            <v>89</v>
          </cell>
          <cell r="L169">
            <v>885</v>
          </cell>
          <cell r="M169">
            <v>126</v>
          </cell>
        </row>
        <row r="170">
          <cell r="B170">
            <v>160402</v>
          </cell>
          <cell r="E170" t="str">
            <v>吞噬了光之能量的恶魔。</v>
          </cell>
          <cell r="F170">
            <v>54</v>
          </cell>
          <cell r="G170">
            <v>1269</v>
          </cell>
          <cell r="H170">
            <v>214</v>
          </cell>
          <cell r="I170">
            <v>1</v>
          </cell>
          <cell r="J170">
            <v>837</v>
          </cell>
          <cell r="K170">
            <v>91</v>
          </cell>
          <cell r="L170">
            <v>918</v>
          </cell>
          <cell r="M170">
            <v>126</v>
          </cell>
        </row>
        <row r="171">
          <cell r="B171">
            <v>160502</v>
          </cell>
          <cell r="E171" t="str">
            <v>原本是天使忠诚的奴仆，但是被邪恶力量蛊惑了心智。</v>
          </cell>
          <cell r="F171">
            <v>54</v>
          </cell>
          <cell r="G171">
            <v>1269</v>
          </cell>
          <cell r="H171">
            <v>214</v>
          </cell>
          <cell r="I171">
            <v>1</v>
          </cell>
          <cell r="J171">
            <v>837</v>
          </cell>
          <cell r="K171">
            <v>91</v>
          </cell>
          <cell r="L171">
            <v>918</v>
          </cell>
          <cell r="M171">
            <v>126</v>
          </cell>
        </row>
        <row r="172">
          <cell r="B172">
            <v>170102</v>
          </cell>
          <cell r="E172" t="str">
            <v>拥有水之能力的魔晶。</v>
          </cell>
          <cell r="F172">
            <v>55</v>
          </cell>
          <cell r="G172">
            <v>1303</v>
          </cell>
          <cell r="H172">
            <v>219</v>
          </cell>
          <cell r="I172">
            <v>1</v>
          </cell>
          <cell r="J172">
            <v>974</v>
          </cell>
          <cell r="K172">
            <v>105</v>
          </cell>
          <cell r="L172">
            <v>871</v>
          </cell>
          <cell r="M172">
            <v>126</v>
          </cell>
        </row>
        <row r="173">
          <cell r="B173">
            <v>170202</v>
          </cell>
          <cell r="E173" t="str">
            <v>比一般幽灵更容易愤怒遇见她要小心了。</v>
          </cell>
          <cell r="F173">
            <v>56</v>
          </cell>
          <cell r="G173">
            <v>1337</v>
          </cell>
          <cell r="H173">
            <v>224</v>
          </cell>
          <cell r="I173">
            <v>1</v>
          </cell>
          <cell r="J173">
            <v>1009</v>
          </cell>
          <cell r="K173">
            <v>108</v>
          </cell>
          <cell r="L173">
            <v>902</v>
          </cell>
          <cell r="M173">
            <v>126</v>
          </cell>
        </row>
        <row r="174">
          <cell r="B174">
            <v>170302</v>
          </cell>
          <cell r="E174" t="str">
            <v>地狱魔王用来吞噬犯人尸体的食人鱼。</v>
          </cell>
          <cell r="F174">
            <v>56</v>
          </cell>
          <cell r="G174">
            <v>1888</v>
          </cell>
          <cell r="H174">
            <v>112</v>
          </cell>
          <cell r="I174">
            <v>1</v>
          </cell>
          <cell r="J174">
            <v>897</v>
          </cell>
          <cell r="K174">
            <v>81</v>
          </cell>
          <cell r="L174">
            <v>656</v>
          </cell>
          <cell r="M174">
            <v>110</v>
          </cell>
        </row>
        <row r="175">
          <cell r="B175">
            <v>170402</v>
          </cell>
          <cell r="E175" t="str">
            <v>凶残成性但是智商捉襟见肘。</v>
          </cell>
          <cell r="F175">
            <v>57</v>
          </cell>
          <cell r="G175">
            <v>1941</v>
          </cell>
          <cell r="H175">
            <v>114</v>
          </cell>
          <cell r="I175">
            <v>1</v>
          </cell>
          <cell r="J175">
            <v>928</v>
          </cell>
          <cell r="K175">
            <v>83</v>
          </cell>
          <cell r="L175">
            <v>679</v>
          </cell>
          <cell r="M175">
            <v>110</v>
          </cell>
        </row>
        <row r="176">
          <cell r="B176">
            <v>170502</v>
          </cell>
          <cell r="E176" t="str">
            <v>可以再树木间相互跳跃。</v>
          </cell>
          <cell r="F176">
            <v>58</v>
          </cell>
          <cell r="G176">
            <v>1990</v>
          </cell>
          <cell r="H176">
            <v>117</v>
          </cell>
          <cell r="I176">
            <v>1</v>
          </cell>
          <cell r="J176">
            <v>958</v>
          </cell>
          <cell r="K176">
            <v>85</v>
          </cell>
          <cell r="L176">
            <v>702</v>
          </cell>
          <cell r="M176">
            <v>110</v>
          </cell>
        </row>
        <row r="177">
          <cell r="B177">
            <v>180102</v>
          </cell>
          <cell r="E177" t="str">
            <v>具有强大的攻击能力，千万不要被他的外表蒙蔽。</v>
          </cell>
          <cell r="F177">
            <v>59</v>
          </cell>
          <cell r="G177">
            <v>3394</v>
          </cell>
          <cell r="H177">
            <v>120</v>
          </cell>
          <cell r="I177">
            <v>1</v>
          </cell>
          <cell r="J177">
            <v>1423</v>
          </cell>
          <cell r="K177">
            <v>141</v>
          </cell>
          <cell r="L177">
            <v>454</v>
          </cell>
          <cell r="M177">
            <v>55</v>
          </cell>
        </row>
        <row r="178">
          <cell r="B178">
            <v>180202</v>
          </cell>
          <cell r="E178" t="str">
            <v>发起疯来会破坏周围的一切，还是不要惹他了。</v>
          </cell>
          <cell r="F178">
            <v>59</v>
          </cell>
          <cell r="G178">
            <v>3394</v>
          </cell>
          <cell r="H178">
            <v>120</v>
          </cell>
          <cell r="I178">
            <v>1</v>
          </cell>
          <cell r="J178">
            <v>1423</v>
          </cell>
          <cell r="K178">
            <v>141</v>
          </cell>
          <cell r="L178">
            <v>454</v>
          </cell>
          <cell r="M178">
            <v>55</v>
          </cell>
        </row>
        <row r="179">
          <cell r="B179">
            <v>180302</v>
          </cell>
          <cell r="E179" t="str">
            <v>原本是守护大地的神龙，因贪图强大的力量而走上歧途。</v>
          </cell>
          <cell r="F179">
            <v>60</v>
          </cell>
          <cell r="G179">
            <v>3476</v>
          </cell>
          <cell r="H179">
            <v>123</v>
          </cell>
          <cell r="I179">
            <v>1</v>
          </cell>
          <cell r="J179">
            <v>1472</v>
          </cell>
          <cell r="K179">
            <v>145</v>
          </cell>
          <cell r="L179">
            <v>469</v>
          </cell>
          <cell r="M179">
            <v>55</v>
          </cell>
        </row>
        <row r="180">
          <cell r="B180">
            <v>180402</v>
          </cell>
          <cell r="E180" t="str">
            <v>坚硬的外表下藏着一颗恶毒的心。</v>
          </cell>
          <cell r="F180">
            <v>61</v>
          </cell>
          <cell r="G180">
            <v>3564</v>
          </cell>
          <cell r="H180">
            <v>126</v>
          </cell>
          <cell r="I180">
            <v>1</v>
          </cell>
          <cell r="J180">
            <v>1520</v>
          </cell>
          <cell r="K180">
            <v>148</v>
          </cell>
          <cell r="L180">
            <v>485</v>
          </cell>
          <cell r="M180">
            <v>55</v>
          </cell>
        </row>
        <row r="181">
          <cell r="B181">
            <v>180502</v>
          </cell>
          <cell r="E181" t="str">
            <v>原本是守护大地的神龙，因贪图强大的力量而走上歧途。</v>
          </cell>
          <cell r="F181">
            <v>62</v>
          </cell>
          <cell r="G181">
            <v>3650</v>
          </cell>
          <cell r="H181">
            <v>129</v>
          </cell>
          <cell r="I181">
            <v>1</v>
          </cell>
          <cell r="J181">
            <v>1569</v>
          </cell>
          <cell r="K181">
            <v>152</v>
          </cell>
          <cell r="L181">
            <v>501</v>
          </cell>
          <cell r="M181">
            <v>55</v>
          </cell>
        </row>
        <row r="182">
          <cell r="B182">
            <v>10103</v>
          </cell>
          <cell r="E182" t="str">
            <v>可以再树木间相互跳跃。</v>
          </cell>
          <cell r="F182">
            <v>1</v>
          </cell>
          <cell r="G182">
            <v>40</v>
          </cell>
          <cell r="H182">
            <v>0</v>
          </cell>
          <cell r="I182">
            <v>1</v>
          </cell>
          <cell r="J182">
            <v>20</v>
          </cell>
          <cell r="K182">
            <v>1</v>
          </cell>
          <cell r="L182">
            <v>11</v>
          </cell>
          <cell r="M182">
            <v>2</v>
          </cell>
        </row>
        <row r="183">
          <cell r="B183">
            <v>10203</v>
          </cell>
          <cell r="E183" t="str">
            <v>地狱魔王最喜爱的宠物，非常凶残。</v>
          </cell>
          <cell r="F183">
            <v>1</v>
          </cell>
          <cell r="G183">
            <v>40</v>
          </cell>
          <cell r="H183">
            <v>0</v>
          </cell>
          <cell r="I183">
            <v>1</v>
          </cell>
          <cell r="J183">
            <v>20</v>
          </cell>
          <cell r="K183">
            <v>1</v>
          </cell>
          <cell r="L183">
            <v>11</v>
          </cell>
          <cell r="M183">
            <v>2</v>
          </cell>
        </row>
        <row r="184">
          <cell r="B184">
            <v>10303</v>
          </cell>
          <cell r="E184" t="str">
            <v>他们漂浮在空气中，随时都有可能向你发动攻击。</v>
          </cell>
          <cell r="F184">
            <v>2</v>
          </cell>
          <cell r="G184">
            <v>45</v>
          </cell>
          <cell r="H184">
            <v>5</v>
          </cell>
          <cell r="I184">
            <v>1</v>
          </cell>
          <cell r="J184">
            <v>22</v>
          </cell>
          <cell r="K184">
            <v>2</v>
          </cell>
          <cell r="L184">
            <v>12</v>
          </cell>
          <cell r="M184">
            <v>8</v>
          </cell>
        </row>
        <row r="185">
          <cell r="B185">
            <v>10403</v>
          </cell>
          <cell r="E185" t="str">
            <v>地狱魔王用来吞噬犯人尸体的食人鱼。</v>
          </cell>
          <cell r="F185">
            <v>3</v>
          </cell>
          <cell r="G185">
            <v>56</v>
          </cell>
          <cell r="H185">
            <v>0</v>
          </cell>
          <cell r="I185">
            <v>1</v>
          </cell>
          <cell r="J185">
            <v>25</v>
          </cell>
          <cell r="K185">
            <v>2</v>
          </cell>
          <cell r="L185">
            <v>14</v>
          </cell>
          <cell r="M185">
            <v>14</v>
          </cell>
        </row>
        <row r="186">
          <cell r="B186">
            <v>10503</v>
          </cell>
          <cell r="E186" t="str">
            <v>地狱魔王最喜爱的宠物，非常凶残。</v>
          </cell>
          <cell r="F186">
            <v>3</v>
          </cell>
          <cell r="G186">
            <v>56</v>
          </cell>
          <cell r="H186">
            <v>0</v>
          </cell>
          <cell r="I186">
            <v>1</v>
          </cell>
          <cell r="J186">
            <v>25</v>
          </cell>
          <cell r="K186">
            <v>2</v>
          </cell>
          <cell r="L186">
            <v>14</v>
          </cell>
          <cell r="M186">
            <v>14</v>
          </cell>
        </row>
        <row r="187">
          <cell r="B187">
            <v>20103</v>
          </cell>
          <cell r="E187" t="str">
            <v>斯塞提卡湖中寄居的幽灵。</v>
          </cell>
          <cell r="F187">
            <v>4</v>
          </cell>
          <cell r="G187">
            <v>47</v>
          </cell>
          <cell r="H187">
            <v>14</v>
          </cell>
          <cell r="I187">
            <v>1</v>
          </cell>
          <cell r="J187">
            <v>31</v>
          </cell>
          <cell r="K187">
            <v>4</v>
          </cell>
          <cell r="L187">
            <v>24</v>
          </cell>
          <cell r="M187">
            <v>23</v>
          </cell>
        </row>
        <row r="188">
          <cell r="B188">
            <v>20203</v>
          </cell>
          <cell r="E188" t="str">
            <v>比一般幽灵更容易愤怒遇见她要小心了。</v>
          </cell>
          <cell r="F188">
            <v>4</v>
          </cell>
          <cell r="G188">
            <v>47</v>
          </cell>
          <cell r="H188">
            <v>14</v>
          </cell>
          <cell r="I188">
            <v>1</v>
          </cell>
          <cell r="J188">
            <v>31</v>
          </cell>
          <cell r="K188">
            <v>4</v>
          </cell>
          <cell r="L188">
            <v>24</v>
          </cell>
          <cell r="M188">
            <v>23</v>
          </cell>
        </row>
        <row r="189">
          <cell r="B189">
            <v>20303</v>
          </cell>
          <cell r="E189" t="str">
            <v>守护水之能量的女护卫，但是被恶魔蒙蔽了眼睛。</v>
          </cell>
          <cell r="F189">
            <v>5</v>
          </cell>
          <cell r="G189">
            <v>57</v>
          </cell>
          <cell r="H189">
            <v>16</v>
          </cell>
          <cell r="I189">
            <v>1</v>
          </cell>
          <cell r="J189">
            <v>36</v>
          </cell>
          <cell r="K189">
            <v>4</v>
          </cell>
          <cell r="L189">
            <v>27</v>
          </cell>
          <cell r="M189">
            <v>29</v>
          </cell>
        </row>
        <row r="190">
          <cell r="B190">
            <v>20403</v>
          </cell>
          <cell r="E190" t="str">
            <v>斯塞提卡湖中寄居的幽灵。</v>
          </cell>
          <cell r="F190">
            <v>6</v>
          </cell>
          <cell r="G190">
            <v>65</v>
          </cell>
          <cell r="H190">
            <v>18</v>
          </cell>
          <cell r="I190">
            <v>1</v>
          </cell>
          <cell r="J190">
            <v>42</v>
          </cell>
          <cell r="K190">
            <v>5</v>
          </cell>
          <cell r="L190">
            <v>33</v>
          </cell>
          <cell r="M190">
            <v>36</v>
          </cell>
        </row>
        <row r="191">
          <cell r="B191">
            <v>20503</v>
          </cell>
          <cell r="E191" t="str">
            <v>心地善良但是被恶魔蛊惑的心智。</v>
          </cell>
          <cell r="F191">
            <v>6</v>
          </cell>
          <cell r="G191">
            <v>65</v>
          </cell>
          <cell r="H191">
            <v>18</v>
          </cell>
          <cell r="I191">
            <v>1</v>
          </cell>
          <cell r="J191">
            <v>42</v>
          </cell>
          <cell r="K191">
            <v>5</v>
          </cell>
          <cell r="L191">
            <v>33</v>
          </cell>
          <cell r="M191">
            <v>36</v>
          </cell>
        </row>
        <row r="192">
          <cell r="B192">
            <v>30103</v>
          </cell>
          <cell r="E192" t="str">
            <v>已经死亡的蟒蛇在某种诡异的力量下复活了。</v>
          </cell>
          <cell r="F192">
            <v>7</v>
          </cell>
          <cell r="G192">
            <v>100</v>
          </cell>
          <cell r="H192">
            <v>20</v>
          </cell>
          <cell r="I192">
            <v>1</v>
          </cell>
          <cell r="J192">
            <v>37</v>
          </cell>
          <cell r="K192">
            <v>4</v>
          </cell>
          <cell r="L192">
            <v>51</v>
          </cell>
          <cell r="M192">
            <v>38</v>
          </cell>
        </row>
        <row r="193">
          <cell r="B193">
            <v>30203</v>
          </cell>
          <cell r="E193" t="str">
            <v>大教堂中没有得到超度的灵魂。</v>
          </cell>
          <cell r="F193">
            <v>7</v>
          </cell>
          <cell r="G193">
            <v>100</v>
          </cell>
          <cell r="H193">
            <v>20</v>
          </cell>
          <cell r="I193">
            <v>1</v>
          </cell>
          <cell r="J193">
            <v>37</v>
          </cell>
          <cell r="K193">
            <v>4</v>
          </cell>
          <cell r="L193">
            <v>51</v>
          </cell>
          <cell r="M193">
            <v>38</v>
          </cell>
        </row>
        <row r="194">
          <cell r="B194">
            <v>30303</v>
          </cell>
          <cell r="E194" t="str">
            <v>恶神阿修罗忠诚的打手。</v>
          </cell>
          <cell r="F194">
            <v>8</v>
          </cell>
          <cell r="G194">
            <v>114</v>
          </cell>
          <cell r="H194">
            <v>22</v>
          </cell>
          <cell r="I194">
            <v>1</v>
          </cell>
          <cell r="J194">
            <v>42</v>
          </cell>
          <cell r="K194">
            <v>5</v>
          </cell>
          <cell r="L194">
            <v>60</v>
          </cell>
          <cell r="M194">
            <v>44</v>
          </cell>
        </row>
        <row r="195">
          <cell r="B195">
            <v>30403</v>
          </cell>
          <cell r="E195" t="str">
            <v>恶神阿修罗忠诚的打手。</v>
          </cell>
          <cell r="F195">
            <v>9</v>
          </cell>
          <cell r="G195">
            <v>128</v>
          </cell>
          <cell r="H195">
            <v>25</v>
          </cell>
          <cell r="I195">
            <v>1</v>
          </cell>
          <cell r="J195">
            <v>47</v>
          </cell>
          <cell r="K195">
            <v>6</v>
          </cell>
          <cell r="L195">
            <v>67</v>
          </cell>
          <cell r="M195">
            <v>50</v>
          </cell>
        </row>
        <row r="196">
          <cell r="B196">
            <v>30503</v>
          </cell>
          <cell r="E196" t="str">
            <v>腐朽的泥土中产生的怪物。</v>
          </cell>
          <cell r="F196">
            <v>9</v>
          </cell>
          <cell r="G196">
            <v>128</v>
          </cell>
          <cell r="H196">
            <v>25</v>
          </cell>
          <cell r="I196">
            <v>1</v>
          </cell>
          <cell r="J196">
            <v>47</v>
          </cell>
          <cell r="K196">
            <v>6</v>
          </cell>
          <cell r="L196">
            <v>67</v>
          </cell>
          <cell r="M196">
            <v>50</v>
          </cell>
        </row>
        <row r="197">
          <cell r="B197">
            <v>40103</v>
          </cell>
          <cell r="E197" t="str">
            <v>鳗鱼的变异体凶残异常。</v>
          </cell>
          <cell r="F197">
            <v>10</v>
          </cell>
          <cell r="G197">
            <v>175</v>
          </cell>
          <cell r="H197">
            <v>14</v>
          </cell>
          <cell r="I197">
            <v>1</v>
          </cell>
          <cell r="J197">
            <v>115</v>
          </cell>
          <cell r="K197">
            <v>7</v>
          </cell>
          <cell r="L197">
            <v>51</v>
          </cell>
          <cell r="M197">
            <v>56</v>
          </cell>
        </row>
        <row r="198">
          <cell r="B198">
            <v>40203</v>
          </cell>
          <cell r="E198" t="str">
            <v>在邪恶力量驱使下从远古化石中转生。</v>
          </cell>
          <cell r="F198">
            <v>11</v>
          </cell>
          <cell r="G198">
            <v>197</v>
          </cell>
          <cell r="H198">
            <v>15</v>
          </cell>
          <cell r="I198">
            <v>1</v>
          </cell>
          <cell r="J198">
            <v>127</v>
          </cell>
          <cell r="K198">
            <v>8</v>
          </cell>
          <cell r="L198">
            <v>57</v>
          </cell>
          <cell r="M198">
            <v>62</v>
          </cell>
        </row>
        <row r="199">
          <cell r="B199">
            <v>40303</v>
          </cell>
          <cell r="E199" t="str">
            <v>在邪恶力量驱使下从远古化石中转生。</v>
          </cell>
          <cell r="F199">
            <v>11</v>
          </cell>
          <cell r="G199">
            <v>197</v>
          </cell>
          <cell r="H199">
            <v>15</v>
          </cell>
          <cell r="I199">
            <v>1</v>
          </cell>
          <cell r="J199">
            <v>127</v>
          </cell>
          <cell r="K199">
            <v>8</v>
          </cell>
          <cell r="L199">
            <v>57</v>
          </cell>
          <cell r="M199">
            <v>62</v>
          </cell>
        </row>
        <row r="200">
          <cell r="B200">
            <v>40403</v>
          </cell>
          <cell r="E200" t="str">
            <v>在邪恶力量驱使下从远古化石中转生。</v>
          </cell>
          <cell r="F200">
            <v>12</v>
          </cell>
          <cell r="G200">
            <v>218</v>
          </cell>
          <cell r="H200">
            <v>17</v>
          </cell>
          <cell r="I200">
            <v>1</v>
          </cell>
          <cell r="J200">
            <v>142</v>
          </cell>
          <cell r="K200">
            <v>8</v>
          </cell>
          <cell r="L200">
            <v>64</v>
          </cell>
          <cell r="M200">
            <v>68</v>
          </cell>
        </row>
        <row r="201">
          <cell r="B201">
            <v>40503</v>
          </cell>
          <cell r="E201" t="str">
            <v>鳗鱼的变异体凶残异常。</v>
          </cell>
          <cell r="F201">
            <v>13</v>
          </cell>
          <cell r="G201">
            <v>244</v>
          </cell>
          <cell r="H201">
            <v>18</v>
          </cell>
          <cell r="I201">
            <v>1</v>
          </cell>
          <cell r="J201">
            <v>157</v>
          </cell>
          <cell r="K201">
            <v>9</v>
          </cell>
          <cell r="L201">
            <v>72</v>
          </cell>
          <cell r="M201">
            <v>74</v>
          </cell>
        </row>
        <row r="202">
          <cell r="B202">
            <v>50103</v>
          </cell>
          <cell r="E202" t="str">
            <v>四肢发达但智商低下，是恶魔忠实的打手。</v>
          </cell>
          <cell r="F202">
            <v>13</v>
          </cell>
          <cell r="G202">
            <v>376</v>
          </cell>
          <cell r="H202">
            <v>18</v>
          </cell>
          <cell r="I202">
            <v>1</v>
          </cell>
          <cell r="J202">
            <v>120</v>
          </cell>
          <cell r="K202">
            <v>14</v>
          </cell>
          <cell r="L202">
            <v>36</v>
          </cell>
          <cell r="M202">
            <v>37</v>
          </cell>
        </row>
        <row r="203">
          <cell r="B203">
            <v>50203</v>
          </cell>
          <cell r="E203" t="str">
            <v>坚硬的外表下藏着一颗恶毒的心。</v>
          </cell>
          <cell r="F203">
            <v>14</v>
          </cell>
          <cell r="G203">
            <v>412</v>
          </cell>
          <cell r="H203">
            <v>20</v>
          </cell>
          <cell r="I203">
            <v>1</v>
          </cell>
          <cell r="J203">
            <v>134</v>
          </cell>
          <cell r="K203">
            <v>16</v>
          </cell>
          <cell r="L203">
            <v>40</v>
          </cell>
          <cell r="M203">
            <v>40</v>
          </cell>
        </row>
        <row r="204">
          <cell r="B204">
            <v>50303</v>
          </cell>
          <cell r="E204" t="str">
            <v>身披坚硬的铁甲，一般攻击很难奏效。</v>
          </cell>
          <cell r="F204">
            <v>14</v>
          </cell>
          <cell r="G204">
            <v>412</v>
          </cell>
          <cell r="H204">
            <v>20</v>
          </cell>
          <cell r="I204">
            <v>1</v>
          </cell>
          <cell r="J204">
            <v>134</v>
          </cell>
          <cell r="K204">
            <v>16</v>
          </cell>
          <cell r="L204">
            <v>40</v>
          </cell>
          <cell r="M204">
            <v>40</v>
          </cell>
        </row>
        <row r="205">
          <cell r="B205">
            <v>50403</v>
          </cell>
          <cell r="E205" t="str">
            <v>发起疯来会破坏周围的一切，还是不要惹他了。</v>
          </cell>
          <cell r="F205">
            <v>15</v>
          </cell>
          <cell r="G205">
            <v>452</v>
          </cell>
          <cell r="H205">
            <v>21</v>
          </cell>
          <cell r="I205">
            <v>1</v>
          </cell>
          <cell r="J205">
            <v>146</v>
          </cell>
          <cell r="K205">
            <v>18</v>
          </cell>
          <cell r="L205">
            <v>43</v>
          </cell>
          <cell r="M205">
            <v>43</v>
          </cell>
        </row>
        <row r="206">
          <cell r="B206">
            <v>50503</v>
          </cell>
          <cell r="E206" t="str">
            <v>坚硬的外表下藏着一颗恶毒的心。</v>
          </cell>
          <cell r="F206">
            <v>16</v>
          </cell>
          <cell r="G206">
            <v>494</v>
          </cell>
          <cell r="H206">
            <v>23</v>
          </cell>
          <cell r="I206">
            <v>1</v>
          </cell>
          <cell r="J206">
            <v>161</v>
          </cell>
          <cell r="K206">
            <v>19</v>
          </cell>
          <cell r="L206">
            <v>48</v>
          </cell>
          <cell r="M206">
            <v>46</v>
          </cell>
        </row>
        <row r="207">
          <cell r="B207">
            <v>60103</v>
          </cell>
          <cell r="E207" t="str">
            <v>守护水之能量的女护卫，但是被恶魔蒙蔽了眼睛。</v>
          </cell>
          <cell r="F207">
            <v>16</v>
          </cell>
          <cell r="G207">
            <v>209</v>
          </cell>
          <cell r="H207">
            <v>46</v>
          </cell>
          <cell r="I207">
            <v>1</v>
          </cell>
          <cell r="J207">
            <v>126</v>
          </cell>
          <cell r="K207">
            <v>16</v>
          </cell>
          <cell r="L207">
            <v>106</v>
          </cell>
          <cell r="M207">
            <v>105</v>
          </cell>
        </row>
        <row r="208">
          <cell r="B208">
            <v>60203</v>
          </cell>
          <cell r="E208" t="str">
            <v>守护水之能量的女护卫，但是被恶魔蒙蔽了眼睛。</v>
          </cell>
          <cell r="F208">
            <v>17</v>
          </cell>
          <cell r="G208">
            <v>228</v>
          </cell>
          <cell r="H208">
            <v>49</v>
          </cell>
          <cell r="I208">
            <v>1</v>
          </cell>
          <cell r="J208">
            <v>136</v>
          </cell>
          <cell r="K208">
            <v>18</v>
          </cell>
          <cell r="L208">
            <v>116</v>
          </cell>
          <cell r="M208">
            <v>112</v>
          </cell>
        </row>
        <row r="209">
          <cell r="B209">
            <v>60303</v>
          </cell>
          <cell r="E209" t="str">
            <v>心地善良但是被恶魔蛊惑的心智。</v>
          </cell>
          <cell r="F209">
            <v>18</v>
          </cell>
          <cell r="G209">
            <v>248</v>
          </cell>
          <cell r="H209">
            <v>52</v>
          </cell>
          <cell r="I209">
            <v>1</v>
          </cell>
          <cell r="J209">
            <v>148</v>
          </cell>
          <cell r="K209">
            <v>19</v>
          </cell>
          <cell r="L209">
            <v>126</v>
          </cell>
          <cell r="M209">
            <v>119</v>
          </cell>
        </row>
        <row r="210">
          <cell r="B210">
            <v>60403</v>
          </cell>
          <cell r="E210" t="str">
            <v>斯塞提卡湖中寄居的幽灵。</v>
          </cell>
          <cell r="F210">
            <v>18</v>
          </cell>
          <cell r="G210">
            <v>248</v>
          </cell>
          <cell r="H210">
            <v>52</v>
          </cell>
          <cell r="I210">
            <v>1</v>
          </cell>
          <cell r="J210">
            <v>148</v>
          </cell>
          <cell r="K210">
            <v>19</v>
          </cell>
          <cell r="L210">
            <v>126</v>
          </cell>
          <cell r="M210">
            <v>119</v>
          </cell>
        </row>
        <row r="211">
          <cell r="B211">
            <v>60503</v>
          </cell>
          <cell r="E211" t="str">
            <v>斯塞提卡湖中寄居的幽灵。</v>
          </cell>
          <cell r="F211">
            <v>19</v>
          </cell>
          <cell r="G211">
            <v>266</v>
          </cell>
          <cell r="H211">
            <v>55</v>
          </cell>
          <cell r="I211">
            <v>1</v>
          </cell>
          <cell r="J211">
            <v>160</v>
          </cell>
          <cell r="K211">
            <v>21</v>
          </cell>
          <cell r="L211">
            <v>137</v>
          </cell>
          <cell r="M211">
            <v>126</v>
          </cell>
        </row>
        <row r="212">
          <cell r="B212">
            <v>70103</v>
          </cell>
          <cell r="E212" t="str">
            <v>拥有火之能力的魔晶。</v>
          </cell>
          <cell r="F212">
            <v>20</v>
          </cell>
          <cell r="G212">
            <v>289</v>
          </cell>
          <cell r="H212">
            <v>59</v>
          </cell>
          <cell r="I212">
            <v>1</v>
          </cell>
          <cell r="J212">
            <v>164</v>
          </cell>
          <cell r="K212">
            <v>19</v>
          </cell>
          <cell r="L212">
            <v>155</v>
          </cell>
          <cell r="M212">
            <v>126</v>
          </cell>
        </row>
        <row r="213">
          <cell r="B213">
            <v>70203</v>
          </cell>
          <cell r="E213" t="str">
            <v>身形硕大，外边呈赤色，发起怒来震人心魄。</v>
          </cell>
          <cell r="F213">
            <v>20</v>
          </cell>
          <cell r="G213">
            <v>289</v>
          </cell>
          <cell r="H213">
            <v>59</v>
          </cell>
          <cell r="I213">
            <v>1</v>
          </cell>
          <cell r="J213">
            <v>164</v>
          </cell>
          <cell r="K213">
            <v>19</v>
          </cell>
          <cell r="L213">
            <v>155</v>
          </cell>
          <cell r="M213">
            <v>126</v>
          </cell>
        </row>
        <row r="214">
          <cell r="B214">
            <v>70303</v>
          </cell>
          <cell r="E214" t="str">
            <v>拥有火之能力的魔晶。</v>
          </cell>
          <cell r="F214">
            <v>21</v>
          </cell>
          <cell r="G214">
            <v>310</v>
          </cell>
          <cell r="H214">
            <v>63</v>
          </cell>
          <cell r="I214">
            <v>1</v>
          </cell>
          <cell r="J214">
            <v>176</v>
          </cell>
          <cell r="K214">
            <v>21</v>
          </cell>
          <cell r="L214">
            <v>167</v>
          </cell>
          <cell r="M214">
            <v>126</v>
          </cell>
        </row>
        <row r="215">
          <cell r="B215">
            <v>70403</v>
          </cell>
          <cell r="E215" t="str">
            <v>身形硕大，外边呈赤色，发起怒来震人心魄。</v>
          </cell>
          <cell r="F215">
            <v>22</v>
          </cell>
          <cell r="G215">
            <v>331</v>
          </cell>
          <cell r="H215">
            <v>67</v>
          </cell>
          <cell r="I215">
            <v>1</v>
          </cell>
          <cell r="J215">
            <v>191</v>
          </cell>
          <cell r="K215">
            <v>23</v>
          </cell>
          <cell r="L215">
            <v>181</v>
          </cell>
          <cell r="M215">
            <v>126</v>
          </cell>
        </row>
        <row r="216">
          <cell r="B216">
            <v>70503</v>
          </cell>
          <cell r="E216" t="str">
            <v>火神在用赤炎烈火熔炼天灵石时，幻化出来的恶魔。</v>
          </cell>
          <cell r="F216">
            <v>23</v>
          </cell>
          <cell r="G216">
            <v>351</v>
          </cell>
          <cell r="H216">
            <v>71</v>
          </cell>
          <cell r="I216">
            <v>1</v>
          </cell>
          <cell r="J216">
            <v>204</v>
          </cell>
          <cell r="K216">
            <v>25</v>
          </cell>
          <cell r="L216">
            <v>195</v>
          </cell>
          <cell r="M216">
            <v>126</v>
          </cell>
        </row>
        <row r="217">
          <cell r="B217">
            <v>80103</v>
          </cell>
          <cell r="E217" t="str">
            <v>身形硕大，外边青赤色，发起怒来震人心魄。</v>
          </cell>
          <cell r="F217">
            <v>23</v>
          </cell>
          <cell r="G217">
            <v>495</v>
          </cell>
          <cell r="H217">
            <v>56</v>
          </cell>
          <cell r="I217">
            <v>1</v>
          </cell>
          <cell r="J217">
            <v>288</v>
          </cell>
          <cell r="K217">
            <v>22</v>
          </cell>
          <cell r="L217">
            <v>204</v>
          </cell>
          <cell r="M217">
            <v>110</v>
          </cell>
        </row>
        <row r="218">
          <cell r="B218">
            <v>80203</v>
          </cell>
          <cell r="E218" t="str">
            <v>身形硕大，外边青赤色，发起怒来震人心魄。</v>
          </cell>
          <cell r="F218">
            <v>24</v>
          </cell>
          <cell r="G218">
            <v>531</v>
          </cell>
          <cell r="H218">
            <v>60</v>
          </cell>
          <cell r="I218">
            <v>1</v>
          </cell>
          <cell r="J218">
            <v>308</v>
          </cell>
          <cell r="K218">
            <v>23</v>
          </cell>
          <cell r="L218">
            <v>218</v>
          </cell>
          <cell r="M218">
            <v>110</v>
          </cell>
        </row>
        <row r="219">
          <cell r="B219">
            <v>80303</v>
          </cell>
          <cell r="E219" t="str">
            <v>身形硕大，外边青赤色，发起怒来震人心魄。</v>
          </cell>
          <cell r="F219">
            <v>25</v>
          </cell>
          <cell r="G219">
            <v>565</v>
          </cell>
          <cell r="H219">
            <v>63</v>
          </cell>
          <cell r="I219">
            <v>1</v>
          </cell>
          <cell r="J219">
            <v>330</v>
          </cell>
          <cell r="K219">
            <v>24</v>
          </cell>
          <cell r="L219">
            <v>234</v>
          </cell>
          <cell r="M219">
            <v>110</v>
          </cell>
        </row>
        <row r="220">
          <cell r="B220">
            <v>80403</v>
          </cell>
          <cell r="E220" t="str">
            <v>身形硕大，外边青赤色，发起怒来震人心魄。</v>
          </cell>
          <cell r="F220">
            <v>25</v>
          </cell>
          <cell r="G220">
            <v>565</v>
          </cell>
          <cell r="H220">
            <v>63</v>
          </cell>
          <cell r="I220">
            <v>1</v>
          </cell>
          <cell r="J220">
            <v>330</v>
          </cell>
          <cell r="K220">
            <v>24</v>
          </cell>
          <cell r="L220">
            <v>234</v>
          </cell>
          <cell r="M220">
            <v>110</v>
          </cell>
        </row>
        <row r="221">
          <cell r="B221">
            <v>80503</v>
          </cell>
          <cell r="E221" t="str">
            <v>身形硕大，外边青赤色，发起怒来震人心魄。</v>
          </cell>
          <cell r="F221">
            <v>26</v>
          </cell>
          <cell r="G221">
            <v>596</v>
          </cell>
          <cell r="H221">
            <v>66</v>
          </cell>
          <cell r="I221">
            <v>1</v>
          </cell>
          <cell r="J221">
            <v>351</v>
          </cell>
          <cell r="K221">
            <v>26</v>
          </cell>
          <cell r="L221">
            <v>249</v>
          </cell>
          <cell r="M221">
            <v>110</v>
          </cell>
        </row>
        <row r="222">
          <cell r="B222">
            <v>90103</v>
          </cell>
          <cell r="E222" t="str">
            <v>在黑暗力量的影响下，从远古化石中复活。</v>
          </cell>
          <cell r="F222">
            <v>27</v>
          </cell>
          <cell r="G222">
            <v>447</v>
          </cell>
          <cell r="H222">
            <v>87</v>
          </cell>
          <cell r="I222">
            <v>1</v>
          </cell>
          <cell r="J222">
            <v>234</v>
          </cell>
          <cell r="K222">
            <v>31</v>
          </cell>
          <cell r="L222">
            <v>276</v>
          </cell>
          <cell r="M222">
            <v>126</v>
          </cell>
        </row>
        <row r="223">
          <cell r="B223">
            <v>90203</v>
          </cell>
          <cell r="E223" t="str">
            <v>每一根绒毛都充满了毒液，千万不要被它碰到。</v>
          </cell>
          <cell r="F223">
            <v>27</v>
          </cell>
          <cell r="G223">
            <v>447</v>
          </cell>
          <cell r="H223">
            <v>87</v>
          </cell>
          <cell r="I223">
            <v>1</v>
          </cell>
          <cell r="J223">
            <v>234</v>
          </cell>
          <cell r="K223">
            <v>31</v>
          </cell>
          <cell r="L223">
            <v>276</v>
          </cell>
          <cell r="M223">
            <v>126</v>
          </cell>
        </row>
        <row r="224">
          <cell r="B224">
            <v>90303</v>
          </cell>
          <cell r="E224" t="str">
            <v>每一根绒毛都充满了毒液，千万不要被它碰到。</v>
          </cell>
          <cell r="F224">
            <v>28</v>
          </cell>
          <cell r="G224">
            <v>471</v>
          </cell>
          <cell r="H224">
            <v>91</v>
          </cell>
          <cell r="I224">
            <v>1</v>
          </cell>
          <cell r="J224">
            <v>247</v>
          </cell>
          <cell r="K224">
            <v>33</v>
          </cell>
          <cell r="L224">
            <v>293</v>
          </cell>
          <cell r="M224">
            <v>126</v>
          </cell>
        </row>
        <row r="225">
          <cell r="B225">
            <v>90403</v>
          </cell>
          <cell r="E225" t="str">
            <v>每一根绒毛都充满了毒液，千万不要被它碰到。</v>
          </cell>
          <cell r="F225">
            <v>29</v>
          </cell>
          <cell r="G225">
            <v>498</v>
          </cell>
          <cell r="H225">
            <v>95</v>
          </cell>
          <cell r="I225">
            <v>1</v>
          </cell>
          <cell r="J225">
            <v>262</v>
          </cell>
          <cell r="K225">
            <v>35</v>
          </cell>
          <cell r="L225">
            <v>311</v>
          </cell>
          <cell r="M225">
            <v>126</v>
          </cell>
        </row>
        <row r="226">
          <cell r="B226">
            <v>90503</v>
          </cell>
          <cell r="E226" t="str">
            <v>被赋予恶魔力量的凶残强盗。</v>
          </cell>
          <cell r="F226">
            <v>29</v>
          </cell>
          <cell r="G226">
            <v>498</v>
          </cell>
          <cell r="H226">
            <v>95</v>
          </cell>
          <cell r="I226">
            <v>1</v>
          </cell>
          <cell r="J226">
            <v>262</v>
          </cell>
          <cell r="K226">
            <v>35</v>
          </cell>
          <cell r="L226">
            <v>311</v>
          </cell>
          <cell r="M226">
            <v>126</v>
          </cell>
        </row>
        <row r="227">
          <cell r="B227">
            <v>100103</v>
          </cell>
          <cell r="E227" t="str">
            <v>拥有雷之力量的凶残盗贼。</v>
          </cell>
          <cell r="F227">
            <v>30</v>
          </cell>
          <cell r="G227">
            <v>524</v>
          </cell>
          <cell r="H227">
            <v>99</v>
          </cell>
          <cell r="I227">
            <v>1</v>
          </cell>
          <cell r="J227">
            <v>333</v>
          </cell>
          <cell r="K227">
            <v>36</v>
          </cell>
          <cell r="L227">
            <v>290</v>
          </cell>
          <cell r="M227">
            <v>126</v>
          </cell>
        </row>
        <row r="228">
          <cell r="B228">
            <v>100203</v>
          </cell>
          <cell r="E228" t="str">
            <v>拥有雷之能力的魔晶。</v>
          </cell>
          <cell r="F228">
            <v>31</v>
          </cell>
          <cell r="G228">
            <v>549</v>
          </cell>
          <cell r="H228">
            <v>103</v>
          </cell>
          <cell r="I228">
            <v>1</v>
          </cell>
          <cell r="J228">
            <v>351</v>
          </cell>
          <cell r="K228">
            <v>38</v>
          </cell>
          <cell r="L228">
            <v>306</v>
          </cell>
          <cell r="M228">
            <v>126</v>
          </cell>
        </row>
        <row r="229">
          <cell r="B229">
            <v>100303</v>
          </cell>
          <cell r="E229" t="str">
            <v>拥有雷之能力的魔晶。</v>
          </cell>
          <cell r="F229">
            <v>31</v>
          </cell>
          <cell r="G229">
            <v>549</v>
          </cell>
          <cell r="H229">
            <v>103</v>
          </cell>
          <cell r="I229">
            <v>1</v>
          </cell>
          <cell r="J229">
            <v>351</v>
          </cell>
          <cell r="K229">
            <v>38</v>
          </cell>
          <cell r="L229">
            <v>306</v>
          </cell>
          <cell r="M229">
            <v>126</v>
          </cell>
        </row>
        <row r="230">
          <cell r="B230">
            <v>100403</v>
          </cell>
          <cell r="E230" t="str">
            <v>擅长忍术的强盗，诡计多端。</v>
          </cell>
          <cell r="F230">
            <v>32</v>
          </cell>
          <cell r="G230">
            <v>578</v>
          </cell>
          <cell r="H230">
            <v>107</v>
          </cell>
          <cell r="I230">
            <v>1</v>
          </cell>
          <cell r="J230">
            <v>370</v>
          </cell>
          <cell r="K230">
            <v>40</v>
          </cell>
          <cell r="L230">
            <v>324</v>
          </cell>
          <cell r="M230">
            <v>126</v>
          </cell>
        </row>
        <row r="231">
          <cell r="B231">
            <v>100503</v>
          </cell>
          <cell r="E231" t="str">
            <v>擅长忍术的强盗，诡计多端。</v>
          </cell>
          <cell r="F231">
            <v>33</v>
          </cell>
          <cell r="G231">
            <v>605</v>
          </cell>
          <cell r="H231">
            <v>111</v>
          </cell>
          <cell r="I231">
            <v>1</v>
          </cell>
          <cell r="J231">
            <v>389</v>
          </cell>
          <cell r="K231">
            <v>43</v>
          </cell>
          <cell r="L231">
            <v>342</v>
          </cell>
          <cell r="M231">
            <v>126</v>
          </cell>
        </row>
        <row r="232">
          <cell r="B232">
            <v>110103</v>
          </cell>
          <cell r="E232" t="str">
            <v>四肢发达但智商低下，是恶魔忠实的打手。</v>
          </cell>
          <cell r="F232">
            <v>34</v>
          </cell>
          <cell r="G232">
            <v>1488</v>
          </cell>
          <cell r="H232">
            <v>57</v>
          </cell>
          <cell r="I232">
            <v>1</v>
          </cell>
          <cell r="J232">
            <v>525</v>
          </cell>
          <cell r="K232">
            <v>60</v>
          </cell>
          <cell r="L232">
            <v>164</v>
          </cell>
          <cell r="M232">
            <v>55</v>
          </cell>
        </row>
        <row r="233">
          <cell r="B233">
            <v>110203</v>
          </cell>
          <cell r="E233" t="str">
            <v>坚硬的外表下藏着一颗恶毒的心。</v>
          </cell>
          <cell r="F233">
            <v>34</v>
          </cell>
          <cell r="G233">
            <v>1488</v>
          </cell>
          <cell r="H233">
            <v>57</v>
          </cell>
          <cell r="I233">
            <v>1</v>
          </cell>
          <cell r="J233">
            <v>525</v>
          </cell>
          <cell r="K233">
            <v>60</v>
          </cell>
          <cell r="L233">
            <v>164</v>
          </cell>
          <cell r="M233">
            <v>55</v>
          </cell>
        </row>
        <row r="234">
          <cell r="B234">
            <v>110303</v>
          </cell>
          <cell r="E234" t="str">
            <v>具有强大的攻击能力，千万不要被他的外表蒙蔽。</v>
          </cell>
          <cell r="F234">
            <v>35</v>
          </cell>
          <cell r="G234">
            <v>1556</v>
          </cell>
          <cell r="H234">
            <v>59</v>
          </cell>
          <cell r="I234">
            <v>1</v>
          </cell>
          <cell r="J234">
            <v>552</v>
          </cell>
          <cell r="K234">
            <v>62</v>
          </cell>
          <cell r="L234">
            <v>172</v>
          </cell>
          <cell r="M234">
            <v>55</v>
          </cell>
        </row>
        <row r="235">
          <cell r="B235">
            <v>110403</v>
          </cell>
          <cell r="E235" t="str">
            <v>坚硬的外表下藏着一颗恶毒的心。</v>
          </cell>
          <cell r="F235">
            <v>36</v>
          </cell>
          <cell r="G235">
            <v>1628</v>
          </cell>
          <cell r="H235">
            <v>62</v>
          </cell>
          <cell r="I235">
            <v>1</v>
          </cell>
          <cell r="J235">
            <v>578</v>
          </cell>
          <cell r="K235">
            <v>64</v>
          </cell>
          <cell r="L235">
            <v>181</v>
          </cell>
          <cell r="M235">
            <v>55</v>
          </cell>
        </row>
        <row r="236">
          <cell r="B236">
            <v>110503</v>
          </cell>
          <cell r="E236" t="str">
            <v>具有强大的攻击能力，千万不要被他的外表蒙蔽。</v>
          </cell>
          <cell r="F236">
            <v>36</v>
          </cell>
          <cell r="G236">
            <v>1628</v>
          </cell>
          <cell r="H236">
            <v>62</v>
          </cell>
          <cell r="I236">
            <v>1</v>
          </cell>
          <cell r="J236">
            <v>578</v>
          </cell>
          <cell r="K236">
            <v>64</v>
          </cell>
          <cell r="L236">
            <v>181</v>
          </cell>
          <cell r="M236">
            <v>55</v>
          </cell>
        </row>
        <row r="237">
          <cell r="B237">
            <v>120103</v>
          </cell>
          <cell r="E237" t="str">
            <v>吞噬了光之能量的恶魔。</v>
          </cell>
          <cell r="F237">
            <v>37</v>
          </cell>
          <cell r="G237">
            <v>720</v>
          </cell>
          <cell r="H237">
            <v>129</v>
          </cell>
          <cell r="I237">
            <v>1</v>
          </cell>
          <cell r="J237">
            <v>421</v>
          </cell>
          <cell r="K237">
            <v>51</v>
          </cell>
          <cell r="L237">
            <v>456</v>
          </cell>
          <cell r="M237">
            <v>126</v>
          </cell>
        </row>
        <row r="238">
          <cell r="B238">
            <v>120203</v>
          </cell>
          <cell r="E238" t="str">
            <v>守护光之能量的女护卫，但是被恶魔蒙蔽了眼睛。</v>
          </cell>
          <cell r="F238">
            <v>38</v>
          </cell>
          <cell r="G238">
            <v>751</v>
          </cell>
          <cell r="H238">
            <v>134</v>
          </cell>
          <cell r="I238">
            <v>1</v>
          </cell>
          <cell r="J238">
            <v>442</v>
          </cell>
          <cell r="K238">
            <v>53</v>
          </cell>
          <cell r="L238">
            <v>478</v>
          </cell>
          <cell r="M238">
            <v>126</v>
          </cell>
        </row>
        <row r="239">
          <cell r="B239">
            <v>120303</v>
          </cell>
          <cell r="E239" t="str">
            <v>原本是天使忠诚的奴仆，但是被邪恶力量蛊惑了心智。</v>
          </cell>
          <cell r="F239">
            <v>38</v>
          </cell>
          <cell r="G239">
            <v>751</v>
          </cell>
          <cell r="H239">
            <v>134</v>
          </cell>
          <cell r="I239">
            <v>1</v>
          </cell>
          <cell r="J239">
            <v>442</v>
          </cell>
          <cell r="K239">
            <v>53</v>
          </cell>
          <cell r="L239">
            <v>478</v>
          </cell>
          <cell r="M239">
            <v>126</v>
          </cell>
        </row>
        <row r="240">
          <cell r="B240">
            <v>120403</v>
          </cell>
          <cell r="E240" t="str">
            <v>原本是天使忠诚的奴仆，但是被邪恶力量蛊惑了心智。</v>
          </cell>
          <cell r="F240">
            <v>39</v>
          </cell>
          <cell r="G240">
            <v>779</v>
          </cell>
          <cell r="H240">
            <v>139</v>
          </cell>
          <cell r="I240">
            <v>1</v>
          </cell>
          <cell r="J240">
            <v>462</v>
          </cell>
          <cell r="K240">
            <v>55</v>
          </cell>
          <cell r="L240">
            <v>501</v>
          </cell>
          <cell r="M240">
            <v>126</v>
          </cell>
        </row>
        <row r="241">
          <cell r="B241">
            <v>120503</v>
          </cell>
          <cell r="E241" t="str">
            <v>拥有光之能力的魔晶。</v>
          </cell>
          <cell r="F241">
            <v>40</v>
          </cell>
          <cell r="G241">
            <v>809</v>
          </cell>
          <cell r="H241">
            <v>144</v>
          </cell>
          <cell r="I241">
            <v>1</v>
          </cell>
          <cell r="J241">
            <v>484</v>
          </cell>
          <cell r="K241">
            <v>57</v>
          </cell>
          <cell r="L241">
            <v>524</v>
          </cell>
          <cell r="M241">
            <v>126</v>
          </cell>
        </row>
        <row r="242">
          <cell r="B242">
            <v>130103</v>
          </cell>
          <cell r="E242" t="str">
            <v>恶神阿修罗忠诚的打手。</v>
          </cell>
          <cell r="F242">
            <v>41</v>
          </cell>
          <cell r="G242">
            <v>1089</v>
          </cell>
          <cell r="H242">
            <v>149</v>
          </cell>
          <cell r="I242">
            <v>1</v>
          </cell>
          <cell r="J242">
            <v>443</v>
          </cell>
          <cell r="K242">
            <v>53</v>
          </cell>
          <cell r="L242">
            <v>687</v>
          </cell>
          <cell r="M242">
            <v>110</v>
          </cell>
        </row>
        <row r="243">
          <cell r="B243">
            <v>130203</v>
          </cell>
          <cell r="E243" t="str">
            <v>铜矿的守护者，受到了恶魔的蛊惑。</v>
          </cell>
          <cell r="F243">
            <v>41</v>
          </cell>
          <cell r="G243">
            <v>1980</v>
          </cell>
          <cell r="H243">
            <v>74</v>
          </cell>
          <cell r="I243">
            <v>1</v>
          </cell>
          <cell r="J243">
            <v>727</v>
          </cell>
          <cell r="K243">
            <v>80</v>
          </cell>
          <cell r="L243">
            <v>229</v>
          </cell>
          <cell r="M243">
            <v>55</v>
          </cell>
        </row>
        <row r="244">
          <cell r="B244">
            <v>130303</v>
          </cell>
          <cell r="E244" t="str">
            <v>被赋予恶魔力量的凶残强盗。</v>
          </cell>
          <cell r="F244">
            <v>42</v>
          </cell>
          <cell r="G244">
            <v>873</v>
          </cell>
          <cell r="H244">
            <v>154</v>
          </cell>
          <cell r="I244">
            <v>1</v>
          </cell>
          <cell r="J244">
            <v>495</v>
          </cell>
          <cell r="K244">
            <v>62</v>
          </cell>
          <cell r="L244">
            <v>597</v>
          </cell>
          <cell r="M244">
            <v>126</v>
          </cell>
        </row>
        <row r="245">
          <cell r="B245">
            <v>130403</v>
          </cell>
          <cell r="E245" t="str">
            <v>身披坚硬的铁甲，一般攻击很难奏效。</v>
          </cell>
          <cell r="F245">
            <v>43</v>
          </cell>
          <cell r="G245">
            <v>2126</v>
          </cell>
          <cell r="H245">
            <v>79</v>
          </cell>
          <cell r="I245">
            <v>1</v>
          </cell>
          <cell r="J245">
            <v>791</v>
          </cell>
          <cell r="K245">
            <v>86</v>
          </cell>
          <cell r="L245">
            <v>249</v>
          </cell>
          <cell r="M245">
            <v>55</v>
          </cell>
        </row>
        <row r="246">
          <cell r="B246">
            <v>130503</v>
          </cell>
          <cell r="E246" t="str">
            <v>恶神阿修罗忠诚的打手。</v>
          </cell>
          <cell r="F246">
            <v>43</v>
          </cell>
          <cell r="G246">
            <v>1169</v>
          </cell>
          <cell r="H246">
            <v>159</v>
          </cell>
          <cell r="I246">
            <v>1</v>
          </cell>
          <cell r="J246">
            <v>481</v>
          </cell>
          <cell r="K246">
            <v>57</v>
          </cell>
          <cell r="L246">
            <v>748</v>
          </cell>
          <cell r="M246">
            <v>110</v>
          </cell>
        </row>
        <row r="247">
          <cell r="B247">
            <v>140103</v>
          </cell>
          <cell r="E247" t="str">
            <v>发了狂的蜘蛛，异常凶残。</v>
          </cell>
          <cell r="F247">
            <v>44</v>
          </cell>
          <cell r="G247">
            <v>935</v>
          </cell>
          <cell r="H247">
            <v>164</v>
          </cell>
          <cell r="I247">
            <v>1</v>
          </cell>
          <cell r="J247">
            <v>717</v>
          </cell>
          <cell r="K247">
            <v>66</v>
          </cell>
          <cell r="L247">
            <v>520</v>
          </cell>
          <cell r="M247">
            <v>126</v>
          </cell>
        </row>
        <row r="248">
          <cell r="B248">
            <v>140203</v>
          </cell>
          <cell r="E248" t="str">
            <v>发了狂的蜘蛛，异常凶残。</v>
          </cell>
          <cell r="F248">
            <v>45</v>
          </cell>
          <cell r="G248">
            <v>967</v>
          </cell>
          <cell r="H248">
            <v>169</v>
          </cell>
          <cell r="I248">
            <v>1</v>
          </cell>
          <cell r="J248">
            <v>747</v>
          </cell>
          <cell r="K248">
            <v>69</v>
          </cell>
          <cell r="L248">
            <v>542</v>
          </cell>
          <cell r="M248">
            <v>126</v>
          </cell>
        </row>
        <row r="249">
          <cell r="B249">
            <v>140303</v>
          </cell>
          <cell r="E249" t="str">
            <v>每一根绒毛都充满了毒液，千万不要被它碰到。</v>
          </cell>
          <cell r="F249">
            <v>46</v>
          </cell>
          <cell r="G249">
            <v>999</v>
          </cell>
          <cell r="H249">
            <v>174</v>
          </cell>
          <cell r="I249">
            <v>1</v>
          </cell>
          <cell r="J249">
            <v>582</v>
          </cell>
          <cell r="K249">
            <v>72</v>
          </cell>
          <cell r="L249">
            <v>706</v>
          </cell>
          <cell r="M249">
            <v>126</v>
          </cell>
        </row>
        <row r="250">
          <cell r="B250">
            <v>140403</v>
          </cell>
          <cell r="E250" t="str">
            <v>因把灵魂出卖给了冥王，获得了永久的生命。</v>
          </cell>
          <cell r="F250">
            <v>46</v>
          </cell>
          <cell r="G250">
            <v>999</v>
          </cell>
          <cell r="H250">
            <v>174</v>
          </cell>
          <cell r="I250">
            <v>1</v>
          </cell>
          <cell r="J250">
            <v>582</v>
          </cell>
          <cell r="K250">
            <v>72</v>
          </cell>
          <cell r="L250">
            <v>706</v>
          </cell>
          <cell r="M250">
            <v>126</v>
          </cell>
        </row>
        <row r="251">
          <cell r="B251">
            <v>140503</v>
          </cell>
          <cell r="E251" t="str">
            <v>每一根绒毛都充满了毒液，千万不要被它碰到。</v>
          </cell>
          <cell r="F251">
            <v>47</v>
          </cell>
          <cell r="G251">
            <v>1033</v>
          </cell>
          <cell r="H251">
            <v>179</v>
          </cell>
          <cell r="I251">
            <v>1</v>
          </cell>
          <cell r="J251">
            <v>606</v>
          </cell>
          <cell r="K251">
            <v>73</v>
          </cell>
          <cell r="L251">
            <v>733</v>
          </cell>
          <cell r="M251">
            <v>126</v>
          </cell>
        </row>
        <row r="252">
          <cell r="B252">
            <v>150103</v>
          </cell>
          <cell r="E252" t="str">
            <v>在火焰熔炼中诞生，全身炙热。</v>
          </cell>
          <cell r="F252">
            <v>48</v>
          </cell>
          <cell r="G252">
            <v>1066</v>
          </cell>
          <cell r="H252">
            <v>184</v>
          </cell>
          <cell r="I252">
            <v>1</v>
          </cell>
          <cell r="J252">
            <v>714</v>
          </cell>
          <cell r="K252">
            <v>76</v>
          </cell>
          <cell r="L252">
            <v>702</v>
          </cell>
          <cell r="M252">
            <v>126</v>
          </cell>
        </row>
        <row r="253">
          <cell r="B253">
            <v>150203</v>
          </cell>
          <cell r="E253" t="str">
            <v>身形硕大，外边呈赤色，发起怒来震人心魄。</v>
          </cell>
          <cell r="F253">
            <v>48</v>
          </cell>
          <cell r="G253">
            <v>1066</v>
          </cell>
          <cell r="H253">
            <v>184</v>
          </cell>
          <cell r="I253">
            <v>1</v>
          </cell>
          <cell r="J253">
            <v>714</v>
          </cell>
          <cell r="K253">
            <v>76</v>
          </cell>
          <cell r="L253">
            <v>702</v>
          </cell>
          <cell r="M253">
            <v>126</v>
          </cell>
        </row>
        <row r="254">
          <cell r="B254">
            <v>150303</v>
          </cell>
          <cell r="E254" t="str">
            <v>火神在用赤炎烈火熔炼天灵石时，幻化出来的恶魔。</v>
          </cell>
          <cell r="F254">
            <v>49</v>
          </cell>
          <cell r="G254">
            <v>1099</v>
          </cell>
          <cell r="H254">
            <v>189</v>
          </cell>
          <cell r="I254">
            <v>1</v>
          </cell>
          <cell r="J254">
            <v>742</v>
          </cell>
          <cell r="K254">
            <v>79</v>
          </cell>
          <cell r="L254">
            <v>731</v>
          </cell>
          <cell r="M254">
            <v>126</v>
          </cell>
        </row>
        <row r="255">
          <cell r="B255">
            <v>150403</v>
          </cell>
          <cell r="E255" t="str">
            <v>火神在用赤炎烈火熔炼天灵石时，幻化出来的恶魔。</v>
          </cell>
          <cell r="F255">
            <v>50</v>
          </cell>
          <cell r="G255">
            <v>1130</v>
          </cell>
          <cell r="H255">
            <v>194</v>
          </cell>
          <cell r="I255">
            <v>1</v>
          </cell>
          <cell r="J255">
            <v>770</v>
          </cell>
          <cell r="K255">
            <v>81</v>
          </cell>
          <cell r="L255">
            <v>759</v>
          </cell>
          <cell r="M255">
            <v>126</v>
          </cell>
        </row>
        <row r="256">
          <cell r="B256">
            <v>150503</v>
          </cell>
          <cell r="E256" t="str">
            <v>在火焰熔炼中诞生，全身炙热。</v>
          </cell>
          <cell r="F256">
            <v>51</v>
          </cell>
          <cell r="G256">
            <v>1167</v>
          </cell>
          <cell r="H256">
            <v>199</v>
          </cell>
          <cell r="I256">
            <v>1</v>
          </cell>
          <cell r="J256">
            <v>799</v>
          </cell>
          <cell r="K256">
            <v>83</v>
          </cell>
          <cell r="L256">
            <v>787</v>
          </cell>
          <cell r="M256">
            <v>126</v>
          </cell>
        </row>
        <row r="257">
          <cell r="B257">
            <v>160103</v>
          </cell>
          <cell r="E257" t="str">
            <v>吞噬了光之能量的恶魔。</v>
          </cell>
          <cell r="F257">
            <v>51</v>
          </cell>
          <cell r="G257">
            <v>1167</v>
          </cell>
          <cell r="H257">
            <v>199</v>
          </cell>
          <cell r="I257">
            <v>1</v>
          </cell>
          <cell r="J257">
            <v>752</v>
          </cell>
          <cell r="K257">
            <v>83</v>
          </cell>
          <cell r="L257">
            <v>822</v>
          </cell>
          <cell r="M257">
            <v>126</v>
          </cell>
        </row>
        <row r="258">
          <cell r="B258">
            <v>160203</v>
          </cell>
          <cell r="E258" t="str">
            <v>守护光之能量的女护卫，但是被恶魔蒙蔽了眼睛。</v>
          </cell>
          <cell r="F258">
            <v>52</v>
          </cell>
          <cell r="G258">
            <v>1201</v>
          </cell>
          <cell r="H258">
            <v>204</v>
          </cell>
          <cell r="I258">
            <v>1</v>
          </cell>
          <cell r="J258">
            <v>780</v>
          </cell>
          <cell r="K258">
            <v>86</v>
          </cell>
          <cell r="L258">
            <v>853</v>
          </cell>
          <cell r="M258">
            <v>126</v>
          </cell>
        </row>
        <row r="259">
          <cell r="B259">
            <v>160303</v>
          </cell>
          <cell r="E259" t="str">
            <v>吞噬了光之能量的恶魔。</v>
          </cell>
          <cell r="F259">
            <v>53</v>
          </cell>
          <cell r="G259">
            <v>1235</v>
          </cell>
          <cell r="H259">
            <v>209</v>
          </cell>
          <cell r="I259">
            <v>1</v>
          </cell>
          <cell r="J259">
            <v>808</v>
          </cell>
          <cell r="K259">
            <v>89</v>
          </cell>
          <cell r="L259">
            <v>885</v>
          </cell>
          <cell r="M259">
            <v>126</v>
          </cell>
        </row>
        <row r="260">
          <cell r="B260">
            <v>160403</v>
          </cell>
          <cell r="E260" t="str">
            <v>吞噬了光之能量的恶魔。</v>
          </cell>
          <cell r="F260">
            <v>54</v>
          </cell>
          <cell r="G260">
            <v>1269</v>
          </cell>
          <cell r="H260">
            <v>214</v>
          </cell>
          <cell r="I260">
            <v>1</v>
          </cell>
          <cell r="J260">
            <v>837</v>
          </cell>
          <cell r="K260">
            <v>91</v>
          </cell>
          <cell r="L260">
            <v>918</v>
          </cell>
          <cell r="M260">
            <v>126</v>
          </cell>
        </row>
        <row r="261">
          <cell r="B261">
            <v>160503</v>
          </cell>
          <cell r="E261" t="str">
            <v>原本是天使忠诚的奴仆，但是被邪恶力量蛊惑了心智。</v>
          </cell>
          <cell r="F261">
            <v>54</v>
          </cell>
          <cell r="G261">
            <v>1269</v>
          </cell>
          <cell r="H261">
            <v>214</v>
          </cell>
          <cell r="I261">
            <v>1</v>
          </cell>
          <cell r="J261">
            <v>837</v>
          </cell>
          <cell r="K261">
            <v>91</v>
          </cell>
          <cell r="L261">
            <v>918</v>
          </cell>
          <cell r="M261">
            <v>126</v>
          </cell>
        </row>
        <row r="262">
          <cell r="B262">
            <v>170103</v>
          </cell>
          <cell r="E262" t="str">
            <v>守护水之能量的女护卫，但是被恶魔蒙蔽了眼睛。</v>
          </cell>
          <cell r="F262">
            <v>55</v>
          </cell>
          <cell r="G262">
            <v>1303</v>
          </cell>
          <cell r="H262">
            <v>219</v>
          </cell>
          <cell r="I262">
            <v>1</v>
          </cell>
          <cell r="J262">
            <v>974</v>
          </cell>
          <cell r="K262">
            <v>105</v>
          </cell>
          <cell r="L262">
            <v>871</v>
          </cell>
          <cell r="M262">
            <v>126</v>
          </cell>
        </row>
        <row r="263">
          <cell r="B263">
            <v>170203</v>
          </cell>
          <cell r="E263" t="str">
            <v>拥有水之能力的魔晶。</v>
          </cell>
          <cell r="F263">
            <v>56</v>
          </cell>
          <cell r="G263">
            <v>1337</v>
          </cell>
          <cell r="H263">
            <v>224</v>
          </cell>
          <cell r="I263">
            <v>1</v>
          </cell>
          <cell r="J263">
            <v>1009</v>
          </cell>
          <cell r="K263">
            <v>108</v>
          </cell>
          <cell r="L263">
            <v>902</v>
          </cell>
          <cell r="M263">
            <v>126</v>
          </cell>
        </row>
        <row r="264">
          <cell r="B264">
            <v>170303</v>
          </cell>
          <cell r="E264" t="str">
            <v>地狱魔王最喜爱的宠物，非常凶残。</v>
          </cell>
          <cell r="F264">
            <v>56</v>
          </cell>
          <cell r="G264">
            <v>1888</v>
          </cell>
          <cell r="H264">
            <v>112</v>
          </cell>
          <cell r="I264">
            <v>1</v>
          </cell>
          <cell r="J264">
            <v>897</v>
          </cell>
          <cell r="K264">
            <v>81</v>
          </cell>
          <cell r="L264">
            <v>656</v>
          </cell>
          <cell r="M264">
            <v>110</v>
          </cell>
        </row>
        <row r="265">
          <cell r="B265">
            <v>170403</v>
          </cell>
          <cell r="E265" t="str">
            <v>小蝙蝠的进化体。</v>
          </cell>
          <cell r="F265">
            <v>57</v>
          </cell>
          <cell r="G265">
            <v>1941</v>
          </cell>
          <cell r="H265">
            <v>114</v>
          </cell>
          <cell r="I265">
            <v>1</v>
          </cell>
          <cell r="J265">
            <v>928</v>
          </cell>
          <cell r="K265">
            <v>83</v>
          </cell>
          <cell r="L265">
            <v>679</v>
          </cell>
          <cell r="M265">
            <v>110</v>
          </cell>
        </row>
        <row r="266">
          <cell r="B266">
            <v>170503</v>
          </cell>
          <cell r="E266" t="str">
            <v>地狱魔王最喜爱的宠物，非常凶残。</v>
          </cell>
          <cell r="F266">
            <v>58</v>
          </cell>
          <cell r="G266">
            <v>1990</v>
          </cell>
          <cell r="H266">
            <v>117</v>
          </cell>
          <cell r="I266">
            <v>1</v>
          </cell>
          <cell r="J266">
            <v>958</v>
          </cell>
          <cell r="K266">
            <v>85</v>
          </cell>
          <cell r="L266">
            <v>702</v>
          </cell>
          <cell r="M266">
            <v>110</v>
          </cell>
        </row>
        <row r="267">
          <cell r="B267">
            <v>180103</v>
          </cell>
          <cell r="E267" t="str">
            <v>四肢发达但智商低下，是恶魔忠实的打手。</v>
          </cell>
          <cell r="F267">
            <v>59</v>
          </cell>
          <cell r="G267">
            <v>3394</v>
          </cell>
          <cell r="H267">
            <v>120</v>
          </cell>
          <cell r="I267">
            <v>1</v>
          </cell>
          <cell r="J267">
            <v>1423</v>
          </cell>
          <cell r="K267">
            <v>141</v>
          </cell>
          <cell r="L267">
            <v>454</v>
          </cell>
          <cell r="M267">
            <v>55</v>
          </cell>
        </row>
        <row r="268">
          <cell r="B268">
            <v>180203</v>
          </cell>
          <cell r="E268" t="str">
            <v>坚硬的外表下藏着一颗恶毒的心。</v>
          </cell>
          <cell r="F268">
            <v>59</v>
          </cell>
          <cell r="G268">
            <v>3394</v>
          </cell>
          <cell r="H268">
            <v>120</v>
          </cell>
          <cell r="I268">
            <v>1</v>
          </cell>
          <cell r="J268">
            <v>1423</v>
          </cell>
          <cell r="K268">
            <v>141</v>
          </cell>
          <cell r="L268">
            <v>454</v>
          </cell>
          <cell r="M268">
            <v>55</v>
          </cell>
        </row>
        <row r="269">
          <cell r="B269">
            <v>180303</v>
          </cell>
          <cell r="E269" t="str">
            <v>原本是守护大地的神龙，因贪图强大的力量而走上歧途。</v>
          </cell>
          <cell r="F269">
            <v>60</v>
          </cell>
          <cell r="G269">
            <v>3476</v>
          </cell>
          <cell r="H269">
            <v>123</v>
          </cell>
          <cell r="I269">
            <v>1</v>
          </cell>
          <cell r="J269">
            <v>1472</v>
          </cell>
          <cell r="K269">
            <v>145</v>
          </cell>
          <cell r="L269">
            <v>469</v>
          </cell>
          <cell r="M269">
            <v>55</v>
          </cell>
        </row>
        <row r="270">
          <cell r="B270">
            <v>180403</v>
          </cell>
          <cell r="E270" t="str">
            <v>铜矿的守护者，受到了恶魔的蛊惑。</v>
          </cell>
          <cell r="F270">
            <v>61</v>
          </cell>
          <cell r="G270">
            <v>3564</v>
          </cell>
          <cell r="H270">
            <v>126</v>
          </cell>
          <cell r="I270">
            <v>1</v>
          </cell>
          <cell r="J270">
            <v>1520</v>
          </cell>
          <cell r="K270">
            <v>148</v>
          </cell>
          <cell r="L270">
            <v>485</v>
          </cell>
          <cell r="M270">
            <v>55</v>
          </cell>
        </row>
        <row r="271">
          <cell r="B271">
            <v>180503</v>
          </cell>
          <cell r="E271" t="str">
            <v>身披坚硬的铁甲，一般攻击很难奏效。</v>
          </cell>
          <cell r="F271">
            <v>62</v>
          </cell>
          <cell r="G271">
            <v>3650</v>
          </cell>
          <cell r="H271">
            <v>129</v>
          </cell>
          <cell r="I271">
            <v>1</v>
          </cell>
          <cell r="J271">
            <v>1569</v>
          </cell>
          <cell r="K271">
            <v>152</v>
          </cell>
          <cell r="L271">
            <v>501</v>
          </cell>
          <cell r="M271">
            <v>55</v>
          </cell>
        </row>
        <row r="272">
          <cell r="B272">
            <v>10104</v>
          </cell>
          <cell r="E272" t="str">
            <v>被赋予恶魔力量的凶残强盗。</v>
          </cell>
          <cell r="F272">
            <v>1</v>
          </cell>
          <cell r="G272">
            <v>28</v>
          </cell>
          <cell r="H272">
            <v>8</v>
          </cell>
          <cell r="I272">
            <v>1</v>
          </cell>
          <cell r="J272">
            <v>18</v>
          </cell>
          <cell r="K272">
            <v>1</v>
          </cell>
          <cell r="L272">
            <v>17</v>
          </cell>
          <cell r="M272">
            <v>2</v>
          </cell>
        </row>
        <row r="273">
          <cell r="B273">
            <v>10204</v>
          </cell>
          <cell r="E273" t="str">
            <v>拥有火之能力的魔晶。</v>
          </cell>
          <cell r="F273">
            <v>1</v>
          </cell>
          <cell r="G273">
            <v>28</v>
          </cell>
          <cell r="H273">
            <v>8</v>
          </cell>
          <cell r="I273">
            <v>1</v>
          </cell>
          <cell r="J273">
            <v>21</v>
          </cell>
          <cell r="K273">
            <v>1</v>
          </cell>
          <cell r="L273">
            <v>16</v>
          </cell>
          <cell r="M273">
            <v>2</v>
          </cell>
        </row>
        <row r="274">
          <cell r="B274">
            <v>10304</v>
          </cell>
          <cell r="E274" t="str">
            <v>在火焰熔炼中诞生，全身炙热。</v>
          </cell>
          <cell r="F274">
            <v>1</v>
          </cell>
          <cell r="G274">
            <v>28</v>
          </cell>
          <cell r="H274">
            <v>8</v>
          </cell>
          <cell r="I274">
            <v>1</v>
          </cell>
          <cell r="J274">
            <v>21</v>
          </cell>
          <cell r="K274">
            <v>1</v>
          </cell>
          <cell r="L274">
            <v>16</v>
          </cell>
          <cell r="M274">
            <v>2</v>
          </cell>
        </row>
        <row r="275">
          <cell r="B275">
            <v>10404</v>
          </cell>
          <cell r="E275" t="str">
            <v>每一根绒毛都充满了毒液，千万不要被它碰到。</v>
          </cell>
          <cell r="F275">
            <v>1</v>
          </cell>
          <cell r="G275">
            <v>28</v>
          </cell>
          <cell r="H275">
            <v>8</v>
          </cell>
          <cell r="I275">
            <v>1</v>
          </cell>
          <cell r="J275">
            <v>18</v>
          </cell>
          <cell r="K275">
            <v>1</v>
          </cell>
          <cell r="L275">
            <v>17</v>
          </cell>
          <cell r="M275">
            <v>2</v>
          </cell>
        </row>
        <row r="276">
          <cell r="B276">
            <v>10504</v>
          </cell>
          <cell r="E276" t="str">
            <v>四肢发达但智商低下，是恶魔忠实的打手。</v>
          </cell>
          <cell r="F276">
            <v>2</v>
          </cell>
          <cell r="G276">
            <v>76</v>
          </cell>
          <cell r="H276">
            <v>5</v>
          </cell>
          <cell r="I276">
            <v>1</v>
          </cell>
          <cell r="J276">
            <v>32</v>
          </cell>
          <cell r="K276">
            <v>3</v>
          </cell>
          <cell r="L276">
            <v>8</v>
          </cell>
          <cell r="M276">
            <v>4</v>
          </cell>
        </row>
        <row r="277">
          <cell r="B277">
            <v>20104</v>
          </cell>
          <cell r="E277" t="str">
            <v>拥有雷之力量的凶残盗贼。</v>
          </cell>
          <cell r="F277">
            <v>2</v>
          </cell>
          <cell r="G277">
            <v>32</v>
          </cell>
          <cell r="H277">
            <v>10</v>
          </cell>
          <cell r="I277">
            <v>1</v>
          </cell>
          <cell r="J277">
            <v>25</v>
          </cell>
          <cell r="K277">
            <v>2</v>
          </cell>
          <cell r="L277">
            <v>17</v>
          </cell>
          <cell r="M277">
            <v>9</v>
          </cell>
        </row>
        <row r="278">
          <cell r="B278">
            <v>20204</v>
          </cell>
          <cell r="E278" t="str">
            <v>他们漂浮在空气中，随时都有可能向你发动攻击。</v>
          </cell>
          <cell r="F278">
            <v>3</v>
          </cell>
          <cell r="G278">
            <v>56</v>
          </cell>
          <cell r="H278">
            <v>0</v>
          </cell>
          <cell r="I278">
            <v>1</v>
          </cell>
          <cell r="J278">
            <v>25</v>
          </cell>
          <cell r="K278">
            <v>2</v>
          </cell>
          <cell r="L278">
            <v>14</v>
          </cell>
          <cell r="M278">
            <v>14</v>
          </cell>
        </row>
        <row r="279">
          <cell r="B279">
            <v>20304</v>
          </cell>
          <cell r="E279" t="str">
            <v>吞噬了光之能量的恶魔。</v>
          </cell>
          <cell r="F279">
            <v>3</v>
          </cell>
          <cell r="G279">
            <v>39</v>
          </cell>
          <cell r="H279">
            <v>12</v>
          </cell>
          <cell r="I279">
            <v>1</v>
          </cell>
          <cell r="J279">
            <v>25</v>
          </cell>
          <cell r="K279">
            <v>2</v>
          </cell>
          <cell r="L279">
            <v>21</v>
          </cell>
          <cell r="M279">
            <v>16</v>
          </cell>
        </row>
        <row r="280">
          <cell r="B280">
            <v>20404</v>
          </cell>
          <cell r="E280" t="str">
            <v>原本是守护大地的神龙，因贪图强大的力量而走上歧途。</v>
          </cell>
          <cell r="F280">
            <v>3</v>
          </cell>
          <cell r="G280">
            <v>94</v>
          </cell>
          <cell r="H280">
            <v>6</v>
          </cell>
          <cell r="I280">
            <v>1</v>
          </cell>
          <cell r="J280">
            <v>36</v>
          </cell>
          <cell r="K280">
            <v>3</v>
          </cell>
          <cell r="L280">
            <v>9</v>
          </cell>
          <cell r="M280">
            <v>7</v>
          </cell>
        </row>
        <row r="281">
          <cell r="B281">
            <v>20504</v>
          </cell>
          <cell r="E281" t="str">
            <v>发了狂的蜘蛛，异常凶残。</v>
          </cell>
          <cell r="F281">
            <v>4</v>
          </cell>
          <cell r="G281">
            <v>47</v>
          </cell>
          <cell r="H281">
            <v>14</v>
          </cell>
          <cell r="I281">
            <v>1</v>
          </cell>
          <cell r="J281">
            <v>35</v>
          </cell>
          <cell r="K281">
            <v>3</v>
          </cell>
          <cell r="L281">
            <v>22</v>
          </cell>
          <cell r="M281">
            <v>23</v>
          </cell>
        </row>
        <row r="282">
          <cell r="B282">
            <v>30104</v>
          </cell>
          <cell r="E282" t="str">
            <v>擅长忍术的强盗，诡计多端。</v>
          </cell>
          <cell r="F282">
            <v>4</v>
          </cell>
          <cell r="G282">
            <v>47</v>
          </cell>
          <cell r="H282">
            <v>14</v>
          </cell>
          <cell r="I282">
            <v>1</v>
          </cell>
          <cell r="J282">
            <v>31</v>
          </cell>
          <cell r="K282">
            <v>3</v>
          </cell>
          <cell r="L282">
            <v>24</v>
          </cell>
          <cell r="M282">
            <v>23</v>
          </cell>
        </row>
        <row r="283">
          <cell r="B283">
            <v>30204</v>
          </cell>
          <cell r="E283" t="str">
            <v>可以再树木间相互跳跃。</v>
          </cell>
          <cell r="F283">
            <v>5</v>
          </cell>
          <cell r="G283">
            <v>81</v>
          </cell>
          <cell r="H283">
            <v>8</v>
          </cell>
          <cell r="I283">
            <v>1</v>
          </cell>
          <cell r="J283">
            <v>32</v>
          </cell>
          <cell r="K283">
            <v>3</v>
          </cell>
          <cell r="L283">
            <v>20</v>
          </cell>
          <cell r="M283">
            <v>26</v>
          </cell>
        </row>
        <row r="284">
          <cell r="B284">
            <v>30304</v>
          </cell>
          <cell r="E284" t="str">
            <v>小蝙蝠的进化体。</v>
          </cell>
          <cell r="F284">
            <v>5</v>
          </cell>
          <cell r="G284">
            <v>81</v>
          </cell>
          <cell r="H284">
            <v>8</v>
          </cell>
          <cell r="I284">
            <v>1</v>
          </cell>
          <cell r="J284">
            <v>32</v>
          </cell>
          <cell r="K284">
            <v>3</v>
          </cell>
          <cell r="L284">
            <v>20</v>
          </cell>
          <cell r="M284">
            <v>26</v>
          </cell>
        </row>
        <row r="285">
          <cell r="B285">
            <v>30404</v>
          </cell>
          <cell r="E285" t="str">
            <v>拥有光之能力的魔晶。</v>
          </cell>
          <cell r="F285">
            <v>6</v>
          </cell>
          <cell r="G285">
            <v>65</v>
          </cell>
          <cell r="H285">
            <v>18</v>
          </cell>
          <cell r="I285">
            <v>1</v>
          </cell>
          <cell r="J285">
            <v>37</v>
          </cell>
          <cell r="K285">
            <v>4</v>
          </cell>
          <cell r="L285">
            <v>36</v>
          </cell>
          <cell r="M285">
            <v>36</v>
          </cell>
        </row>
        <row r="286">
          <cell r="B286">
            <v>30504</v>
          </cell>
          <cell r="E286" t="str">
            <v>已经死亡的蟒蛇在某种诡异的力量下复活了。</v>
          </cell>
          <cell r="F286">
            <v>6</v>
          </cell>
          <cell r="G286">
            <v>84</v>
          </cell>
          <cell r="H286">
            <v>18</v>
          </cell>
          <cell r="I286">
            <v>1</v>
          </cell>
          <cell r="J286">
            <v>32</v>
          </cell>
          <cell r="K286">
            <v>4</v>
          </cell>
          <cell r="L286">
            <v>45</v>
          </cell>
          <cell r="M286">
            <v>32</v>
          </cell>
        </row>
        <row r="287">
          <cell r="B287">
            <v>40104</v>
          </cell>
          <cell r="E287" t="str">
            <v>身披坚硬的铁甲，一般攻击很难奏效。</v>
          </cell>
          <cell r="F287">
            <v>6</v>
          </cell>
          <cell r="G287">
            <v>154</v>
          </cell>
          <cell r="H287">
            <v>9</v>
          </cell>
          <cell r="I287">
            <v>1</v>
          </cell>
          <cell r="J287">
            <v>54</v>
          </cell>
          <cell r="K287">
            <v>6</v>
          </cell>
          <cell r="L287">
            <v>15</v>
          </cell>
          <cell r="M287">
            <v>16</v>
          </cell>
        </row>
        <row r="288">
          <cell r="B288">
            <v>40204</v>
          </cell>
          <cell r="E288" t="str">
            <v>在邪恶力量驱使下从远古化石中转生。</v>
          </cell>
          <cell r="F288">
            <v>7</v>
          </cell>
          <cell r="G288">
            <v>118</v>
          </cell>
          <cell r="H288">
            <v>10</v>
          </cell>
          <cell r="I288">
            <v>1</v>
          </cell>
          <cell r="J288">
            <v>79</v>
          </cell>
          <cell r="K288">
            <v>4</v>
          </cell>
          <cell r="L288">
            <v>34</v>
          </cell>
          <cell r="M288">
            <v>38</v>
          </cell>
        </row>
        <row r="289">
          <cell r="B289">
            <v>40304</v>
          </cell>
          <cell r="E289" t="str">
            <v>在黑暗力量的影响下，从远古化石中复活。</v>
          </cell>
          <cell r="F289">
            <v>7</v>
          </cell>
          <cell r="G289">
            <v>77</v>
          </cell>
          <cell r="H289">
            <v>20</v>
          </cell>
          <cell r="I289">
            <v>1</v>
          </cell>
          <cell r="J289">
            <v>39</v>
          </cell>
          <cell r="K289">
            <v>5</v>
          </cell>
          <cell r="L289">
            <v>42</v>
          </cell>
          <cell r="M289">
            <v>43</v>
          </cell>
        </row>
        <row r="290">
          <cell r="B290">
            <v>40404</v>
          </cell>
          <cell r="E290" t="str">
            <v>比一般幽灵更容易愤怒遇见她要小心了。</v>
          </cell>
          <cell r="F290">
            <v>8</v>
          </cell>
          <cell r="G290">
            <v>88</v>
          </cell>
          <cell r="H290">
            <v>22</v>
          </cell>
          <cell r="I290">
            <v>1</v>
          </cell>
          <cell r="J290">
            <v>54</v>
          </cell>
          <cell r="K290">
            <v>7</v>
          </cell>
          <cell r="L290">
            <v>44</v>
          </cell>
          <cell r="M290">
            <v>50</v>
          </cell>
        </row>
        <row r="291">
          <cell r="B291">
            <v>40504</v>
          </cell>
          <cell r="E291" t="str">
            <v>凶残成性但是智商捉襟见肘。</v>
          </cell>
          <cell r="F291">
            <v>8</v>
          </cell>
          <cell r="G291">
            <v>124</v>
          </cell>
          <cell r="H291">
            <v>11</v>
          </cell>
          <cell r="I291">
            <v>1</v>
          </cell>
          <cell r="J291">
            <v>48</v>
          </cell>
          <cell r="K291">
            <v>5</v>
          </cell>
          <cell r="L291">
            <v>32</v>
          </cell>
          <cell r="M291">
            <v>44</v>
          </cell>
        </row>
        <row r="292">
          <cell r="B292">
            <v>50104</v>
          </cell>
          <cell r="E292" t="str">
            <v>可以再树木间相互跳跃。</v>
          </cell>
          <cell r="F292">
            <v>9</v>
          </cell>
          <cell r="G292">
            <v>140</v>
          </cell>
          <cell r="H292">
            <v>12</v>
          </cell>
          <cell r="I292">
            <v>1</v>
          </cell>
          <cell r="J292">
            <v>54</v>
          </cell>
          <cell r="K292">
            <v>6</v>
          </cell>
          <cell r="L292">
            <v>36</v>
          </cell>
          <cell r="M292">
            <v>50</v>
          </cell>
        </row>
        <row r="293">
          <cell r="B293">
            <v>50204</v>
          </cell>
          <cell r="E293" t="str">
            <v>地狱魔王用来吞噬犯人尸体的食人鱼。</v>
          </cell>
          <cell r="F293">
            <v>10</v>
          </cell>
          <cell r="G293">
            <v>162</v>
          </cell>
          <cell r="H293">
            <v>14</v>
          </cell>
          <cell r="I293">
            <v>1</v>
          </cell>
          <cell r="J293">
            <v>61</v>
          </cell>
          <cell r="K293">
            <v>6</v>
          </cell>
          <cell r="L293">
            <v>40</v>
          </cell>
          <cell r="M293">
            <v>56</v>
          </cell>
        </row>
        <row r="294">
          <cell r="B294">
            <v>50304</v>
          </cell>
          <cell r="E294" t="str">
            <v>守护水之能量的女护卫，但是被恶魔蒙蔽了眼睛。</v>
          </cell>
          <cell r="F294">
            <v>10</v>
          </cell>
          <cell r="G294">
            <v>114</v>
          </cell>
          <cell r="H294">
            <v>28</v>
          </cell>
          <cell r="I294">
            <v>1</v>
          </cell>
          <cell r="J294">
            <v>69</v>
          </cell>
          <cell r="K294">
            <v>9</v>
          </cell>
          <cell r="L294">
            <v>56</v>
          </cell>
          <cell r="M294">
            <v>64</v>
          </cell>
        </row>
        <row r="295">
          <cell r="B295">
            <v>50404</v>
          </cell>
          <cell r="E295" t="str">
            <v>拥有火之能力的魔晶。</v>
          </cell>
          <cell r="F295">
            <v>11</v>
          </cell>
          <cell r="G295">
            <v>129</v>
          </cell>
          <cell r="H295">
            <v>31</v>
          </cell>
          <cell r="I295">
            <v>1</v>
          </cell>
          <cell r="J295">
            <v>72</v>
          </cell>
          <cell r="K295">
            <v>9</v>
          </cell>
          <cell r="L295">
            <v>65</v>
          </cell>
          <cell r="M295">
            <v>71</v>
          </cell>
        </row>
        <row r="296">
          <cell r="B296">
            <v>50504</v>
          </cell>
          <cell r="E296" t="str">
            <v>吞噬了光之能量的恶魔。</v>
          </cell>
          <cell r="F296">
            <v>11</v>
          </cell>
          <cell r="G296">
            <v>129</v>
          </cell>
          <cell r="H296">
            <v>31</v>
          </cell>
          <cell r="I296">
            <v>1</v>
          </cell>
          <cell r="J296">
            <v>68</v>
          </cell>
          <cell r="K296">
            <v>9</v>
          </cell>
          <cell r="L296">
            <v>68</v>
          </cell>
          <cell r="M296">
            <v>71</v>
          </cell>
        </row>
        <row r="297">
          <cell r="B297">
            <v>60104</v>
          </cell>
          <cell r="E297" t="str">
            <v>身披坚硬的铁甲，一般攻击很难奏效。</v>
          </cell>
          <cell r="F297">
            <v>12</v>
          </cell>
          <cell r="G297">
            <v>336</v>
          </cell>
          <cell r="H297">
            <v>17</v>
          </cell>
          <cell r="I297">
            <v>1</v>
          </cell>
          <cell r="J297">
            <v>109</v>
          </cell>
          <cell r="K297">
            <v>13</v>
          </cell>
          <cell r="L297">
            <v>32</v>
          </cell>
          <cell r="M297">
            <v>34</v>
          </cell>
        </row>
        <row r="298">
          <cell r="B298">
            <v>60204</v>
          </cell>
          <cell r="E298" t="str">
            <v>身披坚硬的铁甲，一般攻击很难奏效。</v>
          </cell>
          <cell r="F298">
            <v>12</v>
          </cell>
          <cell r="G298">
            <v>336</v>
          </cell>
          <cell r="H298">
            <v>17</v>
          </cell>
          <cell r="I298">
            <v>1</v>
          </cell>
          <cell r="J298">
            <v>109</v>
          </cell>
          <cell r="K298">
            <v>13</v>
          </cell>
          <cell r="L298">
            <v>32</v>
          </cell>
          <cell r="M298">
            <v>34</v>
          </cell>
        </row>
        <row r="299">
          <cell r="B299">
            <v>60304</v>
          </cell>
          <cell r="E299" t="str">
            <v>拥有水之能力的魔晶。</v>
          </cell>
          <cell r="F299">
            <v>13</v>
          </cell>
          <cell r="G299">
            <v>159</v>
          </cell>
          <cell r="H299">
            <v>37</v>
          </cell>
          <cell r="I299">
            <v>1</v>
          </cell>
          <cell r="J299">
            <v>94</v>
          </cell>
          <cell r="K299">
            <v>12</v>
          </cell>
          <cell r="L299">
            <v>79</v>
          </cell>
          <cell r="M299">
            <v>85</v>
          </cell>
        </row>
        <row r="300">
          <cell r="B300">
            <v>60404</v>
          </cell>
          <cell r="E300" t="str">
            <v>拥有光之能力的魔晶。</v>
          </cell>
          <cell r="F300">
            <v>13</v>
          </cell>
          <cell r="G300">
            <v>159</v>
          </cell>
          <cell r="H300">
            <v>37</v>
          </cell>
          <cell r="I300">
            <v>1</v>
          </cell>
          <cell r="J300">
            <v>84</v>
          </cell>
          <cell r="K300">
            <v>10</v>
          </cell>
          <cell r="L300">
            <v>86</v>
          </cell>
          <cell r="M300">
            <v>85</v>
          </cell>
        </row>
        <row r="301">
          <cell r="B301">
            <v>60504</v>
          </cell>
          <cell r="E301" t="str">
            <v>身披坚硬的铁甲，一般攻击很难奏效。</v>
          </cell>
          <cell r="F301">
            <v>14</v>
          </cell>
          <cell r="G301">
            <v>412</v>
          </cell>
          <cell r="H301">
            <v>20</v>
          </cell>
          <cell r="I301">
            <v>1</v>
          </cell>
          <cell r="J301">
            <v>134</v>
          </cell>
          <cell r="K301">
            <v>16</v>
          </cell>
          <cell r="L301">
            <v>40</v>
          </cell>
          <cell r="M301">
            <v>40</v>
          </cell>
        </row>
        <row r="302">
          <cell r="B302">
            <v>70104</v>
          </cell>
          <cell r="E302" t="str">
            <v>身披坚硬的铁甲，一般攻击很难奏效。</v>
          </cell>
          <cell r="F302">
            <v>15</v>
          </cell>
          <cell r="G302">
            <v>452</v>
          </cell>
          <cell r="H302">
            <v>21</v>
          </cell>
          <cell r="I302">
            <v>1</v>
          </cell>
          <cell r="J302">
            <v>146</v>
          </cell>
          <cell r="K302">
            <v>18</v>
          </cell>
          <cell r="L302">
            <v>43</v>
          </cell>
          <cell r="M302">
            <v>43</v>
          </cell>
        </row>
        <row r="303">
          <cell r="B303">
            <v>70204</v>
          </cell>
          <cell r="E303" t="str">
            <v>外表黏黏糊糊，看起来非常恶心的小怪物。</v>
          </cell>
          <cell r="F303">
            <v>15</v>
          </cell>
          <cell r="G303">
            <v>192</v>
          </cell>
          <cell r="H303">
            <v>43</v>
          </cell>
          <cell r="I303">
            <v>1</v>
          </cell>
          <cell r="J303">
            <v>107</v>
          </cell>
          <cell r="K303">
            <v>13</v>
          </cell>
          <cell r="L303">
            <v>100</v>
          </cell>
          <cell r="M303">
            <v>98</v>
          </cell>
        </row>
        <row r="304">
          <cell r="B304">
            <v>70304</v>
          </cell>
          <cell r="E304" t="str">
            <v>吞噬了光之能量的恶魔。</v>
          </cell>
          <cell r="F304">
            <v>16</v>
          </cell>
          <cell r="G304">
            <v>209</v>
          </cell>
          <cell r="H304">
            <v>46</v>
          </cell>
          <cell r="I304">
            <v>1</v>
          </cell>
          <cell r="J304">
            <v>112</v>
          </cell>
          <cell r="K304">
            <v>14</v>
          </cell>
          <cell r="L304">
            <v>116</v>
          </cell>
          <cell r="M304">
            <v>105</v>
          </cell>
        </row>
        <row r="305">
          <cell r="B305">
            <v>70404</v>
          </cell>
          <cell r="E305" t="str">
            <v>因把灵魂出卖给了冥王，获得了永久的生命。</v>
          </cell>
          <cell r="F305">
            <v>16</v>
          </cell>
          <cell r="G305">
            <v>209</v>
          </cell>
          <cell r="H305">
            <v>46</v>
          </cell>
          <cell r="I305">
            <v>1</v>
          </cell>
          <cell r="J305">
            <v>105</v>
          </cell>
          <cell r="K305">
            <v>14</v>
          </cell>
          <cell r="L305">
            <v>121</v>
          </cell>
          <cell r="M305">
            <v>105</v>
          </cell>
        </row>
        <row r="306">
          <cell r="B306">
            <v>70504</v>
          </cell>
          <cell r="E306" t="str">
            <v>斯塞提卡湖中寄居的幽灵。</v>
          </cell>
          <cell r="F306">
            <v>17</v>
          </cell>
          <cell r="G306">
            <v>228</v>
          </cell>
          <cell r="H306">
            <v>49</v>
          </cell>
          <cell r="I306">
            <v>1</v>
          </cell>
          <cell r="J306">
            <v>136</v>
          </cell>
          <cell r="K306">
            <v>18</v>
          </cell>
          <cell r="L306">
            <v>116</v>
          </cell>
          <cell r="M306">
            <v>112</v>
          </cell>
        </row>
        <row r="307">
          <cell r="B307">
            <v>80104</v>
          </cell>
          <cell r="E307" t="str">
            <v>在黑暗力量的影响下，从远古化石中复活。</v>
          </cell>
          <cell r="F307">
            <v>18</v>
          </cell>
          <cell r="G307">
            <v>248</v>
          </cell>
          <cell r="H307">
            <v>52</v>
          </cell>
          <cell r="I307">
            <v>1</v>
          </cell>
          <cell r="J307">
            <v>123</v>
          </cell>
          <cell r="K307">
            <v>17</v>
          </cell>
          <cell r="L307">
            <v>143</v>
          </cell>
          <cell r="M307">
            <v>119</v>
          </cell>
        </row>
        <row r="308">
          <cell r="B308">
            <v>80204</v>
          </cell>
          <cell r="E308" t="str">
            <v>拥有火之能力的魔晶。</v>
          </cell>
          <cell r="F308">
            <v>18</v>
          </cell>
          <cell r="G308">
            <v>248</v>
          </cell>
          <cell r="H308">
            <v>52</v>
          </cell>
          <cell r="I308">
            <v>1</v>
          </cell>
          <cell r="J308">
            <v>140</v>
          </cell>
          <cell r="K308">
            <v>17</v>
          </cell>
          <cell r="L308">
            <v>132</v>
          </cell>
          <cell r="M308">
            <v>119</v>
          </cell>
        </row>
        <row r="309">
          <cell r="B309">
            <v>80304</v>
          </cell>
          <cell r="E309" t="str">
            <v>外表黏黏糊糊，看起来非常恶心的小怪物。</v>
          </cell>
          <cell r="F309">
            <v>19</v>
          </cell>
          <cell r="G309">
            <v>266</v>
          </cell>
          <cell r="H309">
            <v>55</v>
          </cell>
          <cell r="I309">
            <v>1</v>
          </cell>
          <cell r="J309">
            <v>151</v>
          </cell>
          <cell r="K309">
            <v>18</v>
          </cell>
          <cell r="L309">
            <v>143</v>
          </cell>
          <cell r="M309">
            <v>126</v>
          </cell>
        </row>
        <row r="310">
          <cell r="B310">
            <v>80404</v>
          </cell>
          <cell r="E310" t="str">
            <v>身形硕大，外边呈赤色，发起怒来震人心魄。</v>
          </cell>
          <cell r="F310">
            <v>19</v>
          </cell>
          <cell r="G310">
            <v>266</v>
          </cell>
          <cell r="H310">
            <v>55</v>
          </cell>
          <cell r="I310">
            <v>1</v>
          </cell>
          <cell r="J310">
            <v>151</v>
          </cell>
          <cell r="K310">
            <v>18</v>
          </cell>
          <cell r="L310">
            <v>143</v>
          </cell>
          <cell r="M310">
            <v>126</v>
          </cell>
        </row>
        <row r="311">
          <cell r="B311">
            <v>80504</v>
          </cell>
          <cell r="E311" t="str">
            <v>铜矿的守护者，受到了恶魔的蛊惑。</v>
          </cell>
          <cell r="F311">
            <v>20</v>
          </cell>
          <cell r="G311">
            <v>680</v>
          </cell>
          <cell r="H311">
            <v>29</v>
          </cell>
          <cell r="I311">
            <v>1</v>
          </cell>
          <cell r="J311">
            <v>221</v>
          </cell>
          <cell r="K311">
            <v>26</v>
          </cell>
          <cell r="L311">
            <v>67</v>
          </cell>
          <cell r="M311">
            <v>55</v>
          </cell>
        </row>
        <row r="312">
          <cell r="B312">
            <v>90104</v>
          </cell>
          <cell r="E312" t="str">
            <v>身披坚硬的铁甲，一般攻击很难奏效。</v>
          </cell>
          <cell r="F312">
            <v>21</v>
          </cell>
          <cell r="G312">
            <v>730</v>
          </cell>
          <cell r="H312">
            <v>31</v>
          </cell>
          <cell r="I312">
            <v>1</v>
          </cell>
          <cell r="J312">
            <v>239</v>
          </cell>
          <cell r="K312">
            <v>28</v>
          </cell>
          <cell r="L312">
            <v>73</v>
          </cell>
          <cell r="M312">
            <v>55</v>
          </cell>
        </row>
        <row r="313">
          <cell r="B313">
            <v>90204</v>
          </cell>
          <cell r="E313" t="str">
            <v>他们漂浮在空气中，随时都有可能向你发动攻击。</v>
          </cell>
          <cell r="F313">
            <v>21</v>
          </cell>
          <cell r="G313">
            <v>438</v>
          </cell>
          <cell r="H313">
            <v>31</v>
          </cell>
          <cell r="I313">
            <v>1</v>
          </cell>
          <cell r="J313">
            <v>166</v>
          </cell>
          <cell r="K313">
            <v>18</v>
          </cell>
          <cell r="L313">
            <v>116</v>
          </cell>
          <cell r="M313">
            <v>110</v>
          </cell>
        </row>
        <row r="314">
          <cell r="B314">
            <v>90304</v>
          </cell>
          <cell r="E314" t="str">
            <v>身披坚硬的铁甲，一般攻击很难奏效。</v>
          </cell>
          <cell r="F314">
            <v>22</v>
          </cell>
          <cell r="G314">
            <v>780</v>
          </cell>
          <cell r="H314">
            <v>33</v>
          </cell>
          <cell r="I314">
            <v>1</v>
          </cell>
          <cell r="J314">
            <v>258</v>
          </cell>
          <cell r="K314">
            <v>31</v>
          </cell>
          <cell r="L314">
            <v>79</v>
          </cell>
          <cell r="M314">
            <v>55</v>
          </cell>
        </row>
        <row r="315">
          <cell r="B315">
            <v>90404</v>
          </cell>
          <cell r="E315" t="str">
            <v>他们漂浮在空气中，随时都有可能向你发动攻击。</v>
          </cell>
          <cell r="F315">
            <v>23</v>
          </cell>
          <cell r="G315">
            <v>495</v>
          </cell>
          <cell r="H315">
            <v>35</v>
          </cell>
          <cell r="I315">
            <v>1</v>
          </cell>
          <cell r="J315">
            <v>192</v>
          </cell>
          <cell r="K315">
            <v>21</v>
          </cell>
          <cell r="L315">
            <v>136</v>
          </cell>
          <cell r="M315">
            <v>110</v>
          </cell>
        </row>
        <row r="316">
          <cell r="B316">
            <v>90504</v>
          </cell>
          <cell r="E316" t="str">
            <v>丛林中凶猛的小蝙蝠。</v>
          </cell>
          <cell r="F316">
            <v>23</v>
          </cell>
          <cell r="G316">
            <v>495</v>
          </cell>
          <cell r="H316">
            <v>35</v>
          </cell>
          <cell r="I316">
            <v>1</v>
          </cell>
          <cell r="J316">
            <v>192</v>
          </cell>
          <cell r="K316">
            <v>21</v>
          </cell>
          <cell r="L316">
            <v>136</v>
          </cell>
          <cell r="M316">
            <v>110</v>
          </cell>
        </row>
        <row r="317">
          <cell r="B317">
            <v>100104</v>
          </cell>
          <cell r="E317" t="str">
            <v>身形硕大，外边呈赤色，发起怒来震人心魄。</v>
          </cell>
          <cell r="F317">
            <v>24</v>
          </cell>
          <cell r="G317">
            <v>376</v>
          </cell>
          <cell r="H317">
            <v>75</v>
          </cell>
          <cell r="I317">
            <v>1</v>
          </cell>
          <cell r="J317">
            <v>218</v>
          </cell>
          <cell r="K317">
            <v>26</v>
          </cell>
          <cell r="L317">
            <v>209</v>
          </cell>
          <cell r="M317">
            <v>126</v>
          </cell>
        </row>
        <row r="318">
          <cell r="B318">
            <v>100204</v>
          </cell>
          <cell r="E318" t="str">
            <v>在邪恶力量驱使下从远古化石中转生。</v>
          </cell>
          <cell r="F318">
            <v>25</v>
          </cell>
          <cell r="G318">
            <v>612</v>
          </cell>
          <cell r="H318">
            <v>39</v>
          </cell>
          <cell r="I318">
            <v>1</v>
          </cell>
          <cell r="J318">
            <v>412</v>
          </cell>
          <cell r="K318">
            <v>24</v>
          </cell>
          <cell r="L318">
            <v>195</v>
          </cell>
          <cell r="M318">
            <v>110</v>
          </cell>
        </row>
        <row r="319">
          <cell r="B319">
            <v>100304</v>
          </cell>
          <cell r="E319" t="str">
            <v>在邪恶力量驱使下从远古化石中转生。</v>
          </cell>
          <cell r="F319">
            <v>25</v>
          </cell>
          <cell r="G319">
            <v>612</v>
          </cell>
          <cell r="H319">
            <v>39</v>
          </cell>
          <cell r="I319">
            <v>1</v>
          </cell>
          <cell r="J319">
            <v>412</v>
          </cell>
          <cell r="K319">
            <v>24</v>
          </cell>
          <cell r="L319">
            <v>195</v>
          </cell>
          <cell r="M319">
            <v>110</v>
          </cell>
        </row>
        <row r="320">
          <cell r="B320">
            <v>100404</v>
          </cell>
          <cell r="E320" t="str">
            <v>心地善良但是被恶魔蛊惑的心智。</v>
          </cell>
          <cell r="F320">
            <v>26</v>
          </cell>
          <cell r="G320">
            <v>422</v>
          </cell>
          <cell r="H320">
            <v>83</v>
          </cell>
          <cell r="I320">
            <v>1</v>
          </cell>
          <cell r="J320">
            <v>263</v>
          </cell>
          <cell r="K320">
            <v>33</v>
          </cell>
          <cell r="L320">
            <v>228</v>
          </cell>
          <cell r="M320">
            <v>126</v>
          </cell>
        </row>
        <row r="321">
          <cell r="B321">
            <v>100504</v>
          </cell>
          <cell r="E321" t="str">
            <v>丛林中凶猛的小蝙蝠。</v>
          </cell>
          <cell r="F321">
            <v>27</v>
          </cell>
          <cell r="G321">
            <v>631</v>
          </cell>
          <cell r="H321">
            <v>43</v>
          </cell>
          <cell r="I321">
            <v>1</v>
          </cell>
          <cell r="J321">
            <v>249</v>
          </cell>
          <cell r="K321">
            <v>26</v>
          </cell>
          <cell r="L321">
            <v>176</v>
          </cell>
          <cell r="M321">
            <v>110</v>
          </cell>
        </row>
        <row r="322">
          <cell r="B322">
            <v>110104</v>
          </cell>
          <cell r="E322" t="str">
            <v>鳗鱼的变异体凶残异常。</v>
          </cell>
          <cell r="F322">
            <v>27</v>
          </cell>
          <cell r="G322">
            <v>683</v>
          </cell>
          <cell r="H322">
            <v>43</v>
          </cell>
          <cell r="I322">
            <v>1</v>
          </cell>
          <cell r="J322">
            <v>468</v>
          </cell>
          <cell r="K322">
            <v>28</v>
          </cell>
          <cell r="L322">
            <v>221</v>
          </cell>
          <cell r="M322">
            <v>110</v>
          </cell>
        </row>
        <row r="323">
          <cell r="B323">
            <v>110204</v>
          </cell>
          <cell r="E323" t="str">
            <v>原本是守护大地的神龙，因贪图强大的力量而走上歧途。</v>
          </cell>
          <cell r="F323">
            <v>28</v>
          </cell>
          <cell r="G323">
            <v>1110</v>
          </cell>
          <cell r="H323">
            <v>45</v>
          </cell>
          <cell r="I323">
            <v>1</v>
          </cell>
          <cell r="J323">
            <v>379</v>
          </cell>
          <cell r="K323">
            <v>44</v>
          </cell>
          <cell r="L323">
            <v>117</v>
          </cell>
          <cell r="M323">
            <v>55</v>
          </cell>
        </row>
        <row r="324">
          <cell r="B324">
            <v>110304</v>
          </cell>
          <cell r="E324" t="str">
            <v>身披坚硬的铁甲，一般攻击很难奏效。</v>
          </cell>
          <cell r="F324">
            <v>29</v>
          </cell>
          <cell r="G324">
            <v>1172</v>
          </cell>
          <cell r="H324">
            <v>47</v>
          </cell>
          <cell r="I324">
            <v>1</v>
          </cell>
          <cell r="J324">
            <v>402</v>
          </cell>
          <cell r="K324">
            <v>46</v>
          </cell>
          <cell r="L324">
            <v>124</v>
          </cell>
          <cell r="M324">
            <v>55</v>
          </cell>
        </row>
        <row r="325">
          <cell r="B325">
            <v>110404</v>
          </cell>
          <cell r="E325" t="str">
            <v>四肢发达但智商低下，是恶魔忠实的打手。</v>
          </cell>
          <cell r="F325">
            <v>29</v>
          </cell>
          <cell r="G325">
            <v>1172</v>
          </cell>
          <cell r="H325">
            <v>47</v>
          </cell>
          <cell r="I325">
            <v>1</v>
          </cell>
          <cell r="J325">
            <v>402</v>
          </cell>
          <cell r="K325">
            <v>46</v>
          </cell>
          <cell r="L325">
            <v>124</v>
          </cell>
          <cell r="M325">
            <v>55</v>
          </cell>
        </row>
        <row r="326">
          <cell r="B326">
            <v>110504</v>
          </cell>
          <cell r="E326" t="str">
            <v>原本是守护大地的神龙，因贪图强大的力量而走上歧途。</v>
          </cell>
          <cell r="F326">
            <v>30</v>
          </cell>
          <cell r="G326">
            <v>1234</v>
          </cell>
          <cell r="H326">
            <v>49</v>
          </cell>
          <cell r="I326">
            <v>1</v>
          </cell>
          <cell r="J326">
            <v>425</v>
          </cell>
          <cell r="K326">
            <v>49</v>
          </cell>
          <cell r="L326">
            <v>132</v>
          </cell>
          <cell r="M326">
            <v>55</v>
          </cell>
        </row>
        <row r="327">
          <cell r="B327">
            <v>120104</v>
          </cell>
          <cell r="E327" t="str">
            <v>可以再树木间相互跳跃。</v>
          </cell>
          <cell r="F327">
            <v>31</v>
          </cell>
          <cell r="G327">
            <v>776</v>
          </cell>
          <cell r="H327">
            <v>51</v>
          </cell>
          <cell r="I327">
            <v>1</v>
          </cell>
          <cell r="J327">
            <v>312</v>
          </cell>
          <cell r="K327">
            <v>32</v>
          </cell>
          <cell r="L327">
            <v>223</v>
          </cell>
          <cell r="M327">
            <v>110</v>
          </cell>
        </row>
        <row r="328">
          <cell r="B328">
            <v>120204</v>
          </cell>
          <cell r="E328" t="str">
            <v>寄居在斯塞提卡湖底，以残害渔民为乐。</v>
          </cell>
          <cell r="F328">
            <v>31</v>
          </cell>
          <cell r="G328">
            <v>549</v>
          </cell>
          <cell r="H328">
            <v>103</v>
          </cell>
          <cell r="I328">
            <v>1</v>
          </cell>
          <cell r="J328">
            <v>351</v>
          </cell>
          <cell r="K328">
            <v>43</v>
          </cell>
          <cell r="L328">
            <v>306</v>
          </cell>
          <cell r="M328">
            <v>126</v>
          </cell>
        </row>
        <row r="329">
          <cell r="B329">
            <v>120304</v>
          </cell>
          <cell r="E329" t="str">
            <v>寄居在斯塞提卡湖底，以残害渔民为乐。</v>
          </cell>
          <cell r="F329">
            <v>32</v>
          </cell>
          <cell r="G329">
            <v>578</v>
          </cell>
          <cell r="H329">
            <v>107</v>
          </cell>
          <cell r="I329">
            <v>1</v>
          </cell>
          <cell r="J329">
            <v>370</v>
          </cell>
          <cell r="K329">
            <v>45</v>
          </cell>
          <cell r="L329">
            <v>324</v>
          </cell>
          <cell r="M329">
            <v>126</v>
          </cell>
        </row>
        <row r="330">
          <cell r="B330">
            <v>120404</v>
          </cell>
          <cell r="E330" t="str">
            <v>在黑暗力量的影响下，从远古化石中复活。</v>
          </cell>
          <cell r="F330">
            <v>33</v>
          </cell>
          <cell r="G330">
            <v>605</v>
          </cell>
          <cell r="H330">
            <v>111</v>
          </cell>
          <cell r="I330">
            <v>1</v>
          </cell>
          <cell r="J330">
            <v>324</v>
          </cell>
          <cell r="K330">
            <v>43</v>
          </cell>
          <cell r="L330">
            <v>388</v>
          </cell>
          <cell r="M330">
            <v>126</v>
          </cell>
        </row>
        <row r="331">
          <cell r="B331">
            <v>120504</v>
          </cell>
          <cell r="E331" t="str">
            <v>坚硬的外表下藏着一颗恶毒的心。</v>
          </cell>
          <cell r="F331">
            <v>33</v>
          </cell>
          <cell r="G331">
            <v>1424</v>
          </cell>
          <cell r="H331">
            <v>55</v>
          </cell>
          <cell r="I331">
            <v>1</v>
          </cell>
          <cell r="J331">
            <v>497</v>
          </cell>
          <cell r="K331">
            <v>57</v>
          </cell>
          <cell r="L331">
            <v>155</v>
          </cell>
          <cell r="M331">
            <v>55</v>
          </cell>
        </row>
        <row r="332">
          <cell r="B332">
            <v>130104</v>
          </cell>
          <cell r="E332" t="str">
            <v>比一般幽灵更容易愤怒遇见她要小心了。</v>
          </cell>
          <cell r="F332">
            <v>34</v>
          </cell>
          <cell r="G332">
            <v>632</v>
          </cell>
          <cell r="H332">
            <v>115</v>
          </cell>
          <cell r="I332">
            <v>1</v>
          </cell>
          <cell r="J332">
            <v>411</v>
          </cell>
          <cell r="K332">
            <v>50</v>
          </cell>
          <cell r="L332">
            <v>360</v>
          </cell>
          <cell r="M332">
            <v>126</v>
          </cell>
        </row>
        <row r="333">
          <cell r="B333">
            <v>130204</v>
          </cell>
          <cell r="E333" t="str">
            <v>拥有雷之能力的魔晶。</v>
          </cell>
          <cell r="F333">
            <v>35</v>
          </cell>
          <cell r="G333">
            <v>661</v>
          </cell>
          <cell r="H333">
            <v>119</v>
          </cell>
          <cell r="I333">
            <v>1</v>
          </cell>
          <cell r="J333">
            <v>432</v>
          </cell>
          <cell r="K333">
            <v>46</v>
          </cell>
          <cell r="L333">
            <v>379</v>
          </cell>
          <cell r="M333">
            <v>126</v>
          </cell>
        </row>
        <row r="334">
          <cell r="B334">
            <v>130304</v>
          </cell>
          <cell r="E334" t="str">
            <v>在邪恶力量驱使下从远古化石中转生。</v>
          </cell>
          <cell r="F334">
            <v>36</v>
          </cell>
          <cell r="G334">
            <v>1058</v>
          </cell>
          <cell r="H334">
            <v>62</v>
          </cell>
          <cell r="I334">
            <v>1</v>
          </cell>
          <cell r="J334">
            <v>754</v>
          </cell>
          <cell r="K334">
            <v>43</v>
          </cell>
          <cell r="L334">
            <v>362</v>
          </cell>
          <cell r="M334">
            <v>110</v>
          </cell>
        </row>
        <row r="335">
          <cell r="B335">
            <v>130404</v>
          </cell>
          <cell r="E335" t="str">
            <v>凶残成性但是智商捉襟见肘。</v>
          </cell>
          <cell r="F335">
            <v>36</v>
          </cell>
          <cell r="G335">
            <v>976</v>
          </cell>
          <cell r="H335">
            <v>62</v>
          </cell>
          <cell r="I335">
            <v>1</v>
          </cell>
          <cell r="J335">
            <v>402</v>
          </cell>
          <cell r="K335">
            <v>40</v>
          </cell>
          <cell r="L335">
            <v>289</v>
          </cell>
          <cell r="M335">
            <v>110</v>
          </cell>
        </row>
        <row r="336">
          <cell r="B336">
            <v>130504</v>
          </cell>
          <cell r="E336" t="str">
            <v>斯塞提卡湖中寄居的幽灵。</v>
          </cell>
          <cell r="F336">
            <v>37</v>
          </cell>
          <cell r="G336">
            <v>720</v>
          </cell>
          <cell r="H336">
            <v>129</v>
          </cell>
          <cell r="I336">
            <v>1</v>
          </cell>
          <cell r="J336">
            <v>474</v>
          </cell>
          <cell r="K336">
            <v>57</v>
          </cell>
          <cell r="L336">
            <v>418</v>
          </cell>
          <cell r="M336">
            <v>126</v>
          </cell>
        </row>
        <row r="337">
          <cell r="B337">
            <v>140104</v>
          </cell>
          <cell r="E337" t="str">
            <v>腐朽的泥土中产生的怪物。</v>
          </cell>
          <cell r="F337">
            <v>38</v>
          </cell>
          <cell r="G337">
            <v>972</v>
          </cell>
          <cell r="H337">
            <v>134</v>
          </cell>
          <cell r="I337">
            <v>1</v>
          </cell>
          <cell r="J337">
            <v>387</v>
          </cell>
          <cell r="K337">
            <v>47</v>
          </cell>
          <cell r="L337">
            <v>598</v>
          </cell>
          <cell r="M337">
            <v>110</v>
          </cell>
        </row>
        <row r="338">
          <cell r="B338">
            <v>140204</v>
          </cell>
          <cell r="E338" t="str">
            <v>发了狂的蜘蛛，异常凶残。</v>
          </cell>
          <cell r="F338">
            <v>38</v>
          </cell>
          <cell r="G338">
            <v>751</v>
          </cell>
          <cell r="H338">
            <v>134</v>
          </cell>
          <cell r="I338">
            <v>1</v>
          </cell>
          <cell r="J338">
            <v>553</v>
          </cell>
          <cell r="K338">
            <v>53</v>
          </cell>
          <cell r="L338">
            <v>399</v>
          </cell>
          <cell r="M338">
            <v>126</v>
          </cell>
        </row>
        <row r="339">
          <cell r="B339">
            <v>140304</v>
          </cell>
          <cell r="E339" t="str">
            <v>铜矿的守护者，受到了恶魔的蛊惑。</v>
          </cell>
          <cell r="F339">
            <v>39</v>
          </cell>
          <cell r="G339">
            <v>1834</v>
          </cell>
          <cell r="H339">
            <v>69</v>
          </cell>
          <cell r="I339">
            <v>1</v>
          </cell>
          <cell r="J339">
            <v>664</v>
          </cell>
          <cell r="K339">
            <v>74</v>
          </cell>
          <cell r="L339">
            <v>209</v>
          </cell>
          <cell r="M339">
            <v>55</v>
          </cell>
        </row>
        <row r="340">
          <cell r="B340">
            <v>140404</v>
          </cell>
          <cell r="E340" t="str">
            <v>身形硕大，外边青赤色，发起怒来震人心魄。</v>
          </cell>
          <cell r="F340">
            <v>40</v>
          </cell>
          <cell r="G340">
            <v>1142</v>
          </cell>
          <cell r="H340">
            <v>115</v>
          </cell>
          <cell r="I340">
            <v>1</v>
          </cell>
          <cell r="J340">
            <v>726</v>
          </cell>
          <cell r="K340">
            <v>51</v>
          </cell>
          <cell r="L340">
            <v>524</v>
          </cell>
          <cell r="M340">
            <v>110</v>
          </cell>
        </row>
        <row r="341">
          <cell r="B341">
            <v>140504</v>
          </cell>
          <cell r="E341" t="str">
            <v>擅长忍术的强盗，诡计多端。</v>
          </cell>
          <cell r="F341">
            <v>41</v>
          </cell>
          <cell r="G341">
            <v>841</v>
          </cell>
          <cell r="H341">
            <v>149</v>
          </cell>
          <cell r="I341">
            <v>1</v>
          </cell>
          <cell r="J341">
            <v>569</v>
          </cell>
          <cell r="K341">
            <v>60</v>
          </cell>
          <cell r="L341">
            <v>503</v>
          </cell>
          <cell r="M341">
            <v>126</v>
          </cell>
        </row>
        <row r="342">
          <cell r="B342">
            <v>150104</v>
          </cell>
          <cell r="E342" t="str">
            <v>他们漂浮在空气中，随时都有可能向你发动攻击。</v>
          </cell>
          <cell r="F342">
            <v>41</v>
          </cell>
          <cell r="G342">
            <v>1188</v>
          </cell>
          <cell r="H342">
            <v>74</v>
          </cell>
          <cell r="I342">
            <v>1</v>
          </cell>
          <cell r="J342">
            <v>506</v>
          </cell>
          <cell r="K342">
            <v>50</v>
          </cell>
          <cell r="L342">
            <v>366</v>
          </cell>
          <cell r="M342">
            <v>110</v>
          </cell>
        </row>
        <row r="343">
          <cell r="B343">
            <v>150204</v>
          </cell>
          <cell r="E343" t="str">
            <v>心地善良但是被恶魔蛊惑的心智。</v>
          </cell>
          <cell r="F343">
            <v>42</v>
          </cell>
          <cell r="G343">
            <v>873</v>
          </cell>
          <cell r="H343">
            <v>154</v>
          </cell>
          <cell r="I343">
            <v>1</v>
          </cell>
          <cell r="J343">
            <v>594</v>
          </cell>
          <cell r="K343">
            <v>69</v>
          </cell>
          <cell r="L343">
            <v>525</v>
          </cell>
          <cell r="M343">
            <v>126</v>
          </cell>
        </row>
        <row r="344">
          <cell r="B344">
            <v>150304</v>
          </cell>
          <cell r="E344" t="str">
            <v>拥有雷之力量的凶残盗贼。</v>
          </cell>
          <cell r="F344">
            <v>43</v>
          </cell>
          <cell r="G344">
            <v>903</v>
          </cell>
          <cell r="H344">
            <v>159</v>
          </cell>
          <cell r="I344">
            <v>1</v>
          </cell>
          <cell r="J344">
            <v>619</v>
          </cell>
          <cell r="K344">
            <v>64</v>
          </cell>
          <cell r="L344">
            <v>548</v>
          </cell>
          <cell r="M344">
            <v>126</v>
          </cell>
        </row>
        <row r="345">
          <cell r="B345">
            <v>150404</v>
          </cell>
          <cell r="E345" t="str">
            <v>发了狂的蜘蛛，异常凶残。</v>
          </cell>
          <cell r="F345">
            <v>44</v>
          </cell>
          <cell r="G345">
            <v>935</v>
          </cell>
          <cell r="H345">
            <v>164</v>
          </cell>
          <cell r="I345">
            <v>1</v>
          </cell>
          <cell r="J345">
            <v>717</v>
          </cell>
          <cell r="K345">
            <v>66</v>
          </cell>
          <cell r="L345">
            <v>520</v>
          </cell>
          <cell r="M345">
            <v>126</v>
          </cell>
        </row>
        <row r="346">
          <cell r="B346">
            <v>150504</v>
          </cell>
          <cell r="E346" t="str">
            <v>大教堂中没有得到超度的灵魂。</v>
          </cell>
          <cell r="F346">
            <v>44</v>
          </cell>
          <cell r="G346">
            <v>1211</v>
          </cell>
          <cell r="H346">
            <v>164</v>
          </cell>
          <cell r="I346">
            <v>1</v>
          </cell>
          <cell r="J346">
            <v>501</v>
          </cell>
          <cell r="K346">
            <v>59</v>
          </cell>
          <cell r="L346">
            <v>780</v>
          </cell>
          <cell r="M346">
            <v>110</v>
          </cell>
        </row>
        <row r="347">
          <cell r="B347">
            <v>160104</v>
          </cell>
          <cell r="E347" t="str">
            <v>拥有雷之能力的魔晶。</v>
          </cell>
          <cell r="F347">
            <v>45</v>
          </cell>
          <cell r="G347">
            <v>967</v>
          </cell>
          <cell r="H347">
            <v>169</v>
          </cell>
          <cell r="I347">
            <v>1</v>
          </cell>
          <cell r="J347">
            <v>672</v>
          </cell>
          <cell r="K347">
            <v>69</v>
          </cell>
          <cell r="L347">
            <v>596</v>
          </cell>
          <cell r="M347">
            <v>126</v>
          </cell>
        </row>
        <row r="348">
          <cell r="B348">
            <v>160204</v>
          </cell>
          <cell r="E348" t="str">
            <v>坚硬的外表下藏着一颗恶毒的心。</v>
          </cell>
          <cell r="F348">
            <v>46</v>
          </cell>
          <cell r="G348">
            <v>2352</v>
          </cell>
          <cell r="H348">
            <v>87</v>
          </cell>
          <cell r="I348">
            <v>1</v>
          </cell>
          <cell r="J348">
            <v>893</v>
          </cell>
          <cell r="K348">
            <v>96</v>
          </cell>
          <cell r="L348">
            <v>282</v>
          </cell>
          <cell r="M348">
            <v>55</v>
          </cell>
        </row>
        <row r="349">
          <cell r="B349">
            <v>160304</v>
          </cell>
          <cell r="E349" t="str">
            <v>拥有雷之力量的凶残盗贼。</v>
          </cell>
          <cell r="F349">
            <v>47</v>
          </cell>
          <cell r="G349">
            <v>1033</v>
          </cell>
          <cell r="H349">
            <v>179</v>
          </cell>
          <cell r="I349">
            <v>1</v>
          </cell>
          <cell r="J349">
            <v>727</v>
          </cell>
          <cell r="K349">
            <v>73</v>
          </cell>
          <cell r="L349">
            <v>645</v>
          </cell>
          <cell r="M349">
            <v>126</v>
          </cell>
        </row>
        <row r="350">
          <cell r="B350">
            <v>160404</v>
          </cell>
          <cell r="E350" t="str">
            <v>吞噬了光之能量的恶魔。</v>
          </cell>
          <cell r="F350">
            <v>47</v>
          </cell>
          <cell r="G350">
            <v>1033</v>
          </cell>
          <cell r="H350">
            <v>179</v>
          </cell>
          <cell r="I350">
            <v>1</v>
          </cell>
          <cell r="J350">
            <v>646</v>
          </cell>
          <cell r="K350">
            <v>73</v>
          </cell>
          <cell r="L350">
            <v>704</v>
          </cell>
          <cell r="M350">
            <v>126</v>
          </cell>
        </row>
        <row r="351">
          <cell r="B351">
            <v>160504</v>
          </cell>
          <cell r="E351" t="str">
            <v>每一根绒毛都充满了毒液，千万不要被它碰到。</v>
          </cell>
          <cell r="F351">
            <v>48</v>
          </cell>
          <cell r="G351">
            <v>1066</v>
          </cell>
          <cell r="H351">
            <v>184</v>
          </cell>
          <cell r="I351">
            <v>1</v>
          </cell>
          <cell r="J351">
            <v>630</v>
          </cell>
          <cell r="K351">
            <v>76</v>
          </cell>
          <cell r="L351">
            <v>763</v>
          </cell>
          <cell r="M351">
            <v>126</v>
          </cell>
        </row>
        <row r="352">
          <cell r="B352">
            <v>170104</v>
          </cell>
          <cell r="E352" t="str">
            <v>身形硕大，外边呈赤色，发起怒来震人心魄。</v>
          </cell>
          <cell r="F352">
            <v>49</v>
          </cell>
          <cell r="G352">
            <v>1099</v>
          </cell>
          <cell r="H352">
            <v>189</v>
          </cell>
          <cell r="I352">
            <v>1</v>
          </cell>
          <cell r="J352">
            <v>742</v>
          </cell>
          <cell r="K352">
            <v>79</v>
          </cell>
          <cell r="L352">
            <v>731</v>
          </cell>
          <cell r="M352">
            <v>126</v>
          </cell>
        </row>
        <row r="353">
          <cell r="B353">
            <v>170204</v>
          </cell>
          <cell r="E353" t="str">
            <v>小蝙蝠的进化体。</v>
          </cell>
          <cell r="F353">
            <v>50</v>
          </cell>
          <cell r="G353">
            <v>1596</v>
          </cell>
          <cell r="H353">
            <v>97</v>
          </cell>
          <cell r="I353">
            <v>1</v>
          </cell>
          <cell r="J353">
            <v>725</v>
          </cell>
          <cell r="K353">
            <v>68</v>
          </cell>
          <cell r="L353">
            <v>528</v>
          </cell>
          <cell r="M353">
            <v>110</v>
          </cell>
        </row>
        <row r="354">
          <cell r="B354">
            <v>170304</v>
          </cell>
          <cell r="E354" t="str">
            <v>腐朽的泥土中产生的怪物。</v>
          </cell>
          <cell r="F354">
            <v>50</v>
          </cell>
          <cell r="G354">
            <v>1463</v>
          </cell>
          <cell r="H354">
            <v>194</v>
          </cell>
          <cell r="I354">
            <v>1</v>
          </cell>
          <cell r="J354">
            <v>634</v>
          </cell>
          <cell r="K354">
            <v>72</v>
          </cell>
          <cell r="L354">
            <v>990</v>
          </cell>
          <cell r="M354">
            <v>110</v>
          </cell>
        </row>
        <row r="355">
          <cell r="B355">
            <v>170404</v>
          </cell>
          <cell r="E355" t="str">
            <v>心地善良但是被恶魔蛊惑的心智。</v>
          </cell>
          <cell r="F355">
            <v>51</v>
          </cell>
          <cell r="G355">
            <v>1167</v>
          </cell>
          <cell r="H355">
            <v>199</v>
          </cell>
          <cell r="I355">
            <v>1</v>
          </cell>
          <cell r="J355">
            <v>846</v>
          </cell>
          <cell r="K355">
            <v>93</v>
          </cell>
          <cell r="L355">
            <v>753</v>
          </cell>
          <cell r="M355">
            <v>126</v>
          </cell>
        </row>
        <row r="356">
          <cell r="B356">
            <v>170504</v>
          </cell>
          <cell r="E356" t="str">
            <v>守护光之能量的女护卫，但是被恶魔蒙蔽了眼睛。</v>
          </cell>
          <cell r="F356">
            <v>52</v>
          </cell>
          <cell r="G356">
            <v>1201</v>
          </cell>
          <cell r="H356">
            <v>204</v>
          </cell>
          <cell r="I356">
            <v>1</v>
          </cell>
          <cell r="J356">
            <v>780</v>
          </cell>
          <cell r="K356">
            <v>86</v>
          </cell>
          <cell r="L356">
            <v>853</v>
          </cell>
          <cell r="M356">
            <v>126</v>
          </cell>
        </row>
        <row r="357">
          <cell r="B357">
            <v>180104</v>
          </cell>
          <cell r="E357" t="str">
            <v>具有强大的攻击能力，千万不要被他的外表蒙蔽。</v>
          </cell>
          <cell r="F357">
            <v>53</v>
          </cell>
          <cell r="G357">
            <v>2906</v>
          </cell>
          <cell r="H357">
            <v>104</v>
          </cell>
          <cell r="I357">
            <v>1</v>
          </cell>
          <cell r="J357">
            <v>1161</v>
          </cell>
          <cell r="K357">
            <v>118</v>
          </cell>
          <cell r="L357">
            <v>369</v>
          </cell>
          <cell r="M357">
            <v>55</v>
          </cell>
        </row>
        <row r="358">
          <cell r="B358">
            <v>180204</v>
          </cell>
          <cell r="E358" t="str">
            <v>原本是守护大地的神龙，因贪图强大的力量而走上歧途。</v>
          </cell>
          <cell r="F358">
            <v>54</v>
          </cell>
          <cell r="G358">
            <v>2986</v>
          </cell>
          <cell r="H358">
            <v>107</v>
          </cell>
          <cell r="I358">
            <v>1</v>
          </cell>
          <cell r="J358">
            <v>1204</v>
          </cell>
          <cell r="K358">
            <v>122</v>
          </cell>
          <cell r="L358">
            <v>382</v>
          </cell>
          <cell r="M358">
            <v>55</v>
          </cell>
        </row>
        <row r="359">
          <cell r="B359">
            <v>180304</v>
          </cell>
          <cell r="E359" t="str">
            <v>身披坚硬的铁甲，一般攻击很难奏效。</v>
          </cell>
          <cell r="F359">
            <v>54</v>
          </cell>
          <cell r="G359">
            <v>2986</v>
          </cell>
          <cell r="H359">
            <v>107</v>
          </cell>
          <cell r="I359">
            <v>1</v>
          </cell>
          <cell r="J359">
            <v>1204</v>
          </cell>
          <cell r="K359">
            <v>122</v>
          </cell>
          <cell r="L359">
            <v>382</v>
          </cell>
          <cell r="M359">
            <v>55</v>
          </cell>
        </row>
        <row r="360">
          <cell r="B360">
            <v>180404</v>
          </cell>
          <cell r="E360" t="str">
            <v>心地善良但是被恶魔蛊惑的心智。</v>
          </cell>
          <cell r="F360">
            <v>55</v>
          </cell>
          <cell r="G360">
            <v>1303</v>
          </cell>
          <cell r="H360">
            <v>219</v>
          </cell>
          <cell r="I360">
            <v>1</v>
          </cell>
          <cell r="J360">
            <v>974</v>
          </cell>
          <cell r="K360">
            <v>105</v>
          </cell>
          <cell r="L360">
            <v>871</v>
          </cell>
          <cell r="M360">
            <v>126</v>
          </cell>
        </row>
        <row r="361">
          <cell r="B361">
            <v>180504</v>
          </cell>
          <cell r="E361" t="str">
            <v>丛林中凶猛的小蝙蝠。</v>
          </cell>
          <cell r="F361">
            <v>56</v>
          </cell>
          <cell r="G361">
            <v>1888</v>
          </cell>
          <cell r="H361">
            <v>112</v>
          </cell>
          <cell r="I361">
            <v>1</v>
          </cell>
          <cell r="J361">
            <v>897</v>
          </cell>
          <cell r="K361">
            <v>81</v>
          </cell>
          <cell r="L361">
            <v>656</v>
          </cell>
          <cell r="M361">
            <v>110</v>
          </cell>
        </row>
        <row r="362">
          <cell r="B362">
            <v>10105</v>
          </cell>
          <cell r="E362" t="str">
            <v>腐朽的泥土中产生的怪物。</v>
          </cell>
          <cell r="F362">
            <v>1</v>
          </cell>
          <cell r="G362">
            <v>37</v>
          </cell>
          <cell r="H362">
            <v>8</v>
          </cell>
          <cell r="I362">
            <v>1</v>
          </cell>
          <cell r="J362">
            <v>17</v>
          </cell>
          <cell r="K362">
            <v>1</v>
          </cell>
          <cell r="L362">
            <v>21</v>
          </cell>
          <cell r="M362">
            <v>2</v>
          </cell>
        </row>
        <row r="363">
          <cell r="B363">
            <v>10205</v>
          </cell>
          <cell r="E363" t="str">
            <v>已经死亡的蟒蛇在某种诡异的力量下复活了。</v>
          </cell>
          <cell r="F363">
            <v>1</v>
          </cell>
          <cell r="G363">
            <v>37</v>
          </cell>
          <cell r="H363">
            <v>8</v>
          </cell>
          <cell r="I363">
            <v>1</v>
          </cell>
          <cell r="J363">
            <v>17</v>
          </cell>
          <cell r="K363">
            <v>1</v>
          </cell>
          <cell r="L363">
            <v>21</v>
          </cell>
          <cell r="M363">
            <v>2</v>
          </cell>
        </row>
        <row r="364">
          <cell r="B364">
            <v>10305</v>
          </cell>
          <cell r="E364" t="str">
            <v>斯塞提卡湖中寄居的幽灵。</v>
          </cell>
          <cell r="F364">
            <v>1</v>
          </cell>
          <cell r="G364">
            <v>28</v>
          </cell>
          <cell r="H364">
            <v>8</v>
          </cell>
          <cell r="I364">
            <v>1</v>
          </cell>
          <cell r="J364">
            <v>22</v>
          </cell>
          <cell r="K364">
            <v>2</v>
          </cell>
          <cell r="L364">
            <v>15</v>
          </cell>
          <cell r="M364">
            <v>2</v>
          </cell>
        </row>
        <row r="365">
          <cell r="B365">
            <v>10405</v>
          </cell>
          <cell r="E365" t="str">
            <v>腐朽的泥土中产生的怪物。</v>
          </cell>
          <cell r="F365">
            <v>1</v>
          </cell>
          <cell r="G365">
            <v>37</v>
          </cell>
          <cell r="H365">
            <v>8</v>
          </cell>
          <cell r="I365">
            <v>1</v>
          </cell>
          <cell r="J365">
            <v>17</v>
          </cell>
          <cell r="K365">
            <v>1</v>
          </cell>
          <cell r="L365">
            <v>21</v>
          </cell>
          <cell r="M365">
            <v>2</v>
          </cell>
        </row>
        <row r="366">
          <cell r="B366">
            <v>10505</v>
          </cell>
          <cell r="E366" t="str">
            <v>小蝙蝠的进化体。</v>
          </cell>
          <cell r="F366">
            <v>2</v>
          </cell>
          <cell r="G366">
            <v>45</v>
          </cell>
          <cell r="H366">
            <v>5</v>
          </cell>
          <cell r="I366">
            <v>1</v>
          </cell>
          <cell r="J366">
            <v>22</v>
          </cell>
          <cell r="K366">
            <v>2</v>
          </cell>
          <cell r="L366">
            <v>12</v>
          </cell>
          <cell r="M366">
            <v>8</v>
          </cell>
        </row>
        <row r="367">
          <cell r="B367">
            <v>20105</v>
          </cell>
          <cell r="E367" t="str">
            <v>因把灵魂出卖给了冥王，获得了永久的生命。</v>
          </cell>
          <cell r="F367">
            <v>2</v>
          </cell>
          <cell r="G367">
            <v>32</v>
          </cell>
          <cell r="H367">
            <v>10</v>
          </cell>
          <cell r="I367">
            <v>1</v>
          </cell>
          <cell r="J367">
            <v>21</v>
          </cell>
          <cell r="K367">
            <v>2</v>
          </cell>
          <cell r="L367">
            <v>20</v>
          </cell>
          <cell r="M367">
            <v>9</v>
          </cell>
        </row>
        <row r="368">
          <cell r="B368">
            <v>20205</v>
          </cell>
          <cell r="E368" t="str">
            <v>小蝙蝠的进化体。</v>
          </cell>
          <cell r="F368">
            <v>3</v>
          </cell>
          <cell r="G368">
            <v>56</v>
          </cell>
          <cell r="H368">
            <v>0</v>
          </cell>
          <cell r="I368">
            <v>1</v>
          </cell>
          <cell r="J368">
            <v>25</v>
          </cell>
          <cell r="K368">
            <v>2</v>
          </cell>
          <cell r="L368">
            <v>14</v>
          </cell>
          <cell r="M368">
            <v>14</v>
          </cell>
        </row>
        <row r="369">
          <cell r="B369">
            <v>20305</v>
          </cell>
          <cell r="E369" t="str">
            <v>小蝙蝠的进化体。</v>
          </cell>
          <cell r="F369">
            <v>3</v>
          </cell>
          <cell r="G369">
            <v>56</v>
          </cell>
          <cell r="H369">
            <v>0</v>
          </cell>
          <cell r="I369">
            <v>1</v>
          </cell>
          <cell r="J369">
            <v>25</v>
          </cell>
          <cell r="K369">
            <v>2</v>
          </cell>
          <cell r="L369">
            <v>14</v>
          </cell>
          <cell r="M369">
            <v>14</v>
          </cell>
        </row>
        <row r="370">
          <cell r="B370">
            <v>20405</v>
          </cell>
          <cell r="E370" t="str">
            <v>在邪恶力量驱使下从远古化石中转生。</v>
          </cell>
          <cell r="F370">
            <v>3</v>
          </cell>
          <cell r="G370">
            <v>61</v>
          </cell>
          <cell r="H370">
            <v>6</v>
          </cell>
          <cell r="I370">
            <v>1</v>
          </cell>
          <cell r="J370">
            <v>48</v>
          </cell>
          <cell r="K370">
            <v>2</v>
          </cell>
          <cell r="L370">
            <v>18</v>
          </cell>
          <cell r="M370">
            <v>14</v>
          </cell>
        </row>
        <row r="371">
          <cell r="B371">
            <v>20505</v>
          </cell>
          <cell r="E371" t="str">
            <v>地狱魔王最喜爱的宠物，非常凶残。</v>
          </cell>
          <cell r="F371">
            <v>4</v>
          </cell>
          <cell r="G371">
            <v>67</v>
          </cell>
          <cell r="H371">
            <v>7</v>
          </cell>
          <cell r="I371">
            <v>1</v>
          </cell>
          <cell r="J371">
            <v>28</v>
          </cell>
          <cell r="K371">
            <v>3</v>
          </cell>
          <cell r="L371">
            <v>17</v>
          </cell>
          <cell r="M371">
            <v>20</v>
          </cell>
        </row>
        <row r="372">
          <cell r="B372">
            <v>30105</v>
          </cell>
          <cell r="E372" t="str">
            <v>身形硕大，外边土赤色，发起怒来震人心魄。</v>
          </cell>
          <cell r="F372">
            <v>4</v>
          </cell>
          <cell r="G372">
            <v>67</v>
          </cell>
          <cell r="H372">
            <v>11</v>
          </cell>
          <cell r="I372">
            <v>1</v>
          </cell>
          <cell r="J372">
            <v>42</v>
          </cell>
          <cell r="K372">
            <v>3</v>
          </cell>
          <cell r="L372">
            <v>26</v>
          </cell>
          <cell r="M372">
            <v>20</v>
          </cell>
        </row>
        <row r="373">
          <cell r="B373">
            <v>30205</v>
          </cell>
          <cell r="E373" t="str">
            <v>守护光之能量的女护卫，但是被恶魔蒙蔽了眼睛。</v>
          </cell>
          <cell r="F373">
            <v>5</v>
          </cell>
          <cell r="G373">
            <v>57</v>
          </cell>
          <cell r="H373">
            <v>16</v>
          </cell>
          <cell r="I373">
            <v>1</v>
          </cell>
          <cell r="J373">
            <v>32</v>
          </cell>
          <cell r="K373">
            <v>3</v>
          </cell>
          <cell r="L373">
            <v>30</v>
          </cell>
          <cell r="M373">
            <v>29</v>
          </cell>
        </row>
        <row r="374">
          <cell r="B374">
            <v>30305</v>
          </cell>
          <cell r="E374" t="str">
            <v>每一根绒毛都充满了毒液，千万不要被它碰到。</v>
          </cell>
          <cell r="F374">
            <v>5</v>
          </cell>
          <cell r="G374">
            <v>57</v>
          </cell>
          <cell r="H374">
            <v>16</v>
          </cell>
          <cell r="I374">
            <v>1</v>
          </cell>
          <cell r="J374">
            <v>30</v>
          </cell>
          <cell r="K374">
            <v>3</v>
          </cell>
          <cell r="L374">
            <v>31</v>
          </cell>
          <cell r="M374">
            <v>29</v>
          </cell>
        </row>
        <row r="375">
          <cell r="B375">
            <v>30405</v>
          </cell>
          <cell r="E375" t="str">
            <v>拥有光之能力的魔晶。</v>
          </cell>
          <cell r="F375">
            <v>6</v>
          </cell>
          <cell r="G375">
            <v>65</v>
          </cell>
          <cell r="H375">
            <v>18</v>
          </cell>
          <cell r="I375">
            <v>1</v>
          </cell>
          <cell r="J375">
            <v>37</v>
          </cell>
          <cell r="K375">
            <v>4</v>
          </cell>
          <cell r="L375">
            <v>36</v>
          </cell>
          <cell r="M375">
            <v>36</v>
          </cell>
        </row>
        <row r="376">
          <cell r="B376">
            <v>30505</v>
          </cell>
          <cell r="E376" t="str">
            <v>已经死亡的蟒蛇在某种诡异的力量下复活了。</v>
          </cell>
          <cell r="F376">
            <v>6</v>
          </cell>
          <cell r="G376">
            <v>84</v>
          </cell>
          <cell r="H376">
            <v>18</v>
          </cell>
          <cell r="I376">
            <v>1</v>
          </cell>
          <cell r="J376">
            <v>32</v>
          </cell>
          <cell r="K376">
            <v>4</v>
          </cell>
          <cell r="L376">
            <v>45</v>
          </cell>
          <cell r="M376">
            <v>32</v>
          </cell>
        </row>
        <row r="377">
          <cell r="B377">
            <v>40105</v>
          </cell>
          <cell r="E377" t="str">
            <v>在邪恶力量驱使下从远古化石中转生。</v>
          </cell>
          <cell r="F377">
            <v>6</v>
          </cell>
          <cell r="G377">
            <v>100</v>
          </cell>
          <cell r="H377">
            <v>9</v>
          </cell>
          <cell r="I377">
            <v>1</v>
          </cell>
          <cell r="J377">
            <v>70</v>
          </cell>
          <cell r="K377">
            <v>4</v>
          </cell>
          <cell r="L377">
            <v>30</v>
          </cell>
          <cell r="M377">
            <v>32</v>
          </cell>
        </row>
        <row r="378">
          <cell r="B378">
            <v>40205</v>
          </cell>
          <cell r="E378" t="str">
            <v>在火焰熔炼中诞生，全身炙热。</v>
          </cell>
          <cell r="F378">
            <v>7</v>
          </cell>
          <cell r="G378">
            <v>77</v>
          </cell>
          <cell r="H378">
            <v>20</v>
          </cell>
          <cell r="I378">
            <v>1</v>
          </cell>
          <cell r="J378">
            <v>45</v>
          </cell>
          <cell r="K378">
            <v>5</v>
          </cell>
          <cell r="L378">
            <v>39</v>
          </cell>
          <cell r="M378">
            <v>43</v>
          </cell>
        </row>
        <row r="379">
          <cell r="B379">
            <v>40305</v>
          </cell>
          <cell r="E379" t="str">
            <v>腐朽的泥土中产生的怪物。</v>
          </cell>
          <cell r="F379">
            <v>7</v>
          </cell>
          <cell r="G379">
            <v>100</v>
          </cell>
          <cell r="H379">
            <v>20</v>
          </cell>
          <cell r="I379">
            <v>1</v>
          </cell>
          <cell r="J379">
            <v>37</v>
          </cell>
          <cell r="K379">
            <v>4</v>
          </cell>
          <cell r="L379">
            <v>51</v>
          </cell>
          <cell r="M379">
            <v>38</v>
          </cell>
        </row>
        <row r="380">
          <cell r="B380">
            <v>40405</v>
          </cell>
          <cell r="E380" t="str">
            <v>地狱魔王最喜爱的宠物，非常凶残。</v>
          </cell>
          <cell r="F380">
            <v>8</v>
          </cell>
          <cell r="G380">
            <v>124</v>
          </cell>
          <cell r="H380">
            <v>11</v>
          </cell>
          <cell r="I380">
            <v>1</v>
          </cell>
          <cell r="J380">
            <v>48</v>
          </cell>
          <cell r="K380">
            <v>5</v>
          </cell>
          <cell r="L380">
            <v>32</v>
          </cell>
          <cell r="M380">
            <v>44</v>
          </cell>
        </row>
        <row r="381">
          <cell r="B381">
            <v>40505</v>
          </cell>
          <cell r="E381" t="str">
            <v>凶残成性但是智商捉襟见肘。</v>
          </cell>
          <cell r="F381">
            <v>8</v>
          </cell>
          <cell r="G381">
            <v>124</v>
          </cell>
          <cell r="H381">
            <v>11</v>
          </cell>
          <cell r="I381">
            <v>1</v>
          </cell>
          <cell r="J381">
            <v>48</v>
          </cell>
          <cell r="K381">
            <v>5</v>
          </cell>
          <cell r="L381">
            <v>32</v>
          </cell>
          <cell r="M381">
            <v>44</v>
          </cell>
        </row>
        <row r="382">
          <cell r="B382">
            <v>50105</v>
          </cell>
          <cell r="E382" t="str">
            <v>大教堂中没有得到超度的灵魂。</v>
          </cell>
          <cell r="F382">
            <v>9</v>
          </cell>
          <cell r="G382">
            <v>128</v>
          </cell>
          <cell r="H382">
            <v>25</v>
          </cell>
          <cell r="I382">
            <v>1</v>
          </cell>
          <cell r="J382">
            <v>47</v>
          </cell>
          <cell r="K382">
            <v>6</v>
          </cell>
          <cell r="L382">
            <v>67</v>
          </cell>
          <cell r="M382">
            <v>50</v>
          </cell>
        </row>
        <row r="383">
          <cell r="B383">
            <v>50205</v>
          </cell>
          <cell r="E383" t="str">
            <v>吞噬了光之能量的恶魔。</v>
          </cell>
          <cell r="F383">
            <v>10</v>
          </cell>
          <cell r="G383">
            <v>114</v>
          </cell>
          <cell r="H383">
            <v>28</v>
          </cell>
          <cell r="I383">
            <v>1</v>
          </cell>
          <cell r="J383">
            <v>61</v>
          </cell>
          <cell r="K383">
            <v>8</v>
          </cell>
          <cell r="L383">
            <v>61</v>
          </cell>
          <cell r="M383">
            <v>64</v>
          </cell>
        </row>
        <row r="384">
          <cell r="B384">
            <v>50305</v>
          </cell>
          <cell r="E384" t="str">
            <v>火神在用赤炎烈火熔炼天灵石时，幻化出来的恶魔。</v>
          </cell>
          <cell r="F384">
            <v>10</v>
          </cell>
          <cell r="G384">
            <v>114</v>
          </cell>
          <cell r="H384">
            <v>28</v>
          </cell>
          <cell r="I384">
            <v>1</v>
          </cell>
          <cell r="J384">
            <v>65</v>
          </cell>
          <cell r="K384">
            <v>8</v>
          </cell>
          <cell r="L384">
            <v>58</v>
          </cell>
          <cell r="M384">
            <v>64</v>
          </cell>
        </row>
        <row r="385">
          <cell r="B385">
            <v>50405</v>
          </cell>
          <cell r="E385" t="str">
            <v>守护水之能量的女护卫，但是被恶魔蒙蔽了眼睛。</v>
          </cell>
          <cell r="F385">
            <v>11</v>
          </cell>
          <cell r="G385">
            <v>129</v>
          </cell>
          <cell r="H385">
            <v>31</v>
          </cell>
          <cell r="I385">
            <v>1</v>
          </cell>
          <cell r="J385">
            <v>76</v>
          </cell>
          <cell r="K385">
            <v>10</v>
          </cell>
          <cell r="L385">
            <v>62</v>
          </cell>
          <cell r="M385">
            <v>71</v>
          </cell>
        </row>
        <row r="386">
          <cell r="B386">
            <v>50505</v>
          </cell>
          <cell r="E386" t="str">
            <v>拥有雷之力量的凶残盗贼。</v>
          </cell>
          <cell r="F386">
            <v>11</v>
          </cell>
          <cell r="G386">
            <v>129</v>
          </cell>
          <cell r="H386">
            <v>31</v>
          </cell>
          <cell r="I386">
            <v>1</v>
          </cell>
          <cell r="J386">
            <v>76</v>
          </cell>
          <cell r="K386">
            <v>9</v>
          </cell>
          <cell r="L386">
            <v>62</v>
          </cell>
          <cell r="M386">
            <v>71</v>
          </cell>
        </row>
        <row r="387">
          <cell r="B387">
            <v>60105</v>
          </cell>
          <cell r="E387" t="str">
            <v>铜矿的守护者，受到了恶魔的蛊惑。</v>
          </cell>
          <cell r="F387">
            <v>12</v>
          </cell>
          <cell r="G387">
            <v>336</v>
          </cell>
          <cell r="H387">
            <v>17</v>
          </cell>
          <cell r="I387">
            <v>1</v>
          </cell>
          <cell r="J387">
            <v>109</v>
          </cell>
          <cell r="K387">
            <v>13</v>
          </cell>
          <cell r="L387">
            <v>32</v>
          </cell>
          <cell r="M387">
            <v>34</v>
          </cell>
        </row>
        <row r="388">
          <cell r="B388">
            <v>60205</v>
          </cell>
          <cell r="E388" t="str">
            <v>在邪恶力量驱使下从远古化石中转生。</v>
          </cell>
          <cell r="F388">
            <v>12</v>
          </cell>
          <cell r="G388">
            <v>218</v>
          </cell>
          <cell r="H388">
            <v>17</v>
          </cell>
          <cell r="I388">
            <v>1</v>
          </cell>
          <cell r="J388">
            <v>142</v>
          </cell>
          <cell r="K388">
            <v>8</v>
          </cell>
          <cell r="L388">
            <v>64</v>
          </cell>
          <cell r="M388">
            <v>68</v>
          </cell>
        </row>
        <row r="389">
          <cell r="B389">
            <v>60305</v>
          </cell>
          <cell r="E389" t="str">
            <v>腐朽的泥土中产生的怪物。</v>
          </cell>
          <cell r="F389">
            <v>13</v>
          </cell>
          <cell r="G389">
            <v>206</v>
          </cell>
          <cell r="H389">
            <v>37</v>
          </cell>
          <cell r="I389">
            <v>1</v>
          </cell>
          <cell r="J389">
            <v>73</v>
          </cell>
          <cell r="K389">
            <v>9</v>
          </cell>
          <cell r="L389">
            <v>108</v>
          </cell>
          <cell r="M389">
            <v>74</v>
          </cell>
        </row>
        <row r="390">
          <cell r="B390">
            <v>60405</v>
          </cell>
          <cell r="E390" t="str">
            <v>吞噬了光之能量的恶魔。</v>
          </cell>
          <cell r="F390">
            <v>13</v>
          </cell>
          <cell r="G390">
            <v>159</v>
          </cell>
          <cell r="H390">
            <v>37</v>
          </cell>
          <cell r="I390">
            <v>1</v>
          </cell>
          <cell r="J390">
            <v>84</v>
          </cell>
          <cell r="K390">
            <v>10</v>
          </cell>
          <cell r="L390">
            <v>86</v>
          </cell>
          <cell r="M390">
            <v>85</v>
          </cell>
        </row>
        <row r="391">
          <cell r="B391">
            <v>60505</v>
          </cell>
          <cell r="E391" t="str">
            <v>地狱魔王用来吞噬犯人尸体的食人鱼。</v>
          </cell>
          <cell r="F391">
            <v>14</v>
          </cell>
          <cell r="G391">
            <v>247</v>
          </cell>
          <cell r="H391">
            <v>20</v>
          </cell>
          <cell r="I391">
            <v>1</v>
          </cell>
          <cell r="J391">
            <v>93</v>
          </cell>
          <cell r="K391">
            <v>10</v>
          </cell>
          <cell r="L391">
            <v>64</v>
          </cell>
          <cell r="M391">
            <v>80</v>
          </cell>
        </row>
        <row r="392">
          <cell r="B392">
            <v>70105</v>
          </cell>
          <cell r="E392" t="str">
            <v>拥有光之能力的魔晶。</v>
          </cell>
          <cell r="F392">
            <v>15</v>
          </cell>
          <cell r="G392">
            <v>192</v>
          </cell>
          <cell r="H392">
            <v>43</v>
          </cell>
          <cell r="I392">
            <v>1</v>
          </cell>
          <cell r="J392">
            <v>101</v>
          </cell>
          <cell r="K392">
            <v>13</v>
          </cell>
          <cell r="L392">
            <v>104</v>
          </cell>
          <cell r="M392">
            <v>98</v>
          </cell>
        </row>
        <row r="393">
          <cell r="B393">
            <v>70205</v>
          </cell>
          <cell r="E393" t="str">
            <v>在火焰熔炼中诞生，全身炙热。</v>
          </cell>
          <cell r="F393">
            <v>15</v>
          </cell>
          <cell r="G393">
            <v>192</v>
          </cell>
          <cell r="H393">
            <v>43</v>
          </cell>
          <cell r="I393">
            <v>1</v>
          </cell>
          <cell r="J393">
            <v>107</v>
          </cell>
          <cell r="K393">
            <v>13</v>
          </cell>
          <cell r="L393">
            <v>100</v>
          </cell>
          <cell r="M393">
            <v>98</v>
          </cell>
        </row>
        <row r="394">
          <cell r="B394">
            <v>70305</v>
          </cell>
          <cell r="E394" t="str">
            <v>鳗鱼的变异体凶残异常。</v>
          </cell>
          <cell r="F394">
            <v>16</v>
          </cell>
          <cell r="G394">
            <v>321</v>
          </cell>
          <cell r="H394">
            <v>23</v>
          </cell>
          <cell r="I394">
            <v>1</v>
          </cell>
          <cell r="J394">
            <v>210</v>
          </cell>
          <cell r="K394">
            <v>12</v>
          </cell>
          <cell r="L394">
            <v>97</v>
          </cell>
          <cell r="M394">
            <v>92</v>
          </cell>
        </row>
        <row r="395">
          <cell r="B395">
            <v>70405</v>
          </cell>
          <cell r="E395" t="str">
            <v>腐朽的泥土中产生的怪物。</v>
          </cell>
          <cell r="F395">
            <v>16</v>
          </cell>
          <cell r="G395">
            <v>271</v>
          </cell>
          <cell r="H395">
            <v>46</v>
          </cell>
          <cell r="I395">
            <v>1</v>
          </cell>
          <cell r="J395">
            <v>98</v>
          </cell>
          <cell r="K395">
            <v>12</v>
          </cell>
          <cell r="L395">
            <v>145</v>
          </cell>
          <cell r="M395">
            <v>92</v>
          </cell>
        </row>
        <row r="396">
          <cell r="B396">
            <v>70505</v>
          </cell>
          <cell r="E396" t="str">
            <v>身形硕大，外边土赤色，发起怒来震人心魄。</v>
          </cell>
          <cell r="F396">
            <v>17</v>
          </cell>
          <cell r="G396">
            <v>322</v>
          </cell>
          <cell r="H396">
            <v>39</v>
          </cell>
          <cell r="I396">
            <v>1</v>
          </cell>
          <cell r="J396">
            <v>182</v>
          </cell>
          <cell r="K396">
            <v>14</v>
          </cell>
          <cell r="L396">
            <v>127</v>
          </cell>
          <cell r="M396">
            <v>98</v>
          </cell>
        </row>
        <row r="397">
          <cell r="B397">
            <v>80105</v>
          </cell>
          <cell r="E397" t="str">
            <v>丛林中凶猛的小蝙蝠。</v>
          </cell>
          <cell r="F397">
            <v>18</v>
          </cell>
          <cell r="G397">
            <v>350</v>
          </cell>
          <cell r="H397">
            <v>26</v>
          </cell>
          <cell r="I397">
            <v>1</v>
          </cell>
          <cell r="J397">
            <v>132</v>
          </cell>
          <cell r="K397">
            <v>14</v>
          </cell>
          <cell r="L397">
            <v>92</v>
          </cell>
          <cell r="M397">
            <v>104</v>
          </cell>
        </row>
        <row r="398">
          <cell r="B398">
            <v>80205</v>
          </cell>
          <cell r="E398" t="str">
            <v>发起疯来会破坏周围的一切，还是不要惹他了。</v>
          </cell>
          <cell r="F398">
            <v>18</v>
          </cell>
          <cell r="G398">
            <v>584</v>
          </cell>
          <cell r="H398">
            <v>26</v>
          </cell>
          <cell r="I398">
            <v>1</v>
          </cell>
          <cell r="J398">
            <v>189</v>
          </cell>
          <cell r="K398">
            <v>22</v>
          </cell>
          <cell r="L398">
            <v>57</v>
          </cell>
          <cell r="M398">
            <v>52</v>
          </cell>
        </row>
        <row r="399">
          <cell r="B399">
            <v>80305</v>
          </cell>
          <cell r="E399" t="str">
            <v>身披坚硬的铁甲，一般攻击很难奏效。</v>
          </cell>
          <cell r="F399">
            <v>19</v>
          </cell>
          <cell r="G399">
            <v>628</v>
          </cell>
          <cell r="H399">
            <v>27</v>
          </cell>
          <cell r="I399">
            <v>1</v>
          </cell>
          <cell r="J399">
            <v>204</v>
          </cell>
          <cell r="K399">
            <v>25</v>
          </cell>
          <cell r="L399">
            <v>62</v>
          </cell>
          <cell r="M399">
            <v>55</v>
          </cell>
        </row>
        <row r="400">
          <cell r="B400">
            <v>80405</v>
          </cell>
          <cell r="E400" t="str">
            <v>在火焰熔炼中诞生，全身炙热。</v>
          </cell>
          <cell r="F400">
            <v>19</v>
          </cell>
          <cell r="G400">
            <v>266</v>
          </cell>
          <cell r="H400">
            <v>55</v>
          </cell>
          <cell r="I400">
            <v>1</v>
          </cell>
          <cell r="J400">
            <v>151</v>
          </cell>
          <cell r="K400">
            <v>18</v>
          </cell>
          <cell r="L400">
            <v>143</v>
          </cell>
          <cell r="M400">
            <v>126</v>
          </cell>
        </row>
        <row r="401">
          <cell r="B401">
            <v>80505</v>
          </cell>
          <cell r="E401" t="str">
            <v>丛林中凶猛的小蝙蝠。</v>
          </cell>
          <cell r="F401">
            <v>20</v>
          </cell>
          <cell r="G401">
            <v>408</v>
          </cell>
          <cell r="H401">
            <v>29</v>
          </cell>
          <cell r="I401">
            <v>1</v>
          </cell>
          <cell r="J401">
            <v>154</v>
          </cell>
          <cell r="K401">
            <v>16</v>
          </cell>
          <cell r="L401">
            <v>108</v>
          </cell>
          <cell r="M401">
            <v>110</v>
          </cell>
        </row>
        <row r="402">
          <cell r="B402">
            <v>90105</v>
          </cell>
          <cell r="E402" t="str">
            <v>拥有雷之力量的凶残盗贼。</v>
          </cell>
          <cell r="F402">
            <v>21</v>
          </cell>
          <cell r="G402">
            <v>310</v>
          </cell>
          <cell r="H402">
            <v>63</v>
          </cell>
          <cell r="I402">
            <v>1</v>
          </cell>
          <cell r="J402">
            <v>187</v>
          </cell>
          <cell r="K402">
            <v>21</v>
          </cell>
          <cell r="L402">
            <v>160</v>
          </cell>
          <cell r="M402">
            <v>126</v>
          </cell>
        </row>
        <row r="403">
          <cell r="B403">
            <v>90205</v>
          </cell>
          <cell r="E403" t="str">
            <v>已经死亡的蟒蛇在某种诡异的力量下复活了。</v>
          </cell>
          <cell r="F403">
            <v>21</v>
          </cell>
          <cell r="G403">
            <v>401</v>
          </cell>
          <cell r="H403">
            <v>63</v>
          </cell>
          <cell r="I403">
            <v>1</v>
          </cell>
          <cell r="J403">
            <v>145</v>
          </cell>
          <cell r="K403">
            <v>19</v>
          </cell>
          <cell r="L403">
            <v>219</v>
          </cell>
          <cell r="M403">
            <v>110</v>
          </cell>
        </row>
        <row r="404">
          <cell r="B404">
            <v>90305</v>
          </cell>
          <cell r="E404" t="str">
            <v>丛林中凶猛的小蝙蝠。</v>
          </cell>
          <cell r="F404">
            <v>22</v>
          </cell>
          <cell r="G404">
            <v>468</v>
          </cell>
          <cell r="H404">
            <v>33</v>
          </cell>
          <cell r="I404">
            <v>1</v>
          </cell>
          <cell r="J404">
            <v>180</v>
          </cell>
          <cell r="K404">
            <v>19</v>
          </cell>
          <cell r="L404">
            <v>126</v>
          </cell>
          <cell r="M404">
            <v>110</v>
          </cell>
        </row>
        <row r="405">
          <cell r="B405">
            <v>90405</v>
          </cell>
          <cell r="E405" t="str">
            <v>火神在用赤炎烈火熔炼天灵石时，幻化出来的恶魔。</v>
          </cell>
          <cell r="F405">
            <v>23</v>
          </cell>
          <cell r="G405">
            <v>351</v>
          </cell>
          <cell r="H405">
            <v>71</v>
          </cell>
          <cell r="I405">
            <v>1</v>
          </cell>
          <cell r="J405">
            <v>204</v>
          </cell>
          <cell r="K405">
            <v>25</v>
          </cell>
          <cell r="L405">
            <v>195</v>
          </cell>
          <cell r="M405">
            <v>126</v>
          </cell>
        </row>
        <row r="406">
          <cell r="B406">
            <v>90505</v>
          </cell>
          <cell r="E406" t="str">
            <v>身披坚硬的铁甲，一般攻击很难奏效。</v>
          </cell>
          <cell r="F406">
            <v>23</v>
          </cell>
          <cell r="G406">
            <v>826</v>
          </cell>
          <cell r="H406">
            <v>35</v>
          </cell>
          <cell r="I406">
            <v>1</v>
          </cell>
          <cell r="J406">
            <v>276</v>
          </cell>
          <cell r="K406">
            <v>33</v>
          </cell>
          <cell r="L406">
            <v>85</v>
          </cell>
          <cell r="M406">
            <v>55</v>
          </cell>
        </row>
        <row r="407">
          <cell r="B407">
            <v>100105</v>
          </cell>
          <cell r="E407" t="str">
            <v>每一根绒毛都充满了毒液，千万不要被它碰到。</v>
          </cell>
          <cell r="F407">
            <v>24</v>
          </cell>
          <cell r="G407">
            <v>376</v>
          </cell>
          <cell r="H407">
            <v>75</v>
          </cell>
          <cell r="I407">
            <v>1</v>
          </cell>
          <cell r="J407">
            <v>192</v>
          </cell>
          <cell r="K407">
            <v>26</v>
          </cell>
          <cell r="L407">
            <v>227</v>
          </cell>
          <cell r="M407">
            <v>126</v>
          </cell>
        </row>
        <row r="408">
          <cell r="B408">
            <v>100205</v>
          </cell>
          <cell r="E408" t="str">
            <v>拥有火之能力的魔晶。</v>
          </cell>
          <cell r="F408">
            <v>25</v>
          </cell>
          <cell r="G408">
            <v>400</v>
          </cell>
          <cell r="H408">
            <v>79</v>
          </cell>
          <cell r="I408">
            <v>1</v>
          </cell>
          <cell r="J408">
            <v>233</v>
          </cell>
          <cell r="K408">
            <v>27</v>
          </cell>
          <cell r="L408">
            <v>224</v>
          </cell>
          <cell r="M408">
            <v>126</v>
          </cell>
        </row>
        <row r="409">
          <cell r="B409">
            <v>100305</v>
          </cell>
          <cell r="E409" t="str">
            <v>拥有雷之能力的魔晶。</v>
          </cell>
          <cell r="F409">
            <v>25</v>
          </cell>
          <cell r="G409">
            <v>400</v>
          </cell>
          <cell r="H409">
            <v>79</v>
          </cell>
          <cell r="I409">
            <v>1</v>
          </cell>
          <cell r="J409">
            <v>247</v>
          </cell>
          <cell r="K409">
            <v>27</v>
          </cell>
          <cell r="L409">
            <v>214</v>
          </cell>
          <cell r="M409">
            <v>126</v>
          </cell>
        </row>
        <row r="410">
          <cell r="B410">
            <v>100405</v>
          </cell>
          <cell r="E410" t="str">
            <v>守护水之能量的女护卫，但是被恶魔蒙蔽了眼睛。</v>
          </cell>
          <cell r="F410">
            <v>26</v>
          </cell>
          <cell r="G410">
            <v>422</v>
          </cell>
          <cell r="H410">
            <v>83</v>
          </cell>
          <cell r="I410">
            <v>1</v>
          </cell>
          <cell r="J410">
            <v>263</v>
          </cell>
          <cell r="K410">
            <v>33</v>
          </cell>
          <cell r="L410">
            <v>228</v>
          </cell>
          <cell r="M410">
            <v>126</v>
          </cell>
        </row>
        <row r="411">
          <cell r="B411">
            <v>100505</v>
          </cell>
          <cell r="E411" t="str">
            <v>火神在用赤炎烈火熔炼天灵石时，幻化出来的恶魔。</v>
          </cell>
          <cell r="F411">
            <v>27</v>
          </cell>
          <cell r="G411">
            <v>447</v>
          </cell>
          <cell r="H411">
            <v>87</v>
          </cell>
          <cell r="I411">
            <v>1</v>
          </cell>
          <cell r="J411">
            <v>265</v>
          </cell>
          <cell r="K411">
            <v>31</v>
          </cell>
          <cell r="L411">
            <v>254</v>
          </cell>
          <cell r="M411">
            <v>126</v>
          </cell>
        </row>
        <row r="412">
          <cell r="B412">
            <v>110105</v>
          </cell>
          <cell r="E412" t="str">
            <v>大教堂中没有得到超度的灵魂。</v>
          </cell>
          <cell r="F412">
            <v>27</v>
          </cell>
          <cell r="G412">
            <v>578</v>
          </cell>
          <cell r="H412">
            <v>87</v>
          </cell>
          <cell r="I412">
            <v>1</v>
          </cell>
          <cell r="J412">
            <v>218</v>
          </cell>
          <cell r="K412">
            <v>28</v>
          </cell>
          <cell r="L412">
            <v>331</v>
          </cell>
          <cell r="M412">
            <v>110</v>
          </cell>
        </row>
        <row r="413">
          <cell r="B413">
            <v>110205</v>
          </cell>
          <cell r="E413" t="str">
            <v>可以再树木间相互跳跃。</v>
          </cell>
          <cell r="F413">
            <v>28</v>
          </cell>
          <cell r="G413">
            <v>666</v>
          </cell>
          <cell r="H413">
            <v>45</v>
          </cell>
          <cell r="I413">
            <v>1</v>
          </cell>
          <cell r="J413">
            <v>264</v>
          </cell>
          <cell r="K413">
            <v>27</v>
          </cell>
          <cell r="L413">
            <v>188</v>
          </cell>
          <cell r="M413">
            <v>110</v>
          </cell>
        </row>
        <row r="414">
          <cell r="B414">
            <v>110305</v>
          </cell>
          <cell r="E414" t="str">
            <v>凶残成性但是智商捉襟见肘。</v>
          </cell>
          <cell r="F414">
            <v>29</v>
          </cell>
          <cell r="G414">
            <v>703</v>
          </cell>
          <cell r="H414">
            <v>47</v>
          </cell>
          <cell r="I414">
            <v>1</v>
          </cell>
          <cell r="J414">
            <v>280</v>
          </cell>
          <cell r="K414">
            <v>29</v>
          </cell>
          <cell r="L414">
            <v>199</v>
          </cell>
          <cell r="M414">
            <v>110</v>
          </cell>
        </row>
        <row r="415">
          <cell r="B415">
            <v>110405</v>
          </cell>
          <cell r="E415" t="str">
            <v>可以再树木间相互跳跃。</v>
          </cell>
          <cell r="F415">
            <v>29</v>
          </cell>
          <cell r="G415">
            <v>703</v>
          </cell>
          <cell r="H415">
            <v>47</v>
          </cell>
          <cell r="I415">
            <v>1</v>
          </cell>
          <cell r="J415">
            <v>280</v>
          </cell>
          <cell r="K415">
            <v>29</v>
          </cell>
          <cell r="L415">
            <v>199</v>
          </cell>
          <cell r="M415">
            <v>110</v>
          </cell>
        </row>
        <row r="416">
          <cell r="B416">
            <v>110505</v>
          </cell>
          <cell r="E416" t="str">
            <v>具有强大的攻击能力，千万不要被他的外表蒙蔽。</v>
          </cell>
          <cell r="F416">
            <v>30</v>
          </cell>
          <cell r="G416">
            <v>1234</v>
          </cell>
          <cell r="H416">
            <v>49</v>
          </cell>
          <cell r="I416">
            <v>1</v>
          </cell>
          <cell r="J416">
            <v>425</v>
          </cell>
          <cell r="K416">
            <v>49</v>
          </cell>
          <cell r="L416">
            <v>132</v>
          </cell>
          <cell r="M416">
            <v>55</v>
          </cell>
        </row>
        <row r="417">
          <cell r="B417">
            <v>120105</v>
          </cell>
          <cell r="E417" t="str">
            <v>被赋予恶魔力量的凶残强盗。</v>
          </cell>
          <cell r="F417">
            <v>31</v>
          </cell>
          <cell r="G417">
            <v>549</v>
          </cell>
          <cell r="H417">
            <v>103</v>
          </cell>
          <cell r="I417">
            <v>1</v>
          </cell>
          <cell r="J417">
            <v>292</v>
          </cell>
          <cell r="K417">
            <v>38</v>
          </cell>
          <cell r="L417">
            <v>348</v>
          </cell>
          <cell r="M417">
            <v>126</v>
          </cell>
        </row>
        <row r="418">
          <cell r="B418">
            <v>120205</v>
          </cell>
          <cell r="E418" t="str">
            <v>小蝙蝠的进化体。</v>
          </cell>
          <cell r="F418">
            <v>31</v>
          </cell>
          <cell r="G418">
            <v>776</v>
          </cell>
          <cell r="H418">
            <v>51</v>
          </cell>
          <cell r="I418">
            <v>1</v>
          </cell>
          <cell r="J418">
            <v>312</v>
          </cell>
          <cell r="K418">
            <v>32</v>
          </cell>
          <cell r="L418">
            <v>223</v>
          </cell>
          <cell r="M418">
            <v>110</v>
          </cell>
        </row>
        <row r="419">
          <cell r="B419">
            <v>120305</v>
          </cell>
          <cell r="E419" t="str">
            <v>大教堂中没有得到超度的灵魂。</v>
          </cell>
          <cell r="F419">
            <v>32</v>
          </cell>
          <cell r="G419">
            <v>748</v>
          </cell>
          <cell r="H419">
            <v>107</v>
          </cell>
          <cell r="I419">
            <v>1</v>
          </cell>
          <cell r="J419">
            <v>288</v>
          </cell>
          <cell r="K419">
            <v>36</v>
          </cell>
          <cell r="L419">
            <v>442</v>
          </cell>
          <cell r="M419">
            <v>110</v>
          </cell>
        </row>
        <row r="420">
          <cell r="B420">
            <v>120405</v>
          </cell>
          <cell r="E420" t="str">
            <v>拥有光之能力的魔晶。</v>
          </cell>
          <cell r="F420">
            <v>33</v>
          </cell>
          <cell r="G420">
            <v>605</v>
          </cell>
          <cell r="H420">
            <v>111</v>
          </cell>
          <cell r="I420">
            <v>1</v>
          </cell>
          <cell r="J420">
            <v>346</v>
          </cell>
          <cell r="K420">
            <v>43</v>
          </cell>
          <cell r="L420">
            <v>373</v>
          </cell>
          <cell r="M420">
            <v>126</v>
          </cell>
        </row>
        <row r="421">
          <cell r="B421">
            <v>120505</v>
          </cell>
          <cell r="E421" t="str">
            <v>因把灵魂出卖给了冥王，获得了永久的生命。</v>
          </cell>
          <cell r="F421">
            <v>33</v>
          </cell>
          <cell r="G421">
            <v>605</v>
          </cell>
          <cell r="H421">
            <v>111</v>
          </cell>
          <cell r="I421">
            <v>1</v>
          </cell>
          <cell r="J421">
            <v>324</v>
          </cell>
          <cell r="K421">
            <v>43</v>
          </cell>
          <cell r="L421">
            <v>388</v>
          </cell>
          <cell r="M421">
            <v>126</v>
          </cell>
        </row>
        <row r="422">
          <cell r="B422">
            <v>130105</v>
          </cell>
          <cell r="E422" t="str">
            <v>可以再树木间相互跳跃。</v>
          </cell>
          <cell r="F422">
            <v>34</v>
          </cell>
          <cell r="G422">
            <v>892</v>
          </cell>
          <cell r="H422">
            <v>57</v>
          </cell>
          <cell r="I422">
            <v>1</v>
          </cell>
          <cell r="J422">
            <v>365</v>
          </cell>
          <cell r="K422">
            <v>37</v>
          </cell>
          <cell r="L422">
            <v>262</v>
          </cell>
          <cell r="M422">
            <v>110</v>
          </cell>
        </row>
        <row r="423">
          <cell r="B423">
            <v>130205</v>
          </cell>
          <cell r="E423" t="str">
            <v>鳗鱼的变异体凶残异常。</v>
          </cell>
          <cell r="F423">
            <v>35</v>
          </cell>
          <cell r="G423">
            <v>1011</v>
          </cell>
          <cell r="H423">
            <v>59</v>
          </cell>
          <cell r="I423">
            <v>1</v>
          </cell>
          <cell r="J423">
            <v>720</v>
          </cell>
          <cell r="K423">
            <v>41</v>
          </cell>
          <cell r="L423">
            <v>345</v>
          </cell>
          <cell r="M423">
            <v>110</v>
          </cell>
        </row>
        <row r="424">
          <cell r="B424">
            <v>130305</v>
          </cell>
          <cell r="E424" t="str">
            <v>小蝙蝠的进化体。</v>
          </cell>
          <cell r="F424">
            <v>36</v>
          </cell>
          <cell r="G424">
            <v>976</v>
          </cell>
          <cell r="H424">
            <v>62</v>
          </cell>
          <cell r="I424">
            <v>1</v>
          </cell>
          <cell r="J424">
            <v>402</v>
          </cell>
          <cell r="K424">
            <v>40</v>
          </cell>
          <cell r="L424">
            <v>289</v>
          </cell>
          <cell r="M424">
            <v>110</v>
          </cell>
        </row>
        <row r="425">
          <cell r="B425">
            <v>130405</v>
          </cell>
          <cell r="E425" t="str">
            <v>原本是守护大地的神龙，因贪图强大的力量而走上歧途。</v>
          </cell>
          <cell r="F425">
            <v>36</v>
          </cell>
          <cell r="G425">
            <v>1628</v>
          </cell>
          <cell r="H425">
            <v>62</v>
          </cell>
          <cell r="I425">
            <v>1</v>
          </cell>
          <cell r="J425">
            <v>578</v>
          </cell>
          <cell r="K425">
            <v>64</v>
          </cell>
          <cell r="L425">
            <v>181</v>
          </cell>
          <cell r="M425">
            <v>55</v>
          </cell>
        </row>
        <row r="426">
          <cell r="B426">
            <v>130505</v>
          </cell>
          <cell r="E426" t="str">
            <v>心地善良但是被恶魔蛊惑的心智。</v>
          </cell>
          <cell r="F426">
            <v>37</v>
          </cell>
          <cell r="G426">
            <v>720</v>
          </cell>
          <cell r="H426">
            <v>129</v>
          </cell>
          <cell r="I426">
            <v>1</v>
          </cell>
          <cell r="J426">
            <v>474</v>
          </cell>
          <cell r="K426">
            <v>57</v>
          </cell>
          <cell r="L426">
            <v>418</v>
          </cell>
          <cell r="M426">
            <v>126</v>
          </cell>
        </row>
        <row r="427">
          <cell r="B427">
            <v>140105</v>
          </cell>
          <cell r="E427" t="str">
            <v>恶神阿修罗忠诚的打手。</v>
          </cell>
          <cell r="F427">
            <v>38</v>
          </cell>
          <cell r="G427">
            <v>972</v>
          </cell>
          <cell r="H427">
            <v>134</v>
          </cell>
          <cell r="I427">
            <v>1</v>
          </cell>
          <cell r="J427">
            <v>387</v>
          </cell>
          <cell r="K427">
            <v>47</v>
          </cell>
          <cell r="L427">
            <v>598</v>
          </cell>
          <cell r="M427">
            <v>110</v>
          </cell>
        </row>
        <row r="428">
          <cell r="B428">
            <v>140205</v>
          </cell>
          <cell r="E428" t="str">
            <v>身披坚硬的铁甲，一般攻击很难奏效。</v>
          </cell>
          <cell r="F428">
            <v>38</v>
          </cell>
          <cell r="G428">
            <v>1768</v>
          </cell>
          <cell r="H428">
            <v>67</v>
          </cell>
          <cell r="I428">
            <v>1</v>
          </cell>
          <cell r="J428">
            <v>635</v>
          </cell>
          <cell r="K428">
            <v>70</v>
          </cell>
          <cell r="L428">
            <v>199</v>
          </cell>
          <cell r="M428">
            <v>55</v>
          </cell>
        </row>
        <row r="429">
          <cell r="B429">
            <v>140305</v>
          </cell>
          <cell r="E429" t="str">
            <v>原本是天使忠诚的奴仆，但是被邪恶力量蛊惑了心智。</v>
          </cell>
          <cell r="F429">
            <v>39</v>
          </cell>
          <cell r="G429">
            <v>779</v>
          </cell>
          <cell r="H429">
            <v>139</v>
          </cell>
          <cell r="I429">
            <v>1</v>
          </cell>
          <cell r="J429">
            <v>462</v>
          </cell>
          <cell r="K429">
            <v>55</v>
          </cell>
          <cell r="L429">
            <v>501</v>
          </cell>
          <cell r="M429">
            <v>126</v>
          </cell>
        </row>
        <row r="430">
          <cell r="B430">
            <v>140405</v>
          </cell>
          <cell r="E430" t="str">
            <v>守护光之能量的女护卫，但是被恶魔蒙蔽了眼睛。</v>
          </cell>
          <cell r="F430">
            <v>40</v>
          </cell>
          <cell r="G430">
            <v>809</v>
          </cell>
          <cell r="H430">
            <v>144</v>
          </cell>
          <cell r="I430">
            <v>1</v>
          </cell>
          <cell r="J430">
            <v>484</v>
          </cell>
          <cell r="K430">
            <v>57</v>
          </cell>
          <cell r="L430">
            <v>524</v>
          </cell>
          <cell r="M430">
            <v>126</v>
          </cell>
        </row>
        <row r="431">
          <cell r="B431">
            <v>140505</v>
          </cell>
          <cell r="E431" t="str">
            <v>比一般幽灵更容易愤怒遇见她要小心了。</v>
          </cell>
          <cell r="F431">
            <v>41</v>
          </cell>
          <cell r="G431">
            <v>841</v>
          </cell>
          <cell r="H431">
            <v>149</v>
          </cell>
          <cell r="I431">
            <v>1</v>
          </cell>
          <cell r="J431">
            <v>569</v>
          </cell>
          <cell r="K431">
            <v>67</v>
          </cell>
          <cell r="L431">
            <v>503</v>
          </cell>
          <cell r="M431">
            <v>126</v>
          </cell>
        </row>
        <row r="432">
          <cell r="B432">
            <v>150105</v>
          </cell>
          <cell r="E432" t="str">
            <v>地狱魔王用来吞噬犯人尸体的食人鱼。</v>
          </cell>
          <cell r="F432">
            <v>41</v>
          </cell>
          <cell r="G432">
            <v>1188</v>
          </cell>
          <cell r="H432">
            <v>74</v>
          </cell>
          <cell r="I432">
            <v>1</v>
          </cell>
          <cell r="J432">
            <v>506</v>
          </cell>
          <cell r="K432">
            <v>50</v>
          </cell>
          <cell r="L432">
            <v>366</v>
          </cell>
          <cell r="M432">
            <v>110</v>
          </cell>
        </row>
        <row r="433">
          <cell r="B433">
            <v>150205</v>
          </cell>
          <cell r="E433" t="str">
            <v>拥有雷之力量的凶残盗贼。</v>
          </cell>
          <cell r="F433">
            <v>42</v>
          </cell>
          <cell r="G433">
            <v>873</v>
          </cell>
          <cell r="H433">
            <v>154</v>
          </cell>
          <cell r="I433">
            <v>1</v>
          </cell>
          <cell r="J433">
            <v>594</v>
          </cell>
          <cell r="K433">
            <v>62</v>
          </cell>
          <cell r="L433">
            <v>525</v>
          </cell>
          <cell r="M433">
            <v>126</v>
          </cell>
        </row>
        <row r="434">
          <cell r="B434">
            <v>150305</v>
          </cell>
          <cell r="E434" t="str">
            <v>因把灵魂出卖给了冥王，获得了永久的生命。</v>
          </cell>
          <cell r="F434">
            <v>43</v>
          </cell>
          <cell r="G434">
            <v>903</v>
          </cell>
          <cell r="H434">
            <v>159</v>
          </cell>
          <cell r="I434">
            <v>1</v>
          </cell>
          <cell r="J434">
            <v>516</v>
          </cell>
          <cell r="K434">
            <v>64</v>
          </cell>
          <cell r="L434">
            <v>623</v>
          </cell>
          <cell r="M434">
            <v>126</v>
          </cell>
        </row>
        <row r="435">
          <cell r="B435">
            <v>150405</v>
          </cell>
          <cell r="E435" t="str">
            <v>丛林中凶猛的小蝙蝠。</v>
          </cell>
          <cell r="F435">
            <v>44</v>
          </cell>
          <cell r="G435">
            <v>1321</v>
          </cell>
          <cell r="H435">
            <v>82</v>
          </cell>
          <cell r="I435">
            <v>1</v>
          </cell>
          <cell r="J435">
            <v>573</v>
          </cell>
          <cell r="K435">
            <v>55</v>
          </cell>
          <cell r="L435">
            <v>416</v>
          </cell>
          <cell r="M435">
            <v>110</v>
          </cell>
        </row>
        <row r="436">
          <cell r="B436">
            <v>150505</v>
          </cell>
          <cell r="E436" t="str">
            <v>地狱魔王用来吞噬犯人尸体的食人鱼。</v>
          </cell>
          <cell r="F436">
            <v>44</v>
          </cell>
          <cell r="G436">
            <v>1321</v>
          </cell>
          <cell r="H436">
            <v>82</v>
          </cell>
          <cell r="I436">
            <v>1</v>
          </cell>
          <cell r="J436">
            <v>573</v>
          </cell>
          <cell r="K436">
            <v>55</v>
          </cell>
          <cell r="L436">
            <v>416</v>
          </cell>
          <cell r="M436">
            <v>110</v>
          </cell>
        </row>
        <row r="437">
          <cell r="B437">
            <v>160105</v>
          </cell>
          <cell r="E437" t="str">
            <v>已经死亡的蟒蛇在某种诡异的力量下复活了。</v>
          </cell>
          <cell r="F437">
            <v>45</v>
          </cell>
          <cell r="G437">
            <v>1251</v>
          </cell>
          <cell r="H437">
            <v>169</v>
          </cell>
          <cell r="I437">
            <v>1</v>
          </cell>
          <cell r="J437">
            <v>522</v>
          </cell>
          <cell r="K437">
            <v>61</v>
          </cell>
          <cell r="L437">
            <v>813</v>
          </cell>
          <cell r="M437">
            <v>110</v>
          </cell>
        </row>
        <row r="438">
          <cell r="B438">
            <v>160205</v>
          </cell>
          <cell r="E438" t="str">
            <v>守护光之能量的女护卫，但是被恶魔蒙蔽了眼睛。</v>
          </cell>
          <cell r="F438">
            <v>46</v>
          </cell>
          <cell r="G438">
            <v>999</v>
          </cell>
          <cell r="H438">
            <v>174</v>
          </cell>
          <cell r="I438">
            <v>1</v>
          </cell>
          <cell r="J438">
            <v>621</v>
          </cell>
          <cell r="K438">
            <v>72</v>
          </cell>
          <cell r="L438">
            <v>678</v>
          </cell>
          <cell r="M438">
            <v>126</v>
          </cell>
        </row>
        <row r="439">
          <cell r="B439">
            <v>160305</v>
          </cell>
          <cell r="E439" t="str">
            <v>四肢发达但智商低下，是恶魔忠实的打手。</v>
          </cell>
          <cell r="F439">
            <v>47</v>
          </cell>
          <cell r="G439">
            <v>2432</v>
          </cell>
          <cell r="H439">
            <v>89</v>
          </cell>
          <cell r="I439">
            <v>1</v>
          </cell>
          <cell r="J439">
            <v>929</v>
          </cell>
          <cell r="K439">
            <v>98</v>
          </cell>
          <cell r="L439">
            <v>293</v>
          </cell>
          <cell r="M439">
            <v>55</v>
          </cell>
        </row>
        <row r="440">
          <cell r="B440">
            <v>160405</v>
          </cell>
          <cell r="E440" t="str">
            <v>因把灵魂出卖给了冥王，获得了永久的生命。</v>
          </cell>
          <cell r="F440">
            <v>47</v>
          </cell>
          <cell r="G440">
            <v>1033</v>
          </cell>
          <cell r="H440">
            <v>179</v>
          </cell>
          <cell r="I440">
            <v>1</v>
          </cell>
          <cell r="J440">
            <v>606</v>
          </cell>
          <cell r="K440">
            <v>73</v>
          </cell>
          <cell r="L440">
            <v>733</v>
          </cell>
          <cell r="M440">
            <v>126</v>
          </cell>
        </row>
        <row r="441">
          <cell r="B441">
            <v>160505</v>
          </cell>
          <cell r="E441" t="str">
            <v>身披坚硬的铁甲，一般攻击很难奏效。</v>
          </cell>
          <cell r="F441">
            <v>48</v>
          </cell>
          <cell r="G441">
            <v>2510</v>
          </cell>
          <cell r="H441">
            <v>92</v>
          </cell>
          <cell r="I441">
            <v>1</v>
          </cell>
          <cell r="J441">
            <v>966</v>
          </cell>
          <cell r="K441">
            <v>102</v>
          </cell>
          <cell r="L441">
            <v>305</v>
          </cell>
          <cell r="M441">
            <v>55</v>
          </cell>
        </row>
        <row r="442">
          <cell r="B442">
            <v>170105</v>
          </cell>
          <cell r="E442" t="str">
            <v>每一根绒毛都充满了毒液，千万不要被它碰到。</v>
          </cell>
          <cell r="F442">
            <v>49</v>
          </cell>
          <cell r="G442">
            <v>1099</v>
          </cell>
          <cell r="H442">
            <v>189</v>
          </cell>
          <cell r="I442">
            <v>1</v>
          </cell>
          <cell r="J442">
            <v>654</v>
          </cell>
          <cell r="K442">
            <v>79</v>
          </cell>
          <cell r="L442">
            <v>795</v>
          </cell>
          <cell r="M442">
            <v>126</v>
          </cell>
        </row>
        <row r="443">
          <cell r="B443">
            <v>170205</v>
          </cell>
          <cell r="E443" t="str">
            <v>原本是天使忠诚的奴仆，但是被邪恶力量蛊惑了心智。</v>
          </cell>
          <cell r="F443">
            <v>50</v>
          </cell>
          <cell r="G443">
            <v>1130</v>
          </cell>
          <cell r="H443">
            <v>194</v>
          </cell>
          <cell r="I443">
            <v>1</v>
          </cell>
          <cell r="J443">
            <v>725</v>
          </cell>
          <cell r="K443">
            <v>81</v>
          </cell>
          <cell r="L443">
            <v>792</v>
          </cell>
          <cell r="M443">
            <v>126</v>
          </cell>
        </row>
        <row r="444">
          <cell r="B444">
            <v>170305</v>
          </cell>
          <cell r="E444" t="str">
            <v>因把灵魂出卖给了冥王，获得了永久的生命。</v>
          </cell>
          <cell r="F444">
            <v>50</v>
          </cell>
          <cell r="G444">
            <v>1130</v>
          </cell>
          <cell r="H444">
            <v>194</v>
          </cell>
          <cell r="I444">
            <v>1</v>
          </cell>
          <cell r="J444">
            <v>680</v>
          </cell>
          <cell r="K444">
            <v>81</v>
          </cell>
          <cell r="L444">
            <v>825</v>
          </cell>
          <cell r="M444">
            <v>126</v>
          </cell>
        </row>
        <row r="445">
          <cell r="B445">
            <v>170405</v>
          </cell>
          <cell r="E445" t="str">
            <v>拥有火之能力的魔晶。</v>
          </cell>
          <cell r="F445">
            <v>51</v>
          </cell>
          <cell r="G445">
            <v>1167</v>
          </cell>
          <cell r="H445">
            <v>199</v>
          </cell>
          <cell r="I445">
            <v>1</v>
          </cell>
          <cell r="J445">
            <v>799</v>
          </cell>
          <cell r="K445">
            <v>83</v>
          </cell>
          <cell r="L445">
            <v>787</v>
          </cell>
          <cell r="M445">
            <v>126</v>
          </cell>
        </row>
        <row r="446">
          <cell r="B446">
            <v>170505</v>
          </cell>
          <cell r="E446" t="str">
            <v>发了狂的蜘蛛，异常凶残。</v>
          </cell>
          <cell r="F446">
            <v>52</v>
          </cell>
          <cell r="G446">
            <v>1201</v>
          </cell>
          <cell r="H446">
            <v>204</v>
          </cell>
          <cell r="I446">
            <v>1</v>
          </cell>
          <cell r="J446">
            <v>975</v>
          </cell>
          <cell r="K446">
            <v>86</v>
          </cell>
          <cell r="L446">
            <v>711</v>
          </cell>
          <cell r="M446">
            <v>126</v>
          </cell>
        </row>
        <row r="447">
          <cell r="B447">
            <v>180105</v>
          </cell>
          <cell r="E447" t="str">
            <v>在邪恶力量驱使下从远古化石中转生。</v>
          </cell>
          <cell r="F447">
            <v>53</v>
          </cell>
          <cell r="G447">
            <v>1888</v>
          </cell>
          <cell r="H447">
            <v>104</v>
          </cell>
          <cell r="I447">
            <v>1</v>
          </cell>
          <cell r="J447">
            <v>1515</v>
          </cell>
          <cell r="K447">
            <v>79</v>
          </cell>
          <cell r="L447">
            <v>738</v>
          </cell>
          <cell r="M447">
            <v>110</v>
          </cell>
        </row>
        <row r="448">
          <cell r="B448">
            <v>180205</v>
          </cell>
          <cell r="E448" t="str">
            <v>鳗鱼的变异体凶残异常。</v>
          </cell>
          <cell r="F448">
            <v>54</v>
          </cell>
          <cell r="G448">
            <v>1940</v>
          </cell>
          <cell r="H448">
            <v>107</v>
          </cell>
          <cell r="I448">
            <v>1</v>
          </cell>
          <cell r="J448">
            <v>1570</v>
          </cell>
          <cell r="K448">
            <v>81</v>
          </cell>
          <cell r="L448">
            <v>765</v>
          </cell>
          <cell r="M448">
            <v>110</v>
          </cell>
        </row>
        <row r="449">
          <cell r="B449">
            <v>180305</v>
          </cell>
          <cell r="E449" t="str">
            <v>身披坚硬的铁甲，一般攻击很难奏效。</v>
          </cell>
          <cell r="F449">
            <v>54</v>
          </cell>
          <cell r="G449">
            <v>2986</v>
          </cell>
          <cell r="H449">
            <v>107</v>
          </cell>
          <cell r="I449">
            <v>1</v>
          </cell>
          <cell r="J449">
            <v>1204</v>
          </cell>
          <cell r="K449">
            <v>122</v>
          </cell>
          <cell r="L449">
            <v>382</v>
          </cell>
          <cell r="M449">
            <v>55</v>
          </cell>
        </row>
        <row r="450">
          <cell r="B450">
            <v>180405</v>
          </cell>
          <cell r="E450" t="str">
            <v>恶神阿修罗忠诚的打手。</v>
          </cell>
          <cell r="F450">
            <v>55</v>
          </cell>
          <cell r="G450">
            <v>1686</v>
          </cell>
          <cell r="H450">
            <v>219</v>
          </cell>
          <cell r="I450">
            <v>1</v>
          </cell>
          <cell r="J450">
            <v>758</v>
          </cell>
          <cell r="K450">
            <v>84</v>
          </cell>
          <cell r="L450">
            <v>1188</v>
          </cell>
          <cell r="M450">
            <v>110</v>
          </cell>
        </row>
        <row r="451">
          <cell r="B451">
            <v>180505</v>
          </cell>
          <cell r="E451" t="str">
            <v>身形硕大，外边呈赤色，发起怒来震人心魄。</v>
          </cell>
          <cell r="F451">
            <v>56</v>
          </cell>
          <cell r="G451">
            <v>1337</v>
          </cell>
          <cell r="H451">
            <v>224</v>
          </cell>
          <cell r="I451">
            <v>1</v>
          </cell>
          <cell r="J451">
            <v>953</v>
          </cell>
          <cell r="K451">
            <v>97</v>
          </cell>
          <cell r="L451">
            <v>943</v>
          </cell>
          <cell r="M451">
            <v>126</v>
          </cell>
        </row>
        <row r="452">
          <cell r="B452">
            <v>10108</v>
          </cell>
          <cell r="E452" t="str">
            <v>精灵森林中的守护者，外形酷似豺狼。</v>
          </cell>
          <cell r="F452">
            <v>1</v>
          </cell>
          <cell r="G452">
            <v>160</v>
          </cell>
          <cell r="H452">
            <v>6</v>
          </cell>
          <cell r="I452">
            <v>1</v>
          </cell>
          <cell r="J452">
            <v>45</v>
          </cell>
          <cell r="K452">
            <v>1</v>
          </cell>
          <cell r="L452">
            <v>24</v>
          </cell>
          <cell r="M452">
            <v>2</v>
          </cell>
        </row>
        <row r="453">
          <cell r="B453">
            <v>10208</v>
          </cell>
          <cell r="E453" t="str">
            <v>森林凶兽的进化体，拥有更强大的能力。</v>
          </cell>
          <cell r="F453">
            <v>2</v>
          </cell>
          <cell r="G453">
            <v>164</v>
          </cell>
          <cell r="H453">
            <v>10</v>
          </cell>
          <cell r="I453">
            <v>1</v>
          </cell>
          <cell r="J453">
            <v>28.5</v>
          </cell>
          <cell r="K453">
            <v>2</v>
          </cell>
          <cell r="L453">
            <v>36</v>
          </cell>
          <cell r="M453">
            <v>8</v>
          </cell>
        </row>
        <row r="454">
          <cell r="B454">
            <v>10308</v>
          </cell>
          <cell r="E454" t="str">
            <v>体型和外貌都酷似森林凶兽但却是豺狼进化而成。</v>
          </cell>
          <cell r="F454">
            <v>3</v>
          </cell>
          <cell r="G454">
            <v>204</v>
          </cell>
          <cell r="H454">
            <v>12</v>
          </cell>
          <cell r="I454">
            <v>1</v>
          </cell>
          <cell r="J454">
            <v>33</v>
          </cell>
          <cell r="K454">
            <v>2</v>
          </cell>
          <cell r="L454">
            <v>40.5</v>
          </cell>
          <cell r="M454">
            <v>14</v>
          </cell>
        </row>
        <row r="455">
          <cell r="B455">
            <v>10408</v>
          </cell>
          <cell r="E455" t="str">
            <v>蟒蛇和豺狼杂交的产物，长有毒牙的豺狼。</v>
          </cell>
          <cell r="F455">
            <v>4</v>
          </cell>
          <cell r="G455">
            <v>244</v>
          </cell>
          <cell r="H455">
            <v>14</v>
          </cell>
          <cell r="I455">
            <v>1</v>
          </cell>
          <cell r="J455">
            <v>36</v>
          </cell>
          <cell r="K455">
            <v>3</v>
          </cell>
          <cell r="L455">
            <v>49.5</v>
          </cell>
          <cell r="M455">
            <v>20</v>
          </cell>
        </row>
        <row r="456">
          <cell r="B456">
            <v>10508</v>
          </cell>
          <cell r="E456" t="str">
            <v>森林凶兽和豺狼的合体，是狼型怪兽的究极体。</v>
          </cell>
          <cell r="F456">
            <v>4</v>
          </cell>
          <cell r="G456">
            <v>268</v>
          </cell>
          <cell r="H456">
            <v>7</v>
          </cell>
          <cell r="I456">
            <v>1</v>
          </cell>
          <cell r="J456">
            <v>42</v>
          </cell>
          <cell r="K456">
            <v>3</v>
          </cell>
          <cell r="L456">
            <v>25.5</v>
          </cell>
          <cell r="M456">
            <v>20</v>
          </cell>
        </row>
        <row r="457">
          <cell r="B457">
            <v>20108</v>
          </cell>
          <cell r="E457" t="str">
            <v>斯塞提卡湖的守护者之一，拥有强大的水之能量。</v>
          </cell>
          <cell r="F457">
            <v>5</v>
          </cell>
          <cell r="G457">
            <v>228</v>
          </cell>
          <cell r="H457">
            <v>16</v>
          </cell>
          <cell r="I457">
            <v>1</v>
          </cell>
          <cell r="J457">
            <v>54</v>
          </cell>
          <cell r="K457">
            <v>4</v>
          </cell>
          <cell r="L457">
            <v>40.5</v>
          </cell>
          <cell r="M457">
            <v>29</v>
          </cell>
        </row>
        <row r="458">
          <cell r="B458">
            <v>20208</v>
          </cell>
          <cell r="E458" t="str">
            <v>斯塞提卡湖的守护者之一，拥有强大的水之能量。</v>
          </cell>
          <cell r="F458">
            <v>6</v>
          </cell>
          <cell r="G458">
            <v>260</v>
          </cell>
          <cell r="H458">
            <v>18</v>
          </cell>
          <cell r="I458">
            <v>1</v>
          </cell>
          <cell r="J458">
            <v>63</v>
          </cell>
          <cell r="K458">
            <v>5</v>
          </cell>
          <cell r="L458">
            <v>49.5</v>
          </cell>
          <cell r="M458">
            <v>36</v>
          </cell>
        </row>
        <row r="459">
          <cell r="B459">
            <v>20308</v>
          </cell>
          <cell r="E459" t="str">
            <v>斯塞提卡湖的守护者之一，拥有强大的水之能量。</v>
          </cell>
          <cell r="F459">
            <v>7</v>
          </cell>
          <cell r="G459">
            <v>308</v>
          </cell>
          <cell r="H459">
            <v>20</v>
          </cell>
          <cell r="I459">
            <v>1</v>
          </cell>
          <cell r="J459">
            <v>70.5</v>
          </cell>
          <cell r="K459">
            <v>6</v>
          </cell>
          <cell r="L459">
            <v>55.5</v>
          </cell>
          <cell r="M459">
            <v>43</v>
          </cell>
        </row>
        <row r="460">
          <cell r="B460">
            <v>20408</v>
          </cell>
          <cell r="E460" t="str">
            <v>斯塞提卡湖的主人，全身散发着寒冷的光芒。</v>
          </cell>
          <cell r="F460">
            <v>8</v>
          </cell>
          <cell r="G460">
            <v>352</v>
          </cell>
          <cell r="H460">
            <v>22</v>
          </cell>
          <cell r="I460">
            <v>1</v>
          </cell>
          <cell r="J460">
            <v>81</v>
          </cell>
          <cell r="K460">
            <v>7</v>
          </cell>
          <cell r="L460">
            <v>66</v>
          </cell>
          <cell r="M460">
            <v>50</v>
          </cell>
        </row>
        <row r="461">
          <cell r="B461">
            <v>20508</v>
          </cell>
          <cell r="E461" t="str">
            <v>寒冰女王的进化体，全身散发着紫色火焰的寒光。</v>
          </cell>
          <cell r="F461">
            <v>9</v>
          </cell>
          <cell r="G461">
            <v>396</v>
          </cell>
          <cell r="H461">
            <v>25</v>
          </cell>
          <cell r="I461">
            <v>1</v>
          </cell>
          <cell r="J461">
            <v>91.5</v>
          </cell>
          <cell r="K461">
            <v>8</v>
          </cell>
          <cell r="L461">
            <v>73.5</v>
          </cell>
          <cell r="M461">
            <v>57</v>
          </cell>
        </row>
        <row r="462">
          <cell r="B462">
            <v>30108</v>
          </cell>
          <cell r="E462" t="str">
            <v>忏悔森林之中千年的守护者，受到魔化变得失去意识。</v>
          </cell>
          <cell r="F462">
            <v>9</v>
          </cell>
          <cell r="G462">
            <v>512</v>
          </cell>
          <cell r="H462">
            <v>25</v>
          </cell>
          <cell r="I462">
            <v>1</v>
          </cell>
          <cell r="J462">
            <v>70.5</v>
          </cell>
          <cell r="K462">
            <v>6</v>
          </cell>
          <cell r="L462">
            <v>100.5</v>
          </cell>
          <cell r="M462">
            <v>50</v>
          </cell>
        </row>
        <row r="463">
          <cell r="B463">
            <v>30208</v>
          </cell>
          <cell r="E463" t="str">
            <v>传说中蛇的升腾后会幻化成龙，死亡的恶龙复活而成。</v>
          </cell>
          <cell r="F463">
            <v>10</v>
          </cell>
          <cell r="G463">
            <v>592</v>
          </cell>
          <cell r="H463">
            <v>28</v>
          </cell>
          <cell r="I463">
            <v>1</v>
          </cell>
          <cell r="J463">
            <v>79.5</v>
          </cell>
          <cell r="K463">
            <v>7</v>
          </cell>
          <cell r="L463">
            <v>114</v>
          </cell>
          <cell r="M463">
            <v>56</v>
          </cell>
        </row>
        <row r="464">
          <cell r="B464">
            <v>30308</v>
          </cell>
          <cell r="E464" t="str">
            <v>在忏悔森林中无恶不作，不知道残害了多少生命。</v>
          </cell>
          <cell r="F464">
            <v>11</v>
          </cell>
          <cell r="G464">
            <v>668</v>
          </cell>
          <cell r="H464">
            <v>31</v>
          </cell>
          <cell r="I464">
            <v>1</v>
          </cell>
          <cell r="J464">
            <v>88.5</v>
          </cell>
          <cell r="K464">
            <v>8</v>
          </cell>
          <cell r="L464">
            <v>127.5</v>
          </cell>
          <cell r="M464">
            <v>62</v>
          </cell>
        </row>
        <row r="465">
          <cell r="B465">
            <v>30408</v>
          </cell>
          <cell r="E465" t="str">
            <v>是土鳗兽的首领，锋利的牙齿和恐怖的外表是他们最大的武器。</v>
          </cell>
          <cell r="F465">
            <v>12</v>
          </cell>
          <cell r="G465">
            <v>736</v>
          </cell>
          <cell r="H465">
            <v>34</v>
          </cell>
          <cell r="I465">
            <v>1</v>
          </cell>
          <cell r="J465">
            <v>99</v>
          </cell>
          <cell r="K465">
            <v>8</v>
          </cell>
          <cell r="L465">
            <v>144</v>
          </cell>
          <cell r="M465">
            <v>68</v>
          </cell>
        </row>
        <row r="466">
          <cell r="B466">
            <v>30508</v>
          </cell>
          <cell r="E466" t="str">
            <v>魔王手下最厉害的角色之一，受派遣来统治忏悔森林。</v>
          </cell>
          <cell r="F466">
            <v>12</v>
          </cell>
          <cell r="G466">
            <v>736</v>
          </cell>
          <cell r="H466">
            <v>34</v>
          </cell>
          <cell r="I466">
            <v>1</v>
          </cell>
          <cell r="J466">
            <v>99</v>
          </cell>
          <cell r="K466">
            <v>8</v>
          </cell>
          <cell r="L466">
            <v>144</v>
          </cell>
          <cell r="M466">
            <v>68</v>
          </cell>
        </row>
        <row r="467">
          <cell r="B467">
            <v>40108</v>
          </cell>
          <cell r="E467" t="str">
            <v>外表美丽，但是极具攻击性的鸟类。</v>
          </cell>
          <cell r="F467">
            <v>13</v>
          </cell>
          <cell r="G467">
            <v>976</v>
          </cell>
          <cell r="H467">
            <v>18</v>
          </cell>
          <cell r="I467">
            <v>1</v>
          </cell>
          <cell r="J467">
            <v>235.5</v>
          </cell>
          <cell r="K467">
            <v>9</v>
          </cell>
          <cell r="L467">
            <v>108</v>
          </cell>
          <cell r="M467">
            <v>74</v>
          </cell>
        </row>
        <row r="468">
          <cell r="B468">
            <v>40208</v>
          </cell>
          <cell r="E468" t="str">
            <v>收到邪恶能力影响，从远古化石中复活的恶龙。</v>
          </cell>
          <cell r="F468">
            <v>14</v>
          </cell>
          <cell r="G468">
            <v>1068</v>
          </cell>
          <cell r="H468">
            <v>20</v>
          </cell>
          <cell r="I468">
            <v>1</v>
          </cell>
          <cell r="J468">
            <v>262.5</v>
          </cell>
          <cell r="K468">
            <v>11</v>
          </cell>
          <cell r="L468">
            <v>120</v>
          </cell>
          <cell r="M468">
            <v>80</v>
          </cell>
        </row>
        <row r="469">
          <cell r="B469">
            <v>40308</v>
          </cell>
          <cell r="E469" t="str">
            <v>长有蝙蝠翅膀的恶龙，外形十分恐怖，是一个强大的对手。</v>
          </cell>
          <cell r="F469">
            <v>15</v>
          </cell>
          <cell r="G469">
            <v>1172</v>
          </cell>
          <cell r="H469">
            <v>21</v>
          </cell>
          <cell r="I469">
            <v>1</v>
          </cell>
          <cell r="J469">
            <v>285</v>
          </cell>
          <cell r="K469">
            <v>12</v>
          </cell>
          <cell r="L469">
            <v>130.5</v>
          </cell>
          <cell r="M469">
            <v>86</v>
          </cell>
        </row>
        <row r="470">
          <cell r="B470">
            <v>40408</v>
          </cell>
          <cell r="E470" t="str">
            <v>原本是废弃教堂的守护者，自从被圣天兽打败后，就成为了恶魔的走狗。</v>
          </cell>
          <cell r="F470">
            <v>15</v>
          </cell>
          <cell r="G470">
            <v>1172</v>
          </cell>
          <cell r="H470">
            <v>21</v>
          </cell>
          <cell r="I470">
            <v>1</v>
          </cell>
          <cell r="J470">
            <v>285</v>
          </cell>
          <cell r="K470">
            <v>12</v>
          </cell>
          <cell r="L470">
            <v>130.5</v>
          </cell>
          <cell r="M470">
            <v>86</v>
          </cell>
        </row>
        <row r="471">
          <cell r="B471">
            <v>40508</v>
          </cell>
          <cell r="E471" t="str">
            <v>受魔王指使来统治废弃教堂，拥有强大的力量。</v>
          </cell>
          <cell r="F471">
            <v>16</v>
          </cell>
          <cell r="G471">
            <v>1284</v>
          </cell>
          <cell r="H471">
            <v>23</v>
          </cell>
          <cell r="I471">
            <v>1</v>
          </cell>
          <cell r="J471">
            <v>315</v>
          </cell>
          <cell r="K471">
            <v>12</v>
          </cell>
          <cell r="L471">
            <v>145.5</v>
          </cell>
          <cell r="M471">
            <v>92</v>
          </cell>
        </row>
        <row r="472">
          <cell r="B472">
            <v>50108</v>
          </cell>
          <cell r="E472" t="str">
            <v>因为长相奇特不敢以真面目示人，以面具上的恐怖图案来威吓敌人。</v>
          </cell>
          <cell r="F472">
            <v>17</v>
          </cell>
          <cell r="G472">
            <v>2152</v>
          </cell>
          <cell r="H472">
            <v>24</v>
          </cell>
          <cell r="I472">
            <v>1</v>
          </cell>
          <cell r="J472">
            <v>261</v>
          </cell>
          <cell r="K472">
            <v>21</v>
          </cell>
          <cell r="L472">
            <v>79.5</v>
          </cell>
          <cell r="M472">
            <v>49</v>
          </cell>
        </row>
        <row r="473">
          <cell r="B473">
            <v>50208</v>
          </cell>
          <cell r="E473" t="str">
            <v>因为长相奇特不敢以真面目示人，以面具上的恐怖图案来威吓敌人。</v>
          </cell>
          <cell r="F473">
            <v>18</v>
          </cell>
          <cell r="G473">
            <v>2336</v>
          </cell>
          <cell r="H473">
            <v>26</v>
          </cell>
          <cell r="I473">
            <v>1</v>
          </cell>
          <cell r="J473">
            <v>283.5</v>
          </cell>
          <cell r="K473">
            <v>22</v>
          </cell>
          <cell r="L473">
            <v>85.5</v>
          </cell>
          <cell r="M473">
            <v>52</v>
          </cell>
        </row>
        <row r="474">
          <cell r="B474">
            <v>50308</v>
          </cell>
          <cell r="E474" t="str">
            <v>四肢发达但智商低下，是恶魔忠实的打手。</v>
          </cell>
          <cell r="F474">
            <v>18</v>
          </cell>
          <cell r="G474">
            <v>2336</v>
          </cell>
          <cell r="H474">
            <v>26</v>
          </cell>
          <cell r="I474">
            <v>1</v>
          </cell>
          <cell r="J474">
            <v>283.5</v>
          </cell>
          <cell r="K474">
            <v>22</v>
          </cell>
          <cell r="L474">
            <v>85.5</v>
          </cell>
          <cell r="M474">
            <v>52</v>
          </cell>
        </row>
        <row r="475">
          <cell r="B475">
            <v>50408</v>
          </cell>
          <cell r="E475" t="str">
            <v>为了展现对魔王的忠心，他们接受了邪恶的改造，成为了恐怖的怪物。</v>
          </cell>
          <cell r="F475">
            <v>19</v>
          </cell>
          <cell r="G475">
            <v>2512</v>
          </cell>
          <cell r="H475">
            <v>27</v>
          </cell>
          <cell r="I475">
            <v>1</v>
          </cell>
          <cell r="J475">
            <v>306</v>
          </cell>
          <cell r="K475">
            <v>25</v>
          </cell>
          <cell r="L475">
            <v>93</v>
          </cell>
          <cell r="M475">
            <v>55</v>
          </cell>
        </row>
        <row r="476">
          <cell r="B476">
            <v>50508</v>
          </cell>
          <cell r="E476" t="str">
            <v>这个拥有奇特外形的恶魔，最大的能力就是改造生命，让他们变得邪恶。</v>
          </cell>
          <cell r="F476">
            <v>20</v>
          </cell>
          <cell r="G476">
            <v>1156</v>
          </cell>
          <cell r="H476">
            <v>59</v>
          </cell>
          <cell r="I476">
            <v>1</v>
          </cell>
          <cell r="J476">
            <v>216</v>
          </cell>
          <cell r="K476">
            <v>19</v>
          </cell>
          <cell r="L476">
            <v>252</v>
          </cell>
          <cell r="M476">
            <v>126</v>
          </cell>
        </row>
        <row r="477">
          <cell r="B477">
            <v>60108</v>
          </cell>
          <cell r="E477" t="str">
            <v>神龙湖的守护者之一，原本善良安静，但是不知怎么变得邪恶恐怖。</v>
          </cell>
          <cell r="F477">
            <v>21</v>
          </cell>
          <cell r="G477">
            <v>1240</v>
          </cell>
          <cell r="H477">
            <v>63</v>
          </cell>
          <cell r="I477">
            <v>1</v>
          </cell>
          <cell r="J477">
            <v>280.5</v>
          </cell>
          <cell r="K477">
            <v>24</v>
          </cell>
          <cell r="L477">
            <v>240</v>
          </cell>
          <cell r="M477">
            <v>126</v>
          </cell>
        </row>
        <row r="478">
          <cell r="B478">
            <v>60208</v>
          </cell>
          <cell r="E478" t="str">
            <v>寄居在湖底的恶魔，原本忌惮于水龙兽强大的能力，不敢现身，但是现在似乎拥有了更强大的能力。</v>
          </cell>
          <cell r="F478">
            <v>21</v>
          </cell>
          <cell r="G478">
            <v>1240</v>
          </cell>
          <cell r="H478">
            <v>63</v>
          </cell>
          <cell r="I478">
            <v>1</v>
          </cell>
          <cell r="J478">
            <v>280.5</v>
          </cell>
          <cell r="K478">
            <v>24</v>
          </cell>
          <cell r="L478">
            <v>240</v>
          </cell>
          <cell r="M478">
            <v>126</v>
          </cell>
        </row>
        <row r="479">
          <cell r="B479">
            <v>60308</v>
          </cell>
          <cell r="E479" t="str">
            <v>寄居在湖底的恶魔，原本忌惮于水龙兽强大的能力，不敢现身，但是现在似乎拥有了更强大的能力。</v>
          </cell>
          <cell r="F479">
            <v>22</v>
          </cell>
          <cell r="G479">
            <v>1324</v>
          </cell>
          <cell r="H479">
            <v>67</v>
          </cell>
          <cell r="I479">
            <v>1</v>
          </cell>
          <cell r="J479">
            <v>303</v>
          </cell>
          <cell r="K479">
            <v>26</v>
          </cell>
          <cell r="L479">
            <v>259.5</v>
          </cell>
          <cell r="M479">
            <v>126</v>
          </cell>
        </row>
        <row r="480">
          <cell r="B480">
            <v>60408</v>
          </cell>
          <cell r="E480" t="str">
            <v>人形外边常常在湖畔以性感的姿态，诱惑善良的人们，借机吸取他们的精元。</v>
          </cell>
          <cell r="F480">
            <v>23</v>
          </cell>
          <cell r="G480">
            <v>1404</v>
          </cell>
          <cell r="H480">
            <v>71</v>
          </cell>
          <cell r="I480">
            <v>1</v>
          </cell>
          <cell r="J480">
            <v>270</v>
          </cell>
          <cell r="K480">
            <v>25</v>
          </cell>
          <cell r="L480">
            <v>318</v>
          </cell>
          <cell r="M480">
            <v>126</v>
          </cell>
        </row>
        <row r="481">
          <cell r="B481">
            <v>60508</v>
          </cell>
          <cell r="E481" t="str">
            <v>天堂的众位天使之一，不知道为什么会降临神龙湖作乱。</v>
          </cell>
          <cell r="F481">
            <v>24</v>
          </cell>
          <cell r="G481">
            <v>1504</v>
          </cell>
          <cell r="H481">
            <v>75</v>
          </cell>
          <cell r="I481">
            <v>1</v>
          </cell>
          <cell r="J481">
            <v>307.5</v>
          </cell>
          <cell r="K481">
            <v>26</v>
          </cell>
          <cell r="L481">
            <v>327</v>
          </cell>
          <cell r="M481">
            <v>126</v>
          </cell>
        </row>
        <row r="482">
          <cell r="B482">
            <v>70108</v>
          </cell>
          <cell r="E482" t="str">
            <v>拥有强大火炎力量的天使。</v>
          </cell>
          <cell r="F482">
            <v>24</v>
          </cell>
          <cell r="G482">
            <v>1504</v>
          </cell>
          <cell r="H482">
            <v>75</v>
          </cell>
          <cell r="I482">
            <v>1</v>
          </cell>
          <cell r="J482">
            <v>327</v>
          </cell>
          <cell r="K482">
            <v>26</v>
          </cell>
          <cell r="L482">
            <v>313.5</v>
          </cell>
          <cell r="M482">
            <v>126</v>
          </cell>
        </row>
        <row r="483">
          <cell r="B483">
            <v>70208</v>
          </cell>
          <cell r="E483" t="str">
            <v>地狱恶魔和赤炎天使一样拥有强大的火炎力量。</v>
          </cell>
          <cell r="F483">
            <v>25</v>
          </cell>
          <cell r="G483">
            <v>1600</v>
          </cell>
          <cell r="H483">
            <v>79</v>
          </cell>
          <cell r="I483">
            <v>1</v>
          </cell>
          <cell r="J483">
            <v>349.5</v>
          </cell>
          <cell r="K483">
            <v>27</v>
          </cell>
          <cell r="L483">
            <v>336</v>
          </cell>
          <cell r="M483">
            <v>126</v>
          </cell>
        </row>
        <row r="484">
          <cell r="B484">
            <v>70308</v>
          </cell>
          <cell r="E484" t="str">
            <v>看守地狱火炎山的幻兽，不知道为什么会来到Rosean山脉。</v>
          </cell>
          <cell r="F484">
            <v>26</v>
          </cell>
          <cell r="G484">
            <v>1688</v>
          </cell>
          <cell r="H484">
            <v>83</v>
          </cell>
          <cell r="I484">
            <v>1</v>
          </cell>
          <cell r="J484">
            <v>373.5</v>
          </cell>
          <cell r="K484">
            <v>29</v>
          </cell>
          <cell r="L484">
            <v>358.5</v>
          </cell>
          <cell r="M484">
            <v>126</v>
          </cell>
        </row>
        <row r="485">
          <cell r="B485">
            <v>70408</v>
          </cell>
          <cell r="E485" t="str">
            <v>以火炎岩浆为食的巨型蝎子，蝎尾释放的毒液具有火炎的热度。</v>
          </cell>
          <cell r="F485">
            <v>27</v>
          </cell>
          <cell r="G485">
            <v>1788</v>
          </cell>
          <cell r="H485">
            <v>87</v>
          </cell>
          <cell r="I485">
            <v>1</v>
          </cell>
          <cell r="J485">
            <v>397.5</v>
          </cell>
          <cell r="K485">
            <v>31</v>
          </cell>
          <cell r="L485">
            <v>381</v>
          </cell>
          <cell r="M485">
            <v>126</v>
          </cell>
        </row>
        <row r="486">
          <cell r="B486">
            <v>70508</v>
          </cell>
          <cell r="E486" t="str">
            <v>魔幻精灵在数百年年前被人类打败后，无法恢复躯体，寄居在魔能水晶中。</v>
          </cell>
          <cell r="F486">
            <v>27</v>
          </cell>
          <cell r="G486">
            <v>1788</v>
          </cell>
          <cell r="H486">
            <v>87</v>
          </cell>
          <cell r="I486">
            <v>1</v>
          </cell>
          <cell r="J486">
            <v>351</v>
          </cell>
          <cell r="K486">
            <v>31</v>
          </cell>
          <cell r="L486">
            <v>414</v>
          </cell>
          <cell r="M486">
            <v>126</v>
          </cell>
        </row>
        <row r="487">
          <cell r="B487">
            <v>80108</v>
          </cell>
          <cell r="E487" t="str">
            <v>传说只要能亲吻一下赤裸天使，便可得到她们的芳心，以性感的外表著称。</v>
          </cell>
          <cell r="F487">
            <v>28</v>
          </cell>
          <cell r="G487">
            <v>1884</v>
          </cell>
          <cell r="H487">
            <v>91</v>
          </cell>
          <cell r="I487">
            <v>1</v>
          </cell>
          <cell r="J487">
            <v>396</v>
          </cell>
          <cell r="K487">
            <v>33</v>
          </cell>
          <cell r="L487">
            <v>423</v>
          </cell>
          <cell r="M487">
            <v>126</v>
          </cell>
        </row>
        <row r="488">
          <cell r="B488">
            <v>80208</v>
          </cell>
          <cell r="E488" t="str">
            <v>以强大的地脉力量守护着塞尔塔大地，但是却被魔王迷惑了心智。</v>
          </cell>
          <cell r="F488">
            <v>29</v>
          </cell>
          <cell r="G488">
            <v>2812</v>
          </cell>
          <cell r="H488">
            <v>76</v>
          </cell>
          <cell r="I488">
            <v>1</v>
          </cell>
          <cell r="J488">
            <v>630</v>
          </cell>
          <cell r="K488">
            <v>31</v>
          </cell>
          <cell r="L488">
            <v>447</v>
          </cell>
          <cell r="M488">
            <v>110</v>
          </cell>
        </row>
        <row r="489">
          <cell r="B489">
            <v>80308</v>
          </cell>
          <cell r="E489" t="str">
            <v>魔王以强大的魔能注入岩石中，赋予它生命的同时，让它变得邪恶异常。</v>
          </cell>
          <cell r="F489">
            <v>29</v>
          </cell>
          <cell r="G489">
            <v>2812</v>
          </cell>
          <cell r="H489">
            <v>76</v>
          </cell>
          <cell r="I489">
            <v>1</v>
          </cell>
          <cell r="J489">
            <v>630</v>
          </cell>
          <cell r="K489">
            <v>31</v>
          </cell>
          <cell r="L489">
            <v>447</v>
          </cell>
          <cell r="M489">
            <v>110</v>
          </cell>
        </row>
        <row r="490">
          <cell r="B490">
            <v>80408</v>
          </cell>
          <cell r="E490" t="str">
            <v>圣龙的亚种，但是却是魔王忠实的奴仆。</v>
          </cell>
          <cell r="F490">
            <v>30</v>
          </cell>
          <cell r="G490">
            <v>2960</v>
          </cell>
          <cell r="H490">
            <v>79</v>
          </cell>
          <cell r="I490">
            <v>1</v>
          </cell>
          <cell r="J490">
            <v>666</v>
          </cell>
          <cell r="K490">
            <v>32</v>
          </cell>
          <cell r="L490">
            <v>474</v>
          </cell>
          <cell r="M490">
            <v>110</v>
          </cell>
        </row>
        <row r="491">
          <cell r="B491">
            <v>80508</v>
          </cell>
          <cell r="E491" t="str">
            <v>魅惑吸血鬼是女体吸血鬼的高阶形态，可以幻化成各种外表来迷惑对手。</v>
          </cell>
          <cell r="F491">
            <v>31</v>
          </cell>
          <cell r="G491">
            <v>2196</v>
          </cell>
          <cell r="H491">
            <v>103</v>
          </cell>
          <cell r="I491">
            <v>1</v>
          </cell>
          <cell r="J491">
            <v>438</v>
          </cell>
          <cell r="K491">
            <v>38</v>
          </cell>
          <cell r="L491">
            <v>522</v>
          </cell>
          <cell r="M491">
            <v>126</v>
          </cell>
        </row>
        <row r="492">
          <cell r="B492">
            <v>90108</v>
          </cell>
          <cell r="E492" t="str">
            <v>以美丽的外表引以为豪，自认为是卡尼尔荒原上的女王。</v>
          </cell>
          <cell r="F492">
            <v>32</v>
          </cell>
          <cell r="G492">
            <v>2312</v>
          </cell>
          <cell r="H492">
            <v>107</v>
          </cell>
          <cell r="I492">
            <v>1</v>
          </cell>
          <cell r="J492">
            <v>463.5</v>
          </cell>
          <cell r="K492">
            <v>40</v>
          </cell>
          <cell r="L492">
            <v>552</v>
          </cell>
          <cell r="M492">
            <v>126</v>
          </cell>
        </row>
        <row r="493">
          <cell r="B493">
            <v>90208</v>
          </cell>
          <cell r="E493" t="str">
            <v>狼人在长期与吸血鬼的斗争中逐渐落于下风，为了获得更强大的力量，狼人不惜将灵魂出卖给地狱魔王。</v>
          </cell>
          <cell r="F493">
            <v>32</v>
          </cell>
          <cell r="G493">
            <v>2312</v>
          </cell>
          <cell r="H493">
            <v>107</v>
          </cell>
          <cell r="I493">
            <v>1</v>
          </cell>
          <cell r="J493">
            <v>463.5</v>
          </cell>
          <cell r="K493">
            <v>40</v>
          </cell>
          <cell r="L493">
            <v>552</v>
          </cell>
          <cell r="M493">
            <v>126</v>
          </cell>
        </row>
        <row r="494">
          <cell r="B494">
            <v>90308</v>
          </cell>
          <cell r="E494" t="str">
            <v>外表滑稽，性感乖戾，拥有强大黑暗魔法的小丑。</v>
          </cell>
          <cell r="F494">
            <v>33</v>
          </cell>
          <cell r="G494">
            <v>2420</v>
          </cell>
          <cell r="H494">
            <v>111</v>
          </cell>
          <cell r="I494">
            <v>1</v>
          </cell>
          <cell r="J494">
            <v>486</v>
          </cell>
          <cell r="K494">
            <v>43</v>
          </cell>
          <cell r="L494">
            <v>582</v>
          </cell>
          <cell r="M494">
            <v>126</v>
          </cell>
        </row>
        <row r="495">
          <cell r="B495">
            <v>90408</v>
          </cell>
          <cell r="E495" t="str">
            <v>外表滑稽，性感乖戾，拥有强大黑暗魔法的小丑。</v>
          </cell>
          <cell r="F495">
            <v>34</v>
          </cell>
          <cell r="G495">
            <v>2528</v>
          </cell>
          <cell r="H495">
            <v>115</v>
          </cell>
          <cell r="I495">
            <v>1</v>
          </cell>
          <cell r="J495">
            <v>513</v>
          </cell>
          <cell r="K495">
            <v>45</v>
          </cell>
          <cell r="L495">
            <v>615</v>
          </cell>
          <cell r="M495">
            <v>126</v>
          </cell>
        </row>
        <row r="496">
          <cell r="B496">
            <v>90508</v>
          </cell>
          <cell r="E496" t="str">
            <v>外表滑稽，全身散发赤色火焰，性感乖戾，拥有强大黑暗魔法的小丑。</v>
          </cell>
          <cell r="F496">
            <v>34</v>
          </cell>
          <cell r="G496">
            <v>2528</v>
          </cell>
          <cell r="H496">
            <v>115</v>
          </cell>
          <cell r="I496">
            <v>1</v>
          </cell>
          <cell r="J496">
            <v>513</v>
          </cell>
          <cell r="K496">
            <v>45</v>
          </cell>
          <cell r="L496">
            <v>615</v>
          </cell>
          <cell r="M496">
            <v>126</v>
          </cell>
        </row>
        <row r="497">
          <cell r="B497">
            <v>100108</v>
          </cell>
          <cell r="E497" t="str">
            <v>魅惑吸血鬼是女体吸血鬼的高阶形态，可以幻化成各种外表来迷惑对手。</v>
          </cell>
          <cell r="F497">
            <v>35</v>
          </cell>
          <cell r="G497">
            <v>2644</v>
          </cell>
          <cell r="H497">
            <v>119</v>
          </cell>
          <cell r="I497">
            <v>1</v>
          </cell>
          <cell r="J497">
            <v>648</v>
          </cell>
          <cell r="K497">
            <v>46</v>
          </cell>
          <cell r="L497">
            <v>568.5</v>
          </cell>
          <cell r="M497">
            <v>126</v>
          </cell>
        </row>
        <row r="498">
          <cell r="B498">
            <v>100208</v>
          </cell>
          <cell r="E498" t="str">
            <v>上古时代和恐龙并存的恐怖鱼类，以猎食大型水生动物为食。</v>
          </cell>
          <cell r="F498">
            <v>36</v>
          </cell>
          <cell r="G498">
            <v>2764</v>
          </cell>
          <cell r="H498">
            <v>124</v>
          </cell>
          <cell r="I498">
            <v>1</v>
          </cell>
          <cell r="J498">
            <v>678</v>
          </cell>
          <cell r="K498">
            <v>48</v>
          </cell>
          <cell r="L498">
            <v>597</v>
          </cell>
          <cell r="M498">
            <v>126</v>
          </cell>
        </row>
        <row r="499">
          <cell r="B499">
            <v>100308</v>
          </cell>
          <cell r="E499" t="str">
            <v>逆戟鲸的变种，凶残成性，以鲨鱼为食物。</v>
          </cell>
          <cell r="F499">
            <v>37</v>
          </cell>
          <cell r="G499">
            <v>2880</v>
          </cell>
          <cell r="H499">
            <v>129</v>
          </cell>
          <cell r="I499">
            <v>1</v>
          </cell>
          <cell r="J499">
            <v>711</v>
          </cell>
          <cell r="K499">
            <v>57</v>
          </cell>
          <cell r="L499">
            <v>627</v>
          </cell>
          <cell r="M499">
            <v>126</v>
          </cell>
        </row>
        <row r="500">
          <cell r="B500">
            <v>100408</v>
          </cell>
          <cell r="E500" t="str">
            <v>地狱魔王的使者，夺取那些已经被审判为死亡者的生命。</v>
          </cell>
          <cell r="F500">
            <v>37</v>
          </cell>
          <cell r="G500">
            <v>2880</v>
          </cell>
          <cell r="H500">
            <v>129</v>
          </cell>
          <cell r="I500">
            <v>1</v>
          </cell>
          <cell r="J500">
            <v>592.5</v>
          </cell>
          <cell r="K500">
            <v>51</v>
          </cell>
          <cell r="L500">
            <v>712.5</v>
          </cell>
          <cell r="M500">
            <v>126</v>
          </cell>
        </row>
        <row r="501">
          <cell r="B501">
            <v>100508</v>
          </cell>
          <cell r="E501" t="str">
            <v>恶魔不是最可怕的，可怕的是一个心肠比恶魔还要狠毒的土匪。</v>
          </cell>
          <cell r="F501">
            <v>38</v>
          </cell>
          <cell r="G501">
            <v>3004</v>
          </cell>
          <cell r="H501">
            <v>134</v>
          </cell>
          <cell r="I501">
            <v>1</v>
          </cell>
          <cell r="J501">
            <v>745.5</v>
          </cell>
          <cell r="K501">
            <v>53</v>
          </cell>
          <cell r="L501">
            <v>657</v>
          </cell>
          <cell r="M501">
            <v>126</v>
          </cell>
        </row>
        <row r="502">
          <cell r="B502">
            <v>110108</v>
          </cell>
          <cell r="E502" t="str">
            <v>身披坚硬的铁甲，一般攻击很难奏效。</v>
          </cell>
          <cell r="F502">
            <v>39</v>
          </cell>
          <cell r="G502">
            <v>7336</v>
          </cell>
          <cell r="H502">
            <v>69</v>
          </cell>
          <cell r="I502">
            <v>1</v>
          </cell>
          <cell r="J502">
            <v>996</v>
          </cell>
          <cell r="K502">
            <v>74</v>
          </cell>
          <cell r="L502">
            <v>313.5</v>
          </cell>
          <cell r="M502">
            <v>55</v>
          </cell>
        </row>
        <row r="503">
          <cell r="B503">
            <v>110208</v>
          </cell>
          <cell r="E503" t="str">
            <v>身披坚硬的铁甲，一般攻击很难奏效。</v>
          </cell>
          <cell r="F503">
            <v>39</v>
          </cell>
          <cell r="G503">
            <v>7336</v>
          </cell>
          <cell r="H503">
            <v>69</v>
          </cell>
          <cell r="I503">
            <v>1</v>
          </cell>
          <cell r="J503">
            <v>996</v>
          </cell>
          <cell r="K503">
            <v>74</v>
          </cell>
          <cell r="L503">
            <v>313.5</v>
          </cell>
          <cell r="M503">
            <v>55</v>
          </cell>
        </row>
        <row r="504">
          <cell r="B504">
            <v>110308</v>
          </cell>
          <cell r="E504" t="str">
            <v>身披坚硬的铁甲，一般攻击很难奏效。</v>
          </cell>
          <cell r="F504">
            <v>40</v>
          </cell>
          <cell r="G504">
            <v>7616</v>
          </cell>
          <cell r="H504">
            <v>72</v>
          </cell>
          <cell r="I504">
            <v>1</v>
          </cell>
          <cell r="J504">
            <v>1042.5</v>
          </cell>
          <cell r="K504">
            <v>76</v>
          </cell>
          <cell r="L504">
            <v>327</v>
          </cell>
          <cell r="M504">
            <v>55</v>
          </cell>
        </row>
        <row r="505">
          <cell r="B505">
            <v>110408</v>
          </cell>
          <cell r="E505" t="str">
            <v>终极黄金之箭，可以射穿任何敌人的身体。</v>
          </cell>
          <cell r="F505">
            <v>41</v>
          </cell>
          <cell r="G505">
            <v>7920</v>
          </cell>
          <cell r="H505">
            <v>74</v>
          </cell>
          <cell r="I505">
            <v>1</v>
          </cell>
          <cell r="J505">
            <v>1090.5</v>
          </cell>
          <cell r="K505">
            <v>80</v>
          </cell>
          <cell r="L505">
            <v>343.5</v>
          </cell>
          <cell r="M505">
            <v>55</v>
          </cell>
        </row>
        <row r="506">
          <cell r="B506">
            <v>110508</v>
          </cell>
          <cell r="E506" t="str">
            <v>钢铁战士的究极体，无论是速度还是战斗力都远胜从前。</v>
          </cell>
          <cell r="F506">
            <v>42</v>
          </cell>
          <cell r="G506">
            <v>8224</v>
          </cell>
          <cell r="H506">
            <v>77</v>
          </cell>
          <cell r="I506">
            <v>1</v>
          </cell>
          <cell r="J506">
            <v>1138.5</v>
          </cell>
          <cell r="K506">
            <v>82</v>
          </cell>
          <cell r="L506">
            <v>358.5</v>
          </cell>
          <cell r="M506">
            <v>55</v>
          </cell>
        </row>
        <row r="507">
          <cell r="B507">
            <v>120108</v>
          </cell>
          <cell r="E507" t="str">
            <v>妖野性感女王燃烧寂寞。</v>
          </cell>
          <cell r="F507">
            <v>42</v>
          </cell>
          <cell r="G507">
            <v>3492</v>
          </cell>
          <cell r="H507">
            <v>154</v>
          </cell>
          <cell r="I507">
            <v>1</v>
          </cell>
          <cell r="J507">
            <v>841.5</v>
          </cell>
          <cell r="K507">
            <v>62</v>
          </cell>
          <cell r="L507">
            <v>823.5</v>
          </cell>
          <cell r="M507">
            <v>126</v>
          </cell>
        </row>
        <row r="508">
          <cell r="B508">
            <v>120208</v>
          </cell>
          <cell r="E508" t="str">
            <v>守护天空的大天使，湛蓝的羽翼是她最引以为豪的骄傲。</v>
          </cell>
          <cell r="F508">
            <v>43</v>
          </cell>
          <cell r="G508">
            <v>3612</v>
          </cell>
          <cell r="H508">
            <v>159</v>
          </cell>
          <cell r="I508">
            <v>1</v>
          </cell>
          <cell r="J508">
            <v>825</v>
          </cell>
          <cell r="K508">
            <v>64</v>
          </cell>
          <cell r="L508">
            <v>897</v>
          </cell>
          <cell r="M508">
            <v>126</v>
          </cell>
        </row>
        <row r="509">
          <cell r="B509">
            <v>120308</v>
          </cell>
          <cell r="E509" t="str">
            <v>大天使作为「神的队列（军团）」是当中数一数二的人物。隶属「三大天使」之下的主天使型强者。</v>
          </cell>
          <cell r="F509">
            <v>44</v>
          </cell>
          <cell r="G509">
            <v>3740</v>
          </cell>
          <cell r="H509">
            <v>164</v>
          </cell>
          <cell r="I509">
            <v>1</v>
          </cell>
          <cell r="J509">
            <v>859.5</v>
          </cell>
          <cell r="K509">
            <v>66</v>
          </cell>
          <cell r="L509">
            <v>936</v>
          </cell>
          <cell r="M509">
            <v>126</v>
          </cell>
        </row>
        <row r="510">
          <cell r="B510">
            <v>120408</v>
          </cell>
          <cell r="E510" t="str">
            <v>为了希望和荣光为了家园与梦想天马战士站在最前线挑战烈火</v>
          </cell>
          <cell r="F510">
            <v>44</v>
          </cell>
          <cell r="G510">
            <v>3740</v>
          </cell>
          <cell r="H510">
            <v>164</v>
          </cell>
          <cell r="I510">
            <v>1</v>
          </cell>
          <cell r="J510">
            <v>859.5</v>
          </cell>
          <cell r="K510">
            <v>66</v>
          </cell>
          <cell r="L510">
            <v>936</v>
          </cell>
          <cell r="M510">
            <v>126</v>
          </cell>
        </row>
        <row r="511">
          <cell r="B511">
            <v>120508</v>
          </cell>
          <cell r="E511" t="str">
            <v>圣域的守护者，拥有强大的神圣能量。</v>
          </cell>
          <cell r="F511">
            <v>45</v>
          </cell>
          <cell r="G511">
            <v>3868</v>
          </cell>
          <cell r="H511">
            <v>169</v>
          </cell>
          <cell r="I511">
            <v>1</v>
          </cell>
          <cell r="J511">
            <v>895.5</v>
          </cell>
          <cell r="K511">
            <v>69</v>
          </cell>
          <cell r="L511">
            <v>975</v>
          </cell>
          <cell r="M511">
            <v>126</v>
          </cell>
        </row>
        <row r="512">
          <cell r="B512">
            <v>130108</v>
          </cell>
          <cell r="E512" t="str">
            <v>恶神阿修罗最忠诚的护法战士。</v>
          </cell>
          <cell r="F512">
            <v>46</v>
          </cell>
          <cell r="G512">
            <v>5172</v>
          </cell>
          <cell r="H512">
            <v>174</v>
          </cell>
          <cell r="I512">
            <v>1</v>
          </cell>
          <cell r="J512">
            <v>814.5</v>
          </cell>
          <cell r="K512">
            <v>64</v>
          </cell>
          <cell r="L512">
            <v>1270.5</v>
          </cell>
          <cell r="M512">
            <v>110</v>
          </cell>
        </row>
        <row r="513">
          <cell r="B513">
            <v>130208</v>
          </cell>
          <cell r="E513" t="str">
            <v>圣域的守护者，拥有强大的神圣能量。</v>
          </cell>
          <cell r="F513">
            <v>46</v>
          </cell>
          <cell r="G513">
            <v>9408</v>
          </cell>
          <cell r="H513">
            <v>87</v>
          </cell>
          <cell r="I513">
            <v>1</v>
          </cell>
          <cell r="J513">
            <v>1339.5</v>
          </cell>
          <cell r="K513">
            <v>96</v>
          </cell>
          <cell r="L513">
            <v>423</v>
          </cell>
          <cell r="M513">
            <v>55</v>
          </cell>
        </row>
        <row r="514">
          <cell r="B514">
            <v>130308</v>
          </cell>
          <cell r="E514" t="str">
            <v>原来是一条龙，后被改造成钢铁身驱，已经失去了本性，拥有强大力量。</v>
          </cell>
          <cell r="F514">
            <v>47</v>
          </cell>
          <cell r="G514">
            <v>4132</v>
          </cell>
          <cell r="H514">
            <v>179</v>
          </cell>
          <cell r="I514">
            <v>1</v>
          </cell>
          <cell r="J514">
            <v>909</v>
          </cell>
          <cell r="K514">
            <v>73</v>
          </cell>
          <cell r="L514">
            <v>1099.5</v>
          </cell>
          <cell r="M514">
            <v>126</v>
          </cell>
        </row>
        <row r="515">
          <cell r="B515">
            <v>130408</v>
          </cell>
          <cell r="E515" t="str">
            <v>原来是一只雄鹰，后被改造成钢铁身驱，看似已经失去了本身，但还一直惦记着爱鹰。</v>
          </cell>
          <cell r="F515">
            <v>48</v>
          </cell>
          <cell r="G515">
            <v>10040</v>
          </cell>
          <cell r="H515">
            <v>92</v>
          </cell>
          <cell r="I515">
            <v>1</v>
          </cell>
          <cell r="J515">
            <v>1449</v>
          </cell>
          <cell r="K515">
            <v>102</v>
          </cell>
          <cell r="L515">
            <v>457.5</v>
          </cell>
          <cell r="M515">
            <v>55</v>
          </cell>
        </row>
        <row r="516">
          <cell r="B516">
            <v>130508</v>
          </cell>
          <cell r="E516" t="str">
            <v>野蛮人部落的首领，正义与邪恶的化身，拥有无穷无尽的力量。</v>
          </cell>
          <cell r="F516">
            <v>49</v>
          </cell>
          <cell r="G516">
            <v>5692</v>
          </cell>
          <cell r="H516">
            <v>189</v>
          </cell>
          <cell r="I516">
            <v>1</v>
          </cell>
          <cell r="J516">
            <v>916.5</v>
          </cell>
          <cell r="K516">
            <v>70</v>
          </cell>
          <cell r="L516">
            <v>1431</v>
          </cell>
          <cell r="M516">
            <v>110</v>
          </cell>
        </row>
        <row r="517">
          <cell r="B517">
            <v>140108</v>
          </cell>
          <cell r="E517" t="str">
            <v>像风一样的女子，但却有着一颗勇敢的心。</v>
          </cell>
          <cell r="F517">
            <v>49</v>
          </cell>
          <cell r="G517">
            <v>4396</v>
          </cell>
          <cell r="H517">
            <v>189</v>
          </cell>
          <cell r="I517">
            <v>1</v>
          </cell>
          <cell r="J517">
            <v>1309.5</v>
          </cell>
          <cell r="K517">
            <v>79</v>
          </cell>
          <cell r="L517">
            <v>954</v>
          </cell>
          <cell r="M517">
            <v>126</v>
          </cell>
        </row>
        <row r="518">
          <cell r="E518" t="str">
            <v>丛林中凶猛的小蝙蝠。</v>
          </cell>
          <cell r="F518">
            <v>1</v>
          </cell>
          <cell r="G518">
            <v>120</v>
          </cell>
          <cell r="H518">
            <v>0</v>
          </cell>
          <cell r="I518">
            <v>1</v>
          </cell>
          <cell r="J518">
            <v>40</v>
          </cell>
          <cell r="K518">
            <v>1</v>
          </cell>
          <cell r="L518">
            <v>22</v>
          </cell>
          <cell r="M518">
            <v>2</v>
          </cell>
        </row>
        <row r="519">
          <cell r="E519" t="str">
            <v>丛林中凶猛的小蝙蝠。</v>
          </cell>
          <cell r="F519">
            <v>1</v>
          </cell>
          <cell r="G519">
            <v>120</v>
          </cell>
          <cell r="H519">
            <v>0</v>
          </cell>
          <cell r="I519">
            <v>1</v>
          </cell>
          <cell r="J519">
            <v>40</v>
          </cell>
          <cell r="K519">
            <v>1</v>
          </cell>
          <cell r="L519">
            <v>22</v>
          </cell>
          <cell r="M519">
            <v>2</v>
          </cell>
        </row>
        <row r="520">
          <cell r="E520" t="str">
            <v>可以再树木间相互跳跃。</v>
          </cell>
          <cell r="F520">
            <v>1</v>
          </cell>
          <cell r="G520">
            <v>120</v>
          </cell>
          <cell r="H520">
            <v>0</v>
          </cell>
          <cell r="I520">
            <v>1</v>
          </cell>
          <cell r="J520">
            <v>40</v>
          </cell>
          <cell r="K520">
            <v>1</v>
          </cell>
          <cell r="L520">
            <v>22</v>
          </cell>
          <cell r="M520">
            <v>2</v>
          </cell>
        </row>
        <row r="521">
          <cell r="E521" t="str">
            <v>凶残成性但是智商捉襟见肘。</v>
          </cell>
          <cell r="F521">
            <v>1</v>
          </cell>
          <cell r="G521">
            <v>120</v>
          </cell>
          <cell r="H521">
            <v>0</v>
          </cell>
          <cell r="I521">
            <v>1</v>
          </cell>
          <cell r="J521">
            <v>40</v>
          </cell>
          <cell r="K521">
            <v>1</v>
          </cell>
          <cell r="L521">
            <v>22</v>
          </cell>
          <cell r="M521">
            <v>2</v>
          </cell>
        </row>
        <row r="522">
          <cell r="E522" t="str">
            <v>小蝙蝠的进化体。</v>
          </cell>
          <cell r="F522">
            <v>2</v>
          </cell>
          <cell r="G522">
            <v>135</v>
          </cell>
          <cell r="H522">
            <v>5</v>
          </cell>
          <cell r="I522">
            <v>1</v>
          </cell>
          <cell r="J522">
            <v>44</v>
          </cell>
          <cell r="K522">
            <v>2</v>
          </cell>
          <cell r="L522">
            <v>24</v>
          </cell>
          <cell r="M522">
            <v>8</v>
          </cell>
        </row>
        <row r="523">
          <cell r="E523" t="str">
            <v>斯塞提卡湖中寄居的幽灵。</v>
          </cell>
          <cell r="F523">
            <v>2</v>
          </cell>
          <cell r="G523">
            <v>96</v>
          </cell>
          <cell r="H523">
            <v>10</v>
          </cell>
          <cell r="I523">
            <v>1</v>
          </cell>
          <cell r="J523">
            <v>50</v>
          </cell>
          <cell r="K523">
            <v>3</v>
          </cell>
          <cell r="L523">
            <v>34</v>
          </cell>
          <cell r="M523">
            <v>9</v>
          </cell>
        </row>
        <row r="524">
          <cell r="E524" t="str">
            <v>比一般幽灵更容易愤怒遇见她要小心了。</v>
          </cell>
          <cell r="F524">
            <v>3</v>
          </cell>
          <cell r="G524">
            <v>117</v>
          </cell>
          <cell r="H524">
            <v>12</v>
          </cell>
          <cell r="I524">
            <v>1</v>
          </cell>
          <cell r="J524">
            <v>56</v>
          </cell>
          <cell r="K524">
            <v>3</v>
          </cell>
          <cell r="L524">
            <v>38</v>
          </cell>
          <cell r="M524">
            <v>16</v>
          </cell>
        </row>
        <row r="525">
          <cell r="E525" t="str">
            <v>心地善良但是被恶魔蛊惑的心智。</v>
          </cell>
          <cell r="F525">
            <v>3</v>
          </cell>
          <cell r="G525">
            <v>117</v>
          </cell>
          <cell r="H525">
            <v>12</v>
          </cell>
          <cell r="I525">
            <v>1</v>
          </cell>
          <cell r="J525">
            <v>56</v>
          </cell>
          <cell r="K525">
            <v>3</v>
          </cell>
          <cell r="L525">
            <v>38</v>
          </cell>
          <cell r="M525">
            <v>16</v>
          </cell>
        </row>
        <row r="526">
          <cell r="E526" t="str">
            <v>斯塞提卡湖中寄居的幽灵。</v>
          </cell>
          <cell r="F526">
            <v>3</v>
          </cell>
          <cell r="G526">
            <v>117</v>
          </cell>
          <cell r="H526">
            <v>12</v>
          </cell>
          <cell r="I526">
            <v>1</v>
          </cell>
          <cell r="J526">
            <v>56</v>
          </cell>
          <cell r="K526">
            <v>3</v>
          </cell>
          <cell r="L526">
            <v>38</v>
          </cell>
          <cell r="M526">
            <v>16</v>
          </cell>
        </row>
        <row r="527">
          <cell r="E527" t="str">
            <v>比一般幽灵更容易愤怒遇见她要小心了。</v>
          </cell>
          <cell r="F527">
            <v>4</v>
          </cell>
          <cell r="G527">
            <v>141</v>
          </cell>
          <cell r="H527">
            <v>14</v>
          </cell>
          <cell r="I527">
            <v>1</v>
          </cell>
          <cell r="J527">
            <v>62</v>
          </cell>
          <cell r="K527">
            <v>4</v>
          </cell>
          <cell r="L527">
            <v>48</v>
          </cell>
          <cell r="M527">
            <v>23</v>
          </cell>
        </row>
        <row r="528">
          <cell r="E528" t="str">
            <v>腐朽的泥土中产生的怪物。</v>
          </cell>
          <cell r="F528">
            <v>4</v>
          </cell>
          <cell r="G528">
            <v>183</v>
          </cell>
          <cell r="H528">
            <v>14</v>
          </cell>
          <cell r="I528">
            <v>1</v>
          </cell>
          <cell r="J528">
            <v>48</v>
          </cell>
          <cell r="K528">
            <v>3</v>
          </cell>
          <cell r="L528">
            <v>66</v>
          </cell>
          <cell r="M528">
            <v>20</v>
          </cell>
        </row>
        <row r="529">
          <cell r="E529" t="str">
            <v>腐朽的泥土中产生的怪物。</v>
          </cell>
          <cell r="F529">
            <v>5</v>
          </cell>
          <cell r="G529">
            <v>222</v>
          </cell>
          <cell r="H529">
            <v>16</v>
          </cell>
          <cell r="I529">
            <v>1</v>
          </cell>
          <cell r="J529">
            <v>56</v>
          </cell>
          <cell r="K529">
            <v>3</v>
          </cell>
          <cell r="L529">
            <v>74</v>
          </cell>
          <cell r="M529">
            <v>26</v>
          </cell>
        </row>
        <row r="530">
          <cell r="E530" t="str">
            <v>大教堂中没有得到超度的灵魂。</v>
          </cell>
          <cell r="F530">
            <v>5</v>
          </cell>
          <cell r="G530">
            <v>222</v>
          </cell>
          <cell r="H530">
            <v>16</v>
          </cell>
          <cell r="I530">
            <v>1</v>
          </cell>
          <cell r="J530">
            <v>56</v>
          </cell>
          <cell r="K530">
            <v>3</v>
          </cell>
          <cell r="L530">
            <v>74</v>
          </cell>
          <cell r="M530">
            <v>26</v>
          </cell>
        </row>
        <row r="531">
          <cell r="E531" t="str">
            <v>大教堂中没有得到超度的灵魂。</v>
          </cell>
          <cell r="F531">
            <v>6</v>
          </cell>
          <cell r="G531">
            <v>252</v>
          </cell>
          <cell r="H531">
            <v>18</v>
          </cell>
          <cell r="I531">
            <v>1</v>
          </cell>
          <cell r="J531">
            <v>64</v>
          </cell>
          <cell r="K531">
            <v>4</v>
          </cell>
          <cell r="L531">
            <v>90</v>
          </cell>
          <cell r="M531">
            <v>32</v>
          </cell>
        </row>
        <row r="532">
          <cell r="E532" t="str">
            <v>已经死亡的蟒蛇在某种诡异的力量下复活了。</v>
          </cell>
          <cell r="F532">
            <v>6</v>
          </cell>
          <cell r="G532">
            <v>252</v>
          </cell>
          <cell r="H532">
            <v>18</v>
          </cell>
          <cell r="I532">
            <v>1</v>
          </cell>
          <cell r="J532">
            <v>64</v>
          </cell>
          <cell r="K532">
            <v>4</v>
          </cell>
          <cell r="L532">
            <v>90</v>
          </cell>
          <cell r="M532">
            <v>32</v>
          </cell>
        </row>
        <row r="533">
          <cell r="E533" t="str">
            <v>鳗鱼的变异体凶残异常。</v>
          </cell>
          <cell r="F533">
            <v>6</v>
          </cell>
          <cell r="G533">
            <v>300</v>
          </cell>
          <cell r="H533">
            <v>9</v>
          </cell>
          <cell r="I533">
            <v>1</v>
          </cell>
          <cell r="J533">
            <v>140</v>
          </cell>
          <cell r="K533">
            <v>4</v>
          </cell>
          <cell r="L533">
            <v>60</v>
          </cell>
          <cell r="M533">
            <v>32</v>
          </cell>
        </row>
        <row r="534">
          <cell r="E534" t="str">
            <v>鳗鱼的变异体凶残异常。</v>
          </cell>
          <cell r="F534">
            <v>7</v>
          </cell>
          <cell r="G534">
            <v>354</v>
          </cell>
          <cell r="H534">
            <v>10</v>
          </cell>
          <cell r="I534">
            <v>1</v>
          </cell>
          <cell r="J534">
            <v>158</v>
          </cell>
          <cell r="K534">
            <v>4</v>
          </cell>
          <cell r="L534">
            <v>68</v>
          </cell>
          <cell r="M534">
            <v>38</v>
          </cell>
        </row>
        <row r="535">
          <cell r="E535" t="str">
            <v>在邪恶力量驱使下从远古化石中转生。</v>
          </cell>
          <cell r="F535">
            <v>7</v>
          </cell>
          <cell r="G535">
            <v>354</v>
          </cell>
          <cell r="H535">
            <v>10</v>
          </cell>
          <cell r="I535">
            <v>1</v>
          </cell>
          <cell r="J535">
            <v>158</v>
          </cell>
          <cell r="K535">
            <v>4</v>
          </cell>
          <cell r="L535">
            <v>68</v>
          </cell>
          <cell r="M535">
            <v>38</v>
          </cell>
        </row>
        <row r="536">
          <cell r="E536" t="str">
            <v>在邪恶力量驱使下从远古化石中转生。</v>
          </cell>
          <cell r="F536">
            <v>8</v>
          </cell>
          <cell r="G536">
            <v>405</v>
          </cell>
          <cell r="H536">
            <v>11</v>
          </cell>
          <cell r="I536">
            <v>1</v>
          </cell>
          <cell r="J536">
            <v>180</v>
          </cell>
          <cell r="K536">
            <v>5</v>
          </cell>
          <cell r="L536">
            <v>80</v>
          </cell>
          <cell r="M536">
            <v>44</v>
          </cell>
        </row>
        <row r="537">
          <cell r="E537" t="str">
            <v>在邪恶力量驱使下从远古化石中转生。</v>
          </cell>
          <cell r="F537">
            <v>8</v>
          </cell>
          <cell r="G537">
            <v>405</v>
          </cell>
          <cell r="H537">
            <v>11</v>
          </cell>
          <cell r="I537">
            <v>1</v>
          </cell>
          <cell r="J537">
            <v>180</v>
          </cell>
          <cell r="K537">
            <v>5</v>
          </cell>
          <cell r="L537">
            <v>80</v>
          </cell>
          <cell r="M537">
            <v>44</v>
          </cell>
        </row>
        <row r="538">
          <cell r="E538" t="str">
            <v>铜矿的守护者，受到了恶魔的蛊惑。</v>
          </cell>
          <cell r="F538">
            <v>9</v>
          </cell>
          <cell r="G538">
            <v>702</v>
          </cell>
          <cell r="H538">
            <v>12</v>
          </cell>
          <cell r="I538">
            <v>1</v>
          </cell>
          <cell r="J538">
            <v>156</v>
          </cell>
          <cell r="K538">
            <v>9</v>
          </cell>
          <cell r="L538">
            <v>44</v>
          </cell>
          <cell r="M538">
            <v>25</v>
          </cell>
        </row>
        <row r="539">
          <cell r="E539" t="str">
            <v>铜矿的守护者，受到了恶魔的蛊惑。</v>
          </cell>
          <cell r="F539">
            <v>10</v>
          </cell>
          <cell r="G539">
            <v>810</v>
          </cell>
          <cell r="H539">
            <v>14</v>
          </cell>
          <cell r="I539">
            <v>1</v>
          </cell>
          <cell r="J539">
            <v>176</v>
          </cell>
          <cell r="K539">
            <v>10</v>
          </cell>
          <cell r="L539">
            <v>50</v>
          </cell>
          <cell r="M539">
            <v>28</v>
          </cell>
        </row>
        <row r="540">
          <cell r="E540" t="str">
            <v>身披坚硬的铁甲，一般攻击很难奏效。</v>
          </cell>
          <cell r="F540">
            <v>10</v>
          </cell>
          <cell r="G540">
            <v>810</v>
          </cell>
          <cell r="H540">
            <v>14</v>
          </cell>
          <cell r="I540">
            <v>1</v>
          </cell>
          <cell r="J540">
            <v>176</v>
          </cell>
          <cell r="K540">
            <v>10</v>
          </cell>
          <cell r="L540">
            <v>50</v>
          </cell>
          <cell r="M540">
            <v>28</v>
          </cell>
        </row>
        <row r="541">
          <cell r="E541" t="str">
            <v>身披坚硬的铁甲，一般攻击很难奏效。</v>
          </cell>
          <cell r="F541">
            <v>11</v>
          </cell>
          <cell r="G541">
            <v>912</v>
          </cell>
          <cell r="H541">
            <v>15</v>
          </cell>
          <cell r="I541">
            <v>1</v>
          </cell>
          <cell r="J541">
            <v>194</v>
          </cell>
          <cell r="K541">
            <v>12</v>
          </cell>
          <cell r="L541">
            <v>56</v>
          </cell>
          <cell r="M541">
            <v>31</v>
          </cell>
        </row>
        <row r="542">
          <cell r="E542" t="str">
            <v>身披坚硬的铁甲，一般攻击很难奏效。</v>
          </cell>
          <cell r="F542">
            <v>11</v>
          </cell>
          <cell r="G542">
            <v>912</v>
          </cell>
          <cell r="H542">
            <v>15</v>
          </cell>
          <cell r="I542">
            <v>1</v>
          </cell>
          <cell r="J542">
            <v>194</v>
          </cell>
          <cell r="K542">
            <v>12</v>
          </cell>
          <cell r="L542">
            <v>56</v>
          </cell>
          <cell r="M542">
            <v>31</v>
          </cell>
        </row>
        <row r="543">
          <cell r="E543" t="str">
            <v>拥有水之能力的魔晶。</v>
          </cell>
          <cell r="F543">
            <v>12</v>
          </cell>
          <cell r="G543">
            <v>426</v>
          </cell>
          <cell r="H543">
            <v>34</v>
          </cell>
          <cell r="I543">
            <v>1</v>
          </cell>
          <cell r="J543">
            <v>170</v>
          </cell>
          <cell r="K543">
            <v>11</v>
          </cell>
          <cell r="L543">
            <v>140</v>
          </cell>
          <cell r="M543">
            <v>78</v>
          </cell>
        </row>
        <row r="544">
          <cell r="E544" t="str">
            <v>拥有水之能力的魔晶。</v>
          </cell>
          <cell r="F544">
            <v>12</v>
          </cell>
          <cell r="G544">
            <v>426</v>
          </cell>
          <cell r="H544">
            <v>34</v>
          </cell>
          <cell r="I544">
            <v>1</v>
          </cell>
          <cell r="J544">
            <v>170</v>
          </cell>
          <cell r="K544">
            <v>11</v>
          </cell>
          <cell r="L544">
            <v>140</v>
          </cell>
          <cell r="M544">
            <v>78</v>
          </cell>
        </row>
        <row r="545">
          <cell r="E545" t="str">
            <v>拥有水之能力的魔晶。</v>
          </cell>
          <cell r="F545">
            <v>13</v>
          </cell>
          <cell r="G545">
            <v>477</v>
          </cell>
          <cell r="H545">
            <v>37</v>
          </cell>
          <cell r="I545">
            <v>1</v>
          </cell>
          <cell r="J545">
            <v>188</v>
          </cell>
          <cell r="K545">
            <v>12</v>
          </cell>
          <cell r="L545">
            <v>158</v>
          </cell>
          <cell r="M545">
            <v>85</v>
          </cell>
        </row>
        <row r="546">
          <cell r="E546" t="str">
            <v>拥有水之能力的魔晶。</v>
          </cell>
          <cell r="F546">
            <v>13</v>
          </cell>
          <cell r="G546">
            <v>477</v>
          </cell>
          <cell r="H546">
            <v>37</v>
          </cell>
          <cell r="I546">
            <v>1</v>
          </cell>
          <cell r="J546">
            <v>188</v>
          </cell>
          <cell r="K546">
            <v>12</v>
          </cell>
          <cell r="L546">
            <v>158</v>
          </cell>
          <cell r="M546">
            <v>85</v>
          </cell>
        </row>
        <row r="547">
          <cell r="E547" t="str">
            <v>拥有水之能力的魔晶。</v>
          </cell>
          <cell r="F547">
            <v>14</v>
          </cell>
          <cell r="G547">
            <v>525</v>
          </cell>
          <cell r="H547">
            <v>40</v>
          </cell>
          <cell r="I547">
            <v>1</v>
          </cell>
          <cell r="J547">
            <v>210</v>
          </cell>
          <cell r="K547">
            <v>14</v>
          </cell>
          <cell r="L547">
            <v>176</v>
          </cell>
          <cell r="M547">
            <v>92</v>
          </cell>
        </row>
        <row r="548">
          <cell r="E548" t="str">
            <v>拥有火之能力的魔晶。</v>
          </cell>
          <cell r="F548">
            <v>15</v>
          </cell>
          <cell r="G548">
            <v>576</v>
          </cell>
          <cell r="H548">
            <v>43</v>
          </cell>
          <cell r="I548">
            <v>1</v>
          </cell>
          <cell r="J548">
            <v>214</v>
          </cell>
          <cell r="K548">
            <v>13</v>
          </cell>
          <cell r="L548">
            <v>200</v>
          </cell>
          <cell r="M548">
            <v>98</v>
          </cell>
        </row>
        <row r="549">
          <cell r="E549" t="str">
            <v>拥有火之能力的魔晶。</v>
          </cell>
          <cell r="F549">
            <v>15</v>
          </cell>
          <cell r="G549">
            <v>576</v>
          </cell>
          <cell r="H549">
            <v>43</v>
          </cell>
          <cell r="I549">
            <v>1</v>
          </cell>
          <cell r="J549">
            <v>214</v>
          </cell>
          <cell r="K549">
            <v>13</v>
          </cell>
          <cell r="L549">
            <v>200</v>
          </cell>
          <cell r="M549">
            <v>98</v>
          </cell>
        </row>
        <row r="550">
          <cell r="E550" t="str">
            <v>在火焰熔炼中诞生，全身炙热。</v>
          </cell>
          <cell r="F550">
            <v>16</v>
          </cell>
          <cell r="G550">
            <v>627</v>
          </cell>
          <cell r="H550">
            <v>46</v>
          </cell>
          <cell r="I550">
            <v>1</v>
          </cell>
          <cell r="J550">
            <v>238</v>
          </cell>
          <cell r="K550">
            <v>14</v>
          </cell>
          <cell r="L550">
            <v>222</v>
          </cell>
          <cell r="M550">
            <v>105</v>
          </cell>
        </row>
        <row r="551">
          <cell r="E551" t="str">
            <v>在火焰熔炼中诞生，全身炙热。</v>
          </cell>
          <cell r="F551">
            <v>16</v>
          </cell>
          <cell r="G551">
            <v>627</v>
          </cell>
          <cell r="H551">
            <v>46</v>
          </cell>
          <cell r="I551">
            <v>1</v>
          </cell>
          <cell r="J551">
            <v>238</v>
          </cell>
          <cell r="K551">
            <v>14</v>
          </cell>
          <cell r="L551">
            <v>222</v>
          </cell>
          <cell r="M551">
            <v>105</v>
          </cell>
        </row>
        <row r="552">
          <cell r="E552" t="str">
            <v>身形硕大，外边呈赤色，发起怒来震人心魄。</v>
          </cell>
          <cell r="F552">
            <v>17</v>
          </cell>
          <cell r="G552">
            <v>684</v>
          </cell>
          <cell r="H552">
            <v>49</v>
          </cell>
          <cell r="I552">
            <v>1</v>
          </cell>
          <cell r="J552">
            <v>258</v>
          </cell>
          <cell r="K552">
            <v>16</v>
          </cell>
          <cell r="L552">
            <v>242</v>
          </cell>
          <cell r="M552">
            <v>112</v>
          </cell>
        </row>
        <row r="553">
          <cell r="E553" t="str">
            <v>身形硕大，外边土赤色，发起怒来震人心魄。</v>
          </cell>
          <cell r="F553">
            <v>18</v>
          </cell>
          <cell r="G553">
            <v>1050</v>
          </cell>
          <cell r="H553">
            <v>41</v>
          </cell>
          <cell r="I553">
            <v>1</v>
          </cell>
          <cell r="J553">
            <v>396</v>
          </cell>
          <cell r="K553">
            <v>15</v>
          </cell>
          <cell r="L553">
            <v>276</v>
          </cell>
          <cell r="M553">
            <v>104</v>
          </cell>
        </row>
        <row r="554">
          <cell r="E554" t="str">
            <v>身形硕大，外边土赤色，发起怒来震人心魄。</v>
          </cell>
          <cell r="F554">
            <v>18</v>
          </cell>
          <cell r="G554">
            <v>1050</v>
          </cell>
          <cell r="H554">
            <v>41</v>
          </cell>
          <cell r="I554">
            <v>1</v>
          </cell>
          <cell r="J554">
            <v>396</v>
          </cell>
          <cell r="K554">
            <v>15</v>
          </cell>
          <cell r="L554">
            <v>276</v>
          </cell>
          <cell r="M554">
            <v>104</v>
          </cell>
        </row>
        <row r="555">
          <cell r="E555" t="str">
            <v>身形硕大，外边土赤色，发起怒来震人心魄。</v>
          </cell>
          <cell r="F555">
            <v>19</v>
          </cell>
          <cell r="G555">
            <v>1128</v>
          </cell>
          <cell r="H555">
            <v>44</v>
          </cell>
          <cell r="I555">
            <v>1</v>
          </cell>
          <cell r="J555">
            <v>426</v>
          </cell>
          <cell r="K555">
            <v>16</v>
          </cell>
          <cell r="L555">
            <v>300</v>
          </cell>
          <cell r="M555">
            <v>110</v>
          </cell>
        </row>
        <row r="556">
          <cell r="E556" t="str">
            <v>身形硕大，外边土赤色，发起怒来震人心魄。</v>
          </cell>
          <cell r="F556">
            <v>19</v>
          </cell>
          <cell r="G556">
            <v>1128</v>
          </cell>
          <cell r="H556">
            <v>44</v>
          </cell>
          <cell r="I556">
            <v>1</v>
          </cell>
          <cell r="J556">
            <v>426</v>
          </cell>
          <cell r="K556">
            <v>16</v>
          </cell>
          <cell r="L556">
            <v>300</v>
          </cell>
          <cell r="M556">
            <v>110</v>
          </cell>
        </row>
        <row r="557">
          <cell r="E557" t="str">
            <v>身形硕大，外边青赤色，发起怒来震人心魄。</v>
          </cell>
          <cell r="F557">
            <v>20</v>
          </cell>
          <cell r="G557">
            <v>1224</v>
          </cell>
          <cell r="H557">
            <v>47</v>
          </cell>
          <cell r="I557">
            <v>1</v>
          </cell>
          <cell r="J557">
            <v>462</v>
          </cell>
          <cell r="K557">
            <v>17</v>
          </cell>
          <cell r="L557">
            <v>324</v>
          </cell>
          <cell r="M557">
            <v>110</v>
          </cell>
        </row>
        <row r="558">
          <cell r="E558" t="str">
            <v>每一根绒毛都充满了毒液，千万不要被它碰到。</v>
          </cell>
          <cell r="F558">
            <v>21</v>
          </cell>
          <cell r="G558">
            <v>930</v>
          </cell>
          <cell r="H558">
            <v>63</v>
          </cell>
          <cell r="I558">
            <v>1</v>
          </cell>
          <cell r="J558">
            <v>312</v>
          </cell>
          <cell r="K558">
            <v>21</v>
          </cell>
          <cell r="L558">
            <v>364</v>
          </cell>
          <cell r="M558">
            <v>126</v>
          </cell>
        </row>
        <row r="559">
          <cell r="E559" t="str">
            <v>每一根绒毛都充满了毒液，千万不要被它碰到。</v>
          </cell>
          <cell r="F559">
            <v>21</v>
          </cell>
          <cell r="G559">
            <v>930</v>
          </cell>
          <cell r="H559">
            <v>63</v>
          </cell>
          <cell r="I559">
            <v>1</v>
          </cell>
          <cell r="J559">
            <v>312</v>
          </cell>
          <cell r="K559">
            <v>21</v>
          </cell>
          <cell r="L559">
            <v>364</v>
          </cell>
          <cell r="M559">
            <v>126</v>
          </cell>
        </row>
        <row r="560">
          <cell r="E560" t="str">
            <v>被赋予恶魔力量的凶残强盗。</v>
          </cell>
          <cell r="F560">
            <v>22</v>
          </cell>
          <cell r="G560">
            <v>993</v>
          </cell>
          <cell r="H560">
            <v>67</v>
          </cell>
          <cell r="I560">
            <v>1</v>
          </cell>
          <cell r="J560">
            <v>336</v>
          </cell>
          <cell r="K560">
            <v>23</v>
          </cell>
          <cell r="L560">
            <v>394</v>
          </cell>
          <cell r="M560">
            <v>126</v>
          </cell>
        </row>
        <row r="561">
          <cell r="E561" t="str">
            <v>被赋予恶魔力量的凶残强盗。</v>
          </cell>
          <cell r="F561">
            <v>23</v>
          </cell>
          <cell r="G561">
            <v>1053</v>
          </cell>
          <cell r="H561">
            <v>71</v>
          </cell>
          <cell r="I561">
            <v>1</v>
          </cell>
          <cell r="J561">
            <v>360</v>
          </cell>
          <cell r="K561">
            <v>25</v>
          </cell>
          <cell r="L561">
            <v>424</v>
          </cell>
          <cell r="M561">
            <v>126</v>
          </cell>
        </row>
        <row r="562">
          <cell r="E562" t="str">
            <v>被赋予恶魔力量的凶残强盗。</v>
          </cell>
          <cell r="F562">
            <v>23</v>
          </cell>
          <cell r="G562">
            <v>1053</v>
          </cell>
          <cell r="H562">
            <v>71</v>
          </cell>
          <cell r="I562">
            <v>1</v>
          </cell>
          <cell r="J562">
            <v>360</v>
          </cell>
          <cell r="K562">
            <v>25</v>
          </cell>
          <cell r="L562">
            <v>424</v>
          </cell>
          <cell r="M562">
            <v>126</v>
          </cell>
        </row>
        <row r="563">
          <cell r="E563" t="str">
            <v>拥有雷之力量的凶残盗贼。</v>
          </cell>
          <cell r="F563">
            <v>24</v>
          </cell>
          <cell r="G563">
            <v>1128</v>
          </cell>
          <cell r="H563">
            <v>75</v>
          </cell>
          <cell r="I563">
            <v>1</v>
          </cell>
          <cell r="J563">
            <v>462</v>
          </cell>
          <cell r="K563">
            <v>26</v>
          </cell>
          <cell r="L563">
            <v>400</v>
          </cell>
          <cell r="M563">
            <v>126</v>
          </cell>
        </row>
        <row r="564">
          <cell r="E564" t="str">
            <v>拥有雷之力量的凶残盗贼。</v>
          </cell>
          <cell r="F564">
            <v>25</v>
          </cell>
          <cell r="G564">
            <v>1200</v>
          </cell>
          <cell r="H564">
            <v>79</v>
          </cell>
          <cell r="I564">
            <v>1</v>
          </cell>
          <cell r="J564">
            <v>494</v>
          </cell>
          <cell r="K564">
            <v>27</v>
          </cell>
          <cell r="L564">
            <v>428</v>
          </cell>
          <cell r="M564">
            <v>126</v>
          </cell>
        </row>
        <row r="565">
          <cell r="E565" t="str">
            <v>拥有雷之能力的魔晶。</v>
          </cell>
          <cell r="F565">
            <v>25</v>
          </cell>
          <cell r="G565">
            <v>1200</v>
          </cell>
          <cell r="H565">
            <v>79</v>
          </cell>
          <cell r="I565">
            <v>1</v>
          </cell>
          <cell r="J565">
            <v>494</v>
          </cell>
          <cell r="K565">
            <v>27</v>
          </cell>
          <cell r="L565">
            <v>428</v>
          </cell>
          <cell r="M565">
            <v>126</v>
          </cell>
        </row>
        <row r="566">
          <cell r="E566" t="str">
            <v>拥有雷之能力的魔晶。</v>
          </cell>
          <cell r="F566">
            <v>26</v>
          </cell>
          <cell r="G566">
            <v>1266</v>
          </cell>
          <cell r="H566">
            <v>83</v>
          </cell>
          <cell r="I566">
            <v>1</v>
          </cell>
          <cell r="J566">
            <v>526</v>
          </cell>
          <cell r="K566">
            <v>29</v>
          </cell>
          <cell r="L566">
            <v>456</v>
          </cell>
          <cell r="M566">
            <v>126</v>
          </cell>
        </row>
        <row r="567">
          <cell r="E567" t="str">
            <v>擅长忍术的强盗，诡计多端。</v>
          </cell>
          <cell r="F567">
            <v>27</v>
          </cell>
          <cell r="G567">
            <v>1341</v>
          </cell>
          <cell r="H567">
            <v>87</v>
          </cell>
          <cell r="I567">
            <v>1</v>
          </cell>
          <cell r="J567">
            <v>560</v>
          </cell>
          <cell r="K567">
            <v>31</v>
          </cell>
          <cell r="L567">
            <v>486</v>
          </cell>
          <cell r="M567">
            <v>126</v>
          </cell>
        </row>
        <row r="568">
          <cell r="E568" t="str">
            <v>坚硬的外表下藏着一颗恶毒的心。</v>
          </cell>
          <cell r="F568">
            <v>27</v>
          </cell>
          <cell r="G568">
            <v>3156</v>
          </cell>
          <cell r="H568">
            <v>43</v>
          </cell>
          <cell r="I568">
            <v>1</v>
          </cell>
          <cell r="J568">
            <v>716</v>
          </cell>
          <cell r="K568">
            <v>42</v>
          </cell>
          <cell r="L568">
            <v>220</v>
          </cell>
          <cell r="M568">
            <v>55</v>
          </cell>
        </row>
        <row r="569">
          <cell r="E569" t="str">
            <v>身披坚硬的铁甲，一般攻击很难奏效。</v>
          </cell>
          <cell r="F569">
            <v>28</v>
          </cell>
          <cell r="G569">
            <v>3330</v>
          </cell>
          <cell r="H569">
            <v>45</v>
          </cell>
          <cell r="I569">
            <v>1</v>
          </cell>
          <cell r="J569">
            <v>758</v>
          </cell>
          <cell r="K569">
            <v>44</v>
          </cell>
          <cell r="L569">
            <v>234</v>
          </cell>
          <cell r="M569">
            <v>55</v>
          </cell>
        </row>
        <row r="570">
          <cell r="E570" t="str">
            <v>四肢发达但智商低下，是恶魔忠实的打手。</v>
          </cell>
          <cell r="F570">
            <v>29</v>
          </cell>
          <cell r="G570">
            <v>3516</v>
          </cell>
          <cell r="H570">
            <v>47</v>
          </cell>
          <cell r="I570">
            <v>1</v>
          </cell>
          <cell r="J570">
            <v>804</v>
          </cell>
          <cell r="K570">
            <v>46</v>
          </cell>
          <cell r="L570">
            <v>248</v>
          </cell>
          <cell r="M570">
            <v>55</v>
          </cell>
        </row>
        <row r="571">
          <cell r="E571" t="str">
            <v>发起疯来会破坏周围的一切，还是不要惹他了。</v>
          </cell>
          <cell r="F571">
            <v>29</v>
          </cell>
          <cell r="G571">
            <v>3516</v>
          </cell>
          <cell r="H571">
            <v>47</v>
          </cell>
          <cell r="I571">
            <v>1</v>
          </cell>
          <cell r="J571">
            <v>804</v>
          </cell>
          <cell r="K571">
            <v>46</v>
          </cell>
          <cell r="L571">
            <v>248</v>
          </cell>
          <cell r="M571">
            <v>55</v>
          </cell>
        </row>
        <row r="572">
          <cell r="E572" t="str">
            <v>四肢发达但智商低下，是恶魔忠实的打手。</v>
          </cell>
          <cell r="F572">
            <v>30</v>
          </cell>
          <cell r="G572">
            <v>3702</v>
          </cell>
          <cell r="H572">
            <v>49</v>
          </cell>
          <cell r="I572">
            <v>1</v>
          </cell>
          <cell r="J572">
            <v>850</v>
          </cell>
          <cell r="K572">
            <v>49</v>
          </cell>
          <cell r="L572">
            <v>264</v>
          </cell>
          <cell r="M572">
            <v>55</v>
          </cell>
        </row>
        <row r="573">
          <cell r="E573" t="str">
            <v>原本是天使忠诚的奴仆，但是被邪恶力量蛊惑了心智。</v>
          </cell>
          <cell r="F573">
            <v>31</v>
          </cell>
          <cell r="G573">
            <v>1647</v>
          </cell>
          <cell r="H573">
            <v>103</v>
          </cell>
          <cell r="I573">
            <v>1</v>
          </cell>
          <cell r="J573">
            <v>624</v>
          </cell>
          <cell r="K573">
            <v>38</v>
          </cell>
          <cell r="L573">
            <v>668</v>
          </cell>
          <cell r="M573">
            <v>126</v>
          </cell>
        </row>
        <row r="574">
          <cell r="E574" t="str">
            <v>原本是天使忠诚的奴仆，但是被邪恶力量蛊惑了心智。</v>
          </cell>
          <cell r="F574">
            <v>31</v>
          </cell>
          <cell r="G574">
            <v>1647</v>
          </cell>
          <cell r="H574">
            <v>103</v>
          </cell>
          <cell r="I574">
            <v>1</v>
          </cell>
          <cell r="J574">
            <v>624</v>
          </cell>
          <cell r="K574">
            <v>38</v>
          </cell>
          <cell r="L574">
            <v>668</v>
          </cell>
          <cell r="M574">
            <v>126</v>
          </cell>
        </row>
        <row r="575">
          <cell r="E575" t="str">
            <v>吞噬了光之能量的恶魔。</v>
          </cell>
          <cell r="F575">
            <v>32</v>
          </cell>
          <cell r="G575">
            <v>1734</v>
          </cell>
          <cell r="H575">
            <v>107</v>
          </cell>
          <cell r="I575">
            <v>1</v>
          </cell>
          <cell r="J575">
            <v>658</v>
          </cell>
          <cell r="K575">
            <v>40</v>
          </cell>
          <cell r="L575">
            <v>708</v>
          </cell>
          <cell r="M575">
            <v>126</v>
          </cell>
        </row>
        <row r="576">
          <cell r="E576" t="str">
            <v>吞噬了光之能量的恶魔。</v>
          </cell>
          <cell r="F576">
            <v>33</v>
          </cell>
          <cell r="G576">
            <v>1815</v>
          </cell>
          <cell r="H576">
            <v>111</v>
          </cell>
          <cell r="I576">
            <v>1</v>
          </cell>
          <cell r="J576">
            <v>692</v>
          </cell>
          <cell r="K576">
            <v>43</v>
          </cell>
          <cell r="L576">
            <v>746</v>
          </cell>
          <cell r="M576">
            <v>126</v>
          </cell>
        </row>
        <row r="577">
          <cell r="E577" t="str">
            <v>吞噬了光之能量的恶魔。</v>
          </cell>
          <cell r="F577">
            <v>33</v>
          </cell>
          <cell r="G577">
            <v>1815</v>
          </cell>
          <cell r="H577">
            <v>111</v>
          </cell>
          <cell r="I577">
            <v>1</v>
          </cell>
          <cell r="J577">
            <v>692</v>
          </cell>
          <cell r="K577">
            <v>43</v>
          </cell>
          <cell r="L577">
            <v>746</v>
          </cell>
          <cell r="M577">
            <v>126</v>
          </cell>
        </row>
        <row r="578">
          <cell r="E578" t="str">
            <v>恶神阿修罗忠诚的打手。</v>
          </cell>
          <cell r="F578">
            <v>34</v>
          </cell>
          <cell r="G578">
            <v>2454</v>
          </cell>
          <cell r="H578">
            <v>115</v>
          </cell>
          <cell r="I578">
            <v>1</v>
          </cell>
          <cell r="J578">
            <v>638</v>
          </cell>
          <cell r="K578">
            <v>40</v>
          </cell>
          <cell r="L578">
            <v>984</v>
          </cell>
          <cell r="M578">
            <v>110</v>
          </cell>
        </row>
        <row r="579">
          <cell r="E579" t="str">
            <v>恶神阿修罗忠诚的打手。</v>
          </cell>
          <cell r="F579">
            <v>35</v>
          </cell>
          <cell r="G579">
            <v>4668</v>
          </cell>
          <cell r="H579">
            <v>59</v>
          </cell>
          <cell r="I579">
            <v>1</v>
          </cell>
          <cell r="J579">
            <v>1104</v>
          </cell>
          <cell r="K579">
            <v>62</v>
          </cell>
          <cell r="L579">
            <v>344</v>
          </cell>
          <cell r="M579">
            <v>55</v>
          </cell>
        </row>
        <row r="580">
          <cell r="E580" t="str">
            <v>恶神阿修罗忠诚的打手。</v>
          </cell>
          <cell r="F580">
            <v>36</v>
          </cell>
          <cell r="G580">
            <v>2073</v>
          </cell>
          <cell r="H580">
            <v>124</v>
          </cell>
          <cell r="I580">
            <v>1</v>
          </cell>
          <cell r="J580">
            <v>754</v>
          </cell>
          <cell r="K580">
            <v>48</v>
          </cell>
          <cell r="L580">
            <v>904</v>
          </cell>
          <cell r="M580">
            <v>126</v>
          </cell>
        </row>
        <row r="581">
          <cell r="E581" t="str">
            <v>恶神阿修罗忠诚的打手。</v>
          </cell>
          <cell r="F581">
            <v>36</v>
          </cell>
          <cell r="G581">
            <v>4884</v>
          </cell>
          <cell r="H581">
            <v>62</v>
          </cell>
          <cell r="I581">
            <v>1</v>
          </cell>
          <cell r="J581">
            <v>1156</v>
          </cell>
          <cell r="K581">
            <v>64</v>
          </cell>
          <cell r="L581">
            <v>362</v>
          </cell>
          <cell r="M581">
            <v>55</v>
          </cell>
        </row>
        <row r="582">
          <cell r="E582" t="str">
            <v>恶神阿修罗忠诚的打手。</v>
          </cell>
          <cell r="F582">
            <v>37</v>
          </cell>
          <cell r="G582">
            <v>2796</v>
          </cell>
          <cell r="H582">
            <v>129</v>
          </cell>
          <cell r="I582">
            <v>1</v>
          </cell>
          <cell r="J582">
            <v>736</v>
          </cell>
          <cell r="K582">
            <v>45</v>
          </cell>
          <cell r="L582">
            <v>1140</v>
          </cell>
          <cell r="M582">
            <v>110</v>
          </cell>
        </row>
        <row r="583">
          <cell r="E583" t="str">
            <v>发了狂的蜘蛛，异常凶残。</v>
          </cell>
          <cell r="F583">
            <v>38</v>
          </cell>
          <cell r="G583">
            <v>2253</v>
          </cell>
          <cell r="H583">
            <v>134</v>
          </cell>
          <cell r="I583">
            <v>1</v>
          </cell>
          <cell r="J583">
            <v>1106</v>
          </cell>
          <cell r="K583">
            <v>53</v>
          </cell>
          <cell r="L583">
            <v>798</v>
          </cell>
          <cell r="M583">
            <v>126</v>
          </cell>
        </row>
        <row r="584">
          <cell r="E584" t="str">
            <v>发了狂的蜘蛛，异常凶残。</v>
          </cell>
          <cell r="F584">
            <v>38</v>
          </cell>
          <cell r="G584">
            <v>2253</v>
          </cell>
          <cell r="H584">
            <v>134</v>
          </cell>
          <cell r="I584">
            <v>1</v>
          </cell>
          <cell r="J584">
            <v>1106</v>
          </cell>
          <cell r="K584">
            <v>53</v>
          </cell>
          <cell r="L584">
            <v>798</v>
          </cell>
          <cell r="M584">
            <v>126</v>
          </cell>
        </row>
        <row r="585">
          <cell r="E585" t="str">
            <v>因把灵魂出卖给了冥王，获得了永久的生命。</v>
          </cell>
          <cell r="F585">
            <v>39</v>
          </cell>
          <cell r="G585">
            <v>2337</v>
          </cell>
          <cell r="H585">
            <v>139</v>
          </cell>
          <cell r="I585">
            <v>1</v>
          </cell>
          <cell r="J585">
            <v>866</v>
          </cell>
          <cell r="K585">
            <v>55</v>
          </cell>
          <cell r="L585">
            <v>1044</v>
          </cell>
          <cell r="M585">
            <v>126</v>
          </cell>
        </row>
        <row r="586">
          <cell r="E586" t="str">
            <v>因把灵魂出卖给了冥王，获得了永久的生命。</v>
          </cell>
          <cell r="F586">
            <v>40</v>
          </cell>
          <cell r="G586">
            <v>2427</v>
          </cell>
          <cell r="H586">
            <v>144</v>
          </cell>
          <cell r="I586">
            <v>1</v>
          </cell>
          <cell r="J586">
            <v>906</v>
          </cell>
          <cell r="K586">
            <v>57</v>
          </cell>
          <cell r="L586">
            <v>1092</v>
          </cell>
          <cell r="M586">
            <v>126</v>
          </cell>
        </row>
        <row r="587">
          <cell r="E587" t="str">
            <v>在黑暗力量的影响下，从远古化石中复活。</v>
          </cell>
          <cell r="F587">
            <v>41</v>
          </cell>
          <cell r="G587">
            <v>2523</v>
          </cell>
          <cell r="H587">
            <v>149</v>
          </cell>
          <cell r="I587">
            <v>1</v>
          </cell>
          <cell r="J587">
            <v>948</v>
          </cell>
          <cell r="K587">
            <v>60</v>
          </cell>
          <cell r="L587">
            <v>1144</v>
          </cell>
          <cell r="M587">
            <v>126</v>
          </cell>
        </row>
        <row r="588">
          <cell r="E588" t="str">
            <v>外表黏黏糊糊，看起来非常恶心的小怪物。</v>
          </cell>
          <cell r="F588">
            <v>41</v>
          </cell>
          <cell r="G588">
            <v>2523</v>
          </cell>
          <cell r="H588">
            <v>149</v>
          </cell>
          <cell r="I588">
            <v>1</v>
          </cell>
          <cell r="J588">
            <v>1076</v>
          </cell>
          <cell r="K588">
            <v>60</v>
          </cell>
          <cell r="L588">
            <v>1052</v>
          </cell>
          <cell r="M588">
            <v>126</v>
          </cell>
        </row>
        <row r="589">
          <cell r="E589" t="str">
            <v>火神在用赤炎烈火熔炼天灵石时，幻化出来的恶魔。</v>
          </cell>
          <cell r="F589">
            <v>42</v>
          </cell>
          <cell r="G589">
            <v>2619</v>
          </cell>
          <cell r="H589">
            <v>154</v>
          </cell>
          <cell r="I589">
            <v>1</v>
          </cell>
          <cell r="J589">
            <v>1122</v>
          </cell>
          <cell r="K589">
            <v>62</v>
          </cell>
          <cell r="L589">
            <v>1098</v>
          </cell>
          <cell r="M589">
            <v>126</v>
          </cell>
        </row>
        <row r="590">
          <cell r="E590" t="str">
            <v>拥有火之能力的魔晶。</v>
          </cell>
          <cell r="F590">
            <v>43</v>
          </cell>
          <cell r="G590">
            <v>2709</v>
          </cell>
          <cell r="H590">
            <v>159</v>
          </cell>
          <cell r="I590">
            <v>1</v>
          </cell>
          <cell r="J590">
            <v>1168</v>
          </cell>
          <cell r="K590">
            <v>64</v>
          </cell>
          <cell r="L590">
            <v>1146</v>
          </cell>
          <cell r="M590">
            <v>126</v>
          </cell>
        </row>
        <row r="591">
          <cell r="E591" t="str">
            <v>火神在用赤炎烈火熔炼天灵石时，幻化出来的恶魔。</v>
          </cell>
          <cell r="F591">
            <v>44</v>
          </cell>
          <cell r="G591">
            <v>2805</v>
          </cell>
          <cell r="H591">
            <v>164</v>
          </cell>
          <cell r="I591">
            <v>1</v>
          </cell>
          <cell r="J591">
            <v>1218</v>
          </cell>
          <cell r="K591">
            <v>66</v>
          </cell>
          <cell r="L591">
            <v>1196</v>
          </cell>
          <cell r="M591">
            <v>126</v>
          </cell>
        </row>
        <row r="592">
          <cell r="E592" t="str">
            <v>拥有火之能力的魔晶。</v>
          </cell>
          <cell r="F592">
            <v>44</v>
          </cell>
          <cell r="G592">
            <v>2805</v>
          </cell>
          <cell r="H592">
            <v>164</v>
          </cell>
          <cell r="I592">
            <v>1</v>
          </cell>
          <cell r="J592">
            <v>1218</v>
          </cell>
          <cell r="K592">
            <v>66</v>
          </cell>
          <cell r="L592">
            <v>1196</v>
          </cell>
          <cell r="M592">
            <v>126</v>
          </cell>
        </row>
        <row r="593">
          <cell r="E593" t="str">
            <v>拥有光之能力的魔晶。</v>
          </cell>
          <cell r="F593">
            <v>45</v>
          </cell>
          <cell r="G593">
            <v>2901</v>
          </cell>
          <cell r="H593">
            <v>169</v>
          </cell>
          <cell r="I593">
            <v>1</v>
          </cell>
          <cell r="J593">
            <v>1194</v>
          </cell>
          <cell r="K593">
            <v>69</v>
          </cell>
          <cell r="L593">
            <v>1300</v>
          </cell>
          <cell r="M593">
            <v>126</v>
          </cell>
        </row>
        <row r="594">
          <cell r="E594" t="str">
            <v>吞噬了光之能量的恶魔。</v>
          </cell>
          <cell r="F594">
            <v>46</v>
          </cell>
          <cell r="G594">
            <v>2997</v>
          </cell>
          <cell r="H594">
            <v>174</v>
          </cell>
          <cell r="I594">
            <v>1</v>
          </cell>
          <cell r="J594">
            <v>1242</v>
          </cell>
          <cell r="K594">
            <v>72</v>
          </cell>
          <cell r="L594">
            <v>1356</v>
          </cell>
          <cell r="M594">
            <v>126</v>
          </cell>
        </row>
        <row r="595">
          <cell r="E595" t="str">
            <v>拥有光之能力的魔晶。</v>
          </cell>
          <cell r="F595">
            <v>47</v>
          </cell>
          <cell r="G595">
            <v>3099</v>
          </cell>
          <cell r="H595">
            <v>179</v>
          </cell>
          <cell r="I595">
            <v>1</v>
          </cell>
          <cell r="J595">
            <v>1292</v>
          </cell>
          <cell r="K595">
            <v>73</v>
          </cell>
          <cell r="L595">
            <v>1408</v>
          </cell>
          <cell r="M595">
            <v>126</v>
          </cell>
        </row>
        <row r="596">
          <cell r="E596" t="str">
            <v>吞噬了光之能量的恶魔。</v>
          </cell>
          <cell r="F596">
            <v>47</v>
          </cell>
          <cell r="G596">
            <v>3099</v>
          </cell>
          <cell r="H596">
            <v>179</v>
          </cell>
          <cell r="I596">
            <v>1</v>
          </cell>
          <cell r="J596">
            <v>1292</v>
          </cell>
          <cell r="K596">
            <v>73</v>
          </cell>
          <cell r="L596">
            <v>1408</v>
          </cell>
          <cell r="M596">
            <v>126</v>
          </cell>
        </row>
        <row r="597">
          <cell r="E597" t="str">
            <v>守护光之能量的女护卫，但是被恶魔蒙蔽了眼睛。</v>
          </cell>
          <cell r="F597">
            <v>48</v>
          </cell>
          <cell r="G597">
            <v>3198</v>
          </cell>
          <cell r="H597">
            <v>184</v>
          </cell>
          <cell r="I597">
            <v>1</v>
          </cell>
          <cell r="J597">
            <v>1344</v>
          </cell>
          <cell r="K597">
            <v>76</v>
          </cell>
          <cell r="L597">
            <v>1466</v>
          </cell>
          <cell r="M597">
            <v>126</v>
          </cell>
        </row>
        <row r="598">
          <cell r="E598" t="str">
            <v>寄居在斯塞提卡湖底，以残害渔民为乐。</v>
          </cell>
          <cell r="F598">
            <v>49</v>
          </cell>
          <cell r="G598">
            <v>3297</v>
          </cell>
          <cell r="H598">
            <v>189</v>
          </cell>
          <cell r="I598">
            <v>1</v>
          </cell>
          <cell r="J598">
            <v>1570</v>
          </cell>
          <cell r="K598">
            <v>88</v>
          </cell>
          <cell r="L598">
            <v>1398</v>
          </cell>
          <cell r="M598">
            <v>126</v>
          </cell>
        </row>
        <row r="599">
          <cell r="E599" t="str">
            <v>守护水之能量的女护卫，但是被恶魔蒙蔽了眼睛。</v>
          </cell>
          <cell r="F599">
            <v>50</v>
          </cell>
          <cell r="G599">
            <v>3390</v>
          </cell>
          <cell r="H599">
            <v>194</v>
          </cell>
          <cell r="I599">
            <v>1</v>
          </cell>
          <cell r="J599">
            <v>1632</v>
          </cell>
          <cell r="K599">
            <v>91</v>
          </cell>
          <cell r="L599">
            <v>1452</v>
          </cell>
          <cell r="M599">
            <v>126</v>
          </cell>
        </row>
        <row r="600">
          <cell r="E600" t="str">
            <v>他们漂浮在空气中，随时都有可能向你发动攻击。</v>
          </cell>
          <cell r="F600">
            <v>50</v>
          </cell>
          <cell r="G600">
            <v>4788</v>
          </cell>
          <cell r="H600">
            <v>97</v>
          </cell>
          <cell r="I600">
            <v>1</v>
          </cell>
          <cell r="J600">
            <v>1450</v>
          </cell>
          <cell r="K600">
            <v>68</v>
          </cell>
          <cell r="L600">
            <v>1056</v>
          </cell>
          <cell r="M600">
            <v>110</v>
          </cell>
        </row>
        <row r="601">
          <cell r="E601" t="str">
            <v>地狱魔王最喜爱的宠物，非常凶残。</v>
          </cell>
          <cell r="F601">
            <v>51</v>
          </cell>
          <cell r="G601">
            <v>4944</v>
          </cell>
          <cell r="H601">
            <v>99</v>
          </cell>
          <cell r="I601">
            <v>1</v>
          </cell>
          <cell r="J601">
            <v>1504</v>
          </cell>
          <cell r="K601">
            <v>69</v>
          </cell>
          <cell r="L601">
            <v>1096</v>
          </cell>
          <cell r="M601">
            <v>110</v>
          </cell>
        </row>
        <row r="602">
          <cell r="E602" t="str">
            <v>地狱魔王用来吞噬犯人尸体的食人鱼。</v>
          </cell>
          <cell r="F602">
            <v>52</v>
          </cell>
          <cell r="G602">
            <v>5085</v>
          </cell>
          <cell r="H602">
            <v>102</v>
          </cell>
          <cell r="I602">
            <v>1</v>
          </cell>
          <cell r="J602">
            <v>1560</v>
          </cell>
          <cell r="K602">
            <v>72</v>
          </cell>
          <cell r="L602">
            <v>1136</v>
          </cell>
          <cell r="M602">
            <v>110</v>
          </cell>
        </row>
        <row r="603">
          <cell r="E603" t="str">
            <v>原本是守护大地的神龙，因贪图强大的力量而走上歧途。</v>
          </cell>
          <cell r="F603">
            <v>53</v>
          </cell>
          <cell r="G603">
            <v>8718</v>
          </cell>
          <cell r="H603">
            <v>104</v>
          </cell>
          <cell r="I603">
            <v>1</v>
          </cell>
          <cell r="J603">
            <v>2322</v>
          </cell>
          <cell r="K603">
            <v>118</v>
          </cell>
          <cell r="L603">
            <v>738</v>
          </cell>
          <cell r="M603">
            <v>55</v>
          </cell>
        </row>
        <row r="604">
          <cell r="E604" t="str">
            <v>四肢发达但智商低下，是恶魔忠实的打手。</v>
          </cell>
          <cell r="F604">
            <v>54</v>
          </cell>
          <cell r="G604">
            <v>8958</v>
          </cell>
          <cell r="H604">
            <v>107</v>
          </cell>
          <cell r="I604">
            <v>1</v>
          </cell>
          <cell r="J604">
            <v>2408</v>
          </cell>
          <cell r="K604">
            <v>122</v>
          </cell>
          <cell r="L604">
            <v>764</v>
          </cell>
          <cell r="M604">
            <v>55</v>
          </cell>
        </row>
        <row r="605">
          <cell r="E605" t="str">
            <v>具有强大的攻击能力，千万不要被他的外表蒙蔽。</v>
          </cell>
          <cell r="F605">
            <v>54</v>
          </cell>
          <cell r="G605">
            <v>8958</v>
          </cell>
          <cell r="H605">
            <v>107</v>
          </cell>
          <cell r="I605">
            <v>1</v>
          </cell>
          <cell r="J605">
            <v>2408</v>
          </cell>
          <cell r="K605">
            <v>122</v>
          </cell>
          <cell r="L605">
            <v>764</v>
          </cell>
          <cell r="M605">
            <v>55</v>
          </cell>
        </row>
        <row r="606">
          <cell r="E606" t="str">
            <v>原本是守护大地的神龙，因贪图强大的力量而走上歧途。</v>
          </cell>
          <cell r="F606">
            <v>55</v>
          </cell>
          <cell r="G606">
            <v>9198</v>
          </cell>
          <cell r="H606">
            <v>109</v>
          </cell>
          <cell r="I606">
            <v>1</v>
          </cell>
          <cell r="J606">
            <v>2490</v>
          </cell>
          <cell r="K606">
            <v>126</v>
          </cell>
          <cell r="L606">
            <v>792</v>
          </cell>
          <cell r="M606">
            <v>55</v>
          </cell>
        </row>
        <row r="607">
          <cell r="E607" t="str">
            <v>具有强大的攻击能力，千万不要被他的外表蒙蔽。</v>
          </cell>
          <cell r="F607">
            <v>56</v>
          </cell>
          <cell r="G607">
            <v>9444</v>
          </cell>
          <cell r="H607">
            <v>112</v>
          </cell>
          <cell r="I607">
            <v>1</v>
          </cell>
          <cell r="J607">
            <v>2580</v>
          </cell>
          <cell r="K607">
            <v>129</v>
          </cell>
          <cell r="L607">
            <v>820</v>
          </cell>
          <cell r="M607">
            <v>55</v>
          </cell>
        </row>
      </sheetData>
      <sheetData sheetId="1">
        <row r="2">
          <cell r="C2">
            <v>13</v>
          </cell>
        </row>
        <row r="3">
          <cell r="C3">
            <v>16</v>
          </cell>
        </row>
        <row r="4">
          <cell r="C4">
            <v>16</v>
          </cell>
        </row>
        <row r="5">
          <cell r="C5">
            <v>13</v>
          </cell>
        </row>
        <row r="6">
          <cell r="C6">
            <v>13</v>
          </cell>
        </row>
        <row r="7">
          <cell r="C7">
            <v>107</v>
          </cell>
        </row>
        <row r="8">
          <cell r="C8">
            <v>117</v>
          </cell>
        </row>
        <row r="9">
          <cell r="C9">
            <v>117</v>
          </cell>
        </row>
        <row r="10">
          <cell r="C10">
            <v>107</v>
          </cell>
        </row>
        <row r="11">
          <cell r="C11">
            <v>123</v>
          </cell>
        </row>
        <row r="12">
          <cell r="C12">
            <v>55</v>
          </cell>
        </row>
        <row r="13">
          <cell r="C13">
            <v>5</v>
          </cell>
        </row>
        <row r="14">
          <cell r="C14">
            <v>33</v>
          </cell>
        </row>
        <row r="15">
          <cell r="C15">
            <v>33</v>
          </cell>
        </row>
        <row r="16">
          <cell r="C16">
            <v>5</v>
          </cell>
        </row>
        <row r="17">
          <cell r="C17">
            <v>31</v>
          </cell>
        </row>
        <row r="18">
          <cell r="C18">
            <v>31</v>
          </cell>
        </row>
        <row r="19">
          <cell r="C19">
            <v>22</v>
          </cell>
        </row>
        <row r="20">
          <cell r="C20">
            <v>31</v>
          </cell>
        </row>
        <row r="21">
          <cell r="C21">
            <v>2</v>
          </cell>
        </row>
        <row r="22">
          <cell r="C22">
            <v>27</v>
          </cell>
        </row>
        <row r="23">
          <cell r="C23">
            <v>27</v>
          </cell>
        </row>
        <row r="24">
          <cell r="C24">
            <v>29</v>
          </cell>
        </row>
        <row r="25">
          <cell r="C25">
            <v>27</v>
          </cell>
        </row>
        <row r="26">
          <cell r="C26">
            <v>43</v>
          </cell>
        </row>
        <row r="27">
          <cell r="C27">
            <v>123</v>
          </cell>
        </row>
        <row r="28">
          <cell r="C28">
            <v>117</v>
          </cell>
        </row>
        <row r="29">
          <cell r="C29">
            <v>107</v>
          </cell>
        </row>
        <row r="30">
          <cell r="C30">
            <v>123</v>
          </cell>
        </row>
        <row r="31">
          <cell r="C31">
            <v>117</v>
          </cell>
        </row>
        <row r="32">
          <cell r="C32">
            <v>110</v>
          </cell>
        </row>
        <row r="33">
          <cell r="C33">
            <v>110</v>
          </cell>
        </row>
        <row r="34">
          <cell r="C34">
            <v>115</v>
          </cell>
        </row>
        <row r="35">
          <cell r="C35">
            <v>121</v>
          </cell>
        </row>
        <row r="36">
          <cell r="C36">
            <v>115</v>
          </cell>
        </row>
        <row r="37">
          <cell r="C37">
            <v>60</v>
          </cell>
        </row>
        <row r="38">
          <cell r="C38">
            <v>11</v>
          </cell>
        </row>
        <row r="39">
          <cell r="C39">
            <v>10</v>
          </cell>
        </row>
        <row r="40">
          <cell r="C40">
            <v>60</v>
          </cell>
        </row>
        <row r="41">
          <cell r="C41">
            <v>10</v>
          </cell>
        </row>
        <row r="42">
          <cell r="C42">
            <v>116</v>
          </cell>
        </row>
        <row r="43">
          <cell r="C43">
            <v>116</v>
          </cell>
        </row>
        <row r="44">
          <cell r="C44">
            <v>116</v>
          </cell>
        </row>
        <row r="45">
          <cell r="C45">
            <v>108</v>
          </cell>
        </row>
        <row r="46">
          <cell r="C46">
            <v>116</v>
          </cell>
        </row>
        <row r="47">
          <cell r="C47">
            <v>111</v>
          </cell>
        </row>
        <row r="48">
          <cell r="C48">
            <v>111</v>
          </cell>
        </row>
        <row r="49">
          <cell r="C49">
            <v>120</v>
          </cell>
        </row>
        <row r="50">
          <cell r="C50">
            <v>111</v>
          </cell>
        </row>
        <row r="51">
          <cell r="C51">
            <v>126</v>
          </cell>
        </row>
        <row r="52">
          <cell r="C52">
            <v>43</v>
          </cell>
        </row>
        <row r="53">
          <cell r="C53">
            <v>29</v>
          </cell>
        </row>
        <row r="54">
          <cell r="C54">
            <v>27</v>
          </cell>
        </row>
        <row r="55">
          <cell r="C55">
            <v>43</v>
          </cell>
        </row>
        <row r="56">
          <cell r="C56">
            <v>43</v>
          </cell>
        </row>
        <row r="57">
          <cell r="C57">
            <v>125</v>
          </cell>
        </row>
        <row r="58">
          <cell r="C58">
            <v>119</v>
          </cell>
        </row>
        <row r="59">
          <cell r="C59">
            <v>119</v>
          </cell>
        </row>
        <row r="60">
          <cell r="C60">
            <v>119</v>
          </cell>
        </row>
        <row r="61">
          <cell r="C61">
            <v>109</v>
          </cell>
        </row>
        <row r="62">
          <cell r="C62">
            <v>55</v>
          </cell>
        </row>
        <row r="63">
          <cell r="C63">
            <v>27</v>
          </cell>
        </row>
        <row r="64">
          <cell r="C64">
            <v>122</v>
          </cell>
        </row>
        <row r="65">
          <cell r="C65">
            <v>29</v>
          </cell>
        </row>
        <row r="66">
          <cell r="C66">
            <v>33</v>
          </cell>
        </row>
        <row r="67">
          <cell r="C67">
            <v>106</v>
          </cell>
        </row>
        <row r="68">
          <cell r="C68">
            <v>118</v>
          </cell>
        </row>
        <row r="69">
          <cell r="C69">
            <v>108</v>
          </cell>
        </row>
        <row r="70">
          <cell r="C70">
            <v>122</v>
          </cell>
        </row>
        <row r="71">
          <cell r="C71">
            <v>116</v>
          </cell>
        </row>
        <row r="72">
          <cell r="C72">
            <v>121</v>
          </cell>
        </row>
        <row r="73">
          <cell r="C73">
            <v>110</v>
          </cell>
        </row>
        <row r="74">
          <cell r="C74">
            <v>115</v>
          </cell>
        </row>
        <row r="75">
          <cell r="C75">
            <v>110</v>
          </cell>
        </row>
        <row r="76">
          <cell r="C76">
            <v>115</v>
          </cell>
        </row>
        <row r="77">
          <cell r="C77">
            <v>125</v>
          </cell>
        </row>
        <row r="78">
          <cell r="C78">
            <v>109</v>
          </cell>
        </row>
        <row r="79">
          <cell r="C79">
            <v>109</v>
          </cell>
        </row>
        <row r="80">
          <cell r="C80">
            <v>109</v>
          </cell>
        </row>
        <row r="81">
          <cell r="C81">
            <v>119</v>
          </cell>
        </row>
        <row r="82">
          <cell r="C82">
            <v>107</v>
          </cell>
        </row>
        <row r="83">
          <cell r="C83">
            <v>107</v>
          </cell>
        </row>
        <row r="84">
          <cell r="C84">
            <v>46</v>
          </cell>
        </row>
        <row r="85">
          <cell r="C85">
            <v>46</v>
          </cell>
        </row>
        <row r="86">
          <cell r="C86">
            <v>16</v>
          </cell>
        </row>
        <row r="87">
          <cell r="C87">
            <v>29</v>
          </cell>
        </row>
        <row r="88">
          <cell r="C88">
            <v>29</v>
          </cell>
        </row>
        <row r="89">
          <cell r="C89">
            <v>43</v>
          </cell>
        </row>
        <row r="90">
          <cell r="C90">
            <v>43</v>
          </cell>
        </row>
        <row r="91">
          <cell r="C91">
            <v>27</v>
          </cell>
        </row>
        <row r="92">
          <cell r="C92">
            <v>13</v>
          </cell>
        </row>
        <row r="93">
          <cell r="C93">
            <v>13</v>
          </cell>
        </row>
        <row r="94">
          <cell r="C94">
            <v>13</v>
          </cell>
        </row>
        <row r="95">
          <cell r="C95">
            <v>16</v>
          </cell>
        </row>
        <row r="96">
          <cell r="C96">
            <v>16</v>
          </cell>
        </row>
        <row r="97">
          <cell r="C97">
            <v>123</v>
          </cell>
        </row>
        <row r="98">
          <cell r="C98">
            <v>123</v>
          </cell>
        </row>
        <row r="99">
          <cell r="C99">
            <v>107</v>
          </cell>
        </row>
        <row r="100">
          <cell r="C100">
            <v>117</v>
          </cell>
        </row>
        <row r="101">
          <cell r="C101">
            <v>117</v>
          </cell>
        </row>
        <row r="102">
          <cell r="C102">
            <v>55</v>
          </cell>
        </row>
        <row r="103">
          <cell r="C103">
            <v>33</v>
          </cell>
        </row>
        <row r="104">
          <cell r="C104">
            <v>55</v>
          </cell>
        </row>
        <row r="105">
          <cell r="C105">
            <v>55</v>
          </cell>
        </row>
        <row r="106">
          <cell r="C106">
            <v>5</v>
          </cell>
        </row>
        <row r="107">
          <cell r="C107">
            <v>31</v>
          </cell>
        </row>
        <row r="108">
          <cell r="C108">
            <v>22</v>
          </cell>
        </row>
        <row r="109">
          <cell r="C109">
            <v>22</v>
          </cell>
        </row>
        <row r="110">
          <cell r="C110">
            <v>2</v>
          </cell>
        </row>
        <row r="111">
          <cell r="C111">
            <v>22</v>
          </cell>
        </row>
        <row r="112">
          <cell r="C112">
            <v>43</v>
          </cell>
        </row>
        <row r="113">
          <cell r="C113">
            <v>43</v>
          </cell>
        </row>
        <row r="114">
          <cell r="C114">
            <v>29</v>
          </cell>
        </row>
        <row r="115">
          <cell r="C115">
            <v>43</v>
          </cell>
        </row>
        <row r="116">
          <cell r="C116">
            <v>29</v>
          </cell>
        </row>
        <row r="117">
          <cell r="C117">
            <v>107</v>
          </cell>
        </row>
        <row r="118">
          <cell r="C118">
            <v>117</v>
          </cell>
        </row>
        <row r="119">
          <cell r="C119">
            <v>117</v>
          </cell>
        </row>
        <row r="120">
          <cell r="C120">
            <v>123</v>
          </cell>
        </row>
        <row r="121">
          <cell r="C121">
            <v>123</v>
          </cell>
        </row>
        <row r="122">
          <cell r="C122">
            <v>110</v>
          </cell>
        </row>
        <row r="123">
          <cell r="C123">
            <v>110</v>
          </cell>
        </row>
        <row r="124">
          <cell r="C124">
            <v>110</v>
          </cell>
        </row>
        <row r="125">
          <cell r="C125">
            <v>121</v>
          </cell>
        </row>
        <row r="126">
          <cell r="C126">
            <v>115</v>
          </cell>
        </row>
        <row r="127">
          <cell r="C127">
            <v>60</v>
          </cell>
        </row>
        <row r="128">
          <cell r="C128">
            <v>10</v>
          </cell>
        </row>
        <row r="129">
          <cell r="C129">
            <v>60</v>
          </cell>
        </row>
        <row r="130">
          <cell r="C130">
            <v>11</v>
          </cell>
        </row>
        <row r="131">
          <cell r="C131">
            <v>60</v>
          </cell>
        </row>
        <row r="132">
          <cell r="C132">
            <v>108</v>
          </cell>
        </row>
        <row r="133">
          <cell r="C133">
            <v>122</v>
          </cell>
        </row>
        <row r="134">
          <cell r="C134">
            <v>122</v>
          </cell>
        </row>
        <row r="135">
          <cell r="C135">
            <v>108</v>
          </cell>
        </row>
        <row r="136">
          <cell r="C136">
            <v>116</v>
          </cell>
        </row>
        <row r="137">
          <cell r="C137">
            <v>120</v>
          </cell>
        </row>
        <row r="138">
          <cell r="C138">
            <v>120</v>
          </cell>
        </row>
        <row r="139">
          <cell r="C139">
            <v>126</v>
          </cell>
        </row>
        <row r="140">
          <cell r="C140">
            <v>120</v>
          </cell>
        </row>
        <row r="141">
          <cell r="C141">
            <v>120</v>
          </cell>
        </row>
        <row r="142">
          <cell r="C142">
            <v>43</v>
          </cell>
        </row>
        <row r="143">
          <cell r="C143">
            <v>29</v>
          </cell>
        </row>
        <row r="144">
          <cell r="C144">
            <v>27</v>
          </cell>
        </row>
        <row r="145">
          <cell r="C145">
            <v>27</v>
          </cell>
        </row>
        <row r="146">
          <cell r="C146">
            <v>27</v>
          </cell>
        </row>
        <row r="147">
          <cell r="C147">
            <v>119</v>
          </cell>
        </row>
        <row r="148">
          <cell r="C148">
            <v>109</v>
          </cell>
        </row>
        <row r="149">
          <cell r="C149">
            <v>125</v>
          </cell>
        </row>
        <row r="150">
          <cell r="C150">
            <v>119</v>
          </cell>
        </row>
        <row r="151">
          <cell r="C151">
            <v>125</v>
          </cell>
        </row>
        <row r="152">
          <cell r="C152">
            <v>5</v>
          </cell>
        </row>
        <row r="153">
          <cell r="C153">
            <v>27</v>
          </cell>
        </row>
        <row r="154">
          <cell r="C154">
            <v>108</v>
          </cell>
        </row>
        <row r="155">
          <cell r="C155">
            <v>27</v>
          </cell>
        </row>
        <row r="156">
          <cell r="C156">
            <v>55</v>
          </cell>
        </row>
        <row r="157">
          <cell r="C157">
            <v>118</v>
          </cell>
        </row>
        <row r="158">
          <cell r="C158">
            <v>124</v>
          </cell>
        </row>
        <row r="159">
          <cell r="C159">
            <v>122</v>
          </cell>
        </row>
        <row r="160">
          <cell r="C160">
            <v>108</v>
          </cell>
        </row>
        <row r="161">
          <cell r="C161">
            <v>116</v>
          </cell>
        </row>
        <row r="162">
          <cell r="C162">
            <v>121</v>
          </cell>
        </row>
        <row r="163">
          <cell r="C163">
            <v>121</v>
          </cell>
        </row>
        <row r="164">
          <cell r="C164">
            <v>110</v>
          </cell>
        </row>
        <row r="165">
          <cell r="C165">
            <v>121</v>
          </cell>
        </row>
        <row r="166">
          <cell r="C166">
            <v>110</v>
          </cell>
        </row>
        <row r="167">
          <cell r="C167">
            <v>109</v>
          </cell>
        </row>
        <row r="168">
          <cell r="C168">
            <v>109</v>
          </cell>
        </row>
        <row r="169">
          <cell r="C169">
            <v>125</v>
          </cell>
        </row>
        <row r="170">
          <cell r="C170">
            <v>119</v>
          </cell>
        </row>
        <row r="171">
          <cell r="C171">
            <v>109</v>
          </cell>
        </row>
        <row r="172">
          <cell r="C172">
            <v>117</v>
          </cell>
        </row>
        <row r="173">
          <cell r="C173">
            <v>123</v>
          </cell>
        </row>
        <row r="174">
          <cell r="C174">
            <v>46</v>
          </cell>
        </row>
        <row r="175">
          <cell r="C175">
            <v>46</v>
          </cell>
        </row>
        <row r="176">
          <cell r="C176">
            <v>13</v>
          </cell>
        </row>
        <row r="177">
          <cell r="C177">
            <v>27</v>
          </cell>
        </row>
        <row r="178">
          <cell r="C178">
            <v>27</v>
          </cell>
        </row>
        <row r="179">
          <cell r="C179">
            <v>27</v>
          </cell>
        </row>
        <row r="180">
          <cell r="C180">
            <v>43</v>
          </cell>
        </row>
        <row r="181">
          <cell r="C181">
            <v>29</v>
          </cell>
        </row>
        <row r="182">
          <cell r="C182">
            <v>16</v>
          </cell>
        </row>
        <row r="183">
          <cell r="C183">
            <v>13</v>
          </cell>
        </row>
        <row r="184">
          <cell r="C184">
            <v>16</v>
          </cell>
        </row>
        <row r="185">
          <cell r="C185">
            <v>46</v>
          </cell>
        </row>
        <row r="186">
          <cell r="C186">
            <v>16</v>
          </cell>
        </row>
        <row r="187">
          <cell r="C187">
            <v>123</v>
          </cell>
        </row>
        <row r="188">
          <cell r="C188">
            <v>107</v>
          </cell>
        </row>
        <row r="189">
          <cell r="C189">
            <v>117</v>
          </cell>
        </row>
        <row r="190">
          <cell r="C190">
            <v>117</v>
          </cell>
        </row>
        <row r="191">
          <cell r="C191">
            <v>123</v>
          </cell>
        </row>
        <row r="192">
          <cell r="C192">
            <v>5</v>
          </cell>
        </row>
        <row r="193">
          <cell r="C193">
            <v>5</v>
          </cell>
        </row>
        <row r="194">
          <cell r="C194">
            <v>33</v>
          </cell>
        </row>
        <row r="195">
          <cell r="C195">
            <v>55</v>
          </cell>
        </row>
        <row r="196">
          <cell r="C196">
            <v>55</v>
          </cell>
        </row>
        <row r="197">
          <cell r="C197">
            <v>2</v>
          </cell>
        </row>
        <row r="198">
          <cell r="C198">
            <v>2</v>
          </cell>
        </row>
        <row r="199">
          <cell r="C199">
            <v>2</v>
          </cell>
        </row>
        <row r="200">
          <cell r="C200">
            <v>22</v>
          </cell>
        </row>
        <row r="201">
          <cell r="C201">
            <v>31</v>
          </cell>
        </row>
        <row r="202">
          <cell r="C202">
            <v>29</v>
          </cell>
        </row>
        <row r="203">
          <cell r="C203">
            <v>43</v>
          </cell>
        </row>
        <row r="204">
          <cell r="C204">
            <v>29</v>
          </cell>
        </row>
        <row r="205">
          <cell r="C205">
            <v>43</v>
          </cell>
        </row>
        <row r="206">
          <cell r="C206">
            <v>29</v>
          </cell>
        </row>
        <row r="207">
          <cell r="C207">
            <v>107</v>
          </cell>
        </row>
        <row r="208">
          <cell r="C208">
            <v>107</v>
          </cell>
        </row>
        <row r="209">
          <cell r="C209">
            <v>107</v>
          </cell>
        </row>
        <row r="210">
          <cell r="C210">
            <v>107</v>
          </cell>
        </row>
        <row r="211">
          <cell r="C211">
            <v>117</v>
          </cell>
        </row>
        <row r="212">
          <cell r="C212">
            <v>121</v>
          </cell>
        </row>
        <row r="213">
          <cell r="C213">
            <v>115</v>
          </cell>
        </row>
        <row r="214">
          <cell r="C214">
            <v>110</v>
          </cell>
        </row>
        <row r="215">
          <cell r="C215">
            <v>110</v>
          </cell>
        </row>
        <row r="216">
          <cell r="C216">
            <v>110</v>
          </cell>
        </row>
        <row r="217">
          <cell r="C217">
            <v>11</v>
          </cell>
        </row>
        <row r="218">
          <cell r="C218">
            <v>11</v>
          </cell>
        </row>
        <row r="219">
          <cell r="C219">
            <v>60</v>
          </cell>
        </row>
        <row r="220">
          <cell r="C220">
            <v>60</v>
          </cell>
        </row>
        <row r="221">
          <cell r="C221">
            <v>11</v>
          </cell>
        </row>
        <row r="222">
          <cell r="C222">
            <v>108</v>
          </cell>
        </row>
        <row r="223">
          <cell r="C223">
            <v>116</v>
          </cell>
        </row>
        <row r="224">
          <cell r="C224">
            <v>108</v>
          </cell>
        </row>
        <row r="225">
          <cell r="C225">
            <v>116</v>
          </cell>
        </row>
        <row r="226">
          <cell r="C226">
            <v>108</v>
          </cell>
        </row>
        <row r="227">
          <cell r="C227">
            <v>111</v>
          </cell>
        </row>
        <row r="228">
          <cell r="C228">
            <v>111</v>
          </cell>
        </row>
        <row r="229">
          <cell r="C229">
            <v>126</v>
          </cell>
        </row>
        <row r="230">
          <cell r="C230">
            <v>126</v>
          </cell>
        </row>
        <row r="231">
          <cell r="C231">
            <v>126</v>
          </cell>
        </row>
        <row r="232">
          <cell r="C232">
            <v>27</v>
          </cell>
        </row>
        <row r="233">
          <cell r="C233">
            <v>43</v>
          </cell>
        </row>
        <row r="234">
          <cell r="C234">
            <v>29</v>
          </cell>
        </row>
        <row r="235">
          <cell r="C235">
            <v>43</v>
          </cell>
        </row>
        <row r="236">
          <cell r="C236">
            <v>43</v>
          </cell>
        </row>
        <row r="237">
          <cell r="C237">
            <v>125</v>
          </cell>
        </row>
        <row r="238">
          <cell r="C238">
            <v>125</v>
          </cell>
        </row>
        <row r="239">
          <cell r="C239">
            <v>119</v>
          </cell>
        </row>
        <row r="240">
          <cell r="C240">
            <v>119</v>
          </cell>
        </row>
        <row r="241">
          <cell r="C241">
            <v>109</v>
          </cell>
        </row>
        <row r="242">
          <cell r="C242">
            <v>33</v>
          </cell>
        </row>
        <row r="243">
          <cell r="C243">
            <v>29</v>
          </cell>
        </row>
        <row r="244">
          <cell r="C244">
            <v>122</v>
          </cell>
        </row>
        <row r="245">
          <cell r="C245">
            <v>43</v>
          </cell>
        </row>
        <row r="246">
          <cell r="C246">
            <v>55</v>
          </cell>
        </row>
        <row r="247">
          <cell r="C247">
            <v>106</v>
          </cell>
        </row>
        <row r="248">
          <cell r="C248">
            <v>106</v>
          </cell>
        </row>
        <row r="249">
          <cell r="C249">
            <v>108</v>
          </cell>
        </row>
        <row r="250">
          <cell r="C250">
            <v>122</v>
          </cell>
        </row>
        <row r="251">
          <cell r="C251">
            <v>116</v>
          </cell>
        </row>
        <row r="252">
          <cell r="C252">
            <v>110</v>
          </cell>
        </row>
        <row r="253">
          <cell r="C253">
            <v>121</v>
          </cell>
        </row>
        <row r="254">
          <cell r="C254">
            <v>115</v>
          </cell>
        </row>
        <row r="255">
          <cell r="C255">
            <v>110</v>
          </cell>
        </row>
        <row r="256">
          <cell r="C256">
            <v>110</v>
          </cell>
        </row>
        <row r="257">
          <cell r="C257">
            <v>109</v>
          </cell>
        </row>
        <row r="258">
          <cell r="C258">
            <v>109</v>
          </cell>
        </row>
        <row r="259">
          <cell r="C259">
            <v>125</v>
          </cell>
        </row>
        <row r="260">
          <cell r="C260">
            <v>109</v>
          </cell>
        </row>
        <row r="261">
          <cell r="C261">
            <v>119</v>
          </cell>
        </row>
        <row r="262">
          <cell r="C262">
            <v>107</v>
          </cell>
        </row>
        <row r="263">
          <cell r="C263">
            <v>123</v>
          </cell>
        </row>
        <row r="264">
          <cell r="C264">
            <v>16</v>
          </cell>
        </row>
        <row r="265">
          <cell r="C265">
            <v>16</v>
          </cell>
        </row>
        <row r="266">
          <cell r="C266">
            <v>13</v>
          </cell>
        </row>
        <row r="267">
          <cell r="C267">
            <v>27</v>
          </cell>
        </row>
        <row r="268">
          <cell r="C268">
            <v>27</v>
          </cell>
        </row>
        <row r="269">
          <cell r="C269">
            <v>27</v>
          </cell>
        </row>
        <row r="270">
          <cell r="C270">
            <v>43</v>
          </cell>
        </row>
        <row r="271">
          <cell r="C271">
            <v>27</v>
          </cell>
        </row>
        <row r="272">
          <cell r="C272">
            <v>116</v>
          </cell>
        </row>
        <row r="273">
          <cell r="C273">
            <v>121</v>
          </cell>
        </row>
        <row r="274">
          <cell r="C274">
            <v>121</v>
          </cell>
        </row>
        <row r="275">
          <cell r="C275">
            <v>122</v>
          </cell>
        </row>
        <row r="276">
          <cell r="C276">
            <v>29</v>
          </cell>
        </row>
        <row r="277">
          <cell r="C277">
            <v>120</v>
          </cell>
        </row>
        <row r="278">
          <cell r="C278">
            <v>13</v>
          </cell>
        </row>
        <row r="279">
          <cell r="C279">
            <v>125</v>
          </cell>
        </row>
        <row r="280">
          <cell r="C280">
            <v>27</v>
          </cell>
        </row>
        <row r="281">
          <cell r="C281">
            <v>106</v>
          </cell>
        </row>
        <row r="282">
          <cell r="C282">
            <v>120</v>
          </cell>
        </row>
        <row r="283">
          <cell r="C283">
            <v>16</v>
          </cell>
        </row>
        <row r="284">
          <cell r="C284">
            <v>46</v>
          </cell>
        </row>
        <row r="285">
          <cell r="C285">
            <v>119</v>
          </cell>
        </row>
        <row r="286">
          <cell r="C286">
            <v>55</v>
          </cell>
        </row>
        <row r="287">
          <cell r="C287">
            <v>43</v>
          </cell>
        </row>
        <row r="288">
          <cell r="C288">
            <v>31</v>
          </cell>
        </row>
        <row r="289">
          <cell r="C289">
            <v>108</v>
          </cell>
        </row>
        <row r="290">
          <cell r="C290">
            <v>117</v>
          </cell>
        </row>
        <row r="291">
          <cell r="C291">
            <v>16</v>
          </cell>
        </row>
        <row r="292">
          <cell r="C292">
            <v>16</v>
          </cell>
        </row>
        <row r="293">
          <cell r="C293">
            <v>13</v>
          </cell>
        </row>
        <row r="294">
          <cell r="C294">
            <v>117</v>
          </cell>
        </row>
        <row r="295">
          <cell r="C295">
            <v>110</v>
          </cell>
        </row>
        <row r="296">
          <cell r="C296">
            <v>119</v>
          </cell>
        </row>
        <row r="297">
          <cell r="C297">
            <v>29</v>
          </cell>
        </row>
        <row r="298">
          <cell r="C298">
            <v>29</v>
          </cell>
        </row>
        <row r="299">
          <cell r="C299">
            <v>117</v>
          </cell>
        </row>
        <row r="300">
          <cell r="C300">
            <v>109</v>
          </cell>
        </row>
        <row r="301">
          <cell r="C301">
            <v>43</v>
          </cell>
        </row>
        <row r="302">
          <cell r="C302">
            <v>29</v>
          </cell>
        </row>
        <row r="303">
          <cell r="C303">
            <v>115</v>
          </cell>
        </row>
        <row r="304">
          <cell r="C304">
            <v>119</v>
          </cell>
        </row>
        <row r="305">
          <cell r="C305">
            <v>108</v>
          </cell>
        </row>
        <row r="306">
          <cell r="C306">
            <v>123</v>
          </cell>
        </row>
        <row r="307">
          <cell r="C307">
            <v>108</v>
          </cell>
        </row>
        <row r="308">
          <cell r="C308">
            <v>121</v>
          </cell>
        </row>
        <row r="309">
          <cell r="C309">
            <v>110</v>
          </cell>
        </row>
        <row r="310">
          <cell r="C310">
            <v>121</v>
          </cell>
        </row>
        <row r="311">
          <cell r="C311">
            <v>27</v>
          </cell>
        </row>
        <row r="312">
          <cell r="C312">
            <v>27</v>
          </cell>
        </row>
        <row r="313">
          <cell r="C313">
            <v>16</v>
          </cell>
        </row>
        <row r="314">
          <cell r="C314">
            <v>43</v>
          </cell>
        </row>
        <row r="315">
          <cell r="C315">
            <v>13</v>
          </cell>
        </row>
        <row r="316">
          <cell r="C316">
            <v>13</v>
          </cell>
        </row>
        <row r="317">
          <cell r="C317">
            <v>110</v>
          </cell>
        </row>
        <row r="318">
          <cell r="C318">
            <v>2</v>
          </cell>
        </row>
        <row r="319">
          <cell r="C319">
            <v>2</v>
          </cell>
        </row>
        <row r="320">
          <cell r="C320">
            <v>117</v>
          </cell>
        </row>
        <row r="321">
          <cell r="C321">
            <v>16</v>
          </cell>
        </row>
        <row r="322">
          <cell r="C322">
            <v>2</v>
          </cell>
        </row>
        <row r="323">
          <cell r="C323">
            <v>29</v>
          </cell>
        </row>
        <row r="324">
          <cell r="C324">
            <v>29</v>
          </cell>
        </row>
        <row r="325">
          <cell r="C325">
            <v>27</v>
          </cell>
        </row>
        <row r="326">
          <cell r="C326">
            <v>27</v>
          </cell>
        </row>
        <row r="327">
          <cell r="C327">
            <v>13</v>
          </cell>
        </row>
        <row r="328">
          <cell r="C328">
            <v>107</v>
          </cell>
        </row>
        <row r="329">
          <cell r="C329">
            <v>123</v>
          </cell>
        </row>
        <row r="330">
          <cell r="C330">
            <v>116</v>
          </cell>
        </row>
        <row r="331">
          <cell r="C331">
            <v>29</v>
          </cell>
        </row>
        <row r="332">
          <cell r="C332">
            <v>117</v>
          </cell>
        </row>
        <row r="333">
          <cell r="C333">
            <v>120</v>
          </cell>
        </row>
        <row r="334">
          <cell r="C334">
            <v>22</v>
          </cell>
        </row>
        <row r="335">
          <cell r="C335">
            <v>16</v>
          </cell>
        </row>
        <row r="336">
          <cell r="C336">
            <v>107</v>
          </cell>
        </row>
        <row r="337">
          <cell r="C337">
            <v>33</v>
          </cell>
        </row>
        <row r="338">
          <cell r="C338">
            <v>118</v>
          </cell>
        </row>
        <row r="339">
          <cell r="C339">
            <v>43</v>
          </cell>
        </row>
        <row r="340">
          <cell r="C340">
            <v>60</v>
          </cell>
        </row>
        <row r="341">
          <cell r="C341">
            <v>120</v>
          </cell>
        </row>
        <row r="342">
          <cell r="C342">
            <v>46</v>
          </cell>
        </row>
        <row r="343">
          <cell r="C343">
            <v>117</v>
          </cell>
        </row>
        <row r="344">
          <cell r="C344">
            <v>126</v>
          </cell>
        </row>
        <row r="345">
          <cell r="C345">
            <v>124</v>
          </cell>
        </row>
        <row r="346">
          <cell r="C346">
            <v>33</v>
          </cell>
        </row>
        <row r="347">
          <cell r="C347">
            <v>120</v>
          </cell>
        </row>
        <row r="348">
          <cell r="C348">
            <v>29</v>
          </cell>
        </row>
        <row r="349">
          <cell r="C349">
            <v>111</v>
          </cell>
        </row>
        <row r="350">
          <cell r="C350">
            <v>119</v>
          </cell>
        </row>
        <row r="351">
          <cell r="C351">
            <v>116</v>
          </cell>
        </row>
        <row r="352">
          <cell r="C352">
            <v>121</v>
          </cell>
        </row>
        <row r="353">
          <cell r="C353">
            <v>16</v>
          </cell>
        </row>
        <row r="354">
          <cell r="C354">
            <v>33</v>
          </cell>
        </row>
        <row r="355">
          <cell r="C355">
            <v>107</v>
          </cell>
        </row>
        <row r="356">
          <cell r="C356">
            <v>109</v>
          </cell>
        </row>
        <row r="357">
          <cell r="C357">
            <v>43</v>
          </cell>
        </row>
        <row r="358">
          <cell r="C358">
            <v>29</v>
          </cell>
        </row>
        <row r="359">
          <cell r="C359">
            <v>29</v>
          </cell>
        </row>
        <row r="360">
          <cell r="C360">
            <v>123</v>
          </cell>
        </row>
        <row r="361">
          <cell r="C361">
            <v>46</v>
          </cell>
        </row>
        <row r="362">
          <cell r="C362">
            <v>55</v>
          </cell>
        </row>
        <row r="363">
          <cell r="C363">
            <v>55</v>
          </cell>
        </row>
        <row r="364">
          <cell r="C364">
            <v>107</v>
          </cell>
        </row>
        <row r="365">
          <cell r="C365">
            <v>5</v>
          </cell>
        </row>
        <row r="366">
          <cell r="C366">
            <v>16</v>
          </cell>
        </row>
        <row r="367">
          <cell r="C367">
            <v>122</v>
          </cell>
        </row>
        <row r="368">
          <cell r="C368">
            <v>16</v>
          </cell>
        </row>
        <row r="369">
          <cell r="C369">
            <v>16</v>
          </cell>
        </row>
        <row r="370">
          <cell r="C370">
            <v>31</v>
          </cell>
        </row>
        <row r="371">
          <cell r="C371">
            <v>13</v>
          </cell>
        </row>
        <row r="372">
          <cell r="C372">
            <v>10</v>
          </cell>
        </row>
        <row r="373">
          <cell r="C373">
            <v>109</v>
          </cell>
        </row>
        <row r="374">
          <cell r="C374">
            <v>116</v>
          </cell>
        </row>
        <row r="375">
          <cell r="C375">
            <v>119</v>
          </cell>
        </row>
        <row r="376">
          <cell r="C376">
            <v>55</v>
          </cell>
        </row>
        <row r="377">
          <cell r="C377">
            <v>22</v>
          </cell>
        </row>
        <row r="378">
          <cell r="C378">
            <v>121</v>
          </cell>
        </row>
        <row r="379">
          <cell r="C379">
            <v>5</v>
          </cell>
        </row>
        <row r="380">
          <cell r="C380">
            <v>13</v>
          </cell>
        </row>
        <row r="381">
          <cell r="C381">
            <v>13</v>
          </cell>
        </row>
        <row r="382">
          <cell r="C382">
            <v>5</v>
          </cell>
        </row>
        <row r="383">
          <cell r="C383">
            <v>109</v>
          </cell>
        </row>
        <row r="384">
          <cell r="C384">
            <v>110</v>
          </cell>
        </row>
        <row r="385">
          <cell r="C385">
            <v>117</v>
          </cell>
        </row>
        <row r="386">
          <cell r="C386">
            <v>126</v>
          </cell>
        </row>
        <row r="387">
          <cell r="C387">
            <v>29</v>
          </cell>
        </row>
        <row r="388">
          <cell r="C388">
            <v>31</v>
          </cell>
        </row>
        <row r="389">
          <cell r="C389">
            <v>33</v>
          </cell>
        </row>
        <row r="390">
          <cell r="C390">
            <v>109</v>
          </cell>
        </row>
        <row r="391">
          <cell r="C391">
            <v>16</v>
          </cell>
        </row>
        <row r="392">
          <cell r="C392">
            <v>109</v>
          </cell>
        </row>
        <row r="393">
          <cell r="C393">
            <v>110</v>
          </cell>
        </row>
        <row r="394">
          <cell r="C394">
            <v>22</v>
          </cell>
        </row>
        <row r="395">
          <cell r="C395">
            <v>5</v>
          </cell>
        </row>
        <row r="396">
          <cell r="C396">
            <v>11</v>
          </cell>
        </row>
        <row r="397">
          <cell r="C397">
            <v>16</v>
          </cell>
        </row>
        <row r="398">
          <cell r="C398">
            <v>27</v>
          </cell>
        </row>
        <row r="399">
          <cell r="C399">
            <v>29</v>
          </cell>
        </row>
        <row r="400">
          <cell r="C400">
            <v>115</v>
          </cell>
        </row>
        <row r="401">
          <cell r="C401">
            <v>13</v>
          </cell>
        </row>
        <row r="402">
          <cell r="C402">
            <v>126</v>
          </cell>
        </row>
        <row r="403">
          <cell r="C403">
            <v>33</v>
          </cell>
        </row>
        <row r="404">
          <cell r="C404">
            <v>13</v>
          </cell>
        </row>
        <row r="405">
          <cell r="C405">
            <v>115</v>
          </cell>
        </row>
        <row r="406">
          <cell r="C406">
            <v>27</v>
          </cell>
        </row>
        <row r="407">
          <cell r="C407">
            <v>116</v>
          </cell>
        </row>
        <row r="408">
          <cell r="C408">
            <v>121</v>
          </cell>
        </row>
        <row r="409">
          <cell r="C409">
            <v>111</v>
          </cell>
        </row>
        <row r="410">
          <cell r="C410">
            <v>117</v>
          </cell>
        </row>
        <row r="411">
          <cell r="C411">
            <v>110</v>
          </cell>
        </row>
        <row r="412">
          <cell r="C412">
            <v>33</v>
          </cell>
        </row>
        <row r="413">
          <cell r="C413">
            <v>13</v>
          </cell>
        </row>
        <row r="414">
          <cell r="C414">
            <v>46</v>
          </cell>
        </row>
        <row r="415">
          <cell r="C415">
            <v>46</v>
          </cell>
        </row>
        <row r="416">
          <cell r="C416">
            <v>27</v>
          </cell>
        </row>
        <row r="417">
          <cell r="C417">
            <v>116</v>
          </cell>
        </row>
        <row r="418">
          <cell r="C418">
            <v>16</v>
          </cell>
        </row>
        <row r="419">
          <cell r="C419">
            <v>5</v>
          </cell>
        </row>
        <row r="420">
          <cell r="C420">
            <v>109</v>
          </cell>
        </row>
        <row r="421">
          <cell r="C421">
            <v>108</v>
          </cell>
        </row>
        <row r="422">
          <cell r="C422">
            <v>16</v>
          </cell>
        </row>
        <row r="423">
          <cell r="C423">
            <v>31</v>
          </cell>
        </row>
        <row r="424">
          <cell r="C424">
            <v>13</v>
          </cell>
        </row>
        <row r="425">
          <cell r="C425">
            <v>27</v>
          </cell>
        </row>
        <row r="426">
          <cell r="C426">
            <v>107</v>
          </cell>
        </row>
        <row r="427">
          <cell r="C427">
            <v>33</v>
          </cell>
        </row>
        <row r="428">
          <cell r="C428">
            <v>29</v>
          </cell>
        </row>
        <row r="429">
          <cell r="C429">
            <v>109</v>
          </cell>
        </row>
        <row r="430">
          <cell r="C430">
            <v>109</v>
          </cell>
        </row>
        <row r="431">
          <cell r="C431">
            <v>123</v>
          </cell>
        </row>
        <row r="432">
          <cell r="C432">
            <v>16</v>
          </cell>
        </row>
        <row r="433">
          <cell r="C433">
            <v>126</v>
          </cell>
        </row>
        <row r="434">
          <cell r="C434">
            <v>116</v>
          </cell>
        </row>
        <row r="435">
          <cell r="C435">
            <v>16</v>
          </cell>
        </row>
        <row r="436">
          <cell r="C436">
            <v>46</v>
          </cell>
        </row>
        <row r="437">
          <cell r="C437">
            <v>5</v>
          </cell>
        </row>
        <row r="438">
          <cell r="C438">
            <v>125</v>
          </cell>
        </row>
        <row r="439">
          <cell r="C439">
            <v>27</v>
          </cell>
        </row>
        <row r="440">
          <cell r="C440">
            <v>116</v>
          </cell>
        </row>
        <row r="441">
          <cell r="C441">
            <v>27</v>
          </cell>
        </row>
        <row r="442">
          <cell r="C442">
            <v>116</v>
          </cell>
        </row>
        <row r="443">
          <cell r="C443">
            <v>125</v>
          </cell>
        </row>
        <row r="444">
          <cell r="C444">
            <v>108</v>
          </cell>
        </row>
        <row r="445">
          <cell r="C445">
            <v>115</v>
          </cell>
        </row>
        <row r="446">
          <cell r="C446">
            <v>106</v>
          </cell>
        </row>
        <row r="447">
          <cell r="C447">
            <v>31</v>
          </cell>
        </row>
        <row r="448">
          <cell r="C448">
            <v>22</v>
          </cell>
        </row>
        <row r="449">
          <cell r="C449">
            <v>27</v>
          </cell>
        </row>
        <row r="450">
          <cell r="C450">
            <v>33</v>
          </cell>
        </row>
        <row r="451">
          <cell r="C451">
            <v>121</v>
          </cell>
        </row>
        <row r="452">
          <cell r="C452">
            <v>60</v>
          </cell>
        </row>
        <row r="453">
          <cell r="C453">
            <v>55</v>
          </cell>
        </row>
        <row r="454">
          <cell r="C454">
            <v>55</v>
          </cell>
        </row>
        <row r="455">
          <cell r="C455">
            <v>55</v>
          </cell>
        </row>
        <row r="456">
          <cell r="C456">
            <v>13</v>
          </cell>
        </row>
        <row r="457">
          <cell r="C457">
            <v>123</v>
          </cell>
        </row>
        <row r="458">
          <cell r="C458">
            <v>107</v>
          </cell>
        </row>
        <row r="459">
          <cell r="C459">
            <v>107</v>
          </cell>
        </row>
        <row r="460">
          <cell r="C460">
            <v>123</v>
          </cell>
        </row>
        <row r="461">
          <cell r="C461">
            <v>117</v>
          </cell>
        </row>
        <row r="462">
          <cell r="C462">
            <v>33</v>
          </cell>
        </row>
        <row r="463">
          <cell r="C463">
            <v>5</v>
          </cell>
        </row>
        <row r="464">
          <cell r="C464">
            <v>55</v>
          </cell>
        </row>
        <row r="465">
          <cell r="C465">
            <v>5</v>
          </cell>
        </row>
        <row r="466">
          <cell r="C466">
            <v>33</v>
          </cell>
        </row>
        <row r="467">
          <cell r="C467">
            <v>31</v>
          </cell>
        </row>
        <row r="468">
          <cell r="C468">
            <v>2</v>
          </cell>
        </row>
        <row r="469">
          <cell r="C469">
            <v>22</v>
          </cell>
        </row>
        <row r="470">
          <cell r="C470">
            <v>22</v>
          </cell>
        </row>
        <row r="471">
          <cell r="C471">
            <v>31</v>
          </cell>
        </row>
        <row r="472">
          <cell r="C472">
            <v>29</v>
          </cell>
        </row>
        <row r="473">
          <cell r="C473">
            <v>29</v>
          </cell>
        </row>
        <row r="474">
          <cell r="C474">
            <v>27</v>
          </cell>
        </row>
        <row r="475">
          <cell r="C475">
            <v>43</v>
          </cell>
        </row>
        <row r="476">
          <cell r="C476">
            <v>108</v>
          </cell>
        </row>
        <row r="477">
          <cell r="C477">
            <v>117</v>
          </cell>
        </row>
        <row r="478">
          <cell r="C478">
            <v>107</v>
          </cell>
        </row>
        <row r="479">
          <cell r="C479">
            <v>123</v>
          </cell>
        </row>
        <row r="480">
          <cell r="C480">
            <v>122</v>
          </cell>
        </row>
        <row r="481">
          <cell r="C481">
            <v>109</v>
          </cell>
        </row>
        <row r="482">
          <cell r="C482">
            <v>110</v>
          </cell>
        </row>
        <row r="483">
          <cell r="C483">
            <v>115</v>
          </cell>
        </row>
        <row r="484">
          <cell r="C484">
            <v>110</v>
          </cell>
        </row>
        <row r="485">
          <cell r="C485">
            <v>110</v>
          </cell>
        </row>
        <row r="486">
          <cell r="C486">
            <v>122</v>
          </cell>
        </row>
        <row r="487">
          <cell r="C487">
            <v>109</v>
          </cell>
        </row>
        <row r="488">
          <cell r="C488">
            <v>10</v>
          </cell>
        </row>
        <row r="489">
          <cell r="C489">
            <v>11</v>
          </cell>
        </row>
        <row r="490">
          <cell r="C490">
            <v>10</v>
          </cell>
        </row>
        <row r="491">
          <cell r="C491">
            <v>122</v>
          </cell>
        </row>
        <row r="492">
          <cell r="C492">
            <v>108</v>
          </cell>
        </row>
        <row r="493">
          <cell r="C493">
            <v>116</v>
          </cell>
        </row>
        <row r="494">
          <cell r="C494">
            <v>108</v>
          </cell>
        </row>
        <row r="495">
          <cell r="C495">
            <v>108</v>
          </cell>
        </row>
        <row r="496">
          <cell r="C496">
            <v>122</v>
          </cell>
        </row>
        <row r="497">
          <cell r="C497">
            <v>126</v>
          </cell>
        </row>
        <row r="498">
          <cell r="C498">
            <v>126</v>
          </cell>
        </row>
        <row r="499">
          <cell r="C499">
            <v>107</v>
          </cell>
        </row>
        <row r="500">
          <cell r="C500">
            <v>122</v>
          </cell>
        </row>
        <row r="501">
          <cell r="C501">
            <v>120</v>
          </cell>
        </row>
        <row r="502">
          <cell r="C502">
            <v>43</v>
          </cell>
        </row>
        <row r="503">
          <cell r="C503">
            <v>29</v>
          </cell>
        </row>
        <row r="504">
          <cell r="C504">
            <v>27</v>
          </cell>
        </row>
        <row r="505">
          <cell r="C505">
            <v>27</v>
          </cell>
        </row>
        <row r="506">
          <cell r="C506">
            <v>29</v>
          </cell>
        </row>
        <row r="507">
          <cell r="C507">
            <v>110</v>
          </cell>
        </row>
        <row r="508">
          <cell r="C508">
            <v>119</v>
          </cell>
        </row>
        <row r="509">
          <cell r="C509">
            <v>109</v>
          </cell>
        </row>
        <row r="510">
          <cell r="C510">
            <v>125</v>
          </cell>
        </row>
        <row r="511">
          <cell r="C511">
            <v>109</v>
          </cell>
        </row>
        <row r="512">
          <cell r="C512">
            <v>55</v>
          </cell>
        </row>
        <row r="513">
          <cell r="C513">
            <v>29</v>
          </cell>
        </row>
        <row r="514">
          <cell r="C514">
            <v>116</v>
          </cell>
        </row>
        <row r="515">
          <cell r="C515">
            <v>27</v>
          </cell>
        </row>
        <row r="516">
          <cell r="C516">
            <v>33</v>
          </cell>
        </row>
        <row r="517">
          <cell r="C517">
            <v>106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B2" t="str">
            <v>怪物id</v>
          </cell>
        </row>
        <row r="3">
          <cell r="B3">
            <v>10101</v>
          </cell>
          <cell r="C3" t="str">
            <v>CB741AAA</v>
          </cell>
          <cell r="D3" t="str">
            <v>11</v>
          </cell>
          <cell r="E3">
            <v>51001</v>
          </cell>
          <cell r="F3">
            <v>199</v>
          </cell>
          <cell r="G3">
            <v>50152</v>
          </cell>
          <cell r="H3">
            <v>25</v>
          </cell>
          <cell r="I3">
            <v>50100</v>
          </cell>
          <cell r="J3">
            <v>25</v>
          </cell>
          <cell r="K3" t="str">
            <v/>
          </cell>
          <cell r="L3">
            <v>0</v>
          </cell>
          <cell r="M3">
            <v>27.570281124497992</v>
          </cell>
        </row>
        <row r="4">
          <cell r="B4">
            <v>10102</v>
          </cell>
          <cell r="C4" t="str">
            <v>CB751AAA</v>
          </cell>
          <cell r="D4" t="str">
            <v>11</v>
          </cell>
          <cell r="E4">
            <v>51001</v>
          </cell>
          <cell r="F4">
            <v>199</v>
          </cell>
          <cell r="G4">
            <v>50099</v>
          </cell>
          <cell r="H4">
            <v>25</v>
          </cell>
          <cell r="I4">
            <v>50096</v>
          </cell>
          <cell r="J4">
            <v>25</v>
          </cell>
          <cell r="K4" t="str">
            <v/>
          </cell>
          <cell r="L4">
            <v>0</v>
          </cell>
          <cell r="M4">
            <v>27.570281124497992</v>
          </cell>
        </row>
        <row r="5">
          <cell r="B5">
            <v>10103</v>
          </cell>
          <cell r="C5" t="str">
            <v>CB734AAA</v>
          </cell>
          <cell r="D5" t="str">
            <v>11</v>
          </cell>
          <cell r="E5">
            <v>51001</v>
          </cell>
          <cell r="F5">
            <v>199</v>
          </cell>
          <cell r="G5">
            <v>50147</v>
          </cell>
          <cell r="H5">
            <v>25</v>
          </cell>
          <cell r="I5">
            <v>50079</v>
          </cell>
          <cell r="J5">
            <v>25</v>
          </cell>
          <cell r="K5" t="str">
            <v/>
          </cell>
          <cell r="L5">
            <v>0</v>
          </cell>
          <cell r="M5">
            <v>20.040160642570282</v>
          </cell>
        </row>
        <row r="6">
          <cell r="B6">
            <v>10104</v>
          </cell>
          <cell r="C6" t="str">
            <v>CB224AAA</v>
          </cell>
          <cell r="D6" t="str">
            <v>11</v>
          </cell>
          <cell r="E6">
            <v>51001</v>
          </cell>
          <cell r="F6">
            <v>199</v>
          </cell>
          <cell r="G6">
            <v>50079</v>
          </cell>
          <cell r="H6">
            <v>25</v>
          </cell>
          <cell r="I6">
            <v>50119</v>
          </cell>
          <cell r="J6">
            <v>25</v>
          </cell>
          <cell r="K6" t="str">
            <v/>
          </cell>
          <cell r="L6">
            <v>0</v>
          </cell>
          <cell r="M6">
            <v>15.522088353413654</v>
          </cell>
        </row>
        <row r="7">
          <cell r="B7">
            <v>10105</v>
          </cell>
          <cell r="C7" t="str">
            <v>CB411AAA</v>
          </cell>
          <cell r="D7" t="str">
            <v>11</v>
          </cell>
          <cell r="E7">
            <v>51001</v>
          </cell>
          <cell r="F7">
            <v>199</v>
          </cell>
          <cell r="G7">
            <v>50140</v>
          </cell>
          <cell r="H7">
            <v>25</v>
          </cell>
          <cell r="I7">
            <v>50135</v>
          </cell>
          <cell r="J7">
            <v>25</v>
          </cell>
          <cell r="K7" t="str">
            <v/>
          </cell>
          <cell r="L7">
            <v>0</v>
          </cell>
          <cell r="M7">
            <v>20.040160642570282</v>
          </cell>
        </row>
        <row r="8">
          <cell r="B8">
            <v>10108</v>
          </cell>
          <cell r="C8" t="str">
            <v>CB605AAA</v>
          </cell>
          <cell r="D8" t="str">
            <v>11</v>
          </cell>
          <cell r="E8">
            <v>52000</v>
          </cell>
          <cell r="F8">
            <v>4.32</v>
          </cell>
          <cell r="G8">
            <v>50078</v>
          </cell>
          <cell r="H8">
            <v>129</v>
          </cell>
          <cell r="I8">
            <v>50102</v>
          </cell>
          <cell r="J8">
            <v>15</v>
          </cell>
          <cell r="K8">
            <v>10017</v>
          </cell>
          <cell r="L8">
            <v>0</v>
          </cell>
          <cell r="M8">
            <v>211.46844660194176</v>
          </cell>
        </row>
        <row r="9">
          <cell r="B9">
            <v>10201</v>
          </cell>
          <cell r="C9" t="str">
            <v>CB741AAA</v>
          </cell>
          <cell r="D9" t="str">
            <v>12</v>
          </cell>
          <cell r="E9">
            <v>51002</v>
          </cell>
          <cell r="F9">
            <v>198</v>
          </cell>
          <cell r="G9">
            <v>50152</v>
          </cell>
          <cell r="H9">
            <v>25</v>
          </cell>
          <cell r="I9">
            <v>50157</v>
          </cell>
          <cell r="J9">
            <v>25</v>
          </cell>
          <cell r="K9" t="str">
            <v/>
          </cell>
          <cell r="L9">
            <v>0</v>
          </cell>
          <cell r="M9">
            <v>17.141129032258064</v>
          </cell>
        </row>
        <row r="10">
          <cell r="B10">
            <v>10202</v>
          </cell>
          <cell r="C10" t="str">
            <v>CB751AAA</v>
          </cell>
          <cell r="D10" t="str">
            <v>12</v>
          </cell>
          <cell r="E10">
            <v>51002</v>
          </cell>
          <cell r="F10">
            <v>198</v>
          </cell>
          <cell r="G10">
            <v>50097</v>
          </cell>
          <cell r="H10">
            <v>25</v>
          </cell>
          <cell r="I10">
            <v>50097</v>
          </cell>
          <cell r="J10">
            <v>25</v>
          </cell>
          <cell r="K10" t="str">
            <v/>
          </cell>
          <cell r="L10">
            <v>0</v>
          </cell>
          <cell r="M10">
            <v>36.798387096774192</v>
          </cell>
        </row>
        <row r="11">
          <cell r="B11">
            <v>10203</v>
          </cell>
          <cell r="C11" t="str">
            <v>CB742AAA</v>
          </cell>
          <cell r="D11" t="str">
            <v>12</v>
          </cell>
          <cell r="E11">
            <v>51002</v>
          </cell>
          <cell r="F11">
            <v>198</v>
          </cell>
          <cell r="G11">
            <v>50124</v>
          </cell>
          <cell r="H11">
            <v>25</v>
          </cell>
          <cell r="I11">
            <v>50100</v>
          </cell>
          <cell r="J11">
            <v>25</v>
          </cell>
          <cell r="K11" t="str">
            <v/>
          </cell>
          <cell r="L11">
            <v>0</v>
          </cell>
          <cell r="M11">
            <v>36.798387096774192</v>
          </cell>
        </row>
        <row r="12">
          <cell r="B12">
            <v>10204</v>
          </cell>
          <cell r="C12" t="str">
            <v>CB897AAA</v>
          </cell>
          <cell r="D12" t="str">
            <v>12</v>
          </cell>
          <cell r="E12">
            <v>51002</v>
          </cell>
          <cell r="F12">
            <v>198</v>
          </cell>
          <cell r="G12">
            <v>50148</v>
          </cell>
          <cell r="H12">
            <v>25</v>
          </cell>
          <cell r="I12">
            <v>50093</v>
          </cell>
          <cell r="J12">
            <v>25</v>
          </cell>
          <cell r="K12" t="str">
            <v/>
          </cell>
          <cell r="L12">
            <v>0</v>
          </cell>
          <cell r="M12">
            <v>21.677419354838708</v>
          </cell>
        </row>
        <row r="13">
          <cell r="B13">
            <v>10205</v>
          </cell>
          <cell r="C13" t="str">
            <v>CB732AAA</v>
          </cell>
          <cell r="D13" t="str">
            <v>12</v>
          </cell>
          <cell r="E13">
            <v>51002</v>
          </cell>
          <cell r="F13">
            <v>198</v>
          </cell>
          <cell r="G13">
            <v>50137</v>
          </cell>
          <cell r="H13">
            <v>25</v>
          </cell>
          <cell r="I13">
            <v>50101</v>
          </cell>
          <cell r="J13">
            <v>25</v>
          </cell>
          <cell r="K13" t="str">
            <v/>
          </cell>
          <cell r="L13">
            <v>0</v>
          </cell>
          <cell r="M13">
            <v>29.237903225806452</v>
          </cell>
        </row>
        <row r="14">
          <cell r="B14">
            <v>10208</v>
          </cell>
          <cell r="C14" t="str">
            <v>CB604AAA</v>
          </cell>
          <cell r="D14" t="str">
            <v>12</v>
          </cell>
          <cell r="E14">
            <v>52000</v>
          </cell>
          <cell r="F14">
            <v>4.32</v>
          </cell>
          <cell r="G14">
            <v>50147</v>
          </cell>
          <cell r="H14">
            <v>129</v>
          </cell>
          <cell r="I14">
            <v>50095</v>
          </cell>
          <cell r="J14">
            <v>15</v>
          </cell>
          <cell r="K14">
            <v>10049</v>
          </cell>
          <cell r="L14">
            <v>0</v>
          </cell>
          <cell r="M14">
            <v>203.88349514563109</v>
          </cell>
        </row>
        <row r="15">
          <cell r="B15">
            <v>10301</v>
          </cell>
          <cell r="C15" t="str">
            <v>CB734AAA</v>
          </cell>
          <cell r="D15" t="str">
            <v>13</v>
          </cell>
          <cell r="E15">
            <v>51003</v>
          </cell>
          <cell r="F15">
            <v>197</v>
          </cell>
          <cell r="G15">
            <v>50147</v>
          </cell>
          <cell r="H15">
            <v>25</v>
          </cell>
          <cell r="I15">
            <v>50097</v>
          </cell>
          <cell r="J15">
            <v>25</v>
          </cell>
          <cell r="K15" t="str">
            <v/>
          </cell>
          <cell r="L15">
            <v>0</v>
          </cell>
          <cell r="M15">
            <v>30.902834008097166</v>
          </cell>
        </row>
        <row r="16">
          <cell r="B16">
            <v>10302</v>
          </cell>
          <cell r="C16" t="str">
            <v>CB741AAA</v>
          </cell>
          <cell r="D16" t="str">
            <v>13</v>
          </cell>
          <cell r="E16">
            <v>51003</v>
          </cell>
          <cell r="F16">
            <v>197</v>
          </cell>
          <cell r="G16">
            <v>50152</v>
          </cell>
          <cell r="H16">
            <v>25</v>
          </cell>
          <cell r="I16">
            <v>50094</v>
          </cell>
          <cell r="J16">
            <v>25</v>
          </cell>
          <cell r="K16" t="str">
            <v/>
          </cell>
          <cell r="L16">
            <v>0</v>
          </cell>
          <cell r="M16">
            <v>23.311740890688259</v>
          </cell>
        </row>
        <row r="17">
          <cell r="B17">
            <v>10303</v>
          </cell>
          <cell r="C17" t="str">
            <v>CB811AAA</v>
          </cell>
          <cell r="D17" t="str">
            <v>13</v>
          </cell>
          <cell r="E17">
            <v>51003</v>
          </cell>
          <cell r="F17">
            <v>197</v>
          </cell>
          <cell r="G17">
            <v>50135</v>
          </cell>
          <cell r="H17">
            <v>25</v>
          </cell>
          <cell r="I17">
            <v>50097</v>
          </cell>
          <cell r="J17">
            <v>25</v>
          </cell>
          <cell r="K17" t="str">
            <v/>
          </cell>
          <cell r="L17">
            <v>0</v>
          </cell>
          <cell r="M17">
            <v>30.902834008097166</v>
          </cell>
        </row>
        <row r="18">
          <cell r="B18">
            <v>10304</v>
          </cell>
          <cell r="C18" t="str">
            <v>CB760AAA</v>
          </cell>
          <cell r="D18" t="str">
            <v>13</v>
          </cell>
          <cell r="E18">
            <v>51003</v>
          </cell>
          <cell r="F18">
            <v>197</v>
          </cell>
          <cell r="G18">
            <v>50138</v>
          </cell>
          <cell r="H18">
            <v>25</v>
          </cell>
          <cell r="I18">
            <v>50092</v>
          </cell>
          <cell r="J18">
            <v>25</v>
          </cell>
          <cell r="K18" t="str">
            <v/>
          </cell>
          <cell r="L18">
            <v>0</v>
          </cell>
          <cell r="M18">
            <v>23.311740890688259</v>
          </cell>
        </row>
        <row r="19">
          <cell r="B19">
            <v>10305</v>
          </cell>
          <cell r="C19" t="str">
            <v>CB401AAA</v>
          </cell>
          <cell r="D19" t="str">
            <v>13</v>
          </cell>
          <cell r="E19">
            <v>51003</v>
          </cell>
          <cell r="F19">
            <v>197</v>
          </cell>
          <cell r="G19">
            <v>50090</v>
          </cell>
          <cell r="H19">
            <v>25</v>
          </cell>
          <cell r="I19">
            <v>50096</v>
          </cell>
          <cell r="J19">
            <v>25</v>
          </cell>
          <cell r="K19" t="str">
            <v/>
          </cell>
          <cell r="L19">
            <v>0</v>
          </cell>
          <cell r="M19">
            <v>23.311740890688259</v>
          </cell>
        </row>
        <row r="20">
          <cell r="B20">
            <v>10308</v>
          </cell>
          <cell r="C20" t="str">
            <v>CB606AAA</v>
          </cell>
          <cell r="D20" t="str">
            <v>13</v>
          </cell>
          <cell r="E20">
            <v>52000</v>
          </cell>
          <cell r="F20">
            <v>4.32</v>
          </cell>
          <cell r="G20">
            <v>50136</v>
          </cell>
          <cell r="H20">
            <v>129</v>
          </cell>
          <cell r="I20">
            <v>50101</v>
          </cell>
          <cell r="J20">
            <v>15</v>
          </cell>
          <cell r="K20">
            <v>10081</v>
          </cell>
          <cell r="L20">
            <v>0</v>
          </cell>
          <cell r="M20">
            <v>211.46844660194176</v>
          </cell>
        </row>
        <row r="21">
          <cell r="B21">
            <v>10401</v>
          </cell>
          <cell r="C21" t="str">
            <v>CB507AAA</v>
          </cell>
          <cell r="D21" t="str">
            <v>14</v>
          </cell>
          <cell r="E21">
            <v>51004</v>
          </cell>
          <cell r="F21">
            <v>196</v>
          </cell>
          <cell r="G21">
            <v>50146</v>
          </cell>
          <cell r="H21">
            <v>25</v>
          </cell>
          <cell r="I21">
            <v>50098</v>
          </cell>
          <cell r="J21">
            <v>25</v>
          </cell>
          <cell r="K21" t="str">
            <v/>
          </cell>
          <cell r="L21">
            <v>0</v>
          </cell>
          <cell r="M21">
            <v>32.565040650406502</v>
          </cell>
        </row>
        <row r="22">
          <cell r="B22">
            <v>10402</v>
          </cell>
          <cell r="C22" t="str">
            <v>CB734AAA</v>
          </cell>
          <cell r="D22" t="str">
            <v>14</v>
          </cell>
          <cell r="E22">
            <v>51004</v>
          </cell>
          <cell r="F22">
            <v>196</v>
          </cell>
          <cell r="G22">
            <v>50147</v>
          </cell>
          <cell r="H22">
            <v>25</v>
          </cell>
          <cell r="I22">
            <v>50078</v>
          </cell>
          <cell r="J22">
            <v>25</v>
          </cell>
          <cell r="K22" t="str">
            <v/>
          </cell>
          <cell r="L22">
            <v>0</v>
          </cell>
          <cell r="M22">
            <v>24.943089430894307</v>
          </cell>
        </row>
        <row r="23">
          <cell r="B23">
            <v>10403</v>
          </cell>
          <cell r="C23" t="str">
            <v>CB633AAA</v>
          </cell>
          <cell r="D23" t="str">
            <v>14</v>
          </cell>
          <cell r="E23">
            <v>51004</v>
          </cell>
          <cell r="F23">
            <v>196</v>
          </cell>
          <cell r="G23">
            <v>50151</v>
          </cell>
          <cell r="H23">
            <v>25</v>
          </cell>
          <cell r="I23">
            <v>50119</v>
          </cell>
          <cell r="J23">
            <v>25</v>
          </cell>
          <cell r="K23" t="str">
            <v/>
          </cell>
          <cell r="L23">
            <v>0</v>
          </cell>
          <cell r="M23">
            <v>20.369918699186993</v>
          </cell>
        </row>
        <row r="24">
          <cell r="B24">
            <v>10404</v>
          </cell>
          <cell r="C24" t="str">
            <v>CB613AAA</v>
          </cell>
          <cell r="D24" t="str">
            <v>14</v>
          </cell>
          <cell r="E24">
            <v>51004</v>
          </cell>
          <cell r="F24">
            <v>196</v>
          </cell>
          <cell r="G24">
            <v>50140</v>
          </cell>
          <cell r="H24">
            <v>25</v>
          </cell>
          <cell r="I24">
            <v>50090</v>
          </cell>
          <cell r="J24">
            <v>25</v>
          </cell>
          <cell r="K24" t="str">
            <v/>
          </cell>
          <cell r="L24">
            <v>0</v>
          </cell>
          <cell r="M24">
            <v>24.943089430894307</v>
          </cell>
        </row>
        <row r="25">
          <cell r="B25">
            <v>10405</v>
          </cell>
          <cell r="C25" t="str">
            <v>CB411AAA</v>
          </cell>
          <cell r="D25" t="str">
            <v>14</v>
          </cell>
          <cell r="E25">
            <v>51004</v>
          </cell>
          <cell r="F25">
            <v>196</v>
          </cell>
          <cell r="G25">
            <v>50140</v>
          </cell>
          <cell r="H25">
            <v>25</v>
          </cell>
          <cell r="I25">
            <v>50119</v>
          </cell>
          <cell r="J25">
            <v>25</v>
          </cell>
          <cell r="K25" t="str">
            <v/>
          </cell>
          <cell r="L25">
            <v>0</v>
          </cell>
          <cell r="M25">
            <v>20.369918699186993</v>
          </cell>
        </row>
        <row r="26">
          <cell r="B26">
            <v>10408</v>
          </cell>
          <cell r="C26" t="str">
            <v>CB602AAA</v>
          </cell>
          <cell r="D26" t="str">
            <v>14</v>
          </cell>
          <cell r="E26">
            <v>52000</v>
          </cell>
          <cell r="F26">
            <v>4.32</v>
          </cell>
          <cell r="G26">
            <v>50148</v>
          </cell>
          <cell r="H26">
            <v>129</v>
          </cell>
          <cell r="I26">
            <v>50102</v>
          </cell>
          <cell r="J26">
            <v>15</v>
          </cell>
          <cell r="K26">
            <v>10113</v>
          </cell>
          <cell r="L26">
            <v>0</v>
          </cell>
          <cell r="M26">
            <v>211.46844660194176</v>
          </cell>
        </row>
        <row r="27">
          <cell r="B27">
            <v>10501</v>
          </cell>
          <cell r="C27" t="str">
            <v>CB742AAA</v>
          </cell>
          <cell r="D27" t="str">
            <v>15</v>
          </cell>
          <cell r="E27">
            <v>51004</v>
          </cell>
          <cell r="F27">
            <v>196</v>
          </cell>
          <cell r="G27">
            <v>50124</v>
          </cell>
          <cell r="H27">
            <v>25</v>
          </cell>
          <cell r="I27">
            <v>50097</v>
          </cell>
          <cell r="J27">
            <v>25</v>
          </cell>
          <cell r="K27" t="str">
            <v/>
          </cell>
          <cell r="L27">
            <v>0</v>
          </cell>
          <cell r="M27">
            <v>40.1869918699187</v>
          </cell>
        </row>
        <row r="28">
          <cell r="B28">
            <v>10502</v>
          </cell>
          <cell r="C28" t="str">
            <v>CB507AAA</v>
          </cell>
          <cell r="D28" t="str">
            <v>15</v>
          </cell>
          <cell r="E28">
            <v>51004</v>
          </cell>
          <cell r="F28">
            <v>196</v>
          </cell>
          <cell r="G28">
            <v>50146</v>
          </cell>
          <cell r="H28">
            <v>25</v>
          </cell>
          <cell r="I28">
            <v>50096</v>
          </cell>
          <cell r="J28">
            <v>25</v>
          </cell>
          <cell r="K28" t="str">
            <v/>
          </cell>
          <cell r="L28">
            <v>0</v>
          </cell>
          <cell r="M28">
            <v>24.943089430894307</v>
          </cell>
        </row>
        <row r="29">
          <cell r="B29">
            <v>10503</v>
          </cell>
          <cell r="C29" t="str">
            <v>CB742AAA</v>
          </cell>
          <cell r="D29" t="str">
            <v>15</v>
          </cell>
          <cell r="E29">
            <v>51004</v>
          </cell>
          <cell r="F29">
            <v>196</v>
          </cell>
          <cell r="G29">
            <v>50124</v>
          </cell>
          <cell r="H29">
            <v>25</v>
          </cell>
          <cell r="I29">
            <v>50101</v>
          </cell>
          <cell r="J29">
            <v>25</v>
          </cell>
          <cell r="K29" t="str">
            <v/>
          </cell>
          <cell r="L29">
            <v>0</v>
          </cell>
          <cell r="M29">
            <v>40.1869918699187</v>
          </cell>
        </row>
        <row r="30">
          <cell r="B30">
            <v>10504</v>
          </cell>
          <cell r="C30" t="str">
            <v>CB373AAA</v>
          </cell>
          <cell r="D30" t="str">
            <v>15</v>
          </cell>
          <cell r="E30">
            <v>51004</v>
          </cell>
          <cell r="F30">
            <v>196</v>
          </cell>
          <cell r="G30">
            <v>50111</v>
          </cell>
          <cell r="H30">
            <v>25</v>
          </cell>
          <cell r="I30">
            <v>50079</v>
          </cell>
          <cell r="J30">
            <v>25</v>
          </cell>
          <cell r="K30" t="str">
            <v/>
          </cell>
          <cell r="L30">
            <v>0</v>
          </cell>
          <cell r="M30">
            <v>32.565040650406502</v>
          </cell>
        </row>
        <row r="31">
          <cell r="B31">
            <v>10505</v>
          </cell>
          <cell r="C31" t="str">
            <v>CB742AAA</v>
          </cell>
          <cell r="D31" t="str">
            <v>15</v>
          </cell>
          <cell r="E31">
            <v>51004</v>
          </cell>
          <cell r="F31">
            <v>196</v>
          </cell>
          <cell r="G31">
            <v>50124</v>
          </cell>
          <cell r="H31">
            <v>25</v>
          </cell>
          <cell r="I31">
            <v>50090</v>
          </cell>
          <cell r="J31">
            <v>25</v>
          </cell>
          <cell r="K31" t="str">
            <v/>
          </cell>
          <cell r="L31">
            <v>0</v>
          </cell>
          <cell r="M31">
            <v>32.565040650406502</v>
          </cell>
        </row>
        <row r="32">
          <cell r="B32">
            <v>10508</v>
          </cell>
          <cell r="C32" t="str">
            <v>CB603AAA</v>
          </cell>
          <cell r="D32" t="str">
            <v>15</v>
          </cell>
          <cell r="E32">
            <v>52000</v>
          </cell>
          <cell r="F32">
            <v>4.32</v>
          </cell>
          <cell r="G32">
            <v>50149</v>
          </cell>
          <cell r="H32">
            <v>129</v>
          </cell>
          <cell r="I32">
            <v>50098</v>
          </cell>
          <cell r="J32">
            <v>15</v>
          </cell>
          <cell r="K32">
            <v>10145</v>
          </cell>
          <cell r="L32">
            <v>0</v>
          </cell>
          <cell r="M32">
            <v>211.46844660194176</v>
          </cell>
        </row>
        <row r="33">
          <cell r="B33">
            <v>20101</v>
          </cell>
          <cell r="C33" t="str">
            <v>CB401AAA</v>
          </cell>
          <cell r="D33" t="str">
            <v>21</v>
          </cell>
          <cell r="E33">
            <v>51005</v>
          </cell>
          <cell r="F33">
            <v>195</v>
          </cell>
          <cell r="G33">
            <v>50090</v>
          </cell>
          <cell r="H33">
            <v>25</v>
          </cell>
          <cell r="I33">
            <v>50091</v>
          </cell>
          <cell r="J33">
            <v>25</v>
          </cell>
          <cell r="K33" t="str">
            <v/>
          </cell>
          <cell r="L33">
            <v>0</v>
          </cell>
          <cell r="M33">
            <v>26.571428571428573</v>
          </cell>
        </row>
        <row r="34">
          <cell r="B34">
            <v>20102</v>
          </cell>
          <cell r="C34" t="str">
            <v>CB403AAA</v>
          </cell>
          <cell r="D34" t="str">
            <v>21</v>
          </cell>
          <cell r="E34">
            <v>51005</v>
          </cell>
          <cell r="F34">
            <v>195</v>
          </cell>
          <cell r="G34">
            <v>50091</v>
          </cell>
          <cell r="H34">
            <v>25</v>
          </cell>
          <cell r="I34">
            <v>50096</v>
          </cell>
          <cell r="J34">
            <v>25</v>
          </cell>
          <cell r="K34" t="str">
            <v/>
          </cell>
          <cell r="L34">
            <v>0</v>
          </cell>
          <cell r="M34">
            <v>26.571428571428573</v>
          </cell>
        </row>
        <row r="35">
          <cell r="B35">
            <v>20103</v>
          </cell>
          <cell r="C35" t="str">
            <v>CB401AAA</v>
          </cell>
          <cell r="D35" t="str">
            <v>21</v>
          </cell>
          <cell r="E35">
            <v>51005</v>
          </cell>
          <cell r="F35">
            <v>195</v>
          </cell>
          <cell r="G35">
            <v>50090</v>
          </cell>
          <cell r="H35">
            <v>25</v>
          </cell>
          <cell r="I35">
            <v>50097</v>
          </cell>
          <cell r="J35">
            <v>25</v>
          </cell>
          <cell r="K35" t="str">
            <v/>
          </cell>
          <cell r="L35">
            <v>0</v>
          </cell>
          <cell r="M35">
            <v>34.224489795918366</v>
          </cell>
        </row>
        <row r="36">
          <cell r="B36">
            <v>20104</v>
          </cell>
          <cell r="C36" t="str">
            <v>CB223AAA</v>
          </cell>
          <cell r="D36" t="str">
            <v>21</v>
          </cell>
          <cell r="E36">
            <v>51005</v>
          </cell>
          <cell r="F36">
            <v>195</v>
          </cell>
          <cell r="G36">
            <v>50119</v>
          </cell>
          <cell r="H36">
            <v>25</v>
          </cell>
          <cell r="I36">
            <v>50145</v>
          </cell>
          <cell r="J36">
            <v>25</v>
          </cell>
          <cell r="K36" t="str">
            <v/>
          </cell>
          <cell r="L36">
            <v>0</v>
          </cell>
          <cell r="M36">
            <v>17.387755102040817</v>
          </cell>
        </row>
        <row r="37">
          <cell r="B37">
            <v>20105</v>
          </cell>
          <cell r="C37" t="str">
            <v>CB225AAA</v>
          </cell>
          <cell r="D37" t="str">
            <v>21</v>
          </cell>
          <cell r="E37">
            <v>51005</v>
          </cell>
          <cell r="F37">
            <v>195</v>
          </cell>
          <cell r="G37">
            <v>50102</v>
          </cell>
          <cell r="H37">
            <v>25</v>
          </cell>
          <cell r="I37">
            <v>50079</v>
          </cell>
          <cell r="J37">
            <v>25</v>
          </cell>
          <cell r="K37" t="str">
            <v/>
          </cell>
          <cell r="L37">
            <v>0</v>
          </cell>
          <cell r="M37">
            <v>34.224489795918366</v>
          </cell>
        </row>
        <row r="38">
          <cell r="B38">
            <v>20108</v>
          </cell>
          <cell r="C38" t="str">
            <v>CB433AAA</v>
          </cell>
          <cell r="D38" t="str">
            <v>21</v>
          </cell>
          <cell r="E38">
            <v>52000</v>
          </cell>
          <cell r="F38">
            <v>4.32</v>
          </cell>
          <cell r="G38">
            <v>50090</v>
          </cell>
          <cell r="H38">
            <v>129</v>
          </cell>
          <cell r="I38">
            <v>50096</v>
          </cell>
          <cell r="J38">
            <v>15</v>
          </cell>
          <cell r="K38">
            <v>10177</v>
          </cell>
          <cell r="L38">
            <v>0</v>
          </cell>
          <cell r="M38">
            <v>203.88349514563109</v>
          </cell>
        </row>
        <row r="39">
          <cell r="B39">
            <v>20201</v>
          </cell>
          <cell r="C39" t="str">
            <v>CB403AAA</v>
          </cell>
          <cell r="D39" t="str">
            <v>22</v>
          </cell>
          <cell r="E39">
            <v>51006</v>
          </cell>
          <cell r="F39">
            <v>194</v>
          </cell>
          <cell r="G39">
            <v>50091</v>
          </cell>
          <cell r="H39">
            <v>25</v>
          </cell>
          <cell r="I39">
            <v>50092</v>
          </cell>
          <cell r="J39">
            <v>25</v>
          </cell>
          <cell r="K39" t="str">
            <v/>
          </cell>
          <cell r="L39">
            <v>0</v>
          </cell>
          <cell r="M39">
            <v>28.196721311475411</v>
          </cell>
        </row>
        <row r="40">
          <cell r="B40">
            <v>20202</v>
          </cell>
          <cell r="C40" t="str">
            <v>CB401AAA</v>
          </cell>
          <cell r="D40" t="str">
            <v>22</v>
          </cell>
          <cell r="E40">
            <v>51006</v>
          </cell>
          <cell r="F40">
            <v>194</v>
          </cell>
          <cell r="G40">
            <v>50090</v>
          </cell>
          <cell r="H40">
            <v>25</v>
          </cell>
          <cell r="I40">
            <v>50099</v>
          </cell>
          <cell r="J40">
            <v>25</v>
          </cell>
          <cell r="K40" t="str">
            <v/>
          </cell>
          <cell r="L40">
            <v>0</v>
          </cell>
          <cell r="M40">
            <v>35.881147540983605</v>
          </cell>
        </row>
        <row r="41">
          <cell r="B41">
            <v>20203</v>
          </cell>
          <cell r="C41" t="str">
            <v>CB403AAA</v>
          </cell>
          <cell r="D41" t="str">
            <v>22</v>
          </cell>
          <cell r="E41">
            <v>51006</v>
          </cell>
          <cell r="F41">
            <v>194</v>
          </cell>
          <cell r="G41">
            <v>50091</v>
          </cell>
          <cell r="H41">
            <v>25</v>
          </cell>
          <cell r="I41">
            <v>50145</v>
          </cell>
          <cell r="J41">
            <v>25</v>
          </cell>
          <cell r="K41" t="str">
            <v/>
          </cell>
          <cell r="L41">
            <v>0</v>
          </cell>
          <cell r="M41">
            <v>23.58606557377049</v>
          </cell>
        </row>
        <row r="42">
          <cell r="B42">
            <v>20204</v>
          </cell>
          <cell r="C42" t="str">
            <v>CB811AAA</v>
          </cell>
          <cell r="D42" t="str">
            <v>22</v>
          </cell>
          <cell r="E42">
            <v>51006</v>
          </cell>
          <cell r="F42">
            <v>194</v>
          </cell>
          <cell r="G42">
            <v>50135</v>
          </cell>
          <cell r="H42">
            <v>25</v>
          </cell>
          <cell r="I42">
            <v>50091</v>
          </cell>
          <cell r="J42">
            <v>25</v>
          </cell>
          <cell r="K42" t="str">
            <v/>
          </cell>
          <cell r="L42">
            <v>0</v>
          </cell>
          <cell r="M42">
            <v>28.196721311475411</v>
          </cell>
        </row>
        <row r="43">
          <cell r="B43">
            <v>20205</v>
          </cell>
          <cell r="C43" t="str">
            <v>CB742AAA</v>
          </cell>
          <cell r="D43" t="str">
            <v>22</v>
          </cell>
          <cell r="E43">
            <v>51006</v>
          </cell>
          <cell r="F43">
            <v>194</v>
          </cell>
          <cell r="G43">
            <v>50124</v>
          </cell>
          <cell r="H43">
            <v>25</v>
          </cell>
          <cell r="I43">
            <v>50090</v>
          </cell>
          <cell r="J43">
            <v>25</v>
          </cell>
          <cell r="K43" t="str">
            <v/>
          </cell>
          <cell r="L43">
            <v>0</v>
          </cell>
          <cell r="M43">
            <v>35.881147540983605</v>
          </cell>
        </row>
        <row r="44">
          <cell r="B44">
            <v>20208</v>
          </cell>
          <cell r="C44" t="str">
            <v>CB765AAA</v>
          </cell>
          <cell r="D44" t="str">
            <v>22</v>
          </cell>
          <cell r="E44">
            <v>52000</v>
          </cell>
          <cell r="F44">
            <v>4.32</v>
          </cell>
          <cell r="G44">
            <v>50092</v>
          </cell>
          <cell r="H44">
            <v>129</v>
          </cell>
          <cell r="I44">
            <v>50101</v>
          </cell>
          <cell r="J44">
            <v>15</v>
          </cell>
          <cell r="K44">
            <v>10209</v>
          </cell>
          <cell r="L44">
            <v>0</v>
          </cell>
          <cell r="M44">
            <v>211.46844660194176</v>
          </cell>
        </row>
        <row r="45">
          <cell r="B45">
            <v>20301</v>
          </cell>
          <cell r="C45" t="str">
            <v>CB401AAA</v>
          </cell>
          <cell r="D45" t="str">
            <v>23</v>
          </cell>
          <cell r="E45">
            <v>51007</v>
          </cell>
          <cell r="F45">
            <v>193</v>
          </cell>
          <cell r="G45">
            <v>50090</v>
          </cell>
          <cell r="H45">
            <v>25</v>
          </cell>
          <cell r="I45">
            <v>50098</v>
          </cell>
          <cell r="J45">
            <v>25</v>
          </cell>
          <cell r="K45" t="str">
            <v/>
          </cell>
          <cell r="L45">
            <v>0</v>
          </cell>
          <cell r="M45">
            <v>37.534979423868315</v>
          </cell>
        </row>
        <row r="46">
          <cell r="B46">
            <v>20302</v>
          </cell>
          <cell r="C46" t="str">
            <v>CB896AAA</v>
          </cell>
          <cell r="D46" t="str">
            <v>23</v>
          </cell>
          <cell r="E46">
            <v>51007</v>
          </cell>
          <cell r="F46">
            <v>193</v>
          </cell>
          <cell r="G46">
            <v>50150</v>
          </cell>
          <cell r="H46">
            <v>25</v>
          </cell>
          <cell r="I46">
            <v>50102</v>
          </cell>
          <cell r="J46">
            <v>25</v>
          </cell>
          <cell r="K46" t="str">
            <v/>
          </cell>
          <cell r="L46">
            <v>0</v>
          </cell>
          <cell r="M46">
            <v>37.534979423868315</v>
          </cell>
        </row>
        <row r="47">
          <cell r="B47">
            <v>20303</v>
          </cell>
          <cell r="C47" t="str">
            <v>CB766AAA</v>
          </cell>
          <cell r="D47" t="str">
            <v>23</v>
          </cell>
          <cell r="E47">
            <v>51007</v>
          </cell>
          <cell r="F47">
            <v>193</v>
          </cell>
          <cell r="G47">
            <v>50090</v>
          </cell>
          <cell r="H47">
            <v>25</v>
          </cell>
          <cell r="I47">
            <v>50079</v>
          </cell>
          <cell r="J47">
            <v>25</v>
          </cell>
          <cell r="K47" t="str">
            <v/>
          </cell>
          <cell r="L47">
            <v>0</v>
          </cell>
          <cell r="M47">
            <v>29.818930041152264</v>
          </cell>
        </row>
        <row r="48">
          <cell r="B48">
            <v>20304</v>
          </cell>
          <cell r="C48" t="str">
            <v>CB432AAA</v>
          </cell>
          <cell r="D48" t="str">
            <v>23</v>
          </cell>
          <cell r="E48">
            <v>51007</v>
          </cell>
          <cell r="F48">
            <v>193</v>
          </cell>
          <cell r="G48">
            <v>50101</v>
          </cell>
          <cell r="H48">
            <v>25</v>
          </cell>
          <cell r="I48">
            <v>50102</v>
          </cell>
          <cell r="J48">
            <v>25</v>
          </cell>
          <cell r="K48" t="str">
            <v/>
          </cell>
          <cell r="L48">
            <v>0</v>
          </cell>
          <cell r="M48">
            <v>45.251028806584365</v>
          </cell>
        </row>
        <row r="49">
          <cell r="B49">
            <v>20305</v>
          </cell>
          <cell r="C49" t="str">
            <v>CB742AAA</v>
          </cell>
          <cell r="D49" t="str">
            <v>23</v>
          </cell>
          <cell r="E49">
            <v>51007</v>
          </cell>
          <cell r="F49">
            <v>193</v>
          </cell>
          <cell r="G49">
            <v>50124</v>
          </cell>
          <cell r="H49">
            <v>25</v>
          </cell>
          <cell r="I49">
            <v>50102</v>
          </cell>
          <cell r="J49">
            <v>25</v>
          </cell>
          <cell r="K49" t="str">
            <v/>
          </cell>
          <cell r="L49">
            <v>0</v>
          </cell>
          <cell r="M49">
            <v>45.251028806584365</v>
          </cell>
        </row>
        <row r="50">
          <cell r="B50">
            <v>20308</v>
          </cell>
          <cell r="C50" t="str">
            <v>CB770AAA</v>
          </cell>
          <cell r="D50" t="str">
            <v>23</v>
          </cell>
          <cell r="E50">
            <v>52000</v>
          </cell>
          <cell r="F50">
            <v>4.32</v>
          </cell>
          <cell r="G50">
            <v>50091</v>
          </cell>
          <cell r="H50">
            <v>129</v>
          </cell>
          <cell r="I50">
            <v>50098</v>
          </cell>
          <cell r="J50">
            <v>15</v>
          </cell>
          <cell r="K50">
            <v>10241</v>
          </cell>
          <cell r="L50">
            <v>0</v>
          </cell>
          <cell r="M50">
            <v>211.46844660194176</v>
          </cell>
        </row>
        <row r="51">
          <cell r="B51">
            <v>20401</v>
          </cell>
          <cell r="C51" t="str">
            <v>CB403AAA</v>
          </cell>
          <cell r="D51" t="str">
            <v>24</v>
          </cell>
          <cell r="E51">
            <v>51008</v>
          </cell>
          <cell r="F51">
            <v>192</v>
          </cell>
          <cell r="G51">
            <v>50091</v>
          </cell>
          <cell r="H51">
            <v>25</v>
          </cell>
          <cell r="I51">
            <v>50098</v>
          </cell>
          <cell r="J51">
            <v>25</v>
          </cell>
          <cell r="K51" t="str">
            <v/>
          </cell>
          <cell r="L51">
            <v>0</v>
          </cell>
          <cell r="M51">
            <v>39.185950413223139</v>
          </cell>
        </row>
        <row r="52">
          <cell r="B52">
            <v>20402</v>
          </cell>
          <cell r="C52" t="str">
            <v>CB401AAA</v>
          </cell>
          <cell r="D52" t="str">
            <v>24</v>
          </cell>
          <cell r="E52">
            <v>51008</v>
          </cell>
          <cell r="F52">
            <v>192</v>
          </cell>
          <cell r="G52">
            <v>50090</v>
          </cell>
          <cell r="H52">
            <v>25</v>
          </cell>
          <cell r="I52">
            <v>50090</v>
          </cell>
          <cell r="J52">
            <v>25</v>
          </cell>
          <cell r="K52" t="str">
            <v/>
          </cell>
          <cell r="L52">
            <v>0</v>
          </cell>
          <cell r="M52">
            <v>31.438016528925619</v>
          </cell>
        </row>
        <row r="53">
          <cell r="B53">
            <v>20403</v>
          </cell>
          <cell r="C53" t="str">
            <v>CB401AAA</v>
          </cell>
          <cell r="D53" t="str">
            <v>24</v>
          </cell>
          <cell r="E53">
            <v>51008</v>
          </cell>
          <cell r="F53">
            <v>192</v>
          </cell>
          <cell r="G53">
            <v>50090</v>
          </cell>
          <cell r="H53">
            <v>25</v>
          </cell>
          <cell r="I53">
            <v>50102</v>
          </cell>
          <cell r="J53">
            <v>25</v>
          </cell>
          <cell r="K53" t="str">
            <v/>
          </cell>
          <cell r="L53">
            <v>0</v>
          </cell>
          <cell r="M53">
            <v>39.185950413223139</v>
          </cell>
        </row>
        <row r="54">
          <cell r="B54">
            <v>20404</v>
          </cell>
          <cell r="C54" t="str">
            <v>CB747AAA</v>
          </cell>
          <cell r="D54" t="str">
            <v>24</v>
          </cell>
          <cell r="E54">
            <v>51008</v>
          </cell>
          <cell r="F54">
            <v>192</v>
          </cell>
          <cell r="G54">
            <v>50116</v>
          </cell>
          <cell r="H54">
            <v>25</v>
          </cell>
          <cell r="I54">
            <v>50092</v>
          </cell>
          <cell r="J54">
            <v>25</v>
          </cell>
          <cell r="K54" t="str">
            <v/>
          </cell>
          <cell r="L54">
            <v>0</v>
          </cell>
          <cell r="M54">
            <v>39.185950413223139</v>
          </cell>
        </row>
        <row r="55">
          <cell r="B55">
            <v>20405</v>
          </cell>
          <cell r="C55" t="str">
            <v>CB736AAA</v>
          </cell>
          <cell r="D55" t="str">
            <v>24</v>
          </cell>
          <cell r="E55">
            <v>51008</v>
          </cell>
          <cell r="F55">
            <v>192</v>
          </cell>
          <cell r="G55">
            <v>50139</v>
          </cell>
          <cell r="H55">
            <v>25</v>
          </cell>
          <cell r="I55">
            <v>50102</v>
          </cell>
          <cell r="J55">
            <v>25</v>
          </cell>
          <cell r="K55" t="str">
            <v/>
          </cell>
          <cell r="L55">
            <v>0</v>
          </cell>
          <cell r="M55">
            <v>39.185950413223139</v>
          </cell>
        </row>
        <row r="56">
          <cell r="B56">
            <v>20408</v>
          </cell>
          <cell r="C56" t="str">
            <v>CB407AAA</v>
          </cell>
          <cell r="D56" t="str">
            <v>24</v>
          </cell>
          <cell r="E56">
            <v>52000</v>
          </cell>
          <cell r="F56">
            <v>4.32</v>
          </cell>
          <cell r="G56">
            <v>50090</v>
          </cell>
          <cell r="H56">
            <v>129</v>
          </cell>
          <cell r="I56">
            <v>50079</v>
          </cell>
          <cell r="J56">
            <v>15</v>
          </cell>
          <cell r="K56">
            <v>10273</v>
          </cell>
          <cell r="L56">
            <v>0</v>
          </cell>
          <cell r="M56">
            <v>203.88349514563109</v>
          </cell>
        </row>
        <row r="57">
          <cell r="B57">
            <v>20501</v>
          </cell>
          <cell r="C57" t="str">
            <v>CB404AAA</v>
          </cell>
          <cell r="D57" t="str">
            <v>25</v>
          </cell>
          <cell r="E57">
            <v>51009</v>
          </cell>
          <cell r="F57">
            <v>191</v>
          </cell>
          <cell r="G57">
            <v>50098</v>
          </cell>
          <cell r="H57">
            <v>25</v>
          </cell>
          <cell r="I57">
            <v>50090</v>
          </cell>
          <cell r="J57">
            <v>25</v>
          </cell>
          <cell r="K57" t="str">
            <v/>
          </cell>
          <cell r="L57">
            <v>0</v>
          </cell>
          <cell r="M57">
            <v>40.834024896265561</v>
          </cell>
        </row>
        <row r="58">
          <cell r="B58">
            <v>20502</v>
          </cell>
          <cell r="C58" t="str">
            <v>CB896AAA</v>
          </cell>
          <cell r="D58" t="str">
            <v>25</v>
          </cell>
          <cell r="E58">
            <v>51009</v>
          </cell>
          <cell r="F58">
            <v>191</v>
          </cell>
          <cell r="G58">
            <v>50150</v>
          </cell>
          <cell r="H58">
            <v>25</v>
          </cell>
          <cell r="I58">
            <v>50093</v>
          </cell>
          <cell r="J58">
            <v>25</v>
          </cell>
          <cell r="K58" t="str">
            <v/>
          </cell>
          <cell r="L58">
            <v>0</v>
          </cell>
          <cell r="M58">
            <v>33.053941908713696</v>
          </cell>
        </row>
        <row r="59">
          <cell r="B59">
            <v>20503</v>
          </cell>
          <cell r="C59" t="str">
            <v>CB401AAA</v>
          </cell>
          <cell r="D59" t="str">
            <v>25</v>
          </cell>
          <cell r="E59">
            <v>51009</v>
          </cell>
          <cell r="F59">
            <v>191</v>
          </cell>
          <cell r="G59">
            <v>50090</v>
          </cell>
          <cell r="H59">
            <v>25</v>
          </cell>
          <cell r="I59">
            <v>50094</v>
          </cell>
          <cell r="J59">
            <v>25</v>
          </cell>
          <cell r="K59" t="str">
            <v/>
          </cell>
          <cell r="L59">
            <v>0</v>
          </cell>
          <cell r="M59">
            <v>33.053941908713696</v>
          </cell>
        </row>
        <row r="60">
          <cell r="B60">
            <v>20504</v>
          </cell>
          <cell r="C60" t="str">
            <v>CB611AAA</v>
          </cell>
          <cell r="D60" t="str">
            <v>25</v>
          </cell>
          <cell r="E60">
            <v>51009</v>
          </cell>
          <cell r="F60">
            <v>191</v>
          </cell>
          <cell r="G60">
            <v>50140</v>
          </cell>
          <cell r="H60">
            <v>25</v>
          </cell>
          <cell r="I60">
            <v>50094</v>
          </cell>
          <cell r="J60">
            <v>25</v>
          </cell>
          <cell r="K60" t="str">
            <v/>
          </cell>
          <cell r="L60">
            <v>0</v>
          </cell>
          <cell r="M60">
            <v>33.053941908713696</v>
          </cell>
        </row>
        <row r="61">
          <cell r="B61">
            <v>20505</v>
          </cell>
          <cell r="C61" t="str">
            <v>CB742AAA</v>
          </cell>
          <cell r="D61" t="str">
            <v>25</v>
          </cell>
          <cell r="E61">
            <v>51009</v>
          </cell>
          <cell r="F61">
            <v>191</v>
          </cell>
          <cell r="G61">
            <v>50124</v>
          </cell>
          <cell r="H61">
            <v>25</v>
          </cell>
          <cell r="I61">
            <v>50096</v>
          </cell>
          <cell r="J61">
            <v>25</v>
          </cell>
          <cell r="K61" t="str">
            <v/>
          </cell>
          <cell r="L61">
            <v>0</v>
          </cell>
          <cell r="M61">
            <v>40.834024896265561</v>
          </cell>
        </row>
        <row r="62">
          <cell r="B62">
            <v>20508</v>
          </cell>
          <cell r="C62" t="str">
            <v>CB408AAA</v>
          </cell>
          <cell r="D62" t="str">
            <v>25</v>
          </cell>
          <cell r="E62">
            <v>52000</v>
          </cell>
          <cell r="F62">
            <v>4.32</v>
          </cell>
          <cell r="G62">
            <v>50095</v>
          </cell>
          <cell r="H62">
            <v>129</v>
          </cell>
          <cell r="I62">
            <v>50098</v>
          </cell>
          <cell r="J62">
            <v>15</v>
          </cell>
          <cell r="K62">
            <v>10305</v>
          </cell>
          <cell r="L62">
            <v>0</v>
          </cell>
          <cell r="M62">
            <v>211.46844660194176</v>
          </cell>
        </row>
        <row r="63">
          <cell r="B63">
            <v>30101</v>
          </cell>
          <cell r="C63" t="str">
            <v>CB411AAA</v>
          </cell>
          <cell r="D63" t="str">
            <v>31</v>
          </cell>
          <cell r="E63">
            <v>51009</v>
          </cell>
          <cell r="F63">
            <v>191</v>
          </cell>
          <cell r="G63">
            <v>50140</v>
          </cell>
          <cell r="H63">
            <v>25</v>
          </cell>
          <cell r="I63">
            <v>50079</v>
          </cell>
          <cell r="J63">
            <v>25</v>
          </cell>
          <cell r="K63" t="str">
            <v/>
          </cell>
          <cell r="L63">
            <v>0</v>
          </cell>
          <cell r="M63">
            <v>33.053941908713696</v>
          </cell>
        </row>
        <row r="64">
          <cell r="B64">
            <v>30102</v>
          </cell>
          <cell r="C64" t="str">
            <v>CB231AAA</v>
          </cell>
          <cell r="D64" t="str">
            <v>31</v>
          </cell>
          <cell r="E64">
            <v>51009</v>
          </cell>
          <cell r="F64">
            <v>191</v>
          </cell>
          <cell r="G64">
            <v>50146</v>
          </cell>
          <cell r="H64">
            <v>25</v>
          </cell>
          <cell r="I64">
            <v>50102</v>
          </cell>
          <cell r="J64">
            <v>25</v>
          </cell>
          <cell r="K64" t="str">
            <v/>
          </cell>
          <cell r="L64">
            <v>0</v>
          </cell>
          <cell r="M64">
            <v>40.834024896265561</v>
          </cell>
        </row>
        <row r="65">
          <cell r="B65">
            <v>30103</v>
          </cell>
          <cell r="C65" t="str">
            <v>CB732AAA</v>
          </cell>
          <cell r="D65" t="str">
            <v>31</v>
          </cell>
          <cell r="E65">
            <v>51009</v>
          </cell>
          <cell r="F65">
            <v>191</v>
          </cell>
          <cell r="G65">
            <v>50137</v>
          </cell>
          <cell r="H65">
            <v>25</v>
          </cell>
          <cell r="I65">
            <v>50091</v>
          </cell>
          <cell r="J65">
            <v>25</v>
          </cell>
          <cell r="K65" t="str">
            <v/>
          </cell>
          <cell r="L65">
            <v>0</v>
          </cell>
          <cell r="M65">
            <v>33.053941908713696</v>
          </cell>
        </row>
        <row r="66">
          <cell r="B66">
            <v>30104</v>
          </cell>
          <cell r="C66" t="str">
            <v>CB223AAA</v>
          </cell>
          <cell r="D66" t="str">
            <v>31</v>
          </cell>
          <cell r="E66">
            <v>51009</v>
          </cell>
          <cell r="F66">
            <v>191</v>
          </cell>
          <cell r="G66">
            <v>50119</v>
          </cell>
          <cell r="H66">
            <v>25</v>
          </cell>
          <cell r="I66">
            <v>50135</v>
          </cell>
          <cell r="J66">
            <v>25</v>
          </cell>
          <cell r="K66" t="str">
            <v/>
          </cell>
          <cell r="L66">
            <v>0</v>
          </cell>
          <cell r="M66">
            <v>28.385892116182571</v>
          </cell>
        </row>
        <row r="67">
          <cell r="B67">
            <v>30105</v>
          </cell>
          <cell r="C67" t="str">
            <v>CB371AAA</v>
          </cell>
          <cell r="D67" t="str">
            <v>31</v>
          </cell>
          <cell r="E67">
            <v>51009</v>
          </cell>
          <cell r="F67">
            <v>191</v>
          </cell>
          <cell r="G67">
            <v>50111</v>
          </cell>
          <cell r="H67">
            <v>25</v>
          </cell>
          <cell r="I67">
            <v>50092</v>
          </cell>
          <cell r="J67">
            <v>25</v>
          </cell>
          <cell r="K67" t="str">
            <v/>
          </cell>
          <cell r="L67">
            <v>0</v>
          </cell>
          <cell r="M67">
            <v>40.834024896265561</v>
          </cell>
        </row>
        <row r="68">
          <cell r="B68">
            <v>30108</v>
          </cell>
          <cell r="C68" t="str">
            <v>CB439AAA</v>
          </cell>
          <cell r="D68" t="str">
            <v>31</v>
          </cell>
          <cell r="E68">
            <v>52000</v>
          </cell>
          <cell r="F68">
            <v>4.32</v>
          </cell>
          <cell r="G68">
            <v>50140</v>
          </cell>
          <cell r="H68">
            <v>129</v>
          </cell>
          <cell r="I68">
            <v>50101</v>
          </cell>
          <cell r="J68">
            <v>15</v>
          </cell>
          <cell r="K68">
            <v>10337</v>
          </cell>
          <cell r="L68">
            <v>0</v>
          </cell>
          <cell r="M68">
            <v>211.46844660194176</v>
          </cell>
        </row>
        <row r="69">
          <cell r="B69">
            <v>30201</v>
          </cell>
          <cell r="C69" t="str">
            <v>CB411AAA</v>
          </cell>
          <cell r="D69" t="str">
            <v>32</v>
          </cell>
          <cell r="E69">
            <v>51010</v>
          </cell>
          <cell r="F69">
            <v>190</v>
          </cell>
          <cell r="G69">
            <v>50140</v>
          </cell>
          <cell r="H69">
            <v>25</v>
          </cell>
          <cell r="I69">
            <v>50098</v>
          </cell>
          <cell r="J69">
            <v>25</v>
          </cell>
          <cell r="K69" t="str">
            <v/>
          </cell>
          <cell r="L69">
            <v>0</v>
          </cell>
          <cell r="M69">
            <v>42.479166666666664</v>
          </cell>
        </row>
        <row r="70">
          <cell r="B70">
            <v>30202</v>
          </cell>
          <cell r="C70" t="str">
            <v>CB231AAA</v>
          </cell>
          <cell r="D70" t="str">
            <v>32</v>
          </cell>
          <cell r="E70">
            <v>51010</v>
          </cell>
          <cell r="F70">
            <v>190</v>
          </cell>
          <cell r="G70">
            <v>50146</v>
          </cell>
          <cell r="H70">
            <v>25</v>
          </cell>
          <cell r="I70">
            <v>50099</v>
          </cell>
          <cell r="J70">
            <v>25</v>
          </cell>
          <cell r="K70" t="str">
            <v/>
          </cell>
          <cell r="L70">
            <v>0</v>
          </cell>
          <cell r="M70">
            <v>42.479166666666664</v>
          </cell>
        </row>
        <row r="71">
          <cell r="B71">
            <v>30203</v>
          </cell>
          <cell r="C71" t="str">
            <v>CB956AAA</v>
          </cell>
          <cell r="D71" t="str">
            <v>32</v>
          </cell>
          <cell r="E71">
            <v>51010</v>
          </cell>
          <cell r="F71">
            <v>190</v>
          </cell>
          <cell r="G71">
            <v>50146</v>
          </cell>
          <cell r="H71">
            <v>25</v>
          </cell>
          <cell r="I71">
            <v>50090</v>
          </cell>
          <cell r="J71">
            <v>25</v>
          </cell>
          <cell r="K71" t="str">
            <v/>
          </cell>
          <cell r="L71">
            <v>0</v>
          </cell>
          <cell r="M71">
            <v>34.666666666666664</v>
          </cell>
        </row>
        <row r="72">
          <cell r="B72">
            <v>30204</v>
          </cell>
          <cell r="C72" t="str">
            <v>CB734AAA</v>
          </cell>
          <cell r="D72" t="str">
            <v>32</v>
          </cell>
          <cell r="E72">
            <v>51010</v>
          </cell>
          <cell r="F72">
            <v>190</v>
          </cell>
          <cell r="G72">
            <v>50147</v>
          </cell>
          <cell r="H72">
            <v>25</v>
          </cell>
          <cell r="I72">
            <v>50103</v>
          </cell>
          <cell r="J72">
            <v>25</v>
          </cell>
          <cell r="K72" t="str">
            <v/>
          </cell>
          <cell r="L72">
            <v>0</v>
          </cell>
          <cell r="M72">
            <v>42.479166666666664</v>
          </cell>
        </row>
        <row r="73">
          <cell r="B73">
            <v>30205</v>
          </cell>
          <cell r="C73" t="str">
            <v>CB767AAA</v>
          </cell>
          <cell r="D73" t="str">
            <v>32</v>
          </cell>
          <cell r="E73">
            <v>51010</v>
          </cell>
          <cell r="F73">
            <v>190</v>
          </cell>
          <cell r="G73">
            <v>50101</v>
          </cell>
          <cell r="H73">
            <v>25</v>
          </cell>
          <cell r="I73">
            <v>50095</v>
          </cell>
          <cell r="J73">
            <v>25</v>
          </cell>
          <cell r="K73" t="str">
            <v/>
          </cell>
          <cell r="L73">
            <v>0</v>
          </cell>
          <cell r="M73">
            <v>42.479166666666664</v>
          </cell>
        </row>
        <row r="74">
          <cell r="B74">
            <v>30208</v>
          </cell>
          <cell r="C74" t="str">
            <v>CB443AAA</v>
          </cell>
          <cell r="D74" t="str">
            <v>32</v>
          </cell>
          <cell r="E74">
            <v>52000</v>
          </cell>
          <cell r="F74">
            <v>3.09</v>
          </cell>
          <cell r="G74">
            <v>50116</v>
          </cell>
          <cell r="H74">
            <v>88</v>
          </cell>
          <cell r="I74">
            <v>50093</v>
          </cell>
          <cell r="J74">
            <v>15</v>
          </cell>
          <cell r="K74">
            <v>10369</v>
          </cell>
          <cell r="L74">
            <v>0</v>
          </cell>
          <cell r="M74">
            <v>266.09482514845882</v>
          </cell>
        </row>
        <row r="75">
          <cell r="B75">
            <v>30301</v>
          </cell>
          <cell r="C75" t="str">
            <v>CB956AAA</v>
          </cell>
          <cell r="D75" t="str">
            <v>33</v>
          </cell>
          <cell r="E75">
            <v>51011</v>
          </cell>
          <cell r="F75">
            <v>189</v>
          </cell>
          <cell r="G75">
            <v>50146</v>
          </cell>
          <cell r="H75">
            <v>25</v>
          </cell>
          <cell r="I75">
            <v>50090</v>
          </cell>
          <cell r="J75">
            <v>25</v>
          </cell>
          <cell r="K75" t="str">
            <v/>
          </cell>
          <cell r="L75">
            <v>0</v>
          </cell>
          <cell r="M75">
            <v>36.27615062761506</v>
          </cell>
        </row>
        <row r="76">
          <cell r="B76">
            <v>30302</v>
          </cell>
          <cell r="C76" t="str">
            <v>CB231AAA</v>
          </cell>
          <cell r="D76" t="str">
            <v>33</v>
          </cell>
          <cell r="E76">
            <v>51011</v>
          </cell>
          <cell r="F76">
            <v>189</v>
          </cell>
          <cell r="G76">
            <v>50146</v>
          </cell>
          <cell r="H76">
            <v>25</v>
          </cell>
          <cell r="I76">
            <v>50090</v>
          </cell>
          <cell r="J76">
            <v>25</v>
          </cell>
          <cell r="K76" t="str">
            <v/>
          </cell>
          <cell r="L76">
            <v>0</v>
          </cell>
          <cell r="M76">
            <v>36.27615062761506</v>
          </cell>
        </row>
        <row r="77">
          <cell r="B77">
            <v>30303</v>
          </cell>
          <cell r="C77" t="str">
            <v>CB231AAA</v>
          </cell>
          <cell r="D77" t="str">
            <v>33</v>
          </cell>
          <cell r="E77">
            <v>51011</v>
          </cell>
          <cell r="F77">
            <v>189</v>
          </cell>
          <cell r="G77">
            <v>50146</v>
          </cell>
          <cell r="H77">
            <v>25</v>
          </cell>
          <cell r="I77">
            <v>50145</v>
          </cell>
          <cell r="J77">
            <v>25</v>
          </cell>
          <cell r="K77" t="str">
            <v/>
          </cell>
          <cell r="L77">
            <v>0</v>
          </cell>
          <cell r="M77">
            <v>31.569037656903767</v>
          </cell>
        </row>
        <row r="78">
          <cell r="B78">
            <v>30304</v>
          </cell>
          <cell r="C78" t="str">
            <v>CB742AAA</v>
          </cell>
          <cell r="D78" t="str">
            <v>33</v>
          </cell>
          <cell r="E78">
            <v>51011</v>
          </cell>
          <cell r="F78">
            <v>189</v>
          </cell>
          <cell r="G78">
            <v>50124</v>
          </cell>
          <cell r="H78">
            <v>25</v>
          </cell>
          <cell r="I78">
            <v>50100</v>
          </cell>
          <cell r="J78">
            <v>25</v>
          </cell>
          <cell r="K78" t="str">
            <v/>
          </cell>
          <cell r="L78">
            <v>0</v>
          </cell>
          <cell r="M78">
            <v>51.96652719665272</v>
          </cell>
        </row>
        <row r="79">
          <cell r="B79">
            <v>30305</v>
          </cell>
          <cell r="C79" t="str">
            <v>CB613AAA</v>
          </cell>
          <cell r="D79" t="str">
            <v>33</v>
          </cell>
          <cell r="E79">
            <v>51011</v>
          </cell>
          <cell r="F79">
            <v>189</v>
          </cell>
          <cell r="G79">
            <v>50140</v>
          </cell>
          <cell r="H79">
            <v>25</v>
          </cell>
          <cell r="I79">
            <v>50098</v>
          </cell>
          <cell r="J79">
            <v>25</v>
          </cell>
          <cell r="K79" t="str">
            <v/>
          </cell>
          <cell r="L79">
            <v>0</v>
          </cell>
          <cell r="M79">
            <v>44.121338912133893</v>
          </cell>
        </row>
        <row r="80">
          <cell r="B80">
            <v>30308</v>
          </cell>
          <cell r="C80" t="str">
            <v>CB359AAA</v>
          </cell>
          <cell r="D80" t="str">
            <v>33</v>
          </cell>
          <cell r="E80">
            <v>52000</v>
          </cell>
          <cell r="F80">
            <v>4.32</v>
          </cell>
          <cell r="G80">
            <v>50096</v>
          </cell>
          <cell r="H80">
            <v>129</v>
          </cell>
          <cell r="I80">
            <v>50102</v>
          </cell>
          <cell r="J80">
            <v>15</v>
          </cell>
          <cell r="K80">
            <v>10401</v>
          </cell>
          <cell r="L80">
            <v>0</v>
          </cell>
          <cell r="M80">
            <v>211.46844660194176</v>
          </cell>
        </row>
        <row r="81">
          <cell r="B81">
            <v>30401</v>
          </cell>
          <cell r="C81" t="str">
            <v>CB956AAA</v>
          </cell>
          <cell r="D81" t="str">
            <v>34</v>
          </cell>
          <cell r="E81">
            <v>51012</v>
          </cell>
          <cell r="F81">
            <v>188</v>
          </cell>
          <cell r="G81">
            <v>50146</v>
          </cell>
          <cell r="H81">
            <v>25</v>
          </cell>
          <cell r="I81">
            <v>50157</v>
          </cell>
          <cell r="J81">
            <v>25</v>
          </cell>
          <cell r="K81" t="str">
            <v/>
          </cell>
          <cell r="L81">
            <v>0</v>
          </cell>
          <cell r="M81">
            <v>33.155462184873947</v>
          </cell>
        </row>
        <row r="82">
          <cell r="B82">
            <v>30402</v>
          </cell>
          <cell r="C82" t="str">
            <v>CB732AAA</v>
          </cell>
          <cell r="D82" t="str">
            <v>34</v>
          </cell>
          <cell r="E82">
            <v>51012</v>
          </cell>
          <cell r="F82">
            <v>188</v>
          </cell>
          <cell r="G82">
            <v>50137</v>
          </cell>
          <cell r="H82">
            <v>25</v>
          </cell>
          <cell r="I82">
            <v>50102</v>
          </cell>
          <cell r="J82">
            <v>25</v>
          </cell>
          <cell r="K82" t="str">
            <v/>
          </cell>
          <cell r="L82">
            <v>0</v>
          </cell>
          <cell r="M82">
            <v>45.760504201680675</v>
          </cell>
        </row>
        <row r="83">
          <cell r="B83">
            <v>30403</v>
          </cell>
          <cell r="C83" t="str">
            <v>CB231AAA</v>
          </cell>
          <cell r="D83" t="str">
            <v>34</v>
          </cell>
          <cell r="E83">
            <v>51012</v>
          </cell>
          <cell r="F83">
            <v>188</v>
          </cell>
          <cell r="G83">
            <v>50146</v>
          </cell>
          <cell r="H83">
            <v>25</v>
          </cell>
          <cell r="I83">
            <v>50092</v>
          </cell>
          <cell r="J83">
            <v>25</v>
          </cell>
          <cell r="K83" t="str">
            <v/>
          </cell>
          <cell r="L83">
            <v>0</v>
          </cell>
          <cell r="M83">
            <v>37.882352941176471</v>
          </cell>
        </row>
        <row r="84">
          <cell r="B84">
            <v>30404</v>
          </cell>
          <cell r="C84" t="str">
            <v>CB896AAA</v>
          </cell>
          <cell r="D84" t="str">
            <v>34</v>
          </cell>
          <cell r="E84">
            <v>51012</v>
          </cell>
          <cell r="F84">
            <v>188</v>
          </cell>
          <cell r="G84">
            <v>50150</v>
          </cell>
          <cell r="H84">
            <v>25</v>
          </cell>
          <cell r="I84">
            <v>50094</v>
          </cell>
          <cell r="J84">
            <v>25</v>
          </cell>
          <cell r="K84" t="str">
            <v/>
          </cell>
          <cell r="L84">
            <v>0</v>
          </cell>
          <cell r="M84">
            <v>37.882352941176471</v>
          </cell>
        </row>
        <row r="85">
          <cell r="B85">
            <v>30405</v>
          </cell>
          <cell r="C85" t="str">
            <v>CB896AAA</v>
          </cell>
          <cell r="D85" t="str">
            <v>34</v>
          </cell>
          <cell r="E85">
            <v>51012</v>
          </cell>
          <cell r="F85">
            <v>188</v>
          </cell>
          <cell r="G85">
            <v>50150</v>
          </cell>
          <cell r="H85">
            <v>25</v>
          </cell>
          <cell r="I85">
            <v>50101</v>
          </cell>
          <cell r="J85">
            <v>25</v>
          </cell>
          <cell r="K85" t="str">
            <v/>
          </cell>
          <cell r="L85">
            <v>0</v>
          </cell>
          <cell r="M85">
            <v>45.760504201680675</v>
          </cell>
        </row>
        <row r="86">
          <cell r="B86">
            <v>30408</v>
          </cell>
          <cell r="C86" t="str">
            <v>CB732AAA</v>
          </cell>
          <cell r="D86" t="str">
            <v>34</v>
          </cell>
          <cell r="E86">
            <v>52000</v>
          </cell>
          <cell r="F86">
            <v>4.32</v>
          </cell>
          <cell r="G86">
            <v>50150</v>
          </cell>
          <cell r="H86">
            <v>129</v>
          </cell>
          <cell r="I86">
            <v>50091</v>
          </cell>
          <cell r="J86">
            <v>15</v>
          </cell>
          <cell r="K86">
            <v>10433</v>
          </cell>
          <cell r="L86">
            <v>0</v>
          </cell>
          <cell r="M86">
            <v>203.88349514563109</v>
          </cell>
        </row>
        <row r="87">
          <cell r="B87">
            <v>30501</v>
          </cell>
          <cell r="C87" t="str">
            <v>CB732AAA</v>
          </cell>
          <cell r="D87" t="str">
            <v>35</v>
          </cell>
          <cell r="E87">
            <v>51012</v>
          </cell>
          <cell r="F87">
            <v>188</v>
          </cell>
          <cell r="G87">
            <v>50137</v>
          </cell>
          <cell r="H87">
            <v>25</v>
          </cell>
          <cell r="I87">
            <v>50100</v>
          </cell>
          <cell r="J87">
            <v>25</v>
          </cell>
          <cell r="K87" t="str">
            <v/>
          </cell>
          <cell r="L87">
            <v>0</v>
          </cell>
          <cell r="M87">
            <v>45.760504201680675</v>
          </cell>
        </row>
        <row r="88">
          <cell r="B88">
            <v>30502</v>
          </cell>
          <cell r="C88" t="str">
            <v>CB411AAA</v>
          </cell>
          <cell r="D88" t="str">
            <v>35</v>
          </cell>
          <cell r="E88">
            <v>51012</v>
          </cell>
          <cell r="F88">
            <v>188</v>
          </cell>
          <cell r="G88">
            <v>50140</v>
          </cell>
          <cell r="H88">
            <v>25</v>
          </cell>
          <cell r="I88">
            <v>50079</v>
          </cell>
          <cell r="J88">
            <v>25</v>
          </cell>
          <cell r="K88" t="str">
            <v/>
          </cell>
          <cell r="L88">
            <v>0</v>
          </cell>
          <cell r="M88">
            <v>37.882352941176471</v>
          </cell>
        </row>
        <row r="89">
          <cell r="B89">
            <v>30503</v>
          </cell>
          <cell r="C89" t="str">
            <v>CB411AAA</v>
          </cell>
          <cell r="D89" t="str">
            <v>35</v>
          </cell>
          <cell r="E89">
            <v>51012</v>
          </cell>
          <cell r="F89">
            <v>188</v>
          </cell>
          <cell r="G89">
            <v>50140</v>
          </cell>
          <cell r="H89">
            <v>25</v>
          </cell>
          <cell r="I89">
            <v>50091</v>
          </cell>
          <cell r="J89">
            <v>25</v>
          </cell>
          <cell r="K89" t="str">
            <v/>
          </cell>
          <cell r="L89">
            <v>0</v>
          </cell>
          <cell r="M89">
            <v>37.882352941176471</v>
          </cell>
        </row>
        <row r="90">
          <cell r="B90">
            <v>30504</v>
          </cell>
          <cell r="C90" t="str">
            <v>CB732AAA</v>
          </cell>
          <cell r="D90" t="str">
            <v>35</v>
          </cell>
          <cell r="E90">
            <v>51012</v>
          </cell>
          <cell r="F90">
            <v>188</v>
          </cell>
          <cell r="G90">
            <v>50137</v>
          </cell>
          <cell r="H90">
            <v>25</v>
          </cell>
          <cell r="I90">
            <v>50079</v>
          </cell>
          <cell r="J90">
            <v>25</v>
          </cell>
          <cell r="K90" t="str">
            <v/>
          </cell>
          <cell r="L90">
            <v>0</v>
          </cell>
          <cell r="M90">
            <v>37.882352941176471</v>
          </cell>
        </row>
        <row r="91">
          <cell r="B91">
            <v>30505</v>
          </cell>
          <cell r="C91" t="str">
            <v>CB732AAA</v>
          </cell>
          <cell r="D91" t="str">
            <v>35</v>
          </cell>
          <cell r="E91">
            <v>51012</v>
          </cell>
          <cell r="F91">
            <v>188</v>
          </cell>
          <cell r="G91">
            <v>50137</v>
          </cell>
          <cell r="H91">
            <v>25</v>
          </cell>
          <cell r="I91">
            <v>50095</v>
          </cell>
          <cell r="J91">
            <v>25</v>
          </cell>
          <cell r="K91" t="str">
            <v/>
          </cell>
          <cell r="L91">
            <v>0</v>
          </cell>
          <cell r="M91">
            <v>37.882352941176471</v>
          </cell>
        </row>
        <row r="92">
          <cell r="B92">
            <v>30508</v>
          </cell>
          <cell r="C92" t="str">
            <v>CB532AAA</v>
          </cell>
          <cell r="D92" t="str">
            <v>35</v>
          </cell>
          <cell r="E92">
            <v>52000</v>
          </cell>
          <cell r="F92">
            <v>3.09</v>
          </cell>
          <cell r="G92">
            <v>50126</v>
          </cell>
          <cell r="H92">
            <v>88</v>
          </cell>
          <cell r="I92">
            <v>50157</v>
          </cell>
          <cell r="J92">
            <v>15</v>
          </cell>
          <cell r="K92">
            <v>10465</v>
          </cell>
          <cell r="L92">
            <v>0</v>
          </cell>
          <cell r="M92">
            <v>259.73230276180601</v>
          </cell>
        </row>
        <row r="93">
          <cell r="B93">
            <v>40101</v>
          </cell>
          <cell r="C93" t="str">
            <v>CB733AAA</v>
          </cell>
          <cell r="D93" t="str">
            <v>41</v>
          </cell>
          <cell r="E93">
            <v>51013</v>
          </cell>
          <cell r="F93">
            <v>187</v>
          </cell>
          <cell r="G93">
            <v>50138</v>
          </cell>
          <cell r="H93">
            <v>25</v>
          </cell>
          <cell r="I93">
            <v>50091</v>
          </cell>
          <cell r="J93">
            <v>25</v>
          </cell>
          <cell r="K93" t="str">
            <v/>
          </cell>
          <cell r="L93">
            <v>0</v>
          </cell>
          <cell r="M93">
            <v>39.485232067510552</v>
          </cell>
        </row>
        <row r="94">
          <cell r="B94">
            <v>40102</v>
          </cell>
          <cell r="C94" t="str">
            <v>CB736AAA</v>
          </cell>
          <cell r="D94" t="str">
            <v>41</v>
          </cell>
          <cell r="E94">
            <v>51013</v>
          </cell>
          <cell r="F94">
            <v>187</v>
          </cell>
          <cell r="G94">
            <v>50139</v>
          </cell>
          <cell r="H94">
            <v>25</v>
          </cell>
          <cell r="I94">
            <v>50103</v>
          </cell>
          <cell r="J94">
            <v>25</v>
          </cell>
          <cell r="K94" t="str">
            <v/>
          </cell>
          <cell r="L94">
            <v>0</v>
          </cell>
          <cell r="M94">
            <v>47.396624472573841</v>
          </cell>
        </row>
        <row r="95">
          <cell r="B95">
            <v>40103</v>
          </cell>
          <cell r="C95" t="str">
            <v>CB733AAA</v>
          </cell>
          <cell r="D95" t="str">
            <v>41</v>
          </cell>
          <cell r="E95">
            <v>51013</v>
          </cell>
          <cell r="F95">
            <v>187</v>
          </cell>
          <cell r="G95">
            <v>50138</v>
          </cell>
          <cell r="H95">
            <v>25</v>
          </cell>
          <cell r="I95">
            <v>50095</v>
          </cell>
          <cell r="J95">
            <v>25</v>
          </cell>
          <cell r="K95" t="str">
            <v/>
          </cell>
          <cell r="L95">
            <v>0</v>
          </cell>
          <cell r="M95">
            <v>39.485232067510552</v>
          </cell>
        </row>
        <row r="96">
          <cell r="B96">
            <v>40104</v>
          </cell>
          <cell r="C96" t="str">
            <v>CB862AAA</v>
          </cell>
          <cell r="D96" t="str">
            <v>41</v>
          </cell>
          <cell r="E96">
            <v>51013</v>
          </cell>
          <cell r="F96">
            <v>187</v>
          </cell>
          <cell r="G96">
            <v>50078</v>
          </cell>
          <cell r="H96">
            <v>25</v>
          </cell>
          <cell r="I96">
            <v>50091</v>
          </cell>
          <cell r="J96">
            <v>25</v>
          </cell>
          <cell r="K96" t="str">
            <v/>
          </cell>
          <cell r="L96">
            <v>0</v>
          </cell>
          <cell r="M96">
            <v>39.485232067510552</v>
          </cell>
        </row>
        <row r="97">
          <cell r="B97">
            <v>40105</v>
          </cell>
          <cell r="C97" t="str">
            <v>CB736AAA</v>
          </cell>
          <cell r="D97" t="str">
            <v>41</v>
          </cell>
          <cell r="E97">
            <v>51013</v>
          </cell>
          <cell r="F97">
            <v>187</v>
          </cell>
          <cell r="G97">
            <v>50139</v>
          </cell>
          <cell r="H97">
            <v>25</v>
          </cell>
          <cell r="I97">
            <v>50135</v>
          </cell>
          <cell r="J97">
            <v>25</v>
          </cell>
          <cell r="K97" t="str">
            <v/>
          </cell>
          <cell r="L97">
            <v>0</v>
          </cell>
          <cell r="M97">
            <v>39.485232067510552</v>
          </cell>
        </row>
        <row r="98">
          <cell r="B98">
            <v>40108</v>
          </cell>
          <cell r="C98" t="str">
            <v>CB442AAA</v>
          </cell>
          <cell r="D98" t="str">
            <v>41</v>
          </cell>
          <cell r="E98">
            <v>52000</v>
          </cell>
          <cell r="F98">
            <v>3.09</v>
          </cell>
          <cell r="G98">
            <v>50101</v>
          </cell>
          <cell r="H98">
            <v>88</v>
          </cell>
          <cell r="I98">
            <v>50099</v>
          </cell>
          <cell r="J98">
            <v>15</v>
          </cell>
          <cell r="K98">
            <v>10497</v>
          </cell>
          <cell r="L98">
            <v>0</v>
          </cell>
          <cell r="M98">
            <v>276.69902912621359</v>
          </cell>
        </row>
        <row r="99">
          <cell r="B99">
            <v>40201</v>
          </cell>
          <cell r="C99" t="str">
            <v>CB733AAA</v>
          </cell>
          <cell r="D99" t="str">
            <v>42</v>
          </cell>
          <cell r="E99">
            <v>51014</v>
          </cell>
          <cell r="F99">
            <v>186</v>
          </cell>
          <cell r="G99">
            <v>50138</v>
          </cell>
          <cell r="H99">
            <v>25</v>
          </cell>
          <cell r="I99">
            <v>50098</v>
          </cell>
          <cell r="J99">
            <v>25</v>
          </cell>
          <cell r="K99" t="str">
            <v/>
          </cell>
          <cell r="L99">
            <v>0</v>
          </cell>
          <cell r="M99">
            <v>49.029661016949156</v>
          </cell>
        </row>
        <row r="100">
          <cell r="B100">
            <v>40202</v>
          </cell>
          <cell r="C100" t="str">
            <v>CB733AAA</v>
          </cell>
          <cell r="D100" t="str">
            <v>42</v>
          </cell>
          <cell r="E100">
            <v>51014</v>
          </cell>
          <cell r="F100">
            <v>186</v>
          </cell>
          <cell r="G100">
            <v>50138</v>
          </cell>
          <cell r="H100">
            <v>25</v>
          </cell>
          <cell r="I100">
            <v>50101</v>
          </cell>
          <cell r="J100">
            <v>25</v>
          </cell>
          <cell r="K100" t="str">
            <v/>
          </cell>
          <cell r="L100">
            <v>0</v>
          </cell>
          <cell r="M100">
            <v>49.029661016949156</v>
          </cell>
        </row>
        <row r="101">
          <cell r="B101">
            <v>40203</v>
          </cell>
          <cell r="C101" t="str">
            <v>CB736AAA</v>
          </cell>
          <cell r="D101" t="str">
            <v>42</v>
          </cell>
          <cell r="E101">
            <v>51014</v>
          </cell>
          <cell r="F101">
            <v>186</v>
          </cell>
          <cell r="G101">
            <v>50139</v>
          </cell>
          <cell r="H101">
            <v>25</v>
          </cell>
          <cell r="I101">
            <v>50079</v>
          </cell>
          <cell r="J101">
            <v>25</v>
          </cell>
          <cell r="K101" t="str">
            <v/>
          </cell>
          <cell r="L101">
            <v>0</v>
          </cell>
          <cell r="M101">
            <v>41.084745762711862</v>
          </cell>
        </row>
        <row r="102">
          <cell r="B102">
            <v>40204</v>
          </cell>
          <cell r="C102" t="str">
            <v>CB736AAA</v>
          </cell>
          <cell r="D102" t="str">
            <v>42</v>
          </cell>
          <cell r="E102">
            <v>51014</v>
          </cell>
          <cell r="F102">
            <v>186</v>
          </cell>
          <cell r="G102">
            <v>50139</v>
          </cell>
          <cell r="H102">
            <v>25</v>
          </cell>
          <cell r="I102">
            <v>50095</v>
          </cell>
          <cell r="J102">
            <v>25</v>
          </cell>
          <cell r="K102" t="str">
            <v/>
          </cell>
          <cell r="L102">
            <v>0</v>
          </cell>
          <cell r="M102">
            <v>41.084745762711862</v>
          </cell>
        </row>
        <row r="103">
          <cell r="B103">
            <v>40205</v>
          </cell>
          <cell r="C103" t="str">
            <v>CB760AAA</v>
          </cell>
          <cell r="D103" t="str">
            <v>42</v>
          </cell>
          <cell r="E103">
            <v>51014</v>
          </cell>
          <cell r="F103">
            <v>186</v>
          </cell>
          <cell r="G103">
            <v>50138</v>
          </cell>
          <cell r="H103">
            <v>25</v>
          </cell>
          <cell r="I103">
            <v>50157</v>
          </cell>
          <cell r="J103">
            <v>25</v>
          </cell>
          <cell r="K103" t="str">
            <v/>
          </cell>
          <cell r="L103">
            <v>0</v>
          </cell>
          <cell r="M103">
            <v>36.317796610169495</v>
          </cell>
        </row>
        <row r="104">
          <cell r="B104">
            <v>40208</v>
          </cell>
          <cell r="C104" t="str">
            <v>CB705AAA</v>
          </cell>
          <cell r="D104" t="str">
            <v>42</v>
          </cell>
          <cell r="E104">
            <v>52000</v>
          </cell>
          <cell r="F104">
            <v>3.09</v>
          </cell>
          <cell r="G104">
            <v>50144</v>
          </cell>
          <cell r="H104">
            <v>88</v>
          </cell>
          <cell r="I104">
            <v>50094</v>
          </cell>
          <cell r="J104">
            <v>15</v>
          </cell>
          <cell r="K104">
            <v>10529</v>
          </cell>
          <cell r="L104">
            <v>0</v>
          </cell>
          <cell r="M104">
            <v>266.09482514845882</v>
          </cell>
        </row>
        <row r="105">
          <cell r="B105">
            <v>40301</v>
          </cell>
          <cell r="C105" t="str">
            <v>CB736AAA</v>
          </cell>
          <cell r="D105" t="str">
            <v>43</v>
          </cell>
          <cell r="E105">
            <v>51015</v>
          </cell>
          <cell r="F105">
            <v>185</v>
          </cell>
          <cell r="G105">
            <v>50139</v>
          </cell>
          <cell r="H105">
            <v>25</v>
          </cell>
          <cell r="I105">
            <v>50090</v>
          </cell>
          <cell r="J105">
            <v>25</v>
          </cell>
          <cell r="K105" t="str">
            <v/>
          </cell>
          <cell r="L105">
            <v>0</v>
          </cell>
          <cell r="M105">
            <v>42.680851063829785</v>
          </cell>
        </row>
        <row r="106">
          <cell r="B106">
            <v>40302</v>
          </cell>
          <cell r="C106" t="str">
            <v>CB736AAA</v>
          </cell>
          <cell r="D106" t="str">
            <v>43</v>
          </cell>
          <cell r="E106">
            <v>51015</v>
          </cell>
          <cell r="F106">
            <v>185</v>
          </cell>
          <cell r="G106">
            <v>50139</v>
          </cell>
          <cell r="H106">
            <v>25</v>
          </cell>
          <cell r="I106">
            <v>50078</v>
          </cell>
          <cell r="J106">
            <v>25</v>
          </cell>
          <cell r="K106" t="str">
            <v/>
          </cell>
          <cell r="L106">
            <v>0</v>
          </cell>
          <cell r="M106">
            <v>42.680851063829785</v>
          </cell>
        </row>
        <row r="107">
          <cell r="B107">
            <v>40303</v>
          </cell>
          <cell r="C107" t="str">
            <v>CB736AAA</v>
          </cell>
          <cell r="D107" t="str">
            <v>43</v>
          </cell>
          <cell r="E107">
            <v>51015</v>
          </cell>
          <cell r="F107">
            <v>185</v>
          </cell>
          <cell r="G107">
            <v>50139</v>
          </cell>
          <cell r="H107">
            <v>25</v>
          </cell>
          <cell r="I107">
            <v>50135</v>
          </cell>
          <cell r="J107">
            <v>25</v>
          </cell>
          <cell r="K107" t="str">
            <v/>
          </cell>
          <cell r="L107">
            <v>0</v>
          </cell>
          <cell r="M107">
            <v>42.680851063829785</v>
          </cell>
        </row>
        <row r="108">
          <cell r="B108">
            <v>40304</v>
          </cell>
          <cell r="C108" t="str">
            <v>CB632AAA</v>
          </cell>
          <cell r="D108" t="str">
            <v>43</v>
          </cell>
          <cell r="E108">
            <v>51015</v>
          </cell>
          <cell r="F108">
            <v>185</v>
          </cell>
          <cell r="G108">
            <v>50151</v>
          </cell>
          <cell r="H108">
            <v>25</v>
          </cell>
          <cell r="I108">
            <v>50103</v>
          </cell>
          <cell r="J108">
            <v>25</v>
          </cell>
          <cell r="K108" t="str">
            <v/>
          </cell>
          <cell r="L108">
            <v>0</v>
          </cell>
          <cell r="M108">
            <v>50.659574468085104</v>
          </cell>
        </row>
        <row r="109">
          <cell r="B109">
            <v>40305</v>
          </cell>
          <cell r="C109" t="str">
            <v>CB411AAA</v>
          </cell>
          <cell r="D109" t="str">
            <v>43</v>
          </cell>
          <cell r="E109">
            <v>51015</v>
          </cell>
          <cell r="F109">
            <v>185</v>
          </cell>
          <cell r="G109">
            <v>50140</v>
          </cell>
          <cell r="H109">
            <v>25</v>
          </cell>
          <cell r="I109">
            <v>50099</v>
          </cell>
          <cell r="J109">
            <v>25</v>
          </cell>
          <cell r="K109" t="str">
            <v/>
          </cell>
          <cell r="L109">
            <v>0</v>
          </cell>
          <cell r="M109">
            <v>50.659574468085104</v>
          </cell>
        </row>
        <row r="110">
          <cell r="B110">
            <v>40308</v>
          </cell>
          <cell r="C110" t="str">
            <v>CB873AAA</v>
          </cell>
          <cell r="D110" t="str">
            <v>43</v>
          </cell>
          <cell r="E110">
            <v>52000</v>
          </cell>
          <cell r="F110">
            <v>4.32</v>
          </cell>
          <cell r="G110">
            <v>50152</v>
          </cell>
          <cell r="H110">
            <v>129</v>
          </cell>
          <cell r="I110">
            <v>50157</v>
          </cell>
          <cell r="J110">
            <v>15</v>
          </cell>
          <cell r="K110">
            <v>10561</v>
          </cell>
          <cell r="L110">
            <v>0</v>
          </cell>
          <cell r="M110">
            <v>199.33252427184468</v>
          </cell>
        </row>
        <row r="111">
          <cell r="B111">
            <v>40401</v>
          </cell>
          <cell r="C111" t="str">
            <v>CB736AAA</v>
          </cell>
          <cell r="D111" t="str">
            <v>44</v>
          </cell>
          <cell r="E111">
            <v>51015</v>
          </cell>
          <cell r="F111">
            <v>185</v>
          </cell>
          <cell r="G111">
            <v>50139</v>
          </cell>
          <cell r="H111">
            <v>25</v>
          </cell>
          <cell r="I111">
            <v>50145</v>
          </cell>
          <cell r="J111">
            <v>25</v>
          </cell>
          <cell r="K111" t="str">
            <v/>
          </cell>
          <cell r="L111">
            <v>0</v>
          </cell>
          <cell r="M111">
            <v>37.893617021276597</v>
          </cell>
        </row>
        <row r="112">
          <cell r="B112">
            <v>40402</v>
          </cell>
          <cell r="C112" t="str">
            <v>CB736AAA</v>
          </cell>
          <cell r="D112" t="str">
            <v>44</v>
          </cell>
          <cell r="E112">
            <v>51015</v>
          </cell>
          <cell r="F112">
            <v>185</v>
          </cell>
          <cell r="G112">
            <v>50139</v>
          </cell>
          <cell r="H112">
            <v>25</v>
          </cell>
          <cell r="I112">
            <v>50145</v>
          </cell>
          <cell r="J112">
            <v>25</v>
          </cell>
          <cell r="K112" t="str">
            <v/>
          </cell>
          <cell r="L112">
            <v>0</v>
          </cell>
          <cell r="M112">
            <v>37.893617021276597</v>
          </cell>
        </row>
        <row r="113">
          <cell r="B113">
            <v>40403</v>
          </cell>
          <cell r="C113" t="str">
            <v>CB736AAA</v>
          </cell>
          <cell r="D113" t="str">
            <v>44</v>
          </cell>
          <cell r="E113">
            <v>51015</v>
          </cell>
          <cell r="F113">
            <v>185</v>
          </cell>
          <cell r="G113">
            <v>50139</v>
          </cell>
          <cell r="H113">
            <v>25</v>
          </cell>
          <cell r="I113">
            <v>50094</v>
          </cell>
          <cell r="J113">
            <v>25</v>
          </cell>
          <cell r="K113" t="str">
            <v/>
          </cell>
          <cell r="L113">
            <v>0</v>
          </cell>
          <cell r="M113">
            <v>42.680851063829785</v>
          </cell>
        </row>
        <row r="114">
          <cell r="B114">
            <v>40404</v>
          </cell>
          <cell r="C114" t="str">
            <v>CB403AAA</v>
          </cell>
          <cell r="D114" t="str">
            <v>44</v>
          </cell>
          <cell r="E114">
            <v>51015</v>
          </cell>
          <cell r="F114">
            <v>185</v>
          </cell>
          <cell r="G114">
            <v>50091</v>
          </cell>
          <cell r="H114">
            <v>25</v>
          </cell>
          <cell r="I114">
            <v>50095</v>
          </cell>
          <cell r="J114">
            <v>25</v>
          </cell>
          <cell r="K114" t="str">
            <v/>
          </cell>
          <cell r="L114">
            <v>0</v>
          </cell>
          <cell r="M114">
            <v>42.680851063829785</v>
          </cell>
        </row>
        <row r="115">
          <cell r="B115">
            <v>40405</v>
          </cell>
          <cell r="C115" t="str">
            <v>CB742AAA</v>
          </cell>
          <cell r="D115" t="str">
            <v>44</v>
          </cell>
          <cell r="E115">
            <v>51015</v>
          </cell>
          <cell r="F115">
            <v>185</v>
          </cell>
          <cell r="G115">
            <v>50124</v>
          </cell>
          <cell r="H115">
            <v>25</v>
          </cell>
          <cell r="I115">
            <v>50093</v>
          </cell>
          <cell r="J115">
            <v>25</v>
          </cell>
          <cell r="K115" t="str">
            <v/>
          </cell>
          <cell r="L115">
            <v>0</v>
          </cell>
          <cell r="M115">
            <v>50.659574468085104</v>
          </cell>
        </row>
        <row r="116">
          <cell r="B116">
            <v>40408</v>
          </cell>
          <cell r="C116" t="str">
            <v>CB700AAA</v>
          </cell>
          <cell r="D116" t="str">
            <v>44</v>
          </cell>
          <cell r="E116">
            <v>52000</v>
          </cell>
          <cell r="F116">
            <v>3.09</v>
          </cell>
          <cell r="G116">
            <v>50156</v>
          </cell>
          <cell r="H116">
            <v>88</v>
          </cell>
          <cell r="I116">
            <v>50079</v>
          </cell>
          <cell r="J116">
            <v>15</v>
          </cell>
          <cell r="K116">
            <v>10593</v>
          </cell>
          <cell r="L116">
            <v>0</v>
          </cell>
          <cell r="M116">
            <v>266.09482514845882</v>
          </cell>
        </row>
        <row r="117">
          <cell r="B117">
            <v>40501</v>
          </cell>
          <cell r="C117" t="str">
            <v>CB736AAA</v>
          </cell>
          <cell r="D117" t="str">
            <v>45</v>
          </cell>
          <cell r="E117">
            <v>51016</v>
          </cell>
          <cell r="F117">
            <v>184</v>
          </cell>
          <cell r="G117">
            <v>50139</v>
          </cell>
          <cell r="H117">
            <v>25</v>
          </cell>
          <cell r="I117">
            <v>50099</v>
          </cell>
          <cell r="J117">
            <v>25</v>
          </cell>
          <cell r="K117" t="str">
            <v/>
          </cell>
          <cell r="L117">
            <v>0</v>
          </cell>
          <cell r="M117">
            <v>52.286324786324784</v>
          </cell>
        </row>
        <row r="118">
          <cell r="B118">
            <v>40502</v>
          </cell>
          <cell r="C118" t="str">
            <v>CB733AAA</v>
          </cell>
          <cell r="D118" t="str">
            <v>45</v>
          </cell>
          <cell r="E118">
            <v>51016</v>
          </cell>
          <cell r="F118">
            <v>184</v>
          </cell>
          <cell r="G118">
            <v>50138</v>
          </cell>
          <cell r="H118">
            <v>25</v>
          </cell>
          <cell r="I118">
            <v>50079</v>
          </cell>
          <cell r="J118">
            <v>25</v>
          </cell>
          <cell r="K118" t="str">
            <v/>
          </cell>
          <cell r="L118">
            <v>0</v>
          </cell>
          <cell r="M118">
            <v>44.273504273504273</v>
          </cell>
        </row>
        <row r="119">
          <cell r="B119">
            <v>40503</v>
          </cell>
          <cell r="C119" t="str">
            <v>CB733AAA</v>
          </cell>
          <cell r="D119" t="str">
            <v>45</v>
          </cell>
          <cell r="E119">
            <v>51016</v>
          </cell>
          <cell r="F119">
            <v>184</v>
          </cell>
          <cell r="G119">
            <v>50138</v>
          </cell>
          <cell r="H119">
            <v>25</v>
          </cell>
          <cell r="I119">
            <v>50095</v>
          </cell>
          <cell r="J119">
            <v>25</v>
          </cell>
          <cell r="K119" t="str">
            <v/>
          </cell>
          <cell r="L119">
            <v>0</v>
          </cell>
          <cell r="M119">
            <v>44.273504273504273</v>
          </cell>
        </row>
        <row r="120">
          <cell r="B120">
            <v>40504</v>
          </cell>
          <cell r="C120" t="str">
            <v>CB507AAA</v>
          </cell>
          <cell r="D120" t="str">
            <v>45</v>
          </cell>
          <cell r="E120">
            <v>51016</v>
          </cell>
          <cell r="F120">
            <v>184</v>
          </cell>
          <cell r="G120">
            <v>50146</v>
          </cell>
          <cell r="H120">
            <v>25</v>
          </cell>
          <cell r="I120">
            <v>50079</v>
          </cell>
          <cell r="J120">
            <v>25</v>
          </cell>
          <cell r="K120" t="str">
            <v/>
          </cell>
          <cell r="L120">
            <v>0</v>
          </cell>
          <cell r="M120">
            <v>44.273504273504273</v>
          </cell>
        </row>
        <row r="121">
          <cell r="B121">
            <v>40505</v>
          </cell>
          <cell r="C121" t="str">
            <v>CB507AAA</v>
          </cell>
          <cell r="D121" t="str">
            <v>45</v>
          </cell>
          <cell r="E121">
            <v>51016</v>
          </cell>
          <cell r="F121">
            <v>184</v>
          </cell>
          <cell r="G121">
            <v>50146</v>
          </cell>
          <cell r="H121">
            <v>25</v>
          </cell>
          <cell r="I121">
            <v>50097</v>
          </cell>
          <cell r="J121">
            <v>25</v>
          </cell>
          <cell r="K121" t="str">
            <v/>
          </cell>
          <cell r="L121">
            <v>0</v>
          </cell>
          <cell r="M121">
            <v>52.286324786324784</v>
          </cell>
        </row>
        <row r="122">
          <cell r="B122">
            <v>40508</v>
          </cell>
          <cell r="C122" t="str">
            <v>CB552AAA</v>
          </cell>
          <cell r="D122" t="str">
            <v>45</v>
          </cell>
          <cell r="E122">
            <v>52000</v>
          </cell>
          <cell r="F122">
            <v>4.32</v>
          </cell>
          <cell r="G122">
            <v>50139</v>
          </cell>
          <cell r="H122">
            <v>129</v>
          </cell>
          <cell r="I122">
            <v>50100</v>
          </cell>
          <cell r="J122">
            <v>15</v>
          </cell>
          <cell r="K122">
            <v>10625</v>
          </cell>
          <cell r="L122">
            <v>0</v>
          </cell>
          <cell r="M122">
            <v>211.46844660194176</v>
          </cell>
        </row>
        <row r="123">
          <cell r="B123">
            <v>50101</v>
          </cell>
          <cell r="C123" t="str">
            <v>CB756AAA</v>
          </cell>
          <cell r="D123" t="str">
            <v>51</v>
          </cell>
          <cell r="E123">
            <v>51017</v>
          </cell>
          <cell r="F123">
            <v>183</v>
          </cell>
          <cell r="G123">
            <v>50145</v>
          </cell>
          <cell r="H123">
            <v>25</v>
          </cell>
          <cell r="I123">
            <v>50097</v>
          </cell>
          <cell r="J123">
            <v>25</v>
          </cell>
          <cell r="K123" t="str">
            <v/>
          </cell>
          <cell r="L123">
            <v>0</v>
          </cell>
          <cell r="M123">
            <v>49.081545064377686</v>
          </cell>
        </row>
        <row r="124">
          <cell r="B124">
            <v>50102</v>
          </cell>
          <cell r="C124" t="str">
            <v>CB372AAA</v>
          </cell>
          <cell r="D124" t="str">
            <v>51</v>
          </cell>
          <cell r="E124">
            <v>51017</v>
          </cell>
          <cell r="F124">
            <v>183</v>
          </cell>
          <cell r="G124">
            <v>50112</v>
          </cell>
          <cell r="H124">
            <v>25</v>
          </cell>
          <cell r="I124">
            <v>50090</v>
          </cell>
          <cell r="J124">
            <v>25</v>
          </cell>
          <cell r="K124" t="str">
            <v/>
          </cell>
          <cell r="L124">
            <v>0</v>
          </cell>
          <cell r="M124">
            <v>53.909871244635191</v>
          </cell>
        </row>
        <row r="125">
          <cell r="B125">
            <v>50103</v>
          </cell>
          <cell r="C125" t="str">
            <v>CB373AAA</v>
          </cell>
          <cell r="D125" t="str">
            <v>51</v>
          </cell>
          <cell r="E125">
            <v>51017</v>
          </cell>
          <cell r="F125">
            <v>183</v>
          </cell>
          <cell r="G125">
            <v>50111</v>
          </cell>
          <cell r="H125">
            <v>25</v>
          </cell>
          <cell r="I125">
            <v>50078</v>
          </cell>
          <cell r="J125">
            <v>25</v>
          </cell>
          <cell r="K125" t="str">
            <v/>
          </cell>
          <cell r="L125">
            <v>0</v>
          </cell>
          <cell r="M125">
            <v>53.909871244635191</v>
          </cell>
        </row>
        <row r="126">
          <cell r="B126">
            <v>50104</v>
          </cell>
          <cell r="C126" t="str">
            <v>CB734AAA</v>
          </cell>
          <cell r="D126" t="str">
            <v>51</v>
          </cell>
          <cell r="E126">
            <v>51017</v>
          </cell>
          <cell r="F126">
            <v>183</v>
          </cell>
          <cell r="G126">
            <v>50147</v>
          </cell>
          <cell r="H126">
            <v>25</v>
          </cell>
          <cell r="I126">
            <v>50093</v>
          </cell>
          <cell r="J126">
            <v>25</v>
          </cell>
          <cell r="K126" t="str">
            <v/>
          </cell>
          <cell r="L126">
            <v>0</v>
          </cell>
          <cell r="M126">
            <v>45.862660944206006</v>
          </cell>
        </row>
        <row r="127">
          <cell r="B127">
            <v>50105</v>
          </cell>
          <cell r="C127" t="str">
            <v>CB956AAA</v>
          </cell>
          <cell r="D127" t="str">
            <v>51</v>
          </cell>
          <cell r="E127">
            <v>51017</v>
          </cell>
          <cell r="F127">
            <v>183</v>
          </cell>
          <cell r="G127">
            <v>50146</v>
          </cell>
          <cell r="H127">
            <v>25</v>
          </cell>
          <cell r="I127">
            <v>50098</v>
          </cell>
          <cell r="J127">
            <v>25</v>
          </cell>
          <cell r="K127" t="str">
            <v/>
          </cell>
          <cell r="L127">
            <v>0</v>
          </cell>
          <cell r="M127">
            <v>53.909871244635191</v>
          </cell>
        </row>
        <row r="128">
          <cell r="B128">
            <v>50108</v>
          </cell>
          <cell r="C128" t="str">
            <v>CB354AAA</v>
          </cell>
          <cell r="D128" t="str">
            <v>51</v>
          </cell>
          <cell r="E128">
            <v>52000</v>
          </cell>
          <cell r="F128">
            <v>4.32</v>
          </cell>
          <cell r="G128">
            <v>50079</v>
          </cell>
          <cell r="H128">
            <v>129</v>
          </cell>
          <cell r="I128">
            <v>50093</v>
          </cell>
          <cell r="J128">
            <v>15</v>
          </cell>
          <cell r="K128">
            <v>10018</v>
          </cell>
          <cell r="L128">
            <v>0</v>
          </cell>
          <cell r="M128">
            <v>203.88349514563109</v>
          </cell>
        </row>
        <row r="129">
          <cell r="B129">
            <v>50201</v>
          </cell>
          <cell r="C129" t="str">
            <v>CB756AAA</v>
          </cell>
          <cell r="D129" t="str">
            <v>52</v>
          </cell>
          <cell r="E129">
            <v>51018</v>
          </cell>
          <cell r="F129">
            <v>182</v>
          </cell>
          <cell r="G129">
            <v>50145</v>
          </cell>
          <cell r="H129">
            <v>25</v>
          </cell>
          <cell r="I129">
            <v>50135</v>
          </cell>
          <cell r="J129">
            <v>25</v>
          </cell>
          <cell r="K129" t="str">
            <v/>
          </cell>
          <cell r="L129">
            <v>0</v>
          </cell>
          <cell r="M129">
            <v>42.599137931034484</v>
          </cell>
        </row>
        <row r="130">
          <cell r="B130">
            <v>50202</v>
          </cell>
          <cell r="C130" t="str">
            <v>CB862AAA</v>
          </cell>
          <cell r="D130" t="str">
            <v>52</v>
          </cell>
          <cell r="E130">
            <v>51018</v>
          </cell>
          <cell r="F130">
            <v>182</v>
          </cell>
          <cell r="G130">
            <v>50078</v>
          </cell>
          <cell r="H130">
            <v>25</v>
          </cell>
          <cell r="I130">
            <v>50098</v>
          </cell>
          <cell r="J130">
            <v>25</v>
          </cell>
          <cell r="K130" t="str">
            <v/>
          </cell>
          <cell r="L130">
            <v>0</v>
          </cell>
          <cell r="M130">
            <v>55.530172413793103</v>
          </cell>
        </row>
        <row r="131">
          <cell r="B131">
            <v>50203</v>
          </cell>
          <cell r="C131" t="str">
            <v>CB892AAA</v>
          </cell>
          <cell r="D131" t="str">
            <v>52</v>
          </cell>
          <cell r="E131">
            <v>51018</v>
          </cell>
          <cell r="F131">
            <v>182</v>
          </cell>
          <cell r="G131">
            <v>50135</v>
          </cell>
          <cell r="H131">
            <v>25</v>
          </cell>
          <cell r="I131">
            <v>50078</v>
          </cell>
          <cell r="J131">
            <v>25</v>
          </cell>
          <cell r="K131" t="str">
            <v/>
          </cell>
          <cell r="L131">
            <v>0</v>
          </cell>
          <cell r="M131">
            <v>47.448275862068968</v>
          </cell>
        </row>
        <row r="132">
          <cell r="B132">
            <v>50204</v>
          </cell>
          <cell r="C132" t="str">
            <v>CB633AAA</v>
          </cell>
          <cell r="D132" t="str">
            <v>52</v>
          </cell>
          <cell r="E132">
            <v>51018</v>
          </cell>
          <cell r="F132">
            <v>182</v>
          </cell>
          <cell r="G132">
            <v>50151</v>
          </cell>
          <cell r="H132">
            <v>25</v>
          </cell>
          <cell r="I132">
            <v>50093</v>
          </cell>
          <cell r="J132">
            <v>25</v>
          </cell>
          <cell r="K132" t="str">
            <v/>
          </cell>
          <cell r="L132">
            <v>0</v>
          </cell>
          <cell r="M132">
            <v>47.448275862068968</v>
          </cell>
        </row>
        <row r="133">
          <cell r="B133">
            <v>50205</v>
          </cell>
          <cell r="C133" t="str">
            <v>CB853AAA</v>
          </cell>
          <cell r="D133" t="str">
            <v>52</v>
          </cell>
          <cell r="E133">
            <v>51018</v>
          </cell>
          <cell r="F133">
            <v>182</v>
          </cell>
          <cell r="G133">
            <v>50093</v>
          </cell>
          <cell r="H133">
            <v>25</v>
          </cell>
          <cell r="I133">
            <v>50090</v>
          </cell>
          <cell r="J133">
            <v>25</v>
          </cell>
          <cell r="K133" t="str">
            <v/>
          </cell>
          <cell r="L133">
            <v>0</v>
          </cell>
          <cell r="M133">
            <v>47.448275862068968</v>
          </cell>
        </row>
        <row r="134">
          <cell r="B134">
            <v>50208</v>
          </cell>
          <cell r="C134" t="str">
            <v>CB353AAA</v>
          </cell>
          <cell r="D134" t="str">
            <v>52</v>
          </cell>
          <cell r="E134">
            <v>52000</v>
          </cell>
          <cell r="F134">
            <v>4.32</v>
          </cell>
          <cell r="G134">
            <v>50135</v>
          </cell>
          <cell r="H134">
            <v>129</v>
          </cell>
          <cell r="I134">
            <v>50093</v>
          </cell>
          <cell r="J134">
            <v>15</v>
          </cell>
          <cell r="K134">
            <v>10050</v>
          </cell>
          <cell r="L134">
            <v>0</v>
          </cell>
          <cell r="M134">
            <v>203.88349514563109</v>
          </cell>
        </row>
        <row r="135">
          <cell r="B135">
            <v>50301</v>
          </cell>
          <cell r="C135" t="str">
            <v>CB862AAA</v>
          </cell>
          <cell r="D135" t="str">
            <v>53</v>
          </cell>
          <cell r="E135">
            <v>51018</v>
          </cell>
          <cell r="F135">
            <v>182</v>
          </cell>
          <cell r="G135">
            <v>50078</v>
          </cell>
          <cell r="H135">
            <v>25</v>
          </cell>
          <cell r="I135">
            <v>50079</v>
          </cell>
          <cell r="J135">
            <v>25</v>
          </cell>
          <cell r="K135" t="str">
            <v/>
          </cell>
          <cell r="L135">
            <v>0</v>
          </cell>
          <cell r="M135">
            <v>47.448275862068968</v>
          </cell>
        </row>
        <row r="136">
          <cell r="B136">
            <v>50302</v>
          </cell>
          <cell r="C136" t="str">
            <v>CB372AAA</v>
          </cell>
          <cell r="D136" t="str">
            <v>53</v>
          </cell>
          <cell r="E136">
            <v>51018</v>
          </cell>
          <cell r="F136">
            <v>182</v>
          </cell>
          <cell r="G136">
            <v>50112</v>
          </cell>
          <cell r="H136">
            <v>25</v>
          </cell>
          <cell r="I136">
            <v>50093</v>
          </cell>
          <cell r="J136">
            <v>25</v>
          </cell>
          <cell r="K136" t="str">
            <v/>
          </cell>
          <cell r="L136">
            <v>0</v>
          </cell>
          <cell r="M136">
            <v>55.530172413793103</v>
          </cell>
        </row>
        <row r="137">
          <cell r="B137">
            <v>50303</v>
          </cell>
          <cell r="C137" t="str">
            <v>CB862AAA</v>
          </cell>
          <cell r="D137" t="str">
            <v>53</v>
          </cell>
          <cell r="E137">
            <v>51018</v>
          </cell>
          <cell r="F137">
            <v>182</v>
          </cell>
          <cell r="G137">
            <v>50078</v>
          </cell>
          <cell r="H137">
            <v>25</v>
          </cell>
          <cell r="I137">
            <v>50078</v>
          </cell>
          <cell r="J137">
            <v>25</v>
          </cell>
          <cell r="K137" t="str">
            <v/>
          </cell>
          <cell r="L137">
            <v>0</v>
          </cell>
          <cell r="M137">
            <v>47.448275862068968</v>
          </cell>
        </row>
        <row r="138">
          <cell r="B138">
            <v>50304</v>
          </cell>
          <cell r="C138" t="str">
            <v>CB766AAA</v>
          </cell>
          <cell r="D138" t="str">
            <v>53</v>
          </cell>
          <cell r="E138">
            <v>51018</v>
          </cell>
          <cell r="F138">
            <v>182</v>
          </cell>
          <cell r="G138">
            <v>50090</v>
          </cell>
          <cell r="H138">
            <v>25</v>
          </cell>
          <cell r="I138">
            <v>50090</v>
          </cell>
          <cell r="J138">
            <v>25</v>
          </cell>
          <cell r="K138" t="str">
            <v/>
          </cell>
          <cell r="L138">
            <v>0</v>
          </cell>
          <cell r="M138">
            <v>47.448275862068968</v>
          </cell>
        </row>
        <row r="139">
          <cell r="B139">
            <v>50305</v>
          </cell>
          <cell r="C139" t="str">
            <v>CB762AAA</v>
          </cell>
          <cell r="D139" t="str">
            <v>53</v>
          </cell>
          <cell r="E139">
            <v>51018</v>
          </cell>
          <cell r="F139">
            <v>182</v>
          </cell>
          <cell r="G139">
            <v>50099</v>
          </cell>
          <cell r="H139">
            <v>25</v>
          </cell>
          <cell r="I139">
            <v>50096</v>
          </cell>
          <cell r="J139">
            <v>25</v>
          </cell>
          <cell r="K139" t="str">
            <v/>
          </cell>
          <cell r="L139">
            <v>0</v>
          </cell>
          <cell r="M139">
            <v>55.530172413793103</v>
          </cell>
        </row>
        <row r="140">
          <cell r="B140">
            <v>50308</v>
          </cell>
          <cell r="C140" t="str">
            <v>CB373AAA</v>
          </cell>
          <cell r="D140" t="str">
            <v>53</v>
          </cell>
          <cell r="E140">
            <v>52000</v>
          </cell>
          <cell r="F140">
            <v>3.09</v>
          </cell>
          <cell r="G140">
            <v>50111</v>
          </cell>
          <cell r="H140">
            <v>88</v>
          </cell>
          <cell r="I140">
            <v>50099</v>
          </cell>
          <cell r="J140">
            <v>15</v>
          </cell>
          <cell r="K140">
            <v>10082</v>
          </cell>
          <cell r="L140">
            <v>0</v>
          </cell>
          <cell r="M140">
            <v>276.69902912621359</v>
          </cell>
        </row>
        <row r="141">
          <cell r="B141">
            <v>50401</v>
          </cell>
          <cell r="C141" t="str">
            <v>CB862AAA</v>
          </cell>
          <cell r="D141" t="str">
            <v>54</v>
          </cell>
          <cell r="E141">
            <v>51019</v>
          </cell>
          <cell r="F141">
            <v>181</v>
          </cell>
          <cell r="G141">
            <v>50078</v>
          </cell>
          <cell r="H141">
            <v>25</v>
          </cell>
          <cell r="I141">
            <v>50094</v>
          </cell>
          <cell r="J141">
            <v>25</v>
          </cell>
          <cell r="K141" t="str">
            <v/>
          </cell>
          <cell r="L141">
            <v>0</v>
          </cell>
          <cell r="M141">
            <v>49.030303030303031</v>
          </cell>
        </row>
        <row r="142">
          <cell r="B142">
            <v>50402</v>
          </cell>
          <cell r="C142" t="str">
            <v>CB222AAA</v>
          </cell>
          <cell r="D142" t="str">
            <v>54</v>
          </cell>
          <cell r="E142">
            <v>51019</v>
          </cell>
          <cell r="F142">
            <v>181</v>
          </cell>
          <cell r="G142">
            <v>50095</v>
          </cell>
          <cell r="H142">
            <v>25</v>
          </cell>
          <cell r="I142">
            <v>50090</v>
          </cell>
          <cell r="J142">
            <v>25</v>
          </cell>
          <cell r="K142" t="str">
            <v/>
          </cell>
          <cell r="L142">
            <v>0</v>
          </cell>
          <cell r="M142">
            <v>49.030303030303031</v>
          </cell>
        </row>
        <row r="143">
          <cell r="B143">
            <v>50403</v>
          </cell>
          <cell r="C143" t="str">
            <v>CB372AAA</v>
          </cell>
          <cell r="D143" t="str">
            <v>54</v>
          </cell>
          <cell r="E143">
            <v>51019</v>
          </cell>
          <cell r="F143">
            <v>181</v>
          </cell>
          <cell r="G143">
            <v>50112</v>
          </cell>
          <cell r="H143">
            <v>25</v>
          </cell>
          <cell r="I143">
            <v>50098</v>
          </cell>
          <cell r="J143">
            <v>25</v>
          </cell>
          <cell r="K143" t="str">
            <v/>
          </cell>
          <cell r="L143">
            <v>0</v>
          </cell>
          <cell r="M143">
            <v>65.264069264069263</v>
          </cell>
        </row>
        <row r="144">
          <cell r="B144">
            <v>50404</v>
          </cell>
          <cell r="C144" t="str">
            <v>CB897AAA</v>
          </cell>
          <cell r="D144" t="str">
            <v>54</v>
          </cell>
          <cell r="E144">
            <v>51019</v>
          </cell>
          <cell r="F144">
            <v>181</v>
          </cell>
          <cell r="G144">
            <v>50148</v>
          </cell>
          <cell r="H144">
            <v>25</v>
          </cell>
          <cell r="I144">
            <v>50145</v>
          </cell>
          <cell r="J144">
            <v>25</v>
          </cell>
          <cell r="K144" t="str">
            <v/>
          </cell>
          <cell r="L144">
            <v>0</v>
          </cell>
          <cell r="M144">
            <v>44.160173160173159</v>
          </cell>
        </row>
        <row r="145">
          <cell r="B145">
            <v>50405</v>
          </cell>
          <cell r="C145" t="str">
            <v>CB766AAA</v>
          </cell>
          <cell r="D145" t="str">
            <v>54</v>
          </cell>
          <cell r="E145">
            <v>51019</v>
          </cell>
          <cell r="F145">
            <v>181</v>
          </cell>
          <cell r="G145">
            <v>50090</v>
          </cell>
          <cell r="H145">
            <v>25</v>
          </cell>
          <cell r="I145">
            <v>50078</v>
          </cell>
          <cell r="J145">
            <v>25</v>
          </cell>
          <cell r="K145" t="str">
            <v/>
          </cell>
          <cell r="L145">
            <v>0</v>
          </cell>
          <cell r="M145">
            <v>49.030303030303031</v>
          </cell>
        </row>
        <row r="146">
          <cell r="B146">
            <v>50408</v>
          </cell>
          <cell r="C146" t="str">
            <v>CB201AAA</v>
          </cell>
          <cell r="D146" t="str">
            <v>54</v>
          </cell>
          <cell r="E146">
            <v>52000</v>
          </cell>
          <cell r="F146">
            <v>3.09</v>
          </cell>
          <cell r="G146">
            <v>50111</v>
          </cell>
          <cell r="H146">
            <v>88</v>
          </cell>
          <cell r="I146">
            <v>50135</v>
          </cell>
          <cell r="J146">
            <v>15</v>
          </cell>
          <cell r="K146">
            <v>10114</v>
          </cell>
          <cell r="L146">
            <v>0</v>
          </cell>
          <cell r="M146">
            <v>266.09482514845882</v>
          </cell>
        </row>
        <row r="147">
          <cell r="B147">
            <v>50501</v>
          </cell>
          <cell r="C147" t="str">
            <v>CB862AAA</v>
          </cell>
          <cell r="D147" t="str">
            <v>55</v>
          </cell>
          <cell r="E147">
            <v>51020</v>
          </cell>
          <cell r="F147">
            <v>180</v>
          </cell>
          <cell r="G147">
            <v>50078</v>
          </cell>
          <cell r="H147">
            <v>25</v>
          </cell>
          <cell r="I147">
            <v>50094</v>
          </cell>
          <cell r="J147">
            <v>25</v>
          </cell>
          <cell r="K147" t="str">
            <v/>
          </cell>
          <cell r="L147">
            <v>0</v>
          </cell>
          <cell r="M147">
            <v>50.608695652173914</v>
          </cell>
        </row>
        <row r="148">
          <cell r="B148">
            <v>50502</v>
          </cell>
          <cell r="C148" t="str">
            <v>CB373AAA</v>
          </cell>
          <cell r="D148" t="str">
            <v>55</v>
          </cell>
          <cell r="E148">
            <v>51020</v>
          </cell>
          <cell r="F148">
            <v>180</v>
          </cell>
          <cell r="G148">
            <v>50111</v>
          </cell>
          <cell r="H148">
            <v>25</v>
          </cell>
          <cell r="I148">
            <v>50100</v>
          </cell>
          <cell r="J148">
            <v>25</v>
          </cell>
          <cell r="K148" t="str">
            <v/>
          </cell>
          <cell r="L148">
            <v>0</v>
          </cell>
          <cell r="M148">
            <v>66.913043478260875</v>
          </cell>
        </row>
        <row r="149">
          <cell r="B149">
            <v>50503</v>
          </cell>
          <cell r="C149" t="str">
            <v>CB892AAA</v>
          </cell>
          <cell r="D149" t="str">
            <v>55</v>
          </cell>
          <cell r="E149">
            <v>51020</v>
          </cell>
          <cell r="F149">
            <v>180</v>
          </cell>
          <cell r="G149">
            <v>50135</v>
          </cell>
          <cell r="H149">
            <v>25</v>
          </cell>
          <cell r="I149">
            <v>50090</v>
          </cell>
          <cell r="J149">
            <v>25</v>
          </cell>
          <cell r="K149" t="str">
            <v/>
          </cell>
          <cell r="L149">
            <v>0</v>
          </cell>
          <cell r="M149">
            <v>50.608695652173914</v>
          </cell>
        </row>
        <row r="150">
          <cell r="B150">
            <v>50504</v>
          </cell>
          <cell r="C150" t="str">
            <v>CB432AAA</v>
          </cell>
          <cell r="D150" t="str">
            <v>55</v>
          </cell>
          <cell r="E150">
            <v>51020</v>
          </cell>
          <cell r="F150">
            <v>180</v>
          </cell>
          <cell r="G150">
            <v>50101</v>
          </cell>
          <cell r="H150">
            <v>25</v>
          </cell>
          <cell r="I150">
            <v>50103</v>
          </cell>
          <cell r="J150">
            <v>25</v>
          </cell>
          <cell r="K150" t="str">
            <v/>
          </cell>
          <cell r="L150">
            <v>0</v>
          </cell>
          <cell r="M150">
            <v>66.913043478260875</v>
          </cell>
        </row>
        <row r="151">
          <cell r="B151">
            <v>50505</v>
          </cell>
          <cell r="C151" t="str">
            <v>CB223AAA</v>
          </cell>
          <cell r="D151" t="str">
            <v>55</v>
          </cell>
          <cell r="E151">
            <v>51020</v>
          </cell>
          <cell r="F151">
            <v>180</v>
          </cell>
          <cell r="G151">
            <v>50119</v>
          </cell>
          <cell r="H151">
            <v>25</v>
          </cell>
          <cell r="I151">
            <v>50100</v>
          </cell>
          <cell r="J151">
            <v>25</v>
          </cell>
          <cell r="K151" t="str">
            <v/>
          </cell>
          <cell r="L151">
            <v>0</v>
          </cell>
          <cell r="M151">
            <v>53.869565217391305</v>
          </cell>
        </row>
        <row r="152">
          <cell r="B152">
            <v>50508</v>
          </cell>
          <cell r="C152" t="str">
            <v>CB052AAA</v>
          </cell>
          <cell r="D152" t="str">
            <v>55</v>
          </cell>
          <cell r="E152">
            <v>52000</v>
          </cell>
          <cell r="F152">
            <v>4.32</v>
          </cell>
          <cell r="G152">
            <v>50096</v>
          </cell>
          <cell r="H152">
            <v>129</v>
          </cell>
          <cell r="I152">
            <v>50078</v>
          </cell>
          <cell r="J152">
            <v>15</v>
          </cell>
          <cell r="K152">
            <v>10146</v>
          </cell>
          <cell r="L152">
            <v>0</v>
          </cell>
          <cell r="M152">
            <v>203.88349514563109</v>
          </cell>
        </row>
        <row r="153">
          <cell r="B153">
            <v>60101</v>
          </cell>
          <cell r="C153" t="str">
            <v>CB896AAA</v>
          </cell>
          <cell r="D153" t="str">
            <v>61</v>
          </cell>
          <cell r="E153">
            <v>51021</v>
          </cell>
          <cell r="F153">
            <v>179</v>
          </cell>
          <cell r="G153">
            <v>50150</v>
          </cell>
          <cell r="H153">
            <v>25</v>
          </cell>
          <cell r="I153">
            <v>50092</v>
          </cell>
          <cell r="J153">
            <v>25</v>
          </cell>
          <cell r="K153" t="str">
            <v/>
          </cell>
          <cell r="L153">
            <v>0</v>
          </cell>
          <cell r="M153">
            <v>52.183406113537117</v>
          </cell>
        </row>
        <row r="154">
          <cell r="B154">
            <v>60102</v>
          </cell>
          <cell r="C154" t="str">
            <v>CB401AAA</v>
          </cell>
          <cell r="D154" t="str">
            <v>61</v>
          </cell>
          <cell r="E154">
            <v>51021</v>
          </cell>
          <cell r="F154">
            <v>179</v>
          </cell>
          <cell r="G154">
            <v>50090</v>
          </cell>
          <cell r="H154">
            <v>25</v>
          </cell>
          <cell r="I154">
            <v>50097</v>
          </cell>
          <cell r="J154">
            <v>25</v>
          </cell>
          <cell r="K154" t="str">
            <v/>
          </cell>
          <cell r="L154">
            <v>0</v>
          </cell>
          <cell r="M154">
            <v>60.37117903930131</v>
          </cell>
        </row>
        <row r="155">
          <cell r="B155">
            <v>60103</v>
          </cell>
          <cell r="C155" t="str">
            <v>CB766AAA</v>
          </cell>
          <cell r="D155" t="str">
            <v>61</v>
          </cell>
          <cell r="E155">
            <v>51021</v>
          </cell>
          <cell r="F155">
            <v>179</v>
          </cell>
          <cell r="G155">
            <v>50090</v>
          </cell>
          <cell r="H155">
            <v>25</v>
          </cell>
          <cell r="I155">
            <v>50157</v>
          </cell>
          <cell r="J155">
            <v>25</v>
          </cell>
          <cell r="K155" t="str">
            <v/>
          </cell>
          <cell r="L155">
            <v>0</v>
          </cell>
          <cell r="M155">
            <v>47.2707423580786</v>
          </cell>
        </row>
        <row r="156">
          <cell r="B156">
            <v>60104</v>
          </cell>
          <cell r="C156" t="str">
            <v>CB862AAA</v>
          </cell>
          <cell r="D156" t="str">
            <v>61</v>
          </cell>
          <cell r="E156">
            <v>51021</v>
          </cell>
          <cell r="F156">
            <v>179</v>
          </cell>
          <cell r="G156">
            <v>50078</v>
          </cell>
          <cell r="H156">
            <v>25</v>
          </cell>
          <cell r="I156">
            <v>50093</v>
          </cell>
          <cell r="J156">
            <v>25</v>
          </cell>
          <cell r="K156" t="str">
            <v/>
          </cell>
          <cell r="L156">
            <v>0</v>
          </cell>
          <cell r="M156">
            <v>52.183406113537117</v>
          </cell>
        </row>
        <row r="157">
          <cell r="B157">
            <v>60105</v>
          </cell>
          <cell r="C157" t="str">
            <v>CB756AAA</v>
          </cell>
          <cell r="D157" t="str">
            <v>61</v>
          </cell>
          <cell r="E157">
            <v>51021</v>
          </cell>
          <cell r="F157">
            <v>179</v>
          </cell>
          <cell r="G157">
            <v>50145</v>
          </cell>
          <cell r="H157">
            <v>25</v>
          </cell>
          <cell r="I157">
            <v>50145</v>
          </cell>
          <cell r="J157">
            <v>25</v>
          </cell>
          <cell r="K157" t="str">
            <v/>
          </cell>
          <cell r="L157">
            <v>0</v>
          </cell>
          <cell r="M157">
            <v>42.35807860262009</v>
          </cell>
        </row>
        <row r="158">
          <cell r="B158">
            <v>60108</v>
          </cell>
          <cell r="C158" t="str">
            <v>CB731AAA</v>
          </cell>
          <cell r="D158" t="str">
            <v>61</v>
          </cell>
          <cell r="E158">
            <v>52000</v>
          </cell>
          <cell r="F158">
            <v>3.09</v>
          </cell>
          <cell r="G158">
            <v>50144</v>
          </cell>
          <cell r="H158">
            <v>88</v>
          </cell>
          <cell r="I158">
            <v>50102</v>
          </cell>
          <cell r="J158">
            <v>15</v>
          </cell>
          <cell r="K158">
            <v>10178</v>
          </cell>
          <cell r="L158">
            <v>0</v>
          </cell>
          <cell r="M158">
            <v>276.69902912621359</v>
          </cell>
        </row>
        <row r="159">
          <cell r="B159">
            <v>60201</v>
          </cell>
          <cell r="C159" t="str">
            <v>CB897AAA</v>
          </cell>
          <cell r="D159" t="str">
            <v>62</v>
          </cell>
          <cell r="E159">
            <v>51021</v>
          </cell>
          <cell r="F159">
            <v>179</v>
          </cell>
          <cell r="G159">
            <v>50148</v>
          </cell>
          <cell r="H159">
            <v>25</v>
          </cell>
          <cell r="I159">
            <v>50098</v>
          </cell>
          <cell r="J159">
            <v>25</v>
          </cell>
          <cell r="K159" t="str">
            <v/>
          </cell>
          <cell r="L159">
            <v>0</v>
          </cell>
          <cell r="M159">
            <v>60.37117903930131</v>
          </cell>
        </row>
        <row r="160">
          <cell r="B160">
            <v>60202</v>
          </cell>
          <cell r="C160" t="str">
            <v>CB403AAA</v>
          </cell>
          <cell r="D160" t="str">
            <v>62</v>
          </cell>
          <cell r="E160">
            <v>51021</v>
          </cell>
          <cell r="F160">
            <v>179</v>
          </cell>
          <cell r="G160">
            <v>50091</v>
          </cell>
          <cell r="H160">
            <v>25</v>
          </cell>
          <cell r="I160">
            <v>50101</v>
          </cell>
          <cell r="J160">
            <v>25</v>
          </cell>
          <cell r="K160" t="str">
            <v/>
          </cell>
          <cell r="L160">
            <v>0</v>
          </cell>
          <cell r="M160">
            <v>60.37117903930131</v>
          </cell>
        </row>
        <row r="161">
          <cell r="B161">
            <v>60203</v>
          </cell>
          <cell r="C161" t="str">
            <v>CB766AAA</v>
          </cell>
          <cell r="D161" t="str">
            <v>62</v>
          </cell>
          <cell r="E161">
            <v>51021</v>
          </cell>
          <cell r="F161">
            <v>179</v>
          </cell>
          <cell r="G161">
            <v>50090</v>
          </cell>
          <cell r="H161">
            <v>25</v>
          </cell>
          <cell r="I161">
            <v>50092</v>
          </cell>
          <cell r="J161">
            <v>25</v>
          </cell>
          <cell r="K161" t="str">
            <v/>
          </cell>
          <cell r="L161">
            <v>0</v>
          </cell>
          <cell r="M161">
            <v>52.183406113537117</v>
          </cell>
        </row>
        <row r="162">
          <cell r="B162">
            <v>60204</v>
          </cell>
          <cell r="C162" t="str">
            <v>CB862AAA</v>
          </cell>
          <cell r="D162" t="str">
            <v>62</v>
          </cell>
          <cell r="E162">
            <v>51021</v>
          </cell>
          <cell r="F162">
            <v>179</v>
          </cell>
          <cell r="G162">
            <v>50078</v>
          </cell>
          <cell r="H162">
            <v>25</v>
          </cell>
          <cell r="I162">
            <v>50119</v>
          </cell>
          <cell r="J162">
            <v>25</v>
          </cell>
          <cell r="K162" t="str">
            <v/>
          </cell>
          <cell r="L162">
            <v>0</v>
          </cell>
          <cell r="M162">
            <v>47.2707423580786</v>
          </cell>
        </row>
        <row r="163">
          <cell r="B163">
            <v>60205</v>
          </cell>
          <cell r="C163" t="str">
            <v>CB736AAA</v>
          </cell>
          <cell r="D163" t="str">
            <v>62</v>
          </cell>
          <cell r="E163">
            <v>51021</v>
          </cell>
          <cell r="F163">
            <v>179</v>
          </cell>
          <cell r="G163">
            <v>50139</v>
          </cell>
          <cell r="H163">
            <v>25</v>
          </cell>
          <cell r="I163">
            <v>50103</v>
          </cell>
          <cell r="J163">
            <v>25</v>
          </cell>
          <cell r="K163" t="str">
            <v/>
          </cell>
          <cell r="L163">
            <v>0</v>
          </cell>
          <cell r="M163">
            <v>60.37117903930131</v>
          </cell>
        </row>
        <row r="164">
          <cell r="B164">
            <v>60208</v>
          </cell>
          <cell r="C164" t="str">
            <v>CB531AAA</v>
          </cell>
          <cell r="D164" t="str">
            <v>62</v>
          </cell>
          <cell r="E164">
            <v>52000</v>
          </cell>
          <cell r="F164">
            <v>3.09</v>
          </cell>
          <cell r="G164">
            <v>50118</v>
          </cell>
          <cell r="H164">
            <v>88</v>
          </cell>
          <cell r="I164">
            <v>50091</v>
          </cell>
          <cell r="J164">
            <v>15</v>
          </cell>
          <cell r="K164">
            <v>10210</v>
          </cell>
          <cell r="L164">
            <v>0</v>
          </cell>
          <cell r="M164">
            <v>266.09482514845882</v>
          </cell>
        </row>
        <row r="165">
          <cell r="B165">
            <v>60301</v>
          </cell>
          <cell r="C165" t="str">
            <v>CB898AAA</v>
          </cell>
          <cell r="D165" t="str">
            <v>63</v>
          </cell>
          <cell r="E165">
            <v>51022</v>
          </cell>
          <cell r="F165">
            <v>178</v>
          </cell>
          <cell r="G165">
            <v>50100</v>
          </cell>
          <cell r="H165">
            <v>25</v>
          </cell>
          <cell r="I165">
            <v>50157</v>
          </cell>
          <cell r="J165">
            <v>25</v>
          </cell>
          <cell r="K165" t="str">
            <v/>
          </cell>
          <cell r="L165">
            <v>0</v>
          </cell>
          <cell r="M165">
            <v>57.043859649122808</v>
          </cell>
        </row>
        <row r="166">
          <cell r="B166">
            <v>60302</v>
          </cell>
          <cell r="C166" t="str">
            <v>CB896AAA</v>
          </cell>
          <cell r="D166" t="str">
            <v>63</v>
          </cell>
          <cell r="E166">
            <v>51022</v>
          </cell>
          <cell r="F166">
            <v>178</v>
          </cell>
          <cell r="G166">
            <v>50150</v>
          </cell>
          <cell r="H166">
            <v>25</v>
          </cell>
          <cell r="I166">
            <v>50103</v>
          </cell>
          <cell r="J166">
            <v>25</v>
          </cell>
          <cell r="K166" t="str">
            <v/>
          </cell>
          <cell r="L166">
            <v>0</v>
          </cell>
          <cell r="M166">
            <v>61.978070175438596</v>
          </cell>
        </row>
        <row r="167">
          <cell r="B167">
            <v>60303</v>
          </cell>
          <cell r="C167" t="str">
            <v>CB401AAA</v>
          </cell>
          <cell r="D167" t="str">
            <v>63</v>
          </cell>
          <cell r="E167">
            <v>51022</v>
          </cell>
          <cell r="F167">
            <v>178</v>
          </cell>
          <cell r="G167">
            <v>50090</v>
          </cell>
          <cell r="H167">
            <v>25</v>
          </cell>
          <cell r="I167">
            <v>50119</v>
          </cell>
          <cell r="J167">
            <v>25</v>
          </cell>
          <cell r="K167" t="str">
            <v/>
          </cell>
          <cell r="L167">
            <v>0</v>
          </cell>
          <cell r="M167">
            <v>48.820175438596493</v>
          </cell>
        </row>
        <row r="168">
          <cell r="B168">
            <v>60304</v>
          </cell>
          <cell r="C168" t="str">
            <v>CB896AAA</v>
          </cell>
          <cell r="D168" t="str">
            <v>63</v>
          </cell>
          <cell r="E168">
            <v>51022</v>
          </cell>
          <cell r="F168">
            <v>178</v>
          </cell>
          <cell r="G168">
            <v>50150</v>
          </cell>
          <cell r="H168">
            <v>25</v>
          </cell>
          <cell r="I168">
            <v>50099</v>
          </cell>
          <cell r="J168">
            <v>25</v>
          </cell>
          <cell r="K168" t="str">
            <v/>
          </cell>
          <cell r="L168">
            <v>0</v>
          </cell>
          <cell r="M168">
            <v>61.978070175438596</v>
          </cell>
        </row>
        <row r="169">
          <cell r="B169">
            <v>60305</v>
          </cell>
          <cell r="C169" t="str">
            <v>CB411AAA</v>
          </cell>
          <cell r="D169" t="str">
            <v>63</v>
          </cell>
          <cell r="E169">
            <v>51022</v>
          </cell>
          <cell r="F169">
            <v>178</v>
          </cell>
          <cell r="G169">
            <v>50140</v>
          </cell>
          <cell r="H169">
            <v>25</v>
          </cell>
          <cell r="I169">
            <v>50119</v>
          </cell>
          <cell r="J169">
            <v>25</v>
          </cell>
          <cell r="K169" t="str">
            <v/>
          </cell>
          <cell r="L169">
            <v>0</v>
          </cell>
          <cell r="M169">
            <v>48.820175438596493</v>
          </cell>
        </row>
        <row r="170">
          <cell r="B170">
            <v>60308</v>
          </cell>
          <cell r="C170" t="str">
            <v>CB852AAA</v>
          </cell>
          <cell r="D170" t="str">
            <v>63</v>
          </cell>
          <cell r="E170">
            <v>52000</v>
          </cell>
          <cell r="F170">
            <v>3.09</v>
          </cell>
          <cell r="G170">
            <v>50103</v>
          </cell>
          <cell r="H170">
            <v>88</v>
          </cell>
          <cell r="I170">
            <v>50097</v>
          </cell>
          <cell r="J170">
            <v>15</v>
          </cell>
          <cell r="K170">
            <v>10242</v>
          </cell>
          <cell r="L170">
            <v>0</v>
          </cell>
          <cell r="M170">
            <v>276.69902912621359</v>
          </cell>
        </row>
        <row r="171">
          <cell r="B171">
            <v>60401</v>
          </cell>
          <cell r="C171" t="str">
            <v>CB899AAA</v>
          </cell>
          <cell r="D171" t="str">
            <v>64</v>
          </cell>
          <cell r="E171">
            <v>51023</v>
          </cell>
          <cell r="F171">
            <v>177</v>
          </cell>
          <cell r="G171">
            <v>50079</v>
          </cell>
          <cell r="H171">
            <v>25</v>
          </cell>
          <cell r="I171">
            <v>50095</v>
          </cell>
          <cell r="J171">
            <v>25</v>
          </cell>
          <cell r="K171" t="str">
            <v/>
          </cell>
          <cell r="L171">
            <v>0</v>
          </cell>
          <cell r="M171">
            <v>55.321585903083701</v>
          </cell>
        </row>
        <row r="172">
          <cell r="B172">
            <v>60402</v>
          </cell>
          <cell r="C172" t="str">
            <v>CB401AAA</v>
          </cell>
          <cell r="D172" t="str">
            <v>64</v>
          </cell>
          <cell r="E172">
            <v>51023</v>
          </cell>
          <cell r="F172">
            <v>177</v>
          </cell>
          <cell r="G172">
            <v>50090</v>
          </cell>
          <cell r="H172">
            <v>25</v>
          </cell>
          <cell r="I172">
            <v>50096</v>
          </cell>
          <cell r="J172">
            <v>25</v>
          </cell>
          <cell r="K172" t="str">
            <v/>
          </cell>
          <cell r="L172">
            <v>0</v>
          </cell>
          <cell r="M172">
            <v>55.321585903083701</v>
          </cell>
        </row>
        <row r="173">
          <cell r="B173">
            <v>60403</v>
          </cell>
          <cell r="C173" t="str">
            <v>CB401AAA</v>
          </cell>
          <cell r="D173" t="str">
            <v>64</v>
          </cell>
          <cell r="E173">
            <v>51023</v>
          </cell>
          <cell r="F173">
            <v>177</v>
          </cell>
          <cell r="G173">
            <v>50090</v>
          </cell>
          <cell r="H173">
            <v>25</v>
          </cell>
          <cell r="I173">
            <v>50135</v>
          </cell>
          <cell r="J173">
            <v>25</v>
          </cell>
          <cell r="K173" t="str">
            <v/>
          </cell>
          <cell r="L173">
            <v>0</v>
          </cell>
          <cell r="M173">
            <v>55.321585903083701</v>
          </cell>
        </row>
        <row r="174">
          <cell r="B174">
            <v>60404</v>
          </cell>
          <cell r="C174" t="str">
            <v>CB896AAA</v>
          </cell>
          <cell r="D174" t="str">
            <v>64</v>
          </cell>
          <cell r="E174">
            <v>51023</v>
          </cell>
          <cell r="F174">
            <v>177</v>
          </cell>
          <cell r="G174">
            <v>50150</v>
          </cell>
          <cell r="H174">
            <v>25</v>
          </cell>
          <cell r="I174">
            <v>50101</v>
          </cell>
          <cell r="J174">
            <v>25</v>
          </cell>
          <cell r="K174" t="str">
            <v/>
          </cell>
          <cell r="L174">
            <v>0</v>
          </cell>
          <cell r="M174">
            <v>63.581497797356825</v>
          </cell>
        </row>
        <row r="175">
          <cell r="B175">
            <v>60405</v>
          </cell>
          <cell r="C175" t="str">
            <v>CB853AAA</v>
          </cell>
          <cell r="D175" t="str">
            <v>64</v>
          </cell>
          <cell r="E175">
            <v>51023</v>
          </cell>
          <cell r="F175">
            <v>177</v>
          </cell>
          <cell r="G175">
            <v>50093</v>
          </cell>
          <cell r="H175">
            <v>25</v>
          </cell>
          <cell r="I175">
            <v>50079</v>
          </cell>
          <cell r="J175">
            <v>25</v>
          </cell>
          <cell r="K175" t="str">
            <v/>
          </cell>
          <cell r="L175">
            <v>0</v>
          </cell>
          <cell r="M175">
            <v>55.321585903083701</v>
          </cell>
        </row>
        <row r="176">
          <cell r="B176">
            <v>60408</v>
          </cell>
          <cell r="C176" t="str">
            <v>CB503AAA</v>
          </cell>
          <cell r="D176" t="str">
            <v>64</v>
          </cell>
          <cell r="E176">
            <v>52000</v>
          </cell>
          <cell r="F176">
            <v>4.32</v>
          </cell>
          <cell r="G176">
            <v>50146</v>
          </cell>
          <cell r="H176">
            <v>129</v>
          </cell>
          <cell r="I176">
            <v>50100</v>
          </cell>
          <cell r="J176">
            <v>15</v>
          </cell>
          <cell r="K176">
            <v>10274</v>
          </cell>
          <cell r="L176">
            <v>0</v>
          </cell>
          <cell r="M176">
            <v>211.46844660194176</v>
          </cell>
        </row>
        <row r="177">
          <cell r="B177">
            <v>60501</v>
          </cell>
          <cell r="C177" t="str">
            <v>CB900AAA</v>
          </cell>
          <cell r="D177" t="str">
            <v>65</v>
          </cell>
          <cell r="E177">
            <v>51024</v>
          </cell>
          <cell r="F177">
            <v>176</v>
          </cell>
          <cell r="G177">
            <v>50094</v>
          </cell>
          <cell r="H177">
            <v>25</v>
          </cell>
          <cell r="I177">
            <v>50093</v>
          </cell>
          <cell r="J177">
            <v>25</v>
          </cell>
          <cell r="K177" t="str">
            <v/>
          </cell>
          <cell r="L177">
            <v>0</v>
          </cell>
          <cell r="M177">
            <v>56.884955752212392</v>
          </cell>
        </row>
        <row r="178">
          <cell r="B178">
            <v>60502</v>
          </cell>
          <cell r="C178" t="str">
            <v>CB403AAA</v>
          </cell>
          <cell r="D178" t="str">
            <v>65</v>
          </cell>
          <cell r="E178">
            <v>51024</v>
          </cell>
          <cell r="F178">
            <v>176</v>
          </cell>
          <cell r="G178">
            <v>50091</v>
          </cell>
          <cell r="H178">
            <v>25</v>
          </cell>
          <cell r="I178">
            <v>50101</v>
          </cell>
          <cell r="J178">
            <v>25</v>
          </cell>
          <cell r="K178" t="str">
            <v/>
          </cell>
          <cell r="L178">
            <v>0</v>
          </cell>
          <cell r="M178">
            <v>65.181415929203538</v>
          </cell>
        </row>
        <row r="179">
          <cell r="B179">
            <v>60503</v>
          </cell>
          <cell r="C179" t="str">
            <v>CB401AAA</v>
          </cell>
          <cell r="D179" t="str">
            <v>65</v>
          </cell>
          <cell r="E179">
            <v>51024</v>
          </cell>
          <cell r="F179">
            <v>176</v>
          </cell>
          <cell r="G179">
            <v>50090</v>
          </cell>
          <cell r="H179">
            <v>25</v>
          </cell>
          <cell r="I179">
            <v>50095</v>
          </cell>
          <cell r="J179">
            <v>25</v>
          </cell>
          <cell r="K179" t="str">
            <v/>
          </cell>
          <cell r="L179">
            <v>0</v>
          </cell>
          <cell r="M179">
            <v>56.884955752212392</v>
          </cell>
        </row>
        <row r="180">
          <cell r="B180">
            <v>60504</v>
          </cell>
          <cell r="C180" t="str">
            <v>CB862AAA</v>
          </cell>
          <cell r="D180" t="str">
            <v>65</v>
          </cell>
          <cell r="E180">
            <v>51024</v>
          </cell>
          <cell r="F180">
            <v>176</v>
          </cell>
          <cell r="G180">
            <v>50078</v>
          </cell>
          <cell r="H180">
            <v>25</v>
          </cell>
          <cell r="I180">
            <v>50099</v>
          </cell>
          <cell r="J180">
            <v>25</v>
          </cell>
          <cell r="K180" t="str">
            <v/>
          </cell>
          <cell r="L180">
            <v>0</v>
          </cell>
          <cell r="M180">
            <v>65.181415929203538</v>
          </cell>
        </row>
        <row r="181">
          <cell r="B181">
            <v>60505</v>
          </cell>
          <cell r="C181" t="str">
            <v>CB633AAA</v>
          </cell>
          <cell r="D181" t="str">
            <v>65</v>
          </cell>
          <cell r="E181">
            <v>51024</v>
          </cell>
          <cell r="F181">
            <v>176</v>
          </cell>
          <cell r="G181">
            <v>50151</v>
          </cell>
          <cell r="H181">
            <v>25</v>
          </cell>
          <cell r="I181">
            <v>50102</v>
          </cell>
          <cell r="J181">
            <v>25</v>
          </cell>
          <cell r="K181" t="str">
            <v/>
          </cell>
          <cell r="L181">
            <v>0</v>
          </cell>
          <cell r="M181">
            <v>65.181415929203538</v>
          </cell>
        </row>
        <row r="182">
          <cell r="B182">
            <v>60508</v>
          </cell>
          <cell r="C182" t="str">
            <v>CB461AAA</v>
          </cell>
          <cell r="D182" t="str">
            <v>65</v>
          </cell>
          <cell r="E182">
            <v>52000</v>
          </cell>
          <cell r="F182">
            <v>0.89999999999999991</v>
          </cell>
          <cell r="G182">
            <v>50131</v>
          </cell>
          <cell r="H182">
            <v>15</v>
          </cell>
          <cell r="I182">
            <v>50094</v>
          </cell>
          <cell r="J182">
            <v>15</v>
          </cell>
          <cell r="K182">
            <v>10306</v>
          </cell>
          <cell r="L182">
            <v>0</v>
          </cell>
          <cell r="M182">
            <v>436.89320388349518</v>
          </cell>
        </row>
        <row r="183">
          <cell r="B183">
            <v>70101</v>
          </cell>
          <cell r="C183" t="str">
            <v>CB897AAA</v>
          </cell>
          <cell r="D183" t="str">
            <v>71</v>
          </cell>
          <cell r="E183">
            <v>51024</v>
          </cell>
          <cell r="F183">
            <v>176</v>
          </cell>
          <cell r="G183">
            <v>50148</v>
          </cell>
          <cell r="H183">
            <v>25</v>
          </cell>
          <cell r="I183">
            <v>50101</v>
          </cell>
          <cell r="J183">
            <v>25</v>
          </cell>
          <cell r="K183" t="str">
            <v/>
          </cell>
          <cell r="L183">
            <v>0</v>
          </cell>
          <cell r="M183">
            <v>65.181415929203538</v>
          </cell>
        </row>
        <row r="184">
          <cell r="B184">
            <v>70102</v>
          </cell>
          <cell r="C184" t="str">
            <v>CB764AAA</v>
          </cell>
          <cell r="D184" t="str">
            <v>71</v>
          </cell>
          <cell r="E184">
            <v>51024</v>
          </cell>
          <cell r="F184">
            <v>176</v>
          </cell>
          <cell r="G184">
            <v>50096</v>
          </cell>
          <cell r="H184">
            <v>25</v>
          </cell>
          <cell r="I184">
            <v>50099</v>
          </cell>
          <cell r="J184">
            <v>25</v>
          </cell>
          <cell r="K184" t="str">
            <v/>
          </cell>
          <cell r="L184">
            <v>0</v>
          </cell>
          <cell r="M184">
            <v>65.181415929203538</v>
          </cell>
        </row>
        <row r="185">
          <cell r="B185">
            <v>70103</v>
          </cell>
          <cell r="C185" t="str">
            <v>CB897AAA</v>
          </cell>
          <cell r="D185" t="str">
            <v>71</v>
          </cell>
          <cell r="E185">
            <v>51024</v>
          </cell>
          <cell r="F185">
            <v>176</v>
          </cell>
          <cell r="G185">
            <v>50148</v>
          </cell>
          <cell r="H185">
            <v>25</v>
          </cell>
          <cell r="I185">
            <v>50092</v>
          </cell>
          <cell r="J185">
            <v>25</v>
          </cell>
          <cell r="K185" t="str">
            <v/>
          </cell>
          <cell r="L185">
            <v>0</v>
          </cell>
          <cell r="M185">
            <v>56.884955752212392</v>
          </cell>
        </row>
        <row r="186">
          <cell r="B186">
            <v>70104</v>
          </cell>
          <cell r="C186" t="str">
            <v>CB862AAA</v>
          </cell>
          <cell r="D186" t="str">
            <v>71</v>
          </cell>
          <cell r="E186">
            <v>51024</v>
          </cell>
          <cell r="F186">
            <v>176</v>
          </cell>
          <cell r="G186">
            <v>50078</v>
          </cell>
          <cell r="H186">
            <v>25</v>
          </cell>
          <cell r="I186">
            <v>50103</v>
          </cell>
          <cell r="J186">
            <v>25</v>
          </cell>
          <cell r="K186" t="str">
            <v/>
          </cell>
          <cell r="L186">
            <v>0</v>
          </cell>
          <cell r="M186">
            <v>65.181415929203538</v>
          </cell>
        </row>
        <row r="187">
          <cell r="B187">
            <v>70105</v>
          </cell>
          <cell r="C187" t="str">
            <v>CB896AAA</v>
          </cell>
          <cell r="D187" t="str">
            <v>71</v>
          </cell>
          <cell r="E187">
            <v>51024</v>
          </cell>
          <cell r="F187">
            <v>176</v>
          </cell>
          <cell r="G187">
            <v>50150</v>
          </cell>
          <cell r="H187">
            <v>25</v>
          </cell>
          <cell r="I187">
            <v>50101</v>
          </cell>
          <cell r="J187">
            <v>25</v>
          </cell>
          <cell r="K187" t="str">
            <v/>
          </cell>
          <cell r="L187">
            <v>0</v>
          </cell>
          <cell r="M187">
            <v>65.181415929203538</v>
          </cell>
        </row>
        <row r="188">
          <cell r="B188">
            <v>70108</v>
          </cell>
          <cell r="C188" t="str">
            <v>CB332AAA</v>
          </cell>
          <cell r="D188" t="str">
            <v>71</v>
          </cell>
          <cell r="E188">
            <v>52000</v>
          </cell>
          <cell r="F188">
            <v>0.89999999999999991</v>
          </cell>
          <cell r="G188">
            <v>50134</v>
          </cell>
          <cell r="H188">
            <v>15</v>
          </cell>
          <cell r="I188">
            <v>50157</v>
          </cell>
          <cell r="J188">
            <v>15</v>
          </cell>
          <cell r="K188">
            <v>10338</v>
          </cell>
          <cell r="L188">
            <v>0</v>
          </cell>
          <cell r="M188">
            <v>415.04854368932041</v>
          </cell>
        </row>
        <row r="189">
          <cell r="B189">
            <v>70201</v>
          </cell>
          <cell r="C189" t="str">
            <v>CB897AAA</v>
          </cell>
          <cell r="D189" t="str">
            <v>72</v>
          </cell>
          <cell r="E189">
            <v>51025</v>
          </cell>
          <cell r="F189">
            <v>175</v>
          </cell>
          <cell r="G189">
            <v>50148</v>
          </cell>
          <cell r="H189">
            <v>25</v>
          </cell>
          <cell r="I189">
            <v>50102</v>
          </cell>
          <cell r="J189">
            <v>25</v>
          </cell>
          <cell r="K189" t="str">
            <v/>
          </cell>
          <cell r="L189">
            <v>0</v>
          </cell>
          <cell r="M189">
            <v>66.777777777777771</v>
          </cell>
        </row>
        <row r="190">
          <cell r="B190">
            <v>70202</v>
          </cell>
          <cell r="C190" t="str">
            <v>CB762AAA</v>
          </cell>
          <cell r="D190" t="str">
            <v>72</v>
          </cell>
          <cell r="E190">
            <v>51025</v>
          </cell>
          <cell r="F190">
            <v>175</v>
          </cell>
          <cell r="G190">
            <v>50099</v>
          </cell>
          <cell r="H190">
            <v>25</v>
          </cell>
          <cell r="I190">
            <v>50135</v>
          </cell>
          <cell r="J190">
            <v>25</v>
          </cell>
          <cell r="K190" t="str">
            <v/>
          </cell>
          <cell r="L190">
            <v>0</v>
          </cell>
          <cell r="M190">
            <v>66.777777777777771</v>
          </cell>
        </row>
        <row r="191">
          <cell r="B191">
            <v>70203</v>
          </cell>
          <cell r="C191" t="str">
            <v>CB371AAA</v>
          </cell>
          <cell r="D191" t="str">
            <v>72</v>
          </cell>
          <cell r="E191">
            <v>51025</v>
          </cell>
          <cell r="F191">
            <v>175</v>
          </cell>
          <cell r="G191">
            <v>50111</v>
          </cell>
          <cell r="H191">
            <v>25</v>
          </cell>
          <cell r="I191">
            <v>50157</v>
          </cell>
          <cell r="J191">
            <v>25</v>
          </cell>
          <cell r="K191" t="str">
            <v/>
          </cell>
          <cell r="L191">
            <v>0</v>
          </cell>
          <cell r="M191">
            <v>61.777777777777779</v>
          </cell>
        </row>
        <row r="192">
          <cell r="B192">
            <v>70204</v>
          </cell>
          <cell r="C192" t="str">
            <v>CB764AAA</v>
          </cell>
          <cell r="D192" t="str">
            <v>72</v>
          </cell>
          <cell r="E192">
            <v>51025</v>
          </cell>
          <cell r="F192">
            <v>175</v>
          </cell>
          <cell r="G192">
            <v>50096</v>
          </cell>
          <cell r="H192">
            <v>25</v>
          </cell>
          <cell r="I192">
            <v>50093</v>
          </cell>
          <cell r="J192">
            <v>25</v>
          </cell>
          <cell r="K192" t="str">
            <v/>
          </cell>
          <cell r="L192">
            <v>0</v>
          </cell>
          <cell r="M192">
            <v>58.444444444444443</v>
          </cell>
        </row>
        <row r="193">
          <cell r="B193">
            <v>70205</v>
          </cell>
          <cell r="C193" t="str">
            <v>CB760AAA</v>
          </cell>
          <cell r="D193" t="str">
            <v>72</v>
          </cell>
          <cell r="E193">
            <v>51025</v>
          </cell>
          <cell r="F193">
            <v>175</v>
          </cell>
          <cell r="G193">
            <v>50138</v>
          </cell>
          <cell r="H193">
            <v>25</v>
          </cell>
          <cell r="I193">
            <v>50095</v>
          </cell>
          <cell r="J193">
            <v>25</v>
          </cell>
          <cell r="K193" t="str">
            <v/>
          </cell>
          <cell r="L193">
            <v>0</v>
          </cell>
          <cell r="M193">
            <v>58.444444444444443</v>
          </cell>
        </row>
        <row r="194">
          <cell r="B194">
            <v>70208</v>
          </cell>
          <cell r="C194" t="str">
            <v>CB356AAA</v>
          </cell>
          <cell r="D194" t="str">
            <v>72</v>
          </cell>
          <cell r="E194">
            <v>52000</v>
          </cell>
          <cell r="F194">
            <v>3.09</v>
          </cell>
          <cell r="G194">
            <v>50099</v>
          </cell>
          <cell r="H194">
            <v>88</v>
          </cell>
          <cell r="I194">
            <v>50135</v>
          </cell>
          <cell r="J194">
            <v>15</v>
          </cell>
          <cell r="K194">
            <v>10370</v>
          </cell>
          <cell r="L194">
            <v>0</v>
          </cell>
          <cell r="M194">
            <v>266.09482514845882</v>
          </cell>
        </row>
        <row r="195">
          <cell r="B195">
            <v>70301</v>
          </cell>
          <cell r="C195" t="str">
            <v>CB760AAA</v>
          </cell>
          <cell r="D195" t="str">
            <v>73</v>
          </cell>
          <cell r="E195">
            <v>51026</v>
          </cell>
          <cell r="F195">
            <v>174</v>
          </cell>
          <cell r="G195">
            <v>50138</v>
          </cell>
          <cell r="H195">
            <v>25</v>
          </cell>
          <cell r="I195">
            <v>50100</v>
          </cell>
          <cell r="J195">
            <v>25</v>
          </cell>
          <cell r="K195" t="str">
            <v/>
          </cell>
          <cell r="L195">
            <v>0</v>
          </cell>
          <cell r="M195">
            <v>68.370535714285708</v>
          </cell>
        </row>
        <row r="196">
          <cell r="B196">
            <v>70302</v>
          </cell>
          <cell r="C196" t="str">
            <v>CB897AAA</v>
          </cell>
          <cell r="D196" t="str">
            <v>73</v>
          </cell>
          <cell r="E196">
            <v>51026</v>
          </cell>
          <cell r="F196">
            <v>174</v>
          </cell>
          <cell r="G196">
            <v>50148</v>
          </cell>
          <cell r="H196">
            <v>25</v>
          </cell>
          <cell r="I196">
            <v>50102</v>
          </cell>
          <cell r="J196">
            <v>25</v>
          </cell>
          <cell r="K196" t="str">
            <v/>
          </cell>
          <cell r="L196">
            <v>0</v>
          </cell>
          <cell r="M196">
            <v>68.370535714285708</v>
          </cell>
        </row>
        <row r="197">
          <cell r="B197">
            <v>70303</v>
          </cell>
          <cell r="C197" t="str">
            <v>CB897AAA</v>
          </cell>
          <cell r="D197" t="str">
            <v>73</v>
          </cell>
          <cell r="E197">
            <v>51026</v>
          </cell>
          <cell r="F197">
            <v>174</v>
          </cell>
          <cell r="G197">
            <v>50148</v>
          </cell>
          <cell r="H197">
            <v>25</v>
          </cell>
          <cell r="I197">
            <v>50098</v>
          </cell>
          <cell r="J197">
            <v>25</v>
          </cell>
          <cell r="K197" t="str">
            <v/>
          </cell>
          <cell r="L197">
            <v>0</v>
          </cell>
          <cell r="M197">
            <v>68.370535714285708</v>
          </cell>
        </row>
        <row r="198">
          <cell r="B198">
            <v>70304</v>
          </cell>
          <cell r="C198" t="str">
            <v>CB853AAA</v>
          </cell>
          <cell r="D198" t="str">
            <v>73</v>
          </cell>
          <cell r="E198">
            <v>51026</v>
          </cell>
          <cell r="F198">
            <v>174</v>
          </cell>
          <cell r="G198">
            <v>50093</v>
          </cell>
          <cell r="H198">
            <v>25</v>
          </cell>
          <cell r="I198">
            <v>50145</v>
          </cell>
          <cell r="J198">
            <v>25</v>
          </cell>
          <cell r="K198" t="str">
            <v/>
          </cell>
          <cell r="L198">
            <v>0</v>
          </cell>
          <cell r="M198">
            <v>54.977678571428569</v>
          </cell>
        </row>
        <row r="199">
          <cell r="B199">
            <v>70305</v>
          </cell>
          <cell r="C199" t="str">
            <v>CB733AAA</v>
          </cell>
          <cell r="D199" t="str">
            <v>73</v>
          </cell>
          <cell r="E199">
            <v>51026</v>
          </cell>
          <cell r="F199">
            <v>174</v>
          </cell>
          <cell r="G199">
            <v>50138</v>
          </cell>
          <cell r="H199">
            <v>25</v>
          </cell>
          <cell r="I199">
            <v>50102</v>
          </cell>
          <cell r="J199">
            <v>25</v>
          </cell>
          <cell r="K199" t="str">
            <v/>
          </cell>
          <cell r="L199">
            <v>0</v>
          </cell>
          <cell r="M199">
            <v>68.370535714285708</v>
          </cell>
        </row>
        <row r="200">
          <cell r="B200">
            <v>70308</v>
          </cell>
          <cell r="C200" t="str">
            <v>CB748AAA</v>
          </cell>
          <cell r="D200" t="str">
            <v>73</v>
          </cell>
          <cell r="E200">
            <v>52000</v>
          </cell>
          <cell r="F200">
            <v>4.32</v>
          </cell>
          <cell r="G200">
            <v>50138</v>
          </cell>
          <cell r="H200">
            <v>129</v>
          </cell>
          <cell r="I200">
            <v>50157</v>
          </cell>
          <cell r="J200">
            <v>15</v>
          </cell>
          <cell r="K200">
            <v>10402</v>
          </cell>
          <cell r="L200">
            <v>0</v>
          </cell>
          <cell r="M200">
            <v>199.33252427184468</v>
          </cell>
        </row>
        <row r="201">
          <cell r="B201">
            <v>70401</v>
          </cell>
          <cell r="C201" t="str">
            <v>CB760AAA</v>
          </cell>
          <cell r="D201" t="str">
            <v>74</v>
          </cell>
          <cell r="E201">
            <v>51027</v>
          </cell>
          <cell r="F201">
            <v>173</v>
          </cell>
          <cell r="G201">
            <v>50138</v>
          </cell>
          <cell r="H201">
            <v>25</v>
          </cell>
          <cell r="I201">
            <v>50119</v>
          </cell>
          <cell r="J201">
            <v>25</v>
          </cell>
          <cell r="K201" t="str">
            <v/>
          </cell>
          <cell r="L201">
            <v>0</v>
          </cell>
          <cell r="M201">
            <v>56.506726457399104</v>
          </cell>
        </row>
        <row r="202">
          <cell r="B202">
            <v>70402</v>
          </cell>
          <cell r="C202" t="str">
            <v>CB760AAA</v>
          </cell>
          <cell r="D202" t="str">
            <v>74</v>
          </cell>
          <cell r="E202">
            <v>51027</v>
          </cell>
          <cell r="F202">
            <v>173</v>
          </cell>
          <cell r="G202">
            <v>50138</v>
          </cell>
          <cell r="H202">
            <v>25</v>
          </cell>
          <cell r="I202">
            <v>50091</v>
          </cell>
          <cell r="J202">
            <v>25</v>
          </cell>
          <cell r="K202" t="str">
            <v/>
          </cell>
          <cell r="L202">
            <v>0</v>
          </cell>
          <cell r="M202">
            <v>61.551569506726459</v>
          </cell>
        </row>
        <row r="203">
          <cell r="B203">
            <v>70403</v>
          </cell>
          <cell r="C203" t="str">
            <v>CB371AAA</v>
          </cell>
          <cell r="D203" t="str">
            <v>74</v>
          </cell>
          <cell r="E203">
            <v>51027</v>
          </cell>
          <cell r="F203">
            <v>173</v>
          </cell>
          <cell r="G203">
            <v>50111</v>
          </cell>
          <cell r="H203">
            <v>25</v>
          </cell>
          <cell r="I203">
            <v>50090</v>
          </cell>
          <cell r="J203">
            <v>25</v>
          </cell>
          <cell r="K203" t="str">
            <v/>
          </cell>
          <cell r="L203">
            <v>0</v>
          </cell>
          <cell r="M203">
            <v>69.959641255605376</v>
          </cell>
        </row>
        <row r="204">
          <cell r="B204">
            <v>70404</v>
          </cell>
          <cell r="C204" t="str">
            <v>CB225AAA</v>
          </cell>
          <cell r="D204" t="str">
            <v>74</v>
          </cell>
          <cell r="E204">
            <v>51027</v>
          </cell>
          <cell r="F204">
            <v>173</v>
          </cell>
          <cell r="G204">
            <v>50102</v>
          </cell>
          <cell r="H204">
            <v>25</v>
          </cell>
          <cell r="I204">
            <v>50102</v>
          </cell>
          <cell r="J204">
            <v>25</v>
          </cell>
          <cell r="K204" t="str">
            <v/>
          </cell>
          <cell r="L204">
            <v>0</v>
          </cell>
          <cell r="M204">
            <v>78.367713004484301</v>
          </cell>
        </row>
        <row r="205">
          <cell r="B205">
            <v>70405</v>
          </cell>
          <cell r="C205" t="str">
            <v>CB411AAA</v>
          </cell>
          <cell r="D205" t="str">
            <v>74</v>
          </cell>
          <cell r="E205">
            <v>51027</v>
          </cell>
          <cell r="F205">
            <v>173</v>
          </cell>
          <cell r="G205">
            <v>50140</v>
          </cell>
          <cell r="H205">
            <v>25</v>
          </cell>
          <cell r="I205">
            <v>50099</v>
          </cell>
          <cell r="J205">
            <v>25</v>
          </cell>
          <cell r="K205" t="str">
            <v/>
          </cell>
          <cell r="L205">
            <v>0</v>
          </cell>
          <cell r="M205">
            <v>69.959641255605376</v>
          </cell>
        </row>
        <row r="206">
          <cell r="B206">
            <v>70408</v>
          </cell>
          <cell r="C206" t="str">
            <v>CB773AAA</v>
          </cell>
          <cell r="D206" t="str">
            <v>74</v>
          </cell>
          <cell r="E206">
            <v>52000</v>
          </cell>
          <cell r="F206">
            <v>1.41</v>
          </cell>
          <cell r="G206">
            <v>50082</v>
          </cell>
          <cell r="H206">
            <v>32</v>
          </cell>
          <cell r="I206">
            <v>50090</v>
          </cell>
          <cell r="J206">
            <v>15</v>
          </cell>
          <cell r="K206">
            <v>10434</v>
          </cell>
          <cell r="L206">
            <v>0</v>
          </cell>
          <cell r="M206">
            <v>412.10493699648833</v>
          </cell>
        </row>
        <row r="207">
          <cell r="B207">
            <v>70501</v>
          </cell>
          <cell r="C207" t="str">
            <v>CB371AAA</v>
          </cell>
          <cell r="D207" t="str">
            <v>75</v>
          </cell>
          <cell r="E207">
            <v>51027</v>
          </cell>
          <cell r="F207">
            <v>173</v>
          </cell>
          <cell r="G207">
            <v>50111</v>
          </cell>
          <cell r="H207">
            <v>25</v>
          </cell>
          <cell r="I207">
            <v>50100</v>
          </cell>
          <cell r="J207">
            <v>25</v>
          </cell>
          <cell r="K207" t="str">
            <v/>
          </cell>
          <cell r="L207">
            <v>0</v>
          </cell>
          <cell r="M207">
            <v>78.367713004484301</v>
          </cell>
        </row>
        <row r="208">
          <cell r="B208">
            <v>70502</v>
          </cell>
          <cell r="C208" t="str">
            <v>CB764AAA</v>
          </cell>
          <cell r="D208" t="str">
            <v>75</v>
          </cell>
          <cell r="E208">
            <v>51027</v>
          </cell>
          <cell r="F208">
            <v>173</v>
          </cell>
          <cell r="G208">
            <v>50096</v>
          </cell>
          <cell r="H208">
            <v>25</v>
          </cell>
          <cell r="I208">
            <v>50078</v>
          </cell>
          <cell r="J208">
            <v>25</v>
          </cell>
          <cell r="K208" t="str">
            <v/>
          </cell>
          <cell r="L208">
            <v>0</v>
          </cell>
          <cell r="M208">
            <v>61.551569506726459</v>
          </cell>
        </row>
        <row r="209">
          <cell r="B209">
            <v>70503</v>
          </cell>
          <cell r="C209" t="str">
            <v>CB762AAA</v>
          </cell>
          <cell r="D209" t="str">
            <v>75</v>
          </cell>
          <cell r="E209">
            <v>51027</v>
          </cell>
          <cell r="F209">
            <v>173</v>
          </cell>
          <cell r="G209">
            <v>50099</v>
          </cell>
          <cell r="H209">
            <v>25</v>
          </cell>
          <cell r="I209">
            <v>50102</v>
          </cell>
          <cell r="J209">
            <v>25</v>
          </cell>
          <cell r="K209" t="str">
            <v/>
          </cell>
          <cell r="L209">
            <v>0</v>
          </cell>
          <cell r="M209">
            <v>78.367713004484301</v>
          </cell>
        </row>
        <row r="210">
          <cell r="B210">
            <v>70504</v>
          </cell>
          <cell r="C210" t="str">
            <v>CB401AAA</v>
          </cell>
          <cell r="D210" t="str">
            <v>75</v>
          </cell>
          <cell r="E210">
            <v>51027</v>
          </cell>
          <cell r="F210">
            <v>173</v>
          </cell>
          <cell r="G210">
            <v>50090</v>
          </cell>
          <cell r="H210">
            <v>25</v>
          </cell>
          <cell r="I210">
            <v>50094</v>
          </cell>
          <cell r="J210">
            <v>25</v>
          </cell>
          <cell r="K210" t="str">
            <v/>
          </cell>
          <cell r="L210">
            <v>0</v>
          </cell>
          <cell r="M210">
            <v>61.551569506726459</v>
          </cell>
        </row>
        <row r="211">
          <cell r="B211">
            <v>70505</v>
          </cell>
          <cell r="C211" t="str">
            <v>CB371AAA</v>
          </cell>
          <cell r="D211" t="str">
            <v>75</v>
          </cell>
          <cell r="E211">
            <v>51027</v>
          </cell>
          <cell r="F211">
            <v>173</v>
          </cell>
          <cell r="G211">
            <v>50111</v>
          </cell>
          <cell r="H211">
            <v>25</v>
          </cell>
          <cell r="I211">
            <v>50095</v>
          </cell>
          <cell r="J211">
            <v>25</v>
          </cell>
          <cell r="K211" t="str">
            <v/>
          </cell>
          <cell r="L211">
            <v>0</v>
          </cell>
          <cell r="M211">
            <v>69.959641255605376</v>
          </cell>
        </row>
        <row r="212">
          <cell r="B212">
            <v>70508</v>
          </cell>
          <cell r="C212" t="str">
            <v>CB438AAA</v>
          </cell>
          <cell r="D212" t="str">
            <v>75</v>
          </cell>
          <cell r="E212">
            <v>52000</v>
          </cell>
          <cell r="F212">
            <v>4.32</v>
          </cell>
          <cell r="G212">
            <v>50093</v>
          </cell>
          <cell r="H212">
            <v>129</v>
          </cell>
          <cell r="I212">
            <v>50091</v>
          </cell>
          <cell r="J212">
            <v>15</v>
          </cell>
          <cell r="K212">
            <v>10466</v>
          </cell>
          <cell r="L212">
            <v>0</v>
          </cell>
          <cell r="M212">
            <v>203.88349514563109</v>
          </cell>
        </row>
        <row r="213">
          <cell r="B213">
            <v>80101</v>
          </cell>
          <cell r="C213" t="str">
            <v>CB371AAA</v>
          </cell>
          <cell r="D213" t="str">
            <v>81</v>
          </cell>
          <cell r="E213">
            <v>51028</v>
          </cell>
          <cell r="F213">
            <v>172</v>
          </cell>
          <cell r="G213">
            <v>50111</v>
          </cell>
          <cell r="H213">
            <v>25</v>
          </cell>
          <cell r="I213">
            <v>50102</v>
          </cell>
          <cell r="J213">
            <v>25</v>
          </cell>
          <cell r="K213" t="str">
            <v/>
          </cell>
          <cell r="L213">
            <v>0</v>
          </cell>
          <cell r="M213">
            <v>79.990990990990994</v>
          </cell>
        </row>
        <row r="214">
          <cell r="B214">
            <v>80102</v>
          </cell>
          <cell r="C214" t="str">
            <v>CB371AAA</v>
          </cell>
          <cell r="D214" t="str">
            <v>81</v>
          </cell>
          <cell r="E214">
            <v>51028</v>
          </cell>
          <cell r="F214">
            <v>172</v>
          </cell>
          <cell r="G214">
            <v>50111</v>
          </cell>
          <cell r="H214">
            <v>25</v>
          </cell>
          <cell r="I214">
            <v>50099</v>
          </cell>
          <cell r="J214">
            <v>25</v>
          </cell>
          <cell r="K214" t="str">
            <v/>
          </cell>
          <cell r="L214">
            <v>0</v>
          </cell>
          <cell r="M214">
            <v>79.990990990990994</v>
          </cell>
        </row>
        <row r="215">
          <cell r="B215">
            <v>80103</v>
          </cell>
          <cell r="C215" t="str">
            <v>CB376AAA</v>
          </cell>
          <cell r="D215" t="str">
            <v>81</v>
          </cell>
          <cell r="E215">
            <v>51028</v>
          </cell>
          <cell r="F215">
            <v>172</v>
          </cell>
          <cell r="G215">
            <v>50113</v>
          </cell>
          <cell r="H215">
            <v>25</v>
          </cell>
          <cell r="I215">
            <v>50097</v>
          </cell>
          <cell r="J215">
            <v>25</v>
          </cell>
          <cell r="K215" t="str">
            <v/>
          </cell>
          <cell r="L215">
            <v>0</v>
          </cell>
          <cell r="M215">
            <v>79.990990990990994</v>
          </cell>
        </row>
        <row r="216">
          <cell r="B216">
            <v>80104</v>
          </cell>
          <cell r="C216" t="str">
            <v>CB632AAA</v>
          </cell>
          <cell r="D216" t="str">
            <v>81</v>
          </cell>
          <cell r="E216">
            <v>51028</v>
          </cell>
          <cell r="F216">
            <v>172</v>
          </cell>
          <cell r="G216">
            <v>50151</v>
          </cell>
          <cell r="H216">
            <v>25</v>
          </cell>
          <cell r="I216">
            <v>50095</v>
          </cell>
          <cell r="J216">
            <v>25</v>
          </cell>
          <cell r="K216" t="str">
            <v/>
          </cell>
          <cell r="L216">
            <v>0</v>
          </cell>
          <cell r="M216">
            <v>63.099099099099099</v>
          </cell>
        </row>
        <row r="217">
          <cell r="B217">
            <v>80105</v>
          </cell>
          <cell r="C217" t="str">
            <v>CB741AAA</v>
          </cell>
          <cell r="D217" t="str">
            <v>81</v>
          </cell>
          <cell r="E217">
            <v>51028</v>
          </cell>
          <cell r="F217">
            <v>172</v>
          </cell>
          <cell r="G217">
            <v>50152</v>
          </cell>
          <cell r="H217">
            <v>25</v>
          </cell>
          <cell r="I217">
            <v>50090</v>
          </cell>
          <cell r="J217">
            <v>25</v>
          </cell>
          <cell r="K217" t="str">
            <v/>
          </cell>
          <cell r="L217">
            <v>0</v>
          </cell>
          <cell r="M217">
            <v>63.099099099099099</v>
          </cell>
        </row>
        <row r="218">
          <cell r="B218">
            <v>80108</v>
          </cell>
          <cell r="C218" t="str">
            <v>CB504AAA</v>
          </cell>
          <cell r="D218" t="str">
            <v>81</v>
          </cell>
          <cell r="E218">
            <v>52000</v>
          </cell>
          <cell r="F218">
            <v>0.89999999999999991</v>
          </cell>
          <cell r="G218">
            <v>50133</v>
          </cell>
          <cell r="H218">
            <v>15</v>
          </cell>
          <cell r="I218">
            <v>50099</v>
          </cell>
          <cell r="J218">
            <v>15</v>
          </cell>
          <cell r="K218">
            <v>10498</v>
          </cell>
          <cell r="L218">
            <v>0</v>
          </cell>
          <cell r="M218">
            <v>473.30097087378641</v>
          </cell>
        </row>
        <row r="219">
          <cell r="B219">
            <v>80201</v>
          </cell>
          <cell r="C219" t="str">
            <v>CB371AAA</v>
          </cell>
          <cell r="D219" t="str">
            <v>82</v>
          </cell>
          <cell r="E219">
            <v>51029</v>
          </cell>
          <cell r="F219">
            <v>171</v>
          </cell>
          <cell r="G219">
            <v>50111</v>
          </cell>
          <cell r="H219">
            <v>25</v>
          </cell>
          <cell r="I219">
            <v>50093</v>
          </cell>
          <cell r="J219">
            <v>25</v>
          </cell>
          <cell r="K219" t="str">
            <v/>
          </cell>
          <cell r="L219">
            <v>0</v>
          </cell>
          <cell r="M219">
            <v>73.126696832579185</v>
          </cell>
        </row>
        <row r="220">
          <cell r="B220">
            <v>80202</v>
          </cell>
          <cell r="C220" t="str">
            <v>CB371AAA</v>
          </cell>
          <cell r="D220" t="str">
            <v>82</v>
          </cell>
          <cell r="E220">
            <v>51029</v>
          </cell>
          <cell r="F220">
            <v>171</v>
          </cell>
          <cell r="G220">
            <v>50111</v>
          </cell>
          <cell r="H220">
            <v>25</v>
          </cell>
          <cell r="I220">
            <v>50103</v>
          </cell>
          <cell r="J220">
            <v>25</v>
          </cell>
          <cell r="K220" t="str">
            <v/>
          </cell>
          <cell r="L220">
            <v>0</v>
          </cell>
          <cell r="M220">
            <v>81.610859728506782</v>
          </cell>
        </row>
        <row r="221">
          <cell r="B221">
            <v>80203</v>
          </cell>
          <cell r="C221" t="str">
            <v>CB376AAA</v>
          </cell>
          <cell r="D221" t="str">
            <v>82</v>
          </cell>
          <cell r="E221">
            <v>51029</v>
          </cell>
          <cell r="F221">
            <v>171</v>
          </cell>
          <cell r="G221">
            <v>50113</v>
          </cell>
          <cell r="H221">
            <v>25</v>
          </cell>
          <cell r="I221">
            <v>50078</v>
          </cell>
          <cell r="J221">
            <v>25</v>
          </cell>
          <cell r="K221" t="str">
            <v/>
          </cell>
          <cell r="L221">
            <v>0</v>
          </cell>
          <cell r="M221">
            <v>73.126696832579185</v>
          </cell>
        </row>
        <row r="222">
          <cell r="B222">
            <v>80204</v>
          </cell>
          <cell r="C222" t="str">
            <v>CB897AAA</v>
          </cell>
          <cell r="D222" t="str">
            <v>82</v>
          </cell>
          <cell r="E222">
            <v>51029</v>
          </cell>
          <cell r="F222">
            <v>171</v>
          </cell>
          <cell r="G222">
            <v>50148</v>
          </cell>
          <cell r="H222">
            <v>25</v>
          </cell>
          <cell r="I222">
            <v>50091</v>
          </cell>
          <cell r="J222">
            <v>25</v>
          </cell>
          <cell r="K222" t="str">
            <v/>
          </cell>
          <cell r="L222">
            <v>0</v>
          </cell>
          <cell r="M222">
            <v>64.642533936651589</v>
          </cell>
        </row>
        <row r="223">
          <cell r="B223">
            <v>80205</v>
          </cell>
          <cell r="C223" t="str">
            <v>CB372AAA</v>
          </cell>
          <cell r="D223" t="str">
            <v>82</v>
          </cell>
          <cell r="E223">
            <v>51029</v>
          </cell>
          <cell r="F223">
            <v>171</v>
          </cell>
          <cell r="G223">
            <v>50112</v>
          </cell>
          <cell r="H223">
            <v>25</v>
          </cell>
          <cell r="I223">
            <v>50095</v>
          </cell>
          <cell r="J223">
            <v>25</v>
          </cell>
          <cell r="K223" t="str">
            <v/>
          </cell>
          <cell r="L223">
            <v>0</v>
          </cell>
          <cell r="M223">
            <v>73.126696832579185</v>
          </cell>
        </row>
        <row r="224">
          <cell r="B224">
            <v>80208</v>
          </cell>
          <cell r="C224" t="str">
            <v>CB894AAA</v>
          </cell>
          <cell r="D224" t="str">
            <v>82</v>
          </cell>
          <cell r="E224">
            <v>52000</v>
          </cell>
          <cell r="F224">
            <v>3.09</v>
          </cell>
          <cell r="G224">
            <v>50112</v>
          </cell>
          <cell r="H224">
            <v>88</v>
          </cell>
          <cell r="I224">
            <v>50145</v>
          </cell>
          <cell r="J224">
            <v>15</v>
          </cell>
          <cell r="K224">
            <v>10530</v>
          </cell>
          <cell r="L224">
            <v>0</v>
          </cell>
          <cell r="M224">
            <v>259.73230276180601</v>
          </cell>
        </row>
        <row r="225">
          <cell r="B225">
            <v>80301</v>
          </cell>
          <cell r="C225" t="str">
            <v>CB371AAA</v>
          </cell>
          <cell r="D225" t="str">
            <v>83</v>
          </cell>
          <cell r="E225">
            <v>51029</v>
          </cell>
          <cell r="F225">
            <v>171</v>
          </cell>
          <cell r="G225">
            <v>50111</v>
          </cell>
          <cell r="H225">
            <v>25</v>
          </cell>
          <cell r="I225">
            <v>50091</v>
          </cell>
          <cell r="J225">
            <v>25</v>
          </cell>
          <cell r="K225" t="str">
            <v/>
          </cell>
          <cell r="L225">
            <v>0</v>
          </cell>
          <cell r="M225">
            <v>73.126696832579185</v>
          </cell>
        </row>
        <row r="226">
          <cell r="B226">
            <v>80302</v>
          </cell>
          <cell r="C226" t="str">
            <v>CB376AAA</v>
          </cell>
          <cell r="D226" t="str">
            <v>83</v>
          </cell>
          <cell r="E226">
            <v>51029</v>
          </cell>
          <cell r="F226">
            <v>171</v>
          </cell>
          <cell r="G226">
            <v>50113</v>
          </cell>
          <cell r="H226">
            <v>25</v>
          </cell>
          <cell r="I226">
            <v>50099</v>
          </cell>
          <cell r="J226">
            <v>25</v>
          </cell>
          <cell r="K226" t="str">
            <v/>
          </cell>
          <cell r="L226">
            <v>0</v>
          </cell>
          <cell r="M226">
            <v>81.610859728506782</v>
          </cell>
        </row>
        <row r="227">
          <cell r="B227">
            <v>80303</v>
          </cell>
          <cell r="C227" t="str">
            <v>CB376AAA</v>
          </cell>
          <cell r="D227" t="str">
            <v>83</v>
          </cell>
          <cell r="E227">
            <v>51029</v>
          </cell>
          <cell r="F227">
            <v>171</v>
          </cell>
          <cell r="G227">
            <v>50113</v>
          </cell>
          <cell r="H227">
            <v>25</v>
          </cell>
          <cell r="I227">
            <v>50098</v>
          </cell>
          <cell r="J227">
            <v>25</v>
          </cell>
          <cell r="K227" t="str">
            <v/>
          </cell>
          <cell r="L227">
            <v>0</v>
          </cell>
          <cell r="M227">
            <v>81.610859728506782</v>
          </cell>
        </row>
        <row r="228">
          <cell r="B228">
            <v>80304</v>
          </cell>
          <cell r="C228" t="str">
            <v>CB764AAA</v>
          </cell>
          <cell r="D228" t="str">
            <v>83</v>
          </cell>
          <cell r="E228">
            <v>51029</v>
          </cell>
          <cell r="F228">
            <v>171</v>
          </cell>
          <cell r="G228">
            <v>50096</v>
          </cell>
          <cell r="H228">
            <v>25</v>
          </cell>
          <cell r="I228">
            <v>50101</v>
          </cell>
          <cell r="J228">
            <v>25</v>
          </cell>
          <cell r="K228" t="str">
            <v/>
          </cell>
          <cell r="L228">
            <v>0</v>
          </cell>
          <cell r="M228">
            <v>73.126696832579185</v>
          </cell>
        </row>
        <row r="229">
          <cell r="B229">
            <v>80305</v>
          </cell>
          <cell r="C229" t="str">
            <v>CB862AAA</v>
          </cell>
          <cell r="D229" t="str">
            <v>83</v>
          </cell>
          <cell r="E229">
            <v>51029</v>
          </cell>
          <cell r="F229">
            <v>171</v>
          </cell>
          <cell r="G229">
            <v>50078</v>
          </cell>
          <cell r="H229">
            <v>25</v>
          </cell>
          <cell r="I229">
            <v>50095</v>
          </cell>
          <cell r="J229">
            <v>25</v>
          </cell>
          <cell r="K229" t="str">
            <v/>
          </cell>
          <cell r="L229">
            <v>0</v>
          </cell>
          <cell r="M229">
            <v>64.642533936651589</v>
          </cell>
        </row>
        <row r="230">
          <cell r="B230">
            <v>80308</v>
          </cell>
          <cell r="C230" t="str">
            <v>CB891AAA</v>
          </cell>
          <cell r="D230" t="str">
            <v>83</v>
          </cell>
          <cell r="E230">
            <v>52000</v>
          </cell>
          <cell r="F230">
            <v>4.32</v>
          </cell>
          <cell r="G230">
            <v>50137</v>
          </cell>
          <cell r="H230">
            <v>129</v>
          </cell>
          <cell r="I230">
            <v>50100</v>
          </cell>
          <cell r="J230">
            <v>15</v>
          </cell>
          <cell r="K230">
            <v>10562</v>
          </cell>
          <cell r="L230">
            <v>0</v>
          </cell>
          <cell r="M230">
            <v>211.46844660194176</v>
          </cell>
        </row>
        <row r="231">
          <cell r="B231">
            <v>80401</v>
          </cell>
          <cell r="C231" t="str">
            <v>CB371AAA</v>
          </cell>
          <cell r="D231" t="str">
            <v>84</v>
          </cell>
          <cell r="E231">
            <v>51030</v>
          </cell>
          <cell r="F231">
            <v>170</v>
          </cell>
          <cell r="G231">
            <v>50111</v>
          </cell>
          <cell r="H231">
            <v>25</v>
          </cell>
          <cell r="I231">
            <v>50091</v>
          </cell>
          <cell r="J231">
            <v>25</v>
          </cell>
          <cell r="K231" t="str">
            <v/>
          </cell>
          <cell r="L231">
            <v>0</v>
          </cell>
          <cell r="M231">
            <v>74.704545454545453</v>
          </cell>
        </row>
        <row r="232">
          <cell r="B232">
            <v>80402</v>
          </cell>
          <cell r="C232" t="str">
            <v>CB376AAA</v>
          </cell>
          <cell r="D232" t="str">
            <v>84</v>
          </cell>
          <cell r="E232">
            <v>51030</v>
          </cell>
          <cell r="F232">
            <v>170</v>
          </cell>
          <cell r="G232">
            <v>50113</v>
          </cell>
          <cell r="H232">
            <v>25</v>
          </cell>
          <cell r="I232">
            <v>50090</v>
          </cell>
          <cell r="J232">
            <v>25</v>
          </cell>
          <cell r="K232" t="str">
            <v/>
          </cell>
          <cell r="L232">
            <v>0</v>
          </cell>
          <cell r="M232">
            <v>74.704545454545453</v>
          </cell>
        </row>
        <row r="233">
          <cell r="B233">
            <v>80403</v>
          </cell>
          <cell r="C233" t="str">
            <v>CB376AAA</v>
          </cell>
          <cell r="D233" t="str">
            <v>84</v>
          </cell>
          <cell r="E233">
            <v>51030</v>
          </cell>
          <cell r="F233">
            <v>170</v>
          </cell>
          <cell r="G233">
            <v>50113</v>
          </cell>
          <cell r="H233">
            <v>25</v>
          </cell>
          <cell r="I233">
            <v>50079</v>
          </cell>
          <cell r="J233">
            <v>25</v>
          </cell>
          <cell r="K233" t="str">
            <v/>
          </cell>
          <cell r="L233">
            <v>0</v>
          </cell>
          <cell r="M233">
            <v>74.704545454545453</v>
          </cell>
        </row>
        <row r="234">
          <cell r="B234">
            <v>80404</v>
          </cell>
          <cell r="C234" t="str">
            <v>CB371AAA</v>
          </cell>
          <cell r="D234" t="str">
            <v>84</v>
          </cell>
          <cell r="E234">
            <v>51030</v>
          </cell>
          <cell r="F234">
            <v>170</v>
          </cell>
          <cell r="G234">
            <v>50111</v>
          </cell>
          <cell r="H234">
            <v>25</v>
          </cell>
          <cell r="I234">
            <v>50097</v>
          </cell>
          <cell r="J234">
            <v>25</v>
          </cell>
          <cell r="K234" t="str">
            <v/>
          </cell>
          <cell r="L234">
            <v>0</v>
          </cell>
          <cell r="M234">
            <v>83.227272727272734</v>
          </cell>
        </row>
        <row r="235">
          <cell r="B235">
            <v>80405</v>
          </cell>
          <cell r="C235" t="str">
            <v>CB760AAA</v>
          </cell>
          <cell r="D235" t="str">
            <v>84</v>
          </cell>
          <cell r="E235">
            <v>51030</v>
          </cell>
          <cell r="F235">
            <v>170</v>
          </cell>
          <cell r="G235">
            <v>50138</v>
          </cell>
          <cell r="H235">
            <v>25</v>
          </cell>
          <cell r="I235">
            <v>50100</v>
          </cell>
          <cell r="J235">
            <v>25</v>
          </cell>
          <cell r="K235" t="str">
            <v/>
          </cell>
          <cell r="L235">
            <v>0</v>
          </cell>
          <cell r="M235">
            <v>74.704545454545453</v>
          </cell>
        </row>
        <row r="236">
          <cell r="B236">
            <v>80408</v>
          </cell>
          <cell r="C236" t="str">
            <v>CS023AAA</v>
          </cell>
          <cell r="D236" t="str">
            <v>84</v>
          </cell>
          <cell r="E236">
            <v>52000</v>
          </cell>
          <cell r="F236">
            <v>3.09</v>
          </cell>
          <cell r="G236">
            <v>50116</v>
          </cell>
          <cell r="H236">
            <v>88</v>
          </cell>
          <cell r="I236">
            <v>50090</v>
          </cell>
          <cell r="J236">
            <v>15</v>
          </cell>
          <cell r="K236">
            <v>10594</v>
          </cell>
          <cell r="L236">
            <v>0</v>
          </cell>
          <cell r="M236">
            <v>266.09482514845882</v>
          </cell>
        </row>
        <row r="237">
          <cell r="B237">
            <v>80501</v>
          </cell>
          <cell r="C237" t="str">
            <v>CB376AAA</v>
          </cell>
          <cell r="D237" t="str">
            <v>85</v>
          </cell>
          <cell r="E237">
            <v>51031</v>
          </cell>
          <cell r="F237">
            <v>169</v>
          </cell>
          <cell r="G237">
            <v>50113</v>
          </cell>
          <cell r="H237">
            <v>25</v>
          </cell>
          <cell r="I237">
            <v>50100</v>
          </cell>
          <cell r="J237">
            <v>25</v>
          </cell>
          <cell r="K237" t="str">
            <v/>
          </cell>
          <cell r="L237">
            <v>0</v>
          </cell>
          <cell r="M237">
            <v>84.840182648401822</v>
          </cell>
        </row>
        <row r="238">
          <cell r="B238">
            <v>80502</v>
          </cell>
          <cell r="C238" t="str">
            <v>CB371AAA</v>
          </cell>
          <cell r="D238" t="str">
            <v>85</v>
          </cell>
          <cell r="E238">
            <v>51031</v>
          </cell>
          <cell r="F238">
            <v>169</v>
          </cell>
          <cell r="G238">
            <v>50111</v>
          </cell>
          <cell r="H238">
            <v>25</v>
          </cell>
          <cell r="I238">
            <v>50119</v>
          </cell>
          <cell r="J238">
            <v>25</v>
          </cell>
          <cell r="K238" t="str">
            <v/>
          </cell>
          <cell r="L238">
            <v>0</v>
          </cell>
          <cell r="M238">
            <v>71.141552511415526</v>
          </cell>
        </row>
        <row r="239">
          <cell r="B239">
            <v>80503</v>
          </cell>
          <cell r="C239" t="str">
            <v>CB376AAA</v>
          </cell>
          <cell r="D239" t="str">
            <v>85</v>
          </cell>
          <cell r="E239">
            <v>51031</v>
          </cell>
          <cell r="F239">
            <v>169</v>
          </cell>
          <cell r="G239">
            <v>50113</v>
          </cell>
          <cell r="H239">
            <v>25</v>
          </cell>
          <cell r="I239">
            <v>50145</v>
          </cell>
          <cell r="J239">
            <v>25</v>
          </cell>
          <cell r="K239" t="str">
            <v/>
          </cell>
          <cell r="L239">
            <v>0</v>
          </cell>
          <cell r="M239">
            <v>71.141552511415526</v>
          </cell>
        </row>
        <row r="240">
          <cell r="B240">
            <v>80504</v>
          </cell>
          <cell r="C240" t="str">
            <v>CB756AAA</v>
          </cell>
          <cell r="D240" t="str">
            <v>85</v>
          </cell>
          <cell r="E240">
            <v>51031</v>
          </cell>
          <cell r="F240">
            <v>169</v>
          </cell>
          <cell r="G240">
            <v>50145</v>
          </cell>
          <cell r="H240">
            <v>25</v>
          </cell>
          <cell r="I240">
            <v>50098</v>
          </cell>
          <cell r="J240">
            <v>25</v>
          </cell>
          <cell r="K240" t="str">
            <v/>
          </cell>
          <cell r="L240">
            <v>0</v>
          </cell>
          <cell r="M240">
            <v>71.141552511415526</v>
          </cell>
        </row>
        <row r="241">
          <cell r="B241">
            <v>80505</v>
          </cell>
          <cell r="C241" t="str">
            <v>CB741AAA</v>
          </cell>
          <cell r="D241" t="str">
            <v>85</v>
          </cell>
          <cell r="E241">
            <v>51031</v>
          </cell>
          <cell r="F241">
            <v>169</v>
          </cell>
          <cell r="G241">
            <v>50152</v>
          </cell>
          <cell r="H241">
            <v>25</v>
          </cell>
          <cell r="I241">
            <v>50099</v>
          </cell>
          <cell r="J241">
            <v>25</v>
          </cell>
          <cell r="K241" t="str">
            <v/>
          </cell>
          <cell r="L241">
            <v>0</v>
          </cell>
          <cell r="M241">
            <v>76.278538812785385</v>
          </cell>
        </row>
        <row r="242">
          <cell r="B242">
            <v>80508</v>
          </cell>
          <cell r="C242" t="str">
            <v>CB503AAA</v>
          </cell>
          <cell r="D242" t="str">
            <v>85</v>
          </cell>
          <cell r="E242">
            <v>52000</v>
          </cell>
          <cell r="F242">
            <v>3.09</v>
          </cell>
          <cell r="G242">
            <v>50102</v>
          </cell>
          <cell r="H242">
            <v>88</v>
          </cell>
          <cell r="I242">
            <v>50135</v>
          </cell>
          <cell r="J242">
            <v>15</v>
          </cell>
          <cell r="K242">
            <v>10626</v>
          </cell>
          <cell r="L242">
            <v>0</v>
          </cell>
          <cell r="M242">
            <v>266.09482514845882</v>
          </cell>
        </row>
        <row r="243">
          <cell r="B243">
            <v>90101</v>
          </cell>
          <cell r="C243" t="str">
            <v>CB613AAA</v>
          </cell>
          <cell r="D243" t="str">
            <v>91</v>
          </cell>
          <cell r="E243">
            <v>51032</v>
          </cell>
          <cell r="F243">
            <v>168</v>
          </cell>
          <cell r="G243">
            <v>50140</v>
          </cell>
          <cell r="H243">
            <v>25</v>
          </cell>
          <cell r="I243">
            <v>50145</v>
          </cell>
          <cell r="J243">
            <v>25</v>
          </cell>
          <cell r="K243" t="str">
            <v/>
          </cell>
          <cell r="L243">
            <v>0</v>
          </cell>
          <cell r="M243">
            <v>64.087155963302749</v>
          </cell>
        </row>
        <row r="244">
          <cell r="B244">
            <v>90102</v>
          </cell>
          <cell r="C244" t="str">
            <v>CB224AAA</v>
          </cell>
          <cell r="D244" t="str">
            <v>91</v>
          </cell>
          <cell r="E244">
            <v>51032</v>
          </cell>
          <cell r="F244">
            <v>168</v>
          </cell>
          <cell r="G244">
            <v>50079</v>
          </cell>
          <cell r="H244">
            <v>25</v>
          </cell>
          <cell r="I244">
            <v>50095</v>
          </cell>
          <cell r="J244">
            <v>25</v>
          </cell>
          <cell r="K244" t="str">
            <v/>
          </cell>
          <cell r="L244">
            <v>0</v>
          </cell>
          <cell r="M244">
            <v>69.247706422018354</v>
          </cell>
        </row>
        <row r="245">
          <cell r="B245">
            <v>90103</v>
          </cell>
          <cell r="C245" t="str">
            <v>CB632AAA</v>
          </cell>
          <cell r="D245" t="str">
            <v>91</v>
          </cell>
          <cell r="E245">
            <v>51032</v>
          </cell>
          <cell r="F245">
            <v>168</v>
          </cell>
          <cell r="G245">
            <v>50151</v>
          </cell>
          <cell r="H245">
            <v>25</v>
          </cell>
          <cell r="I245">
            <v>50101</v>
          </cell>
          <cell r="J245">
            <v>25</v>
          </cell>
          <cell r="K245" t="str">
            <v/>
          </cell>
          <cell r="L245">
            <v>0</v>
          </cell>
          <cell r="M245">
            <v>77.848623853211009</v>
          </cell>
        </row>
        <row r="246">
          <cell r="B246">
            <v>90104</v>
          </cell>
          <cell r="C246" t="str">
            <v>CB222AAA</v>
          </cell>
          <cell r="D246" t="str">
            <v>91</v>
          </cell>
          <cell r="E246">
            <v>51032</v>
          </cell>
          <cell r="F246">
            <v>168</v>
          </cell>
          <cell r="G246">
            <v>50095</v>
          </cell>
          <cell r="H246">
            <v>25</v>
          </cell>
          <cell r="I246">
            <v>50079</v>
          </cell>
          <cell r="J246">
            <v>25</v>
          </cell>
          <cell r="K246" t="str">
            <v/>
          </cell>
          <cell r="L246">
            <v>0</v>
          </cell>
          <cell r="M246">
            <v>69.247706422018354</v>
          </cell>
        </row>
        <row r="247">
          <cell r="B247">
            <v>90105</v>
          </cell>
          <cell r="C247" t="str">
            <v>CB223AAA</v>
          </cell>
          <cell r="D247" t="str">
            <v>91</v>
          </cell>
          <cell r="E247">
            <v>51032</v>
          </cell>
          <cell r="F247">
            <v>168</v>
          </cell>
          <cell r="G247">
            <v>50119</v>
          </cell>
          <cell r="H247">
            <v>25</v>
          </cell>
          <cell r="I247">
            <v>50095</v>
          </cell>
          <cell r="J247">
            <v>25</v>
          </cell>
          <cell r="K247" t="str">
            <v/>
          </cell>
          <cell r="L247">
            <v>0</v>
          </cell>
          <cell r="M247">
            <v>64.087155963302749</v>
          </cell>
        </row>
        <row r="248">
          <cell r="B248">
            <v>90108</v>
          </cell>
          <cell r="C248" t="str">
            <v>CB555AAA</v>
          </cell>
          <cell r="D248" t="str">
            <v>91</v>
          </cell>
          <cell r="E248">
            <v>52000</v>
          </cell>
          <cell r="F248">
            <v>3.09</v>
          </cell>
          <cell r="G248">
            <v>50114</v>
          </cell>
          <cell r="H248">
            <v>88</v>
          </cell>
          <cell r="I248">
            <v>50091</v>
          </cell>
          <cell r="J248">
            <v>15</v>
          </cell>
          <cell r="K248">
            <v>10019</v>
          </cell>
          <cell r="L248">
            <v>0</v>
          </cell>
          <cell r="M248">
            <v>266.09482514845882</v>
          </cell>
        </row>
        <row r="249">
          <cell r="B249">
            <v>90201</v>
          </cell>
          <cell r="C249" t="str">
            <v>CB613AAA</v>
          </cell>
          <cell r="D249" t="str">
            <v>92</v>
          </cell>
          <cell r="E249">
            <v>51032</v>
          </cell>
          <cell r="F249">
            <v>168</v>
          </cell>
          <cell r="G249">
            <v>50140</v>
          </cell>
          <cell r="H249">
            <v>25</v>
          </cell>
          <cell r="I249">
            <v>50135</v>
          </cell>
          <cell r="J249">
            <v>25</v>
          </cell>
          <cell r="K249" t="str">
            <v/>
          </cell>
          <cell r="L249">
            <v>0</v>
          </cell>
          <cell r="M249">
            <v>69.247706422018354</v>
          </cell>
        </row>
        <row r="250">
          <cell r="B250">
            <v>90202</v>
          </cell>
          <cell r="C250" t="str">
            <v>CB613AAA</v>
          </cell>
          <cell r="D250" t="str">
            <v>92</v>
          </cell>
          <cell r="E250">
            <v>51032</v>
          </cell>
          <cell r="F250">
            <v>168</v>
          </cell>
          <cell r="G250">
            <v>50140</v>
          </cell>
          <cell r="H250">
            <v>25</v>
          </cell>
          <cell r="I250">
            <v>50091</v>
          </cell>
          <cell r="J250">
            <v>25</v>
          </cell>
          <cell r="K250" t="str">
            <v/>
          </cell>
          <cell r="L250">
            <v>0</v>
          </cell>
          <cell r="M250">
            <v>69.247706422018354</v>
          </cell>
        </row>
        <row r="251">
          <cell r="B251">
            <v>90203</v>
          </cell>
          <cell r="C251" t="str">
            <v>CB613AAA</v>
          </cell>
          <cell r="D251" t="str">
            <v>92</v>
          </cell>
          <cell r="E251">
            <v>51032</v>
          </cell>
          <cell r="F251">
            <v>168</v>
          </cell>
          <cell r="G251">
            <v>50140</v>
          </cell>
          <cell r="H251">
            <v>25</v>
          </cell>
          <cell r="I251">
            <v>50099</v>
          </cell>
          <cell r="J251">
            <v>25</v>
          </cell>
          <cell r="K251" t="str">
            <v/>
          </cell>
          <cell r="L251">
            <v>0</v>
          </cell>
          <cell r="M251">
            <v>77.848623853211009</v>
          </cell>
        </row>
        <row r="252">
          <cell r="B252">
            <v>90204</v>
          </cell>
          <cell r="C252" t="str">
            <v>CB811AAA</v>
          </cell>
          <cell r="D252" t="str">
            <v>92</v>
          </cell>
          <cell r="E252">
            <v>51032</v>
          </cell>
          <cell r="F252">
            <v>168</v>
          </cell>
          <cell r="G252">
            <v>50135</v>
          </cell>
          <cell r="H252">
            <v>25</v>
          </cell>
          <cell r="I252">
            <v>50157</v>
          </cell>
          <cell r="J252">
            <v>25</v>
          </cell>
          <cell r="K252" t="str">
            <v/>
          </cell>
          <cell r="L252">
            <v>0</v>
          </cell>
          <cell r="M252">
            <v>64.087155963302749</v>
          </cell>
        </row>
        <row r="253">
          <cell r="B253">
            <v>90205</v>
          </cell>
          <cell r="C253" t="str">
            <v>CB732AAA</v>
          </cell>
          <cell r="D253" t="str">
            <v>92</v>
          </cell>
          <cell r="E253">
            <v>51032</v>
          </cell>
          <cell r="F253">
            <v>168</v>
          </cell>
          <cell r="G253">
            <v>50137</v>
          </cell>
          <cell r="H253">
            <v>25</v>
          </cell>
          <cell r="I253">
            <v>50135</v>
          </cell>
          <cell r="J253">
            <v>25</v>
          </cell>
          <cell r="K253" t="str">
            <v/>
          </cell>
          <cell r="L253">
            <v>0</v>
          </cell>
          <cell r="M253">
            <v>69.247706422018354</v>
          </cell>
        </row>
        <row r="254">
          <cell r="B254">
            <v>90208</v>
          </cell>
          <cell r="C254" t="str">
            <v>CB534AAA</v>
          </cell>
          <cell r="D254" t="str">
            <v>92</v>
          </cell>
          <cell r="E254">
            <v>52000</v>
          </cell>
          <cell r="F254">
            <v>3.09</v>
          </cell>
          <cell r="G254">
            <v>50110</v>
          </cell>
          <cell r="H254">
            <v>88</v>
          </cell>
          <cell r="I254">
            <v>50102</v>
          </cell>
          <cell r="J254">
            <v>15</v>
          </cell>
          <cell r="K254">
            <v>10051</v>
          </cell>
          <cell r="L254">
            <v>0</v>
          </cell>
          <cell r="M254">
            <v>276.69902912621359</v>
          </cell>
        </row>
        <row r="255">
          <cell r="B255">
            <v>90301</v>
          </cell>
          <cell r="C255" t="str">
            <v>CB224AAA</v>
          </cell>
          <cell r="D255" t="str">
            <v>93</v>
          </cell>
          <cell r="E255">
            <v>51033</v>
          </cell>
          <cell r="F255">
            <v>167</v>
          </cell>
          <cell r="G255">
            <v>50079</v>
          </cell>
          <cell r="H255">
            <v>25</v>
          </cell>
          <cell r="I255">
            <v>50079</v>
          </cell>
          <cell r="J255">
            <v>25</v>
          </cell>
          <cell r="K255" t="str">
            <v/>
          </cell>
          <cell r="L255">
            <v>0</v>
          </cell>
          <cell r="M255">
            <v>70.774193548387103</v>
          </cell>
        </row>
        <row r="256">
          <cell r="B256">
            <v>90302</v>
          </cell>
          <cell r="C256" t="str">
            <v>CB225AAA</v>
          </cell>
          <cell r="D256" t="str">
            <v>93</v>
          </cell>
          <cell r="E256">
            <v>51033</v>
          </cell>
          <cell r="F256">
            <v>167</v>
          </cell>
          <cell r="G256">
            <v>50102</v>
          </cell>
          <cell r="H256">
            <v>25</v>
          </cell>
          <cell r="I256">
            <v>50096</v>
          </cell>
          <cell r="J256">
            <v>25</v>
          </cell>
          <cell r="K256" t="str">
            <v/>
          </cell>
          <cell r="L256">
            <v>0</v>
          </cell>
          <cell r="M256">
            <v>79.414746543778804</v>
          </cell>
        </row>
        <row r="257">
          <cell r="B257">
            <v>90303</v>
          </cell>
          <cell r="C257" t="str">
            <v>CB613AAA</v>
          </cell>
          <cell r="D257" t="str">
            <v>93</v>
          </cell>
          <cell r="E257">
            <v>51033</v>
          </cell>
          <cell r="F257">
            <v>167</v>
          </cell>
          <cell r="G257">
            <v>50140</v>
          </cell>
          <cell r="H257">
            <v>25</v>
          </cell>
          <cell r="I257">
            <v>50094</v>
          </cell>
          <cell r="J257">
            <v>25</v>
          </cell>
          <cell r="K257" t="str">
            <v/>
          </cell>
          <cell r="L257">
            <v>0</v>
          </cell>
          <cell r="M257">
            <v>70.774193548387103</v>
          </cell>
        </row>
        <row r="258">
          <cell r="B258">
            <v>90304</v>
          </cell>
          <cell r="C258" t="str">
            <v>CB222AAA</v>
          </cell>
          <cell r="D258" t="str">
            <v>93</v>
          </cell>
          <cell r="E258">
            <v>51033</v>
          </cell>
          <cell r="F258">
            <v>167</v>
          </cell>
          <cell r="G258">
            <v>50095</v>
          </cell>
          <cell r="H258">
            <v>25</v>
          </cell>
          <cell r="I258">
            <v>50095</v>
          </cell>
          <cell r="J258">
            <v>25</v>
          </cell>
          <cell r="K258" t="str">
            <v/>
          </cell>
          <cell r="L258">
            <v>0</v>
          </cell>
          <cell r="M258">
            <v>70.774193548387103</v>
          </cell>
        </row>
        <row r="259">
          <cell r="B259">
            <v>90305</v>
          </cell>
          <cell r="C259" t="str">
            <v>CB741AAA</v>
          </cell>
          <cell r="D259" t="str">
            <v>93</v>
          </cell>
          <cell r="E259">
            <v>51033</v>
          </cell>
          <cell r="F259">
            <v>167</v>
          </cell>
          <cell r="G259">
            <v>50152</v>
          </cell>
          <cell r="H259">
            <v>25</v>
          </cell>
          <cell r="I259">
            <v>50135</v>
          </cell>
          <cell r="J259">
            <v>25</v>
          </cell>
          <cell r="K259" t="str">
            <v/>
          </cell>
          <cell r="L259">
            <v>0</v>
          </cell>
          <cell r="M259">
            <v>70.774193548387103</v>
          </cell>
        </row>
        <row r="260">
          <cell r="B260">
            <v>90308</v>
          </cell>
          <cell r="C260" t="str">
            <v>CB511AAA</v>
          </cell>
          <cell r="D260" t="str">
            <v>93</v>
          </cell>
          <cell r="E260">
            <v>52000</v>
          </cell>
          <cell r="F260">
            <v>3.09</v>
          </cell>
          <cell r="G260">
            <v>50097</v>
          </cell>
          <cell r="H260">
            <v>88</v>
          </cell>
          <cell r="I260">
            <v>50078</v>
          </cell>
          <cell r="J260">
            <v>15</v>
          </cell>
          <cell r="K260">
            <v>10083</v>
          </cell>
          <cell r="L260">
            <v>0</v>
          </cell>
          <cell r="M260">
            <v>266.09482514845882</v>
          </cell>
        </row>
        <row r="261">
          <cell r="B261">
            <v>90401</v>
          </cell>
          <cell r="C261" t="str">
            <v>CB224AAA</v>
          </cell>
          <cell r="D261" t="str">
            <v>94</v>
          </cell>
          <cell r="E261">
            <v>51034</v>
          </cell>
          <cell r="F261">
            <v>166</v>
          </cell>
          <cell r="G261">
            <v>50079</v>
          </cell>
          <cell r="H261">
            <v>25</v>
          </cell>
          <cell r="I261">
            <v>50091</v>
          </cell>
          <cell r="J261">
            <v>25</v>
          </cell>
          <cell r="K261" t="str">
            <v/>
          </cell>
          <cell r="L261">
            <v>0</v>
          </cell>
          <cell r="M261">
            <v>72.296296296296291</v>
          </cell>
        </row>
        <row r="262">
          <cell r="B262">
            <v>90402</v>
          </cell>
          <cell r="C262" t="str">
            <v>CB224AAA</v>
          </cell>
          <cell r="D262" t="str">
            <v>94</v>
          </cell>
          <cell r="E262">
            <v>51034</v>
          </cell>
          <cell r="F262">
            <v>166</v>
          </cell>
          <cell r="G262">
            <v>50079</v>
          </cell>
          <cell r="H262">
            <v>25</v>
          </cell>
          <cell r="I262">
            <v>50079</v>
          </cell>
          <cell r="J262">
            <v>25</v>
          </cell>
          <cell r="K262" t="str">
            <v/>
          </cell>
          <cell r="L262">
            <v>0</v>
          </cell>
          <cell r="M262">
            <v>72.296296296296291</v>
          </cell>
        </row>
        <row r="263">
          <cell r="B263">
            <v>90403</v>
          </cell>
          <cell r="C263" t="str">
            <v>CB613AAA</v>
          </cell>
          <cell r="D263" t="str">
            <v>94</v>
          </cell>
          <cell r="E263">
            <v>51034</v>
          </cell>
          <cell r="F263">
            <v>166</v>
          </cell>
          <cell r="G263">
            <v>50140</v>
          </cell>
          <cell r="H263">
            <v>25</v>
          </cell>
          <cell r="I263">
            <v>50157</v>
          </cell>
          <cell r="J263">
            <v>25</v>
          </cell>
          <cell r="K263" t="str">
            <v/>
          </cell>
          <cell r="L263">
            <v>0</v>
          </cell>
          <cell r="M263">
            <v>67.087962962962962</v>
          </cell>
        </row>
        <row r="264">
          <cell r="B264">
            <v>90404</v>
          </cell>
          <cell r="C264" t="str">
            <v>CB811AAA</v>
          </cell>
          <cell r="D264" t="str">
            <v>94</v>
          </cell>
          <cell r="E264">
            <v>51034</v>
          </cell>
          <cell r="F264">
            <v>166</v>
          </cell>
          <cell r="G264">
            <v>50135</v>
          </cell>
          <cell r="H264">
            <v>25</v>
          </cell>
          <cell r="I264">
            <v>50094</v>
          </cell>
          <cell r="J264">
            <v>25</v>
          </cell>
          <cell r="K264" t="str">
            <v/>
          </cell>
          <cell r="L264">
            <v>0</v>
          </cell>
          <cell r="M264">
            <v>72.296296296296291</v>
          </cell>
        </row>
        <row r="265">
          <cell r="B265">
            <v>90405</v>
          </cell>
          <cell r="C265" t="str">
            <v>CB762AAA</v>
          </cell>
          <cell r="D265" t="str">
            <v>94</v>
          </cell>
          <cell r="E265">
            <v>51034</v>
          </cell>
          <cell r="F265">
            <v>166</v>
          </cell>
          <cell r="G265">
            <v>50099</v>
          </cell>
          <cell r="H265">
            <v>25</v>
          </cell>
          <cell r="I265">
            <v>50145</v>
          </cell>
          <cell r="J265">
            <v>25</v>
          </cell>
          <cell r="K265" t="str">
            <v/>
          </cell>
          <cell r="L265">
            <v>0</v>
          </cell>
          <cell r="M265">
            <v>75.768518518518519</v>
          </cell>
        </row>
        <row r="266">
          <cell r="B266">
            <v>90408</v>
          </cell>
          <cell r="C266" t="str">
            <v>CB521AAA</v>
          </cell>
          <cell r="D266" t="str">
            <v>94</v>
          </cell>
          <cell r="E266">
            <v>52000</v>
          </cell>
          <cell r="F266">
            <v>3.09</v>
          </cell>
          <cell r="G266">
            <v>50098</v>
          </cell>
          <cell r="H266">
            <v>88</v>
          </cell>
          <cell r="I266">
            <v>50119</v>
          </cell>
          <cell r="J266">
            <v>15</v>
          </cell>
          <cell r="K266">
            <v>10115</v>
          </cell>
          <cell r="L266">
            <v>0</v>
          </cell>
          <cell r="M266">
            <v>259.73230276180601</v>
          </cell>
        </row>
        <row r="267">
          <cell r="B267">
            <v>90501</v>
          </cell>
          <cell r="C267" t="str">
            <v>CB224AAA</v>
          </cell>
          <cell r="D267" t="str">
            <v>95</v>
          </cell>
          <cell r="E267">
            <v>51034</v>
          </cell>
          <cell r="F267">
            <v>166</v>
          </cell>
          <cell r="G267">
            <v>50079</v>
          </cell>
          <cell r="H267">
            <v>25</v>
          </cell>
          <cell r="I267">
            <v>50102</v>
          </cell>
          <cell r="J267">
            <v>25</v>
          </cell>
          <cell r="K267" t="str">
            <v/>
          </cell>
          <cell r="L267">
            <v>0</v>
          </cell>
          <cell r="M267">
            <v>80.976851851851848</v>
          </cell>
        </row>
        <row r="268">
          <cell r="B268">
            <v>90502</v>
          </cell>
          <cell r="C268" t="str">
            <v>CB225AAA</v>
          </cell>
          <cell r="D268" t="str">
            <v>95</v>
          </cell>
          <cell r="E268">
            <v>51034</v>
          </cell>
          <cell r="F268">
            <v>166</v>
          </cell>
          <cell r="G268">
            <v>50102</v>
          </cell>
          <cell r="H268">
            <v>25</v>
          </cell>
          <cell r="I268">
            <v>50099</v>
          </cell>
          <cell r="J268">
            <v>25</v>
          </cell>
          <cell r="K268" t="str">
            <v/>
          </cell>
          <cell r="L268">
            <v>0</v>
          </cell>
          <cell r="M268">
            <v>89.657407407407405</v>
          </cell>
        </row>
        <row r="269">
          <cell r="B269">
            <v>90503</v>
          </cell>
          <cell r="C269" t="str">
            <v>CB224AAA</v>
          </cell>
          <cell r="D269" t="str">
            <v>95</v>
          </cell>
          <cell r="E269">
            <v>51034</v>
          </cell>
          <cell r="F269">
            <v>166</v>
          </cell>
          <cell r="G269">
            <v>50079</v>
          </cell>
          <cell r="H269">
            <v>25</v>
          </cell>
          <cell r="I269">
            <v>50094</v>
          </cell>
          <cell r="J269">
            <v>25</v>
          </cell>
          <cell r="K269" t="str">
            <v/>
          </cell>
          <cell r="L269">
            <v>0</v>
          </cell>
          <cell r="M269">
            <v>72.296296296296291</v>
          </cell>
        </row>
        <row r="270">
          <cell r="B270">
            <v>90504</v>
          </cell>
          <cell r="C270" t="str">
            <v>CB741AAA</v>
          </cell>
          <cell r="D270" t="str">
            <v>95</v>
          </cell>
          <cell r="E270">
            <v>51034</v>
          </cell>
          <cell r="F270">
            <v>166</v>
          </cell>
          <cell r="G270">
            <v>50152</v>
          </cell>
          <cell r="H270">
            <v>25</v>
          </cell>
          <cell r="I270">
            <v>50102</v>
          </cell>
          <cell r="J270">
            <v>25</v>
          </cell>
          <cell r="K270" t="str">
            <v/>
          </cell>
          <cell r="L270">
            <v>0</v>
          </cell>
          <cell r="M270">
            <v>80.976851851851848</v>
          </cell>
        </row>
        <row r="271">
          <cell r="B271">
            <v>90505</v>
          </cell>
          <cell r="C271" t="str">
            <v>CB862AAA</v>
          </cell>
          <cell r="D271" t="str">
            <v>95</v>
          </cell>
          <cell r="E271">
            <v>51034</v>
          </cell>
          <cell r="F271">
            <v>166</v>
          </cell>
          <cell r="G271">
            <v>50078</v>
          </cell>
          <cell r="H271">
            <v>25</v>
          </cell>
          <cell r="I271">
            <v>50097</v>
          </cell>
          <cell r="J271">
            <v>25</v>
          </cell>
          <cell r="K271" t="str">
            <v/>
          </cell>
          <cell r="L271">
            <v>0</v>
          </cell>
          <cell r="M271">
            <v>80.976851851851848</v>
          </cell>
        </row>
        <row r="272">
          <cell r="B272">
            <v>90508</v>
          </cell>
          <cell r="C272" t="str">
            <v>CB514AAA</v>
          </cell>
          <cell r="D272" t="str">
            <v>95</v>
          </cell>
          <cell r="E272">
            <v>52000</v>
          </cell>
          <cell r="F272">
            <v>3.09</v>
          </cell>
          <cell r="G272">
            <v>50100</v>
          </cell>
          <cell r="H272">
            <v>88</v>
          </cell>
          <cell r="I272">
            <v>50096</v>
          </cell>
          <cell r="J272">
            <v>15</v>
          </cell>
          <cell r="K272">
            <v>10147</v>
          </cell>
          <cell r="L272">
            <v>0</v>
          </cell>
          <cell r="M272">
            <v>266.09482514845882</v>
          </cell>
        </row>
        <row r="273">
          <cell r="B273">
            <v>100101</v>
          </cell>
          <cell r="C273" t="str">
            <v>CB223AAA</v>
          </cell>
          <cell r="D273" t="str">
            <v>101</v>
          </cell>
          <cell r="E273">
            <v>51035</v>
          </cell>
          <cell r="F273">
            <v>165</v>
          </cell>
          <cell r="G273">
            <v>50119</v>
          </cell>
          <cell r="H273">
            <v>25</v>
          </cell>
          <cell r="I273">
            <v>50098</v>
          </cell>
          <cell r="J273">
            <v>25</v>
          </cell>
          <cell r="K273" t="str">
            <v/>
          </cell>
          <cell r="L273">
            <v>0</v>
          </cell>
          <cell r="M273">
            <v>77.302325581395351</v>
          </cell>
        </row>
        <row r="274">
          <cell r="B274">
            <v>100102</v>
          </cell>
          <cell r="C274" t="str">
            <v>CB223AAA</v>
          </cell>
          <cell r="D274" t="str">
            <v>101</v>
          </cell>
          <cell r="E274">
            <v>51035</v>
          </cell>
          <cell r="F274">
            <v>165</v>
          </cell>
          <cell r="G274">
            <v>50119</v>
          </cell>
          <cell r="H274">
            <v>25</v>
          </cell>
          <cell r="I274">
            <v>50093</v>
          </cell>
          <cell r="J274">
            <v>25</v>
          </cell>
          <cell r="K274" t="str">
            <v/>
          </cell>
          <cell r="L274">
            <v>0</v>
          </cell>
          <cell r="M274">
            <v>68.581395348837205</v>
          </cell>
        </row>
        <row r="275">
          <cell r="B275">
            <v>100103</v>
          </cell>
          <cell r="C275" t="str">
            <v>CB223AAA</v>
          </cell>
          <cell r="D275" t="str">
            <v>101</v>
          </cell>
          <cell r="E275">
            <v>51035</v>
          </cell>
          <cell r="F275">
            <v>165</v>
          </cell>
          <cell r="G275">
            <v>50119</v>
          </cell>
          <cell r="H275">
            <v>25</v>
          </cell>
          <cell r="I275">
            <v>50096</v>
          </cell>
          <cell r="J275">
            <v>25</v>
          </cell>
          <cell r="K275" t="str">
            <v/>
          </cell>
          <cell r="L275">
            <v>0</v>
          </cell>
          <cell r="M275">
            <v>68.581395348837205</v>
          </cell>
        </row>
        <row r="276">
          <cell r="B276">
            <v>100104</v>
          </cell>
          <cell r="C276" t="str">
            <v>CB371AAA</v>
          </cell>
          <cell r="D276" t="str">
            <v>101</v>
          </cell>
          <cell r="E276">
            <v>51035</v>
          </cell>
          <cell r="F276">
            <v>165</v>
          </cell>
          <cell r="G276">
            <v>50111</v>
          </cell>
          <cell r="H276">
            <v>25</v>
          </cell>
          <cell r="I276">
            <v>50098</v>
          </cell>
          <cell r="J276">
            <v>25</v>
          </cell>
          <cell r="K276" t="str">
            <v/>
          </cell>
          <cell r="L276">
            <v>0</v>
          </cell>
          <cell r="M276">
            <v>91.255813953488371</v>
          </cell>
        </row>
        <row r="277">
          <cell r="B277">
            <v>100105</v>
          </cell>
          <cell r="C277" t="str">
            <v>CB613AAA</v>
          </cell>
          <cell r="D277" t="str">
            <v>101</v>
          </cell>
          <cell r="E277">
            <v>51035</v>
          </cell>
          <cell r="F277">
            <v>165</v>
          </cell>
          <cell r="G277">
            <v>50140</v>
          </cell>
          <cell r="H277">
            <v>25</v>
          </cell>
          <cell r="I277">
            <v>50099</v>
          </cell>
          <cell r="J277">
            <v>25</v>
          </cell>
          <cell r="K277" t="str">
            <v/>
          </cell>
          <cell r="L277">
            <v>0</v>
          </cell>
          <cell r="M277">
            <v>82.534883720930239</v>
          </cell>
        </row>
        <row r="278">
          <cell r="B278">
            <v>100108</v>
          </cell>
          <cell r="C278" t="str">
            <v>CB501AAA</v>
          </cell>
          <cell r="D278" t="str">
            <v>101</v>
          </cell>
          <cell r="E278">
            <v>52000</v>
          </cell>
          <cell r="F278">
            <v>3.09</v>
          </cell>
          <cell r="G278">
            <v>50128</v>
          </cell>
          <cell r="H278">
            <v>88</v>
          </cell>
          <cell r="I278">
            <v>50094</v>
          </cell>
          <cell r="J278">
            <v>15</v>
          </cell>
          <cell r="K278">
            <v>10179</v>
          </cell>
          <cell r="L278">
            <v>0</v>
          </cell>
          <cell r="M278">
            <v>266.09482514845882</v>
          </cell>
        </row>
        <row r="279">
          <cell r="B279">
            <v>100201</v>
          </cell>
          <cell r="C279" t="str">
            <v>CB223AAA</v>
          </cell>
          <cell r="D279" t="str">
            <v>102</v>
          </cell>
          <cell r="E279">
            <v>51036</v>
          </cell>
          <cell r="F279">
            <v>164</v>
          </cell>
          <cell r="G279">
            <v>50119</v>
          </cell>
          <cell r="H279">
            <v>25</v>
          </cell>
          <cell r="I279">
            <v>50157</v>
          </cell>
          <cell r="J279">
            <v>25</v>
          </cell>
          <cell r="K279" t="str">
            <v/>
          </cell>
          <cell r="L279">
            <v>0</v>
          </cell>
          <cell r="M279">
            <v>64.813084112149539</v>
          </cell>
        </row>
        <row r="280">
          <cell r="B280">
            <v>100202</v>
          </cell>
          <cell r="C280" t="str">
            <v>CB898AAA</v>
          </cell>
          <cell r="D280" t="str">
            <v>102</v>
          </cell>
          <cell r="E280">
            <v>51036</v>
          </cell>
          <cell r="F280">
            <v>164</v>
          </cell>
          <cell r="G280">
            <v>50100</v>
          </cell>
          <cell r="H280">
            <v>25</v>
          </cell>
          <cell r="I280">
            <v>50095</v>
          </cell>
          <cell r="J280">
            <v>25</v>
          </cell>
          <cell r="K280" t="str">
            <v/>
          </cell>
          <cell r="L280">
            <v>0</v>
          </cell>
          <cell r="M280">
            <v>84.088785046728972</v>
          </cell>
        </row>
        <row r="281">
          <cell r="B281">
            <v>100203</v>
          </cell>
          <cell r="C281" t="str">
            <v>CB898AAA</v>
          </cell>
          <cell r="D281" t="str">
            <v>102</v>
          </cell>
          <cell r="E281">
            <v>51036</v>
          </cell>
          <cell r="F281">
            <v>164</v>
          </cell>
          <cell r="G281">
            <v>50100</v>
          </cell>
          <cell r="H281">
            <v>25</v>
          </cell>
          <cell r="I281">
            <v>50099</v>
          </cell>
          <cell r="J281">
            <v>25</v>
          </cell>
          <cell r="K281" t="str">
            <v/>
          </cell>
          <cell r="L281">
            <v>0</v>
          </cell>
          <cell r="M281">
            <v>92.850467289719631</v>
          </cell>
        </row>
        <row r="282">
          <cell r="B282">
            <v>100204</v>
          </cell>
          <cell r="C282" t="str">
            <v>CB736AAA</v>
          </cell>
          <cell r="D282" t="str">
            <v>102</v>
          </cell>
          <cell r="E282">
            <v>51036</v>
          </cell>
          <cell r="F282">
            <v>164</v>
          </cell>
          <cell r="G282">
            <v>50139</v>
          </cell>
          <cell r="H282">
            <v>25</v>
          </cell>
          <cell r="I282">
            <v>50097</v>
          </cell>
          <cell r="J282">
            <v>25</v>
          </cell>
          <cell r="K282" t="str">
            <v/>
          </cell>
          <cell r="L282">
            <v>0</v>
          </cell>
          <cell r="M282">
            <v>84.088785046728972</v>
          </cell>
        </row>
        <row r="283">
          <cell r="B283">
            <v>100205</v>
          </cell>
          <cell r="C283" t="str">
            <v>CB897AAA</v>
          </cell>
          <cell r="D283" t="str">
            <v>102</v>
          </cell>
          <cell r="E283">
            <v>51036</v>
          </cell>
          <cell r="F283">
            <v>164</v>
          </cell>
          <cell r="G283">
            <v>50148</v>
          </cell>
          <cell r="H283">
            <v>25</v>
          </cell>
          <cell r="I283">
            <v>50145</v>
          </cell>
          <cell r="J283">
            <v>25</v>
          </cell>
          <cell r="K283" t="str">
            <v/>
          </cell>
          <cell r="L283">
            <v>0</v>
          </cell>
          <cell r="M283">
            <v>70.070093457943926</v>
          </cell>
        </row>
        <row r="284">
          <cell r="B284">
            <v>100208</v>
          </cell>
          <cell r="C284" t="str">
            <v>CB633AAA</v>
          </cell>
          <cell r="D284" t="str">
            <v>102</v>
          </cell>
          <cell r="E284">
            <v>52000</v>
          </cell>
          <cell r="F284">
            <v>4.32</v>
          </cell>
          <cell r="G284">
            <v>50151</v>
          </cell>
          <cell r="H284">
            <v>129</v>
          </cell>
          <cell r="I284">
            <v>50093</v>
          </cell>
          <cell r="J284">
            <v>15</v>
          </cell>
          <cell r="K284">
            <v>10211</v>
          </cell>
          <cell r="L284">
            <v>0</v>
          </cell>
          <cell r="M284">
            <v>203.88349514563109</v>
          </cell>
        </row>
        <row r="285">
          <cell r="B285">
            <v>100301</v>
          </cell>
          <cell r="C285" t="str">
            <v>CB898AAA</v>
          </cell>
          <cell r="D285" t="str">
            <v>103</v>
          </cell>
          <cell r="E285">
            <v>51037</v>
          </cell>
          <cell r="F285">
            <v>163</v>
          </cell>
          <cell r="G285">
            <v>50100</v>
          </cell>
          <cell r="H285">
            <v>25</v>
          </cell>
          <cell r="I285">
            <v>50097</v>
          </cell>
          <cell r="J285">
            <v>25</v>
          </cell>
          <cell r="K285" t="str">
            <v/>
          </cell>
          <cell r="L285">
            <v>0</v>
          </cell>
          <cell r="M285">
            <v>94.441314553990608</v>
          </cell>
        </row>
        <row r="286">
          <cell r="B286">
            <v>100302</v>
          </cell>
          <cell r="C286" t="str">
            <v>CB898AAA</v>
          </cell>
          <cell r="D286" t="str">
            <v>103</v>
          </cell>
          <cell r="E286">
            <v>51037</v>
          </cell>
          <cell r="F286">
            <v>163</v>
          </cell>
          <cell r="G286">
            <v>50100</v>
          </cell>
          <cell r="H286">
            <v>25</v>
          </cell>
          <cell r="I286">
            <v>50099</v>
          </cell>
          <cell r="J286">
            <v>25</v>
          </cell>
          <cell r="K286" t="str">
            <v/>
          </cell>
          <cell r="L286">
            <v>0</v>
          </cell>
          <cell r="M286">
            <v>94.441314553990608</v>
          </cell>
        </row>
        <row r="287">
          <cell r="B287">
            <v>100303</v>
          </cell>
          <cell r="C287" t="str">
            <v>CB898AAA</v>
          </cell>
          <cell r="D287" t="str">
            <v>103</v>
          </cell>
          <cell r="E287">
            <v>51037</v>
          </cell>
          <cell r="F287">
            <v>163</v>
          </cell>
          <cell r="G287">
            <v>50100</v>
          </cell>
          <cell r="H287">
            <v>25</v>
          </cell>
          <cell r="I287">
            <v>50094</v>
          </cell>
          <cell r="J287">
            <v>25</v>
          </cell>
          <cell r="K287" t="str">
            <v/>
          </cell>
          <cell r="L287">
            <v>0</v>
          </cell>
          <cell r="M287">
            <v>85.63849765258216</v>
          </cell>
        </row>
        <row r="288">
          <cell r="B288">
            <v>100304</v>
          </cell>
          <cell r="C288" t="str">
            <v>CB736AAA</v>
          </cell>
          <cell r="D288" t="str">
            <v>103</v>
          </cell>
          <cell r="E288">
            <v>51037</v>
          </cell>
          <cell r="F288">
            <v>163</v>
          </cell>
          <cell r="G288">
            <v>50139</v>
          </cell>
          <cell r="H288">
            <v>25</v>
          </cell>
          <cell r="I288">
            <v>50098</v>
          </cell>
          <cell r="J288">
            <v>25</v>
          </cell>
          <cell r="K288" t="str">
            <v/>
          </cell>
          <cell r="L288">
            <v>0</v>
          </cell>
          <cell r="M288">
            <v>85.63849765258216</v>
          </cell>
        </row>
        <row r="289">
          <cell r="B289">
            <v>100305</v>
          </cell>
          <cell r="C289" t="str">
            <v>CB898AAA</v>
          </cell>
          <cell r="D289" t="str">
            <v>103</v>
          </cell>
          <cell r="E289">
            <v>51037</v>
          </cell>
          <cell r="F289">
            <v>163</v>
          </cell>
          <cell r="G289">
            <v>50100</v>
          </cell>
          <cell r="H289">
            <v>25</v>
          </cell>
          <cell r="I289">
            <v>50101</v>
          </cell>
          <cell r="J289">
            <v>25</v>
          </cell>
          <cell r="K289" t="str">
            <v/>
          </cell>
          <cell r="L289">
            <v>0</v>
          </cell>
          <cell r="M289">
            <v>94.441314553990608</v>
          </cell>
        </row>
        <row r="290">
          <cell r="B290">
            <v>100308</v>
          </cell>
          <cell r="C290" t="str">
            <v>CB721AAA</v>
          </cell>
          <cell r="D290" t="str">
            <v>103</v>
          </cell>
          <cell r="E290">
            <v>52000</v>
          </cell>
          <cell r="F290">
            <v>4.32</v>
          </cell>
          <cell r="G290">
            <v>50151</v>
          </cell>
          <cell r="H290">
            <v>129</v>
          </cell>
          <cell r="I290">
            <v>50097</v>
          </cell>
          <cell r="J290">
            <v>15</v>
          </cell>
          <cell r="K290">
            <v>10243</v>
          </cell>
          <cell r="L290">
            <v>0</v>
          </cell>
          <cell r="M290">
            <v>211.46844660194176</v>
          </cell>
        </row>
        <row r="291">
          <cell r="B291">
            <v>100401</v>
          </cell>
          <cell r="C291" t="str">
            <v>CB898AAA</v>
          </cell>
          <cell r="D291" t="str">
            <v>104</v>
          </cell>
          <cell r="E291">
            <v>51037</v>
          </cell>
          <cell r="F291">
            <v>163</v>
          </cell>
          <cell r="G291">
            <v>50100</v>
          </cell>
          <cell r="H291">
            <v>25</v>
          </cell>
          <cell r="I291">
            <v>50092</v>
          </cell>
          <cell r="J291">
            <v>25</v>
          </cell>
          <cell r="K291" t="str">
            <v/>
          </cell>
          <cell r="L291">
            <v>0</v>
          </cell>
          <cell r="M291">
            <v>85.63849765258216</v>
          </cell>
        </row>
        <row r="292">
          <cell r="B292">
            <v>100402</v>
          </cell>
          <cell r="C292" t="str">
            <v>CB223AAA</v>
          </cell>
          <cell r="D292" t="str">
            <v>104</v>
          </cell>
          <cell r="E292">
            <v>51037</v>
          </cell>
          <cell r="F292">
            <v>163</v>
          </cell>
          <cell r="G292">
            <v>50119</v>
          </cell>
          <cell r="H292">
            <v>25</v>
          </cell>
          <cell r="I292">
            <v>50102</v>
          </cell>
          <cell r="J292">
            <v>25</v>
          </cell>
          <cell r="K292" t="str">
            <v/>
          </cell>
          <cell r="L292">
            <v>0</v>
          </cell>
          <cell r="M292">
            <v>80.356807511737088</v>
          </cell>
        </row>
        <row r="293">
          <cell r="B293">
            <v>100403</v>
          </cell>
          <cell r="C293" t="str">
            <v>CB223AAA</v>
          </cell>
          <cell r="D293" t="str">
            <v>104</v>
          </cell>
          <cell r="E293">
            <v>51037</v>
          </cell>
          <cell r="F293">
            <v>163</v>
          </cell>
          <cell r="G293">
            <v>50119</v>
          </cell>
          <cell r="H293">
            <v>25</v>
          </cell>
          <cell r="I293">
            <v>50092</v>
          </cell>
          <cell r="J293">
            <v>25</v>
          </cell>
          <cell r="K293" t="str">
            <v/>
          </cell>
          <cell r="L293">
            <v>0</v>
          </cell>
          <cell r="M293">
            <v>71.55399061032864</v>
          </cell>
        </row>
        <row r="294">
          <cell r="B294">
            <v>100404</v>
          </cell>
          <cell r="C294" t="str">
            <v>CB401AAA</v>
          </cell>
          <cell r="D294" t="str">
            <v>104</v>
          </cell>
          <cell r="E294">
            <v>51037</v>
          </cell>
          <cell r="F294">
            <v>163</v>
          </cell>
          <cell r="G294">
            <v>50090</v>
          </cell>
          <cell r="H294">
            <v>25</v>
          </cell>
          <cell r="I294">
            <v>50101</v>
          </cell>
          <cell r="J294">
            <v>25</v>
          </cell>
          <cell r="K294" t="str">
            <v/>
          </cell>
          <cell r="L294">
            <v>0</v>
          </cell>
          <cell r="M294">
            <v>85.63849765258216</v>
          </cell>
        </row>
        <row r="295">
          <cell r="B295">
            <v>100405</v>
          </cell>
          <cell r="C295" t="str">
            <v>CB766AAA</v>
          </cell>
          <cell r="D295" t="str">
            <v>104</v>
          </cell>
          <cell r="E295">
            <v>51037</v>
          </cell>
          <cell r="F295">
            <v>163</v>
          </cell>
          <cell r="G295">
            <v>50090</v>
          </cell>
          <cell r="H295">
            <v>25</v>
          </cell>
          <cell r="I295">
            <v>50094</v>
          </cell>
          <cell r="J295">
            <v>25</v>
          </cell>
          <cell r="K295" t="str">
            <v/>
          </cell>
          <cell r="L295">
            <v>0</v>
          </cell>
          <cell r="M295">
            <v>76.835680751173712</v>
          </cell>
        </row>
        <row r="296">
          <cell r="B296">
            <v>100408</v>
          </cell>
          <cell r="C296" t="str">
            <v>CB801AAA</v>
          </cell>
          <cell r="D296" t="str">
            <v>104</v>
          </cell>
          <cell r="E296">
            <v>52000</v>
          </cell>
          <cell r="F296">
            <v>3.09</v>
          </cell>
          <cell r="G296">
            <v>50141</v>
          </cell>
          <cell r="H296">
            <v>88</v>
          </cell>
          <cell r="I296">
            <v>50100</v>
          </cell>
          <cell r="J296">
            <v>15</v>
          </cell>
          <cell r="K296">
            <v>10275</v>
          </cell>
          <cell r="L296">
            <v>0</v>
          </cell>
          <cell r="M296">
            <v>276.69902912621359</v>
          </cell>
        </row>
        <row r="297">
          <cell r="B297">
            <v>100501</v>
          </cell>
          <cell r="C297" t="str">
            <v>CB223AAA</v>
          </cell>
          <cell r="D297" t="str">
            <v>105</v>
          </cell>
          <cell r="E297">
            <v>51038</v>
          </cell>
          <cell r="F297">
            <v>162</v>
          </cell>
          <cell r="G297">
            <v>50119</v>
          </cell>
          <cell r="H297">
            <v>25</v>
          </cell>
          <cell r="I297">
            <v>50097</v>
          </cell>
          <cell r="J297">
            <v>25</v>
          </cell>
          <cell r="K297" t="str">
            <v/>
          </cell>
          <cell r="L297">
            <v>0</v>
          </cell>
          <cell r="M297">
            <v>81.877358490566039</v>
          </cell>
        </row>
        <row r="298">
          <cell r="B298">
            <v>100502</v>
          </cell>
          <cell r="C298" t="str">
            <v>CB223AAA</v>
          </cell>
          <cell r="D298" t="str">
            <v>105</v>
          </cell>
          <cell r="E298">
            <v>51038</v>
          </cell>
          <cell r="F298">
            <v>162</v>
          </cell>
          <cell r="G298">
            <v>50119</v>
          </cell>
          <cell r="H298">
            <v>25</v>
          </cell>
          <cell r="I298">
            <v>50135</v>
          </cell>
          <cell r="J298">
            <v>25</v>
          </cell>
          <cell r="K298" t="str">
            <v/>
          </cell>
          <cell r="L298">
            <v>0</v>
          </cell>
          <cell r="M298">
            <v>73.033018867924525</v>
          </cell>
        </row>
        <row r="299">
          <cell r="B299">
            <v>100503</v>
          </cell>
          <cell r="C299" t="str">
            <v>CB223AAA</v>
          </cell>
          <cell r="D299" t="str">
            <v>105</v>
          </cell>
          <cell r="E299">
            <v>51038</v>
          </cell>
          <cell r="F299">
            <v>162</v>
          </cell>
          <cell r="G299">
            <v>50119</v>
          </cell>
          <cell r="H299">
            <v>25</v>
          </cell>
          <cell r="I299">
            <v>50079</v>
          </cell>
          <cell r="J299">
            <v>25</v>
          </cell>
          <cell r="K299" t="str">
            <v/>
          </cell>
          <cell r="L299">
            <v>0</v>
          </cell>
          <cell r="M299">
            <v>73.033018867924525</v>
          </cell>
        </row>
        <row r="300">
          <cell r="B300">
            <v>100504</v>
          </cell>
          <cell r="C300" t="str">
            <v>CB741AAA</v>
          </cell>
          <cell r="D300" t="str">
            <v>105</v>
          </cell>
          <cell r="E300">
            <v>51038</v>
          </cell>
          <cell r="F300">
            <v>162</v>
          </cell>
          <cell r="G300">
            <v>50152</v>
          </cell>
          <cell r="H300">
            <v>25</v>
          </cell>
          <cell r="I300">
            <v>50103</v>
          </cell>
          <cell r="J300">
            <v>25</v>
          </cell>
          <cell r="K300" t="str">
            <v/>
          </cell>
          <cell r="L300">
            <v>0</v>
          </cell>
          <cell r="M300">
            <v>87.183962264150949</v>
          </cell>
        </row>
        <row r="301">
          <cell r="B301">
            <v>100505</v>
          </cell>
          <cell r="C301" t="str">
            <v>CB762AAA</v>
          </cell>
          <cell r="D301" t="str">
            <v>105</v>
          </cell>
          <cell r="E301">
            <v>51038</v>
          </cell>
          <cell r="F301">
            <v>162</v>
          </cell>
          <cell r="G301">
            <v>50099</v>
          </cell>
          <cell r="H301">
            <v>25</v>
          </cell>
          <cell r="I301">
            <v>50135</v>
          </cell>
          <cell r="J301">
            <v>25</v>
          </cell>
          <cell r="K301" t="str">
            <v/>
          </cell>
          <cell r="L301">
            <v>0</v>
          </cell>
          <cell r="M301">
            <v>87.183962264150949</v>
          </cell>
        </row>
        <row r="302">
          <cell r="B302">
            <v>100508</v>
          </cell>
          <cell r="C302" t="str">
            <v>CB301AAA</v>
          </cell>
          <cell r="D302" t="str">
            <v>105</v>
          </cell>
          <cell r="E302">
            <v>52000</v>
          </cell>
          <cell r="F302">
            <v>3.09</v>
          </cell>
          <cell r="G302">
            <v>50113</v>
          </cell>
          <cell r="H302">
            <v>88</v>
          </cell>
          <cell r="I302">
            <v>50097</v>
          </cell>
          <cell r="J302">
            <v>15</v>
          </cell>
          <cell r="K302">
            <v>10307</v>
          </cell>
          <cell r="L302">
            <v>0</v>
          </cell>
          <cell r="M302">
            <v>276.69902912621359</v>
          </cell>
        </row>
        <row r="303">
          <cell r="B303">
            <v>110101</v>
          </cell>
          <cell r="C303" t="str">
            <v>CB892AAA</v>
          </cell>
          <cell r="D303" t="str">
            <v>111</v>
          </cell>
          <cell r="E303">
            <v>51039</v>
          </cell>
          <cell r="F303">
            <v>161</v>
          </cell>
          <cell r="G303">
            <v>50135</v>
          </cell>
          <cell r="H303">
            <v>25</v>
          </cell>
          <cell r="I303">
            <v>50079</v>
          </cell>
          <cell r="J303">
            <v>25</v>
          </cell>
          <cell r="K303" t="str">
            <v/>
          </cell>
          <cell r="L303">
            <v>0</v>
          </cell>
          <cell r="M303">
            <v>79.838862559241704</v>
          </cell>
        </row>
        <row r="304">
          <cell r="B304">
            <v>110102</v>
          </cell>
          <cell r="C304" t="str">
            <v>CB222AAA</v>
          </cell>
          <cell r="D304" t="str">
            <v>111</v>
          </cell>
          <cell r="E304">
            <v>51039</v>
          </cell>
          <cell r="F304">
            <v>161</v>
          </cell>
          <cell r="G304">
            <v>50095</v>
          </cell>
          <cell r="H304">
            <v>25</v>
          </cell>
          <cell r="I304">
            <v>50096</v>
          </cell>
          <cell r="J304">
            <v>25</v>
          </cell>
          <cell r="K304" t="str">
            <v/>
          </cell>
          <cell r="L304">
            <v>0</v>
          </cell>
          <cell r="M304">
            <v>79.838862559241704</v>
          </cell>
        </row>
        <row r="305">
          <cell r="B305">
            <v>110103</v>
          </cell>
          <cell r="C305" t="str">
            <v>CB373AAA</v>
          </cell>
          <cell r="D305" t="str">
            <v>111</v>
          </cell>
          <cell r="E305">
            <v>51039</v>
          </cell>
          <cell r="F305">
            <v>161</v>
          </cell>
          <cell r="G305">
            <v>50111</v>
          </cell>
          <cell r="H305">
            <v>25</v>
          </cell>
          <cell r="I305">
            <v>50103</v>
          </cell>
          <cell r="J305">
            <v>25</v>
          </cell>
          <cell r="K305" t="str">
            <v/>
          </cell>
          <cell r="L305">
            <v>0</v>
          </cell>
          <cell r="M305">
            <v>97.611374407582943</v>
          </cell>
        </row>
        <row r="306">
          <cell r="B306">
            <v>110104</v>
          </cell>
          <cell r="C306" t="str">
            <v>CB733AAA</v>
          </cell>
          <cell r="D306" t="str">
            <v>111</v>
          </cell>
          <cell r="E306">
            <v>51039</v>
          </cell>
          <cell r="F306">
            <v>161</v>
          </cell>
          <cell r="G306">
            <v>50138</v>
          </cell>
          <cell r="H306">
            <v>25</v>
          </cell>
          <cell r="I306">
            <v>50078</v>
          </cell>
          <cell r="J306">
            <v>25</v>
          </cell>
          <cell r="K306" t="str">
            <v/>
          </cell>
          <cell r="L306">
            <v>0</v>
          </cell>
          <cell r="M306">
            <v>79.838862559241704</v>
          </cell>
        </row>
        <row r="307">
          <cell r="B307">
            <v>110105</v>
          </cell>
          <cell r="C307" t="str">
            <v>CB956AAA</v>
          </cell>
          <cell r="D307" t="str">
            <v>111</v>
          </cell>
          <cell r="E307">
            <v>51039</v>
          </cell>
          <cell r="F307">
            <v>161</v>
          </cell>
          <cell r="G307">
            <v>50146</v>
          </cell>
          <cell r="H307">
            <v>25</v>
          </cell>
          <cell r="I307">
            <v>50103</v>
          </cell>
          <cell r="J307">
            <v>25</v>
          </cell>
          <cell r="K307" t="str">
            <v/>
          </cell>
          <cell r="L307">
            <v>0</v>
          </cell>
          <cell r="M307">
            <v>88.725118483412317</v>
          </cell>
        </row>
        <row r="308">
          <cell r="B308">
            <v>110108</v>
          </cell>
          <cell r="C308" t="str">
            <v>CB883AAA</v>
          </cell>
          <cell r="D308" t="str">
            <v>111</v>
          </cell>
          <cell r="E308">
            <v>52000</v>
          </cell>
          <cell r="F308">
            <v>1.41</v>
          </cell>
          <cell r="G308">
            <v>50086</v>
          </cell>
          <cell r="H308">
            <v>32</v>
          </cell>
          <cell r="I308">
            <v>50079</v>
          </cell>
          <cell r="J308">
            <v>15</v>
          </cell>
          <cell r="K308">
            <v>10339</v>
          </cell>
          <cell r="L308">
            <v>0</v>
          </cell>
          <cell r="M308">
            <v>412.10493699648833</v>
          </cell>
        </row>
        <row r="309">
          <cell r="B309">
            <v>110201</v>
          </cell>
          <cell r="C309" t="str">
            <v>CB222AAA</v>
          </cell>
          <cell r="D309" t="str">
            <v>112</v>
          </cell>
          <cell r="E309">
            <v>51039</v>
          </cell>
          <cell r="F309">
            <v>161</v>
          </cell>
          <cell r="G309">
            <v>50095</v>
          </cell>
          <cell r="H309">
            <v>25</v>
          </cell>
          <cell r="I309">
            <v>50101</v>
          </cell>
          <cell r="J309">
            <v>25</v>
          </cell>
          <cell r="K309" t="str">
            <v/>
          </cell>
          <cell r="L309">
            <v>0</v>
          </cell>
          <cell r="M309">
            <v>88.725118483412317</v>
          </cell>
        </row>
        <row r="310">
          <cell r="B310">
            <v>110202</v>
          </cell>
          <cell r="C310" t="str">
            <v>CB373AAA</v>
          </cell>
          <cell r="D310" t="str">
            <v>112</v>
          </cell>
          <cell r="E310">
            <v>51039</v>
          </cell>
          <cell r="F310">
            <v>161</v>
          </cell>
          <cell r="G310">
            <v>50111</v>
          </cell>
          <cell r="H310">
            <v>25</v>
          </cell>
          <cell r="I310">
            <v>50099</v>
          </cell>
          <cell r="J310">
            <v>25</v>
          </cell>
          <cell r="K310" t="str">
            <v/>
          </cell>
          <cell r="L310">
            <v>0</v>
          </cell>
          <cell r="M310">
            <v>97.611374407582943</v>
          </cell>
        </row>
        <row r="311">
          <cell r="B311">
            <v>110203</v>
          </cell>
          <cell r="C311" t="str">
            <v>CB892AAA</v>
          </cell>
          <cell r="D311" t="str">
            <v>112</v>
          </cell>
          <cell r="E311">
            <v>51039</v>
          </cell>
          <cell r="F311">
            <v>161</v>
          </cell>
          <cell r="G311">
            <v>50135</v>
          </cell>
          <cell r="H311">
            <v>25</v>
          </cell>
          <cell r="I311">
            <v>50094</v>
          </cell>
          <cell r="J311">
            <v>25</v>
          </cell>
          <cell r="K311" t="str">
            <v/>
          </cell>
          <cell r="L311">
            <v>0</v>
          </cell>
          <cell r="M311">
            <v>79.838862559241704</v>
          </cell>
        </row>
        <row r="312">
          <cell r="B312">
            <v>110204</v>
          </cell>
          <cell r="C312" t="str">
            <v>CB747AAA</v>
          </cell>
          <cell r="D312" t="str">
            <v>112</v>
          </cell>
          <cell r="E312">
            <v>51039</v>
          </cell>
          <cell r="F312">
            <v>161</v>
          </cell>
          <cell r="G312">
            <v>50116</v>
          </cell>
          <cell r="H312">
            <v>25</v>
          </cell>
          <cell r="I312">
            <v>50091</v>
          </cell>
          <cell r="J312">
            <v>25</v>
          </cell>
          <cell r="K312" t="str">
            <v/>
          </cell>
          <cell r="L312">
            <v>0</v>
          </cell>
          <cell r="M312">
            <v>88.725118483412317</v>
          </cell>
        </row>
        <row r="313">
          <cell r="B313">
            <v>110205</v>
          </cell>
          <cell r="C313" t="str">
            <v>CB734AAA</v>
          </cell>
          <cell r="D313" t="str">
            <v>112</v>
          </cell>
          <cell r="E313">
            <v>51039</v>
          </cell>
          <cell r="F313">
            <v>161</v>
          </cell>
          <cell r="G313">
            <v>50147</v>
          </cell>
          <cell r="H313">
            <v>25</v>
          </cell>
          <cell r="I313">
            <v>50103</v>
          </cell>
          <cell r="J313">
            <v>25</v>
          </cell>
          <cell r="K313" t="str">
            <v/>
          </cell>
          <cell r="L313">
            <v>0</v>
          </cell>
          <cell r="M313">
            <v>88.725118483412317</v>
          </cell>
        </row>
        <row r="314">
          <cell r="B314">
            <v>110208</v>
          </cell>
          <cell r="C314" t="str">
            <v>CB882AAA</v>
          </cell>
          <cell r="D314" t="str">
            <v>112</v>
          </cell>
          <cell r="E314">
            <v>52000</v>
          </cell>
          <cell r="F314">
            <v>1.41</v>
          </cell>
          <cell r="G314">
            <v>50086</v>
          </cell>
          <cell r="H314">
            <v>32</v>
          </cell>
          <cell r="I314">
            <v>50103</v>
          </cell>
          <cell r="J314">
            <v>15</v>
          </cell>
          <cell r="K314">
            <v>10371</v>
          </cell>
          <cell r="L314">
            <v>0</v>
          </cell>
          <cell r="M314">
            <v>435.34393720305724</v>
          </cell>
        </row>
        <row r="315">
          <cell r="B315">
            <v>110301</v>
          </cell>
          <cell r="C315" t="str">
            <v>CB373AAA</v>
          </cell>
          <cell r="D315" t="str">
            <v>113</v>
          </cell>
          <cell r="E315">
            <v>51040</v>
          </cell>
          <cell r="F315">
            <v>160</v>
          </cell>
          <cell r="G315">
            <v>50111</v>
          </cell>
          <cell r="H315">
            <v>25</v>
          </cell>
          <cell r="I315">
            <v>50078</v>
          </cell>
          <cell r="J315">
            <v>25</v>
          </cell>
          <cell r="K315" t="str">
            <v/>
          </cell>
          <cell r="L315">
            <v>0</v>
          </cell>
          <cell r="M315">
            <v>90.261904761904759</v>
          </cell>
        </row>
        <row r="316">
          <cell r="B316">
            <v>110302</v>
          </cell>
          <cell r="C316" t="str">
            <v>CB862AAA</v>
          </cell>
          <cell r="D316" t="str">
            <v>113</v>
          </cell>
          <cell r="E316">
            <v>51040</v>
          </cell>
          <cell r="F316">
            <v>160</v>
          </cell>
          <cell r="G316">
            <v>50078</v>
          </cell>
          <cell r="H316">
            <v>25</v>
          </cell>
          <cell r="I316">
            <v>50100</v>
          </cell>
          <cell r="J316">
            <v>25</v>
          </cell>
          <cell r="K316" t="str">
            <v/>
          </cell>
          <cell r="L316">
            <v>0</v>
          </cell>
          <cell r="M316">
            <v>90.261904761904759</v>
          </cell>
        </row>
        <row r="317">
          <cell r="B317">
            <v>110303</v>
          </cell>
          <cell r="C317" t="str">
            <v>CB357AAA</v>
          </cell>
          <cell r="D317" t="str">
            <v>113</v>
          </cell>
          <cell r="E317">
            <v>51040</v>
          </cell>
          <cell r="F317">
            <v>160</v>
          </cell>
          <cell r="G317">
            <v>50137</v>
          </cell>
          <cell r="H317">
            <v>25</v>
          </cell>
          <cell r="I317">
            <v>50096</v>
          </cell>
          <cell r="J317">
            <v>25</v>
          </cell>
          <cell r="K317" t="str">
            <v/>
          </cell>
          <cell r="L317">
            <v>0</v>
          </cell>
          <cell r="M317">
            <v>81.333333333333329</v>
          </cell>
        </row>
        <row r="318">
          <cell r="B318">
            <v>110304</v>
          </cell>
          <cell r="C318" t="str">
            <v>CB862AAA</v>
          </cell>
          <cell r="D318" t="str">
            <v>113</v>
          </cell>
          <cell r="E318">
            <v>51040</v>
          </cell>
          <cell r="F318">
            <v>160</v>
          </cell>
          <cell r="G318">
            <v>50078</v>
          </cell>
          <cell r="H318">
            <v>25</v>
          </cell>
          <cell r="I318">
            <v>50097</v>
          </cell>
          <cell r="J318">
            <v>25</v>
          </cell>
          <cell r="K318" t="str">
            <v/>
          </cell>
          <cell r="L318">
            <v>0</v>
          </cell>
          <cell r="M318">
            <v>90.261904761904759</v>
          </cell>
        </row>
        <row r="319">
          <cell r="B319">
            <v>110305</v>
          </cell>
          <cell r="C319" t="str">
            <v>CB507AAA</v>
          </cell>
          <cell r="D319" t="str">
            <v>113</v>
          </cell>
          <cell r="E319">
            <v>51040</v>
          </cell>
          <cell r="F319">
            <v>160</v>
          </cell>
          <cell r="G319">
            <v>50146</v>
          </cell>
          <cell r="H319">
            <v>25</v>
          </cell>
          <cell r="I319">
            <v>50098</v>
          </cell>
          <cell r="J319">
            <v>25</v>
          </cell>
          <cell r="K319" t="str">
            <v/>
          </cell>
          <cell r="L319">
            <v>0</v>
          </cell>
          <cell r="M319">
            <v>90.261904761904759</v>
          </cell>
        </row>
        <row r="320">
          <cell r="B320">
            <v>110308</v>
          </cell>
          <cell r="C320" t="str">
            <v>CB881AAA</v>
          </cell>
          <cell r="D320" t="str">
            <v>113</v>
          </cell>
          <cell r="E320">
            <v>52000</v>
          </cell>
          <cell r="F320">
            <v>1.41</v>
          </cell>
          <cell r="G320">
            <v>50086</v>
          </cell>
          <cell r="H320">
            <v>32</v>
          </cell>
          <cell r="I320">
            <v>50145</v>
          </cell>
          <cell r="J320">
            <v>15</v>
          </cell>
          <cell r="K320">
            <v>10403</v>
          </cell>
          <cell r="L320">
            <v>0</v>
          </cell>
          <cell r="M320">
            <v>398.161536872547</v>
          </cell>
        </row>
        <row r="321">
          <cell r="B321">
            <v>110401</v>
          </cell>
          <cell r="C321" t="str">
            <v>CB372AAA</v>
          </cell>
          <cell r="D321" t="str">
            <v>114</v>
          </cell>
          <cell r="E321">
            <v>51041</v>
          </cell>
          <cell r="F321">
            <v>159</v>
          </cell>
          <cell r="G321">
            <v>50112</v>
          </cell>
          <cell r="H321">
            <v>25</v>
          </cell>
          <cell r="I321">
            <v>50145</v>
          </cell>
          <cell r="J321">
            <v>25</v>
          </cell>
          <cell r="K321" t="str">
            <v/>
          </cell>
          <cell r="L321">
            <v>0</v>
          </cell>
          <cell r="M321">
            <v>86.411483253588514</v>
          </cell>
        </row>
        <row r="322">
          <cell r="B322">
            <v>110402</v>
          </cell>
          <cell r="C322" t="str">
            <v>CB892AAA</v>
          </cell>
          <cell r="D322" t="str">
            <v>114</v>
          </cell>
          <cell r="E322">
            <v>51041</v>
          </cell>
          <cell r="F322">
            <v>159</v>
          </cell>
          <cell r="G322">
            <v>50135</v>
          </cell>
          <cell r="H322">
            <v>25</v>
          </cell>
          <cell r="I322">
            <v>50145</v>
          </cell>
          <cell r="J322">
            <v>25</v>
          </cell>
          <cell r="K322" t="str">
            <v/>
          </cell>
          <cell r="L322">
            <v>0</v>
          </cell>
          <cell r="M322">
            <v>77.440191387559807</v>
          </cell>
        </row>
        <row r="323">
          <cell r="B323">
            <v>110403</v>
          </cell>
          <cell r="C323" t="str">
            <v>CB892AAA</v>
          </cell>
          <cell r="D323" t="str">
            <v>114</v>
          </cell>
          <cell r="E323">
            <v>51041</v>
          </cell>
          <cell r="F323">
            <v>159</v>
          </cell>
          <cell r="G323">
            <v>50135</v>
          </cell>
          <cell r="H323">
            <v>25</v>
          </cell>
          <cell r="I323">
            <v>50145</v>
          </cell>
          <cell r="J323">
            <v>25</v>
          </cell>
          <cell r="K323" t="str">
            <v/>
          </cell>
          <cell r="L323">
            <v>0</v>
          </cell>
          <cell r="M323">
            <v>77.440191387559807</v>
          </cell>
        </row>
        <row r="324">
          <cell r="B324">
            <v>110404</v>
          </cell>
          <cell r="C324" t="str">
            <v>CB373AAA</v>
          </cell>
          <cell r="D324" t="str">
            <v>114</v>
          </cell>
          <cell r="E324">
            <v>51041</v>
          </cell>
          <cell r="F324">
            <v>159</v>
          </cell>
          <cell r="G324">
            <v>50111</v>
          </cell>
          <cell r="H324">
            <v>25</v>
          </cell>
          <cell r="I324">
            <v>50090</v>
          </cell>
          <cell r="J324">
            <v>25</v>
          </cell>
          <cell r="K324" t="str">
            <v/>
          </cell>
          <cell r="L324">
            <v>0</v>
          </cell>
          <cell r="M324">
            <v>91.794258373205736</v>
          </cell>
        </row>
        <row r="325">
          <cell r="B325">
            <v>110405</v>
          </cell>
          <cell r="C325" t="str">
            <v>CB734AAA</v>
          </cell>
          <cell r="D325" t="str">
            <v>114</v>
          </cell>
          <cell r="E325">
            <v>51041</v>
          </cell>
          <cell r="F325">
            <v>159</v>
          </cell>
          <cell r="G325">
            <v>50147</v>
          </cell>
          <cell r="H325">
            <v>25</v>
          </cell>
          <cell r="I325">
            <v>50094</v>
          </cell>
          <cell r="J325">
            <v>25</v>
          </cell>
          <cell r="K325" t="str">
            <v/>
          </cell>
          <cell r="L325">
            <v>0</v>
          </cell>
          <cell r="M325">
            <v>82.822966507177028</v>
          </cell>
        </row>
        <row r="326">
          <cell r="B326">
            <v>110408</v>
          </cell>
          <cell r="C326" t="str">
            <v>CB302AAA</v>
          </cell>
          <cell r="D326" t="str">
            <v>114</v>
          </cell>
          <cell r="E326">
            <v>52000</v>
          </cell>
          <cell r="F326">
            <v>3.09</v>
          </cell>
          <cell r="G326">
            <v>50141</v>
          </cell>
          <cell r="H326">
            <v>88</v>
          </cell>
          <cell r="I326">
            <v>50090</v>
          </cell>
          <cell r="J326">
            <v>15</v>
          </cell>
          <cell r="K326">
            <v>10435</v>
          </cell>
          <cell r="L326">
            <v>0</v>
          </cell>
          <cell r="M326">
            <v>266.09482514845882</v>
          </cell>
        </row>
        <row r="327">
          <cell r="B327">
            <v>110501</v>
          </cell>
          <cell r="C327" t="str">
            <v>CB373AAA</v>
          </cell>
          <cell r="D327" t="str">
            <v>115</v>
          </cell>
          <cell r="E327">
            <v>51042</v>
          </cell>
          <cell r="F327">
            <v>158</v>
          </cell>
          <cell r="G327">
            <v>50111</v>
          </cell>
          <cell r="H327">
            <v>25</v>
          </cell>
          <cell r="I327">
            <v>50097</v>
          </cell>
          <cell r="J327">
            <v>25</v>
          </cell>
          <cell r="K327" t="str">
            <v/>
          </cell>
          <cell r="L327">
            <v>0</v>
          </cell>
          <cell r="M327">
            <v>102.33653846153847</v>
          </cell>
        </row>
        <row r="328">
          <cell r="B328">
            <v>110502</v>
          </cell>
          <cell r="C328" t="str">
            <v>CB862AAA</v>
          </cell>
          <cell r="D328" t="str">
            <v>115</v>
          </cell>
          <cell r="E328">
            <v>51042</v>
          </cell>
          <cell r="F328">
            <v>158</v>
          </cell>
          <cell r="G328">
            <v>50078</v>
          </cell>
          <cell r="H328">
            <v>25</v>
          </cell>
          <cell r="I328">
            <v>50099</v>
          </cell>
          <cell r="J328">
            <v>25</v>
          </cell>
          <cell r="K328" t="str">
            <v/>
          </cell>
          <cell r="L328">
            <v>0</v>
          </cell>
          <cell r="M328">
            <v>93.322115384615387</v>
          </cell>
        </row>
        <row r="329">
          <cell r="B329">
            <v>110503</v>
          </cell>
          <cell r="C329" t="str">
            <v>CB357AAA</v>
          </cell>
          <cell r="D329" t="str">
            <v>115</v>
          </cell>
          <cell r="E329">
            <v>51042</v>
          </cell>
          <cell r="F329">
            <v>158</v>
          </cell>
          <cell r="G329">
            <v>50137</v>
          </cell>
          <cell r="H329">
            <v>25</v>
          </cell>
          <cell r="I329">
            <v>50157</v>
          </cell>
          <cell r="J329">
            <v>25</v>
          </cell>
          <cell r="K329" t="str">
            <v/>
          </cell>
          <cell r="L329">
            <v>0</v>
          </cell>
          <cell r="M329">
            <v>78.899038461538467</v>
          </cell>
        </row>
        <row r="330">
          <cell r="B330">
            <v>110504</v>
          </cell>
          <cell r="C330" t="str">
            <v>CB747AAA</v>
          </cell>
          <cell r="D330" t="str">
            <v>115</v>
          </cell>
          <cell r="E330">
            <v>51042</v>
          </cell>
          <cell r="F330">
            <v>158</v>
          </cell>
          <cell r="G330">
            <v>50116</v>
          </cell>
          <cell r="H330">
            <v>25</v>
          </cell>
          <cell r="I330">
            <v>50101</v>
          </cell>
          <cell r="J330">
            <v>25</v>
          </cell>
          <cell r="K330" t="str">
            <v/>
          </cell>
          <cell r="L330">
            <v>0</v>
          </cell>
          <cell r="M330">
            <v>102.33653846153847</v>
          </cell>
        </row>
        <row r="331">
          <cell r="B331">
            <v>110505</v>
          </cell>
          <cell r="C331" t="str">
            <v>CB357AAA</v>
          </cell>
          <cell r="D331" t="str">
            <v>115</v>
          </cell>
          <cell r="E331">
            <v>51042</v>
          </cell>
          <cell r="F331">
            <v>158</v>
          </cell>
          <cell r="G331">
            <v>50137</v>
          </cell>
          <cell r="H331">
            <v>25</v>
          </cell>
          <cell r="I331">
            <v>50095</v>
          </cell>
          <cell r="J331">
            <v>25</v>
          </cell>
          <cell r="K331" t="str">
            <v/>
          </cell>
          <cell r="L331">
            <v>0</v>
          </cell>
          <cell r="M331">
            <v>84.307692307692307</v>
          </cell>
        </row>
        <row r="332">
          <cell r="B332">
            <v>110508</v>
          </cell>
          <cell r="C332" t="str">
            <v>CB021AAA</v>
          </cell>
          <cell r="D332" t="str">
            <v>115</v>
          </cell>
          <cell r="E332">
            <v>52000</v>
          </cell>
          <cell r="F332">
            <v>3.09</v>
          </cell>
          <cell r="G332">
            <v>50103</v>
          </cell>
          <cell r="H332">
            <v>88</v>
          </cell>
          <cell r="I332">
            <v>50135</v>
          </cell>
          <cell r="J332">
            <v>15</v>
          </cell>
          <cell r="K332">
            <v>10467</v>
          </cell>
          <cell r="L332">
            <v>0</v>
          </cell>
          <cell r="M332">
            <v>266.09482514845882</v>
          </cell>
        </row>
        <row r="333">
          <cell r="B333">
            <v>120101</v>
          </cell>
          <cell r="C333" t="str">
            <v>CB431AAA</v>
          </cell>
          <cell r="D333" t="str">
            <v>121</v>
          </cell>
          <cell r="E333">
            <v>51042</v>
          </cell>
          <cell r="F333">
            <v>158</v>
          </cell>
          <cell r="G333">
            <v>50101</v>
          </cell>
          <cell r="H333">
            <v>25</v>
          </cell>
          <cell r="I333">
            <v>50101</v>
          </cell>
          <cell r="J333">
            <v>25</v>
          </cell>
          <cell r="K333" t="str">
            <v/>
          </cell>
          <cell r="L333">
            <v>0</v>
          </cell>
          <cell r="M333">
            <v>102.33653846153847</v>
          </cell>
        </row>
        <row r="334">
          <cell r="B334">
            <v>120102</v>
          </cell>
          <cell r="C334" t="str">
            <v>CB853AAA</v>
          </cell>
          <cell r="D334" t="str">
            <v>121</v>
          </cell>
          <cell r="E334">
            <v>51042</v>
          </cell>
          <cell r="F334">
            <v>158</v>
          </cell>
          <cell r="G334">
            <v>50093</v>
          </cell>
          <cell r="H334">
            <v>25</v>
          </cell>
          <cell r="I334">
            <v>50135</v>
          </cell>
          <cell r="J334">
            <v>25</v>
          </cell>
          <cell r="K334" t="str">
            <v/>
          </cell>
          <cell r="L334">
            <v>0</v>
          </cell>
          <cell r="M334">
            <v>84.307692307692307</v>
          </cell>
        </row>
        <row r="335">
          <cell r="B335">
            <v>120103</v>
          </cell>
          <cell r="C335" t="str">
            <v>CB853AAA</v>
          </cell>
          <cell r="D335" t="str">
            <v>121</v>
          </cell>
          <cell r="E335">
            <v>51042</v>
          </cell>
          <cell r="F335">
            <v>158</v>
          </cell>
          <cell r="G335">
            <v>50093</v>
          </cell>
          <cell r="H335">
            <v>25</v>
          </cell>
          <cell r="I335">
            <v>50099</v>
          </cell>
          <cell r="J335">
            <v>25</v>
          </cell>
          <cell r="K335" t="str">
            <v/>
          </cell>
          <cell r="L335">
            <v>0</v>
          </cell>
          <cell r="M335">
            <v>93.322115384615387</v>
          </cell>
        </row>
        <row r="336">
          <cell r="B336">
            <v>120104</v>
          </cell>
          <cell r="C336" t="str">
            <v>CB734AAA</v>
          </cell>
          <cell r="D336" t="str">
            <v>121</v>
          </cell>
          <cell r="E336">
            <v>51042</v>
          </cell>
          <cell r="F336">
            <v>158</v>
          </cell>
          <cell r="G336">
            <v>50147</v>
          </cell>
          <cell r="H336">
            <v>25</v>
          </cell>
          <cell r="I336">
            <v>50119</v>
          </cell>
          <cell r="J336">
            <v>25</v>
          </cell>
          <cell r="K336" t="str">
            <v/>
          </cell>
          <cell r="L336">
            <v>0</v>
          </cell>
          <cell r="M336">
            <v>78.899038461538467</v>
          </cell>
        </row>
        <row r="337">
          <cell r="B337">
            <v>120105</v>
          </cell>
          <cell r="C337" t="str">
            <v>CB224AAA</v>
          </cell>
          <cell r="D337" t="str">
            <v>121</v>
          </cell>
          <cell r="E337">
            <v>51042</v>
          </cell>
          <cell r="F337">
            <v>158</v>
          </cell>
          <cell r="G337">
            <v>50079</v>
          </cell>
          <cell r="H337">
            <v>25</v>
          </cell>
          <cell r="I337">
            <v>50078</v>
          </cell>
          <cell r="J337">
            <v>25</v>
          </cell>
          <cell r="K337" t="str">
            <v/>
          </cell>
          <cell r="L337">
            <v>0</v>
          </cell>
          <cell r="M337">
            <v>84.307692307692307</v>
          </cell>
        </row>
        <row r="338">
          <cell r="B338">
            <v>120108</v>
          </cell>
          <cell r="C338" t="str">
            <v>CB022AAA</v>
          </cell>
          <cell r="D338" t="str">
            <v>121</v>
          </cell>
          <cell r="E338">
            <v>52000</v>
          </cell>
          <cell r="F338">
            <v>2.1</v>
          </cell>
          <cell r="G338">
            <v>50106</v>
          </cell>
          <cell r="H338">
            <v>55</v>
          </cell>
          <cell r="I338">
            <v>50102</v>
          </cell>
          <cell r="J338">
            <v>15</v>
          </cell>
          <cell r="K338">
            <v>10499</v>
          </cell>
          <cell r="L338">
            <v>0</v>
          </cell>
          <cell r="M338">
            <v>356.79611650485441</v>
          </cell>
        </row>
        <row r="339">
          <cell r="B339">
            <v>120201</v>
          </cell>
          <cell r="C339" t="str">
            <v>CB431AAA</v>
          </cell>
          <cell r="D339" t="str">
            <v>122</v>
          </cell>
          <cell r="E339">
            <v>51043</v>
          </cell>
          <cell r="F339">
            <v>157</v>
          </cell>
          <cell r="G339">
            <v>50101</v>
          </cell>
          <cell r="H339">
            <v>25</v>
          </cell>
          <cell r="I339">
            <v>50091</v>
          </cell>
          <cell r="J339">
            <v>25</v>
          </cell>
          <cell r="K339" t="str">
            <v/>
          </cell>
          <cell r="L339">
            <v>0</v>
          </cell>
          <cell r="M339">
            <v>94.845410628019323</v>
          </cell>
        </row>
        <row r="340">
          <cell r="B340">
            <v>120202</v>
          </cell>
          <cell r="C340" t="str">
            <v>CB432AAA</v>
          </cell>
          <cell r="D340" t="str">
            <v>122</v>
          </cell>
          <cell r="E340">
            <v>51043</v>
          </cell>
          <cell r="F340">
            <v>157</v>
          </cell>
          <cell r="G340">
            <v>50101</v>
          </cell>
          <cell r="H340">
            <v>25</v>
          </cell>
          <cell r="I340">
            <v>50099</v>
          </cell>
          <cell r="J340">
            <v>25</v>
          </cell>
          <cell r="K340" t="str">
            <v/>
          </cell>
          <cell r="L340">
            <v>0</v>
          </cell>
          <cell r="M340">
            <v>103.90338164251207</v>
          </cell>
        </row>
        <row r="341">
          <cell r="B341">
            <v>120203</v>
          </cell>
          <cell r="C341" t="str">
            <v>CB767AAA</v>
          </cell>
          <cell r="D341" t="str">
            <v>122</v>
          </cell>
          <cell r="E341">
            <v>51043</v>
          </cell>
          <cell r="F341">
            <v>157</v>
          </cell>
          <cell r="G341">
            <v>50101</v>
          </cell>
          <cell r="H341">
            <v>25</v>
          </cell>
          <cell r="I341">
            <v>50095</v>
          </cell>
          <cell r="J341">
            <v>25</v>
          </cell>
          <cell r="K341" t="str">
            <v/>
          </cell>
          <cell r="L341">
            <v>0</v>
          </cell>
          <cell r="M341">
            <v>94.845410628019323</v>
          </cell>
        </row>
        <row r="342">
          <cell r="B342">
            <v>120204</v>
          </cell>
          <cell r="C342" t="str">
            <v>CB852AAA</v>
          </cell>
          <cell r="D342" t="str">
            <v>122</v>
          </cell>
          <cell r="E342">
            <v>51043</v>
          </cell>
          <cell r="F342">
            <v>157</v>
          </cell>
          <cell r="G342">
            <v>50135</v>
          </cell>
          <cell r="H342">
            <v>25</v>
          </cell>
          <cell r="I342">
            <v>50103</v>
          </cell>
          <cell r="J342">
            <v>25</v>
          </cell>
          <cell r="K342" t="str">
            <v/>
          </cell>
          <cell r="L342">
            <v>0</v>
          </cell>
          <cell r="M342">
            <v>94.845410628019323</v>
          </cell>
        </row>
        <row r="343">
          <cell r="B343">
            <v>120205</v>
          </cell>
          <cell r="C343" t="str">
            <v>CB742AAA</v>
          </cell>
          <cell r="D343" t="str">
            <v>122</v>
          </cell>
          <cell r="E343">
            <v>51043</v>
          </cell>
          <cell r="F343">
            <v>157</v>
          </cell>
          <cell r="G343">
            <v>50124</v>
          </cell>
          <cell r="H343">
            <v>25</v>
          </cell>
          <cell r="I343">
            <v>50097</v>
          </cell>
          <cell r="J343">
            <v>25</v>
          </cell>
          <cell r="K343" t="str">
            <v/>
          </cell>
          <cell r="L343">
            <v>0</v>
          </cell>
          <cell r="M343">
            <v>103.90338164251207</v>
          </cell>
        </row>
        <row r="344">
          <cell r="B344">
            <v>120208</v>
          </cell>
          <cell r="C344" t="str">
            <v>CB331AAA</v>
          </cell>
          <cell r="D344" t="str">
            <v>122</v>
          </cell>
          <cell r="E344">
            <v>52000</v>
          </cell>
          <cell r="F344">
            <v>2.1</v>
          </cell>
          <cell r="G344">
            <v>50107</v>
          </cell>
          <cell r="H344">
            <v>55</v>
          </cell>
          <cell r="I344">
            <v>50091</v>
          </cell>
          <cell r="J344">
            <v>15</v>
          </cell>
          <cell r="K344">
            <v>10531</v>
          </cell>
          <cell r="L344">
            <v>0</v>
          </cell>
          <cell r="M344">
            <v>341.19278779472955</v>
          </cell>
        </row>
        <row r="345">
          <cell r="B345">
            <v>120301</v>
          </cell>
          <cell r="C345" t="str">
            <v>CB432AAA</v>
          </cell>
          <cell r="D345" t="str">
            <v>123</v>
          </cell>
          <cell r="E345">
            <v>51044</v>
          </cell>
          <cell r="F345">
            <v>156</v>
          </cell>
          <cell r="G345">
            <v>50101</v>
          </cell>
          <cell r="H345">
            <v>25</v>
          </cell>
          <cell r="I345">
            <v>50099</v>
          </cell>
          <cell r="J345">
            <v>25</v>
          </cell>
          <cell r="K345" t="str">
            <v/>
          </cell>
          <cell r="L345">
            <v>0</v>
          </cell>
          <cell r="M345">
            <v>105.46601941747574</v>
          </cell>
        </row>
        <row r="346">
          <cell r="B346">
            <v>120302</v>
          </cell>
          <cell r="C346" t="str">
            <v>CB853AAA</v>
          </cell>
          <cell r="D346" t="str">
            <v>123</v>
          </cell>
          <cell r="E346">
            <v>51044</v>
          </cell>
          <cell r="F346">
            <v>156</v>
          </cell>
          <cell r="G346">
            <v>50093</v>
          </cell>
          <cell r="H346">
            <v>25</v>
          </cell>
          <cell r="I346">
            <v>50102</v>
          </cell>
          <cell r="J346">
            <v>25</v>
          </cell>
          <cell r="K346" t="str">
            <v/>
          </cell>
          <cell r="L346">
            <v>0</v>
          </cell>
          <cell r="M346">
            <v>96.364077669902912</v>
          </cell>
        </row>
        <row r="347">
          <cell r="B347">
            <v>120303</v>
          </cell>
          <cell r="C347" t="str">
            <v>CB431AAA</v>
          </cell>
          <cell r="D347" t="str">
            <v>123</v>
          </cell>
          <cell r="E347">
            <v>51044</v>
          </cell>
          <cell r="F347">
            <v>156</v>
          </cell>
          <cell r="G347">
            <v>50101</v>
          </cell>
          <cell r="H347">
            <v>25</v>
          </cell>
          <cell r="I347">
            <v>50079</v>
          </cell>
          <cell r="J347">
            <v>25</v>
          </cell>
          <cell r="K347" t="str">
            <v/>
          </cell>
          <cell r="L347">
            <v>0</v>
          </cell>
          <cell r="M347">
            <v>96.364077669902912</v>
          </cell>
        </row>
        <row r="348">
          <cell r="B348">
            <v>120304</v>
          </cell>
          <cell r="C348" t="str">
            <v>CB852AAA</v>
          </cell>
          <cell r="D348" t="str">
            <v>123</v>
          </cell>
          <cell r="E348">
            <v>51044</v>
          </cell>
          <cell r="F348">
            <v>156</v>
          </cell>
          <cell r="G348">
            <v>50135</v>
          </cell>
          <cell r="H348">
            <v>25</v>
          </cell>
          <cell r="I348">
            <v>50094</v>
          </cell>
          <cell r="J348">
            <v>25</v>
          </cell>
          <cell r="K348" t="str">
            <v/>
          </cell>
          <cell r="L348">
            <v>0</v>
          </cell>
          <cell r="M348">
            <v>87.262135922330103</v>
          </cell>
        </row>
        <row r="349">
          <cell r="B349">
            <v>120305</v>
          </cell>
          <cell r="C349" t="str">
            <v>CB956AAA</v>
          </cell>
          <cell r="D349" t="str">
            <v>123</v>
          </cell>
          <cell r="E349">
            <v>51044</v>
          </cell>
          <cell r="F349">
            <v>156</v>
          </cell>
          <cell r="G349">
            <v>50146</v>
          </cell>
          <cell r="H349">
            <v>25</v>
          </cell>
          <cell r="I349">
            <v>50119</v>
          </cell>
          <cell r="J349">
            <v>25</v>
          </cell>
          <cell r="K349" t="str">
            <v/>
          </cell>
          <cell r="L349">
            <v>0</v>
          </cell>
          <cell r="M349">
            <v>81.800970873786412</v>
          </cell>
        </row>
        <row r="350">
          <cell r="B350">
            <v>120308</v>
          </cell>
          <cell r="C350" t="str">
            <v>CB452AAA</v>
          </cell>
          <cell r="D350" t="str">
            <v>123</v>
          </cell>
          <cell r="E350">
            <v>52000</v>
          </cell>
          <cell r="F350">
            <v>0.6</v>
          </cell>
          <cell r="G350">
            <v>50123</v>
          </cell>
          <cell r="H350">
            <v>5</v>
          </cell>
          <cell r="I350">
            <v>50101</v>
          </cell>
          <cell r="J350">
            <v>15</v>
          </cell>
          <cell r="K350">
            <v>10563</v>
          </cell>
          <cell r="L350">
            <v>0</v>
          </cell>
          <cell r="M350">
            <v>422.33009708737859</v>
          </cell>
        </row>
        <row r="351">
          <cell r="B351">
            <v>120401</v>
          </cell>
          <cell r="C351" t="str">
            <v>CB432AAA</v>
          </cell>
          <cell r="D351" t="str">
            <v>124</v>
          </cell>
          <cell r="E351">
            <v>51044</v>
          </cell>
          <cell r="F351">
            <v>156</v>
          </cell>
          <cell r="G351">
            <v>50101</v>
          </cell>
          <cell r="H351">
            <v>25</v>
          </cell>
          <cell r="I351">
            <v>50092</v>
          </cell>
          <cell r="J351">
            <v>25</v>
          </cell>
          <cell r="K351" t="str">
            <v/>
          </cell>
          <cell r="L351">
            <v>0</v>
          </cell>
          <cell r="M351">
            <v>96.364077669902912</v>
          </cell>
        </row>
        <row r="352">
          <cell r="B352">
            <v>120402</v>
          </cell>
          <cell r="C352" t="str">
            <v>CB853AAA</v>
          </cell>
          <cell r="D352" t="str">
            <v>124</v>
          </cell>
          <cell r="E352">
            <v>51044</v>
          </cell>
          <cell r="F352">
            <v>156</v>
          </cell>
          <cell r="G352">
            <v>50093</v>
          </cell>
          <cell r="H352">
            <v>25</v>
          </cell>
          <cell r="I352">
            <v>50102</v>
          </cell>
          <cell r="J352">
            <v>25</v>
          </cell>
          <cell r="K352" t="str">
            <v/>
          </cell>
          <cell r="L352">
            <v>0</v>
          </cell>
          <cell r="M352">
            <v>96.364077669902912</v>
          </cell>
        </row>
        <row r="353">
          <cell r="B353">
            <v>120403</v>
          </cell>
          <cell r="C353" t="str">
            <v>CB431AAA</v>
          </cell>
          <cell r="D353" t="str">
            <v>124</v>
          </cell>
          <cell r="E353">
            <v>51044</v>
          </cell>
          <cell r="F353">
            <v>156</v>
          </cell>
          <cell r="G353">
            <v>50101</v>
          </cell>
          <cell r="H353">
            <v>25</v>
          </cell>
          <cell r="I353">
            <v>50092</v>
          </cell>
          <cell r="J353">
            <v>25</v>
          </cell>
          <cell r="K353" t="str">
            <v/>
          </cell>
          <cell r="L353">
            <v>0</v>
          </cell>
          <cell r="M353">
            <v>96.364077669902912</v>
          </cell>
        </row>
        <row r="354">
          <cell r="B354">
            <v>120404</v>
          </cell>
          <cell r="C354" t="str">
            <v>CB632AAA</v>
          </cell>
          <cell r="D354" t="str">
            <v>124</v>
          </cell>
          <cell r="E354">
            <v>51044</v>
          </cell>
          <cell r="F354">
            <v>156</v>
          </cell>
          <cell r="G354">
            <v>50151</v>
          </cell>
          <cell r="H354">
            <v>25</v>
          </cell>
          <cell r="I354">
            <v>50099</v>
          </cell>
          <cell r="J354">
            <v>25</v>
          </cell>
          <cell r="K354" t="str">
            <v/>
          </cell>
          <cell r="L354">
            <v>0</v>
          </cell>
          <cell r="M354">
            <v>96.364077669902912</v>
          </cell>
        </row>
        <row r="355">
          <cell r="B355">
            <v>120405</v>
          </cell>
          <cell r="C355" t="str">
            <v>CB896AAA</v>
          </cell>
          <cell r="D355" t="str">
            <v>124</v>
          </cell>
          <cell r="E355">
            <v>51044</v>
          </cell>
          <cell r="F355">
            <v>156</v>
          </cell>
          <cell r="G355">
            <v>50150</v>
          </cell>
          <cell r="H355">
            <v>25</v>
          </cell>
          <cell r="I355">
            <v>50103</v>
          </cell>
          <cell r="J355">
            <v>25</v>
          </cell>
          <cell r="K355" t="str">
            <v/>
          </cell>
          <cell r="L355">
            <v>0</v>
          </cell>
          <cell r="M355">
            <v>96.364077669902912</v>
          </cell>
        </row>
        <row r="356">
          <cell r="B356">
            <v>120408</v>
          </cell>
          <cell r="C356" t="str">
            <v>CB817AAA</v>
          </cell>
          <cell r="D356" t="str">
            <v>124</v>
          </cell>
          <cell r="E356">
            <v>52000</v>
          </cell>
          <cell r="F356">
            <v>3.09</v>
          </cell>
          <cell r="G356">
            <v>50120</v>
          </cell>
          <cell r="H356">
            <v>88</v>
          </cell>
          <cell r="I356">
            <v>50078</v>
          </cell>
          <cell r="J356">
            <v>15</v>
          </cell>
          <cell r="K356">
            <v>10595</v>
          </cell>
          <cell r="L356">
            <v>0</v>
          </cell>
          <cell r="M356">
            <v>266.09482514845882</v>
          </cell>
        </row>
        <row r="357">
          <cell r="B357">
            <v>120501</v>
          </cell>
          <cell r="C357" t="str">
            <v>CB432AAA</v>
          </cell>
          <cell r="D357" t="str">
            <v>125</v>
          </cell>
          <cell r="E357">
            <v>51045</v>
          </cell>
          <cell r="F357">
            <v>155</v>
          </cell>
          <cell r="G357">
            <v>50101</v>
          </cell>
          <cell r="H357">
            <v>25</v>
          </cell>
          <cell r="I357">
            <v>50093</v>
          </cell>
          <cell r="J357">
            <v>25</v>
          </cell>
          <cell r="K357" t="str">
            <v/>
          </cell>
          <cell r="L357">
            <v>0</v>
          </cell>
          <cell r="M357">
            <v>97.878048780487802</v>
          </cell>
        </row>
        <row r="358">
          <cell r="B358">
            <v>120502</v>
          </cell>
          <cell r="C358" t="str">
            <v>CB431AAA</v>
          </cell>
          <cell r="D358" t="str">
            <v>125</v>
          </cell>
          <cell r="E358">
            <v>51045</v>
          </cell>
          <cell r="F358">
            <v>155</v>
          </cell>
          <cell r="G358">
            <v>50101</v>
          </cell>
          <cell r="H358">
            <v>25</v>
          </cell>
          <cell r="I358">
            <v>50079</v>
          </cell>
          <cell r="J358">
            <v>25</v>
          </cell>
          <cell r="K358" t="str">
            <v/>
          </cell>
          <cell r="L358">
            <v>0</v>
          </cell>
          <cell r="M358">
            <v>97.878048780487802</v>
          </cell>
        </row>
        <row r="359">
          <cell r="B359">
            <v>120503</v>
          </cell>
          <cell r="C359" t="str">
            <v>CB896AAA</v>
          </cell>
          <cell r="D359" t="str">
            <v>125</v>
          </cell>
          <cell r="E359">
            <v>51045</v>
          </cell>
          <cell r="F359">
            <v>155</v>
          </cell>
          <cell r="G359">
            <v>50150</v>
          </cell>
          <cell r="H359">
            <v>25</v>
          </cell>
          <cell r="I359">
            <v>50145</v>
          </cell>
          <cell r="J359">
            <v>25</v>
          </cell>
          <cell r="K359" t="str">
            <v/>
          </cell>
          <cell r="L359">
            <v>0</v>
          </cell>
          <cell r="M359">
            <v>83.243902439024396</v>
          </cell>
        </row>
        <row r="360">
          <cell r="B360">
            <v>120504</v>
          </cell>
          <cell r="C360" t="str">
            <v>CB892AAA</v>
          </cell>
          <cell r="D360" t="str">
            <v>125</v>
          </cell>
          <cell r="E360">
            <v>51045</v>
          </cell>
          <cell r="F360">
            <v>155</v>
          </cell>
          <cell r="G360">
            <v>50135</v>
          </cell>
          <cell r="H360">
            <v>25</v>
          </cell>
          <cell r="I360">
            <v>50102</v>
          </cell>
          <cell r="J360">
            <v>25</v>
          </cell>
          <cell r="K360" t="str">
            <v/>
          </cell>
          <cell r="L360">
            <v>0</v>
          </cell>
          <cell r="M360">
            <v>97.878048780487802</v>
          </cell>
        </row>
        <row r="361">
          <cell r="B361">
            <v>120505</v>
          </cell>
          <cell r="C361" t="str">
            <v>CB225AAA</v>
          </cell>
          <cell r="D361" t="str">
            <v>125</v>
          </cell>
          <cell r="E361">
            <v>51045</v>
          </cell>
          <cell r="F361">
            <v>155</v>
          </cell>
          <cell r="G361">
            <v>50102</v>
          </cell>
          <cell r="H361">
            <v>25</v>
          </cell>
          <cell r="I361">
            <v>50099</v>
          </cell>
          <cell r="J361">
            <v>25</v>
          </cell>
          <cell r="K361" t="str">
            <v/>
          </cell>
          <cell r="L361">
            <v>0</v>
          </cell>
          <cell r="M361">
            <v>107.02439024390245</v>
          </cell>
        </row>
        <row r="362">
          <cell r="B362">
            <v>120508</v>
          </cell>
          <cell r="C362" t="str">
            <v>CB461AAA</v>
          </cell>
          <cell r="D362" t="str">
            <v>125</v>
          </cell>
          <cell r="E362">
            <v>52000</v>
          </cell>
          <cell r="F362">
            <v>3.09</v>
          </cell>
          <cell r="G362">
            <v>50121</v>
          </cell>
          <cell r="H362">
            <v>88</v>
          </cell>
          <cell r="I362">
            <v>50095</v>
          </cell>
          <cell r="J362">
            <v>15</v>
          </cell>
          <cell r="K362">
            <v>10627</v>
          </cell>
          <cell r="L362">
            <v>0</v>
          </cell>
          <cell r="M362">
            <v>266.09482514845882</v>
          </cell>
        </row>
        <row r="363">
          <cell r="B363">
            <v>130101</v>
          </cell>
          <cell r="C363" t="str">
            <v>CB231AAA</v>
          </cell>
          <cell r="D363" t="str">
            <v>131</v>
          </cell>
          <cell r="E363">
            <v>51046</v>
          </cell>
          <cell r="F363">
            <v>154</v>
          </cell>
          <cell r="G363">
            <v>50146</v>
          </cell>
          <cell r="H363">
            <v>25</v>
          </cell>
          <cell r="I363">
            <v>50135</v>
          </cell>
          <cell r="J363">
            <v>25</v>
          </cell>
          <cell r="K363" t="str">
            <v/>
          </cell>
          <cell r="L363">
            <v>0</v>
          </cell>
          <cell r="M363">
            <v>90.196078431372555</v>
          </cell>
        </row>
        <row r="364">
          <cell r="B364">
            <v>130102</v>
          </cell>
          <cell r="C364" t="str">
            <v>CB732AAA</v>
          </cell>
          <cell r="D364" t="str">
            <v>131</v>
          </cell>
          <cell r="E364">
            <v>51046</v>
          </cell>
          <cell r="F364">
            <v>154</v>
          </cell>
          <cell r="G364">
            <v>50137</v>
          </cell>
          <cell r="H364">
            <v>25</v>
          </cell>
          <cell r="I364">
            <v>50100</v>
          </cell>
          <cell r="J364">
            <v>25</v>
          </cell>
          <cell r="K364" t="str">
            <v/>
          </cell>
          <cell r="L364">
            <v>0</v>
          </cell>
          <cell r="M364">
            <v>99.387254901960787</v>
          </cell>
        </row>
        <row r="365">
          <cell r="B365">
            <v>130103</v>
          </cell>
          <cell r="C365" t="str">
            <v>CB231AAA</v>
          </cell>
          <cell r="D365" t="str">
            <v>131</v>
          </cell>
          <cell r="E365">
            <v>51046</v>
          </cell>
          <cell r="F365">
            <v>154</v>
          </cell>
          <cell r="G365">
            <v>50146</v>
          </cell>
          <cell r="H365">
            <v>25</v>
          </cell>
          <cell r="I365">
            <v>50135</v>
          </cell>
          <cell r="J365">
            <v>25</v>
          </cell>
          <cell r="K365" t="str">
            <v/>
          </cell>
          <cell r="L365">
            <v>0</v>
          </cell>
          <cell r="M365">
            <v>90.196078431372555</v>
          </cell>
        </row>
        <row r="366">
          <cell r="B366">
            <v>130104</v>
          </cell>
          <cell r="C366" t="str">
            <v>CB403AAA</v>
          </cell>
          <cell r="D366" t="str">
            <v>131</v>
          </cell>
          <cell r="E366">
            <v>51046</v>
          </cell>
          <cell r="F366">
            <v>154</v>
          </cell>
          <cell r="G366">
            <v>50091</v>
          </cell>
          <cell r="H366">
            <v>25</v>
          </cell>
          <cell r="I366">
            <v>50145</v>
          </cell>
          <cell r="J366">
            <v>25</v>
          </cell>
          <cell r="K366" t="str">
            <v/>
          </cell>
          <cell r="L366">
            <v>0</v>
          </cell>
          <cell r="M366">
            <v>84.681372549019613</v>
          </cell>
        </row>
        <row r="367">
          <cell r="B367">
            <v>130105</v>
          </cell>
          <cell r="C367" t="str">
            <v>CB734AAA</v>
          </cell>
          <cell r="D367" t="str">
            <v>131</v>
          </cell>
          <cell r="E367">
            <v>51046</v>
          </cell>
          <cell r="F367">
            <v>154</v>
          </cell>
          <cell r="G367">
            <v>50147</v>
          </cell>
          <cell r="H367">
            <v>25</v>
          </cell>
          <cell r="I367">
            <v>50101</v>
          </cell>
          <cell r="J367">
            <v>25</v>
          </cell>
          <cell r="K367" t="str">
            <v/>
          </cell>
          <cell r="L367">
            <v>0</v>
          </cell>
          <cell r="M367">
            <v>99.387254901960787</v>
          </cell>
        </row>
        <row r="368">
          <cell r="B368">
            <v>130108</v>
          </cell>
          <cell r="C368" t="str">
            <v>CB553AAA</v>
          </cell>
          <cell r="D368" t="str">
            <v>131</v>
          </cell>
          <cell r="E368">
            <v>52000</v>
          </cell>
          <cell r="F368">
            <v>3.09</v>
          </cell>
          <cell r="G368">
            <v>50117</v>
          </cell>
          <cell r="H368">
            <v>88</v>
          </cell>
          <cell r="I368">
            <v>50096</v>
          </cell>
          <cell r="J368">
            <v>15</v>
          </cell>
          <cell r="K368">
            <v>10020</v>
          </cell>
          <cell r="L368">
            <v>0</v>
          </cell>
          <cell r="M368">
            <v>266.09482514845882</v>
          </cell>
        </row>
        <row r="369">
          <cell r="B369">
            <v>130201</v>
          </cell>
          <cell r="C369" t="str">
            <v>CB233AAA</v>
          </cell>
          <cell r="D369" t="str">
            <v>132</v>
          </cell>
          <cell r="E369">
            <v>51046</v>
          </cell>
          <cell r="F369">
            <v>154</v>
          </cell>
          <cell r="G369">
            <v>50103</v>
          </cell>
          <cell r="H369">
            <v>25</v>
          </cell>
          <cell r="I369">
            <v>50101</v>
          </cell>
          <cell r="J369">
            <v>25</v>
          </cell>
          <cell r="K369" t="str">
            <v/>
          </cell>
          <cell r="L369">
            <v>0</v>
          </cell>
          <cell r="M369">
            <v>108.57843137254902</v>
          </cell>
        </row>
        <row r="370">
          <cell r="B370">
            <v>130202</v>
          </cell>
          <cell r="C370" t="str">
            <v>CB357AAA</v>
          </cell>
          <cell r="D370" t="str">
            <v>132</v>
          </cell>
          <cell r="E370">
            <v>51046</v>
          </cell>
          <cell r="F370">
            <v>154</v>
          </cell>
          <cell r="G370">
            <v>50137</v>
          </cell>
          <cell r="H370">
            <v>25</v>
          </cell>
          <cell r="I370">
            <v>50092</v>
          </cell>
          <cell r="J370">
            <v>25</v>
          </cell>
          <cell r="K370" t="str">
            <v/>
          </cell>
          <cell r="L370">
            <v>0</v>
          </cell>
          <cell r="M370">
            <v>90.196078431372555</v>
          </cell>
        </row>
        <row r="371">
          <cell r="B371">
            <v>130203</v>
          </cell>
          <cell r="C371" t="str">
            <v>CB756AAA</v>
          </cell>
          <cell r="D371" t="str">
            <v>132</v>
          </cell>
          <cell r="E371">
            <v>51046</v>
          </cell>
          <cell r="F371">
            <v>154</v>
          </cell>
          <cell r="G371">
            <v>50145</v>
          </cell>
          <cell r="H371">
            <v>25</v>
          </cell>
          <cell r="I371">
            <v>50101</v>
          </cell>
          <cell r="J371">
            <v>25</v>
          </cell>
          <cell r="K371" t="str">
            <v/>
          </cell>
          <cell r="L371">
            <v>0</v>
          </cell>
          <cell r="M371">
            <v>93.872549019607845</v>
          </cell>
        </row>
        <row r="372">
          <cell r="B372">
            <v>130204</v>
          </cell>
          <cell r="C372" t="str">
            <v>CB898AAA</v>
          </cell>
          <cell r="D372" t="str">
            <v>132</v>
          </cell>
          <cell r="E372">
            <v>51046</v>
          </cell>
          <cell r="F372">
            <v>154</v>
          </cell>
          <cell r="G372">
            <v>50100</v>
          </cell>
          <cell r="H372">
            <v>25</v>
          </cell>
          <cell r="I372">
            <v>50099</v>
          </cell>
          <cell r="J372">
            <v>25</v>
          </cell>
          <cell r="K372" t="str">
            <v/>
          </cell>
          <cell r="L372">
            <v>0</v>
          </cell>
          <cell r="M372">
            <v>108.57843137254902</v>
          </cell>
        </row>
        <row r="373">
          <cell r="B373">
            <v>130205</v>
          </cell>
          <cell r="C373" t="str">
            <v>CB733AAA</v>
          </cell>
          <cell r="D373" t="str">
            <v>132</v>
          </cell>
          <cell r="E373">
            <v>51046</v>
          </cell>
          <cell r="F373">
            <v>154</v>
          </cell>
          <cell r="G373">
            <v>50138</v>
          </cell>
          <cell r="H373">
            <v>25</v>
          </cell>
          <cell r="I373">
            <v>50103</v>
          </cell>
          <cell r="J373">
            <v>25</v>
          </cell>
          <cell r="K373" t="str">
            <v/>
          </cell>
          <cell r="L373">
            <v>0</v>
          </cell>
          <cell r="M373">
            <v>99.387254901960787</v>
          </cell>
        </row>
        <row r="374">
          <cell r="B374">
            <v>130208</v>
          </cell>
          <cell r="C374" t="str">
            <v>CB705AAA</v>
          </cell>
          <cell r="D374" t="str">
            <v>132</v>
          </cell>
          <cell r="E374">
            <v>52000</v>
          </cell>
          <cell r="F374">
            <v>3.09</v>
          </cell>
          <cell r="G374">
            <v>50144</v>
          </cell>
          <cell r="H374">
            <v>88</v>
          </cell>
          <cell r="I374">
            <v>50145</v>
          </cell>
          <cell r="J374">
            <v>15</v>
          </cell>
          <cell r="K374">
            <v>10052</v>
          </cell>
          <cell r="L374">
            <v>0</v>
          </cell>
          <cell r="M374">
            <v>259.73230276180601</v>
          </cell>
        </row>
        <row r="375">
          <cell r="B375">
            <v>130301</v>
          </cell>
          <cell r="C375" t="str">
            <v>CB232AAA</v>
          </cell>
          <cell r="D375" t="str">
            <v>133</v>
          </cell>
          <cell r="E375">
            <v>51047</v>
          </cell>
          <cell r="F375">
            <v>153</v>
          </cell>
          <cell r="G375">
            <v>50135</v>
          </cell>
          <cell r="H375">
            <v>25</v>
          </cell>
          <cell r="I375">
            <v>50100</v>
          </cell>
          <cell r="J375">
            <v>25</v>
          </cell>
          <cell r="K375" t="str">
            <v/>
          </cell>
          <cell r="L375">
            <v>0</v>
          </cell>
          <cell r="M375">
            <v>100.89162561576354</v>
          </cell>
        </row>
        <row r="376">
          <cell r="B376">
            <v>130302</v>
          </cell>
          <cell r="C376" t="str">
            <v>CB613AAA</v>
          </cell>
          <cell r="D376" t="str">
            <v>133</v>
          </cell>
          <cell r="E376">
            <v>51047</v>
          </cell>
          <cell r="F376">
            <v>153</v>
          </cell>
          <cell r="G376">
            <v>50140</v>
          </cell>
          <cell r="H376">
            <v>25</v>
          </cell>
          <cell r="I376">
            <v>50101</v>
          </cell>
          <cell r="J376">
            <v>25</v>
          </cell>
          <cell r="K376" t="str">
            <v/>
          </cell>
          <cell r="L376">
            <v>0</v>
          </cell>
          <cell r="M376">
            <v>100.89162561576354</v>
          </cell>
        </row>
        <row r="377">
          <cell r="B377">
            <v>130303</v>
          </cell>
          <cell r="C377" t="str">
            <v>CB224AAA</v>
          </cell>
          <cell r="D377" t="str">
            <v>133</v>
          </cell>
          <cell r="E377">
            <v>51047</v>
          </cell>
          <cell r="F377">
            <v>153</v>
          </cell>
          <cell r="G377">
            <v>50079</v>
          </cell>
          <cell r="H377">
            <v>25</v>
          </cell>
          <cell r="I377">
            <v>50157</v>
          </cell>
          <cell r="J377">
            <v>25</v>
          </cell>
          <cell r="K377" t="str">
            <v/>
          </cell>
          <cell r="L377">
            <v>0</v>
          </cell>
          <cell r="M377">
            <v>86.113300492610833</v>
          </cell>
        </row>
        <row r="378">
          <cell r="B378">
            <v>130304</v>
          </cell>
          <cell r="C378" t="str">
            <v>CB736AAA</v>
          </cell>
          <cell r="D378" t="str">
            <v>133</v>
          </cell>
          <cell r="E378">
            <v>51047</v>
          </cell>
          <cell r="F378">
            <v>153</v>
          </cell>
          <cell r="G378">
            <v>50139</v>
          </cell>
          <cell r="H378">
            <v>25</v>
          </cell>
          <cell r="I378">
            <v>50102</v>
          </cell>
          <cell r="J378">
            <v>25</v>
          </cell>
          <cell r="K378" t="str">
            <v/>
          </cell>
          <cell r="L378">
            <v>0</v>
          </cell>
          <cell r="M378">
            <v>100.89162561576354</v>
          </cell>
        </row>
        <row r="379">
          <cell r="B379">
            <v>130305</v>
          </cell>
          <cell r="C379" t="str">
            <v>CB742AAA</v>
          </cell>
          <cell r="D379" t="str">
            <v>133</v>
          </cell>
          <cell r="E379">
            <v>51047</v>
          </cell>
          <cell r="F379">
            <v>153</v>
          </cell>
          <cell r="G379">
            <v>50124</v>
          </cell>
          <cell r="H379">
            <v>25</v>
          </cell>
          <cell r="I379">
            <v>50145</v>
          </cell>
          <cell r="J379">
            <v>25</v>
          </cell>
          <cell r="K379" t="str">
            <v/>
          </cell>
          <cell r="L379">
            <v>0</v>
          </cell>
          <cell r="M379">
            <v>95.349753694581281</v>
          </cell>
        </row>
        <row r="380">
          <cell r="B380">
            <v>130308</v>
          </cell>
          <cell r="C380" t="str">
            <v>CB747AAA</v>
          </cell>
          <cell r="D380" t="str">
            <v>133</v>
          </cell>
          <cell r="E380">
            <v>52000</v>
          </cell>
          <cell r="F380">
            <v>3.09</v>
          </cell>
          <cell r="G380">
            <v>50156</v>
          </cell>
          <cell r="H380">
            <v>88</v>
          </cell>
          <cell r="I380">
            <v>50102</v>
          </cell>
          <cell r="J380">
            <v>15</v>
          </cell>
          <cell r="K380">
            <v>10084</v>
          </cell>
          <cell r="L380">
            <v>0</v>
          </cell>
          <cell r="M380">
            <v>276.69902912621359</v>
          </cell>
        </row>
        <row r="381">
          <cell r="B381">
            <v>130401</v>
          </cell>
          <cell r="C381" t="str">
            <v>CB233AAA</v>
          </cell>
          <cell r="D381" t="str">
            <v>134</v>
          </cell>
          <cell r="E381">
            <v>51048</v>
          </cell>
          <cell r="F381">
            <v>152</v>
          </cell>
          <cell r="G381">
            <v>50093</v>
          </cell>
          <cell r="H381">
            <v>25</v>
          </cell>
          <cell r="I381">
            <v>50102</v>
          </cell>
          <cell r="J381">
            <v>25</v>
          </cell>
          <cell r="K381" t="str">
            <v/>
          </cell>
          <cell r="L381">
            <v>0</v>
          </cell>
          <cell r="M381">
            <v>102.39108910891089</v>
          </cell>
        </row>
        <row r="382">
          <cell r="B382">
            <v>130402</v>
          </cell>
          <cell r="C382" t="str">
            <v>CB222AAA</v>
          </cell>
          <cell r="D382" t="str">
            <v>134</v>
          </cell>
          <cell r="E382">
            <v>51048</v>
          </cell>
          <cell r="F382">
            <v>152</v>
          </cell>
          <cell r="G382">
            <v>50095</v>
          </cell>
          <cell r="H382">
            <v>25</v>
          </cell>
          <cell r="I382">
            <v>50095</v>
          </cell>
          <cell r="J382">
            <v>25</v>
          </cell>
          <cell r="K382" t="str">
            <v/>
          </cell>
          <cell r="L382">
            <v>0</v>
          </cell>
          <cell r="M382">
            <v>93.10891089108911</v>
          </cell>
        </row>
        <row r="383">
          <cell r="B383">
            <v>130403</v>
          </cell>
          <cell r="C383" t="str">
            <v>CB222AAA</v>
          </cell>
          <cell r="D383" t="str">
            <v>134</v>
          </cell>
          <cell r="E383">
            <v>51048</v>
          </cell>
          <cell r="F383">
            <v>152</v>
          </cell>
          <cell r="G383">
            <v>50095</v>
          </cell>
          <cell r="H383">
            <v>25</v>
          </cell>
          <cell r="I383">
            <v>50157</v>
          </cell>
          <cell r="J383">
            <v>25</v>
          </cell>
          <cell r="K383" t="str">
            <v/>
          </cell>
          <cell r="L383">
            <v>0</v>
          </cell>
          <cell r="M383">
            <v>87.539603960396036</v>
          </cell>
        </row>
        <row r="384">
          <cell r="B384">
            <v>130404</v>
          </cell>
          <cell r="C384" t="str">
            <v>CB507AAA</v>
          </cell>
          <cell r="D384" t="str">
            <v>134</v>
          </cell>
          <cell r="E384">
            <v>51048</v>
          </cell>
          <cell r="F384">
            <v>152</v>
          </cell>
          <cell r="G384">
            <v>50146</v>
          </cell>
          <cell r="H384">
            <v>25</v>
          </cell>
          <cell r="I384">
            <v>50103</v>
          </cell>
          <cell r="J384">
            <v>25</v>
          </cell>
          <cell r="K384" t="str">
            <v/>
          </cell>
          <cell r="L384">
            <v>0</v>
          </cell>
          <cell r="M384">
            <v>102.39108910891089</v>
          </cell>
        </row>
        <row r="385">
          <cell r="B385">
            <v>130405</v>
          </cell>
          <cell r="C385" t="str">
            <v>CB747AAA</v>
          </cell>
          <cell r="D385" t="str">
            <v>134</v>
          </cell>
          <cell r="E385">
            <v>51048</v>
          </cell>
          <cell r="F385">
            <v>152</v>
          </cell>
          <cell r="G385">
            <v>50116</v>
          </cell>
          <cell r="H385">
            <v>25</v>
          </cell>
          <cell r="I385">
            <v>50078</v>
          </cell>
          <cell r="J385">
            <v>25</v>
          </cell>
          <cell r="K385" t="str">
            <v/>
          </cell>
          <cell r="L385">
            <v>0</v>
          </cell>
          <cell r="M385">
            <v>102.39108910891089</v>
          </cell>
        </row>
        <row r="386">
          <cell r="B386">
            <v>130408</v>
          </cell>
          <cell r="C386" t="str">
            <v>CB552AAA</v>
          </cell>
          <cell r="D386" t="str">
            <v>134</v>
          </cell>
          <cell r="E386">
            <v>52000</v>
          </cell>
          <cell r="F386">
            <v>3.09</v>
          </cell>
          <cell r="G386">
            <v>50124</v>
          </cell>
          <cell r="H386">
            <v>88</v>
          </cell>
          <cell r="I386">
            <v>50101</v>
          </cell>
          <cell r="J386">
            <v>15</v>
          </cell>
          <cell r="K386">
            <v>10116</v>
          </cell>
          <cell r="L386">
            <v>0</v>
          </cell>
          <cell r="M386">
            <v>276.69902912621359</v>
          </cell>
        </row>
        <row r="387">
          <cell r="B387">
            <v>130501</v>
          </cell>
          <cell r="C387" t="str">
            <v>CB231AAA</v>
          </cell>
          <cell r="D387" t="str">
            <v>135</v>
          </cell>
          <cell r="E387">
            <v>51049</v>
          </cell>
          <cell r="F387">
            <v>151</v>
          </cell>
          <cell r="G387">
            <v>50146</v>
          </cell>
          <cell r="H387">
            <v>25</v>
          </cell>
          <cell r="I387">
            <v>50090</v>
          </cell>
          <cell r="J387">
            <v>25</v>
          </cell>
          <cell r="K387" t="str">
            <v/>
          </cell>
          <cell r="L387">
            <v>0</v>
          </cell>
          <cell r="M387">
            <v>94.557213930348254</v>
          </cell>
        </row>
        <row r="388">
          <cell r="B388">
            <v>130502</v>
          </cell>
          <cell r="C388" t="str">
            <v>CB231AAA</v>
          </cell>
          <cell r="D388" t="str">
            <v>135</v>
          </cell>
          <cell r="E388">
            <v>51049</v>
          </cell>
          <cell r="F388">
            <v>151</v>
          </cell>
          <cell r="G388">
            <v>50146</v>
          </cell>
          <cell r="H388">
            <v>25</v>
          </cell>
          <cell r="I388">
            <v>50135</v>
          </cell>
          <cell r="J388">
            <v>25</v>
          </cell>
          <cell r="K388" t="str">
            <v/>
          </cell>
          <cell r="L388">
            <v>0</v>
          </cell>
          <cell r="M388">
            <v>94.557213930348254</v>
          </cell>
        </row>
        <row r="389">
          <cell r="B389">
            <v>130503</v>
          </cell>
          <cell r="C389" t="str">
            <v>CB231AAA</v>
          </cell>
          <cell r="D389" t="str">
            <v>135</v>
          </cell>
          <cell r="E389">
            <v>51049</v>
          </cell>
          <cell r="F389">
            <v>151</v>
          </cell>
          <cell r="G389">
            <v>50146</v>
          </cell>
          <cell r="H389">
            <v>25</v>
          </cell>
          <cell r="I389">
            <v>50100</v>
          </cell>
          <cell r="J389">
            <v>25</v>
          </cell>
          <cell r="K389" t="str">
            <v/>
          </cell>
          <cell r="L389">
            <v>0</v>
          </cell>
          <cell r="M389">
            <v>103.88557213930348</v>
          </cell>
        </row>
        <row r="390">
          <cell r="B390">
            <v>130504</v>
          </cell>
          <cell r="C390" t="str">
            <v>CB401AAA</v>
          </cell>
          <cell r="D390" t="str">
            <v>135</v>
          </cell>
          <cell r="E390">
            <v>51049</v>
          </cell>
          <cell r="F390">
            <v>151</v>
          </cell>
          <cell r="G390">
            <v>50090</v>
          </cell>
          <cell r="H390">
            <v>25</v>
          </cell>
          <cell r="I390">
            <v>50145</v>
          </cell>
          <cell r="J390">
            <v>25</v>
          </cell>
          <cell r="K390" t="str">
            <v/>
          </cell>
          <cell r="L390">
            <v>0</v>
          </cell>
          <cell r="M390">
            <v>88.960199004975124</v>
          </cell>
        </row>
        <row r="391">
          <cell r="B391">
            <v>130505</v>
          </cell>
          <cell r="C391" t="str">
            <v>CB401AAA</v>
          </cell>
          <cell r="D391" t="str">
            <v>135</v>
          </cell>
          <cell r="E391">
            <v>51049</v>
          </cell>
          <cell r="F391">
            <v>151</v>
          </cell>
          <cell r="G391">
            <v>50090</v>
          </cell>
          <cell r="H391">
            <v>25</v>
          </cell>
          <cell r="I391">
            <v>50102</v>
          </cell>
          <cell r="J391">
            <v>25</v>
          </cell>
          <cell r="K391" t="str">
            <v/>
          </cell>
          <cell r="L391">
            <v>0</v>
          </cell>
          <cell r="M391">
            <v>103.88557213930348</v>
          </cell>
        </row>
        <row r="392">
          <cell r="B392">
            <v>130508</v>
          </cell>
          <cell r="C392" t="str">
            <v>CB377AAA</v>
          </cell>
          <cell r="D392" t="str">
            <v>135</v>
          </cell>
          <cell r="E392">
            <v>52000</v>
          </cell>
          <cell r="F392">
            <v>3.09</v>
          </cell>
          <cell r="G392">
            <v>50113</v>
          </cell>
          <cell r="H392">
            <v>88</v>
          </cell>
          <cell r="I392">
            <v>50097</v>
          </cell>
          <cell r="J392">
            <v>15</v>
          </cell>
          <cell r="K392">
            <v>10148</v>
          </cell>
          <cell r="L392">
            <v>0</v>
          </cell>
          <cell r="M392">
            <v>276.69902912621359</v>
          </cell>
        </row>
        <row r="393">
          <cell r="B393">
            <v>140101</v>
          </cell>
          <cell r="C393" t="str">
            <v>CB611AAA</v>
          </cell>
          <cell r="D393" t="str">
            <v>141</v>
          </cell>
          <cell r="E393">
            <v>51049</v>
          </cell>
          <cell r="F393">
            <v>151</v>
          </cell>
          <cell r="G393">
            <v>50140</v>
          </cell>
          <cell r="H393">
            <v>25</v>
          </cell>
          <cell r="I393">
            <v>50100</v>
          </cell>
          <cell r="J393">
            <v>25</v>
          </cell>
          <cell r="K393" t="str">
            <v/>
          </cell>
          <cell r="L393">
            <v>0</v>
          </cell>
          <cell r="M393">
            <v>103.88557213930348</v>
          </cell>
        </row>
        <row r="394">
          <cell r="B394">
            <v>140102</v>
          </cell>
          <cell r="C394" t="str">
            <v>CB611AAA</v>
          </cell>
          <cell r="D394" t="str">
            <v>141</v>
          </cell>
          <cell r="E394">
            <v>51049</v>
          </cell>
          <cell r="F394">
            <v>151</v>
          </cell>
          <cell r="G394">
            <v>50140</v>
          </cell>
          <cell r="H394">
            <v>25</v>
          </cell>
          <cell r="I394">
            <v>50135</v>
          </cell>
          <cell r="J394">
            <v>25</v>
          </cell>
          <cell r="K394" t="str">
            <v/>
          </cell>
          <cell r="L394">
            <v>0</v>
          </cell>
          <cell r="M394">
            <v>94.557213930348254</v>
          </cell>
        </row>
        <row r="395">
          <cell r="B395">
            <v>140103</v>
          </cell>
          <cell r="C395" t="str">
            <v>CB611AAA</v>
          </cell>
          <cell r="D395" t="str">
            <v>141</v>
          </cell>
          <cell r="E395">
            <v>51049</v>
          </cell>
          <cell r="F395">
            <v>151</v>
          </cell>
          <cell r="G395">
            <v>50140</v>
          </cell>
          <cell r="H395">
            <v>25</v>
          </cell>
          <cell r="I395">
            <v>50145</v>
          </cell>
          <cell r="J395">
            <v>25</v>
          </cell>
          <cell r="K395" t="str">
            <v/>
          </cell>
          <cell r="L395">
            <v>0</v>
          </cell>
          <cell r="M395">
            <v>88.960199004975124</v>
          </cell>
        </row>
        <row r="396">
          <cell r="B396">
            <v>140104</v>
          </cell>
          <cell r="C396" t="str">
            <v>CB411AAA</v>
          </cell>
          <cell r="D396" t="str">
            <v>141</v>
          </cell>
          <cell r="E396">
            <v>51049</v>
          </cell>
          <cell r="F396">
            <v>151</v>
          </cell>
          <cell r="G396">
            <v>50140</v>
          </cell>
          <cell r="H396">
            <v>25</v>
          </cell>
          <cell r="I396">
            <v>50100</v>
          </cell>
          <cell r="J396">
            <v>25</v>
          </cell>
          <cell r="K396" t="str">
            <v/>
          </cell>
          <cell r="L396">
            <v>0</v>
          </cell>
          <cell r="M396">
            <v>103.88557213930348</v>
          </cell>
        </row>
        <row r="397">
          <cell r="B397">
            <v>140105</v>
          </cell>
          <cell r="C397" t="str">
            <v>CB231AAA</v>
          </cell>
          <cell r="D397" t="str">
            <v>141</v>
          </cell>
          <cell r="E397">
            <v>51049</v>
          </cell>
          <cell r="F397">
            <v>151</v>
          </cell>
          <cell r="G397">
            <v>50146</v>
          </cell>
          <cell r="H397">
            <v>25</v>
          </cell>
          <cell r="I397">
            <v>50098</v>
          </cell>
          <cell r="J397">
            <v>25</v>
          </cell>
          <cell r="K397" t="str">
            <v/>
          </cell>
          <cell r="L397">
            <v>0</v>
          </cell>
          <cell r="M397">
            <v>103.88557213930348</v>
          </cell>
        </row>
        <row r="398">
          <cell r="B398">
            <v>140108</v>
          </cell>
          <cell r="C398" t="str">
            <v>CB506AAA</v>
          </cell>
          <cell r="D398" t="str">
            <v>141</v>
          </cell>
          <cell r="E398">
            <v>52000</v>
          </cell>
          <cell r="F398">
            <v>3.09</v>
          </cell>
          <cell r="G398">
            <v>50122</v>
          </cell>
          <cell r="H398">
            <v>88</v>
          </cell>
          <cell r="I398">
            <v>50094</v>
          </cell>
          <cell r="J398">
            <v>15</v>
          </cell>
          <cell r="K398">
            <v>10180</v>
          </cell>
          <cell r="L398">
            <v>0</v>
          </cell>
          <cell r="M398">
            <v>266.09482514845882</v>
          </cell>
        </row>
        <row r="399">
          <cell r="B399">
            <v>140201</v>
          </cell>
          <cell r="C399" t="str">
            <v>CB611AAA</v>
          </cell>
          <cell r="D399" t="str">
            <v>142</v>
          </cell>
          <cell r="E399">
            <v>51050</v>
          </cell>
          <cell r="F399">
            <v>150</v>
          </cell>
          <cell r="G399">
            <v>50140</v>
          </cell>
          <cell r="H399">
            <v>25</v>
          </cell>
          <cell r="I399">
            <v>50119</v>
          </cell>
          <cell r="J399">
            <v>25</v>
          </cell>
          <cell r="K399" t="str">
            <v/>
          </cell>
          <cell r="L399">
            <v>0</v>
          </cell>
          <cell r="M399">
            <v>90.375</v>
          </cell>
        </row>
        <row r="400">
          <cell r="B400">
            <v>140202</v>
          </cell>
          <cell r="C400" t="str">
            <v>CB611AAA</v>
          </cell>
          <cell r="D400" t="str">
            <v>142</v>
          </cell>
          <cell r="E400">
            <v>51050</v>
          </cell>
          <cell r="F400">
            <v>150</v>
          </cell>
          <cell r="G400">
            <v>50140</v>
          </cell>
          <cell r="H400">
            <v>25</v>
          </cell>
          <cell r="I400">
            <v>50157</v>
          </cell>
          <cell r="J400">
            <v>25</v>
          </cell>
          <cell r="K400" t="str">
            <v/>
          </cell>
          <cell r="L400">
            <v>0</v>
          </cell>
          <cell r="M400">
            <v>90.375</v>
          </cell>
        </row>
        <row r="401">
          <cell r="B401">
            <v>140203</v>
          </cell>
          <cell r="C401" t="str">
            <v>CB611AAA</v>
          </cell>
          <cell r="D401" t="str">
            <v>142</v>
          </cell>
          <cell r="E401">
            <v>51050</v>
          </cell>
          <cell r="F401">
            <v>150</v>
          </cell>
          <cell r="G401">
            <v>50140</v>
          </cell>
          <cell r="H401">
            <v>25</v>
          </cell>
          <cell r="I401">
            <v>50157</v>
          </cell>
          <cell r="J401">
            <v>25</v>
          </cell>
          <cell r="K401" t="str">
            <v/>
          </cell>
          <cell r="L401">
            <v>0</v>
          </cell>
          <cell r="M401">
            <v>90.375</v>
          </cell>
        </row>
        <row r="402">
          <cell r="B402">
            <v>140204</v>
          </cell>
          <cell r="C402" t="str">
            <v>CB611AAA</v>
          </cell>
          <cell r="D402" t="str">
            <v>142</v>
          </cell>
          <cell r="E402">
            <v>51050</v>
          </cell>
          <cell r="F402">
            <v>150</v>
          </cell>
          <cell r="G402">
            <v>50140</v>
          </cell>
          <cell r="H402">
            <v>25</v>
          </cell>
          <cell r="I402">
            <v>50098</v>
          </cell>
          <cell r="J402">
            <v>25</v>
          </cell>
          <cell r="K402" t="str">
            <v/>
          </cell>
          <cell r="L402">
            <v>0</v>
          </cell>
          <cell r="M402">
            <v>105.375</v>
          </cell>
        </row>
        <row r="403">
          <cell r="B403">
            <v>140205</v>
          </cell>
          <cell r="C403" t="str">
            <v>CB862AAA</v>
          </cell>
          <cell r="D403" t="str">
            <v>142</v>
          </cell>
          <cell r="E403">
            <v>51050</v>
          </cell>
          <cell r="F403">
            <v>150</v>
          </cell>
          <cell r="G403">
            <v>50078</v>
          </cell>
          <cell r="H403">
            <v>25</v>
          </cell>
          <cell r="I403">
            <v>50096</v>
          </cell>
          <cell r="J403">
            <v>25</v>
          </cell>
          <cell r="K403" t="str">
            <v/>
          </cell>
          <cell r="L403">
            <v>0</v>
          </cell>
          <cell r="M403">
            <v>96</v>
          </cell>
        </row>
        <row r="404">
          <cell r="B404">
            <v>140208</v>
          </cell>
          <cell r="C404" t="e">
            <v>#N/A</v>
          </cell>
          <cell r="D404" t="str">
            <v>142</v>
          </cell>
          <cell r="E404">
            <v>52000</v>
          </cell>
          <cell r="F404">
            <v>3.09</v>
          </cell>
          <cell r="G404">
            <v>50122</v>
          </cell>
          <cell r="H404">
            <v>88</v>
          </cell>
          <cell r="I404">
            <v>50096</v>
          </cell>
          <cell r="J404">
            <v>15</v>
          </cell>
          <cell r="K404">
            <v>10212</v>
          </cell>
          <cell r="L404">
            <v>0</v>
          </cell>
          <cell r="M404">
            <v>266.09482514845882</v>
          </cell>
        </row>
        <row r="405">
          <cell r="B405">
            <v>140301</v>
          </cell>
          <cell r="C405" t="str">
            <v>CB225AAA</v>
          </cell>
          <cell r="D405" t="str">
            <v>143</v>
          </cell>
          <cell r="E405">
            <v>51051</v>
          </cell>
          <cell r="F405">
            <v>149</v>
          </cell>
          <cell r="G405">
            <v>50102</v>
          </cell>
          <cell r="H405">
            <v>25</v>
          </cell>
          <cell r="I405">
            <v>50093</v>
          </cell>
          <cell r="J405">
            <v>25</v>
          </cell>
          <cell r="K405" t="str">
            <v/>
          </cell>
          <cell r="L405">
            <v>0</v>
          </cell>
          <cell r="M405">
            <v>106.85929648241206</v>
          </cell>
        </row>
        <row r="406">
          <cell r="B406">
            <v>140302</v>
          </cell>
          <cell r="C406" t="str">
            <v>CB632AAA</v>
          </cell>
          <cell r="D406" t="str">
            <v>143</v>
          </cell>
          <cell r="E406">
            <v>51051</v>
          </cell>
          <cell r="F406">
            <v>149</v>
          </cell>
          <cell r="G406">
            <v>50151</v>
          </cell>
          <cell r="H406">
            <v>25</v>
          </cell>
          <cell r="I406">
            <v>50100</v>
          </cell>
          <cell r="J406">
            <v>25</v>
          </cell>
          <cell r="K406" t="str">
            <v/>
          </cell>
          <cell r="L406">
            <v>0</v>
          </cell>
          <cell r="M406">
            <v>106.85929648241206</v>
          </cell>
        </row>
        <row r="407">
          <cell r="B407">
            <v>140303</v>
          </cell>
          <cell r="C407" t="str">
            <v>CB613AAA</v>
          </cell>
          <cell r="D407" t="str">
            <v>143</v>
          </cell>
          <cell r="E407">
            <v>51051</v>
          </cell>
          <cell r="F407">
            <v>149</v>
          </cell>
          <cell r="G407">
            <v>50140</v>
          </cell>
          <cell r="H407">
            <v>25</v>
          </cell>
          <cell r="I407">
            <v>50101</v>
          </cell>
          <cell r="J407">
            <v>25</v>
          </cell>
          <cell r="K407" t="str">
            <v/>
          </cell>
          <cell r="L407">
            <v>0</v>
          </cell>
          <cell r="M407">
            <v>106.85929648241206</v>
          </cell>
        </row>
        <row r="408">
          <cell r="B408">
            <v>140304</v>
          </cell>
          <cell r="C408" t="str">
            <v>CB756AAA</v>
          </cell>
          <cell r="D408" t="str">
            <v>143</v>
          </cell>
          <cell r="E408">
            <v>51051</v>
          </cell>
          <cell r="F408">
            <v>149</v>
          </cell>
          <cell r="G408">
            <v>50145</v>
          </cell>
          <cell r="H408">
            <v>25</v>
          </cell>
          <cell r="I408">
            <v>50091</v>
          </cell>
          <cell r="J408">
            <v>25</v>
          </cell>
          <cell r="K408" t="str">
            <v/>
          </cell>
          <cell r="L408">
            <v>0</v>
          </cell>
          <cell r="M408">
            <v>91.78391959798995</v>
          </cell>
        </row>
        <row r="409">
          <cell r="B409">
            <v>140305</v>
          </cell>
          <cell r="C409" t="str">
            <v>CB431AAA</v>
          </cell>
          <cell r="D409" t="str">
            <v>143</v>
          </cell>
          <cell r="E409">
            <v>51051</v>
          </cell>
          <cell r="F409">
            <v>149</v>
          </cell>
          <cell r="G409">
            <v>50101</v>
          </cell>
          <cell r="H409">
            <v>25</v>
          </cell>
          <cell r="I409">
            <v>50119</v>
          </cell>
          <cell r="J409">
            <v>25</v>
          </cell>
          <cell r="K409" t="str">
            <v/>
          </cell>
          <cell r="L409">
            <v>0</v>
          </cell>
          <cell r="M409">
            <v>101.20603015075378</v>
          </cell>
        </row>
        <row r="410">
          <cell r="B410">
            <v>140308</v>
          </cell>
          <cell r="C410" t="e">
            <v>#N/A</v>
          </cell>
          <cell r="D410" t="str">
            <v>143</v>
          </cell>
          <cell r="E410">
            <v>52000</v>
          </cell>
          <cell r="F410">
            <v>3.09</v>
          </cell>
          <cell r="G410">
            <v>50122</v>
          </cell>
          <cell r="H410">
            <v>88</v>
          </cell>
          <cell r="I410">
            <v>50093</v>
          </cell>
          <cell r="J410">
            <v>15</v>
          </cell>
          <cell r="K410">
            <v>10244</v>
          </cell>
          <cell r="L410">
            <v>0</v>
          </cell>
          <cell r="M410">
            <v>266.09482514845882</v>
          </cell>
        </row>
        <row r="411">
          <cell r="B411">
            <v>140401</v>
          </cell>
          <cell r="C411" t="str">
            <v>CB225AAA</v>
          </cell>
          <cell r="D411" t="str">
            <v>144</v>
          </cell>
          <cell r="E411">
            <v>51051</v>
          </cell>
          <cell r="F411">
            <v>149</v>
          </cell>
          <cell r="G411">
            <v>50102</v>
          </cell>
          <cell r="H411">
            <v>25</v>
          </cell>
          <cell r="I411">
            <v>50100</v>
          </cell>
          <cell r="J411">
            <v>25</v>
          </cell>
          <cell r="K411" t="str">
            <v/>
          </cell>
          <cell r="L411">
            <v>0</v>
          </cell>
          <cell r="M411">
            <v>116.28140703517587</v>
          </cell>
        </row>
        <row r="412">
          <cell r="B412">
            <v>140402</v>
          </cell>
          <cell r="C412" t="str">
            <v>CB613AAA</v>
          </cell>
          <cell r="D412" t="str">
            <v>144</v>
          </cell>
          <cell r="E412">
            <v>51051</v>
          </cell>
          <cell r="F412">
            <v>149</v>
          </cell>
          <cell r="G412">
            <v>50140</v>
          </cell>
          <cell r="H412">
            <v>25</v>
          </cell>
          <cell r="I412">
            <v>50101</v>
          </cell>
          <cell r="J412">
            <v>25</v>
          </cell>
          <cell r="K412" t="str">
            <v/>
          </cell>
          <cell r="L412">
            <v>0</v>
          </cell>
          <cell r="M412">
            <v>106.85929648241206</v>
          </cell>
        </row>
        <row r="413">
          <cell r="B413">
            <v>140403</v>
          </cell>
          <cell r="C413" t="str">
            <v>CB225AAA</v>
          </cell>
          <cell r="D413" t="str">
            <v>144</v>
          </cell>
          <cell r="E413">
            <v>51051</v>
          </cell>
          <cell r="F413">
            <v>149</v>
          </cell>
          <cell r="G413">
            <v>50102</v>
          </cell>
          <cell r="H413">
            <v>25</v>
          </cell>
          <cell r="I413">
            <v>50097</v>
          </cell>
          <cell r="J413">
            <v>25</v>
          </cell>
          <cell r="K413" t="str">
            <v/>
          </cell>
          <cell r="L413">
            <v>0</v>
          </cell>
          <cell r="M413">
            <v>116.28140703517587</v>
          </cell>
        </row>
        <row r="414">
          <cell r="B414">
            <v>140404</v>
          </cell>
          <cell r="C414" t="str">
            <v>CB376AAA</v>
          </cell>
          <cell r="D414" t="str">
            <v>144</v>
          </cell>
          <cell r="E414">
            <v>51051</v>
          </cell>
          <cell r="F414">
            <v>149</v>
          </cell>
          <cell r="G414">
            <v>50113</v>
          </cell>
          <cell r="H414">
            <v>25</v>
          </cell>
          <cell r="I414">
            <v>50157</v>
          </cell>
          <cell r="J414">
            <v>25</v>
          </cell>
          <cell r="K414" t="str">
            <v/>
          </cell>
          <cell r="L414">
            <v>0</v>
          </cell>
          <cell r="M414">
            <v>101.20603015075378</v>
          </cell>
        </row>
        <row r="415">
          <cell r="B415">
            <v>140405</v>
          </cell>
          <cell r="C415" t="str">
            <v>CB767AAA</v>
          </cell>
          <cell r="D415" t="str">
            <v>144</v>
          </cell>
          <cell r="E415">
            <v>51051</v>
          </cell>
          <cell r="F415">
            <v>149</v>
          </cell>
          <cell r="G415">
            <v>50101</v>
          </cell>
          <cell r="H415">
            <v>25</v>
          </cell>
          <cell r="I415">
            <v>50096</v>
          </cell>
          <cell r="J415">
            <v>25</v>
          </cell>
          <cell r="K415" t="str">
            <v/>
          </cell>
          <cell r="L415">
            <v>0</v>
          </cell>
          <cell r="M415">
            <v>106.85929648241206</v>
          </cell>
        </row>
        <row r="416">
          <cell r="B416">
            <v>140408</v>
          </cell>
          <cell r="C416" t="e">
            <v>#N/A</v>
          </cell>
          <cell r="D416" t="str">
            <v>144</v>
          </cell>
          <cell r="E416">
            <v>52000</v>
          </cell>
          <cell r="F416">
            <v>3.09</v>
          </cell>
          <cell r="G416">
            <v>50122</v>
          </cell>
          <cell r="H416">
            <v>88</v>
          </cell>
          <cell r="I416">
            <v>50099</v>
          </cell>
          <cell r="J416">
            <v>15</v>
          </cell>
          <cell r="K416">
            <v>10276</v>
          </cell>
          <cell r="L416">
            <v>0</v>
          </cell>
          <cell r="M416">
            <v>276.69902912621359</v>
          </cell>
        </row>
        <row r="417">
          <cell r="B417">
            <v>140501</v>
          </cell>
          <cell r="C417" t="str">
            <v>CB632AAA</v>
          </cell>
          <cell r="D417" t="str">
            <v>145</v>
          </cell>
          <cell r="E417">
            <v>51052</v>
          </cell>
          <cell r="F417">
            <v>148</v>
          </cell>
          <cell r="G417">
            <v>50151</v>
          </cell>
          <cell r="H417">
            <v>25</v>
          </cell>
          <cell r="I417">
            <v>50101</v>
          </cell>
          <cell r="J417">
            <v>25</v>
          </cell>
          <cell r="K417" t="str">
            <v/>
          </cell>
          <cell r="L417">
            <v>0</v>
          </cell>
          <cell r="M417">
            <v>108.33838383838383</v>
          </cell>
        </row>
        <row r="418">
          <cell r="B418">
            <v>140502</v>
          </cell>
          <cell r="C418" t="str">
            <v>CB225AAA</v>
          </cell>
          <cell r="D418" t="str">
            <v>145</v>
          </cell>
          <cell r="E418">
            <v>51052</v>
          </cell>
          <cell r="F418">
            <v>148</v>
          </cell>
          <cell r="G418">
            <v>50102</v>
          </cell>
          <cell r="H418">
            <v>25</v>
          </cell>
          <cell r="I418">
            <v>50103</v>
          </cell>
          <cell r="J418">
            <v>25</v>
          </cell>
          <cell r="K418" t="str">
            <v/>
          </cell>
          <cell r="L418">
            <v>0</v>
          </cell>
          <cell r="M418">
            <v>117.8080808080808</v>
          </cell>
        </row>
        <row r="419">
          <cell r="B419">
            <v>140503</v>
          </cell>
          <cell r="C419" t="str">
            <v>CB613AAA</v>
          </cell>
          <cell r="D419" t="str">
            <v>145</v>
          </cell>
          <cell r="E419">
            <v>51052</v>
          </cell>
          <cell r="F419">
            <v>148</v>
          </cell>
          <cell r="G419">
            <v>50140</v>
          </cell>
          <cell r="H419">
            <v>25</v>
          </cell>
          <cell r="I419">
            <v>50078</v>
          </cell>
          <cell r="J419">
            <v>25</v>
          </cell>
          <cell r="K419" t="str">
            <v/>
          </cell>
          <cell r="L419">
            <v>0</v>
          </cell>
          <cell r="M419">
            <v>98.868686868686865</v>
          </cell>
        </row>
        <row r="420">
          <cell r="B420">
            <v>140504</v>
          </cell>
          <cell r="C420" t="str">
            <v>CB223AAA</v>
          </cell>
          <cell r="D420" t="str">
            <v>145</v>
          </cell>
          <cell r="E420">
            <v>51052</v>
          </cell>
          <cell r="F420">
            <v>148</v>
          </cell>
          <cell r="G420">
            <v>50119</v>
          </cell>
          <cell r="H420">
            <v>25</v>
          </cell>
          <cell r="I420">
            <v>50135</v>
          </cell>
          <cell r="J420">
            <v>25</v>
          </cell>
          <cell r="K420" t="str">
            <v/>
          </cell>
          <cell r="L420">
            <v>0</v>
          </cell>
          <cell r="M420">
            <v>93.186868686868692</v>
          </cell>
        </row>
        <row r="421">
          <cell r="B421">
            <v>140505</v>
          </cell>
          <cell r="C421" t="str">
            <v>CB403AAA</v>
          </cell>
          <cell r="D421" t="str">
            <v>145</v>
          </cell>
          <cell r="E421">
            <v>51052</v>
          </cell>
          <cell r="F421">
            <v>148</v>
          </cell>
          <cell r="G421">
            <v>50091</v>
          </cell>
          <cell r="H421">
            <v>25</v>
          </cell>
          <cell r="I421">
            <v>50099</v>
          </cell>
          <cell r="J421">
            <v>25</v>
          </cell>
          <cell r="K421" t="str">
            <v/>
          </cell>
          <cell r="L421">
            <v>0</v>
          </cell>
          <cell r="M421">
            <v>108.33838383838383</v>
          </cell>
        </row>
        <row r="422">
          <cell r="B422">
            <v>140508</v>
          </cell>
          <cell r="C422" t="e">
            <v>#N/A</v>
          </cell>
          <cell r="D422" t="str">
            <v>145</v>
          </cell>
          <cell r="E422">
            <v>52000</v>
          </cell>
          <cell r="F422">
            <v>3.09</v>
          </cell>
          <cell r="G422">
            <v>50122</v>
          </cell>
          <cell r="H422">
            <v>88</v>
          </cell>
          <cell r="I422">
            <v>50098</v>
          </cell>
          <cell r="J422">
            <v>15</v>
          </cell>
          <cell r="K422">
            <v>10308</v>
          </cell>
          <cell r="L422">
            <v>0</v>
          </cell>
          <cell r="M422">
            <v>276.69902912621359</v>
          </cell>
        </row>
        <row r="423">
          <cell r="B423">
            <v>150101</v>
          </cell>
          <cell r="C423" t="str">
            <v>CB764AAA</v>
          </cell>
          <cell r="D423" t="str">
            <v>151</v>
          </cell>
          <cell r="E423">
            <v>51053</v>
          </cell>
          <cell r="F423">
            <v>147</v>
          </cell>
          <cell r="G423">
            <v>50096</v>
          </cell>
          <cell r="H423">
            <v>25</v>
          </cell>
          <cell r="I423">
            <v>50091</v>
          </cell>
          <cell r="J423">
            <v>25</v>
          </cell>
          <cell r="K423" t="str">
            <v/>
          </cell>
          <cell r="L423">
            <v>0</v>
          </cell>
          <cell r="M423">
            <v>100.29441624365482</v>
          </cell>
        </row>
        <row r="424">
          <cell r="B424">
            <v>150102</v>
          </cell>
          <cell r="C424" t="str">
            <v>CB897AAA</v>
          </cell>
          <cell r="D424" t="str">
            <v>151</v>
          </cell>
          <cell r="E424">
            <v>51053</v>
          </cell>
          <cell r="F424">
            <v>147</v>
          </cell>
          <cell r="G424">
            <v>50148</v>
          </cell>
          <cell r="H424">
            <v>25</v>
          </cell>
          <cell r="I424">
            <v>50094</v>
          </cell>
          <cell r="J424">
            <v>25</v>
          </cell>
          <cell r="K424" t="str">
            <v/>
          </cell>
          <cell r="L424">
            <v>0</v>
          </cell>
          <cell r="M424">
            <v>100.29441624365482</v>
          </cell>
        </row>
        <row r="425">
          <cell r="B425">
            <v>150103</v>
          </cell>
          <cell r="C425" t="str">
            <v>CB760AAA</v>
          </cell>
          <cell r="D425" t="str">
            <v>151</v>
          </cell>
          <cell r="E425">
            <v>51053</v>
          </cell>
          <cell r="F425">
            <v>147</v>
          </cell>
          <cell r="G425">
            <v>50138</v>
          </cell>
          <cell r="H425">
            <v>25</v>
          </cell>
          <cell r="I425">
            <v>50091</v>
          </cell>
          <cell r="J425">
            <v>25</v>
          </cell>
          <cell r="K425" t="str">
            <v/>
          </cell>
          <cell r="L425">
            <v>0</v>
          </cell>
          <cell r="M425">
            <v>100.29441624365482</v>
          </cell>
        </row>
        <row r="426">
          <cell r="B426">
            <v>150104</v>
          </cell>
          <cell r="C426" t="str">
            <v>CB811AAA</v>
          </cell>
          <cell r="D426" t="str">
            <v>151</v>
          </cell>
          <cell r="E426">
            <v>51053</v>
          </cell>
          <cell r="F426">
            <v>147</v>
          </cell>
          <cell r="G426">
            <v>50135</v>
          </cell>
          <cell r="H426">
            <v>25</v>
          </cell>
          <cell r="I426">
            <v>50157</v>
          </cell>
          <cell r="J426">
            <v>25</v>
          </cell>
          <cell r="K426" t="str">
            <v/>
          </cell>
          <cell r="L426">
            <v>0</v>
          </cell>
          <cell r="M426">
            <v>94.583756345177662</v>
          </cell>
        </row>
        <row r="427">
          <cell r="B427">
            <v>150105</v>
          </cell>
          <cell r="C427" t="str">
            <v>CB633AAA</v>
          </cell>
          <cell r="D427" t="str">
            <v>151</v>
          </cell>
          <cell r="E427">
            <v>51053</v>
          </cell>
          <cell r="F427">
            <v>147</v>
          </cell>
          <cell r="G427">
            <v>50151</v>
          </cell>
          <cell r="H427">
            <v>25</v>
          </cell>
          <cell r="I427">
            <v>50157</v>
          </cell>
          <cell r="J427">
            <v>25</v>
          </cell>
          <cell r="K427" t="str">
            <v/>
          </cell>
          <cell r="L427">
            <v>0</v>
          </cell>
          <cell r="M427">
            <v>94.583756345177662</v>
          </cell>
        </row>
        <row r="428">
          <cell r="B428">
            <v>150108</v>
          </cell>
          <cell r="C428" t="e">
            <v>#N/A</v>
          </cell>
          <cell r="D428" t="str">
            <v>151</v>
          </cell>
          <cell r="E428">
            <v>52000</v>
          </cell>
          <cell r="F428">
            <v>3.09</v>
          </cell>
          <cell r="G428">
            <v>50122</v>
          </cell>
          <cell r="H428">
            <v>88</v>
          </cell>
          <cell r="I428">
            <v>50096</v>
          </cell>
          <cell r="J428">
            <v>15</v>
          </cell>
          <cell r="K428">
            <v>10340</v>
          </cell>
          <cell r="L428">
            <v>0</v>
          </cell>
          <cell r="M428">
            <v>266.09482514845882</v>
          </cell>
        </row>
        <row r="429">
          <cell r="B429">
            <v>150201</v>
          </cell>
          <cell r="C429" t="str">
            <v>CB762AAA</v>
          </cell>
          <cell r="D429" t="str">
            <v>152</v>
          </cell>
          <cell r="E429">
            <v>51053</v>
          </cell>
          <cell r="F429">
            <v>147</v>
          </cell>
          <cell r="G429">
            <v>50099</v>
          </cell>
          <cell r="H429">
            <v>25</v>
          </cell>
          <cell r="I429">
            <v>50145</v>
          </cell>
          <cell r="J429">
            <v>25</v>
          </cell>
          <cell r="K429" t="str">
            <v/>
          </cell>
          <cell r="L429">
            <v>0</v>
          </cell>
          <cell r="M429">
            <v>104.1015228426396</v>
          </cell>
        </row>
        <row r="430">
          <cell r="B430">
            <v>150202</v>
          </cell>
          <cell r="C430" t="str">
            <v>CB897AAA</v>
          </cell>
          <cell r="D430" t="str">
            <v>152</v>
          </cell>
          <cell r="E430">
            <v>51053</v>
          </cell>
          <cell r="F430">
            <v>147</v>
          </cell>
          <cell r="G430">
            <v>50148</v>
          </cell>
          <cell r="H430">
            <v>25</v>
          </cell>
          <cell r="I430">
            <v>50157</v>
          </cell>
          <cell r="J430">
            <v>25</v>
          </cell>
          <cell r="K430" t="str">
            <v/>
          </cell>
          <cell r="L430">
            <v>0</v>
          </cell>
          <cell r="M430">
            <v>94.583756345177662</v>
          </cell>
        </row>
        <row r="431">
          <cell r="B431">
            <v>150203</v>
          </cell>
          <cell r="C431" t="str">
            <v>CB371AAA</v>
          </cell>
          <cell r="D431" t="str">
            <v>152</v>
          </cell>
          <cell r="E431">
            <v>51053</v>
          </cell>
          <cell r="F431">
            <v>147</v>
          </cell>
          <cell r="G431">
            <v>50111</v>
          </cell>
          <cell r="H431">
            <v>25</v>
          </cell>
          <cell r="I431">
            <v>50092</v>
          </cell>
          <cell r="J431">
            <v>25</v>
          </cell>
          <cell r="K431" t="str">
            <v/>
          </cell>
          <cell r="L431">
            <v>0</v>
          </cell>
          <cell r="M431">
            <v>109.81218274111676</v>
          </cell>
        </row>
        <row r="432">
          <cell r="B432">
            <v>150204</v>
          </cell>
          <cell r="C432" t="str">
            <v>CB401AAA</v>
          </cell>
          <cell r="D432" t="str">
            <v>152</v>
          </cell>
          <cell r="E432">
            <v>51053</v>
          </cell>
          <cell r="F432">
            <v>147</v>
          </cell>
          <cell r="G432">
            <v>50090</v>
          </cell>
          <cell r="H432">
            <v>25</v>
          </cell>
          <cell r="I432">
            <v>50145</v>
          </cell>
          <cell r="J432">
            <v>25</v>
          </cell>
          <cell r="K432" t="str">
            <v/>
          </cell>
          <cell r="L432">
            <v>0</v>
          </cell>
          <cell r="M432">
            <v>94.583756345177662</v>
          </cell>
        </row>
        <row r="433">
          <cell r="B433">
            <v>150205</v>
          </cell>
          <cell r="C433" t="str">
            <v>CB223AAA</v>
          </cell>
          <cell r="D433" t="str">
            <v>152</v>
          </cell>
          <cell r="E433">
            <v>51053</v>
          </cell>
          <cell r="F433">
            <v>147</v>
          </cell>
          <cell r="G433">
            <v>50119</v>
          </cell>
          <cell r="H433">
            <v>25</v>
          </cell>
          <cell r="I433">
            <v>50098</v>
          </cell>
          <cell r="J433">
            <v>25</v>
          </cell>
          <cell r="K433" t="str">
            <v/>
          </cell>
          <cell r="L433">
            <v>0</v>
          </cell>
          <cell r="M433">
            <v>104.1015228426396</v>
          </cell>
        </row>
        <row r="434">
          <cell r="B434">
            <v>150208</v>
          </cell>
          <cell r="C434" t="e">
            <v>#N/A</v>
          </cell>
          <cell r="D434" t="str">
            <v>152</v>
          </cell>
          <cell r="E434">
            <v>52000</v>
          </cell>
          <cell r="F434">
            <v>3.09</v>
          </cell>
          <cell r="G434">
            <v>50122</v>
          </cell>
          <cell r="H434">
            <v>88</v>
          </cell>
          <cell r="I434">
            <v>50095</v>
          </cell>
          <cell r="J434">
            <v>15</v>
          </cell>
          <cell r="K434">
            <v>10372</v>
          </cell>
          <cell r="L434">
            <v>0</v>
          </cell>
          <cell r="M434">
            <v>266.09482514845882</v>
          </cell>
        </row>
        <row r="435">
          <cell r="B435">
            <v>150301</v>
          </cell>
          <cell r="C435" t="str">
            <v>CB897AAA</v>
          </cell>
          <cell r="D435" t="str">
            <v>153</v>
          </cell>
          <cell r="E435">
            <v>51054</v>
          </cell>
          <cell r="F435">
            <v>146</v>
          </cell>
          <cell r="G435">
            <v>50148</v>
          </cell>
          <cell r="H435">
            <v>25</v>
          </cell>
          <cell r="I435">
            <v>50119</v>
          </cell>
          <cell r="J435">
            <v>25</v>
          </cell>
          <cell r="K435" t="str">
            <v/>
          </cell>
          <cell r="L435">
            <v>0</v>
          </cell>
          <cell r="M435">
            <v>95.974489795918373</v>
          </cell>
        </row>
        <row r="436">
          <cell r="B436">
            <v>150302</v>
          </cell>
          <cell r="C436" t="str">
            <v>CB371AAA</v>
          </cell>
          <cell r="D436" t="str">
            <v>153</v>
          </cell>
          <cell r="E436">
            <v>51054</v>
          </cell>
          <cell r="F436">
            <v>146</v>
          </cell>
          <cell r="G436">
            <v>50111</v>
          </cell>
          <cell r="H436">
            <v>25</v>
          </cell>
          <cell r="I436">
            <v>50100</v>
          </cell>
          <cell r="J436">
            <v>25</v>
          </cell>
          <cell r="K436" t="str">
            <v/>
          </cell>
          <cell r="L436">
            <v>0</v>
          </cell>
          <cell r="M436">
            <v>120.84693877551021</v>
          </cell>
        </row>
        <row r="437">
          <cell r="B437">
            <v>150303</v>
          </cell>
          <cell r="C437" t="str">
            <v>CB762AAA</v>
          </cell>
          <cell r="D437" t="str">
            <v>153</v>
          </cell>
          <cell r="E437">
            <v>51054</v>
          </cell>
          <cell r="F437">
            <v>146</v>
          </cell>
          <cell r="G437">
            <v>50099</v>
          </cell>
          <cell r="H437">
            <v>25</v>
          </cell>
          <cell r="I437">
            <v>50090</v>
          </cell>
          <cell r="J437">
            <v>25</v>
          </cell>
          <cell r="K437" t="str">
            <v/>
          </cell>
          <cell r="L437">
            <v>0</v>
          </cell>
          <cell r="M437">
            <v>111.28061224489795</v>
          </cell>
        </row>
        <row r="438">
          <cell r="B438">
            <v>150304</v>
          </cell>
          <cell r="C438" t="str">
            <v>CB223AAA</v>
          </cell>
          <cell r="D438" t="str">
            <v>153</v>
          </cell>
          <cell r="E438">
            <v>51054</v>
          </cell>
          <cell r="F438">
            <v>146</v>
          </cell>
          <cell r="G438">
            <v>50119</v>
          </cell>
          <cell r="H438">
            <v>25</v>
          </cell>
          <cell r="I438">
            <v>50095</v>
          </cell>
          <cell r="J438">
            <v>25</v>
          </cell>
          <cell r="K438" t="str">
            <v/>
          </cell>
          <cell r="L438">
            <v>0</v>
          </cell>
          <cell r="M438">
            <v>95.974489795918373</v>
          </cell>
        </row>
        <row r="439">
          <cell r="B439">
            <v>150305</v>
          </cell>
          <cell r="C439" t="str">
            <v>CB225AAA</v>
          </cell>
          <cell r="D439" t="str">
            <v>153</v>
          </cell>
          <cell r="E439">
            <v>51054</v>
          </cell>
          <cell r="F439">
            <v>146</v>
          </cell>
          <cell r="G439">
            <v>50102</v>
          </cell>
          <cell r="H439">
            <v>25</v>
          </cell>
          <cell r="I439">
            <v>50099</v>
          </cell>
          <cell r="J439">
            <v>25</v>
          </cell>
          <cell r="K439" t="str">
            <v/>
          </cell>
          <cell r="L439">
            <v>0</v>
          </cell>
          <cell r="M439">
            <v>120.84693877551021</v>
          </cell>
        </row>
        <row r="440">
          <cell r="B440">
            <v>150308</v>
          </cell>
          <cell r="C440" t="e">
            <v>#N/A</v>
          </cell>
          <cell r="D440" t="str">
            <v>153</v>
          </cell>
          <cell r="E440">
            <v>52000</v>
          </cell>
          <cell r="F440">
            <v>3.09</v>
          </cell>
          <cell r="G440">
            <v>50122</v>
          </cell>
          <cell r="H440">
            <v>88</v>
          </cell>
          <cell r="I440">
            <v>50103</v>
          </cell>
          <cell r="J440">
            <v>15</v>
          </cell>
          <cell r="K440">
            <v>10404</v>
          </cell>
          <cell r="L440">
            <v>0</v>
          </cell>
          <cell r="M440">
            <v>276.69902912621359</v>
          </cell>
        </row>
        <row r="441">
          <cell r="B441">
            <v>150401</v>
          </cell>
          <cell r="C441" t="str">
            <v>CB762AAA</v>
          </cell>
          <cell r="D441" t="str">
            <v>154</v>
          </cell>
          <cell r="E441">
            <v>51055</v>
          </cell>
          <cell r="F441">
            <v>145</v>
          </cell>
          <cell r="G441">
            <v>50099</v>
          </cell>
          <cell r="H441">
            <v>25</v>
          </cell>
          <cell r="I441">
            <v>50099</v>
          </cell>
          <cell r="J441">
            <v>25</v>
          </cell>
          <cell r="K441" t="str">
            <v/>
          </cell>
          <cell r="L441">
            <v>0</v>
          </cell>
          <cell r="M441">
            <v>122.35897435897436</v>
          </cell>
        </row>
        <row r="442">
          <cell r="B442">
            <v>150402</v>
          </cell>
          <cell r="C442" t="str">
            <v>CB762AAA</v>
          </cell>
          <cell r="D442" t="str">
            <v>154</v>
          </cell>
          <cell r="E442">
            <v>51055</v>
          </cell>
          <cell r="F442">
            <v>145</v>
          </cell>
          <cell r="G442">
            <v>50099</v>
          </cell>
          <cell r="H442">
            <v>25</v>
          </cell>
          <cell r="I442">
            <v>50102</v>
          </cell>
          <cell r="J442">
            <v>25</v>
          </cell>
          <cell r="K442" t="str">
            <v/>
          </cell>
          <cell r="L442">
            <v>0</v>
          </cell>
          <cell r="M442">
            <v>122.35897435897436</v>
          </cell>
        </row>
        <row r="443">
          <cell r="B443">
            <v>150403</v>
          </cell>
          <cell r="C443" t="str">
            <v>CB762AAA</v>
          </cell>
          <cell r="D443" t="str">
            <v>154</v>
          </cell>
          <cell r="E443">
            <v>51055</v>
          </cell>
          <cell r="F443">
            <v>145</v>
          </cell>
          <cell r="G443">
            <v>50099</v>
          </cell>
          <cell r="H443">
            <v>25</v>
          </cell>
          <cell r="I443">
            <v>50094</v>
          </cell>
          <cell r="J443">
            <v>25</v>
          </cell>
          <cell r="K443" t="str">
            <v/>
          </cell>
          <cell r="L443">
            <v>0</v>
          </cell>
          <cell r="M443">
            <v>112.74358974358974</v>
          </cell>
        </row>
        <row r="444">
          <cell r="B444">
            <v>150404</v>
          </cell>
          <cell r="C444" t="str">
            <v>CB611AAA</v>
          </cell>
          <cell r="D444" t="str">
            <v>154</v>
          </cell>
          <cell r="E444">
            <v>51055</v>
          </cell>
          <cell r="F444">
            <v>145</v>
          </cell>
          <cell r="G444">
            <v>50140</v>
          </cell>
          <cell r="H444">
            <v>25</v>
          </cell>
          <cell r="I444">
            <v>50157</v>
          </cell>
          <cell r="J444">
            <v>25</v>
          </cell>
          <cell r="K444" t="str">
            <v/>
          </cell>
          <cell r="L444">
            <v>0</v>
          </cell>
          <cell r="M444">
            <v>97.358974358974365</v>
          </cell>
        </row>
        <row r="445">
          <cell r="B445">
            <v>150405</v>
          </cell>
          <cell r="C445" t="str">
            <v>CB741AAA</v>
          </cell>
          <cell r="D445" t="str">
            <v>154</v>
          </cell>
          <cell r="E445">
            <v>51055</v>
          </cell>
          <cell r="F445">
            <v>145</v>
          </cell>
          <cell r="G445">
            <v>50152</v>
          </cell>
          <cell r="H445">
            <v>25</v>
          </cell>
          <cell r="I445">
            <v>50101</v>
          </cell>
          <cell r="J445">
            <v>25</v>
          </cell>
          <cell r="K445" t="str">
            <v/>
          </cell>
          <cell r="L445">
            <v>0</v>
          </cell>
          <cell r="M445">
            <v>112.74358974358974</v>
          </cell>
        </row>
        <row r="446">
          <cell r="B446">
            <v>150408</v>
          </cell>
          <cell r="C446" t="e">
            <v>#N/A</v>
          </cell>
          <cell r="D446" t="str">
            <v>154</v>
          </cell>
          <cell r="E446">
            <v>52000</v>
          </cell>
          <cell r="F446">
            <v>3.09</v>
          </cell>
          <cell r="G446">
            <v>50122</v>
          </cell>
          <cell r="H446">
            <v>88</v>
          </cell>
          <cell r="I446">
            <v>50078</v>
          </cell>
          <cell r="J446">
            <v>15</v>
          </cell>
          <cell r="K446">
            <v>10436</v>
          </cell>
          <cell r="L446">
            <v>0</v>
          </cell>
          <cell r="M446">
            <v>266.09482514845882</v>
          </cell>
        </row>
        <row r="447">
          <cell r="B447">
            <v>150501</v>
          </cell>
          <cell r="C447" t="str">
            <v>CB897AAA</v>
          </cell>
          <cell r="D447" t="str">
            <v>155</v>
          </cell>
          <cell r="E447">
            <v>51055</v>
          </cell>
          <cell r="F447">
            <v>145</v>
          </cell>
          <cell r="G447">
            <v>50148</v>
          </cell>
          <cell r="H447">
            <v>25</v>
          </cell>
          <cell r="I447">
            <v>50100</v>
          </cell>
          <cell r="J447">
            <v>25</v>
          </cell>
          <cell r="K447" t="str">
            <v/>
          </cell>
          <cell r="L447">
            <v>0</v>
          </cell>
          <cell r="M447">
            <v>112.74358974358974</v>
          </cell>
        </row>
        <row r="448">
          <cell r="B448">
            <v>150502</v>
          </cell>
          <cell r="C448" t="str">
            <v>CB371AAA</v>
          </cell>
          <cell r="D448" t="str">
            <v>155</v>
          </cell>
          <cell r="E448">
            <v>51055</v>
          </cell>
          <cell r="F448">
            <v>145</v>
          </cell>
          <cell r="G448">
            <v>50111</v>
          </cell>
          <cell r="H448">
            <v>25</v>
          </cell>
          <cell r="I448">
            <v>50103</v>
          </cell>
          <cell r="J448">
            <v>25</v>
          </cell>
          <cell r="K448" t="str">
            <v/>
          </cell>
          <cell r="L448">
            <v>0</v>
          </cell>
          <cell r="M448">
            <v>122.35897435897436</v>
          </cell>
        </row>
        <row r="449">
          <cell r="B449">
            <v>150503</v>
          </cell>
          <cell r="C449" t="str">
            <v>CB760AAA</v>
          </cell>
          <cell r="D449" t="str">
            <v>155</v>
          </cell>
          <cell r="E449">
            <v>51055</v>
          </cell>
          <cell r="F449">
            <v>145</v>
          </cell>
          <cell r="G449">
            <v>50138</v>
          </cell>
          <cell r="H449">
            <v>25</v>
          </cell>
          <cell r="I449">
            <v>50099</v>
          </cell>
          <cell r="J449">
            <v>25</v>
          </cell>
          <cell r="K449" t="str">
            <v/>
          </cell>
          <cell r="L449">
            <v>0</v>
          </cell>
          <cell r="M449">
            <v>112.74358974358974</v>
          </cell>
        </row>
        <row r="450">
          <cell r="B450">
            <v>150504</v>
          </cell>
          <cell r="C450" t="str">
            <v>CB956AAA</v>
          </cell>
          <cell r="D450" t="str">
            <v>155</v>
          </cell>
          <cell r="E450">
            <v>51055</v>
          </cell>
          <cell r="F450">
            <v>145</v>
          </cell>
          <cell r="G450">
            <v>50146</v>
          </cell>
          <cell r="H450">
            <v>25</v>
          </cell>
          <cell r="I450">
            <v>50135</v>
          </cell>
          <cell r="J450">
            <v>25</v>
          </cell>
          <cell r="K450" t="str">
            <v/>
          </cell>
          <cell r="L450">
            <v>0</v>
          </cell>
          <cell r="M450">
            <v>103.12820512820512</v>
          </cell>
        </row>
        <row r="451">
          <cell r="B451">
            <v>150505</v>
          </cell>
          <cell r="C451" t="str">
            <v>CB633AAA</v>
          </cell>
          <cell r="D451" t="str">
            <v>155</v>
          </cell>
          <cell r="E451">
            <v>51055</v>
          </cell>
          <cell r="F451">
            <v>145</v>
          </cell>
          <cell r="G451">
            <v>50151</v>
          </cell>
          <cell r="H451">
            <v>25</v>
          </cell>
          <cell r="I451">
            <v>50096</v>
          </cell>
          <cell r="J451">
            <v>25</v>
          </cell>
          <cell r="K451" t="str">
            <v/>
          </cell>
          <cell r="L451">
            <v>0</v>
          </cell>
          <cell r="M451">
            <v>103.12820512820512</v>
          </cell>
        </row>
        <row r="452">
          <cell r="B452">
            <v>150508</v>
          </cell>
          <cell r="C452" t="e">
            <v>#N/A</v>
          </cell>
          <cell r="D452" t="str">
            <v>155</v>
          </cell>
          <cell r="E452">
            <v>52000</v>
          </cell>
          <cell r="F452">
            <v>3.09</v>
          </cell>
          <cell r="G452">
            <v>50122</v>
          </cell>
          <cell r="H452">
            <v>88</v>
          </cell>
          <cell r="I452">
            <v>50101</v>
          </cell>
          <cell r="J452">
            <v>15</v>
          </cell>
          <cell r="K452">
            <v>10468</v>
          </cell>
          <cell r="L452">
            <v>0</v>
          </cell>
          <cell r="M452">
            <v>276.69902912621359</v>
          </cell>
        </row>
        <row r="453">
          <cell r="B453">
            <v>160101</v>
          </cell>
          <cell r="C453" t="str">
            <v>CB896AAA</v>
          </cell>
          <cell r="D453" t="str">
            <v>161</v>
          </cell>
          <cell r="E453">
            <v>51056</v>
          </cell>
          <cell r="F453">
            <v>144</v>
          </cell>
          <cell r="G453">
            <v>50150</v>
          </cell>
          <cell r="H453">
            <v>25</v>
          </cell>
          <cell r="I453">
            <v>50079</v>
          </cell>
          <cell r="J453">
            <v>25</v>
          </cell>
          <cell r="K453" t="str">
            <v/>
          </cell>
          <cell r="L453">
            <v>0</v>
          </cell>
          <cell r="M453">
            <v>104.5360824742268</v>
          </cell>
        </row>
        <row r="454">
          <cell r="B454">
            <v>160102</v>
          </cell>
          <cell r="C454" t="str">
            <v>CB431AAA</v>
          </cell>
          <cell r="D454" t="str">
            <v>161</v>
          </cell>
          <cell r="E454">
            <v>51056</v>
          </cell>
          <cell r="F454">
            <v>144</v>
          </cell>
          <cell r="G454">
            <v>50101</v>
          </cell>
          <cell r="H454">
            <v>25</v>
          </cell>
          <cell r="I454">
            <v>50101</v>
          </cell>
          <cell r="J454">
            <v>25</v>
          </cell>
          <cell r="K454" t="str">
            <v/>
          </cell>
          <cell r="L454">
            <v>0</v>
          </cell>
          <cell r="M454">
            <v>123.8659793814433</v>
          </cell>
        </row>
        <row r="455">
          <cell r="B455">
            <v>160103</v>
          </cell>
          <cell r="C455" t="str">
            <v>CB432AAA</v>
          </cell>
          <cell r="D455" t="str">
            <v>161</v>
          </cell>
          <cell r="E455">
            <v>51056</v>
          </cell>
          <cell r="F455">
            <v>144</v>
          </cell>
          <cell r="G455">
            <v>50101</v>
          </cell>
          <cell r="H455">
            <v>25</v>
          </cell>
          <cell r="I455">
            <v>50094</v>
          </cell>
          <cell r="J455">
            <v>25</v>
          </cell>
          <cell r="K455" t="str">
            <v/>
          </cell>
          <cell r="L455">
            <v>0</v>
          </cell>
          <cell r="M455">
            <v>114.20103092783505</v>
          </cell>
        </row>
        <row r="456">
          <cell r="B456">
            <v>160104</v>
          </cell>
          <cell r="C456" t="str">
            <v>CB898AAA</v>
          </cell>
          <cell r="D456" t="str">
            <v>161</v>
          </cell>
          <cell r="E456">
            <v>51056</v>
          </cell>
          <cell r="F456">
            <v>144</v>
          </cell>
          <cell r="G456">
            <v>50100</v>
          </cell>
          <cell r="H456">
            <v>25</v>
          </cell>
          <cell r="I456">
            <v>50078</v>
          </cell>
          <cell r="J456">
            <v>25</v>
          </cell>
          <cell r="K456" t="str">
            <v/>
          </cell>
          <cell r="L456">
            <v>0</v>
          </cell>
          <cell r="M456">
            <v>114.20103092783505</v>
          </cell>
        </row>
        <row r="457">
          <cell r="B457">
            <v>160105</v>
          </cell>
          <cell r="C457" t="str">
            <v>CB732AAA</v>
          </cell>
          <cell r="D457" t="str">
            <v>161</v>
          </cell>
          <cell r="E457">
            <v>51056</v>
          </cell>
          <cell r="F457">
            <v>144</v>
          </cell>
          <cell r="G457">
            <v>50137</v>
          </cell>
          <cell r="H457">
            <v>25</v>
          </cell>
          <cell r="I457">
            <v>50093</v>
          </cell>
          <cell r="J457">
            <v>25</v>
          </cell>
          <cell r="K457" t="str">
            <v/>
          </cell>
          <cell r="L457">
            <v>0</v>
          </cell>
          <cell r="M457">
            <v>104.5360824742268</v>
          </cell>
        </row>
        <row r="458">
          <cell r="B458">
            <v>160108</v>
          </cell>
          <cell r="C458" t="e">
            <v>#N/A</v>
          </cell>
          <cell r="D458" t="str">
            <v>161</v>
          </cell>
          <cell r="E458">
            <v>52000</v>
          </cell>
          <cell r="F458">
            <v>3.09</v>
          </cell>
          <cell r="G458">
            <v>50122</v>
          </cell>
          <cell r="H458">
            <v>88</v>
          </cell>
          <cell r="I458">
            <v>50157</v>
          </cell>
          <cell r="J458">
            <v>15</v>
          </cell>
          <cell r="K458">
            <v>10500</v>
          </cell>
          <cell r="L458">
            <v>0</v>
          </cell>
          <cell r="M458">
            <v>259.73230276180601</v>
          </cell>
        </row>
        <row r="459">
          <cell r="B459">
            <v>160201</v>
          </cell>
          <cell r="C459" t="str">
            <v>CB853AAA</v>
          </cell>
          <cell r="D459" t="str">
            <v>162</v>
          </cell>
          <cell r="E459">
            <v>51057</v>
          </cell>
          <cell r="F459">
            <v>143</v>
          </cell>
          <cell r="G459">
            <v>50093</v>
          </cell>
          <cell r="H459">
            <v>25</v>
          </cell>
          <cell r="I459">
            <v>50090</v>
          </cell>
          <cell r="J459">
            <v>25</v>
          </cell>
          <cell r="K459" t="str">
            <v/>
          </cell>
          <cell r="L459">
            <v>0</v>
          </cell>
          <cell r="M459">
            <v>105.93782383419689</v>
          </cell>
        </row>
        <row r="460">
          <cell r="B460">
            <v>160202</v>
          </cell>
          <cell r="C460" t="str">
            <v>CB767AAA</v>
          </cell>
          <cell r="D460" t="str">
            <v>162</v>
          </cell>
          <cell r="E460">
            <v>51057</v>
          </cell>
          <cell r="F460">
            <v>143</v>
          </cell>
          <cell r="G460">
            <v>50101</v>
          </cell>
          <cell r="H460">
            <v>25</v>
          </cell>
          <cell r="I460">
            <v>50078</v>
          </cell>
          <cell r="J460">
            <v>25</v>
          </cell>
          <cell r="K460" t="str">
            <v/>
          </cell>
          <cell r="L460">
            <v>0</v>
          </cell>
          <cell r="M460">
            <v>115.65284974093264</v>
          </cell>
        </row>
        <row r="461">
          <cell r="B461">
            <v>160203</v>
          </cell>
          <cell r="C461" t="str">
            <v>CB767AAA</v>
          </cell>
          <cell r="D461" t="str">
            <v>162</v>
          </cell>
          <cell r="E461">
            <v>51057</v>
          </cell>
          <cell r="F461">
            <v>143</v>
          </cell>
          <cell r="G461">
            <v>50101</v>
          </cell>
          <cell r="H461">
            <v>25</v>
          </cell>
          <cell r="I461">
            <v>50145</v>
          </cell>
          <cell r="J461">
            <v>25</v>
          </cell>
          <cell r="K461" t="str">
            <v/>
          </cell>
          <cell r="L461">
            <v>0</v>
          </cell>
          <cell r="M461">
            <v>109.8238341968912</v>
          </cell>
        </row>
        <row r="462">
          <cell r="B462">
            <v>160204</v>
          </cell>
          <cell r="C462" t="str">
            <v>CB892AAA</v>
          </cell>
          <cell r="D462" t="str">
            <v>162</v>
          </cell>
          <cell r="E462">
            <v>51057</v>
          </cell>
          <cell r="F462">
            <v>143</v>
          </cell>
          <cell r="G462">
            <v>50135</v>
          </cell>
          <cell r="H462">
            <v>25</v>
          </cell>
          <cell r="I462">
            <v>50103</v>
          </cell>
          <cell r="J462">
            <v>25</v>
          </cell>
          <cell r="K462" t="str">
            <v/>
          </cell>
          <cell r="L462">
            <v>0</v>
          </cell>
          <cell r="M462">
            <v>115.65284974093264</v>
          </cell>
        </row>
        <row r="463">
          <cell r="B463">
            <v>160205</v>
          </cell>
          <cell r="C463" t="str">
            <v>CB767AAA</v>
          </cell>
          <cell r="D463" t="str">
            <v>162</v>
          </cell>
          <cell r="E463">
            <v>51057</v>
          </cell>
          <cell r="F463">
            <v>143</v>
          </cell>
          <cell r="G463">
            <v>50101</v>
          </cell>
          <cell r="H463">
            <v>25</v>
          </cell>
          <cell r="I463">
            <v>50091</v>
          </cell>
          <cell r="J463">
            <v>25</v>
          </cell>
          <cell r="K463" t="str">
            <v/>
          </cell>
          <cell r="L463">
            <v>0</v>
          </cell>
          <cell r="M463">
            <v>115.65284974093264</v>
          </cell>
        </row>
        <row r="464">
          <cell r="B464">
            <v>160208</v>
          </cell>
          <cell r="C464" t="e">
            <v>#N/A</v>
          </cell>
          <cell r="D464" t="str">
            <v>162</v>
          </cell>
          <cell r="E464">
            <v>52000</v>
          </cell>
          <cell r="F464">
            <v>3.09</v>
          </cell>
          <cell r="G464">
            <v>50122</v>
          </cell>
          <cell r="H464">
            <v>88</v>
          </cell>
          <cell r="I464">
            <v>50119</v>
          </cell>
          <cell r="J464">
            <v>15</v>
          </cell>
          <cell r="K464">
            <v>10532</v>
          </cell>
          <cell r="L464">
            <v>0</v>
          </cell>
          <cell r="M464">
            <v>259.73230276180601</v>
          </cell>
        </row>
        <row r="465">
          <cell r="B465">
            <v>160301</v>
          </cell>
          <cell r="C465" t="str">
            <v>CB896AAA</v>
          </cell>
          <cell r="D465" t="str">
            <v>163</v>
          </cell>
          <cell r="E465">
            <v>51057</v>
          </cell>
          <cell r="F465">
            <v>143</v>
          </cell>
          <cell r="G465">
            <v>50150</v>
          </cell>
          <cell r="H465">
            <v>25</v>
          </cell>
          <cell r="I465">
            <v>50099</v>
          </cell>
          <cell r="J465">
            <v>25</v>
          </cell>
          <cell r="K465" t="str">
            <v/>
          </cell>
          <cell r="L465">
            <v>0</v>
          </cell>
          <cell r="M465">
            <v>115.65284974093264</v>
          </cell>
        </row>
        <row r="466">
          <cell r="B466">
            <v>160302</v>
          </cell>
          <cell r="C466" t="str">
            <v>CB853AAA</v>
          </cell>
          <cell r="D466" t="str">
            <v>163</v>
          </cell>
          <cell r="E466">
            <v>51057</v>
          </cell>
          <cell r="F466">
            <v>143</v>
          </cell>
          <cell r="G466">
            <v>50093</v>
          </cell>
          <cell r="H466">
            <v>25</v>
          </cell>
          <cell r="I466">
            <v>50101</v>
          </cell>
          <cell r="J466">
            <v>25</v>
          </cell>
          <cell r="K466" t="str">
            <v/>
          </cell>
          <cell r="L466">
            <v>0</v>
          </cell>
          <cell r="M466">
            <v>115.65284974093264</v>
          </cell>
        </row>
        <row r="467">
          <cell r="B467">
            <v>160303</v>
          </cell>
          <cell r="C467" t="str">
            <v>CB853AAA</v>
          </cell>
          <cell r="D467" t="str">
            <v>163</v>
          </cell>
          <cell r="E467">
            <v>51057</v>
          </cell>
          <cell r="F467">
            <v>143</v>
          </cell>
          <cell r="G467">
            <v>50093</v>
          </cell>
          <cell r="H467">
            <v>25</v>
          </cell>
          <cell r="I467">
            <v>50102</v>
          </cell>
          <cell r="J467">
            <v>25</v>
          </cell>
          <cell r="K467" t="str">
            <v/>
          </cell>
          <cell r="L467">
            <v>0</v>
          </cell>
          <cell r="M467">
            <v>115.65284974093264</v>
          </cell>
        </row>
        <row r="468">
          <cell r="B468">
            <v>160304</v>
          </cell>
          <cell r="C468" t="str">
            <v>CB223AAA</v>
          </cell>
          <cell r="D468" t="str">
            <v>163</v>
          </cell>
          <cell r="E468">
            <v>51057</v>
          </cell>
          <cell r="F468">
            <v>143</v>
          </cell>
          <cell r="G468">
            <v>50119</v>
          </cell>
          <cell r="H468">
            <v>25</v>
          </cell>
          <cell r="I468">
            <v>50093</v>
          </cell>
          <cell r="J468">
            <v>25</v>
          </cell>
          <cell r="K468" t="str">
            <v/>
          </cell>
          <cell r="L468">
            <v>0</v>
          </cell>
          <cell r="M468">
            <v>100.10880829015544</v>
          </cell>
        </row>
        <row r="469">
          <cell r="B469">
            <v>160305</v>
          </cell>
          <cell r="C469" t="str">
            <v>CB373AAA</v>
          </cell>
          <cell r="D469" t="str">
            <v>163</v>
          </cell>
          <cell r="E469">
            <v>51057</v>
          </cell>
          <cell r="F469">
            <v>143</v>
          </cell>
          <cell r="G469">
            <v>50111</v>
          </cell>
          <cell r="H469">
            <v>25</v>
          </cell>
          <cell r="I469">
            <v>50097</v>
          </cell>
          <cell r="J469">
            <v>25</v>
          </cell>
          <cell r="K469" t="str">
            <v/>
          </cell>
          <cell r="L469">
            <v>0</v>
          </cell>
          <cell r="M469">
            <v>125.3678756476684</v>
          </cell>
        </row>
        <row r="470">
          <cell r="B470">
            <v>160308</v>
          </cell>
          <cell r="C470" t="e">
            <v>#N/A</v>
          </cell>
          <cell r="D470" t="str">
            <v>163</v>
          </cell>
          <cell r="E470">
            <v>52000</v>
          </cell>
          <cell r="F470">
            <v>3.09</v>
          </cell>
          <cell r="G470">
            <v>50122</v>
          </cell>
          <cell r="H470">
            <v>88</v>
          </cell>
          <cell r="I470">
            <v>50092</v>
          </cell>
          <cell r="J470">
            <v>15</v>
          </cell>
          <cell r="K470">
            <v>10564</v>
          </cell>
          <cell r="L470">
            <v>0</v>
          </cell>
          <cell r="M470">
            <v>266.09482514845882</v>
          </cell>
        </row>
        <row r="471">
          <cell r="B471">
            <v>160401</v>
          </cell>
          <cell r="C471" t="str">
            <v>CB853AAA</v>
          </cell>
          <cell r="D471" t="str">
            <v>164</v>
          </cell>
          <cell r="E471">
            <v>51058</v>
          </cell>
          <cell r="F471">
            <v>142</v>
          </cell>
          <cell r="G471">
            <v>50093</v>
          </cell>
          <cell r="H471">
            <v>25</v>
          </cell>
          <cell r="I471">
            <v>50079</v>
          </cell>
          <cell r="J471">
            <v>25</v>
          </cell>
          <cell r="K471" t="str">
            <v/>
          </cell>
          <cell r="L471">
            <v>0</v>
          </cell>
          <cell r="M471">
            <v>107.33333333333333</v>
          </cell>
        </row>
        <row r="472">
          <cell r="B472">
            <v>160402</v>
          </cell>
          <cell r="C472" t="str">
            <v>CB853AAA</v>
          </cell>
          <cell r="D472" t="str">
            <v>164</v>
          </cell>
          <cell r="E472">
            <v>51058</v>
          </cell>
          <cell r="F472">
            <v>142</v>
          </cell>
          <cell r="G472">
            <v>50093</v>
          </cell>
          <cell r="H472">
            <v>25</v>
          </cell>
          <cell r="I472">
            <v>50100</v>
          </cell>
          <cell r="J472">
            <v>25</v>
          </cell>
          <cell r="K472" t="str">
            <v/>
          </cell>
          <cell r="L472">
            <v>0</v>
          </cell>
          <cell r="M472">
            <v>117.09895833333333</v>
          </cell>
        </row>
        <row r="473">
          <cell r="B473">
            <v>160403</v>
          </cell>
          <cell r="C473" t="str">
            <v>CB853AAA</v>
          </cell>
          <cell r="D473" t="str">
            <v>164</v>
          </cell>
          <cell r="E473">
            <v>51058</v>
          </cell>
          <cell r="F473">
            <v>142</v>
          </cell>
          <cell r="G473">
            <v>50093</v>
          </cell>
          <cell r="H473">
            <v>25</v>
          </cell>
          <cell r="I473">
            <v>50095</v>
          </cell>
          <cell r="J473">
            <v>25</v>
          </cell>
          <cell r="K473" t="str">
            <v/>
          </cell>
          <cell r="L473">
            <v>0</v>
          </cell>
          <cell r="M473">
            <v>107.33333333333333</v>
          </cell>
        </row>
        <row r="474">
          <cell r="B474">
            <v>160404</v>
          </cell>
          <cell r="C474" t="str">
            <v>CB853AAA</v>
          </cell>
          <cell r="D474" t="str">
            <v>164</v>
          </cell>
          <cell r="E474">
            <v>51058</v>
          </cell>
          <cell r="F474">
            <v>142</v>
          </cell>
          <cell r="G474">
            <v>50093</v>
          </cell>
          <cell r="H474">
            <v>25</v>
          </cell>
          <cell r="I474">
            <v>50099</v>
          </cell>
          <cell r="J474">
            <v>25</v>
          </cell>
          <cell r="K474" t="str">
            <v/>
          </cell>
          <cell r="L474">
            <v>0</v>
          </cell>
          <cell r="M474">
            <v>117.09895833333333</v>
          </cell>
        </row>
        <row r="475">
          <cell r="B475">
            <v>160405</v>
          </cell>
          <cell r="C475" t="str">
            <v>CB225AAA</v>
          </cell>
          <cell r="D475" t="str">
            <v>164</v>
          </cell>
          <cell r="E475">
            <v>51058</v>
          </cell>
          <cell r="F475">
            <v>142</v>
          </cell>
          <cell r="G475">
            <v>50102</v>
          </cell>
          <cell r="H475">
            <v>25</v>
          </cell>
          <cell r="I475">
            <v>50092</v>
          </cell>
          <cell r="J475">
            <v>25</v>
          </cell>
          <cell r="K475" t="str">
            <v/>
          </cell>
          <cell r="L475">
            <v>0</v>
          </cell>
          <cell r="M475">
            <v>117.09895833333333</v>
          </cell>
        </row>
        <row r="476">
          <cell r="B476">
            <v>160408</v>
          </cell>
          <cell r="C476" t="e">
            <v>#N/A</v>
          </cell>
          <cell r="D476" t="str">
            <v>164</v>
          </cell>
          <cell r="E476">
            <v>52000</v>
          </cell>
          <cell r="F476">
            <v>3.09</v>
          </cell>
          <cell r="G476">
            <v>50122</v>
          </cell>
          <cell r="H476">
            <v>88</v>
          </cell>
          <cell r="I476">
            <v>50091</v>
          </cell>
          <cell r="J476">
            <v>15</v>
          </cell>
          <cell r="K476">
            <v>10596</v>
          </cell>
          <cell r="L476">
            <v>0</v>
          </cell>
          <cell r="M476">
            <v>266.09482514845882</v>
          </cell>
        </row>
        <row r="477">
          <cell r="B477">
            <v>160501</v>
          </cell>
          <cell r="C477" t="str">
            <v>CB767AAA</v>
          </cell>
          <cell r="D477" t="str">
            <v>165</v>
          </cell>
          <cell r="E477">
            <v>51059</v>
          </cell>
          <cell r="F477">
            <v>141</v>
          </cell>
          <cell r="G477">
            <v>50101</v>
          </cell>
          <cell r="H477">
            <v>25</v>
          </cell>
          <cell r="I477">
            <v>50099</v>
          </cell>
          <cell r="J477">
            <v>25</v>
          </cell>
          <cell r="K477" t="str">
            <v/>
          </cell>
          <cell r="L477">
            <v>0</v>
          </cell>
          <cell r="M477">
            <v>128.35602094240838</v>
          </cell>
        </row>
        <row r="478">
          <cell r="B478">
            <v>160502</v>
          </cell>
          <cell r="C478" t="str">
            <v>CB431AAA</v>
          </cell>
          <cell r="D478" t="str">
            <v>165</v>
          </cell>
          <cell r="E478">
            <v>51059</v>
          </cell>
          <cell r="F478">
            <v>141</v>
          </cell>
          <cell r="G478">
            <v>50101</v>
          </cell>
          <cell r="H478">
            <v>25</v>
          </cell>
          <cell r="I478">
            <v>50091</v>
          </cell>
          <cell r="J478">
            <v>25</v>
          </cell>
          <cell r="K478" t="str">
            <v/>
          </cell>
          <cell r="L478">
            <v>0</v>
          </cell>
          <cell r="M478">
            <v>118.53926701570681</v>
          </cell>
        </row>
        <row r="479">
          <cell r="B479">
            <v>160503</v>
          </cell>
          <cell r="C479" t="str">
            <v>CB431AAA</v>
          </cell>
          <cell r="D479" t="str">
            <v>165</v>
          </cell>
          <cell r="E479">
            <v>51059</v>
          </cell>
          <cell r="F479">
            <v>141</v>
          </cell>
          <cell r="G479">
            <v>50101</v>
          </cell>
          <cell r="H479">
            <v>25</v>
          </cell>
          <cell r="I479">
            <v>50097</v>
          </cell>
          <cell r="J479">
            <v>25</v>
          </cell>
          <cell r="K479" t="str">
            <v/>
          </cell>
          <cell r="L479">
            <v>0</v>
          </cell>
          <cell r="M479">
            <v>128.35602094240838</v>
          </cell>
        </row>
        <row r="480">
          <cell r="B480">
            <v>160504</v>
          </cell>
          <cell r="C480" t="str">
            <v>CB613AAA</v>
          </cell>
          <cell r="D480" t="str">
            <v>165</v>
          </cell>
          <cell r="E480">
            <v>51059</v>
          </cell>
          <cell r="F480">
            <v>141</v>
          </cell>
          <cell r="G480">
            <v>50140</v>
          </cell>
          <cell r="H480">
            <v>25</v>
          </cell>
          <cell r="I480">
            <v>50098</v>
          </cell>
          <cell r="J480">
            <v>25</v>
          </cell>
          <cell r="K480" t="str">
            <v/>
          </cell>
          <cell r="L480">
            <v>0</v>
          </cell>
          <cell r="M480">
            <v>118.53926701570681</v>
          </cell>
        </row>
        <row r="481">
          <cell r="B481">
            <v>160505</v>
          </cell>
          <cell r="C481" t="str">
            <v>CB862AAA</v>
          </cell>
          <cell r="D481" t="str">
            <v>165</v>
          </cell>
          <cell r="E481">
            <v>51059</v>
          </cell>
          <cell r="F481">
            <v>141</v>
          </cell>
          <cell r="G481">
            <v>50078</v>
          </cell>
          <cell r="H481">
            <v>25</v>
          </cell>
          <cell r="I481">
            <v>50100</v>
          </cell>
          <cell r="J481">
            <v>25</v>
          </cell>
          <cell r="K481" t="str">
            <v/>
          </cell>
          <cell r="L481">
            <v>0</v>
          </cell>
          <cell r="M481">
            <v>118.53926701570681</v>
          </cell>
        </row>
        <row r="482">
          <cell r="B482">
            <v>160508</v>
          </cell>
          <cell r="C482" t="e">
            <v>#N/A</v>
          </cell>
          <cell r="D482" t="str">
            <v>165</v>
          </cell>
          <cell r="E482">
            <v>52000</v>
          </cell>
          <cell r="F482">
            <v>3.09</v>
          </cell>
          <cell r="G482">
            <v>50122</v>
          </cell>
          <cell r="H482">
            <v>88</v>
          </cell>
          <cell r="I482">
            <v>50157</v>
          </cell>
          <cell r="J482">
            <v>15</v>
          </cell>
          <cell r="K482">
            <v>10628</v>
          </cell>
          <cell r="L482">
            <v>0</v>
          </cell>
          <cell r="M482">
            <v>259.73230276180601</v>
          </cell>
        </row>
        <row r="483">
          <cell r="B483">
            <v>170101</v>
          </cell>
          <cell r="C483" t="str">
            <v>CB852AAA</v>
          </cell>
          <cell r="D483" t="str">
            <v>171</v>
          </cell>
          <cell r="E483">
            <v>51060</v>
          </cell>
          <cell r="F483">
            <v>140</v>
          </cell>
          <cell r="G483">
            <v>50135</v>
          </cell>
          <cell r="H483">
            <v>25</v>
          </cell>
          <cell r="I483">
            <v>50096</v>
          </cell>
          <cell r="J483">
            <v>25</v>
          </cell>
          <cell r="K483" t="str">
            <v/>
          </cell>
          <cell r="L483">
            <v>0</v>
          </cell>
          <cell r="M483">
            <v>110.10526315789474</v>
          </cell>
        </row>
        <row r="484">
          <cell r="B484">
            <v>170102</v>
          </cell>
          <cell r="C484" t="str">
            <v>CB896AAA</v>
          </cell>
          <cell r="D484" t="str">
            <v>171</v>
          </cell>
          <cell r="E484">
            <v>51060</v>
          </cell>
          <cell r="F484">
            <v>140</v>
          </cell>
          <cell r="G484">
            <v>50150</v>
          </cell>
          <cell r="H484">
            <v>25</v>
          </cell>
          <cell r="I484">
            <v>50102</v>
          </cell>
          <cell r="J484">
            <v>25</v>
          </cell>
          <cell r="K484" t="str">
            <v/>
          </cell>
          <cell r="L484">
            <v>0</v>
          </cell>
          <cell r="M484">
            <v>119.97368421052632</v>
          </cell>
        </row>
        <row r="485">
          <cell r="B485">
            <v>170103</v>
          </cell>
          <cell r="C485" t="str">
            <v>CB766AAA</v>
          </cell>
          <cell r="D485" t="str">
            <v>171</v>
          </cell>
          <cell r="E485">
            <v>51060</v>
          </cell>
          <cell r="F485">
            <v>140</v>
          </cell>
          <cell r="G485">
            <v>50090</v>
          </cell>
          <cell r="H485">
            <v>25</v>
          </cell>
          <cell r="I485">
            <v>50097</v>
          </cell>
          <cell r="J485">
            <v>25</v>
          </cell>
          <cell r="K485" t="str">
            <v/>
          </cell>
          <cell r="L485">
            <v>0</v>
          </cell>
          <cell r="M485">
            <v>119.97368421052632</v>
          </cell>
        </row>
        <row r="486">
          <cell r="B486">
            <v>170104</v>
          </cell>
          <cell r="C486" t="str">
            <v>CB371AAA</v>
          </cell>
          <cell r="D486" t="str">
            <v>171</v>
          </cell>
          <cell r="E486">
            <v>51060</v>
          </cell>
          <cell r="F486">
            <v>140</v>
          </cell>
          <cell r="G486">
            <v>50111</v>
          </cell>
          <cell r="H486">
            <v>25</v>
          </cell>
          <cell r="I486">
            <v>50091</v>
          </cell>
          <cell r="J486">
            <v>25</v>
          </cell>
          <cell r="K486" t="str">
            <v/>
          </cell>
          <cell r="L486">
            <v>0</v>
          </cell>
          <cell r="M486">
            <v>119.97368421052632</v>
          </cell>
        </row>
        <row r="487">
          <cell r="B487">
            <v>170105</v>
          </cell>
          <cell r="C487" t="str">
            <v>CB613AAA</v>
          </cell>
          <cell r="D487" t="str">
            <v>171</v>
          </cell>
          <cell r="E487">
            <v>51060</v>
          </cell>
          <cell r="F487">
            <v>140</v>
          </cell>
          <cell r="G487">
            <v>50140</v>
          </cell>
          <cell r="H487">
            <v>25</v>
          </cell>
          <cell r="I487">
            <v>50101</v>
          </cell>
          <cell r="J487">
            <v>25</v>
          </cell>
          <cell r="K487" t="str">
            <v/>
          </cell>
          <cell r="L487">
            <v>0</v>
          </cell>
          <cell r="M487">
            <v>119.97368421052632</v>
          </cell>
        </row>
        <row r="488">
          <cell r="B488">
            <v>170108</v>
          </cell>
          <cell r="C488" t="e">
            <v>#N/A</v>
          </cell>
          <cell r="D488" t="str">
            <v>171</v>
          </cell>
          <cell r="E488">
            <v>52000</v>
          </cell>
          <cell r="F488">
            <v>3.09</v>
          </cell>
          <cell r="G488">
            <v>50122</v>
          </cell>
          <cell r="H488">
            <v>88</v>
          </cell>
          <cell r="I488">
            <v>50093</v>
          </cell>
          <cell r="J488">
            <v>15</v>
          </cell>
          <cell r="K488">
            <v>10021</v>
          </cell>
          <cell r="L488">
            <v>0</v>
          </cell>
          <cell r="M488">
            <v>266.09482514845882</v>
          </cell>
        </row>
        <row r="489">
          <cell r="B489">
            <v>170201</v>
          </cell>
          <cell r="C489" t="str">
            <v>CB766AAA</v>
          </cell>
          <cell r="D489" t="str">
            <v>172</v>
          </cell>
          <cell r="E489">
            <v>51060</v>
          </cell>
          <cell r="F489">
            <v>140</v>
          </cell>
          <cell r="G489">
            <v>50090</v>
          </cell>
          <cell r="H489">
            <v>25</v>
          </cell>
          <cell r="I489">
            <v>50091</v>
          </cell>
          <cell r="J489">
            <v>25</v>
          </cell>
          <cell r="K489" t="str">
            <v/>
          </cell>
          <cell r="L489">
            <v>0</v>
          </cell>
          <cell r="M489">
            <v>110.10526315789474</v>
          </cell>
        </row>
        <row r="490">
          <cell r="B490">
            <v>170202</v>
          </cell>
          <cell r="C490" t="str">
            <v>CB403AAA</v>
          </cell>
          <cell r="D490" t="str">
            <v>172</v>
          </cell>
          <cell r="E490">
            <v>51060</v>
          </cell>
          <cell r="F490">
            <v>140</v>
          </cell>
          <cell r="G490">
            <v>50091</v>
          </cell>
          <cell r="H490">
            <v>25</v>
          </cell>
          <cell r="I490">
            <v>50102</v>
          </cell>
          <cell r="J490">
            <v>25</v>
          </cell>
          <cell r="K490" t="str">
            <v/>
          </cell>
          <cell r="L490">
            <v>0</v>
          </cell>
          <cell r="M490">
            <v>119.97368421052632</v>
          </cell>
        </row>
        <row r="491">
          <cell r="B491">
            <v>170203</v>
          </cell>
          <cell r="C491" t="str">
            <v>CB896AAA</v>
          </cell>
          <cell r="D491" t="str">
            <v>172</v>
          </cell>
          <cell r="E491">
            <v>51060</v>
          </cell>
          <cell r="F491">
            <v>140</v>
          </cell>
          <cell r="G491">
            <v>50150</v>
          </cell>
          <cell r="H491">
            <v>25</v>
          </cell>
          <cell r="I491">
            <v>50090</v>
          </cell>
          <cell r="J491">
            <v>25</v>
          </cell>
          <cell r="K491" t="str">
            <v/>
          </cell>
          <cell r="L491">
            <v>0</v>
          </cell>
          <cell r="M491">
            <v>110.10526315789474</v>
          </cell>
        </row>
        <row r="492">
          <cell r="B492">
            <v>170204</v>
          </cell>
          <cell r="C492" t="str">
            <v>CB742AAA</v>
          </cell>
          <cell r="D492" t="str">
            <v>172</v>
          </cell>
          <cell r="E492">
            <v>51060</v>
          </cell>
          <cell r="F492">
            <v>140</v>
          </cell>
          <cell r="G492">
            <v>50124</v>
          </cell>
          <cell r="H492">
            <v>25</v>
          </cell>
          <cell r="I492">
            <v>50119</v>
          </cell>
          <cell r="J492">
            <v>25</v>
          </cell>
          <cell r="K492" t="str">
            <v/>
          </cell>
          <cell r="L492">
            <v>0</v>
          </cell>
          <cell r="M492">
            <v>114.05263157894737</v>
          </cell>
        </row>
        <row r="493">
          <cell r="B493">
            <v>170205</v>
          </cell>
          <cell r="C493" t="str">
            <v>CB431AAA</v>
          </cell>
          <cell r="D493" t="str">
            <v>172</v>
          </cell>
          <cell r="E493">
            <v>51060</v>
          </cell>
          <cell r="F493">
            <v>140</v>
          </cell>
          <cell r="G493">
            <v>50101</v>
          </cell>
          <cell r="H493">
            <v>25</v>
          </cell>
          <cell r="I493">
            <v>50093</v>
          </cell>
          <cell r="J493">
            <v>25</v>
          </cell>
          <cell r="K493" t="str">
            <v/>
          </cell>
          <cell r="L493">
            <v>0</v>
          </cell>
          <cell r="M493">
            <v>119.97368421052632</v>
          </cell>
        </row>
        <row r="494">
          <cell r="B494">
            <v>170208</v>
          </cell>
          <cell r="C494" t="e">
            <v>#N/A</v>
          </cell>
          <cell r="D494" t="str">
            <v>172</v>
          </cell>
          <cell r="E494">
            <v>52000</v>
          </cell>
          <cell r="F494">
            <v>3.09</v>
          </cell>
          <cell r="G494">
            <v>50122</v>
          </cell>
          <cell r="H494">
            <v>88</v>
          </cell>
          <cell r="I494">
            <v>50097</v>
          </cell>
          <cell r="J494">
            <v>15</v>
          </cell>
          <cell r="K494">
            <v>10053</v>
          </cell>
          <cell r="L494">
            <v>0</v>
          </cell>
          <cell r="M494">
            <v>276.69902912621359</v>
          </cell>
        </row>
        <row r="495">
          <cell r="B495">
            <v>170301</v>
          </cell>
          <cell r="C495" t="str">
            <v>CB811AAA</v>
          </cell>
          <cell r="D495" t="str">
            <v>173</v>
          </cell>
          <cell r="E495">
            <v>51061</v>
          </cell>
          <cell r="F495">
            <v>139</v>
          </cell>
          <cell r="G495">
            <v>50135</v>
          </cell>
          <cell r="H495">
            <v>25</v>
          </cell>
          <cell r="I495">
            <v>50096</v>
          </cell>
          <cell r="J495">
            <v>25</v>
          </cell>
          <cell r="K495" t="str">
            <v/>
          </cell>
          <cell r="L495">
            <v>0</v>
          </cell>
          <cell r="M495">
            <v>111.48148148148148</v>
          </cell>
        </row>
        <row r="496">
          <cell r="B496">
            <v>170302</v>
          </cell>
          <cell r="C496" t="str">
            <v>CB633AAA</v>
          </cell>
          <cell r="D496" t="str">
            <v>173</v>
          </cell>
          <cell r="E496">
            <v>51061</v>
          </cell>
          <cell r="F496">
            <v>139</v>
          </cell>
          <cell r="G496">
            <v>50151</v>
          </cell>
          <cell r="H496">
            <v>25</v>
          </cell>
          <cell r="I496">
            <v>50095</v>
          </cell>
          <cell r="J496">
            <v>25</v>
          </cell>
          <cell r="K496" t="str">
            <v/>
          </cell>
          <cell r="L496">
            <v>0</v>
          </cell>
          <cell r="M496">
            <v>111.48148148148148</v>
          </cell>
        </row>
        <row r="497">
          <cell r="B497">
            <v>170303</v>
          </cell>
          <cell r="C497" t="str">
            <v>CB742AAA</v>
          </cell>
          <cell r="D497" t="str">
            <v>173</v>
          </cell>
          <cell r="E497">
            <v>51061</v>
          </cell>
          <cell r="F497">
            <v>139</v>
          </cell>
          <cell r="G497">
            <v>50124</v>
          </cell>
          <cell r="H497">
            <v>25</v>
          </cell>
          <cell r="I497">
            <v>50135</v>
          </cell>
          <cell r="J497">
            <v>25</v>
          </cell>
          <cell r="K497" t="str">
            <v/>
          </cell>
          <cell r="L497">
            <v>0</v>
          </cell>
          <cell r="M497">
            <v>121.40211640211641</v>
          </cell>
        </row>
        <row r="498">
          <cell r="B498">
            <v>170304</v>
          </cell>
          <cell r="C498" t="str">
            <v>CB411AAA</v>
          </cell>
          <cell r="D498" t="str">
            <v>173</v>
          </cell>
          <cell r="E498">
            <v>51061</v>
          </cell>
          <cell r="F498">
            <v>139</v>
          </cell>
          <cell r="G498">
            <v>50140</v>
          </cell>
          <cell r="H498">
            <v>25</v>
          </cell>
          <cell r="I498">
            <v>50098</v>
          </cell>
          <cell r="J498">
            <v>25</v>
          </cell>
          <cell r="K498" t="str">
            <v/>
          </cell>
          <cell r="L498">
            <v>0</v>
          </cell>
          <cell r="M498">
            <v>121.40211640211641</v>
          </cell>
        </row>
        <row r="499">
          <cell r="B499">
            <v>170305</v>
          </cell>
          <cell r="C499" t="str">
            <v>CB225AAA</v>
          </cell>
          <cell r="D499" t="str">
            <v>173</v>
          </cell>
          <cell r="E499">
            <v>51061</v>
          </cell>
          <cell r="F499">
            <v>139</v>
          </cell>
          <cell r="G499">
            <v>50102</v>
          </cell>
          <cell r="H499">
            <v>25</v>
          </cell>
          <cell r="I499">
            <v>50095</v>
          </cell>
          <cell r="J499">
            <v>25</v>
          </cell>
          <cell r="K499" t="str">
            <v/>
          </cell>
          <cell r="L499">
            <v>0</v>
          </cell>
          <cell r="M499">
            <v>121.40211640211641</v>
          </cell>
        </row>
        <row r="500">
          <cell r="B500">
            <v>170308</v>
          </cell>
          <cell r="C500" t="e">
            <v>#N/A</v>
          </cell>
          <cell r="D500" t="str">
            <v>173</v>
          </cell>
          <cell r="E500">
            <v>52000</v>
          </cell>
          <cell r="F500">
            <v>3.09</v>
          </cell>
          <cell r="G500">
            <v>50122</v>
          </cell>
          <cell r="H500">
            <v>88</v>
          </cell>
          <cell r="I500">
            <v>50079</v>
          </cell>
          <cell r="J500">
            <v>15</v>
          </cell>
          <cell r="K500">
            <v>10085</v>
          </cell>
          <cell r="L500">
            <v>0</v>
          </cell>
          <cell r="M500">
            <v>266.09482514845882</v>
          </cell>
        </row>
        <row r="501">
          <cell r="B501">
            <v>170401</v>
          </cell>
          <cell r="C501" t="str">
            <v>CB742AAA</v>
          </cell>
          <cell r="D501" t="str">
            <v>174</v>
          </cell>
          <cell r="E501">
            <v>51062</v>
          </cell>
          <cell r="F501">
            <v>138</v>
          </cell>
          <cell r="G501">
            <v>50124</v>
          </cell>
          <cell r="H501">
            <v>25</v>
          </cell>
          <cell r="I501">
            <v>50096</v>
          </cell>
          <cell r="J501">
            <v>25</v>
          </cell>
          <cell r="K501" t="str">
            <v/>
          </cell>
          <cell r="L501">
            <v>0</v>
          </cell>
          <cell r="M501">
            <v>122.82446808510639</v>
          </cell>
        </row>
        <row r="502">
          <cell r="B502">
            <v>170402</v>
          </cell>
          <cell r="C502" t="str">
            <v>CB507AAA</v>
          </cell>
          <cell r="D502" t="str">
            <v>174</v>
          </cell>
          <cell r="E502">
            <v>51062</v>
          </cell>
          <cell r="F502">
            <v>138</v>
          </cell>
          <cell r="G502">
            <v>50146</v>
          </cell>
          <cell r="H502">
            <v>25</v>
          </cell>
          <cell r="I502">
            <v>50097</v>
          </cell>
          <cell r="J502">
            <v>25</v>
          </cell>
          <cell r="K502" t="str">
            <v/>
          </cell>
          <cell r="L502">
            <v>0</v>
          </cell>
          <cell r="M502">
            <v>122.82446808510639</v>
          </cell>
        </row>
        <row r="503">
          <cell r="B503">
            <v>170403</v>
          </cell>
          <cell r="C503" t="str">
            <v>CB742AAA</v>
          </cell>
          <cell r="D503" t="str">
            <v>174</v>
          </cell>
          <cell r="E503">
            <v>51062</v>
          </cell>
          <cell r="F503">
            <v>138</v>
          </cell>
          <cell r="G503">
            <v>50124</v>
          </cell>
          <cell r="H503">
            <v>25</v>
          </cell>
          <cell r="I503">
            <v>50102</v>
          </cell>
          <cell r="J503">
            <v>25</v>
          </cell>
          <cell r="K503" t="str">
            <v/>
          </cell>
          <cell r="L503">
            <v>0</v>
          </cell>
          <cell r="M503">
            <v>132.79787234042553</v>
          </cell>
        </row>
        <row r="504">
          <cell r="B504">
            <v>170404</v>
          </cell>
          <cell r="C504" t="str">
            <v>CB401AAA</v>
          </cell>
          <cell r="D504" t="str">
            <v>174</v>
          </cell>
          <cell r="E504">
            <v>51062</v>
          </cell>
          <cell r="F504">
            <v>138</v>
          </cell>
          <cell r="G504">
            <v>50090</v>
          </cell>
          <cell r="H504">
            <v>25</v>
          </cell>
          <cell r="I504">
            <v>50098</v>
          </cell>
          <cell r="J504">
            <v>25</v>
          </cell>
          <cell r="K504" t="str">
            <v/>
          </cell>
          <cell r="L504">
            <v>0</v>
          </cell>
          <cell r="M504">
            <v>122.82446808510639</v>
          </cell>
        </row>
        <row r="505">
          <cell r="B505">
            <v>170405</v>
          </cell>
          <cell r="C505" t="str">
            <v>CB897AAA</v>
          </cell>
          <cell r="D505" t="str">
            <v>174</v>
          </cell>
          <cell r="E505">
            <v>51062</v>
          </cell>
          <cell r="F505">
            <v>138</v>
          </cell>
          <cell r="G505">
            <v>50148</v>
          </cell>
          <cell r="H505">
            <v>25</v>
          </cell>
          <cell r="I505">
            <v>50091</v>
          </cell>
          <cell r="J505">
            <v>25</v>
          </cell>
          <cell r="K505" t="str">
            <v/>
          </cell>
          <cell r="L505">
            <v>0</v>
          </cell>
          <cell r="M505">
            <v>112.85106382978724</v>
          </cell>
        </row>
        <row r="506">
          <cell r="B506">
            <v>170408</v>
          </cell>
          <cell r="C506" t="e">
            <v>#N/A</v>
          </cell>
          <cell r="D506" t="str">
            <v>174</v>
          </cell>
          <cell r="E506">
            <v>52000</v>
          </cell>
          <cell r="F506">
            <v>3.09</v>
          </cell>
          <cell r="G506">
            <v>50122</v>
          </cell>
          <cell r="H506">
            <v>88</v>
          </cell>
          <cell r="I506">
            <v>50094</v>
          </cell>
          <cell r="J506">
            <v>15</v>
          </cell>
          <cell r="K506">
            <v>10117</v>
          </cell>
          <cell r="L506">
            <v>0</v>
          </cell>
          <cell r="M506">
            <v>266.09482514845882</v>
          </cell>
        </row>
        <row r="507">
          <cell r="B507">
            <v>170501</v>
          </cell>
          <cell r="C507" t="str">
            <v>CB633AAA</v>
          </cell>
          <cell r="D507" t="str">
            <v>175</v>
          </cell>
          <cell r="E507">
            <v>51062</v>
          </cell>
          <cell r="F507">
            <v>138</v>
          </cell>
          <cell r="G507">
            <v>50151</v>
          </cell>
          <cell r="H507">
            <v>25</v>
          </cell>
          <cell r="I507">
            <v>50079</v>
          </cell>
          <cell r="J507">
            <v>25</v>
          </cell>
          <cell r="K507" t="str">
            <v/>
          </cell>
          <cell r="L507">
            <v>0</v>
          </cell>
          <cell r="M507">
            <v>112.85106382978724</v>
          </cell>
        </row>
        <row r="508">
          <cell r="B508">
            <v>170502</v>
          </cell>
          <cell r="C508" t="str">
            <v>CB734AAA</v>
          </cell>
          <cell r="D508" t="str">
            <v>175</v>
          </cell>
          <cell r="E508">
            <v>51062</v>
          </cell>
          <cell r="F508">
            <v>138</v>
          </cell>
          <cell r="G508">
            <v>50147</v>
          </cell>
          <cell r="H508">
            <v>25</v>
          </cell>
          <cell r="I508">
            <v>50094</v>
          </cell>
          <cell r="J508">
            <v>25</v>
          </cell>
          <cell r="K508" t="str">
            <v/>
          </cell>
          <cell r="L508">
            <v>0</v>
          </cell>
          <cell r="M508">
            <v>112.85106382978724</v>
          </cell>
        </row>
        <row r="509">
          <cell r="B509">
            <v>170503</v>
          </cell>
          <cell r="C509" t="str">
            <v>CB742AAA</v>
          </cell>
          <cell r="D509" t="str">
            <v>175</v>
          </cell>
          <cell r="E509">
            <v>51062</v>
          </cell>
          <cell r="F509">
            <v>138</v>
          </cell>
          <cell r="G509">
            <v>50124</v>
          </cell>
          <cell r="H509">
            <v>25</v>
          </cell>
          <cell r="I509">
            <v>50095</v>
          </cell>
          <cell r="J509">
            <v>25</v>
          </cell>
          <cell r="K509" t="str">
            <v/>
          </cell>
          <cell r="L509">
            <v>0</v>
          </cell>
          <cell r="M509">
            <v>122.82446808510639</v>
          </cell>
        </row>
        <row r="510">
          <cell r="B510">
            <v>170504</v>
          </cell>
          <cell r="C510" t="str">
            <v>CB767AAA</v>
          </cell>
          <cell r="D510" t="str">
            <v>175</v>
          </cell>
          <cell r="E510">
            <v>51062</v>
          </cell>
          <cell r="F510">
            <v>138</v>
          </cell>
          <cell r="G510">
            <v>50101</v>
          </cell>
          <cell r="H510">
            <v>25</v>
          </cell>
          <cell r="I510">
            <v>50090</v>
          </cell>
          <cell r="J510">
            <v>25</v>
          </cell>
          <cell r="K510" t="str">
            <v/>
          </cell>
          <cell r="L510">
            <v>0</v>
          </cell>
          <cell r="M510">
            <v>122.82446808510639</v>
          </cell>
        </row>
        <row r="511">
          <cell r="B511">
            <v>170505</v>
          </cell>
          <cell r="C511" t="str">
            <v>CB611AAA</v>
          </cell>
          <cell r="D511" t="str">
            <v>175</v>
          </cell>
          <cell r="E511">
            <v>51062</v>
          </cell>
          <cell r="F511">
            <v>138</v>
          </cell>
          <cell r="G511">
            <v>50140</v>
          </cell>
          <cell r="H511">
            <v>25</v>
          </cell>
          <cell r="I511">
            <v>50079</v>
          </cell>
          <cell r="J511">
            <v>25</v>
          </cell>
          <cell r="K511" t="str">
            <v/>
          </cell>
          <cell r="L511">
            <v>0</v>
          </cell>
          <cell r="M511">
            <v>112.85106382978724</v>
          </cell>
        </row>
        <row r="512">
          <cell r="B512">
            <v>170508</v>
          </cell>
          <cell r="C512" t="e">
            <v>#N/A</v>
          </cell>
          <cell r="D512" t="str">
            <v>175</v>
          </cell>
          <cell r="E512">
            <v>52000</v>
          </cell>
          <cell r="F512">
            <v>3.09</v>
          </cell>
          <cell r="G512">
            <v>50122</v>
          </cell>
          <cell r="H512">
            <v>88</v>
          </cell>
          <cell r="I512">
            <v>50096</v>
          </cell>
          <cell r="J512">
            <v>15</v>
          </cell>
          <cell r="K512">
            <v>10149</v>
          </cell>
          <cell r="L512">
            <v>0</v>
          </cell>
          <cell r="M512">
            <v>266.09482514845882</v>
          </cell>
        </row>
        <row r="513">
          <cell r="B513">
            <v>180101</v>
          </cell>
          <cell r="C513" t="str">
            <v>CB747AAA</v>
          </cell>
          <cell r="D513" t="str">
            <v>181</v>
          </cell>
          <cell r="E513">
            <v>51063</v>
          </cell>
          <cell r="F513">
            <v>137</v>
          </cell>
          <cell r="G513">
            <v>50116</v>
          </cell>
          <cell r="H513">
            <v>25</v>
          </cell>
          <cell r="I513">
            <v>50119</v>
          </cell>
          <cell r="J513">
            <v>25</v>
          </cell>
          <cell r="K513" t="str">
            <v/>
          </cell>
          <cell r="L513">
            <v>0</v>
          </cell>
          <cell r="M513">
            <v>118.22459893048128</v>
          </cell>
        </row>
        <row r="514">
          <cell r="B514">
            <v>180102</v>
          </cell>
          <cell r="C514" t="str">
            <v>CB357AAA</v>
          </cell>
          <cell r="D514" t="str">
            <v>181</v>
          </cell>
          <cell r="E514">
            <v>51063</v>
          </cell>
          <cell r="F514">
            <v>137</v>
          </cell>
          <cell r="G514">
            <v>50137</v>
          </cell>
          <cell r="H514">
            <v>25</v>
          </cell>
          <cell r="I514">
            <v>50090</v>
          </cell>
          <cell r="J514">
            <v>25</v>
          </cell>
          <cell r="K514" t="str">
            <v/>
          </cell>
          <cell r="L514">
            <v>0</v>
          </cell>
          <cell r="M514">
            <v>114.21390374331551</v>
          </cell>
        </row>
        <row r="515">
          <cell r="B515">
            <v>180103</v>
          </cell>
          <cell r="C515" t="str">
            <v>CB373AAA</v>
          </cell>
          <cell r="D515" t="str">
            <v>181</v>
          </cell>
          <cell r="E515">
            <v>51063</v>
          </cell>
          <cell r="F515">
            <v>137</v>
          </cell>
          <cell r="G515">
            <v>50111</v>
          </cell>
          <cell r="H515">
            <v>25</v>
          </cell>
          <cell r="I515">
            <v>50145</v>
          </cell>
          <cell r="J515">
            <v>25</v>
          </cell>
          <cell r="K515" t="str">
            <v/>
          </cell>
          <cell r="L515">
            <v>0</v>
          </cell>
          <cell r="M515">
            <v>118.22459893048128</v>
          </cell>
        </row>
        <row r="516">
          <cell r="B516">
            <v>180104</v>
          </cell>
          <cell r="C516" t="str">
            <v>CB357AAA</v>
          </cell>
          <cell r="D516" t="str">
            <v>181</v>
          </cell>
          <cell r="E516">
            <v>51063</v>
          </cell>
          <cell r="F516">
            <v>137</v>
          </cell>
          <cell r="G516">
            <v>50137</v>
          </cell>
          <cell r="H516">
            <v>25</v>
          </cell>
          <cell r="I516">
            <v>50135</v>
          </cell>
          <cell r="J516">
            <v>25</v>
          </cell>
          <cell r="K516" t="str">
            <v/>
          </cell>
          <cell r="L516">
            <v>0</v>
          </cell>
          <cell r="M516">
            <v>114.21390374331551</v>
          </cell>
        </row>
        <row r="517">
          <cell r="B517">
            <v>180105</v>
          </cell>
          <cell r="C517" t="str">
            <v>CB736AAA</v>
          </cell>
          <cell r="D517" t="str">
            <v>181</v>
          </cell>
          <cell r="E517">
            <v>51063</v>
          </cell>
          <cell r="F517">
            <v>137</v>
          </cell>
          <cell r="G517">
            <v>50139</v>
          </cell>
          <cell r="H517">
            <v>25</v>
          </cell>
          <cell r="I517">
            <v>50098</v>
          </cell>
          <cell r="J517">
            <v>25</v>
          </cell>
          <cell r="K517" t="str">
            <v/>
          </cell>
          <cell r="L517">
            <v>0</v>
          </cell>
          <cell r="M517">
            <v>124.24064171122994</v>
          </cell>
        </row>
        <row r="518">
          <cell r="B518">
            <v>180108</v>
          </cell>
          <cell r="C518" t="e">
            <v>#N/A</v>
          </cell>
          <cell r="D518" t="str">
            <v>181</v>
          </cell>
          <cell r="E518">
            <v>52000</v>
          </cell>
          <cell r="F518">
            <v>3.09</v>
          </cell>
          <cell r="G518">
            <v>50122</v>
          </cell>
          <cell r="H518">
            <v>88</v>
          </cell>
          <cell r="I518">
            <v>50097</v>
          </cell>
          <cell r="J518">
            <v>15</v>
          </cell>
          <cell r="K518">
            <v>10181</v>
          </cell>
          <cell r="L518">
            <v>0</v>
          </cell>
          <cell r="M518">
            <v>276.69902912621359</v>
          </cell>
        </row>
        <row r="519">
          <cell r="B519">
            <v>180201</v>
          </cell>
          <cell r="C519" t="str">
            <v>CB373AAA</v>
          </cell>
          <cell r="D519" t="str">
            <v>182</v>
          </cell>
          <cell r="E519">
            <v>51064</v>
          </cell>
          <cell r="F519">
            <v>136</v>
          </cell>
          <cell r="G519">
            <v>50111</v>
          </cell>
          <cell r="H519">
            <v>25</v>
          </cell>
          <cell r="I519">
            <v>50092</v>
          </cell>
          <cell r="J519">
            <v>25</v>
          </cell>
          <cell r="K519" t="str">
            <v/>
          </cell>
          <cell r="L519">
            <v>0</v>
          </cell>
          <cell r="M519">
            <v>125.65053763440861</v>
          </cell>
        </row>
        <row r="520">
          <cell r="B520">
            <v>180202</v>
          </cell>
          <cell r="C520" t="str">
            <v>CB372AAA</v>
          </cell>
          <cell r="D520" t="str">
            <v>182</v>
          </cell>
          <cell r="E520">
            <v>51064</v>
          </cell>
          <cell r="F520">
            <v>136</v>
          </cell>
          <cell r="G520">
            <v>50112</v>
          </cell>
          <cell r="H520">
            <v>25</v>
          </cell>
          <cell r="I520">
            <v>50091</v>
          </cell>
          <cell r="J520">
            <v>25</v>
          </cell>
          <cell r="K520" t="str">
            <v/>
          </cell>
          <cell r="L520">
            <v>0</v>
          </cell>
          <cell r="M520">
            <v>125.65053763440861</v>
          </cell>
        </row>
        <row r="521">
          <cell r="B521">
            <v>180203</v>
          </cell>
          <cell r="C521" t="str">
            <v>CB892AAA</v>
          </cell>
          <cell r="D521" t="str">
            <v>182</v>
          </cell>
          <cell r="E521">
            <v>51064</v>
          </cell>
          <cell r="F521">
            <v>136</v>
          </cell>
          <cell r="G521">
            <v>50135</v>
          </cell>
          <cell r="H521">
            <v>25</v>
          </cell>
          <cell r="I521">
            <v>50096</v>
          </cell>
          <cell r="J521">
            <v>25</v>
          </cell>
          <cell r="K521" t="str">
            <v/>
          </cell>
          <cell r="L521">
            <v>0</v>
          </cell>
          <cell r="M521">
            <v>115.56989247311827</v>
          </cell>
        </row>
        <row r="522">
          <cell r="B522">
            <v>180204</v>
          </cell>
          <cell r="C522" t="str">
            <v>CB747AAA</v>
          </cell>
          <cell r="D522" t="str">
            <v>182</v>
          </cell>
          <cell r="E522">
            <v>51064</v>
          </cell>
          <cell r="F522">
            <v>136</v>
          </cell>
          <cell r="G522">
            <v>50116</v>
          </cell>
          <cell r="H522">
            <v>25</v>
          </cell>
          <cell r="I522">
            <v>50098</v>
          </cell>
          <cell r="J522">
            <v>25</v>
          </cell>
          <cell r="K522" t="str">
            <v/>
          </cell>
          <cell r="L522">
            <v>0</v>
          </cell>
          <cell r="M522">
            <v>135.73118279569891</v>
          </cell>
        </row>
        <row r="523">
          <cell r="B523">
            <v>180205</v>
          </cell>
          <cell r="C523" t="str">
            <v>CB733AAA</v>
          </cell>
          <cell r="D523" t="str">
            <v>182</v>
          </cell>
          <cell r="E523">
            <v>51064</v>
          </cell>
          <cell r="F523">
            <v>136</v>
          </cell>
          <cell r="G523">
            <v>50138</v>
          </cell>
          <cell r="H523">
            <v>25</v>
          </cell>
          <cell r="I523">
            <v>50092</v>
          </cell>
          <cell r="J523">
            <v>25</v>
          </cell>
          <cell r="K523" t="str">
            <v/>
          </cell>
          <cell r="L523">
            <v>0</v>
          </cell>
          <cell r="M523">
            <v>115.56989247311827</v>
          </cell>
        </row>
        <row r="524">
          <cell r="B524">
            <v>180208</v>
          </cell>
          <cell r="C524" t="e">
            <v>#N/A</v>
          </cell>
          <cell r="D524" t="str">
            <v>182</v>
          </cell>
          <cell r="E524">
            <v>52000</v>
          </cell>
          <cell r="F524">
            <v>3.09</v>
          </cell>
          <cell r="G524">
            <v>50122</v>
          </cell>
          <cell r="H524">
            <v>88</v>
          </cell>
          <cell r="I524">
            <v>50103</v>
          </cell>
          <cell r="J524">
            <v>15</v>
          </cell>
          <cell r="K524">
            <v>10213</v>
          </cell>
          <cell r="L524">
            <v>0</v>
          </cell>
          <cell r="M524">
            <v>276.69902912621359</v>
          </cell>
        </row>
        <row r="525">
          <cell r="B525">
            <v>180301</v>
          </cell>
          <cell r="C525" t="str">
            <v>CB357AAA</v>
          </cell>
          <cell r="D525" t="str">
            <v>183</v>
          </cell>
          <cell r="E525">
            <v>51064</v>
          </cell>
          <cell r="F525">
            <v>136</v>
          </cell>
          <cell r="G525">
            <v>50137</v>
          </cell>
          <cell r="H525">
            <v>25</v>
          </cell>
          <cell r="I525">
            <v>50157</v>
          </cell>
          <cell r="J525">
            <v>25</v>
          </cell>
          <cell r="K525" t="str">
            <v/>
          </cell>
          <cell r="L525">
            <v>0</v>
          </cell>
          <cell r="M525">
            <v>109.52150537634408</v>
          </cell>
        </row>
        <row r="526">
          <cell r="B526">
            <v>180302</v>
          </cell>
          <cell r="C526" t="str">
            <v>CB747AAA</v>
          </cell>
          <cell r="D526" t="str">
            <v>183</v>
          </cell>
          <cell r="E526">
            <v>51064</v>
          </cell>
          <cell r="F526">
            <v>136</v>
          </cell>
          <cell r="G526">
            <v>50116</v>
          </cell>
          <cell r="H526">
            <v>25</v>
          </cell>
          <cell r="I526">
            <v>50102</v>
          </cell>
          <cell r="J526">
            <v>25</v>
          </cell>
          <cell r="K526" t="str">
            <v/>
          </cell>
          <cell r="L526">
            <v>0</v>
          </cell>
          <cell r="M526">
            <v>135.73118279569891</v>
          </cell>
        </row>
        <row r="527">
          <cell r="B527">
            <v>180303</v>
          </cell>
          <cell r="C527" t="str">
            <v>CB747AAA</v>
          </cell>
          <cell r="D527" t="str">
            <v>183</v>
          </cell>
          <cell r="E527">
            <v>51064</v>
          </cell>
          <cell r="F527">
            <v>136</v>
          </cell>
          <cell r="G527">
            <v>50116</v>
          </cell>
          <cell r="H527">
            <v>25</v>
          </cell>
          <cell r="I527">
            <v>50078</v>
          </cell>
          <cell r="J527">
            <v>25</v>
          </cell>
          <cell r="K527" t="str">
            <v/>
          </cell>
          <cell r="L527">
            <v>0</v>
          </cell>
          <cell r="M527">
            <v>125.65053763440861</v>
          </cell>
        </row>
        <row r="528">
          <cell r="B528">
            <v>180304</v>
          </cell>
          <cell r="C528" t="str">
            <v>CB222AAA</v>
          </cell>
          <cell r="D528" t="str">
            <v>183</v>
          </cell>
          <cell r="E528">
            <v>51064</v>
          </cell>
          <cell r="F528">
            <v>136</v>
          </cell>
          <cell r="G528">
            <v>50095</v>
          </cell>
          <cell r="H528">
            <v>25</v>
          </cell>
          <cell r="I528">
            <v>50092</v>
          </cell>
          <cell r="J528">
            <v>25</v>
          </cell>
          <cell r="K528" t="str">
            <v/>
          </cell>
          <cell r="L528">
            <v>0</v>
          </cell>
          <cell r="M528">
            <v>115.56989247311827</v>
          </cell>
        </row>
        <row r="529">
          <cell r="B529">
            <v>180305</v>
          </cell>
          <cell r="C529" t="str">
            <v>CB222AAA</v>
          </cell>
          <cell r="D529" t="str">
            <v>183</v>
          </cell>
          <cell r="E529">
            <v>51064</v>
          </cell>
          <cell r="F529">
            <v>136</v>
          </cell>
          <cell r="G529">
            <v>50095</v>
          </cell>
          <cell r="H529">
            <v>25</v>
          </cell>
          <cell r="I529">
            <v>50095</v>
          </cell>
          <cell r="J529">
            <v>25</v>
          </cell>
          <cell r="K529" t="str">
            <v/>
          </cell>
          <cell r="L529">
            <v>0</v>
          </cell>
          <cell r="M529">
            <v>115.56989247311827</v>
          </cell>
        </row>
        <row r="530">
          <cell r="B530">
            <v>180308</v>
          </cell>
          <cell r="C530" t="e">
            <v>#N/A</v>
          </cell>
          <cell r="D530" t="str">
            <v>183</v>
          </cell>
          <cell r="E530">
            <v>52000</v>
          </cell>
          <cell r="F530">
            <v>3.09</v>
          </cell>
          <cell r="G530">
            <v>50122</v>
          </cell>
          <cell r="H530">
            <v>88</v>
          </cell>
          <cell r="I530">
            <v>50102</v>
          </cell>
          <cell r="J530">
            <v>15</v>
          </cell>
          <cell r="K530">
            <v>10245</v>
          </cell>
          <cell r="L530">
            <v>0</v>
          </cell>
          <cell r="M530">
            <v>276.69902912621359</v>
          </cell>
        </row>
        <row r="531">
          <cell r="B531">
            <v>180401</v>
          </cell>
          <cell r="C531" t="str">
            <v>CB747AAA</v>
          </cell>
          <cell r="D531" t="str">
            <v>184</v>
          </cell>
          <cell r="E531">
            <v>51065</v>
          </cell>
          <cell r="F531">
            <v>135</v>
          </cell>
          <cell r="G531">
            <v>50116</v>
          </cell>
          <cell r="H531">
            <v>25</v>
          </cell>
          <cell r="I531">
            <v>50091</v>
          </cell>
          <cell r="J531">
            <v>25</v>
          </cell>
          <cell r="K531" t="str">
            <v/>
          </cell>
          <cell r="L531">
            <v>0</v>
          </cell>
          <cell r="M531">
            <v>127.05405405405405</v>
          </cell>
        </row>
        <row r="532">
          <cell r="B532">
            <v>180402</v>
          </cell>
          <cell r="C532" t="str">
            <v>CB892AAA</v>
          </cell>
          <cell r="D532" t="str">
            <v>184</v>
          </cell>
          <cell r="E532">
            <v>51065</v>
          </cell>
          <cell r="F532">
            <v>135</v>
          </cell>
          <cell r="G532">
            <v>50135</v>
          </cell>
          <cell r="H532">
            <v>25</v>
          </cell>
          <cell r="I532">
            <v>50101</v>
          </cell>
          <cell r="J532">
            <v>25</v>
          </cell>
          <cell r="K532" t="str">
            <v/>
          </cell>
          <cell r="L532">
            <v>0</v>
          </cell>
          <cell r="M532">
            <v>127.05405405405405</v>
          </cell>
        </row>
        <row r="533">
          <cell r="B533">
            <v>180403</v>
          </cell>
          <cell r="C533" t="str">
            <v>CB756AAA</v>
          </cell>
          <cell r="D533" t="str">
            <v>184</v>
          </cell>
          <cell r="E533">
            <v>51065</v>
          </cell>
          <cell r="F533">
            <v>135</v>
          </cell>
          <cell r="G533">
            <v>50145</v>
          </cell>
          <cell r="H533">
            <v>25</v>
          </cell>
          <cell r="I533">
            <v>50135</v>
          </cell>
          <cell r="J533">
            <v>25</v>
          </cell>
          <cell r="K533" t="str">
            <v/>
          </cell>
          <cell r="L533">
            <v>0</v>
          </cell>
          <cell r="M533">
            <v>110.83783783783784</v>
          </cell>
        </row>
        <row r="534">
          <cell r="B534">
            <v>180404</v>
          </cell>
          <cell r="C534" t="str">
            <v>CB401AAA</v>
          </cell>
          <cell r="D534" t="str">
            <v>184</v>
          </cell>
          <cell r="E534">
            <v>51065</v>
          </cell>
          <cell r="F534">
            <v>135</v>
          </cell>
          <cell r="G534">
            <v>50090</v>
          </cell>
          <cell r="H534">
            <v>25</v>
          </cell>
          <cell r="I534">
            <v>50100</v>
          </cell>
          <cell r="J534">
            <v>25</v>
          </cell>
          <cell r="K534" t="str">
            <v/>
          </cell>
          <cell r="L534">
            <v>0</v>
          </cell>
          <cell r="M534">
            <v>127.05405405405405</v>
          </cell>
        </row>
        <row r="535">
          <cell r="B535">
            <v>180405</v>
          </cell>
          <cell r="C535" t="str">
            <v>CB231AAA</v>
          </cell>
          <cell r="D535" t="str">
            <v>184</v>
          </cell>
          <cell r="E535">
            <v>51065</v>
          </cell>
          <cell r="F535">
            <v>135</v>
          </cell>
          <cell r="G535">
            <v>50146</v>
          </cell>
          <cell r="H535">
            <v>25</v>
          </cell>
          <cell r="I535">
            <v>50157</v>
          </cell>
          <cell r="J535">
            <v>25</v>
          </cell>
          <cell r="K535" t="str">
            <v/>
          </cell>
          <cell r="L535">
            <v>0</v>
          </cell>
          <cell r="M535">
            <v>110.83783783783784</v>
          </cell>
        </row>
        <row r="536">
          <cell r="B536">
            <v>180408</v>
          </cell>
          <cell r="C536" t="e">
            <v>#N/A</v>
          </cell>
          <cell r="D536" t="str">
            <v>184</v>
          </cell>
          <cell r="E536">
            <v>52000</v>
          </cell>
          <cell r="F536">
            <v>3.09</v>
          </cell>
          <cell r="G536">
            <v>50122</v>
          </cell>
          <cell r="H536">
            <v>88</v>
          </cell>
          <cell r="I536">
            <v>50079</v>
          </cell>
          <cell r="J536">
            <v>15</v>
          </cell>
          <cell r="K536">
            <v>10277</v>
          </cell>
          <cell r="L536">
            <v>0</v>
          </cell>
          <cell r="M536">
            <v>266.09482514845882</v>
          </cell>
        </row>
        <row r="537">
          <cell r="B537">
            <v>180501</v>
          </cell>
          <cell r="C537" t="str">
            <v>CB357AAA</v>
          </cell>
          <cell r="D537" t="str">
            <v>185</v>
          </cell>
          <cell r="E537">
            <v>51066</v>
          </cell>
          <cell r="F537">
            <v>134</v>
          </cell>
          <cell r="G537">
            <v>50137</v>
          </cell>
          <cell r="H537">
            <v>25</v>
          </cell>
          <cell r="I537">
            <v>50092</v>
          </cell>
          <cell r="J537">
            <v>25</v>
          </cell>
          <cell r="K537" t="str">
            <v/>
          </cell>
          <cell r="L537">
            <v>0</v>
          </cell>
          <cell r="M537">
            <v>118.26086956521739</v>
          </cell>
        </row>
        <row r="538">
          <cell r="B538">
            <v>180502</v>
          </cell>
          <cell r="C538" t="str">
            <v>CB747AAA</v>
          </cell>
          <cell r="D538" t="str">
            <v>185</v>
          </cell>
          <cell r="E538">
            <v>51066</v>
          </cell>
          <cell r="F538">
            <v>134</v>
          </cell>
          <cell r="G538">
            <v>50116</v>
          </cell>
          <cell r="H538">
            <v>25</v>
          </cell>
          <cell r="I538">
            <v>50145</v>
          </cell>
          <cell r="J538">
            <v>25</v>
          </cell>
          <cell r="K538" t="str">
            <v/>
          </cell>
          <cell r="L538">
            <v>0</v>
          </cell>
          <cell r="M538">
            <v>122.33695652173913</v>
          </cell>
        </row>
        <row r="539">
          <cell r="B539">
            <v>180503</v>
          </cell>
          <cell r="C539" t="str">
            <v>CB222AAA</v>
          </cell>
          <cell r="D539" t="str">
            <v>185</v>
          </cell>
          <cell r="E539">
            <v>51066</v>
          </cell>
          <cell r="F539">
            <v>134</v>
          </cell>
          <cell r="G539">
            <v>50095</v>
          </cell>
          <cell r="H539">
            <v>25</v>
          </cell>
          <cell r="I539">
            <v>50103</v>
          </cell>
          <cell r="J539">
            <v>25</v>
          </cell>
          <cell r="K539" t="str">
            <v/>
          </cell>
          <cell r="L539">
            <v>0</v>
          </cell>
          <cell r="M539">
            <v>128.45108695652175</v>
          </cell>
        </row>
        <row r="540">
          <cell r="B540">
            <v>180504</v>
          </cell>
          <cell r="C540" t="str">
            <v>CB741AAA</v>
          </cell>
          <cell r="D540" t="str">
            <v>185</v>
          </cell>
          <cell r="E540">
            <v>51066</v>
          </cell>
          <cell r="F540">
            <v>134</v>
          </cell>
          <cell r="G540">
            <v>50152</v>
          </cell>
          <cell r="H540">
            <v>25</v>
          </cell>
          <cell r="I540">
            <v>50145</v>
          </cell>
          <cell r="J540">
            <v>25</v>
          </cell>
          <cell r="K540" t="str">
            <v/>
          </cell>
          <cell r="L540">
            <v>0</v>
          </cell>
          <cell r="M540">
            <v>112.14673913043478</v>
          </cell>
        </row>
        <row r="541">
          <cell r="B541">
            <v>180505</v>
          </cell>
          <cell r="C541" t="str">
            <v>CB371AAA</v>
          </cell>
          <cell r="D541" t="str">
            <v>185</v>
          </cell>
          <cell r="E541">
            <v>51066</v>
          </cell>
          <cell r="F541">
            <v>134</v>
          </cell>
          <cell r="G541">
            <v>50111</v>
          </cell>
          <cell r="H541">
            <v>25</v>
          </cell>
          <cell r="I541">
            <v>50100</v>
          </cell>
          <cell r="J541">
            <v>25</v>
          </cell>
          <cell r="K541" t="str">
            <v/>
          </cell>
          <cell r="L541">
            <v>0</v>
          </cell>
          <cell r="M541">
            <v>138.64130434782609</v>
          </cell>
        </row>
        <row r="542">
          <cell r="B542">
            <v>180508</v>
          </cell>
          <cell r="C542" t="e">
            <v>#N/A</v>
          </cell>
          <cell r="D542" t="str">
            <v>185</v>
          </cell>
          <cell r="E542">
            <v>52000</v>
          </cell>
          <cell r="F542">
            <v>3.09</v>
          </cell>
          <cell r="G542">
            <v>50122</v>
          </cell>
          <cell r="H542">
            <v>88</v>
          </cell>
          <cell r="I542">
            <v>50095</v>
          </cell>
          <cell r="J542">
            <v>15</v>
          </cell>
          <cell r="K542">
            <v>10309</v>
          </cell>
          <cell r="L542">
            <v>0</v>
          </cell>
          <cell r="M542">
            <v>266.09482514845882</v>
          </cell>
        </row>
        <row r="543">
          <cell r="B543">
            <v>190101</v>
          </cell>
          <cell r="C543" t="e">
            <v>#N/A</v>
          </cell>
          <cell r="D543" t="str">
            <v>191</v>
          </cell>
          <cell r="E543">
            <v>51066</v>
          </cell>
          <cell r="F543">
            <v>134</v>
          </cell>
          <cell r="G543">
            <v>50101</v>
          </cell>
          <cell r="H543">
            <v>25</v>
          </cell>
          <cell r="I543">
            <v>50101</v>
          </cell>
          <cell r="J543">
            <v>25</v>
          </cell>
          <cell r="K543" t="str">
            <v/>
          </cell>
          <cell r="L543">
            <v>0</v>
          </cell>
          <cell r="M543">
            <v>138.64130434782609</v>
          </cell>
        </row>
        <row r="544">
          <cell r="B544">
            <v>190102</v>
          </cell>
          <cell r="C544" t="e">
            <v>#N/A</v>
          </cell>
          <cell r="D544" t="str">
            <v>191</v>
          </cell>
          <cell r="E544">
            <v>51066</v>
          </cell>
          <cell r="F544">
            <v>134</v>
          </cell>
          <cell r="G544">
            <v>50093</v>
          </cell>
          <cell r="H544">
            <v>25</v>
          </cell>
          <cell r="I544">
            <v>50094</v>
          </cell>
          <cell r="J544">
            <v>25</v>
          </cell>
          <cell r="K544" t="str">
            <v/>
          </cell>
          <cell r="L544">
            <v>0</v>
          </cell>
          <cell r="M544">
            <v>118.26086956521739</v>
          </cell>
        </row>
        <row r="545">
          <cell r="B545">
            <v>190103</v>
          </cell>
          <cell r="C545" t="e">
            <v>#N/A</v>
          </cell>
          <cell r="D545" t="str">
            <v>191</v>
          </cell>
          <cell r="E545">
            <v>51066</v>
          </cell>
          <cell r="F545">
            <v>134</v>
          </cell>
          <cell r="G545">
            <v>50090</v>
          </cell>
          <cell r="H545">
            <v>25</v>
          </cell>
          <cell r="I545">
            <v>50096</v>
          </cell>
          <cell r="J545">
            <v>25</v>
          </cell>
          <cell r="K545" t="str">
            <v/>
          </cell>
          <cell r="L545">
            <v>0</v>
          </cell>
          <cell r="M545">
            <v>118.26086956521739</v>
          </cell>
        </row>
        <row r="546">
          <cell r="B546">
            <v>190104</v>
          </cell>
          <cell r="C546" t="e">
            <v>#N/A</v>
          </cell>
          <cell r="D546" t="str">
            <v>191</v>
          </cell>
          <cell r="E546">
            <v>51066</v>
          </cell>
          <cell r="F546">
            <v>134</v>
          </cell>
          <cell r="G546">
            <v>50090</v>
          </cell>
          <cell r="H546">
            <v>25</v>
          </cell>
          <cell r="I546">
            <v>50091</v>
          </cell>
          <cell r="J546">
            <v>25</v>
          </cell>
          <cell r="K546" t="str">
            <v/>
          </cell>
          <cell r="L546">
            <v>0</v>
          </cell>
          <cell r="M546">
            <v>118.26086956521739</v>
          </cell>
        </row>
        <row r="547">
          <cell r="B547">
            <v>190105</v>
          </cell>
          <cell r="C547" t="e">
            <v>#N/A</v>
          </cell>
          <cell r="D547" t="str">
            <v>191</v>
          </cell>
          <cell r="E547">
            <v>51066</v>
          </cell>
          <cell r="F547">
            <v>134</v>
          </cell>
          <cell r="G547">
            <v>50092</v>
          </cell>
          <cell r="H547">
            <v>25</v>
          </cell>
          <cell r="I547">
            <v>50092</v>
          </cell>
          <cell r="J547">
            <v>25</v>
          </cell>
          <cell r="K547" t="str">
            <v/>
          </cell>
          <cell r="L547">
            <v>0</v>
          </cell>
          <cell r="M547">
            <v>118.26086956521739</v>
          </cell>
        </row>
        <row r="548">
          <cell r="B548">
            <v>190108</v>
          </cell>
          <cell r="C548" t="e">
            <v>#N/A</v>
          </cell>
          <cell r="D548" t="str">
            <v>191</v>
          </cell>
          <cell r="E548">
            <v>52000</v>
          </cell>
          <cell r="F548">
            <v>3.09</v>
          </cell>
          <cell r="G548">
            <v>50122</v>
          </cell>
          <cell r="H548">
            <v>88</v>
          </cell>
          <cell r="I548">
            <v>50092</v>
          </cell>
          <cell r="J548">
            <v>15</v>
          </cell>
          <cell r="K548">
            <v>10341</v>
          </cell>
          <cell r="L548">
            <v>0</v>
          </cell>
          <cell r="M548">
            <v>266.09482514845882</v>
          </cell>
        </row>
        <row r="549">
          <cell r="B549">
            <v>190201</v>
          </cell>
          <cell r="C549" t="e">
            <v>#N/A</v>
          </cell>
          <cell r="D549" t="str">
            <v>192</v>
          </cell>
          <cell r="E549">
            <v>51067</v>
          </cell>
          <cell r="F549">
            <v>133</v>
          </cell>
          <cell r="G549">
            <v>50090</v>
          </cell>
          <cell r="H549">
            <v>25</v>
          </cell>
          <cell r="I549">
            <v>50102</v>
          </cell>
          <cell r="J549">
            <v>25</v>
          </cell>
          <cell r="K549" t="str">
            <v/>
          </cell>
          <cell r="L549">
            <v>0</v>
          </cell>
          <cell r="M549">
            <v>129.84153005464481</v>
          </cell>
        </row>
        <row r="550">
          <cell r="B550">
            <v>190202</v>
          </cell>
          <cell r="C550" t="e">
            <v>#N/A</v>
          </cell>
          <cell r="D550" t="str">
            <v>192</v>
          </cell>
          <cell r="E550">
            <v>51067</v>
          </cell>
          <cell r="F550">
            <v>133</v>
          </cell>
          <cell r="G550">
            <v>50099</v>
          </cell>
          <cell r="H550">
            <v>25</v>
          </cell>
          <cell r="I550">
            <v>50093</v>
          </cell>
          <cell r="J550">
            <v>25</v>
          </cell>
          <cell r="K550" t="str">
            <v/>
          </cell>
          <cell r="L550">
            <v>0</v>
          </cell>
          <cell r="M550">
            <v>129.84153005464481</v>
          </cell>
        </row>
        <row r="551">
          <cell r="B551">
            <v>190203</v>
          </cell>
          <cell r="C551" t="e">
            <v>#N/A</v>
          </cell>
          <cell r="D551" t="str">
            <v>192</v>
          </cell>
          <cell r="E551">
            <v>51067</v>
          </cell>
          <cell r="F551">
            <v>133</v>
          </cell>
          <cell r="G551">
            <v>50103</v>
          </cell>
          <cell r="H551">
            <v>25</v>
          </cell>
          <cell r="I551">
            <v>50095</v>
          </cell>
          <cell r="J551">
            <v>25</v>
          </cell>
          <cell r="K551" t="str">
            <v/>
          </cell>
          <cell r="L551">
            <v>0</v>
          </cell>
          <cell r="M551">
            <v>129.84153005464481</v>
          </cell>
        </row>
        <row r="552">
          <cell r="B552">
            <v>190204</v>
          </cell>
          <cell r="C552" t="e">
            <v>#N/A</v>
          </cell>
          <cell r="D552" t="str">
            <v>192</v>
          </cell>
          <cell r="E552">
            <v>51067</v>
          </cell>
          <cell r="F552">
            <v>133</v>
          </cell>
          <cell r="G552">
            <v>50101</v>
          </cell>
          <cell r="H552">
            <v>25</v>
          </cell>
          <cell r="I552">
            <v>50119</v>
          </cell>
          <cell r="J552">
            <v>25</v>
          </cell>
          <cell r="K552" t="str">
            <v/>
          </cell>
          <cell r="L552">
            <v>0</v>
          </cell>
          <cell r="M552">
            <v>123.69398907103825</v>
          </cell>
        </row>
        <row r="553">
          <cell r="B553">
            <v>190205</v>
          </cell>
          <cell r="C553" t="e">
            <v>#N/A</v>
          </cell>
          <cell r="D553" t="str">
            <v>192</v>
          </cell>
          <cell r="E553">
            <v>51067</v>
          </cell>
          <cell r="F553">
            <v>133</v>
          </cell>
          <cell r="G553">
            <v>50095</v>
          </cell>
          <cell r="H553">
            <v>25</v>
          </cell>
          <cell r="I553">
            <v>50157</v>
          </cell>
          <cell r="J553">
            <v>25</v>
          </cell>
          <cell r="K553" t="str">
            <v/>
          </cell>
          <cell r="L553">
            <v>0</v>
          </cell>
          <cell r="M553">
            <v>113.44808743169399</v>
          </cell>
        </row>
        <row r="554">
          <cell r="B554">
            <v>190208</v>
          </cell>
          <cell r="C554" t="e">
            <v>#N/A</v>
          </cell>
          <cell r="D554" t="str">
            <v>192</v>
          </cell>
          <cell r="E554">
            <v>52000</v>
          </cell>
          <cell r="F554">
            <v>3.09</v>
          </cell>
          <cell r="G554">
            <v>50122</v>
          </cell>
          <cell r="H554">
            <v>88</v>
          </cell>
          <cell r="I554">
            <v>50093</v>
          </cell>
          <cell r="J554">
            <v>15</v>
          </cell>
          <cell r="K554">
            <v>10373</v>
          </cell>
          <cell r="L554">
            <v>0</v>
          </cell>
          <cell r="M554">
            <v>266.09482514845882</v>
          </cell>
        </row>
        <row r="555">
          <cell r="B555">
            <v>190301</v>
          </cell>
          <cell r="C555" t="e">
            <v>#N/A</v>
          </cell>
          <cell r="D555" t="str">
            <v>193</v>
          </cell>
          <cell r="E555">
            <v>51068</v>
          </cell>
          <cell r="F555">
            <v>132</v>
          </cell>
          <cell r="G555">
            <v>50157</v>
          </cell>
          <cell r="H555">
            <v>25</v>
          </cell>
          <cell r="I555">
            <v>50090</v>
          </cell>
          <cell r="J555">
            <v>25</v>
          </cell>
          <cell r="K555" t="str">
            <v/>
          </cell>
          <cell r="L555">
            <v>0</v>
          </cell>
          <cell r="M555">
            <v>114.74175824175825</v>
          </cell>
        </row>
        <row r="556">
          <cell r="B556">
            <v>190302</v>
          </cell>
          <cell r="C556" t="e">
            <v>#N/A</v>
          </cell>
          <cell r="D556" t="str">
            <v>193</v>
          </cell>
          <cell r="E556">
            <v>51068</v>
          </cell>
          <cell r="F556">
            <v>132</v>
          </cell>
          <cell r="G556">
            <v>50101</v>
          </cell>
          <cell r="H556">
            <v>25</v>
          </cell>
          <cell r="I556">
            <v>50092</v>
          </cell>
          <cell r="J556">
            <v>25</v>
          </cell>
          <cell r="K556" t="str">
            <v/>
          </cell>
          <cell r="L556">
            <v>0</v>
          </cell>
          <cell r="M556">
            <v>131.22527472527472</v>
          </cell>
        </row>
        <row r="557">
          <cell r="B557">
            <v>190303</v>
          </cell>
          <cell r="C557" t="e">
            <v>#N/A</v>
          </cell>
          <cell r="D557" t="str">
            <v>193</v>
          </cell>
          <cell r="E557">
            <v>51068</v>
          </cell>
          <cell r="F557">
            <v>132</v>
          </cell>
          <cell r="G557">
            <v>50079</v>
          </cell>
          <cell r="H557">
            <v>25</v>
          </cell>
          <cell r="I557">
            <v>50078</v>
          </cell>
          <cell r="J557">
            <v>25</v>
          </cell>
          <cell r="K557" t="str">
            <v/>
          </cell>
          <cell r="L557">
            <v>0</v>
          </cell>
          <cell r="M557">
            <v>120.92307692307692</v>
          </cell>
        </row>
        <row r="558">
          <cell r="B558">
            <v>190304</v>
          </cell>
          <cell r="C558" t="e">
            <v>#N/A</v>
          </cell>
          <cell r="D558" t="str">
            <v>193</v>
          </cell>
          <cell r="E558">
            <v>51068</v>
          </cell>
          <cell r="F558">
            <v>132</v>
          </cell>
          <cell r="G558">
            <v>50101</v>
          </cell>
          <cell r="H558">
            <v>25</v>
          </cell>
          <cell r="I558">
            <v>50102</v>
          </cell>
          <cell r="J558">
            <v>25</v>
          </cell>
          <cell r="K558" t="str">
            <v/>
          </cell>
          <cell r="L558">
            <v>0</v>
          </cell>
          <cell r="M558">
            <v>141.52747252747253</v>
          </cell>
        </row>
        <row r="559">
          <cell r="B559">
            <v>190305</v>
          </cell>
          <cell r="C559" t="e">
            <v>#N/A</v>
          </cell>
          <cell r="D559" t="str">
            <v>193</v>
          </cell>
          <cell r="E559">
            <v>51068</v>
          </cell>
          <cell r="F559">
            <v>132</v>
          </cell>
          <cell r="G559">
            <v>50092</v>
          </cell>
          <cell r="H559">
            <v>25</v>
          </cell>
          <cell r="I559">
            <v>50157</v>
          </cell>
          <cell r="J559">
            <v>25</v>
          </cell>
          <cell r="K559" t="str">
            <v/>
          </cell>
          <cell r="L559">
            <v>0</v>
          </cell>
          <cell r="M559">
            <v>114.74175824175825</v>
          </cell>
        </row>
        <row r="560">
          <cell r="B560">
            <v>190308</v>
          </cell>
          <cell r="C560" t="e">
            <v>#N/A</v>
          </cell>
          <cell r="D560" t="str">
            <v>193</v>
          </cell>
          <cell r="E560">
            <v>52000</v>
          </cell>
          <cell r="F560">
            <v>3.09</v>
          </cell>
          <cell r="G560">
            <v>50122</v>
          </cell>
          <cell r="H560">
            <v>88</v>
          </cell>
          <cell r="I560">
            <v>50094</v>
          </cell>
          <cell r="J560">
            <v>15</v>
          </cell>
          <cell r="K560">
            <v>10405</v>
          </cell>
          <cell r="L560">
            <v>0</v>
          </cell>
          <cell r="M560">
            <v>266.09482514845882</v>
          </cell>
        </row>
        <row r="561">
          <cell r="B561">
            <v>190401</v>
          </cell>
          <cell r="C561" t="e">
            <v>#N/A</v>
          </cell>
          <cell r="D561" t="str">
            <v>194</v>
          </cell>
          <cell r="E561">
            <v>51068</v>
          </cell>
          <cell r="F561">
            <v>132</v>
          </cell>
          <cell r="G561">
            <v>50093</v>
          </cell>
          <cell r="H561">
            <v>25</v>
          </cell>
          <cell r="I561">
            <v>50103</v>
          </cell>
          <cell r="J561">
            <v>25</v>
          </cell>
          <cell r="K561" t="str">
            <v/>
          </cell>
          <cell r="L561">
            <v>0</v>
          </cell>
          <cell r="M561">
            <v>131.22527472527472</v>
          </cell>
        </row>
        <row r="562">
          <cell r="B562">
            <v>190402</v>
          </cell>
          <cell r="C562" t="e">
            <v>#N/A</v>
          </cell>
          <cell r="D562" t="str">
            <v>194</v>
          </cell>
          <cell r="E562">
            <v>51068</v>
          </cell>
          <cell r="F562">
            <v>132</v>
          </cell>
          <cell r="G562">
            <v>50119</v>
          </cell>
          <cell r="H562">
            <v>25</v>
          </cell>
          <cell r="I562">
            <v>50093</v>
          </cell>
          <cell r="J562">
            <v>25</v>
          </cell>
          <cell r="K562" t="str">
            <v/>
          </cell>
          <cell r="L562">
            <v>0</v>
          </cell>
          <cell r="M562">
            <v>114.74175824175825</v>
          </cell>
        </row>
        <row r="563">
          <cell r="B563">
            <v>190403</v>
          </cell>
          <cell r="C563" t="e">
            <v>#N/A</v>
          </cell>
          <cell r="D563" t="str">
            <v>194</v>
          </cell>
          <cell r="E563">
            <v>51068</v>
          </cell>
          <cell r="F563">
            <v>132</v>
          </cell>
          <cell r="G563">
            <v>50135</v>
          </cell>
          <cell r="H563">
            <v>25</v>
          </cell>
          <cell r="I563">
            <v>50102</v>
          </cell>
          <cell r="J563">
            <v>25</v>
          </cell>
          <cell r="K563" t="str">
            <v/>
          </cell>
          <cell r="L563">
            <v>0</v>
          </cell>
          <cell r="M563">
            <v>131.22527472527472</v>
          </cell>
        </row>
        <row r="564">
          <cell r="B564">
            <v>190404</v>
          </cell>
          <cell r="C564" t="e">
            <v>#N/A</v>
          </cell>
          <cell r="D564" t="str">
            <v>194</v>
          </cell>
          <cell r="E564">
            <v>51068</v>
          </cell>
          <cell r="F564">
            <v>132</v>
          </cell>
          <cell r="G564">
            <v>50102</v>
          </cell>
          <cell r="H564">
            <v>25</v>
          </cell>
          <cell r="I564">
            <v>50100</v>
          </cell>
          <cell r="J564">
            <v>25</v>
          </cell>
          <cell r="K564" t="str">
            <v/>
          </cell>
          <cell r="L564">
            <v>0</v>
          </cell>
          <cell r="M564">
            <v>141.52747252747253</v>
          </cell>
        </row>
        <row r="565">
          <cell r="B565">
            <v>190405</v>
          </cell>
          <cell r="C565" t="e">
            <v>#N/A</v>
          </cell>
          <cell r="D565" t="str">
            <v>194</v>
          </cell>
          <cell r="E565">
            <v>51068</v>
          </cell>
          <cell r="F565">
            <v>132</v>
          </cell>
          <cell r="G565">
            <v>50090</v>
          </cell>
          <cell r="H565">
            <v>25</v>
          </cell>
          <cell r="I565">
            <v>50090</v>
          </cell>
          <cell r="J565">
            <v>25</v>
          </cell>
          <cell r="K565" t="str">
            <v/>
          </cell>
          <cell r="L565">
            <v>0</v>
          </cell>
          <cell r="M565">
            <v>120.92307692307692</v>
          </cell>
        </row>
        <row r="566">
          <cell r="B566">
            <v>190408</v>
          </cell>
          <cell r="C566" t="e">
            <v>#N/A</v>
          </cell>
          <cell r="D566" t="str">
            <v>194</v>
          </cell>
          <cell r="E566">
            <v>52000</v>
          </cell>
          <cell r="F566">
            <v>3.09</v>
          </cell>
          <cell r="G566">
            <v>50122</v>
          </cell>
          <cell r="H566">
            <v>88</v>
          </cell>
          <cell r="I566">
            <v>50103</v>
          </cell>
          <cell r="J566">
            <v>15</v>
          </cell>
          <cell r="K566">
            <v>10437</v>
          </cell>
          <cell r="L566">
            <v>0</v>
          </cell>
          <cell r="M566">
            <v>276.69902912621359</v>
          </cell>
        </row>
        <row r="567">
          <cell r="B567">
            <v>190501</v>
          </cell>
          <cell r="C567" t="e">
            <v>#N/A</v>
          </cell>
          <cell r="D567" t="str">
            <v>195</v>
          </cell>
          <cell r="E567">
            <v>51069</v>
          </cell>
          <cell r="F567">
            <v>131</v>
          </cell>
          <cell r="G567">
            <v>50095</v>
          </cell>
          <cell r="H567">
            <v>25</v>
          </cell>
          <cell r="I567">
            <v>50157</v>
          </cell>
          <cell r="J567">
            <v>25</v>
          </cell>
          <cell r="K567" t="str">
            <v/>
          </cell>
          <cell r="L567">
            <v>0</v>
          </cell>
          <cell r="M567">
            <v>116.02762430939227</v>
          </cell>
        </row>
        <row r="568">
          <cell r="B568">
            <v>190502</v>
          </cell>
          <cell r="C568" t="e">
            <v>#N/A</v>
          </cell>
          <cell r="D568" t="str">
            <v>195</v>
          </cell>
          <cell r="E568">
            <v>51069</v>
          </cell>
          <cell r="F568">
            <v>131</v>
          </cell>
          <cell r="G568">
            <v>50092</v>
          </cell>
          <cell r="H568">
            <v>25</v>
          </cell>
          <cell r="I568">
            <v>50097</v>
          </cell>
          <cell r="J568">
            <v>25</v>
          </cell>
          <cell r="K568" t="str">
            <v/>
          </cell>
          <cell r="L568">
            <v>0</v>
          </cell>
          <cell r="M568">
            <v>132.60220994475139</v>
          </cell>
        </row>
        <row r="569">
          <cell r="B569">
            <v>190503</v>
          </cell>
          <cell r="C569" t="e">
            <v>#N/A</v>
          </cell>
          <cell r="D569" t="str">
            <v>195</v>
          </cell>
          <cell r="E569">
            <v>51069</v>
          </cell>
          <cell r="F569">
            <v>131</v>
          </cell>
          <cell r="G569">
            <v>50093</v>
          </cell>
          <cell r="H569">
            <v>25</v>
          </cell>
          <cell r="I569">
            <v>50079</v>
          </cell>
          <cell r="J569">
            <v>25</v>
          </cell>
          <cell r="K569" t="str">
            <v/>
          </cell>
          <cell r="L569">
            <v>0</v>
          </cell>
          <cell r="M569">
            <v>122.24309392265194</v>
          </cell>
        </row>
        <row r="570">
          <cell r="B570">
            <v>190504</v>
          </cell>
          <cell r="C570" t="e">
            <v>#N/A</v>
          </cell>
          <cell r="D570" t="str">
            <v>195</v>
          </cell>
          <cell r="E570">
            <v>51069</v>
          </cell>
          <cell r="F570">
            <v>131</v>
          </cell>
          <cell r="G570">
            <v>50098</v>
          </cell>
          <cell r="H570">
            <v>25</v>
          </cell>
          <cell r="I570">
            <v>50079</v>
          </cell>
          <cell r="J570">
            <v>25</v>
          </cell>
          <cell r="K570" t="str">
            <v/>
          </cell>
          <cell r="L570">
            <v>0</v>
          </cell>
          <cell r="M570">
            <v>132.60220994475139</v>
          </cell>
        </row>
        <row r="571">
          <cell r="B571">
            <v>190505</v>
          </cell>
          <cell r="C571" t="e">
            <v>#N/A</v>
          </cell>
          <cell r="D571" t="str">
            <v>195</v>
          </cell>
          <cell r="E571">
            <v>51069</v>
          </cell>
          <cell r="F571">
            <v>131</v>
          </cell>
          <cell r="G571">
            <v>50094</v>
          </cell>
          <cell r="H571">
            <v>25</v>
          </cell>
          <cell r="I571">
            <v>50101</v>
          </cell>
          <cell r="J571">
            <v>25</v>
          </cell>
          <cell r="K571" t="str">
            <v/>
          </cell>
          <cell r="L571">
            <v>0</v>
          </cell>
          <cell r="M571">
            <v>132.60220994475139</v>
          </cell>
        </row>
        <row r="572">
          <cell r="B572">
            <v>190508</v>
          </cell>
          <cell r="C572" t="e">
            <v>#N/A</v>
          </cell>
          <cell r="D572" t="str">
            <v>195</v>
          </cell>
          <cell r="E572">
            <v>52000</v>
          </cell>
          <cell r="F572">
            <v>3.09</v>
          </cell>
          <cell r="G572">
            <v>50122</v>
          </cell>
          <cell r="H572">
            <v>88</v>
          </cell>
          <cell r="I572">
            <v>50103</v>
          </cell>
          <cell r="J572">
            <v>15</v>
          </cell>
          <cell r="K572">
            <v>10469</v>
          </cell>
          <cell r="L572">
            <v>0</v>
          </cell>
          <cell r="M572">
            <v>276.69902912621359</v>
          </cell>
        </row>
        <row r="573">
          <cell r="B573">
            <v>200101</v>
          </cell>
          <cell r="C573" t="e">
            <v>#N/A</v>
          </cell>
          <cell r="D573" t="str">
            <v>201</v>
          </cell>
          <cell r="E573">
            <v>51070</v>
          </cell>
          <cell r="F573">
            <v>130</v>
          </cell>
          <cell r="G573">
            <v>50092</v>
          </cell>
          <cell r="H573">
            <v>25</v>
          </cell>
          <cell r="I573">
            <v>50145</v>
          </cell>
          <cell r="J573">
            <v>25</v>
          </cell>
          <cell r="K573" t="str">
            <v/>
          </cell>
          <cell r="L573">
            <v>0</v>
          </cell>
          <cell r="M573">
            <v>117.30555555555556</v>
          </cell>
        </row>
        <row r="574">
          <cell r="B574">
            <v>200102</v>
          </cell>
          <cell r="C574" t="e">
            <v>#N/A</v>
          </cell>
          <cell r="D574" t="str">
            <v>201</v>
          </cell>
          <cell r="E574">
            <v>51070</v>
          </cell>
          <cell r="F574">
            <v>130</v>
          </cell>
          <cell r="G574">
            <v>50100</v>
          </cell>
          <cell r="H574">
            <v>25</v>
          </cell>
          <cell r="I574">
            <v>50102</v>
          </cell>
          <cell r="J574">
            <v>25</v>
          </cell>
          <cell r="K574" t="str">
            <v/>
          </cell>
          <cell r="L574">
            <v>0</v>
          </cell>
          <cell r="M574">
            <v>144.38888888888889</v>
          </cell>
        </row>
        <row r="575">
          <cell r="B575">
            <v>200103</v>
          </cell>
          <cell r="C575" t="e">
            <v>#N/A</v>
          </cell>
          <cell r="D575" t="str">
            <v>201</v>
          </cell>
          <cell r="E575">
            <v>51070</v>
          </cell>
          <cell r="F575">
            <v>130</v>
          </cell>
          <cell r="G575">
            <v>50094</v>
          </cell>
          <cell r="H575">
            <v>25</v>
          </cell>
          <cell r="I575">
            <v>50094</v>
          </cell>
          <cell r="J575">
            <v>25</v>
          </cell>
          <cell r="K575" t="str">
            <v/>
          </cell>
          <cell r="L575">
            <v>0</v>
          </cell>
          <cell r="M575">
            <v>123.55555555555556</v>
          </cell>
        </row>
        <row r="576">
          <cell r="B576">
            <v>200104</v>
          </cell>
          <cell r="C576" t="e">
            <v>#N/A</v>
          </cell>
          <cell r="D576" t="str">
            <v>201</v>
          </cell>
          <cell r="E576">
            <v>51070</v>
          </cell>
          <cell r="F576">
            <v>130</v>
          </cell>
          <cell r="G576">
            <v>50097</v>
          </cell>
          <cell r="H576">
            <v>25</v>
          </cell>
          <cell r="I576">
            <v>50094</v>
          </cell>
          <cell r="J576">
            <v>25</v>
          </cell>
          <cell r="K576" t="str">
            <v/>
          </cell>
          <cell r="L576">
            <v>0</v>
          </cell>
          <cell r="M576">
            <v>133.97222222222223</v>
          </cell>
        </row>
        <row r="577">
          <cell r="B577">
            <v>200105</v>
          </cell>
          <cell r="C577" t="e">
            <v>#N/A</v>
          </cell>
          <cell r="D577" t="str">
            <v>201</v>
          </cell>
          <cell r="E577">
            <v>51070</v>
          </cell>
          <cell r="F577">
            <v>130</v>
          </cell>
          <cell r="G577">
            <v>50098</v>
          </cell>
          <cell r="H577">
            <v>25</v>
          </cell>
          <cell r="I577">
            <v>50099</v>
          </cell>
          <cell r="J577">
            <v>25</v>
          </cell>
          <cell r="K577" t="str">
            <v/>
          </cell>
          <cell r="L577">
            <v>0</v>
          </cell>
          <cell r="M577">
            <v>144.38888888888889</v>
          </cell>
        </row>
        <row r="578">
          <cell r="B578">
            <v>200108</v>
          </cell>
          <cell r="C578" t="e">
            <v>#N/A</v>
          </cell>
          <cell r="D578" t="str">
            <v>201</v>
          </cell>
          <cell r="E578">
            <v>52000</v>
          </cell>
          <cell r="F578">
            <v>3.09</v>
          </cell>
          <cell r="G578">
            <v>50122</v>
          </cell>
          <cell r="H578">
            <v>88</v>
          </cell>
          <cell r="I578">
            <v>50100</v>
          </cell>
          <cell r="J578">
            <v>15</v>
          </cell>
          <cell r="K578">
            <v>10501</v>
          </cell>
          <cell r="L578">
            <v>0</v>
          </cell>
          <cell r="M578">
            <v>276.69902912621359</v>
          </cell>
        </row>
        <row r="579">
          <cell r="B579">
            <v>200201</v>
          </cell>
          <cell r="C579" t="e">
            <v>#N/A</v>
          </cell>
          <cell r="D579" t="str">
            <v>202</v>
          </cell>
          <cell r="E579">
            <v>51070</v>
          </cell>
          <cell r="F579">
            <v>130</v>
          </cell>
          <cell r="G579">
            <v>50100</v>
          </cell>
          <cell r="H579">
            <v>25</v>
          </cell>
          <cell r="I579">
            <v>50092</v>
          </cell>
          <cell r="J579">
            <v>25</v>
          </cell>
          <cell r="K579" t="str">
            <v/>
          </cell>
          <cell r="L579">
            <v>0</v>
          </cell>
          <cell r="M579">
            <v>133.97222222222223</v>
          </cell>
        </row>
        <row r="580">
          <cell r="B580">
            <v>200202</v>
          </cell>
          <cell r="C580" t="e">
            <v>#N/A</v>
          </cell>
          <cell r="D580" t="str">
            <v>202</v>
          </cell>
          <cell r="E580">
            <v>51070</v>
          </cell>
          <cell r="F580">
            <v>130</v>
          </cell>
          <cell r="G580">
            <v>50135</v>
          </cell>
          <cell r="H580">
            <v>25</v>
          </cell>
          <cell r="I580">
            <v>50101</v>
          </cell>
          <cell r="J580">
            <v>25</v>
          </cell>
          <cell r="K580" t="str">
            <v/>
          </cell>
          <cell r="L580">
            <v>0</v>
          </cell>
          <cell r="M580">
            <v>133.97222222222223</v>
          </cell>
        </row>
        <row r="581">
          <cell r="B581">
            <v>200203</v>
          </cell>
          <cell r="C581" t="e">
            <v>#N/A</v>
          </cell>
          <cell r="D581" t="str">
            <v>202</v>
          </cell>
          <cell r="E581">
            <v>51070</v>
          </cell>
          <cell r="F581">
            <v>130</v>
          </cell>
          <cell r="G581">
            <v>50102</v>
          </cell>
          <cell r="H581">
            <v>25</v>
          </cell>
          <cell r="I581">
            <v>50092</v>
          </cell>
          <cell r="J581">
            <v>25</v>
          </cell>
          <cell r="K581" t="str">
            <v/>
          </cell>
          <cell r="L581">
            <v>0</v>
          </cell>
          <cell r="M581">
            <v>133.97222222222223</v>
          </cell>
        </row>
        <row r="582">
          <cell r="B582">
            <v>200204</v>
          </cell>
          <cell r="C582" t="e">
            <v>#N/A</v>
          </cell>
          <cell r="D582" t="str">
            <v>202</v>
          </cell>
          <cell r="E582">
            <v>51070</v>
          </cell>
          <cell r="F582">
            <v>130</v>
          </cell>
          <cell r="G582">
            <v>50078</v>
          </cell>
          <cell r="H582">
            <v>25</v>
          </cell>
          <cell r="I582">
            <v>50094</v>
          </cell>
          <cell r="J582">
            <v>25</v>
          </cell>
          <cell r="K582" t="str">
            <v/>
          </cell>
          <cell r="L582">
            <v>0</v>
          </cell>
          <cell r="M582">
            <v>123.55555555555556</v>
          </cell>
        </row>
        <row r="583">
          <cell r="B583">
            <v>200205</v>
          </cell>
          <cell r="C583" t="e">
            <v>#N/A</v>
          </cell>
          <cell r="D583" t="str">
            <v>202</v>
          </cell>
          <cell r="E583">
            <v>51070</v>
          </cell>
          <cell r="F583">
            <v>130</v>
          </cell>
          <cell r="G583">
            <v>50090</v>
          </cell>
          <cell r="H583">
            <v>25</v>
          </cell>
          <cell r="I583">
            <v>50079</v>
          </cell>
          <cell r="J583">
            <v>25</v>
          </cell>
          <cell r="K583" t="str">
            <v/>
          </cell>
          <cell r="L583">
            <v>0</v>
          </cell>
          <cell r="M583">
            <v>123.55555555555556</v>
          </cell>
        </row>
        <row r="584">
          <cell r="B584">
            <v>200208</v>
          </cell>
          <cell r="C584" t="e">
            <v>#N/A</v>
          </cell>
          <cell r="D584" t="str">
            <v>202</v>
          </cell>
          <cell r="E584">
            <v>52000</v>
          </cell>
          <cell r="F584">
            <v>3.09</v>
          </cell>
          <cell r="G584">
            <v>50122</v>
          </cell>
          <cell r="H584">
            <v>88</v>
          </cell>
          <cell r="I584">
            <v>50079</v>
          </cell>
          <cell r="J584">
            <v>15</v>
          </cell>
          <cell r="K584">
            <v>10533</v>
          </cell>
          <cell r="L584">
            <v>0</v>
          </cell>
          <cell r="M584">
            <v>266.09482514845882</v>
          </cell>
        </row>
        <row r="585">
          <cell r="B585">
            <v>200301</v>
          </cell>
          <cell r="C585" t="e">
            <v>#N/A</v>
          </cell>
          <cell r="D585" t="str">
            <v>203</v>
          </cell>
          <cell r="E585">
            <v>51071</v>
          </cell>
          <cell r="F585">
            <v>129</v>
          </cell>
          <cell r="G585">
            <v>50097</v>
          </cell>
          <cell r="H585">
            <v>25</v>
          </cell>
          <cell r="I585">
            <v>50098</v>
          </cell>
          <cell r="J585">
            <v>25</v>
          </cell>
          <cell r="K585" t="str">
            <v/>
          </cell>
          <cell r="L585">
            <v>0</v>
          </cell>
          <cell r="M585">
            <v>145.81005586592178</v>
          </cell>
        </row>
        <row r="586">
          <cell r="B586">
            <v>200302</v>
          </cell>
          <cell r="C586" t="e">
            <v>#N/A</v>
          </cell>
          <cell r="D586" t="str">
            <v>203</v>
          </cell>
          <cell r="E586">
            <v>51071</v>
          </cell>
          <cell r="F586">
            <v>129</v>
          </cell>
          <cell r="G586">
            <v>50157</v>
          </cell>
          <cell r="H586">
            <v>25</v>
          </cell>
          <cell r="I586">
            <v>50097</v>
          </cell>
          <cell r="J586">
            <v>25</v>
          </cell>
          <cell r="K586" t="str">
            <v/>
          </cell>
          <cell r="L586">
            <v>0</v>
          </cell>
          <cell r="M586">
            <v>129.05027932960894</v>
          </cell>
        </row>
        <row r="587">
          <cell r="B587">
            <v>200303</v>
          </cell>
          <cell r="C587" t="e">
            <v>#N/A</v>
          </cell>
          <cell r="D587" t="str">
            <v>203</v>
          </cell>
          <cell r="E587">
            <v>51071</v>
          </cell>
          <cell r="F587">
            <v>129</v>
          </cell>
          <cell r="G587">
            <v>50096</v>
          </cell>
          <cell r="H587">
            <v>25</v>
          </cell>
          <cell r="I587">
            <v>50096</v>
          </cell>
          <cell r="J587">
            <v>25</v>
          </cell>
          <cell r="K587" t="str">
            <v/>
          </cell>
          <cell r="L587">
            <v>0</v>
          </cell>
          <cell r="M587">
            <v>124.86033519553072</v>
          </cell>
        </row>
        <row r="588">
          <cell r="B588">
            <v>200304</v>
          </cell>
          <cell r="C588" t="e">
            <v>#N/A</v>
          </cell>
          <cell r="D588" t="str">
            <v>203</v>
          </cell>
          <cell r="E588">
            <v>51071</v>
          </cell>
          <cell r="F588">
            <v>129</v>
          </cell>
          <cell r="G588">
            <v>50091</v>
          </cell>
          <cell r="H588">
            <v>25</v>
          </cell>
          <cell r="I588">
            <v>50157</v>
          </cell>
          <cell r="J588">
            <v>25</v>
          </cell>
          <cell r="K588" t="str">
            <v/>
          </cell>
          <cell r="L588">
            <v>0</v>
          </cell>
          <cell r="M588">
            <v>118.57541899441341</v>
          </cell>
        </row>
        <row r="589">
          <cell r="B589">
            <v>200305</v>
          </cell>
          <cell r="C589" t="e">
            <v>#N/A</v>
          </cell>
          <cell r="D589" t="str">
            <v>203</v>
          </cell>
          <cell r="E589">
            <v>51071</v>
          </cell>
          <cell r="F589">
            <v>129</v>
          </cell>
          <cell r="G589">
            <v>50098</v>
          </cell>
          <cell r="H589">
            <v>25</v>
          </cell>
          <cell r="I589">
            <v>50157</v>
          </cell>
          <cell r="J589">
            <v>25</v>
          </cell>
          <cell r="K589" t="str">
            <v/>
          </cell>
          <cell r="L589">
            <v>0</v>
          </cell>
          <cell r="M589">
            <v>129.05027932960894</v>
          </cell>
        </row>
        <row r="590">
          <cell r="B590">
            <v>200308</v>
          </cell>
          <cell r="C590" t="e">
            <v>#N/A</v>
          </cell>
          <cell r="D590" t="str">
            <v>203</v>
          </cell>
          <cell r="E590">
            <v>52000</v>
          </cell>
          <cell r="F590">
            <v>3.09</v>
          </cell>
          <cell r="G590">
            <v>50122</v>
          </cell>
          <cell r="H590">
            <v>88</v>
          </cell>
          <cell r="I590">
            <v>50119</v>
          </cell>
          <cell r="J590">
            <v>15</v>
          </cell>
          <cell r="K590">
            <v>10565</v>
          </cell>
          <cell r="L590">
            <v>0</v>
          </cell>
          <cell r="M590">
            <v>259.73230276180601</v>
          </cell>
        </row>
        <row r="591">
          <cell r="B591">
            <v>200401</v>
          </cell>
          <cell r="C591" t="e">
            <v>#N/A</v>
          </cell>
          <cell r="D591" t="str">
            <v>204</v>
          </cell>
          <cell r="E591">
            <v>51072</v>
          </cell>
          <cell r="F591">
            <v>128</v>
          </cell>
          <cell r="G591">
            <v>50135</v>
          </cell>
          <cell r="H591">
            <v>25</v>
          </cell>
          <cell r="I591">
            <v>50090</v>
          </cell>
          <cell r="J591">
            <v>25</v>
          </cell>
          <cell r="K591" t="str">
            <v/>
          </cell>
          <cell r="L591">
            <v>0</v>
          </cell>
          <cell r="M591">
            <v>126.15730337078652</v>
          </cell>
        </row>
        <row r="592">
          <cell r="B592">
            <v>200402</v>
          </cell>
          <cell r="C592" t="e">
            <v>#N/A</v>
          </cell>
          <cell r="D592" t="str">
            <v>204</v>
          </cell>
          <cell r="E592">
            <v>51072</v>
          </cell>
          <cell r="F592">
            <v>128</v>
          </cell>
          <cell r="G592">
            <v>50092</v>
          </cell>
          <cell r="H592">
            <v>25</v>
          </cell>
          <cell r="I592">
            <v>50095</v>
          </cell>
          <cell r="J592">
            <v>25</v>
          </cell>
          <cell r="K592" t="str">
            <v/>
          </cell>
          <cell r="L592">
            <v>0</v>
          </cell>
          <cell r="M592">
            <v>126.15730337078652</v>
          </cell>
        </row>
        <row r="593">
          <cell r="B593">
            <v>200403</v>
          </cell>
          <cell r="C593" t="e">
            <v>#N/A</v>
          </cell>
          <cell r="D593" t="str">
            <v>204</v>
          </cell>
          <cell r="E593">
            <v>51072</v>
          </cell>
          <cell r="F593">
            <v>128</v>
          </cell>
          <cell r="G593">
            <v>50097</v>
          </cell>
          <cell r="H593">
            <v>25</v>
          </cell>
          <cell r="I593">
            <v>50092</v>
          </cell>
          <cell r="J593">
            <v>25</v>
          </cell>
          <cell r="K593" t="str">
            <v/>
          </cell>
          <cell r="L593">
            <v>0</v>
          </cell>
          <cell r="M593">
            <v>136.69101123595505</v>
          </cell>
        </row>
        <row r="594">
          <cell r="B594">
            <v>200404</v>
          </cell>
          <cell r="C594" t="e">
            <v>#N/A</v>
          </cell>
          <cell r="D594" t="str">
            <v>204</v>
          </cell>
          <cell r="E594">
            <v>51072</v>
          </cell>
          <cell r="F594">
            <v>128</v>
          </cell>
          <cell r="G594">
            <v>50091</v>
          </cell>
          <cell r="H594">
            <v>25</v>
          </cell>
          <cell r="I594">
            <v>50145</v>
          </cell>
          <cell r="J594">
            <v>25</v>
          </cell>
          <cell r="K594" t="str">
            <v/>
          </cell>
          <cell r="L594">
            <v>0</v>
          </cell>
          <cell r="M594">
            <v>119.83707865168539</v>
          </cell>
        </row>
        <row r="595">
          <cell r="B595">
            <v>200405</v>
          </cell>
          <cell r="C595" t="e">
            <v>#N/A</v>
          </cell>
          <cell r="D595" t="str">
            <v>204</v>
          </cell>
          <cell r="E595">
            <v>51072</v>
          </cell>
          <cell r="F595">
            <v>128</v>
          </cell>
          <cell r="G595">
            <v>50157</v>
          </cell>
          <cell r="H595">
            <v>25</v>
          </cell>
          <cell r="I595">
            <v>50100</v>
          </cell>
          <cell r="J595">
            <v>25</v>
          </cell>
          <cell r="K595" t="str">
            <v/>
          </cell>
          <cell r="L595">
            <v>0</v>
          </cell>
          <cell r="M595">
            <v>130.37078651685394</v>
          </cell>
        </row>
        <row r="596">
          <cell r="B596">
            <v>200408</v>
          </cell>
          <cell r="C596" t="e">
            <v>#N/A</v>
          </cell>
          <cell r="D596" t="str">
            <v>204</v>
          </cell>
          <cell r="E596">
            <v>52000</v>
          </cell>
          <cell r="F596">
            <v>3.09</v>
          </cell>
          <cell r="G596">
            <v>50122</v>
          </cell>
          <cell r="H596">
            <v>88</v>
          </cell>
          <cell r="I596">
            <v>50091</v>
          </cell>
          <cell r="J596">
            <v>15</v>
          </cell>
          <cell r="K596">
            <v>10597</v>
          </cell>
          <cell r="L596">
            <v>0</v>
          </cell>
          <cell r="M596">
            <v>266.09482514845882</v>
          </cell>
        </row>
        <row r="597">
          <cell r="B597">
            <v>200501</v>
          </cell>
          <cell r="C597" t="e">
            <v>#N/A</v>
          </cell>
          <cell r="D597" t="str">
            <v>205</v>
          </cell>
          <cell r="E597">
            <v>51072</v>
          </cell>
          <cell r="F597">
            <v>128</v>
          </cell>
          <cell r="G597">
            <v>50078</v>
          </cell>
          <cell r="H597">
            <v>25</v>
          </cell>
          <cell r="I597">
            <v>50102</v>
          </cell>
          <cell r="J597">
            <v>25</v>
          </cell>
          <cell r="K597" t="str">
            <v/>
          </cell>
          <cell r="L597">
            <v>0</v>
          </cell>
          <cell r="M597">
            <v>136.69101123595505</v>
          </cell>
        </row>
        <row r="598">
          <cell r="B598">
            <v>200502</v>
          </cell>
          <cell r="C598" t="e">
            <v>#N/A</v>
          </cell>
          <cell r="D598" t="str">
            <v>205</v>
          </cell>
          <cell r="E598">
            <v>51072</v>
          </cell>
          <cell r="F598">
            <v>128</v>
          </cell>
          <cell r="G598">
            <v>50100</v>
          </cell>
          <cell r="H598">
            <v>25</v>
          </cell>
          <cell r="I598">
            <v>50157</v>
          </cell>
          <cell r="J598">
            <v>25</v>
          </cell>
          <cell r="K598" t="str">
            <v/>
          </cell>
          <cell r="L598">
            <v>0</v>
          </cell>
          <cell r="M598">
            <v>130.37078651685394</v>
          </cell>
        </row>
        <row r="599">
          <cell r="B599">
            <v>200503</v>
          </cell>
          <cell r="C599" t="e">
            <v>#N/A</v>
          </cell>
          <cell r="D599" t="str">
            <v>205</v>
          </cell>
          <cell r="E599">
            <v>51072</v>
          </cell>
          <cell r="F599">
            <v>128</v>
          </cell>
          <cell r="G599">
            <v>50079</v>
          </cell>
          <cell r="H599">
            <v>25</v>
          </cell>
          <cell r="I599">
            <v>50091</v>
          </cell>
          <cell r="J599">
            <v>25</v>
          </cell>
          <cell r="K599" t="str">
            <v/>
          </cell>
          <cell r="L599">
            <v>0</v>
          </cell>
          <cell r="M599">
            <v>126.15730337078652</v>
          </cell>
        </row>
        <row r="600">
          <cell r="B600">
            <v>200504</v>
          </cell>
          <cell r="C600" t="e">
            <v>#N/A</v>
          </cell>
          <cell r="D600" t="str">
            <v>205</v>
          </cell>
          <cell r="E600">
            <v>51072</v>
          </cell>
          <cell r="F600">
            <v>128</v>
          </cell>
          <cell r="G600">
            <v>50097</v>
          </cell>
          <cell r="H600">
            <v>25</v>
          </cell>
          <cell r="I600">
            <v>50157</v>
          </cell>
          <cell r="J600">
            <v>25</v>
          </cell>
          <cell r="K600" t="str">
            <v/>
          </cell>
          <cell r="L600">
            <v>0</v>
          </cell>
          <cell r="M600">
            <v>130.37078651685394</v>
          </cell>
        </row>
        <row r="601">
          <cell r="B601">
            <v>200505</v>
          </cell>
          <cell r="C601" t="e">
            <v>#N/A</v>
          </cell>
          <cell r="D601" t="str">
            <v>205</v>
          </cell>
          <cell r="E601">
            <v>51072</v>
          </cell>
          <cell r="F601">
            <v>128</v>
          </cell>
          <cell r="G601">
            <v>50098</v>
          </cell>
          <cell r="H601">
            <v>25</v>
          </cell>
          <cell r="I601">
            <v>50103</v>
          </cell>
          <cell r="J601">
            <v>25</v>
          </cell>
          <cell r="K601" t="str">
            <v/>
          </cell>
          <cell r="L601">
            <v>0</v>
          </cell>
          <cell r="M601">
            <v>147.22471910112358</v>
          </cell>
        </row>
        <row r="602">
          <cell r="B602">
            <v>200508</v>
          </cell>
          <cell r="C602" t="e">
            <v>#N/A</v>
          </cell>
          <cell r="D602" t="str">
            <v>205</v>
          </cell>
          <cell r="E602">
            <v>52000</v>
          </cell>
          <cell r="F602">
            <v>3.09</v>
          </cell>
          <cell r="G602">
            <v>50122</v>
          </cell>
          <cell r="H602">
            <v>88</v>
          </cell>
          <cell r="I602">
            <v>50095</v>
          </cell>
          <cell r="J602">
            <v>15</v>
          </cell>
          <cell r="K602">
            <v>10629</v>
          </cell>
          <cell r="L602">
            <v>0</v>
          </cell>
          <cell r="M602">
            <v>266.09482514845882</v>
          </cell>
        </row>
        <row r="603">
          <cell r="B603">
            <v>210101</v>
          </cell>
          <cell r="C603" t="e">
            <v>#N/A</v>
          </cell>
          <cell r="D603" t="str">
            <v>211</v>
          </cell>
          <cell r="E603">
            <v>51073</v>
          </cell>
          <cell r="F603">
            <v>127</v>
          </cell>
          <cell r="G603">
            <v>50094</v>
          </cell>
          <cell r="H603">
            <v>25</v>
          </cell>
          <cell r="I603">
            <v>50096</v>
          </cell>
          <cell r="J603">
            <v>25</v>
          </cell>
          <cell r="K603" t="str">
            <v/>
          </cell>
          <cell r="L603">
            <v>0</v>
          </cell>
          <cell r="M603">
            <v>127.44632768361582</v>
          </cell>
        </row>
        <row r="604">
          <cell r="B604">
            <v>210102</v>
          </cell>
          <cell r="C604" t="e">
            <v>#N/A</v>
          </cell>
          <cell r="D604" t="str">
            <v>211</v>
          </cell>
          <cell r="E604">
            <v>51073</v>
          </cell>
          <cell r="F604">
            <v>127</v>
          </cell>
          <cell r="G604">
            <v>50101</v>
          </cell>
          <cell r="H604">
            <v>25</v>
          </cell>
          <cell r="I604">
            <v>50157</v>
          </cell>
          <cell r="J604">
            <v>25</v>
          </cell>
          <cell r="K604" t="str">
            <v/>
          </cell>
          <cell r="L604">
            <v>0</v>
          </cell>
          <cell r="M604">
            <v>131.68361581920905</v>
          </cell>
        </row>
        <row r="605">
          <cell r="B605">
            <v>210103</v>
          </cell>
          <cell r="C605" t="e">
            <v>#N/A</v>
          </cell>
          <cell r="D605" t="str">
            <v>211</v>
          </cell>
          <cell r="E605">
            <v>51073</v>
          </cell>
          <cell r="F605">
            <v>127</v>
          </cell>
          <cell r="G605">
            <v>50145</v>
          </cell>
          <cell r="H605">
            <v>25</v>
          </cell>
          <cell r="I605">
            <v>50135</v>
          </cell>
          <cell r="J605">
            <v>25</v>
          </cell>
          <cell r="K605" t="str">
            <v/>
          </cell>
          <cell r="L605">
            <v>0</v>
          </cell>
          <cell r="M605">
            <v>121.09039548022599</v>
          </cell>
        </row>
        <row r="606">
          <cell r="B606">
            <v>210104</v>
          </cell>
          <cell r="C606" t="e">
            <v>#N/A</v>
          </cell>
          <cell r="D606" t="str">
            <v>211</v>
          </cell>
          <cell r="E606">
            <v>51073</v>
          </cell>
          <cell r="F606">
            <v>127</v>
          </cell>
          <cell r="G606">
            <v>50097</v>
          </cell>
          <cell r="H606">
            <v>25</v>
          </cell>
          <cell r="I606">
            <v>50079</v>
          </cell>
          <cell r="J606">
            <v>25</v>
          </cell>
          <cell r="K606" t="str">
            <v/>
          </cell>
          <cell r="L606">
            <v>0</v>
          </cell>
          <cell r="M606">
            <v>138.03954802259886</v>
          </cell>
        </row>
        <row r="607">
          <cell r="B607">
            <v>210105</v>
          </cell>
          <cell r="C607" t="e">
            <v>#N/A</v>
          </cell>
          <cell r="D607" t="str">
            <v>211</v>
          </cell>
          <cell r="E607">
            <v>51073</v>
          </cell>
          <cell r="F607">
            <v>127</v>
          </cell>
          <cell r="G607">
            <v>50157</v>
          </cell>
          <cell r="H607">
            <v>25</v>
          </cell>
          <cell r="I607">
            <v>50093</v>
          </cell>
          <cell r="J607">
            <v>25</v>
          </cell>
          <cell r="K607" t="str">
            <v/>
          </cell>
          <cell r="L607">
            <v>0</v>
          </cell>
          <cell r="M607">
            <v>121.09039548022599</v>
          </cell>
        </row>
        <row r="608">
          <cell r="B608">
            <v>210108</v>
          </cell>
          <cell r="C608" t="e">
            <v>#N/A</v>
          </cell>
          <cell r="D608" t="str">
            <v>211</v>
          </cell>
          <cell r="E608">
            <v>52000</v>
          </cell>
          <cell r="F608">
            <v>3.09</v>
          </cell>
          <cell r="G608">
            <v>50122</v>
          </cell>
          <cell r="H608">
            <v>88</v>
          </cell>
          <cell r="I608">
            <v>50145</v>
          </cell>
          <cell r="J608">
            <v>15</v>
          </cell>
          <cell r="K608">
            <v>10022</v>
          </cell>
          <cell r="L608">
            <v>0</v>
          </cell>
          <cell r="M608">
            <v>259.73230276180601</v>
          </cell>
        </row>
        <row r="609">
          <cell r="B609">
            <v>210201</v>
          </cell>
          <cell r="C609" t="e">
            <v>#N/A</v>
          </cell>
          <cell r="D609" t="str">
            <v>212</v>
          </cell>
          <cell r="E609">
            <v>51074</v>
          </cell>
          <cell r="F609">
            <v>126</v>
          </cell>
          <cell r="G609">
            <v>50119</v>
          </cell>
          <cell r="H609">
            <v>25</v>
          </cell>
          <cell r="I609">
            <v>50119</v>
          </cell>
          <cell r="J609">
            <v>25</v>
          </cell>
          <cell r="K609" t="str">
            <v/>
          </cell>
          <cell r="L609">
            <v>0</v>
          </cell>
          <cell r="M609">
            <v>115.94318181818181</v>
          </cell>
        </row>
        <row r="610">
          <cell r="B610">
            <v>210202</v>
          </cell>
          <cell r="C610" t="e">
            <v>#N/A</v>
          </cell>
          <cell r="D610" t="str">
            <v>212</v>
          </cell>
          <cell r="E610">
            <v>51074</v>
          </cell>
          <cell r="F610">
            <v>126</v>
          </cell>
          <cell r="G610">
            <v>50094</v>
          </cell>
          <cell r="H610">
            <v>25</v>
          </cell>
          <cell r="I610">
            <v>50119</v>
          </cell>
          <cell r="J610">
            <v>25</v>
          </cell>
          <cell r="K610" t="str">
            <v/>
          </cell>
          <cell r="L610">
            <v>0</v>
          </cell>
          <cell r="M610">
            <v>122.33522727272727</v>
          </cell>
        </row>
        <row r="611">
          <cell r="B611">
            <v>210203</v>
          </cell>
          <cell r="C611" t="e">
            <v>#N/A</v>
          </cell>
          <cell r="D611" t="str">
            <v>212</v>
          </cell>
          <cell r="E611">
            <v>51074</v>
          </cell>
          <cell r="F611">
            <v>126</v>
          </cell>
          <cell r="G611">
            <v>50103</v>
          </cell>
          <cell r="H611">
            <v>25</v>
          </cell>
          <cell r="I611">
            <v>50093</v>
          </cell>
          <cell r="J611">
            <v>25</v>
          </cell>
          <cell r="K611" t="str">
            <v/>
          </cell>
          <cell r="L611">
            <v>0</v>
          </cell>
          <cell r="M611">
            <v>139.38068181818181</v>
          </cell>
        </row>
        <row r="612">
          <cell r="B612">
            <v>210204</v>
          </cell>
          <cell r="C612" t="e">
            <v>#N/A</v>
          </cell>
          <cell r="D612" t="str">
            <v>212</v>
          </cell>
          <cell r="E612">
            <v>51074</v>
          </cell>
          <cell r="F612">
            <v>126</v>
          </cell>
          <cell r="G612">
            <v>50157</v>
          </cell>
          <cell r="H612">
            <v>25</v>
          </cell>
          <cell r="I612">
            <v>50101</v>
          </cell>
          <cell r="J612">
            <v>25</v>
          </cell>
          <cell r="K612" t="str">
            <v/>
          </cell>
          <cell r="L612">
            <v>0</v>
          </cell>
          <cell r="M612">
            <v>132.98863636363637</v>
          </cell>
        </row>
        <row r="613">
          <cell r="B613">
            <v>210205</v>
          </cell>
          <cell r="C613" t="e">
            <v>#N/A</v>
          </cell>
          <cell r="D613" t="str">
            <v>212</v>
          </cell>
          <cell r="E613">
            <v>51074</v>
          </cell>
          <cell r="F613">
            <v>126</v>
          </cell>
          <cell r="G613">
            <v>50095</v>
          </cell>
          <cell r="H613">
            <v>25</v>
          </cell>
          <cell r="I613">
            <v>50098</v>
          </cell>
          <cell r="J613">
            <v>25</v>
          </cell>
          <cell r="K613" t="str">
            <v/>
          </cell>
          <cell r="L613">
            <v>0</v>
          </cell>
          <cell r="M613">
            <v>139.38068181818181</v>
          </cell>
        </row>
        <row r="614">
          <cell r="B614">
            <v>210208</v>
          </cell>
          <cell r="C614" t="e">
            <v>#N/A</v>
          </cell>
          <cell r="D614" t="str">
            <v>212</v>
          </cell>
          <cell r="E614">
            <v>52000</v>
          </cell>
          <cell r="F614">
            <v>3.09</v>
          </cell>
          <cell r="G614">
            <v>50122</v>
          </cell>
          <cell r="H614">
            <v>88</v>
          </cell>
          <cell r="I614">
            <v>50135</v>
          </cell>
          <cell r="J614">
            <v>15</v>
          </cell>
          <cell r="K614">
            <v>10054</v>
          </cell>
          <cell r="L614">
            <v>0</v>
          </cell>
          <cell r="M614">
            <v>266.09482514845882</v>
          </cell>
        </row>
        <row r="615">
          <cell r="B615">
            <v>210301</v>
          </cell>
          <cell r="C615" t="e">
            <v>#N/A</v>
          </cell>
          <cell r="D615" t="str">
            <v>213</v>
          </cell>
          <cell r="E615">
            <v>51074</v>
          </cell>
          <cell r="F615">
            <v>126</v>
          </cell>
          <cell r="G615">
            <v>50101</v>
          </cell>
          <cell r="H615">
            <v>25</v>
          </cell>
          <cell r="I615">
            <v>50090</v>
          </cell>
          <cell r="J615">
            <v>25</v>
          </cell>
          <cell r="K615" t="str">
            <v/>
          </cell>
          <cell r="L615">
            <v>0</v>
          </cell>
          <cell r="M615">
            <v>139.38068181818181</v>
          </cell>
        </row>
        <row r="616">
          <cell r="B616">
            <v>210302</v>
          </cell>
          <cell r="C616" t="e">
            <v>#N/A</v>
          </cell>
          <cell r="D616" t="str">
            <v>213</v>
          </cell>
          <cell r="E616">
            <v>51074</v>
          </cell>
          <cell r="F616">
            <v>126</v>
          </cell>
          <cell r="G616">
            <v>50079</v>
          </cell>
          <cell r="H616">
            <v>25</v>
          </cell>
          <cell r="I616">
            <v>50090</v>
          </cell>
          <cell r="J616">
            <v>25</v>
          </cell>
          <cell r="K616" t="str">
            <v/>
          </cell>
          <cell r="L616">
            <v>0</v>
          </cell>
          <cell r="M616">
            <v>128.72727272727272</v>
          </cell>
        </row>
        <row r="617">
          <cell r="B617">
            <v>210303</v>
          </cell>
          <cell r="C617" t="e">
            <v>#N/A</v>
          </cell>
          <cell r="D617" t="str">
            <v>213</v>
          </cell>
          <cell r="E617">
            <v>51074</v>
          </cell>
          <cell r="F617">
            <v>126</v>
          </cell>
          <cell r="G617">
            <v>50098</v>
          </cell>
          <cell r="H617">
            <v>25</v>
          </cell>
          <cell r="I617">
            <v>50096</v>
          </cell>
          <cell r="J617">
            <v>25</v>
          </cell>
          <cell r="K617" t="str">
            <v/>
          </cell>
          <cell r="L617">
            <v>0</v>
          </cell>
          <cell r="M617">
            <v>139.38068181818181</v>
          </cell>
        </row>
        <row r="618">
          <cell r="B618">
            <v>210304</v>
          </cell>
          <cell r="C618" t="e">
            <v>#N/A</v>
          </cell>
          <cell r="D618" t="str">
            <v>213</v>
          </cell>
          <cell r="E618">
            <v>51074</v>
          </cell>
          <cell r="F618">
            <v>126</v>
          </cell>
          <cell r="G618">
            <v>50102</v>
          </cell>
          <cell r="H618">
            <v>25</v>
          </cell>
          <cell r="I618">
            <v>50093</v>
          </cell>
          <cell r="J618">
            <v>25</v>
          </cell>
          <cell r="K618" t="str">
            <v/>
          </cell>
          <cell r="L618">
            <v>0</v>
          </cell>
          <cell r="M618">
            <v>139.38068181818181</v>
          </cell>
        </row>
        <row r="619">
          <cell r="B619">
            <v>210305</v>
          </cell>
          <cell r="C619" t="e">
            <v>#N/A</v>
          </cell>
          <cell r="D619" t="str">
            <v>213</v>
          </cell>
          <cell r="E619">
            <v>51074</v>
          </cell>
          <cell r="F619">
            <v>126</v>
          </cell>
          <cell r="G619">
            <v>50097</v>
          </cell>
          <cell r="H619">
            <v>25</v>
          </cell>
          <cell r="I619">
            <v>50100</v>
          </cell>
          <cell r="J619">
            <v>25</v>
          </cell>
          <cell r="K619" t="str">
            <v/>
          </cell>
          <cell r="L619">
            <v>0</v>
          </cell>
          <cell r="M619">
            <v>150.03409090909091</v>
          </cell>
        </row>
        <row r="620">
          <cell r="B620">
            <v>210308</v>
          </cell>
          <cell r="C620" t="e">
            <v>#N/A</v>
          </cell>
          <cell r="D620" t="str">
            <v>213</v>
          </cell>
          <cell r="E620">
            <v>52000</v>
          </cell>
          <cell r="F620">
            <v>3.09</v>
          </cell>
          <cell r="G620">
            <v>50122</v>
          </cell>
          <cell r="H620">
            <v>88</v>
          </cell>
          <cell r="I620">
            <v>50157</v>
          </cell>
          <cell r="J620">
            <v>15</v>
          </cell>
          <cell r="K620">
            <v>10086</v>
          </cell>
          <cell r="L620">
            <v>0</v>
          </cell>
          <cell r="M620">
            <v>259.73230276180601</v>
          </cell>
        </row>
        <row r="621">
          <cell r="B621">
            <v>210401</v>
          </cell>
          <cell r="C621" t="e">
            <v>#N/A</v>
          </cell>
          <cell r="D621" t="str">
            <v>214</v>
          </cell>
          <cell r="E621">
            <v>51075</v>
          </cell>
          <cell r="F621">
            <v>125</v>
          </cell>
          <cell r="G621">
            <v>50094</v>
          </cell>
          <cell r="H621">
            <v>25</v>
          </cell>
          <cell r="I621">
            <v>50093</v>
          </cell>
          <cell r="J621">
            <v>25</v>
          </cell>
          <cell r="K621" t="str">
            <v/>
          </cell>
          <cell r="L621">
            <v>0</v>
          </cell>
          <cell r="M621">
            <v>130</v>
          </cell>
        </row>
        <row r="622">
          <cell r="B622">
            <v>210402</v>
          </cell>
          <cell r="C622" t="e">
            <v>#N/A</v>
          </cell>
          <cell r="D622" t="str">
            <v>214</v>
          </cell>
          <cell r="E622">
            <v>51075</v>
          </cell>
          <cell r="F622">
            <v>125</v>
          </cell>
          <cell r="G622">
            <v>50078</v>
          </cell>
          <cell r="H622">
            <v>25</v>
          </cell>
          <cell r="I622">
            <v>50099</v>
          </cell>
          <cell r="J622">
            <v>25</v>
          </cell>
          <cell r="K622" t="str">
            <v/>
          </cell>
          <cell r="L622">
            <v>0</v>
          </cell>
          <cell r="M622">
            <v>140.71428571428572</v>
          </cell>
        </row>
        <row r="623">
          <cell r="B623">
            <v>210403</v>
          </cell>
          <cell r="C623" t="e">
            <v>#N/A</v>
          </cell>
          <cell r="D623" t="str">
            <v>214</v>
          </cell>
          <cell r="E623">
            <v>51075</v>
          </cell>
          <cell r="F623">
            <v>125</v>
          </cell>
          <cell r="G623">
            <v>50103</v>
          </cell>
          <cell r="H623">
            <v>25</v>
          </cell>
          <cell r="I623">
            <v>50135</v>
          </cell>
          <cell r="J623">
            <v>25</v>
          </cell>
          <cell r="K623" t="str">
            <v/>
          </cell>
          <cell r="L623">
            <v>0</v>
          </cell>
          <cell r="M623">
            <v>140.71428571428572</v>
          </cell>
        </row>
        <row r="624">
          <cell r="B624">
            <v>210404</v>
          </cell>
          <cell r="C624" t="e">
            <v>#N/A</v>
          </cell>
          <cell r="D624" t="str">
            <v>214</v>
          </cell>
          <cell r="E624">
            <v>51075</v>
          </cell>
          <cell r="F624">
            <v>125</v>
          </cell>
          <cell r="G624">
            <v>50079</v>
          </cell>
          <cell r="H624">
            <v>25</v>
          </cell>
          <cell r="I624">
            <v>50100</v>
          </cell>
          <cell r="J624">
            <v>25</v>
          </cell>
          <cell r="K624" t="str">
            <v/>
          </cell>
          <cell r="L624">
            <v>0</v>
          </cell>
          <cell r="M624">
            <v>140.71428571428572</v>
          </cell>
        </row>
        <row r="625">
          <cell r="B625">
            <v>210405</v>
          </cell>
          <cell r="C625" t="e">
            <v>#N/A</v>
          </cell>
          <cell r="D625" t="str">
            <v>214</v>
          </cell>
          <cell r="E625">
            <v>51075</v>
          </cell>
          <cell r="F625">
            <v>125</v>
          </cell>
          <cell r="G625">
            <v>50099</v>
          </cell>
          <cell r="H625">
            <v>25</v>
          </cell>
          <cell r="I625">
            <v>50099</v>
          </cell>
          <cell r="J625">
            <v>25</v>
          </cell>
          <cell r="K625" t="str">
            <v/>
          </cell>
          <cell r="L625">
            <v>0</v>
          </cell>
          <cell r="M625">
            <v>151.42857142857142</v>
          </cell>
        </row>
        <row r="626">
          <cell r="B626">
            <v>210408</v>
          </cell>
          <cell r="C626" t="e">
            <v>#N/A</v>
          </cell>
          <cell r="D626" t="str">
            <v>214</v>
          </cell>
          <cell r="E626">
            <v>52000</v>
          </cell>
          <cell r="F626">
            <v>3.09</v>
          </cell>
          <cell r="G626">
            <v>50122</v>
          </cell>
          <cell r="H626">
            <v>88</v>
          </cell>
          <cell r="I626">
            <v>50091</v>
          </cell>
          <cell r="J626">
            <v>15</v>
          </cell>
          <cell r="K626">
            <v>10118</v>
          </cell>
          <cell r="L626">
            <v>0</v>
          </cell>
          <cell r="M626">
            <v>266.09482514845882</v>
          </cell>
        </row>
        <row r="627">
          <cell r="B627">
            <v>210501</v>
          </cell>
          <cell r="C627" t="e">
            <v>#N/A</v>
          </cell>
          <cell r="D627" t="str">
            <v>215</v>
          </cell>
          <cell r="E627">
            <v>51076</v>
          </cell>
          <cell r="F627">
            <v>124</v>
          </cell>
          <cell r="G627">
            <v>50157</v>
          </cell>
          <cell r="H627">
            <v>25</v>
          </cell>
          <cell r="I627">
            <v>50102</v>
          </cell>
          <cell r="J627">
            <v>25</v>
          </cell>
          <cell r="K627" t="str">
            <v/>
          </cell>
          <cell r="L627">
            <v>0</v>
          </cell>
          <cell r="M627">
            <v>135.57471264367817</v>
          </cell>
        </row>
        <row r="628">
          <cell r="B628">
            <v>210502</v>
          </cell>
          <cell r="C628" t="e">
            <v>#N/A</v>
          </cell>
          <cell r="D628" t="str">
            <v>215</v>
          </cell>
          <cell r="E628">
            <v>51076</v>
          </cell>
          <cell r="F628">
            <v>124</v>
          </cell>
          <cell r="G628">
            <v>50079</v>
          </cell>
          <cell r="H628">
            <v>25</v>
          </cell>
          <cell r="I628">
            <v>50095</v>
          </cell>
          <cell r="J628">
            <v>25</v>
          </cell>
          <cell r="K628" t="str">
            <v/>
          </cell>
          <cell r="L628">
            <v>0</v>
          </cell>
          <cell r="M628">
            <v>131.26436781609195</v>
          </cell>
        </row>
        <row r="629">
          <cell r="B629">
            <v>210503</v>
          </cell>
          <cell r="C629" t="e">
            <v>#N/A</v>
          </cell>
          <cell r="D629" t="str">
            <v>215</v>
          </cell>
          <cell r="E629">
            <v>51076</v>
          </cell>
          <cell r="F629">
            <v>124</v>
          </cell>
          <cell r="G629">
            <v>50091</v>
          </cell>
          <cell r="H629">
            <v>25</v>
          </cell>
          <cell r="I629">
            <v>50096</v>
          </cell>
          <cell r="J629">
            <v>25</v>
          </cell>
          <cell r="K629" t="str">
            <v/>
          </cell>
          <cell r="L629">
            <v>0</v>
          </cell>
          <cell r="M629">
            <v>131.26436781609195</v>
          </cell>
        </row>
        <row r="630">
          <cell r="B630">
            <v>210504</v>
          </cell>
          <cell r="C630" t="e">
            <v>#N/A</v>
          </cell>
          <cell r="D630" t="str">
            <v>215</v>
          </cell>
          <cell r="E630">
            <v>51076</v>
          </cell>
          <cell r="F630">
            <v>124</v>
          </cell>
          <cell r="G630">
            <v>50145</v>
          </cell>
          <cell r="H630">
            <v>25</v>
          </cell>
          <cell r="I630">
            <v>50101</v>
          </cell>
          <cell r="J630">
            <v>25</v>
          </cell>
          <cell r="K630" t="str">
            <v/>
          </cell>
          <cell r="L630">
            <v>0</v>
          </cell>
          <cell r="M630">
            <v>135.57471264367817</v>
          </cell>
        </row>
        <row r="631">
          <cell r="B631">
            <v>210505</v>
          </cell>
          <cell r="C631" t="e">
            <v>#N/A</v>
          </cell>
          <cell r="D631" t="str">
            <v>215</v>
          </cell>
          <cell r="E631">
            <v>51076</v>
          </cell>
          <cell r="F631">
            <v>124</v>
          </cell>
          <cell r="G631">
            <v>50090</v>
          </cell>
          <cell r="H631">
            <v>25</v>
          </cell>
          <cell r="I631">
            <v>50102</v>
          </cell>
          <cell r="J631">
            <v>25</v>
          </cell>
          <cell r="K631" t="str">
            <v/>
          </cell>
          <cell r="L631">
            <v>0</v>
          </cell>
          <cell r="M631">
            <v>142.04022988505747</v>
          </cell>
        </row>
        <row r="632">
          <cell r="B632">
            <v>210508</v>
          </cell>
          <cell r="C632" t="e">
            <v>#N/A</v>
          </cell>
          <cell r="D632" t="str">
            <v>215</v>
          </cell>
          <cell r="E632">
            <v>52000</v>
          </cell>
          <cell r="F632">
            <v>3.09</v>
          </cell>
          <cell r="G632">
            <v>50122</v>
          </cell>
          <cell r="H632">
            <v>88</v>
          </cell>
          <cell r="I632">
            <v>50145</v>
          </cell>
          <cell r="J632">
            <v>15</v>
          </cell>
          <cell r="K632">
            <v>10150</v>
          </cell>
          <cell r="L632">
            <v>0</v>
          </cell>
          <cell r="M632">
            <v>259.73230276180601</v>
          </cell>
        </row>
        <row r="633">
          <cell r="B633">
            <v>220101</v>
          </cell>
          <cell r="C633" t="e">
            <v>#N/A</v>
          </cell>
          <cell r="D633" t="str">
            <v>221</v>
          </cell>
          <cell r="E633">
            <v>51076</v>
          </cell>
          <cell r="F633">
            <v>124</v>
          </cell>
          <cell r="G633">
            <v>50096</v>
          </cell>
          <cell r="H633">
            <v>25</v>
          </cell>
          <cell r="I633">
            <v>50101</v>
          </cell>
          <cell r="J633">
            <v>25</v>
          </cell>
          <cell r="K633" t="str">
            <v/>
          </cell>
          <cell r="L633">
            <v>0</v>
          </cell>
          <cell r="M633">
            <v>142.04022988505747</v>
          </cell>
        </row>
        <row r="634">
          <cell r="B634">
            <v>220102</v>
          </cell>
          <cell r="C634" t="e">
            <v>#N/A</v>
          </cell>
          <cell r="D634" t="str">
            <v>221</v>
          </cell>
          <cell r="E634">
            <v>51076</v>
          </cell>
          <cell r="F634">
            <v>124</v>
          </cell>
          <cell r="G634">
            <v>50078</v>
          </cell>
          <cell r="H634">
            <v>25</v>
          </cell>
          <cell r="I634">
            <v>50092</v>
          </cell>
          <cell r="J634">
            <v>25</v>
          </cell>
          <cell r="K634" t="str">
            <v/>
          </cell>
          <cell r="L634">
            <v>0</v>
          </cell>
          <cell r="M634">
            <v>131.26436781609195</v>
          </cell>
        </row>
        <row r="635">
          <cell r="B635">
            <v>220103</v>
          </cell>
          <cell r="C635" t="e">
            <v>#N/A</v>
          </cell>
          <cell r="D635" t="str">
            <v>221</v>
          </cell>
          <cell r="E635">
            <v>51076</v>
          </cell>
          <cell r="F635">
            <v>124</v>
          </cell>
          <cell r="G635">
            <v>50079</v>
          </cell>
          <cell r="H635">
            <v>25</v>
          </cell>
          <cell r="I635">
            <v>50096</v>
          </cell>
          <cell r="J635">
            <v>25</v>
          </cell>
          <cell r="K635" t="str">
            <v/>
          </cell>
          <cell r="L635">
            <v>0</v>
          </cell>
          <cell r="M635">
            <v>131.26436781609195</v>
          </cell>
        </row>
        <row r="636">
          <cell r="B636">
            <v>220104</v>
          </cell>
          <cell r="C636" t="e">
            <v>#N/A</v>
          </cell>
          <cell r="D636" t="str">
            <v>221</v>
          </cell>
          <cell r="E636">
            <v>51076</v>
          </cell>
          <cell r="F636">
            <v>124</v>
          </cell>
          <cell r="G636">
            <v>50092</v>
          </cell>
          <cell r="H636">
            <v>25</v>
          </cell>
          <cell r="I636">
            <v>50090</v>
          </cell>
          <cell r="J636">
            <v>25</v>
          </cell>
          <cell r="K636" t="str">
            <v/>
          </cell>
          <cell r="L636">
            <v>0</v>
          </cell>
          <cell r="M636">
            <v>131.26436781609195</v>
          </cell>
        </row>
        <row r="637">
          <cell r="B637">
            <v>220105</v>
          </cell>
          <cell r="C637" t="e">
            <v>#N/A</v>
          </cell>
          <cell r="D637" t="str">
            <v>221</v>
          </cell>
          <cell r="E637">
            <v>51076</v>
          </cell>
          <cell r="F637">
            <v>124</v>
          </cell>
          <cell r="G637">
            <v>50145</v>
          </cell>
          <cell r="H637">
            <v>25</v>
          </cell>
          <cell r="I637">
            <v>50100</v>
          </cell>
          <cell r="J637">
            <v>25</v>
          </cell>
          <cell r="K637" t="str">
            <v/>
          </cell>
          <cell r="L637">
            <v>0</v>
          </cell>
          <cell r="M637">
            <v>135.57471264367817</v>
          </cell>
        </row>
        <row r="638">
          <cell r="B638">
            <v>220108</v>
          </cell>
          <cell r="C638" t="e">
            <v>#N/A</v>
          </cell>
          <cell r="D638" t="str">
            <v>221</v>
          </cell>
          <cell r="E638">
            <v>52000</v>
          </cell>
          <cell r="F638">
            <v>3.09</v>
          </cell>
          <cell r="G638">
            <v>50122</v>
          </cell>
          <cell r="H638">
            <v>88</v>
          </cell>
          <cell r="I638">
            <v>50092</v>
          </cell>
          <cell r="J638">
            <v>15</v>
          </cell>
          <cell r="K638">
            <v>10182</v>
          </cell>
          <cell r="L638">
            <v>0</v>
          </cell>
          <cell r="M638">
            <v>266.09482514845882</v>
          </cell>
        </row>
        <row r="639">
          <cell r="B639">
            <v>220201</v>
          </cell>
          <cell r="C639" t="e">
            <v>#N/A</v>
          </cell>
          <cell r="D639" t="str">
            <v>222</v>
          </cell>
          <cell r="E639">
            <v>51077</v>
          </cell>
          <cell r="F639">
            <v>123</v>
          </cell>
          <cell r="G639">
            <v>50098</v>
          </cell>
          <cell r="H639">
            <v>25</v>
          </cell>
          <cell r="I639">
            <v>50145</v>
          </cell>
          <cell r="J639">
            <v>25</v>
          </cell>
          <cell r="K639" t="str">
            <v/>
          </cell>
          <cell r="L639">
            <v>0</v>
          </cell>
          <cell r="M639">
            <v>136.85549132947978</v>
          </cell>
        </row>
        <row r="640">
          <cell r="B640">
            <v>220202</v>
          </cell>
          <cell r="C640" t="e">
            <v>#N/A</v>
          </cell>
          <cell r="D640" t="str">
            <v>222</v>
          </cell>
          <cell r="E640">
            <v>51077</v>
          </cell>
          <cell r="F640">
            <v>123</v>
          </cell>
          <cell r="G640">
            <v>50094</v>
          </cell>
          <cell r="H640">
            <v>25</v>
          </cell>
          <cell r="I640">
            <v>50097</v>
          </cell>
          <cell r="J640">
            <v>25</v>
          </cell>
          <cell r="K640" t="str">
            <v/>
          </cell>
          <cell r="L640">
            <v>0</v>
          </cell>
          <cell r="M640">
            <v>143.35838150289018</v>
          </cell>
        </row>
        <row r="641">
          <cell r="B641">
            <v>220203</v>
          </cell>
          <cell r="C641" t="e">
            <v>#N/A</v>
          </cell>
          <cell r="D641" t="str">
            <v>222</v>
          </cell>
          <cell r="E641">
            <v>51077</v>
          </cell>
          <cell r="F641">
            <v>123</v>
          </cell>
          <cell r="G641">
            <v>50119</v>
          </cell>
          <cell r="H641">
            <v>25</v>
          </cell>
          <cell r="I641">
            <v>50102</v>
          </cell>
          <cell r="J641">
            <v>25</v>
          </cell>
          <cell r="K641" t="str">
            <v/>
          </cell>
          <cell r="L641">
            <v>0</v>
          </cell>
          <cell r="M641">
            <v>136.85549132947978</v>
          </cell>
        </row>
        <row r="642">
          <cell r="B642">
            <v>220204</v>
          </cell>
          <cell r="C642" t="e">
            <v>#N/A</v>
          </cell>
          <cell r="D642" t="str">
            <v>222</v>
          </cell>
          <cell r="E642">
            <v>51077</v>
          </cell>
          <cell r="F642">
            <v>123</v>
          </cell>
          <cell r="G642">
            <v>50103</v>
          </cell>
          <cell r="H642">
            <v>25</v>
          </cell>
          <cell r="I642">
            <v>50093</v>
          </cell>
          <cell r="J642">
            <v>25</v>
          </cell>
          <cell r="K642" t="str">
            <v/>
          </cell>
          <cell r="L642">
            <v>0</v>
          </cell>
          <cell r="M642">
            <v>143.35838150289018</v>
          </cell>
        </row>
        <row r="643">
          <cell r="B643">
            <v>220205</v>
          </cell>
          <cell r="C643" t="e">
            <v>#N/A</v>
          </cell>
          <cell r="D643" t="str">
            <v>222</v>
          </cell>
          <cell r="E643">
            <v>51077</v>
          </cell>
          <cell r="F643">
            <v>123</v>
          </cell>
          <cell r="G643">
            <v>50094</v>
          </cell>
          <cell r="H643">
            <v>25</v>
          </cell>
          <cell r="I643">
            <v>50090</v>
          </cell>
          <cell r="J643">
            <v>25</v>
          </cell>
          <cell r="K643" t="str">
            <v/>
          </cell>
          <cell r="L643">
            <v>0</v>
          </cell>
          <cell r="M643">
            <v>132.52023121387282</v>
          </cell>
        </row>
        <row r="644">
          <cell r="B644">
            <v>220208</v>
          </cell>
          <cell r="C644" t="e">
            <v>#N/A</v>
          </cell>
          <cell r="D644" t="str">
            <v>222</v>
          </cell>
          <cell r="E644">
            <v>52000</v>
          </cell>
          <cell r="F644">
            <v>3.09</v>
          </cell>
          <cell r="G644">
            <v>50122</v>
          </cell>
          <cell r="H644">
            <v>88</v>
          </cell>
          <cell r="I644">
            <v>50092</v>
          </cell>
          <cell r="J644">
            <v>15</v>
          </cell>
          <cell r="K644">
            <v>10214</v>
          </cell>
          <cell r="L644">
            <v>0</v>
          </cell>
          <cell r="M644">
            <v>266.09482514845882</v>
          </cell>
        </row>
        <row r="645">
          <cell r="B645">
            <v>220301</v>
          </cell>
          <cell r="C645" t="e">
            <v>#N/A</v>
          </cell>
          <cell r="D645" t="str">
            <v>223</v>
          </cell>
          <cell r="E645">
            <v>51078</v>
          </cell>
          <cell r="F645">
            <v>122</v>
          </cell>
          <cell r="G645">
            <v>50096</v>
          </cell>
          <cell r="H645">
            <v>25</v>
          </cell>
          <cell r="I645">
            <v>50101</v>
          </cell>
          <cell r="J645">
            <v>25</v>
          </cell>
          <cell r="K645" t="str">
            <v/>
          </cell>
          <cell r="L645">
            <v>0</v>
          </cell>
          <cell r="M645">
            <v>144.66860465116278</v>
          </cell>
        </row>
        <row r="646">
          <cell r="B646">
            <v>220302</v>
          </cell>
          <cell r="C646" t="e">
            <v>#N/A</v>
          </cell>
          <cell r="D646" t="str">
            <v>223</v>
          </cell>
          <cell r="E646">
            <v>51078</v>
          </cell>
          <cell r="F646">
            <v>122</v>
          </cell>
          <cell r="G646">
            <v>50103</v>
          </cell>
          <cell r="H646">
            <v>25</v>
          </cell>
          <cell r="I646">
            <v>50119</v>
          </cell>
          <cell r="J646">
            <v>25</v>
          </cell>
          <cell r="K646" t="str">
            <v/>
          </cell>
          <cell r="L646">
            <v>0</v>
          </cell>
          <cell r="M646">
            <v>138.12790697674419</v>
          </cell>
        </row>
        <row r="647">
          <cell r="B647">
            <v>220303</v>
          </cell>
          <cell r="C647" t="e">
            <v>#N/A</v>
          </cell>
          <cell r="D647" t="str">
            <v>223</v>
          </cell>
          <cell r="E647">
            <v>51078</v>
          </cell>
          <cell r="F647">
            <v>122</v>
          </cell>
          <cell r="G647">
            <v>50094</v>
          </cell>
          <cell r="H647">
            <v>25</v>
          </cell>
          <cell r="I647">
            <v>50097</v>
          </cell>
          <cell r="J647">
            <v>25</v>
          </cell>
          <cell r="K647" t="str">
            <v/>
          </cell>
          <cell r="L647">
            <v>0</v>
          </cell>
          <cell r="M647">
            <v>144.66860465116278</v>
          </cell>
        </row>
        <row r="648">
          <cell r="B648">
            <v>220304</v>
          </cell>
          <cell r="C648" t="e">
            <v>#N/A</v>
          </cell>
          <cell r="D648" t="str">
            <v>223</v>
          </cell>
          <cell r="E648">
            <v>51078</v>
          </cell>
          <cell r="F648">
            <v>122</v>
          </cell>
          <cell r="G648">
            <v>50103</v>
          </cell>
          <cell r="H648">
            <v>25</v>
          </cell>
          <cell r="I648">
            <v>50090</v>
          </cell>
          <cell r="J648">
            <v>25</v>
          </cell>
          <cell r="K648" t="str">
            <v/>
          </cell>
          <cell r="L648">
            <v>0</v>
          </cell>
          <cell r="M648">
            <v>144.66860465116278</v>
          </cell>
        </row>
        <row r="649">
          <cell r="B649">
            <v>220305</v>
          </cell>
          <cell r="C649" t="e">
            <v>#N/A</v>
          </cell>
          <cell r="D649" t="str">
            <v>223</v>
          </cell>
          <cell r="E649">
            <v>51078</v>
          </cell>
          <cell r="F649">
            <v>122</v>
          </cell>
          <cell r="G649">
            <v>50078</v>
          </cell>
          <cell r="H649">
            <v>25</v>
          </cell>
          <cell r="I649">
            <v>50092</v>
          </cell>
          <cell r="J649">
            <v>25</v>
          </cell>
          <cell r="K649" t="str">
            <v/>
          </cell>
          <cell r="L649">
            <v>0</v>
          </cell>
          <cell r="M649">
            <v>133.76744186046511</v>
          </cell>
        </row>
        <row r="650">
          <cell r="B650">
            <v>220308</v>
          </cell>
          <cell r="C650" t="e">
            <v>#N/A</v>
          </cell>
          <cell r="D650" t="str">
            <v>223</v>
          </cell>
          <cell r="E650">
            <v>52000</v>
          </cell>
          <cell r="F650">
            <v>3.09</v>
          </cell>
          <cell r="G650">
            <v>50122</v>
          </cell>
          <cell r="H650">
            <v>88</v>
          </cell>
          <cell r="I650">
            <v>50095</v>
          </cell>
          <cell r="J650">
            <v>15</v>
          </cell>
          <cell r="K650">
            <v>10246</v>
          </cell>
          <cell r="L650">
            <v>0</v>
          </cell>
          <cell r="M650">
            <v>266.09482514845882</v>
          </cell>
        </row>
        <row r="651">
          <cell r="B651">
            <v>220401</v>
          </cell>
          <cell r="C651" t="e">
            <v>#N/A</v>
          </cell>
          <cell r="D651" t="str">
            <v>224</v>
          </cell>
          <cell r="E651">
            <v>51078</v>
          </cell>
          <cell r="F651">
            <v>122</v>
          </cell>
          <cell r="G651">
            <v>50119</v>
          </cell>
          <cell r="H651">
            <v>25</v>
          </cell>
          <cell r="I651">
            <v>50090</v>
          </cell>
          <cell r="J651">
            <v>25</v>
          </cell>
          <cell r="K651" t="str">
            <v/>
          </cell>
          <cell r="L651">
            <v>0</v>
          </cell>
          <cell r="M651">
            <v>127.22674418604652</v>
          </cell>
        </row>
        <row r="652">
          <cell r="B652">
            <v>220402</v>
          </cell>
          <cell r="C652" t="e">
            <v>#N/A</v>
          </cell>
          <cell r="D652" t="str">
            <v>224</v>
          </cell>
          <cell r="E652">
            <v>51078</v>
          </cell>
          <cell r="F652">
            <v>122</v>
          </cell>
          <cell r="G652">
            <v>50098</v>
          </cell>
          <cell r="H652">
            <v>25</v>
          </cell>
          <cell r="I652">
            <v>50078</v>
          </cell>
          <cell r="J652">
            <v>25</v>
          </cell>
          <cell r="K652" t="str">
            <v/>
          </cell>
          <cell r="L652">
            <v>0</v>
          </cell>
          <cell r="M652">
            <v>144.66860465116278</v>
          </cell>
        </row>
        <row r="653">
          <cell r="B653">
            <v>220403</v>
          </cell>
          <cell r="C653" t="e">
            <v>#N/A</v>
          </cell>
          <cell r="D653" t="str">
            <v>224</v>
          </cell>
          <cell r="E653">
            <v>51078</v>
          </cell>
          <cell r="F653">
            <v>122</v>
          </cell>
          <cell r="G653">
            <v>50096</v>
          </cell>
          <cell r="H653">
            <v>25</v>
          </cell>
          <cell r="I653">
            <v>50102</v>
          </cell>
          <cell r="J653">
            <v>25</v>
          </cell>
          <cell r="K653" t="str">
            <v/>
          </cell>
          <cell r="L653">
            <v>0</v>
          </cell>
          <cell r="M653">
            <v>144.66860465116278</v>
          </cell>
        </row>
        <row r="654">
          <cell r="B654">
            <v>220404</v>
          </cell>
          <cell r="C654" t="e">
            <v>#N/A</v>
          </cell>
          <cell r="D654" t="str">
            <v>224</v>
          </cell>
          <cell r="E654">
            <v>51078</v>
          </cell>
          <cell r="F654">
            <v>122</v>
          </cell>
          <cell r="G654">
            <v>50135</v>
          </cell>
          <cell r="H654">
            <v>25</v>
          </cell>
          <cell r="I654">
            <v>50101</v>
          </cell>
          <cell r="J654">
            <v>25</v>
          </cell>
          <cell r="K654" t="str">
            <v/>
          </cell>
          <cell r="L654">
            <v>0</v>
          </cell>
          <cell r="M654">
            <v>144.66860465116278</v>
          </cell>
        </row>
        <row r="655">
          <cell r="B655">
            <v>220405</v>
          </cell>
          <cell r="C655" t="e">
            <v>#N/A</v>
          </cell>
          <cell r="D655" t="str">
            <v>224</v>
          </cell>
          <cell r="E655">
            <v>51078</v>
          </cell>
          <cell r="F655">
            <v>122</v>
          </cell>
          <cell r="G655">
            <v>50101</v>
          </cell>
          <cell r="H655">
            <v>25</v>
          </cell>
          <cell r="I655">
            <v>50099</v>
          </cell>
          <cell r="J655">
            <v>25</v>
          </cell>
          <cell r="K655" t="str">
            <v/>
          </cell>
          <cell r="L655">
            <v>0</v>
          </cell>
          <cell r="M655">
            <v>155.56976744186048</v>
          </cell>
        </row>
        <row r="656">
          <cell r="B656">
            <v>220408</v>
          </cell>
          <cell r="C656" t="e">
            <v>#N/A</v>
          </cell>
          <cell r="D656" t="str">
            <v>224</v>
          </cell>
          <cell r="E656">
            <v>52000</v>
          </cell>
          <cell r="F656">
            <v>3.09</v>
          </cell>
          <cell r="G656">
            <v>50122</v>
          </cell>
          <cell r="H656">
            <v>88</v>
          </cell>
          <cell r="I656">
            <v>50098</v>
          </cell>
          <cell r="J656">
            <v>15</v>
          </cell>
          <cell r="K656">
            <v>10278</v>
          </cell>
          <cell r="L656">
            <v>0</v>
          </cell>
          <cell r="M656">
            <v>276.69902912621359</v>
          </cell>
        </row>
        <row r="657">
          <cell r="B657">
            <v>220501</v>
          </cell>
          <cell r="C657" t="e">
            <v>#N/A</v>
          </cell>
          <cell r="D657" t="str">
            <v>225</v>
          </cell>
          <cell r="E657">
            <v>51079</v>
          </cell>
          <cell r="F657">
            <v>121</v>
          </cell>
          <cell r="G657">
            <v>50094</v>
          </cell>
          <cell r="H657">
            <v>25</v>
          </cell>
          <cell r="I657">
            <v>50079</v>
          </cell>
          <cell r="J657">
            <v>25</v>
          </cell>
          <cell r="K657" t="str">
            <v/>
          </cell>
          <cell r="L657">
            <v>0</v>
          </cell>
          <cell r="M657">
            <v>135.00584795321637</v>
          </cell>
        </row>
        <row r="658">
          <cell r="B658">
            <v>220502</v>
          </cell>
          <cell r="C658" t="e">
            <v>#N/A</v>
          </cell>
          <cell r="D658" t="str">
            <v>225</v>
          </cell>
          <cell r="E658">
            <v>51079</v>
          </cell>
          <cell r="F658">
            <v>121</v>
          </cell>
          <cell r="G658">
            <v>50103</v>
          </cell>
          <cell r="H658">
            <v>25</v>
          </cell>
          <cell r="I658">
            <v>50119</v>
          </cell>
          <cell r="J658">
            <v>25</v>
          </cell>
          <cell r="K658" t="str">
            <v/>
          </cell>
          <cell r="L658">
            <v>0</v>
          </cell>
          <cell r="M658">
            <v>139.39181286549709</v>
          </cell>
        </row>
        <row r="659">
          <cell r="B659">
            <v>220503</v>
          </cell>
          <cell r="C659" t="e">
            <v>#N/A</v>
          </cell>
          <cell r="D659" t="str">
            <v>225</v>
          </cell>
          <cell r="E659">
            <v>51079</v>
          </cell>
          <cell r="F659">
            <v>121</v>
          </cell>
          <cell r="G659">
            <v>50079</v>
          </cell>
          <cell r="H659">
            <v>25</v>
          </cell>
          <cell r="I659">
            <v>50091</v>
          </cell>
          <cell r="J659">
            <v>25</v>
          </cell>
          <cell r="K659" t="str">
            <v/>
          </cell>
          <cell r="L659">
            <v>0</v>
          </cell>
          <cell r="M659">
            <v>135.00584795321637</v>
          </cell>
        </row>
        <row r="660">
          <cell r="B660">
            <v>220504</v>
          </cell>
          <cell r="C660" t="e">
            <v>#N/A</v>
          </cell>
          <cell r="D660" t="str">
            <v>225</v>
          </cell>
          <cell r="E660">
            <v>51079</v>
          </cell>
          <cell r="F660">
            <v>121</v>
          </cell>
          <cell r="G660">
            <v>50135</v>
          </cell>
          <cell r="H660">
            <v>25</v>
          </cell>
          <cell r="I660">
            <v>50098</v>
          </cell>
          <cell r="J660">
            <v>25</v>
          </cell>
          <cell r="K660" t="str">
            <v/>
          </cell>
          <cell r="L660">
            <v>0</v>
          </cell>
          <cell r="M660">
            <v>145.97076023391813</v>
          </cell>
        </row>
        <row r="661">
          <cell r="B661">
            <v>220505</v>
          </cell>
          <cell r="C661" t="e">
            <v>#N/A</v>
          </cell>
          <cell r="D661" t="str">
            <v>225</v>
          </cell>
          <cell r="E661">
            <v>51079</v>
          </cell>
          <cell r="F661">
            <v>121</v>
          </cell>
          <cell r="G661">
            <v>50096</v>
          </cell>
          <cell r="H661">
            <v>25</v>
          </cell>
          <cell r="I661">
            <v>50091</v>
          </cell>
          <cell r="J661">
            <v>25</v>
          </cell>
          <cell r="K661" t="str">
            <v/>
          </cell>
          <cell r="L661">
            <v>0</v>
          </cell>
          <cell r="M661">
            <v>135.00584795321637</v>
          </cell>
        </row>
        <row r="662">
          <cell r="B662">
            <v>220508</v>
          </cell>
          <cell r="C662" t="e">
            <v>#N/A</v>
          </cell>
          <cell r="D662" t="str">
            <v>225</v>
          </cell>
          <cell r="E662">
            <v>52000</v>
          </cell>
          <cell r="F662">
            <v>3.09</v>
          </cell>
          <cell r="G662">
            <v>50122</v>
          </cell>
          <cell r="H662">
            <v>88</v>
          </cell>
          <cell r="I662">
            <v>50094</v>
          </cell>
          <cell r="J662">
            <v>15</v>
          </cell>
          <cell r="K662">
            <v>10310</v>
          </cell>
          <cell r="L662">
            <v>0</v>
          </cell>
          <cell r="M662">
            <v>266.09482514845882</v>
          </cell>
        </row>
        <row r="663">
          <cell r="B663">
            <v>230101</v>
          </cell>
          <cell r="C663" t="e">
            <v>#N/A</v>
          </cell>
          <cell r="D663" t="str">
            <v>231</v>
          </cell>
          <cell r="E663">
            <v>51080</v>
          </cell>
          <cell r="F663">
            <v>120</v>
          </cell>
          <cell r="G663">
            <v>50103</v>
          </cell>
          <cell r="H663">
            <v>25</v>
          </cell>
          <cell r="I663">
            <v>50094</v>
          </cell>
          <cell r="J663">
            <v>25</v>
          </cell>
          <cell r="K663" t="str">
            <v/>
          </cell>
          <cell r="L663">
            <v>0</v>
          </cell>
          <cell r="M663">
            <v>147.26470588235293</v>
          </cell>
        </row>
        <row r="664">
          <cell r="B664">
            <v>230102</v>
          </cell>
          <cell r="C664" t="e">
            <v>#N/A</v>
          </cell>
          <cell r="D664" t="str">
            <v>231</v>
          </cell>
          <cell r="E664">
            <v>51080</v>
          </cell>
          <cell r="F664">
            <v>120</v>
          </cell>
          <cell r="G664">
            <v>50079</v>
          </cell>
          <cell r="H664">
            <v>25</v>
          </cell>
          <cell r="I664">
            <v>50098</v>
          </cell>
          <cell r="J664">
            <v>25</v>
          </cell>
          <cell r="K664" t="str">
            <v/>
          </cell>
          <cell r="L664">
            <v>0</v>
          </cell>
          <cell r="M664">
            <v>147.26470588235293</v>
          </cell>
        </row>
        <row r="665">
          <cell r="B665">
            <v>230103</v>
          </cell>
          <cell r="C665" t="e">
            <v>#N/A</v>
          </cell>
          <cell r="D665" t="str">
            <v>231</v>
          </cell>
          <cell r="E665">
            <v>51080</v>
          </cell>
          <cell r="F665">
            <v>120</v>
          </cell>
          <cell r="G665">
            <v>50096</v>
          </cell>
          <cell r="H665">
            <v>25</v>
          </cell>
          <cell r="I665">
            <v>50091</v>
          </cell>
          <cell r="J665">
            <v>25</v>
          </cell>
          <cell r="K665" t="str">
            <v/>
          </cell>
          <cell r="L665">
            <v>0</v>
          </cell>
          <cell r="M665">
            <v>136.23529411764707</v>
          </cell>
        </row>
        <row r="666">
          <cell r="B666">
            <v>230104</v>
          </cell>
          <cell r="C666" t="e">
            <v>#N/A</v>
          </cell>
          <cell r="D666" t="str">
            <v>231</v>
          </cell>
          <cell r="E666">
            <v>51080</v>
          </cell>
          <cell r="F666">
            <v>120</v>
          </cell>
          <cell r="G666">
            <v>50093</v>
          </cell>
          <cell r="H666">
            <v>25</v>
          </cell>
          <cell r="I666">
            <v>50098</v>
          </cell>
          <cell r="J666">
            <v>25</v>
          </cell>
          <cell r="K666" t="str">
            <v/>
          </cell>
          <cell r="L666">
            <v>0</v>
          </cell>
          <cell r="M666">
            <v>147.26470588235293</v>
          </cell>
        </row>
        <row r="667">
          <cell r="B667">
            <v>230105</v>
          </cell>
          <cell r="C667" t="e">
            <v>#N/A</v>
          </cell>
          <cell r="D667" t="str">
            <v>231</v>
          </cell>
          <cell r="E667">
            <v>51080</v>
          </cell>
          <cell r="F667">
            <v>120</v>
          </cell>
          <cell r="G667">
            <v>50092</v>
          </cell>
          <cell r="H667">
            <v>25</v>
          </cell>
          <cell r="I667">
            <v>50101</v>
          </cell>
          <cell r="J667">
            <v>25</v>
          </cell>
          <cell r="K667" t="str">
            <v/>
          </cell>
          <cell r="L667">
            <v>0</v>
          </cell>
          <cell r="M667">
            <v>147.26470588235293</v>
          </cell>
        </row>
        <row r="668">
          <cell r="B668">
            <v>230108</v>
          </cell>
          <cell r="C668" t="e">
            <v>#N/A</v>
          </cell>
          <cell r="D668" t="str">
            <v>231</v>
          </cell>
          <cell r="E668">
            <v>52000</v>
          </cell>
          <cell r="F668">
            <v>3.09</v>
          </cell>
          <cell r="G668">
            <v>50122</v>
          </cell>
          <cell r="H668">
            <v>88</v>
          </cell>
          <cell r="I668">
            <v>50097</v>
          </cell>
          <cell r="J668">
            <v>15</v>
          </cell>
          <cell r="K668">
            <v>10342</v>
          </cell>
          <cell r="L668">
            <v>0</v>
          </cell>
          <cell r="M668">
            <v>276.69902912621359</v>
          </cell>
        </row>
        <row r="669">
          <cell r="B669">
            <v>230201</v>
          </cell>
          <cell r="C669" t="e">
            <v>#N/A</v>
          </cell>
          <cell r="D669" t="str">
            <v>232</v>
          </cell>
          <cell r="E669">
            <v>51080</v>
          </cell>
          <cell r="F669">
            <v>120</v>
          </cell>
          <cell r="G669">
            <v>50091</v>
          </cell>
          <cell r="H669">
            <v>25</v>
          </cell>
          <cell r="I669">
            <v>50119</v>
          </cell>
          <cell r="J669">
            <v>25</v>
          </cell>
          <cell r="K669" t="str">
            <v/>
          </cell>
          <cell r="L669">
            <v>0</v>
          </cell>
          <cell r="M669">
            <v>129.61764705882354</v>
          </cell>
        </row>
        <row r="670">
          <cell r="B670">
            <v>230202</v>
          </cell>
          <cell r="C670" t="e">
            <v>#N/A</v>
          </cell>
          <cell r="D670" t="str">
            <v>232</v>
          </cell>
          <cell r="E670">
            <v>51080</v>
          </cell>
          <cell r="F670">
            <v>120</v>
          </cell>
          <cell r="G670">
            <v>50093</v>
          </cell>
          <cell r="H670">
            <v>25</v>
          </cell>
          <cell r="I670">
            <v>50102</v>
          </cell>
          <cell r="J670">
            <v>25</v>
          </cell>
          <cell r="K670" t="str">
            <v/>
          </cell>
          <cell r="L670">
            <v>0</v>
          </cell>
          <cell r="M670">
            <v>147.26470588235293</v>
          </cell>
        </row>
        <row r="671">
          <cell r="B671">
            <v>230203</v>
          </cell>
          <cell r="C671" t="e">
            <v>#N/A</v>
          </cell>
          <cell r="D671" t="str">
            <v>232</v>
          </cell>
          <cell r="E671">
            <v>51080</v>
          </cell>
          <cell r="F671">
            <v>120</v>
          </cell>
          <cell r="G671">
            <v>50098</v>
          </cell>
          <cell r="H671">
            <v>25</v>
          </cell>
          <cell r="I671">
            <v>50094</v>
          </cell>
          <cell r="J671">
            <v>25</v>
          </cell>
          <cell r="K671" t="str">
            <v/>
          </cell>
          <cell r="L671">
            <v>0</v>
          </cell>
          <cell r="M671">
            <v>147.26470588235293</v>
          </cell>
        </row>
        <row r="672">
          <cell r="B672">
            <v>230204</v>
          </cell>
          <cell r="C672" t="e">
            <v>#N/A</v>
          </cell>
          <cell r="D672" t="str">
            <v>232</v>
          </cell>
          <cell r="E672">
            <v>51080</v>
          </cell>
          <cell r="F672">
            <v>120</v>
          </cell>
          <cell r="G672">
            <v>50102</v>
          </cell>
          <cell r="H672">
            <v>25</v>
          </cell>
          <cell r="I672">
            <v>50095</v>
          </cell>
          <cell r="J672">
            <v>25</v>
          </cell>
          <cell r="K672" t="str">
            <v/>
          </cell>
          <cell r="L672">
            <v>0</v>
          </cell>
          <cell r="M672">
            <v>147.26470588235293</v>
          </cell>
        </row>
        <row r="673">
          <cell r="B673">
            <v>230205</v>
          </cell>
          <cell r="C673" t="e">
            <v>#N/A</v>
          </cell>
          <cell r="D673" t="str">
            <v>232</v>
          </cell>
          <cell r="E673">
            <v>51080</v>
          </cell>
          <cell r="F673">
            <v>120</v>
          </cell>
          <cell r="G673">
            <v>50119</v>
          </cell>
          <cell r="H673">
            <v>25</v>
          </cell>
          <cell r="I673">
            <v>50157</v>
          </cell>
          <cell r="J673">
            <v>25</v>
          </cell>
          <cell r="K673" t="str">
            <v/>
          </cell>
          <cell r="L673">
            <v>0</v>
          </cell>
          <cell r="M673">
            <v>123</v>
          </cell>
        </row>
        <row r="674">
          <cell r="B674">
            <v>230208</v>
          </cell>
          <cell r="C674" t="e">
            <v>#N/A</v>
          </cell>
          <cell r="D674" t="str">
            <v>232</v>
          </cell>
          <cell r="E674">
            <v>52000</v>
          </cell>
          <cell r="F674">
            <v>3.09</v>
          </cell>
          <cell r="G674">
            <v>50122</v>
          </cell>
          <cell r="H674">
            <v>88</v>
          </cell>
          <cell r="I674">
            <v>50157</v>
          </cell>
          <cell r="J674">
            <v>15</v>
          </cell>
          <cell r="K674">
            <v>10374</v>
          </cell>
          <cell r="L674">
            <v>0</v>
          </cell>
          <cell r="M674">
            <v>259.73230276180601</v>
          </cell>
        </row>
        <row r="675">
          <cell r="B675">
            <v>230301</v>
          </cell>
          <cell r="C675" t="e">
            <v>#N/A</v>
          </cell>
          <cell r="D675" t="str">
            <v>233</v>
          </cell>
          <cell r="E675">
            <v>51081</v>
          </cell>
          <cell r="F675">
            <v>119</v>
          </cell>
          <cell r="G675">
            <v>50097</v>
          </cell>
          <cell r="H675">
            <v>25</v>
          </cell>
          <cell r="I675">
            <v>50145</v>
          </cell>
          <cell r="J675">
            <v>25</v>
          </cell>
          <cell r="K675" t="str">
            <v/>
          </cell>
          <cell r="L675">
            <v>0</v>
          </cell>
          <cell r="M675">
            <v>141.89349112426035</v>
          </cell>
        </row>
        <row r="676">
          <cell r="B676">
            <v>230302</v>
          </cell>
          <cell r="C676" t="e">
            <v>#N/A</v>
          </cell>
          <cell r="D676" t="str">
            <v>233</v>
          </cell>
          <cell r="E676">
            <v>51081</v>
          </cell>
          <cell r="F676">
            <v>119</v>
          </cell>
          <cell r="G676">
            <v>50090</v>
          </cell>
          <cell r="H676">
            <v>25</v>
          </cell>
          <cell r="I676">
            <v>50119</v>
          </cell>
          <cell r="J676">
            <v>25</v>
          </cell>
          <cell r="K676" t="str">
            <v/>
          </cell>
          <cell r="L676">
            <v>0</v>
          </cell>
          <cell r="M676">
            <v>130.79881656804733</v>
          </cell>
        </row>
        <row r="677">
          <cell r="B677">
            <v>230303</v>
          </cell>
          <cell r="C677" t="e">
            <v>#N/A</v>
          </cell>
          <cell r="D677" t="str">
            <v>233</v>
          </cell>
          <cell r="E677">
            <v>51081</v>
          </cell>
          <cell r="F677">
            <v>119</v>
          </cell>
          <cell r="G677">
            <v>50093</v>
          </cell>
          <cell r="H677">
            <v>25</v>
          </cell>
          <cell r="I677">
            <v>50090</v>
          </cell>
          <cell r="J677">
            <v>25</v>
          </cell>
          <cell r="K677" t="str">
            <v/>
          </cell>
          <cell r="L677">
            <v>0</v>
          </cell>
          <cell r="M677">
            <v>137.45562130177515</v>
          </cell>
        </row>
        <row r="678">
          <cell r="B678">
            <v>230304</v>
          </cell>
          <cell r="C678" t="e">
            <v>#N/A</v>
          </cell>
          <cell r="D678" t="str">
            <v>233</v>
          </cell>
          <cell r="E678">
            <v>51081</v>
          </cell>
          <cell r="F678">
            <v>119</v>
          </cell>
          <cell r="G678">
            <v>50119</v>
          </cell>
          <cell r="H678">
            <v>25</v>
          </cell>
          <cell r="I678">
            <v>50145</v>
          </cell>
          <cell r="J678">
            <v>25</v>
          </cell>
          <cell r="K678" t="str">
            <v/>
          </cell>
          <cell r="L678">
            <v>0</v>
          </cell>
          <cell r="M678">
            <v>124.14201183431953</v>
          </cell>
        </row>
        <row r="679">
          <cell r="B679">
            <v>230305</v>
          </cell>
          <cell r="C679" t="e">
            <v>#N/A</v>
          </cell>
          <cell r="D679" t="str">
            <v>233</v>
          </cell>
          <cell r="E679">
            <v>51081</v>
          </cell>
          <cell r="F679">
            <v>119</v>
          </cell>
          <cell r="G679">
            <v>50078</v>
          </cell>
          <cell r="H679">
            <v>25</v>
          </cell>
          <cell r="I679">
            <v>50096</v>
          </cell>
          <cell r="J679">
            <v>25</v>
          </cell>
          <cell r="K679" t="str">
            <v/>
          </cell>
          <cell r="L679">
            <v>0</v>
          </cell>
          <cell r="M679">
            <v>137.45562130177515</v>
          </cell>
        </row>
        <row r="680">
          <cell r="B680">
            <v>230308</v>
          </cell>
          <cell r="C680" t="e">
            <v>#N/A</v>
          </cell>
          <cell r="D680" t="str">
            <v>233</v>
          </cell>
          <cell r="E680">
            <v>52000</v>
          </cell>
          <cell r="F680">
            <v>3.09</v>
          </cell>
          <cell r="G680">
            <v>50122</v>
          </cell>
          <cell r="H680">
            <v>88</v>
          </cell>
          <cell r="I680">
            <v>50093</v>
          </cell>
          <cell r="J680">
            <v>15</v>
          </cell>
          <cell r="K680">
            <v>10406</v>
          </cell>
          <cell r="L680">
            <v>0</v>
          </cell>
          <cell r="M680">
            <v>266.09482514845882</v>
          </cell>
        </row>
        <row r="681">
          <cell r="B681">
            <v>230401</v>
          </cell>
          <cell r="C681" t="e">
            <v>#N/A</v>
          </cell>
          <cell r="D681" t="str">
            <v>234</v>
          </cell>
          <cell r="E681">
            <v>51082</v>
          </cell>
          <cell r="F681">
            <v>118</v>
          </cell>
          <cell r="G681">
            <v>50099</v>
          </cell>
          <cell r="H681">
            <v>25</v>
          </cell>
          <cell r="I681">
            <v>50093</v>
          </cell>
          <cell r="J681">
            <v>25</v>
          </cell>
          <cell r="K681" t="str">
            <v/>
          </cell>
          <cell r="L681">
            <v>0</v>
          </cell>
          <cell r="M681">
            <v>149.82738095238096</v>
          </cell>
        </row>
        <row r="682">
          <cell r="B682">
            <v>230402</v>
          </cell>
          <cell r="C682" t="e">
            <v>#N/A</v>
          </cell>
          <cell r="D682" t="str">
            <v>234</v>
          </cell>
          <cell r="E682">
            <v>51082</v>
          </cell>
          <cell r="F682">
            <v>118</v>
          </cell>
          <cell r="G682">
            <v>50096</v>
          </cell>
          <cell r="H682">
            <v>25</v>
          </cell>
          <cell r="I682">
            <v>50100</v>
          </cell>
          <cell r="J682">
            <v>25</v>
          </cell>
          <cell r="K682" t="str">
            <v/>
          </cell>
          <cell r="L682">
            <v>0</v>
          </cell>
          <cell r="M682">
            <v>149.82738095238096</v>
          </cell>
        </row>
        <row r="683">
          <cell r="B683">
            <v>230403</v>
          </cell>
          <cell r="C683" t="e">
            <v>#N/A</v>
          </cell>
          <cell r="D683" t="str">
            <v>234</v>
          </cell>
          <cell r="E683">
            <v>51082</v>
          </cell>
          <cell r="F683">
            <v>118</v>
          </cell>
          <cell r="G683">
            <v>50119</v>
          </cell>
          <cell r="H683">
            <v>25</v>
          </cell>
          <cell r="I683">
            <v>50157</v>
          </cell>
          <cell r="J683">
            <v>25</v>
          </cell>
          <cell r="K683" t="str">
            <v/>
          </cell>
          <cell r="L683">
            <v>0</v>
          </cell>
          <cell r="M683">
            <v>125.27380952380952</v>
          </cell>
        </row>
        <row r="684">
          <cell r="B684">
            <v>230404</v>
          </cell>
          <cell r="C684" t="e">
            <v>#N/A</v>
          </cell>
          <cell r="D684" t="str">
            <v>234</v>
          </cell>
          <cell r="E684">
            <v>51082</v>
          </cell>
          <cell r="F684">
            <v>118</v>
          </cell>
          <cell r="G684">
            <v>50094</v>
          </cell>
          <cell r="H684">
            <v>25</v>
          </cell>
          <cell r="I684">
            <v>50101</v>
          </cell>
          <cell r="J684">
            <v>25</v>
          </cell>
          <cell r="K684" t="str">
            <v/>
          </cell>
          <cell r="L684">
            <v>0</v>
          </cell>
          <cell r="M684">
            <v>149.82738095238096</v>
          </cell>
        </row>
        <row r="685">
          <cell r="B685">
            <v>230405</v>
          </cell>
          <cell r="C685" t="e">
            <v>#N/A</v>
          </cell>
          <cell r="D685" t="str">
            <v>234</v>
          </cell>
          <cell r="E685">
            <v>51082</v>
          </cell>
          <cell r="F685">
            <v>118</v>
          </cell>
          <cell r="G685">
            <v>50091</v>
          </cell>
          <cell r="H685">
            <v>25</v>
          </cell>
          <cell r="I685">
            <v>50092</v>
          </cell>
          <cell r="J685">
            <v>25</v>
          </cell>
          <cell r="K685" t="str">
            <v/>
          </cell>
          <cell r="L685">
            <v>0</v>
          </cell>
          <cell r="M685">
            <v>138.66666666666666</v>
          </cell>
        </row>
        <row r="686">
          <cell r="B686">
            <v>230408</v>
          </cell>
          <cell r="C686" t="e">
            <v>#N/A</v>
          </cell>
          <cell r="D686" t="str">
            <v>234</v>
          </cell>
          <cell r="E686">
            <v>52000</v>
          </cell>
          <cell r="F686">
            <v>3.09</v>
          </cell>
          <cell r="G686">
            <v>50122</v>
          </cell>
          <cell r="H686">
            <v>88</v>
          </cell>
          <cell r="I686">
            <v>50135</v>
          </cell>
          <cell r="J686">
            <v>15</v>
          </cell>
          <cell r="K686">
            <v>10438</v>
          </cell>
          <cell r="L686">
            <v>0</v>
          </cell>
          <cell r="M686">
            <v>266.09482514845882</v>
          </cell>
        </row>
        <row r="687">
          <cell r="B687">
            <v>230501</v>
          </cell>
          <cell r="C687" t="e">
            <v>#N/A</v>
          </cell>
          <cell r="D687" t="str">
            <v>235</v>
          </cell>
          <cell r="E687">
            <v>51082</v>
          </cell>
          <cell r="F687">
            <v>118</v>
          </cell>
          <cell r="G687">
            <v>50092</v>
          </cell>
          <cell r="H687">
            <v>25</v>
          </cell>
          <cell r="I687">
            <v>50092</v>
          </cell>
          <cell r="J687">
            <v>25</v>
          </cell>
          <cell r="K687" t="str">
            <v/>
          </cell>
          <cell r="L687">
            <v>0</v>
          </cell>
          <cell r="M687">
            <v>138.66666666666666</v>
          </cell>
        </row>
        <row r="688">
          <cell r="B688">
            <v>230502</v>
          </cell>
          <cell r="C688" t="e">
            <v>#N/A</v>
          </cell>
          <cell r="D688" t="str">
            <v>235</v>
          </cell>
          <cell r="E688">
            <v>51082</v>
          </cell>
          <cell r="F688">
            <v>118</v>
          </cell>
          <cell r="G688">
            <v>50119</v>
          </cell>
          <cell r="H688">
            <v>25</v>
          </cell>
          <cell r="I688">
            <v>50095</v>
          </cell>
          <cell r="J688">
            <v>25</v>
          </cell>
          <cell r="K688" t="str">
            <v/>
          </cell>
          <cell r="L688">
            <v>0</v>
          </cell>
          <cell r="M688">
            <v>131.9702380952381</v>
          </cell>
        </row>
        <row r="689">
          <cell r="B689">
            <v>230503</v>
          </cell>
          <cell r="C689" t="e">
            <v>#N/A</v>
          </cell>
          <cell r="D689" t="str">
            <v>235</v>
          </cell>
          <cell r="E689">
            <v>51082</v>
          </cell>
          <cell r="F689">
            <v>118</v>
          </cell>
          <cell r="G689">
            <v>50099</v>
          </cell>
          <cell r="H689">
            <v>25</v>
          </cell>
          <cell r="I689">
            <v>50078</v>
          </cell>
          <cell r="J689">
            <v>25</v>
          </cell>
          <cell r="K689" t="str">
            <v/>
          </cell>
          <cell r="L689">
            <v>0</v>
          </cell>
          <cell r="M689">
            <v>149.82738095238096</v>
          </cell>
        </row>
        <row r="690">
          <cell r="B690">
            <v>230504</v>
          </cell>
          <cell r="C690" t="e">
            <v>#N/A</v>
          </cell>
          <cell r="D690" t="str">
            <v>235</v>
          </cell>
          <cell r="E690">
            <v>51082</v>
          </cell>
          <cell r="F690">
            <v>118</v>
          </cell>
          <cell r="G690">
            <v>50078</v>
          </cell>
          <cell r="H690">
            <v>25</v>
          </cell>
          <cell r="I690">
            <v>50100</v>
          </cell>
          <cell r="J690">
            <v>25</v>
          </cell>
          <cell r="K690" t="str">
            <v/>
          </cell>
          <cell r="L690">
            <v>0</v>
          </cell>
          <cell r="M690">
            <v>149.82738095238096</v>
          </cell>
        </row>
        <row r="691">
          <cell r="B691">
            <v>230505</v>
          </cell>
          <cell r="C691" t="e">
            <v>#N/A</v>
          </cell>
          <cell r="D691" t="str">
            <v>235</v>
          </cell>
          <cell r="E691">
            <v>51082</v>
          </cell>
          <cell r="F691">
            <v>118</v>
          </cell>
          <cell r="G691">
            <v>50098</v>
          </cell>
          <cell r="H691">
            <v>25</v>
          </cell>
          <cell r="I691">
            <v>50092</v>
          </cell>
          <cell r="J691">
            <v>25</v>
          </cell>
          <cell r="K691" t="str">
            <v/>
          </cell>
          <cell r="L691">
            <v>0</v>
          </cell>
          <cell r="M691">
            <v>149.82738095238096</v>
          </cell>
        </row>
        <row r="692">
          <cell r="B692">
            <v>230508</v>
          </cell>
          <cell r="C692" t="e">
            <v>#N/A</v>
          </cell>
          <cell r="D692" t="str">
            <v>235</v>
          </cell>
          <cell r="E692">
            <v>52000</v>
          </cell>
          <cell r="F692">
            <v>3.09</v>
          </cell>
          <cell r="G692">
            <v>50122</v>
          </cell>
          <cell r="H692">
            <v>88</v>
          </cell>
          <cell r="I692">
            <v>50078</v>
          </cell>
          <cell r="J692">
            <v>15</v>
          </cell>
          <cell r="K692">
            <v>10470</v>
          </cell>
          <cell r="L692">
            <v>0</v>
          </cell>
          <cell r="M692">
            <v>266.09482514845882</v>
          </cell>
        </row>
        <row r="693">
          <cell r="B693">
            <v>240101</v>
          </cell>
          <cell r="C693" t="e">
            <v>#N/A</v>
          </cell>
          <cell r="D693" t="str">
            <v>241</v>
          </cell>
          <cell r="E693">
            <v>51083</v>
          </cell>
          <cell r="F693">
            <v>117</v>
          </cell>
          <cell r="G693">
            <v>50101</v>
          </cell>
          <cell r="H693">
            <v>25</v>
          </cell>
          <cell r="I693">
            <v>50097</v>
          </cell>
          <cell r="J693">
            <v>25</v>
          </cell>
          <cell r="K693" t="str">
            <v/>
          </cell>
          <cell r="L693">
            <v>0</v>
          </cell>
          <cell r="M693">
            <v>162.32335329341316</v>
          </cell>
        </row>
        <row r="694">
          <cell r="B694">
            <v>240102</v>
          </cell>
          <cell r="C694" t="e">
            <v>#N/A</v>
          </cell>
          <cell r="D694" t="str">
            <v>241</v>
          </cell>
          <cell r="E694">
            <v>51083</v>
          </cell>
          <cell r="F694">
            <v>117</v>
          </cell>
          <cell r="G694">
            <v>50090</v>
          </cell>
          <cell r="H694">
            <v>25</v>
          </cell>
          <cell r="I694">
            <v>50119</v>
          </cell>
          <cell r="J694">
            <v>25</v>
          </cell>
          <cell r="K694" t="str">
            <v/>
          </cell>
          <cell r="L694">
            <v>0</v>
          </cell>
          <cell r="M694">
            <v>133.1317365269461</v>
          </cell>
        </row>
        <row r="695">
          <cell r="B695">
            <v>240103</v>
          </cell>
          <cell r="C695" t="e">
            <v>#N/A</v>
          </cell>
          <cell r="D695" t="str">
            <v>241</v>
          </cell>
          <cell r="E695">
            <v>51083</v>
          </cell>
          <cell r="F695">
            <v>117</v>
          </cell>
          <cell r="G695">
            <v>50102</v>
          </cell>
          <cell r="H695">
            <v>25</v>
          </cell>
          <cell r="I695">
            <v>50145</v>
          </cell>
          <cell r="J695">
            <v>25</v>
          </cell>
          <cell r="K695" t="str">
            <v/>
          </cell>
          <cell r="L695">
            <v>0</v>
          </cell>
          <cell r="M695">
            <v>144.35928143712576</v>
          </cell>
        </row>
        <row r="696">
          <cell r="B696">
            <v>240104</v>
          </cell>
          <cell r="C696" t="e">
            <v>#N/A</v>
          </cell>
          <cell r="D696" t="str">
            <v>241</v>
          </cell>
          <cell r="E696">
            <v>51083</v>
          </cell>
          <cell r="F696">
            <v>117</v>
          </cell>
          <cell r="G696">
            <v>50099</v>
          </cell>
          <cell r="H696">
            <v>25</v>
          </cell>
          <cell r="I696">
            <v>50102</v>
          </cell>
          <cell r="J696">
            <v>25</v>
          </cell>
          <cell r="K696" t="str">
            <v/>
          </cell>
          <cell r="L696">
            <v>0</v>
          </cell>
          <cell r="M696">
            <v>162.32335329341316</v>
          </cell>
        </row>
        <row r="697">
          <cell r="B697">
            <v>240105</v>
          </cell>
          <cell r="C697" t="e">
            <v>#N/A</v>
          </cell>
          <cell r="D697" t="str">
            <v>241</v>
          </cell>
          <cell r="E697">
            <v>51083</v>
          </cell>
          <cell r="F697">
            <v>117</v>
          </cell>
          <cell r="G697">
            <v>50093</v>
          </cell>
          <cell r="H697">
            <v>25</v>
          </cell>
          <cell r="I697">
            <v>50157</v>
          </cell>
          <cell r="J697">
            <v>25</v>
          </cell>
          <cell r="K697" t="str">
            <v/>
          </cell>
          <cell r="L697">
            <v>0</v>
          </cell>
          <cell r="M697">
            <v>133.1317365269461</v>
          </cell>
        </row>
        <row r="698">
          <cell r="B698">
            <v>240108</v>
          </cell>
          <cell r="C698" t="e">
            <v>#N/A</v>
          </cell>
          <cell r="D698" t="str">
            <v>241</v>
          </cell>
          <cell r="E698">
            <v>52000</v>
          </cell>
          <cell r="F698">
            <v>3.09</v>
          </cell>
          <cell r="G698">
            <v>50122</v>
          </cell>
          <cell r="H698">
            <v>88</v>
          </cell>
          <cell r="I698">
            <v>50119</v>
          </cell>
          <cell r="J698">
            <v>15</v>
          </cell>
          <cell r="K698">
            <v>10502</v>
          </cell>
          <cell r="L698">
            <v>0</v>
          </cell>
          <cell r="M698">
            <v>259.73230276180601</v>
          </cell>
        </row>
        <row r="699">
          <cell r="B699">
            <v>240201</v>
          </cell>
          <cell r="C699" t="e">
            <v>#N/A</v>
          </cell>
          <cell r="D699" t="str">
            <v>242</v>
          </cell>
          <cell r="E699">
            <v>51084</v>
          </cell>
          <cell r="F699">
            <v>116</v>
          </cell>
          <cell r="G699">
            <v>50094</v>
          </cell>
          <cell r="H699">
            <v>25</v>
          </cell>
          <cell r="I699">
            <v>50099</v>
          </cell>
          <cell r="J699">
            <v>25</v>
          </cell>
          <cell r="K699" t="str">
            <v/>
          </cell>
          <cell r="L699">
            <v>0</v>
          </cell>
          <cell r="M699">
            <v>152.35542168674698</v>
          </cell>
        </row>
        <row r="700">
          <cell r="B700">
            <v>240202</v>
          </cell>
          <cell r="C700" t="e">
            <v>#N/A</v>
          </cell>
          <cell r="D700" t="str">
            <v>242</v>
          </cell>
          <cell r="E700">
            <v>51084</v>
          </cell>
          <cell r="F700">
            <v>116</v>
          </cell>
          <cell r="G700">
            <v>50092</v>
          </cell>
          <cell r="H700">
            <v>25</v>
          </cell>
          <cell r="I700">
            <v>50093</v>
          </cell>
          <cell r="J700">
            <v>25</v>
          </cell>
          <cell r="K700" t="str">
            <v/>
          </cell>
          <cell r="L700">
            <v>0</v>
          </cell>
          <cell r="M700">
            <v>141.06024096385542</v>
          </cell>
        </row>
        <row r="701">
          <cell r="B701">
            <v>240203</v>
          </cell>
          <cell r="C701" t="e">
            <v>#N/A</v>
          </cell>
          <cell r="D701" t="str">
            <v>242</v>
          </cell>
          <cell r="E701">
            <v>51084</v>
          </cell>
          <cell r="F701">
            <v>116</v>
          </cell>
          <cell r="G701">
            <v>50078</v>
          </cell>
          <cell r="H701">
            <v>25</v>
          </cell>
          <cell r="I701">
            <v>50157</v>
          </cell>
          <cell r="J701">
            <v>25</v>
          </cell>
          <cell r="K701" t="str">
            <v/>
          </cell>
          <cell r="L701">
            <v>0</v>
          </cell>
          <cell r="M701">
            <v>134.28313253012047</v>
          </cell>
        </row>
        <row r="702">
          <cell r="B702">
            <v>240204</v>
          </cell>
          <cell r="C702" t="e">
            <v>#N/A</v>
          </cell>
          <cell r="D702" t="str">
            <v>242</v>
          </cell>
          <cell r="E702">
            <v>51084</v>
          </cell>
          <cell r="F702">
            <v>116</v>
          </cell>
          <cell r="G702">
            <v>50092</v>
          </cell>
          <cell r="H702">
            <v>25</v>
          </cell>
          <cell r="I702">
            <v>50091</v>
          </cell>
          <cell r="J702">
            <v>25</v>
          </cell>
          <cell r="K702" t="str">
            <v/>
          </cell>
          <cell r="L702">
            <v>0</v>
          </cell>
          <cell r="M702">
            <v>141.06024096385542</v>
          </cell>
        </row>
        <row r="703">
          <cell r="B703">
            <v>240205</v>
          </cell>
          <cell r="C703" t="e">
            <v>#N/A</v>
          </cell>
          <cell r="D703" t="str">
            <v>242</v>
          </cell>
          <cell r="E703">
            <v>51084</v>
          </cell>
          <cell r="F703">
            <v>116</v>
          </cell>
          <cell r="G703">
            <v>50096</v>
          </cell>
          <cell r="H703">
            <v>25</v>
          </cell>
          <cell r="I703">
            <v>50093</v>
          </cell>
          <cell r="J703">
            <v>25</v>
          </cell>
          <cell r="K703" t="str">
            <v/>
          </cell>
          <cell r="L703">
            <v>0</v>
          </cell>
          <cell r="M703">
            <v>141.06024096385542</v>
          </cell>
        </row>
        <row r="704">
          <cell r="B704">
            <v>240208</v>
          </cell>
          <cell r="C704" t="e">
            <v>#N/A</v>
          </cell>
          <cell r="D704" t="str">
            <v>242</v>
          </cell>
          <cell r="E704">
            <v>52000</v>
          </cell>
          <cell r="F704">
            <v>3.09</v>
          </cell>
          <cell r="G704">
            <v>50122</v>
          </cell>
          <cell r="H704">
            <v>88</v>
          </cell>
          <cell r="I704">
            <v>50079</v>
          </cell>
          <cell r="J704">
            <v>15</v>
          </cell>
          <cell r="K704">
            <v>10534</v>
          </cell>
          <cell r="L704">
            <v>0</v>
          </cell>
          <cell r="M704">
            <v>266.09482514845882</v>
          </cell>
        </row>
        <row r="705">
          <cell r="B705">
            <v>240301</v>
          </cell>
          <cell r="C705" t="e">
            <v>#N/A</v>
          </cell>
          <cell r="D705" t="str">
            <v>243</v>
          </cell>
          <cell r="E705">
            <v>51084</v>
          </cell>
          <cell r="F705">
            <v>116</v>
          </cell>
          <cell r="G705">
            <v>50103</v>
          </cell>
          <cell r="H705">
            <v>25</v>
          </cell>
          <cell r="I705">
            <v>50157</v>
          </cell>
          <cell r="J705">
            <v>25</v>
          </cell>
          <cell r="K705" t="str">
            <v/>
          </cell>
          <cell r="L705">
            <v>0</v>
          </cell>
          <cell r="M705">
            <v>145.57831325301206</v>
          </cell>
        </row>
        <row r="706">
          <cell r="B706">
            <v>240302</v>
          </cell>
          <cell r="C706" t="e">
            <v>#N/A</v>
          </cell>
          <cell r="D706" t="str">
            <v>243</v>
          </cell>
          <cell r="E706">
            <v>51084</v>
          </cell>
          <cell r="F706">
            <v>116</v>
          </cell>
          <cell r="G706">
            <v>50097</v>
          </cell>
          <cell r="H706">
            <v>25</v>
          </cell>
          <cell r="I706">
            <v>50078</v>
          </cell>
          <cell r="J706">
            <v>25</v>
          </cell>
          <cell r="K706" t="str">
            <v/>
          </cell>
          <cell r="L706">
            <v>0</v>
          </cell>
          <cell r="M706">
            <v>152.35542168674698</v>
          </cell>
        </row>
        <row r="707">
          <cell r="B707">
            <v>240303</v>
          </cell>
          <cell r="C707" t="e">
            <v>#N/A</v>
          </cell>
          <cell r="D707" t="str">
            <v>243</v>
          </cell>
          <cell r="E707">
            <v>51084</v>
          </cell>
          <cell r="F707">
            <v>116</v>
          </cell>
          <cell r="G707">
            <v>50091</v>
          </cell>
          <cell r="H707">
            <v>25</v>
          </cell>
          <cell r="I707">
            <v>50102</v>
          </cell>
          <cell r="J707">
            <v>25</v>
          </cell>
          <cell r="K707" t="str">
            <v/>
          </cell>
          <cell r="L707">
            <v>0</v>
          </cell>
          <cell r="M707">
            <v>152.35542168674698</v>
          </cell>
        </row>
        <row r="708">
          <cell r="B708">
            <v>240304</v>
          </cell>
          <cell r="C708" t="e">
            <v>#N/A</v>
          </cell>
          <cell r="D708" t="str">
            <v>243</v>
          </cell>
          <cell r="E708">
            <v>51084</v>
          </cell>
          <cell r="F708">
            <v>116</v>
          </cell>
          <cell r="G708">
            <v>50094</v>
          </cell>
          <cell r="H708">
            <v>25</v>
          </cell>
          <cell r="I708">
            <v>50157</v>
          </cell>
          <cell r="J708">
            <v>25</v>
          </cell>
          <cell r="K708" t="str">
            <v/>
          </cell>
          <cell r="L708">
            <v>0</v>
          </cell>
          <cell r="M708">
            <v>134.28313253012047</v>
          </cell>
        </row>
        <row r="709">
          <cell r="B709">
            <v>240305</v>
          </cell>
          <cell r="C709" t="e">
            <v>#N/A</v>
          </cell>
          <cell r="D709" t="str">
            <v>243</v>
          </cell>
          <cell r="E709">
            <v>51084</v>
          </cell>
          <cell r="F709">
            <v>116</v>
          </cell>
          <cell r="G709">
            <v>50145</v>
          </cell>
          <cell r="H709">
            <v>25</v>
          </cell>
          <cell r="I709">
            <v>50145</v>
          </cell>
          <cell r="J709">
            <v>25</v>
          </cell>
          <cell r="K709" t="str">
            <v/>
          </cell>
          <cell r="L709">
            <v>0</v>
          </cell>
          <cell r="M709">
            <v>127.50602409638554</v>
          </cell>
        </row>
        <row r="710">
          <cell r="B710">
            <v>240308</v>
          </cell>
          <cell r="C710" t="e">
            <v>#N/A</v>
          </cell>
          <cell r="D710" t="str">
            <v>243</v>
          </cell>
          <cell r="E710">
            <v>52000</v>
          </cell>
          <cell r="F710">
            <v>3.09</v>
          </cell>
          <cell r="G710">
            <v>50122</v>
          </cell>
          <cell r="H710">
            <v>88</v>
          </cell>
          <cell r="I710">
            <v>50103</v>
          </cell>
          <cell r="J710">
            <v>15</v>
          </cell>
          <cell r="K710">
            <v>10566</v>
          </cell>
          <cell r="L710">
            <v>0</v>
          </cell>
          <cell r="M710">
            <v>276.69902912621359</v>
          </cell>
        </row>
        <row r="711">
          <cell r="B711">
            <v>240401</v>
          </cell>
          <cell r="C711" t="e">
            <v>#N/A</v>
          </cell>
          <cell r="D711" t="str">
            <v>244</v>
          </cell>
          <cell r="E711">
            <v>51085</v>
          </cell>
          <cell r="F711">
            <v>115</v>
          </cell>
          <cell r="G711">
            <v>50119</v>
          </cell>
          <cell r="H711">
            <v>25</v>
          </cell>
          <cell r="I711">
            <v>50119</v>
          </cell>
          <cell r="J711">
            <v>25</v>
          </cell>
          <cell r="K711" t="str">
            <v/>
          </cell>
          <cell r="L711">
            <v>0</v>
          </cell>
          <cell r="M711">
            <v>128.60606060606059</v>
          </cell>
        </row>
        <row r="712">
          <cell r="B712">
            <v>240402</v>
          </cell>
          <cell r="C712" t="e">
            <v>#N/A</v>
          </cell>
          <cell r="D712" t="str">
            <v>244</v>
          </cell>
          <cell r="E712">
            <v>51085</v>
          </cell>
          <cell r="F712">
            <v>115</v>
          </cell>
          <cell r="G712">
            <v>50097</v>
          </cell>
          <cell r="H712">
            <v>25</v>
          </cell>
          <cell r="I712">
            <v>50119</v>
          </cell>
          <cell r="J712">
            <v>25</v>
          </cell>
          <cell r="K712" t="str">
            <v/>
          </cell>
          <cell r="L712">
            <v>0</v>
          </cell>
          <cell r="M712">
            <v>146.78787878787878</v>
          </cell>
        </row>
        <row r="713">
          <cell r="B713">
            <v>240403</v>
          </cell>
          <cell r="C713" t="e">
            <v>#N/A</v>
          </cell>
          <cell r="D713" t="str">
            <v>244</v>
          </cell>
          <cell r="E713">
            <v>51085</v>
          </cell>
          <cell r="F713">
            <v>115</v>
          </cell>
          <cell r="G713">
            <v>50096</v>
          </cell>
          <cell r="H713">
            <v>25</v>
          </cell>
          <cell r="I713">
            <v>50145</v>
          </cell>
          <cell r="J713">
            <v>25</v>
          </cell>
          <cell r="K713" t="str">
            <v/>
          </cell>
          <cell r="L713">
            <v>0</v>
          </cell>
          <cell r="M713">
            <v>135.42424242424244</v>
          </cell>
        </row>
        <row r="714">
          <cell r="B714">
            <v>240404</v>
          </cell>
          <cell r="C714" t="e">
            <v>#N/A</v>
          </cell>
          <cell r="D714" t="str">
            <v>244</v>
          </cell>
          <cell r="E714">
            <v>51085</v>
          </cell>
          <cell r="F714">
            <v>115</v>
          </cell>
          <cell r="G714">
            <v>50145</v>
          </cell>
          <cell r="H714">
            <v>25</v>
          </cell>
          <cell r="I714">
            <v>50090</v>
          </cell>
          <cell r="J714">
            <v>25</v>
          </cell>
          <cell r="K714" t="str">
            <v/>
          </cell>
          <cell r="L714">
            <v>0</v>
          </cell>
          <cell r="M714">
            <v>135.42424242424244</v>
          </cell>
        </row>
        <row r="715">
          <cell r="B715">
            <v>240405</v>
          </cell>
          <cell r="C715" t="e">
            <v>#N/A</v>
          </cell>
          <cell r="D715" t="str">
            <v>244</v>
          </cell>
          <cell r="E715">
            <v>51085</v>
          </cell>
          <cell r="F715">
            <v>115</v>
          </cell>
          <cell r="G715">
            <v>50119</v>
          </cell>
          <cell r="H715">
            <v>25</v>
          </cell>
          <cell r="I715">
            <v>50091</v>
          </cell>
          <cell r="J715">
            <v>25</v>
          </cell>
          <cell r="K715" t="str">
            <v/>
          </cell>
          <cell r="L715">
            <v>0</v>
          </cell>
          <cell r="M715">
            <v>135.42424242424244</v>
          </cell>
        </row>
        <row r="716">
          <cell r="B716">
            <v>240408</v>
          </cell>
          <cell r="C716" t="e">
            <v>#N/A</v>
          </cell>
          <cell r="D716" t="str">
            <v>244</v>
          </cell>
          <cell r="E716">
            <v>52000</v>
          </cell>
          <cell r="F716">
            <v>3.09</v>
          </cell>
          <cell r="G716">
            <v>50122</v>
          </cell>
          <cell r="H716">
            <v>88</v>
          </cell>
          <cell r="I716">
            <v>50097</v>
          </cell>
          <cell r="J716">
            <v>15</v>
          </cell>
          <cell r="K716">
            <v>10598</v>
          </cell>
          <cell r="L716">
            <v>0</v>
          </cell>
          <cell r="M716">
            <v>276.69902912621359</v>
          </cell>
        </row>
        <row r="717">
          <cell r="B717">
            <v>240501</v>
          </cell>
          <cell r="C717" t="e">
            <v>#N/A</v>
          </cell>
          <cell r="D717" t="str">
            <v>245</v>
          </cell>
          <cell r="E717">
            <v>51086</v>
          </cell>
          <cell r="F717">
            <v>114</v>
          </cell>
          <cell r="G717">
            <v>50145</v>
          </cell>
          <cell r="H717">
            <v>25</v>
          </cell>
          <cell r="I717">
            <v>50098</v>
          </cell>
          <cell r="J717">
            <v>25</v>
          </cell>
          <cell r="K717" t="str">
            <v/>
          </cell>
          <cell r="L717">
            <v>0</v>
          </cell>
          <cell r="M717">
            <v>147.98780487804879</v>
          </cell>
        </row>
        <row r="718">
          <cell r="B718">
            <v>240502</v>
          </cell>
          <cell r="C718" t="e">
            <v>#N/A</v>
          </cell>
          <cell r="D718" t="str">
            <v>245</v>
          </cell>
          <cell r="E718">
            <v>51086</v>
          </cell>
          <cell r="F718">
            <v>114</v>
          </cell>
          <cell r="G718">
            <v>50095</v>
          </cell>
          <cell r="H718">
            <v>25</v>
          </cell>
          <cell r="I718">
            <v>50119</v>
          </cell>
          <cell r="J718">
            <v>25</v>
          </cell>
          <cell r="K718" t="str">
            <v/>
          </cell>
          <cell r="L718">
            <v>0</v>
          </cell>
          <cell r="M718">
            <v>136.55487804878049</v>
          </cell>
        </row>
        <row r="719">
          <cell r="B719">
            <v>240503</v>
          </cell>
          <cell r="C719" t="e">
            <v>#N/A</v>
          </cell>
          <cell r="D719" t="str">
            <v>245</v>
          </cell>
          <cell r="E719">
            <v>51086</v>
          </cell>
          <cell r="F719">
            <v>114</v>
          </cell>
          <cell r="G719">
            <v>50119</v>
          </cell>
          <cell r="H719">
            <v>25</v>
          </cell>
          <cell r="I719">
            <v>50090</v>
          </cell>
          <cell r="J719">
            <v>25</v>
          </cell>
          <cell r="K719" t="str">
            <v/>
          </cell>
          <cell r="L719">
            <v>0</v>
          </cell>
          <cell r="M719">
            <v>136.55487804878049</v>
          </cell>
        </row>
        <row r="720">
          <cell r="B720">
            <v>240504</v>
          </cell>
          <cell r="C720" t="e">
            <v>#N/A</v>
          </cell>
          <cell r="D720" t="str">
            <v>245</v>
          </cell>
          <cell r="E720">
            <v>51086</v>
          </cell>
          <cell r="F720">
            <v>114</v>
          </cell>
          <cell r="G720">
            <v>50135</v>
          </cell>
          <cell r="H720">
            <v>25</v>
          </cell>
          <cell r="I720">
            <v>50101</v>
          </cell>
          <cell r="J720">
            <v>25</v>
          </cell>
          <cell r="K720" t="str">
            <v/>
          </cell>
          <cell r="L720">
            <v>0</v>
          </cell>
          <cell r="M720">
            <v>154.84756097560975</v>
          </cell>
        </row>
        <row r="721">
          <cell r="B721">
            <v>240505</v>
          </cell>
          <cell r="C721" t="e">
            <v>#N/A</v>
          </cell>
          <cell r="D721" t="str">
            <v>245</v>
          </cell>
          <cell r="E721">
            <v>51086</v>
          </cell>
          <cell r="F721">
            <v>114</v>
          </cell>
          <cell r="G721">
            <v>50099</v>
          </cell>
          <cell r="H721">
            <v>25</v>
          </cell>
          <cell r="I721">
            <v>50078</v>
          </cell>
          <cell r="J721">
            <v>25</v>
          </cell>
          <cell r="K721" t="str">
            <v/>
          </cell>
          <cell r="L721">
            <v>0</v>
          </cell>
          <cell r="M721">
            <v>154.84756097560975</v>
          </cell>
        </row>
        <row r="722">
          <cell r="B722">
            <v>240508</v>
          </cell>
          <cell r="C722" t="e">
            <v>#N/A</v>
          </cell>
          <cell r="D722" t="str">
            <v>245</v>
          </cell>
          <cell r="E722">
            <v>52000</v>
          </cell>
          <cell r="F722">
            <v>3.09</v>
          </cell>
          <cell r="G722">
            <v>50122</v>
          </cell>
          <cell r="H722">
            <v>88</v>
          </cell>
          <cell r="I722">
            <v>50093</v>
          </cell>
          <cell r="J722">
            <v>15</v>
          </cell>
          <cell r="K722">
            <v>10630</v>
          </cell>
          <cell r="L722">
            <v>0</v>
          </cell>
          <cell r="M722">
            <v>266.09482514845882</v>
          </cell>
        </row>
        <row r="723">
          <cell r="B723">
            <v>250101</v>
          </cell>
          <cell r="C723" t="e">
            <v>#N/A</v>
          </cell>
          <cell r="D723" t="str">
            <v>251</v>
          </cell>
          <cell r="E723">
            <v>51086</v>
          </cell>
          <cell r="F723">
            <v>114</v>
          </cell>
          <cell r="G723">
            <v>50079</v>
          </cell>
          <cell r="H723">
            <v>25</v>
          </cell>
          <cell r="I723">
            <v>50100</v>
          </cell>
          <cell r="J723">
            <v>25</v>
          </cell>
          <cell r="K723" t="str">
            <v/>
          </cell>
          <cell r="L723">
            <v>0</v>
          </cell>
          <cell r="M723">
            <v>154.84756097560975</v>
          </cell>
        </row>
        <row r="724">
          <cell r="B724">
            <v>250102</v>
          </cell>
          <cell r="C724" t="e">
            <v>#N/A</v>
          </cell>
          <cell r="D724" t="str">
            <v>251</v>
          </cell>
          <cell r="E724">
            <v>51086</v>
          </cell>
          <cell r="F724">
            <v>114</v>
          </cell>
          <cell r="G724">
            <v>50096</v>
          </cell>
          <cell r="H724">
            <v>25</v>
          </cell>
          <cell r="I724">
            <v>50135</v>
          </cell>
          <cell r="J724">
            <v>25</v>
          </cell>
          <cell r="K724" t="str">
            <v/>
          </cell>
          <cell r="L724">
            <v>0</v>
          </cell>
          <cell r="M724">
            <v>143.41463414634146</v>
          </cell>
        </row>
        <row r="725">
          <cell r="B725">
            <v>250103</v>
          </cell>
          <cell r="C725" t="e">
            <v>#N/A</v>
          </cell>
          <cell r="D725" t="str">
            <v>251</v>
          </cell>
          <cell r="E725">
            <v>51086</v>
          </cell>
          <cell r="F725">
            <v>114</v>
          </cell>
          <cell r="G725">
            <v>50102</v>
          </cell>
          <cell r="H725">
            <v>25</v>
          </cell>
          <cell r="I725">
            <v>50096</v>
          </cell>
          <cell r="J725">
            <v>25</v>
          </cell>
          <cell r="K725" t="str">
            <v/>
          </cell>
          <cell r="L725">
            <v>0</v>
          </cell>
          <cell r="M725">
            <v>154.84756097560975</v>
          </cell>
        </row>
        <row r="726">
          <cell r="B726">
            <v>250104</v>
          </cell>
          <cell r="C726" t="e">
            <v>#N/A</v>
          </cell>
          <cell r="D726" t="str">
            <v>251</v>
          </cell>
          <cell r="E726">
            <v>51086</v>
          </cell>
          <cell r="F726">
            <v>114</v>
          </cell>
          <cell r="G726">
            <v>50096</v>
          </cell>
          <cell r="H726">
            <v>25</v>
          </cell>
          <cell r="I726">
            <v>50096</v>
          </cell>
          <cell r="J726">
            <v>25</v>
          </cell>
          <cell r="K726" t="str">
            <v/>
          </cell>
          <cell r="L726">
            <v>0</v>
          </cell>
          <cell r="M726">
            <v>143.41463414634146</v>
          </cell>
        </row>
        <row r="727">
          <cell r="B727">
            <v>250105</v>
          </cell>
          <cell r="C727" t="e">
            <v>#N/A</v>
          </cell>
          <cell r="D727" t="str">
            <v>251</v>
          </cell>
          <cell r="E727">
            <v>51086</v>
          </cell>
          <cell r="F727">
            <v>114</v>
          </cell>
          <cell r="G727">
            <v>50097</v>
          </cell>
          <cell r="H727">
            <v>25</v>
          </cell>
          <cell r="I727">
            <v>50096</v>
          </cell>
          <cell r="J727">
            <v>25</v>
          </cell>
          <cell r="K727" t="str">
            <v/>
          </cell>
          <cell r="L727">
            <v>0</v>
          </cell>
          <cell r="M727">
            <v>154.84756097560975</v>
          </cell>
        </row>
        <row r="728">
          <cell r="B728">
            <v>250108</v>
          </cell>
          <cell r="C728" t="e">
            <v>#N/A</v>
          </cell>
          <cell r="D728" t="str">
            <v>251</v>
          </cell>
          <cell r="E728">
            <v>52000</v>
          </cell>
          <cell r="F728">
            <v>3.09</v>
          </cell>
          <cell r="G728">
            <v>50122</v>
          </cell>
          <cell r="H728">
            <v>88</v>
          </cell>
          <cell r="I728">
            <v>50090</v>
          </cell>
          <cell r="J728">
            <v>15</v>
          </cell>
          <cell r="K728">
            <v>10023</v>
          </cell>
          <cell r="L728">
            <v>0</v>
          </cell>
          <cell r="M728">
            <v>266.09482514845882</v>
          </cell>
        </row>
        <row r="729">
          <cell r="B729">
            <v>250201</v>
          </cell>
          <cell r="C729" t="e">
            <v>#N/A</v>
          </cell>
          <cell r="D729" t="str">
            <v>252</v>
          </cell>
          <cell r="E729">
            <v>51087</v>
          </cell>
          <cell r="F729">
            <v>113</v>
          </cell>
          <cell r="G729">
            <v>50079</v>
          </cell>
          <cell r="H729">
            <v>25</v>
          </cell>
          <cell r="I729">
            <v>50103</v>
          </cell>
          <cell r="J729">
            <v>25</v>
          </cell>
          <cell r="K729" t="str">
            <v/>
          </cell>
          <cell r="L729">
            <v>0</v>
          </cell>
          <cell r="M729">
            <v>156.07975460122699</v>
          </cell>
        </row>
        <row r="730">
          <cell r="B730">
            <v>250202</v>
          </cell>
          <cell r="C730" t="e">
            <v>#N/A</v>
          </cell>
          <cell r="D730" t="str">
            <v>252</v>
          </cell>
          <cell r="E730">
            <v>51087</v>
          </cell>
          <cell r="F730">
            <v>113</v>
          </cell>
          <cell r="G730">
            <v>50079</v>
          </cell>
          <cell r="H730">
            <v>25</v>
          </cell>
          <cell r="I730">
            <v>50099</v>
          </cell>
          <cell r="J730">
            <v>25</v>
          </cell>
          <cell r="K730" t="str">
            <v/>
          </cell>
          <cell r="L730">
            <v>0</v>
          </cell>
          <cell r="M730">
            <v>156.07975460122699</v>
          </cell>
        </row>
        <row r="731">
          <cell r="B731">
            <v>250203</v>
          </cell>
          <cell r="C731" t="e">
            <v>#N/A</v>
          </cell>
          <cell r="D731" t="str">
            <v>252</v>
          </cell>
          <cell r="E731">
            <v>51087</v>
          </cell>
          <cell r="F731">
            <v>113</v>
          </cell>
          <cell r="G731">
            <v>50094</v>
          </cell>
          <cell r="H731">
            <v>25</v>
          </cell>
          <cell r="I731">
            <v>50078</v>
          </cell>
          <cell r="J731">
            <v>25</v>
          </cell>
          <cell r="K731" t="str">
            <v/>
          </cell>
          <cell r="L731">
            <v>0</v>
          </cell>
          <cell r="M731">
            <v>144.57668711656441</v>
          </cell>
        </row>
        <row r="732">
          <cell r="B732">
            <v>250204</v>
          </cell>
          <cell r="C732" t="e">
            <v>#N/A</v>
          </cell>
          <cell r="D732" t="str">
            <v>252</v>
          </cell>
          <cell r="E732">
            <v>51087</v>
          </cell>
          <cell r="F732">
            <v>113</v>
          </cell>
          <cell r="G732">
            <v>50103</v>
          </cell>
          <cell r="H732">
            <v>25</v>
          </cell>
          <cell r="I732">
            <v>50100</v>
          </cell>
          <cell r="J732">
            <v>25</v>
          </cell>
          <cell r="K732" t="str">
            <v/>
          </cell>
          <cell r="L732">
            <v>0</v>
          </cell>
          <cell r="M732">
            <v>167.58282208588957</v>
          </cell>
        </row>
        <row r="733">
          <cell r="B733">
            <v>250205</v>
          </cell>
          <cell r="C733" t="e">
            <v>#N/A</v>
          </cell>
          <cell r="D733" t="str">
            <v>252</v>
          </cell>
          <cell r="E733">
            <v>51087</v>
          </cell>
          <cell r="F733">
            <v>113</v>
          </cell>
          <cell r="G733">
            <v>50098</v>
          </cell>
          <cell r="H733">
            <v>25</v>
          </cell>
          <cell r="I733">
            <v>50099</v>
          </cell>
          <cell r="J733">
            <v>25</v>
          </cell>
          <cell r="K733" t="str">
            <v/>
          </cell>
          <cell r="L733">
            <v>0</v>
          </cell>
          <cell r="M733">
            <v>167.58282208588957</v>
          </cell>
        </row>
        <row r="734">
          <cell r="B734">
            <v>250208</v>
          </cell>
          <cell r="C734" t="e">
            <v>#N/A</v>
          </cell>
          <cell r="D734" t="str">
            <v>252</v>
          </cell>
          <cell r="E734">
            <v>52000</v>
          </cell>
          <cell r="F734">
            <v>3.09</v>
          </cell>
          <cell r="G734">
            <v>50122</v>
          </cell>
          <cell r="H734">
            <v>88</v>
          </cell>
          <cell r="I734">
            <v>50098</v>
          </cell>
          <cell r="J734">
            <v>15</v>
          </cell>
          <cell r="K734">
            <v>10055</v>
          </cell>
          <cell r="L734">
            <v>0</v>
          </cell>
          <cell r="M734">
            <v>276.69902912621359</v>
          </cell>
        </row>
        <row r="735">
          <cell r="B735">
            <v>250301</v>
          </cell>
          <cell r="C735" t="e">
            <v>#N/A</v>
          </cell>
          <cell r="D735" t="str">
            <v>253</v>
          </cell>
          <cell r="E735">
            <v>51088</v>
          </cell>
          <cell r="F735">
            <v>112</v>
          </cell>
          <cell r="G735">
            <v>50091</v>
          </cell>
          <cell r="H735">
            <v>25</v>
          </cell>
          <cell r="I735">
            <v>50101</v>
          </cell>
          <cell r="J735">
            <v>25</v>
          </cell>
          <cell r="K735" t="str">
            <v/>
          </cell>
          <cell r="L735">
            <v>0</v>
          </cell>
          <cell r="M735">
            <v>157.30246913580248</v>
          </cell>
        </row>
        <row r="736">
          <cell r="B736">
            <v>250302</v>
          </cell>
          <cell r="C736" t="e">
            <v>#N/A</v>
          </cell>
          <cell r="D736" t="str">
            <v>253</v>
          </cell>
          <cell r="E736">
            <v>51088</v>
          </cell>
          <cell r="F736">
            <v>112</v>
          </cell>
          <cell r="G736">
            <v>50099</v>
          </cell>
          <cell r="H736">
            <v>25</v>
          </cell>
          <cell r="I736">
            <v>50099</v>
          </cell>
          <cell r="J736">
            <v>25</v>
          </cell>
          <cell r="K736" t="str">
            <v/>
          </cell>
          <cell r="L736">
            <v>0</v>
          </cell>
          <cell r="M736">
            <v>168.87654320987653</v>
          </cell>
        </row>
        <row r="737">
          <cell r="B737">
            <v>250303</v>
          </cell>
          <cell r="C737" t="e">
            <v>#N/A</v>
          </cell>
          <cell r="D737" t="str">
            <v>253</v>
          </cell>
          <cell r="E737">
            <v>51088</v>
          </cell>
          <cell r="F737">
            <v>112</v>
          </cell>
          <cell r="G737">
            <v>50096</v>
          </cell>
          <cell r="H737">
            <v>25</v>
          </cell>
          <cell r="I737">
            <v>50100</v>
          </cell>
          <cell r="J737">
            <v>25</v>
          </cell>
          <cell r="K737" t="str">
            <v/>
          </cell>
          <cell r="L737">
            <v>0</v>
          </cell>
          <cell r="M737">
            <v>157.30246913580248</v>
          </cell>
        </row>
        <row r="738">
          <cell r="B738">
            <v>250304</v>
          </cell>
          <cell r="C738" t="e">
            <v>#N/A</v>
          </cell>
          <cell r="D738" t="str">
            <v>253</v>
          </cell>
          <cell r="E738">
            <v>51088</v>
          </cell>
          <cell r="F738">
            <v>112</v>
          </cell>
          <cell r="G738">
            <v>50097</v>
          </cell>
          <cell r="H738">
            <v>25</v>
          </cell>
          <cell r="I738">
            <v>50094</v>
          </cell>
          <cell r="J738">
            <v>25</v>
          </cell>
          <cell r="K738" t="str">
            <v/>
          </cell>
          <cell r="L738">
            <v>0</v>
          </cell>
          <cell r="M738">
            <v>157.30246913580248</v>
          </cell>
        </row>
        <row r="739">
          <cell r="B739">
            <v>250305</v>
          </cell>
          <cell r="C739" t="e">
            <v>#N/A</v>
          </cell>
          <cell r="D739" t="str">
            <v>253</v>
          </cell>
          <cell r="E739">
            <v>51088</v>
          </cell>
          <cell r="F739">
            <v>112</v>
          </cell>
          <cell r="G739">
            <v>50078</v>
          </cell>
          <cell r="H739">
            <v>25</v>
          </cell>
          <cell r="I739">
            <v>50135</v>
          </cell>
          <cell r="J739">
            <v>25</v>
          </cell>
          <cell r="K739" t="str">
            <v/>
          </cell>
          <cell r="L739">
            <v>0</v>
          </cell>
          <cell r="M739">
            <v>145.72839506172841</v>
          </cell>
        </row>
        <row r="740">
          <cell r="B740">
            <v>250308</v>
          </cell>
          <cell r="C740" t="e">
            <v>#N/A</v>
          </cell>
          <cell r="D740" t="str">
            <v>253</v>
          </cell>
          <cell r="E740">
            <v>52000</v>
          </cell>
          <cell r="F740">
            <v>3.09</v>
          </cell>
          <cell r="G740">
            <v>50122</v>
          </cell>
          <cell r="H740">
            <v>88</v>
          </cell>
          <cell r="I740">
            <v>50094</v>
          </cell>
          <cell r="J740">
            <v>15</v>
          </cell>
          <cell r="K740">
            <v>10087</v>
          </cell>
          <cell r="L740">
            <v>0</v>
          </cell>
          <cell r="M740">
            <v>266.09482514845882</v>
          </cell>
        </row>
        <row r="741">
          <cell r="B741">
            <v>250401</v>
          </cell>
          <cell r="C741" t="e">
            <v>#N/A</v>
          </cell>
          <cell r="D741" t="str">
            <v>254</v>
          </cell>
          <cell r="E741">
            <v>51088</v>
          </cell>
          <cell r="F741">
            <v>112</v>
          </cell>
          <cell r="G741">
            <v>50078</v>
          </cell>
          <cell r="H741">
            <v>25</v>
          </cell>
          <cell r="I741">
            <v>50079</v>
          </cell>
          <cell r="J741">
            <v>25</v>
          </cell>
          <cell r="K741" t="str">
            <v/>
          </cell>
          <cell r="L741">
            <v>0</v>
          </cell>
          <cell r="M741">
            <v>145.72839506172841</v>
          </cell>
        </row>
        <row r="742">
          <cell r="B742">
            <v>250402</v>
          </cell>
          <cell r="C742" t="e">
            <v>#N/A</v>
          </cell>
          <cell r="D742" t="str">
            <v>254</v>
          </cell>
          <cell r="E742">
            <v>51088</v>
          </cell>
          <cell r="F742">
            <v>112</v>
          </cell>
          <cell r="G742">
            <v>50100</v>
          </cell>
          <cell r="H742">
            <v>25</v>
          </cell>
          <cell r="I742">
            <v>50095</v>
          </cell>
          <cell r="J742">
            <v>25</v>
          </cell>
          <cell r="K742" t="str">
            <v/>
          </cell>
          <cell r="L742">
            <v>0</v>
          </cell>
          <cell r="M742">
            <v>157.30246913580248</v>
          </cell>
        </row>
        <row r="743">
          <cell r="B743">
            <v>250403</v>
          </cell>
          <cell r="C743" t="e">
            <v>#N/A</v>
          </cell>
          <cell r="D743" t="str">
            <v>254</v>
          </cell>
          <cell r="E743">
            <v>51088</v>
          </cell>
          <cell r="F743">
            <v>112</v>
          </cell>
          <cell r="G743">
            <v>50102</v>
          </cell>
          <cell r="H743">
            <v>25</v>
          </cell>
          <cell r="I743">
            <v>50095</v>
          </cell>
          <cell r="J743">
            <v>25</v>
          </cell>
          <cell r="K743" t="str">
            <v/>
          </cell>
          <cell r="L743">
            <v>0</v>
          </cell>
          <cell r="M743">
            <v>157.30246913580248</v>
          </cell>
        </row>
        <row r="744">
          <cell r="B744">
            <v>250404</v>
          </cell>
          <cell r="C744" t="e">
            <v>#N/A</v>
          </cell>
          <cell r="D744" t="str">
            <v>254</v>
          </cell>
          <cell r="E744">
            <v>51088</v>
          </cell>
          <cell r="F744">
            <v>112</v>
          </cell>
          <cell r="G744">
            <v>50078</v>
          </cell>
          <cell r="H744">
            <v>25</v>
          </cell>
          <cell r="I744">
            <v>50091</v>
          </cell>
          <cell r="J744">
            <v>25</v>
          </cell>
          <cell r="K744" t="str">
            <v/>
          </cell>
          <cell r="L744">
            <v>0</v>
          </cell>
          <cell r="M744">
            <v>145.72839506172841</v>
          </cell>
        </row>
        <row r="745">
          <cell r="B745">
            <v>250405</v>
          </cell>
          <cell r="C745" t="e">
            <v>#N/A</v>
          </cell>
          <cell r="D745" t="str">
            <v>254</v>
          </cell>
          <cell r="E745">
            <v>51088</v>
          </cell>
          <cell r="F745">
            <v>112</v>
          </cell>
          <cell r="G745">
            <v>50119</v>
          </cell>
          <cell r="H745">
            <v>25</v>
          </cell>
          <cell r="I745">
            <v>50099</v>
          </cell>
          <cell r="J745">
            <v>25</v>
          </cell>
          <cell r="K745" t="str">
            <v/>
          </cell>
          <cell r="L745">
            <v>0</v>
          </cell>
          <cell r="M745">
            <v>150.35802469135803</v>
          </cell>
        </row>
        <row r="746">
          <cell r="B746">
            <v>250408</v>
          </cell>
          <cell r="C746" t="e">
            <v>#N/A</v>
          </cell>
          <cell r="D746" t="str">
            <v>254</v>
          </cell>
          <cell r="E746">
            <v>52000</v>
          </cell>
          <cell r="F746">
            <v>3.09</v>
          </cell>
          <cell r="G746">
            <v>50122</v>
          </cell>
          <cell r="H746">
            <v>88</v>
          </cell>
          <cell r="I746">
            <v>50095</v>
          </cell>
          <cell r="J746">
            <v>15</v>
          </cell>
          <cell r="K746">
            <v>10119</v>
          </cell>
          <cell r="L746">
            <v>0</v>
          </cell>
          <cell r="M746">
            <v>266.09482514845882</v>
          </cell>
        </row>
        <row r="747">
          <cell r="B747">
            <v>250501</v>
          </cell>
          <cell r="C747" t="e">
            <v>#N/A</v>
          </cell>
          <cell r="D747" t="str">
            <v>255</v>
          </cell>
          <cell r="E747">
            <v>51089</v>
          </cell>
          <cell r="F747">
            <v>111</v>
          </cell>
          <cell r="G747">
            <v>50093</v>
          </cell>
          <cell r="H747">
            <v>25</v>
          </cell>
          <cell r="I747">
            <v>50093</v>
          </cell>
          <cell r="J747">
            <v>25</v>
          </cell>
          <cell r="K747" t="str">
            <v/>
          </cell>
          <cell r="L747">
            <v>0</v>
          </cell>
          <cell r="M747">
            <v>146.86956521739131</v>
          </cell>
        </row>
        <row r="748">
          <cell r="B748">
            <v>250502</v>
          </cell>
          <cell r="C748" t="e">
            <v>#N/A</v>
          </cell>
          <cell r="D748" t="str">
            <v>255</v>
          </cell>
          <cell r="E748">
            <v>51089</v>
          </cell>
          <cell r="F748">
            <v>111</v>
          </cell>
          <cell r="G748">
            <v>50091</v>
          </cell>
          <cell r="H748">
            <v>25</v>
          </cell>
          <cell r="I748">
            <v>50091</v>
          </cell>
          <cell r="J748">
            <v>25</v>
          </cell>
          <cell r="K748" t="str">
            <v/>
          </cell>
          <cell r="L748">
            <v>0</v>
          </cell>
          <cell r="M748">
            <v>146.86956521739131</v>
          </cell>
        </row>
        <row r="749">
          <cell r="B749">
            <v>250503</v>
          </cell>
          <cell r="C749" t="e">
            <v>#N/A</v>
          </cell>
          <cell r="D749" t="str">
            <v>255</v>
          </cell>
          <cell r="E749">
            <v>51089</v>
          </cell>
          <cell r="F749">
            <v>111</v>
          </cell>
          <cell r="G749">
            <v>50079</v>
          </cell>
          <cell r="H749">
            <v>25</v>
          </cell>
          <cell r="I749">
            <v>50101</v>
          </cell>
          <cell r="J749">
            <v>25</v>
          </cell>
          <cell r="K749" t="str">
            <v/>
          </cell>
          <cell r="L749">
            <v>0</v>
          </cell>
          <cell r="M749">
            <v>158.51552795031057</v>
          </cell>
        </row>
        <row r="750">
          <cell r="B750">
            <v>250504</v>
          </cell>
          <cell r="C750" t="e">
            <v>#N/A</v>
          </cell>
          <cell r="D750" t="str">
            <v>255</v>
          </cell>
          <cell r="E750">
            <v>51089</v>
          </cell>
          <cell r="F750">
            <v>111</v>
          </cell>
          <cell r="G750">
            <v>50094</v>
          </cell>
          <cell r="H750">
            <v>25</v>
          </cell>
          <cell r="I750">
            <v>50092</v>
          </cell>
          <cell r="J750">
            <v>25</v>
          </cell>
          <cell r="K750" t="str">
            <v/>
          </cell>
          <cell r="L750">
            <v>0</v>
          </cell>
          <cell r="M750">
            <v>146.86956521739131</v>
          </cell>
        </row>
        <row r="751">
          <cell r="B751">
            <v>250505</v>
          </cell>
          <cell r="C751" t="e">
            <v>#N/A</v>
          </cell>
          <cell r="D751" t="str">
            <v>255</v>
          </cell>
          <cell r="E751">
            <v>51089</v>
          </cell>
          <cell r="F751">
            <v>111</v>
          </cell>
          <cell r="G751">
            <v>50135</v>
          </cell>
          <cell r="H751">
            <v>25</v>
          </cell>
          <cell r="I751">
            <v>50079</v>
          </cell>
          <cell r="J751">
            <v>25</v>
          </cell>
          <cell r="K751" t="str">
            <v/>
          </cell>
          <cell r="L751">
            <v>0</v>
          </cell>
          <cell r="M751">
            <v>146.86956521739131</v>
          </cell>
        </row>
        <row r="752">
          <cell r="B752">
            <v>250508</v>
          </cell>
          <cell r="C752" t="e">
            <v>#N/A</v>
          </cell>
          <cell r="D752" t="str">
            <v>255</v>
          </cell>
          <cell r="E752">
            <v>52000</v>
          </cell>
          <cell r="F752">
            <v>3.09</v>
          </cell>
          <cell r="G752">
            <v>50122</v>
          </cell>
          <cell r="H752">
            <v>88</v>
          </cell>
          <cell r="I752">
            <v>50095</v>
          </cell>
          <cell r="J752">
            <v>15</v>
          </cell>
          <cell r="K752">
            <v>10151</v>
          </cell>
          <cell r="L752">
            <v>0</v>
          </cell>
          <cell r="M752">
            <v>266.09482514845882</v>
          </cell>
        </row>
        <row r="753">
          <cell r="B753">
            <v>260101</v>
          </cell>
          <cell r="C753" t="e">
            <v>#N/A</v>
          </cell>
          <cell r="D753" t="str">
            <v>261</v>
          </cell>
          <cell r="E753">
            <v>51090</v>
          </cell>
          <cell r="F753">
            <v>110</v>
          </cell>
          <cell r="G753">
            <v>50090</v>
          </cell>
          <cell r="H753">
            <v>25</v>
          </cell>
          <cell r="I753">
            <v>50093</v>
          </cell>
          <cell r="J753">
            <v>25</v>
          </cell>
          <cell r="K753" t="str">
            <v/>
          </cell>
          <cell r="L753">
            <v>0</v>
          </cell>
          <cell r="M753">
            <v>148</v>
          </cell>
        </row>
        <row r="754">
          <cell r="B754">
            <v>260102</v>
          </cell>
          <cell r="C754" t="e">
            <v>#N/A</v>
          </cell>
          <cell r="D754" t="str">
            <v>261</v>
          </cell>
          <cell r="E754">
            <v>51090</v>
          </cell>
          <cell r="F754">
            <v>110</v>
          </cell>
          <cell r="G754">
            <v>50157</v>
          </cell>
          <cell r="H754">
            <v>25</v>
          </cell>
          <cell r="I754">
            <v>50098</v>
          </cell>
          <cell r="J754">
            <v>25</v>
          </cell>
          <cell r="K754" t="str">
            <v/>
          </cell>
          <cell r="L754">
            <v>0</v>
          </cell>
          <cell r="M754">
            <v>152.6875</v>
          </cell>
        </row>
        <row r="755">
          <cell r="B755">
            <v>260103</v>
          </cell>
          <cell r="C755" t="e">
            <v>#N/A</v>
          </cell>
          <cell r="D755" t="str">
            <v>261</v>
          </cell>
          <cell r="E755">
            <v>51090</v>
          </cell>
          <cell r="F755">
            <v>110</v>
          </cell>
          <cell r="G755">
            <v>50090</v>
          </cell>
          <cell r="H755">
            <v>25</v>
          </cell>
          <cell r="I755">
            <v>50079</v>
          </cell>
          <cell r="J755">
            <v>25</v>
          </cell>
          <cell r="K755" t="str">
            <v/>
          </cell>
          <cell r="L755">
            <v>0</v>
          </cell>
          <cell r="M755">
            <v>148</v>
          </cell>
        </row>
        <row r="756">
          <cell r="B756">
            <v>260104</v>
          </cell>
          <cell r="C756" t="e">
            <v>#N/A</v>
          </cell>
          <cell r="D756" t="str">
            <v>261</v>
          </cell>
          <cell r="E756">
            <v>51090</v>
          </cell>
          <cell r="F756">
            <v>110</v>
          </cell>
          <cell r="G756">
            <v>50092</v>
          </cell>
          <cell r="H756">
            <v>25</v>
          </cell>
          <cell r="I756">
            <v>50078</v>
          </cell>
          <cell r="J756">
            <v>25</v>
          </cell>
          <cell r="K756" t="str">
            <v/>
          </cell>
          <cell r="L756">
            <v>0</v>
          </cell>
          <cell r="M756">
            <v>148</v>
          </cell>
        </row>
        <row r="757">
          <cell r="B757">
            <v>260105</v>
          </cell>
          <cell r="C757" t="e">
            <v>#N/A</v>
          </cell>
          <cell r="D757" t="str">
            <v>261</v>
          </cell>
          <cell r="E757">
            <v>51090</v>
          </cell>
          <cell r="F757">
            <v>110</v>
          </cell>
          <cell r="G757">
            <v>50096</v>
          </cell>
          <cell r="H757">
            <v>25</v>
          </cell>
          <cell r="I757">
            <v>50102</v>
          </cell>
          <cell r="J757">
            <v>25</v>
          </cell>
          <cell r="K757" t="str">
            <v/>
          </cell>
          <cell r="L757">
            <v>0</v>
          </cell>
          <cell r="M757">
            <v>159.71875</v>
          </cell>
        </row>
        <row r="758">
          <cell r="B758">
            <v>260108</v>
          </cell>
          <cell r="C758" t="e">
            <v>#N/A</v>
          </cell>
          <cell r="D758" t="str">
            <v>261</v>
          </cell>
          <cell r="E758">
            <v>52000</v>
          </cell>
          <cell r="F758">
            <v>3.09</v>
          </cell>
          <cell r="G758">
            <v>50122</v>
          </cell>
          <cell r="H758">
            <v>88</v>
          </cell>
          <cell r="I758">
            <v>50079</v>
          </cell>
          <cell r="J758">
            <v>15</v>
          </cell>
          <cell r="K758">
            <v>10183</v>
          </cell>
          <cell r="L758">
            <v>0</v>
          </cell>
          <cell r="M758">
            <v>266.09482514845882</v>
          </cell>
        </row>
        <row r="759">
          <cell r="B759">
            <v>260201</v>
          </cell>
          <cell r="C759" t="e">
            <v>#N/A</v>
          </cell>
          <cell r="D759" t="str">
            <v>262</v>
          </cell>
          <cell r="E759">
            <v>51090</v>
          </cell>
          <cell r="F759">
            <v>110</v>
          </cell>
          <cell r="G759">
            <v>50091</v>
          </cell>
          <cell r="H759">
            <v>25</v>
          </cell>
          <cell r="I759">
            <v>50102</v>
          </cell>
          <cell r="J759">
            <v>25</v>
          </cell>
          <cell r="K759" t="str">
            <v/>
          </cell>
          <cell r="L759">
            <v>0</v>
          </cell>
          <cell r="M759">
            <v>159.71875</v>
          </cell>
        </row>
        <row r="760">
          <cell r="B760">
            <v>260202</v>
          </cell>
          <cell r="C760" t="e">
            <v>#N/A</v>
          </cell>
          <cell r="D760" t="str">
            <v>262</v>
          </cell>
          <cell r="E760">
            <v>51090</v>
          </cell>
          <cell r="F760">
            <v>110</v>
          </cell>
          <cell r="G760">
            <v>50098</v>
          </cell>
          <cell r="H760">
            <v>25</v>
          </cell>
          <cell r="I760">
            <v>50135</v>
          </cell>
          <cell r="J760">
            <v>25</v>
          </cell>
          <cell r="K760" t="str">
            <v/>
          </cell>
          <cell r="L760">
            <v>0</v>
          </cell>
          <cell r="M760">
            <v>159.71875</v>
          </cell>
        </row>
        <row r="761">
          <cell r="B761">
            <v>260203</v>
          </cell>
          <cell r="C761" t="e">
            <v>#N/A</v>
          </cell>
          <cell r="D761" t="str">
            <v>262</v>
          </cell>
          <cell r="E761">
            <v>51090</v>
          </cell>
          <cell r="F761">
            <v>110</v>
          </cell>
          <cell r="G761">
            <v>50135</v>
          </cell>
          <cell r="H761">
            <v>25</v>
          </cell>
          <cell r="I761">
            <v>50079</v>
          </cell>
          <cell r="J761">
            <v>25</v>
          </cell>
          <cell r="K761" t="str">
            <v/>
          </cell>
          <cell r="L761">
            <v>0</v>
          </cell>
          <cell r="M761">
            <v>148</v>
          </cell>
        </row>
        <row r="762">
          <cell r="B762">
            <v>260204</v>
          </cell>
          <cell r="C762" t="e">
            <v>#N/A</v>
          </cell>
          <cell r="D762" t="str">
            <v>262</v>
          </cell>
          <cell r="E762">
            <v>51090</v>
          </cell>
          <cell r="F762">
            <v>110</v>
          </cell>
          <cell r="G762">
            <v>50090</v>
          </cell>
          <cell r="H762">
            <v>25</v>
          </cell>
          <cell r="I762">
            <v>50094</v>
          </cell>
          <cell r="J762">
            <v>25</v>
          </cell>
          <cell r="K762" t="str">
            <v/>
          </cell>
          <cell r="L762">
            <v>0</v>
          </cell>
          <cell r="M762">
            <v>148</v>
          </cell>
        </row>
        <row r="763">
          <cell r="B763">
            <v>260205</v>
          </cell>
          <cell r="C763" t="e">
            <v>#N/A</v>
          </cell>
          <cell r="D763" t="str">
            <v>262</v>
          </cell>
          <cell r="E763">
            <v>51090</v>
          </cell>
          <cell r="F763">
            <v>110</v>
          </cell>
          <cell r="G763">
            <v>50095</v>
          </cell>
          <cell r="H763">
            <v>25</v>
          </cell>
          <cell r="I763">
            <v>50092</v>
          </cell>
          <cell r="J763">
            <v>25</v>
          </cell>
          <cell r="K763" t="str">
            <v/>
          </cell>
          <cell r="L763">
            <v>0</v>
          </cell>
          <cell r="M763">
            <v>148</v>
          </cell>
        </row>
        <row r="764">
          <cell r="B764">
            <v>260208</v>
          </cell>
          <cell r="C764" t="e">
            <v>#N/A</v>
          </cell>
          <cell r="D764" t="str">
            <v>262</v>
          </cell>
          <cell r="E764">
            <v>52000</v>
          </cell>
          <cell r="F764">
            <v>3.09</v>
          </cell>
          <cell r="G764">
            <v>50122</v>
          </cell>
          <cell r="H764">
            <v>88</v>
          </cell>
          <cell r="I764">
            <v>50101</v>
          </cell>
          <cell r="J764">
            <v>15</v>
          </cell>
          <cell r="K764">
            <v>10215</v>
          </cell>
          <cell r="L764">
            <v>0</v>
          </cell>
          <cell r="M764">
            <v>276.69902912621359</v>
          </cell>
        </row>
        <row r="765">
          <cell r="B765">
            <v>260301</v>
          </cell>
          <cell r="C765" t="e">
            <v>#N/A</v>
          </cell>
          <cell r="D765" t="str">
            <v>263</v>
          </cell>
          <cell r="E765">
            <v>51091</v>
          </cell>
          <cell r="F765">
            <v>109</v>
          </cell>
          <cell r="G765">
            <v>50119</v>
          </cell>
          <cell r="H765">
            <v>25</v>
          </cell>
          <cell r="I765">
            <v>50102</v>
          </cell>
          <cell r="J765">
            <v>25</v>
          </cell>
          <cell r="K765" t="str">
            <v/>
          </cell>
          <cell r="L765">
            <v>0</v>
          </cell>
          <cell r="M765">
            <v>153.83647798742138</v>
          </cell>
        </row>
        <row r="766">
          <cell r="B766">
            <v>260302</v>
          </cell>
          <cell r="C766" t="e">
            <v>#N/A</v>
          </cell>
          <cell r="D766" t="str">
            <v>263</v>
          </cell>
          <cell r="E766">
            <v>51091</v>
          </cell>
          <cell r="F766">
            <v>109</v>
          </cell>
          <cell r="G766">
            <v>50145</v>
          </cell>
          <cell r="H766">
            <v>25</v>
          </cell>
          <cell r="I766">
            <v>50094</v>
          </cell>
          <cell r="J766">
            <v>25</v>
          </cell>
          <cell r="K766" t="str">
            <v/>
          </cell>
          <cell r="L766">
            <v>0</v>
          </cell>
          <cell r="M766">
            <v>142.04402515723271</v>
          </cell>
        </row>
        <row r="767">
          <cell r="B767">
            <v>260303</v>
          </cell>
          <cell r="C767" t="e">
            <v>#N/A</v>
          </cell>
          <cell r="D767" t="str">
            <v>263</v>
          </cell>
          <cell r="E767">
            <v>51091</v>
          </cell>
          <cell r="F767">
            <v>109</v>
          </cell>
          <cell r="G767">
            <v>50145</v>
          </cell>
          <cell r="H767">
            <v>25</v>
          </cell>
          <cell r="I767">
            <v>50091</v>
          </cell>
          <cell r="J767">
            <v>25</v>
          </cell>
          <cell r="K767" t="str">
            <v/>
          </cell>
          <cell r="L767">
            <v>0</v>
          </cell>
          <cell r="M767">
            <v>142.04402515723271</v>
          </cell>
        </row>
        <row r="768">
          <cell r="B768">
            <v>260304</v>
          </cell>
          <cell r="C768" t="e">
            <v>#N/A</v>
          </cell>
          <cell r="D768" t="str">
            <v>263</v>
          </cell>
          <cell r="E768">
            <v>51091</v>
          </cell>
          <cell r="F768">
            <v>109</v>
          </cell>
          <cell r="G768">
            <v>50099</v>
          </cell>
          <cell r="H768">
            <v>25</v>
          </cell>
          <cell r="I768">
            <v>50097</v>
          </cell>
          <cell r="J768">
            <v>25</v>
          </cell>
          <cell r="K768" t="str">
            <v/>
          </cell>
          <cell r="L768">
            <v>0</v>
          </cell>
          <cell r="M768">
            <v>172.70440251572327</v>
          </cell>
        </row>
        <row r="769">
          <cell r="B769">
            <v>260305</v>
          </cell>
          <cell r="C769" t="e">
            <v>#N/A</v>
          </cell>
          <cell r="D769" t="str">
            <v>263</v>
          </cell>
          <cell r="E769">
            <v>51091</v>
          </cell>
          <cell r="F769">
            <v>109</v>
          </cell>
          <cell r="G769">
            <v>50102</v>
          </cell>
          <cell r="H769">
            <v>25</v>
          </cell>
          <cell r="I769">
            <v>50135</v>
          </cell>
          <cell r="J769">
            <v>25</v>
          </cell>
          <cell r="K769" t="str">
            <v/>
          </cell>
          <cell r="L769">
            <v>0</v>
          </cell>
          <cell r="M769">
            <v>160.91194968553458</v>
          </cell>
        </row>
        <row r="770">
          <cell r="B770">
            <v>260308</v>
          </cell>
          <cell r="C770" t="e">
            <v>#N/A</v>
          </cell>
          <cell r="D770" t="str">
            <v>263</v>
          </cell>
          <cell r="E770">
            <v>52000</v>
          </cell>
          <cell r="F770">
            <v>3.09</v>
          </cell>
          <cell r="G770">
            <v>50122</v>
          </cell>
          <cell r="H770">
            <v>88</v>
          </cell>
          <cell r="I770">
            <v>50091</v>
          </cell>
          <cell r="J770">
            <v>15</v>
          </cell>
          <cell r="K770">
            <v>10247</v>
          </cell>
          <cell r="L770">
            <v>0</v>
          </cell>
          <cell r="M770">
            <v>266.09482514845882</v>
          </cell>
        </row>
        <row r="771">
          <cell r="B771">
            <v>260401</v>
          </cell>
          <cell r="C771" t="e">
            <v>#N/A</v>
          </cell>
          <cell r="D771" t="str">
            <v>264</v>
          </cell>
          <cell r="E771">
            <v>51092</v>
          </cell>
          <cell r="F771">
            <v>108</v>
          </cell>
          <cell r="G771">
            <v>50119</v>
          </cell>
          <cell r="H771">
            <v>25</v>
          </cell>
          <cell r="I771">
            <v>50078</v>
          </cell>
          <cell r="J771">
            <v>25</v>
          </cell>
          <cell r="K771" t="str">
            <v/>
          </cell>
          <cell r="L771">
            <v>0</v>
          </cell>
          <cell r="M771">
            <v>143.10759493670886</v>
          </cell>
        </row>
        <row r="772">
          <cell r="B772">
            <v>260402</v>
          </cell>
          <cell r="C772" t="e">
            <v>#N/A</v>
          </cell>
          <cell r="D772" t="str">
            <v>264</v>
          </cell>
          <cell r="E772">
            <v>51092</v>
          </cell>
          <cell r="F772">
            <v>108</v>
          </cell>
          <cell r="G772">
            <v>50100</v>
          </cell>
          <cell r="H772">
            <v>25</v>
          </cell>
          <cell r="I772">
            <v>50079</v>
          </cell>
          <cell r="J772">
            <v>25</v>
          </cell>
          <cell r="K772" t="str">
            <v/>
          </cell>
          <cell r="L772">
            <v>0</v>
          </cell>
          <cell r="M772">
            <v>162.09493670886076</v>
          </cell>
        </row>
        <row r="773">
          <cell r="B773">
            <v>260403</v>
          </cell>
          <cell r="C773" t="e">
            <v>#N/A</v>
          </cell>
          <cell r="D773" t="str">
            <v>264</v>
          </cell>
          <cell r="E773">
            <v>51092</v>
          </cell>
          <cell r="F773">
            <v>108</v>
          </cell>
          <cell r="G773">
            <v>50100</v>
          </cell>
          <cell r="H773">
            <v>25</v>
          </cell>
          <cell r="I773">
            <v>50099</v>
          </cell>
          <cell r="J773">
            <v>25</v>
          </cell>
          <cell r="K773" t="str">
            <v/>
          </cell>
          <cell r="L773">
            <v>0</v>
          </cell>
          <cell r="M773">
            <v>173.96202531645571</v>
          </cell>
        </row>
        <row r="774">
          <cell r="B774">
            <v>260404</v>
          </cell>
          <cell r="C774" t="e">
            <v>#N/A</v>
          </cell>
          <cell r="D774" t="str">
            <v>264</v>
          </cell>
          <cell r="E774">
            <v>51092</v>
          </cell>
          <cell r="F774">
            <v>108</v>
          </cell>
          <cell r="G774">
            <v>50095</v>
          </cell>
          <cell r="H774">
            <v>25</v>
          </cell>
          <cell r="I774">
            <v>50091</v>
          </cell>
          <cell r="J774">
            <v>25</v>
          </cell>
          <cell r="K774" t="str">
            <v/>
          </cell>
          <cell r="L774">
            <v>0</v>
          </cell>
          <cell r="M774">
            <v>150.22784810126583</v>
          </cell>
        </row>
        <row r="775">
          <cell r="B775">
            <v>260405</v>
          </cell>
          <cell r="C775" t="e">
            <v>#N/A</v>
          </cell>
          <cell r="D775" t="str">
            <v>264</v>
          </cell>
          <cell r="E775">
            <v>51092</v>
          </cell>
          <cell r="F775">
            <v>108</v>
          </cell>
          <cell r="G775">
            <v>50091</v>
          </cell>
          <cell r="H775">
            <v>25</v>
          </cell>
          <cell r="I775">
            <v>50157</v>
          </cell>
          <cell r="J775">
            <v>25</v>
          </cell>
          <cell r="K775" t="str">
            <v/>
          </cell>
          <cell r="L775">
            <v>0</v>
          </cell>
          <cell r="M775">
            <v>143.10759493670886</v>
          </cell>
        </row>
        <row r="776">
          <cell r="B776">
            <v>260408</v>
          </cell>
          <cell r="C776" t="e">
            <v>#N/A</v>
          </cell>
          <cell r="D776" t="str">
            <v>264</v>
          </cell>
          <cell r="E776">
            <v>52000</v>
          </cell>
          <cell r="F776">
            <v>3.09</v>
          </cell>
          <cell r="G776">
            <v>50122</v>
          </cell>
          <cell r="H776">
            <v>88</v>
          </cell>
          <cell r="I776">
            <v>50099</v>
          </cell>
          <cell r="J776">
            <v>15</v>
          </cell>
          <cell r="K776">
            <v>10279</v>
          </cell>
          <cell r="L776">
            <v>0</v>
          </cell>
          <cell r="M776">
            <v>276.69902912621359</v>
          </cell>
        </row>
        <row r="777">
          <cell r="B777">
            <v>260501</v>
          </cell>
          <cell r="C777" t="e">
            <v>#N/A</v>
          </cell>
          <cell r="D777" t="str">
            <v>265</v>
          </cell>
          <cell r="E777">
            <v>51092</v>
          </cell>
          <cell r="F777">
            <v>108</v>
          </cell>
          <cell r="G777">
            <v>50091</v>
          </cell>
          <cell r="H777">
            <v>25</v>
          </cell>
          <cell r="I777">
            <v>50145</v>
          </cell>
          <cell r="J777">
            <v>25</v>
          </cell>
          <cell r="K777" t="str">
            <v/>
          </cell>
          <cell r="L777">
            <v>0</v>
          </cell>
          <cell r="M777">
            <v>143.10759493670886</v>
          </cell>
        </row>
        <row r="778">
          <cell r="B778">
            <v>260502</v>
          </cell>
          <cell r="C778" t="e">
            <v>#N/A</v>
          </cell>
          <cell r="D778" t="str">
            <v>265</v>
          </cell>
          <cell r="E778">
            <v>51092</v>
          </cell>
          <cell r="F778">
            <v>108</v>
          </cell>
          <cell r="G778">
            <v>50135</v>
          </cell>
          <cell r="H778">
            <v>25</v>
          </cell>
          <cell r="I778">
            <v>50135</v>
          </cell>
          <cell r="J778">
            <v>25</v>
          </cell>
          <cell r="K778" t="str">
            <v/>
          </cell>
          <cell r="L778">
            <v>0</v>
          </cell>
          <cell r="M778">
            <v>150.22784810126583</v>
          </cell>
        </row>
        <row r="779">
          <cell r="B779">
            <v>260503</v>
          </cell>
          <cell r="C779" t="e">
            <v>#N/A</v>
          </cell>
          <cell r="D779" t="str">
            <v>265</v>
          </cell>
          <cell r="E779">
            <v>51092</v>
          </cell>
          <cell r="F779">
            <v>108</v>
          </cell>
          <cell r="G779">
            <v>50101</v>
          </cell>
          <cell r="H779">
            <v>25</v>
          </cell>
          <cell r="I779">
            <v>50101</v>
          </cell>
          <cell r="J779">
            <v>25</v>
          </cell>
          <cell r="K779" t="str">
            <v/>
          </cell>
          <cell r="L779">
            <v>0</v>
          </cell>
          <cell r="M779">
            <v>173.96202531645571</v>
          </cell>
        </row>
        <row r="780">
          <cell r="B780">
            <v>260504</v>
          </cell>
          <cell r="C780" t="e">
            <v>#N/A</v>
          </cell>
          <cell r="D780" t="str">
            <v>265</v>
          </cell>
          <cell r="E780">
            <v>51092</v>
          </cell>
          <cell r="F780">
            <v>108</v>
          </cell>
          <cell r="G780">
            <v>50079</v>
          </cell>
          <cell r="H780">
            <v>25</v>
          </cell>
          <cell r="I780">
            <v>50099</v>
          </cell>
          <cell r="J780">
            <v>25</v>
          </cell>
          <cell r="K780" t="str">
            <v/>
          </cell>
          <cell r="L780">
            <v>0</v>
          </cell>
          <cell r="M780">
            <v>162.09493670886076</v>
          </cell>
        </row>
        <row r="781">
          <cell r="B781">
            <v>260505</v>
          </cell>
          <cell r="C781" t="e">
            <v>#N/A</v>
          </cell>
          <cell r="D781" t="str">
            <v>265</v>
          </cell>
          <cell r="E781">
            <v>51092</v>
          </cell>
          <cell r="F781">
            <v>108</v>
          </cell>
          <cell r="G781">
            <v>50100</v>
          </cell>
          <cell r="H781">
            <v>25</v>
          </cell>
          <cell r="I781">
            <v>50093</v>
          </cell>
          <cell r="J781">
            <v>25</v>
          </cell>
          <cell r="K781" t="str">
            <v/>
          </cell>
          <cell r="L781">
            <v>0</v>
          </cell>
          <cell r="M781">
            <v>162.09493670886076</v>
          </cell>
        </row>
        <row r="782">
          <cell r="B782">
            <v>260508</v>
          </cell>
          <cell r="C782" t="e">
            <v>#N/A</v>
          </cell>
          <cell r="D782" t="str">
            <v>265</v>
          </cell>
          <cell r="E782">
            <v>52000</v>
          </cell>
          <cell r="F782">
            <v>3.09</v>
          </cell>
          <cell r="G782">
            <v>50122</v>
          </cell>
          <cell r="H782">
            <v>88</v>
          </cell>
          <cell r="I782">
            <v>50145</v>
          </cell>
          <cell r="J782">
            <v>15</v>
          </cell>
          <cell r="K782">
            <v>10311</v>
          </cell>
          <cell r="L782">
            <v>0</v>
          </cell>
          <cell r="M782">
            <v>259.73230276180601</v>
          </cell>
        </row>
        <row r="783">
          <cell r="B783">
            <v>270101</v>
          </cell>
          <cell r="C783" t="e">
            <v>#N/A</v>
          </cell>
          <cell r="D783" t="str">
            <v>271</v>
          </cell>
          <cell r="E783">
            <v>51093</v>
          </cell>
          <cell r="F783">
            <v>107</v>
          </cell>
          <cell r="G783">
            <v>50103</v>
          </cell>
          <cell r="H783">
            <v>25</v>
          </cell>
          <cell r="I783">
            <v>50145</v>
          </cell>
          <cell r="J783">
            <v>25</v>
          </cell>
          <cell r="K783" t="str">
            <v/>
          </cell>
          <cell r="L783">
            <v>0</v>
          </cell>
          <cell r="M783">
            <v>156.10191082802547</v>
          </cell>
        </row>
        <row r="784">
          <cell r="B784">
            <v>270102</v>
          </cell>
          <cell r="C784" t="e">
            <v>#N/A</v>
          </cell>
          <cell r="D784" t="str">
            <v>271</v>
          </cell>
          <cell r="E784">
            <v>51093</v>
          </cell>
          <cell r="F784">
            <v>107</v>
          </cell>
          <cell r="G784">
            <v>50145</v>
          </cell>
          <cell r="H784">
            <v>25</v>
          </cell>
          <cell r="I784">
            <v>50099</v>
          </cell>
          <cell r="J784">
            <v>25</v>
          </cell>
          <cell r="K784" t="str">
            <v/>
          </cell>
          <cell r="L784">
            <v>0</v>
          </cell>
          <cell r="M784">
            <v>156.10191082802547</v>
          </cell>
        </row>
        <row r="785">
          <cell r="B785">
            <v>270103</v>
          </cell>
          <cell r="C785" t="e">
            <v>#N/A</v>
          </cell>
          <cell r="D785" t="str">
            <v>271</v>
          </cell>
          <cell r="E785">
            <v>51093</v>
          </cell>
          <cell r="F785">
            <v>107</v>
          </cell>
          <cell r="G785">
            <v>50103</v>
          </cell>
          <cell r="H785">
            <v>25</v>
          </cell>
          <cell r="I785">
            <v>50135</v>
          </cell>
          <cell r="J785">
            <v>25</v>
          </cell>
          <cell r="K785" t="str">
            <v/>
          </cell>
          <cell r="L785">
            <v>0</v>
          </cell>
          <cell r="M785">
            <v>163.26751592356689</v>
          </cell>
        </row>
        <row r="786">
          <cell r="B786">
            <v>270104</v>
          </cell>
          <cell r="C786" t="e">
            <v>#N/A</v>
          </cell>
          <cell r="D786" t="str">
            <v>271</v>
          </cell>
          <cell r="E786">
            <v>51093</v>
          </cell>
          <cell r="F786">
            <v>107</v>
          </cell>
          <cell r="G786">
            <v>50100</v>
          </cell>
          <cell r="H786">
            <v>25</v>
          </cell>
          <cell r="I786">
            <v>50157</v>
          </cell>
          <cell r="J786">
            <v>25</v>
          </cell>
          <cell r="K786" t="str">
            <v/>
          </cell>
          <cell r="L786">
            <v>0</v>
          </cell>
          <cell r="M786">
            <v>156.10191082802547</v>
          </cell>
        </row>
        <row r="787">
          <cell r="B787">
            <v>270105</v>
          </cell>
          <cell r="C787" t="e">
            <v>#N/A</v>
          </cell>
          <cell r="D787" t="str">
            <v>271</v>
          </cell>
          <cell r="E787">
            <v>51093</v>
          </cell>
          <cell r="F787">
            <v>107</v>
          </cell>
          <cell r="G787">
            <v>50102</v>
          </cell>
          <cell r="H787">
            <v>25</v>
          </cell>
          <cell r="I787">
            <v>50103</v>
          </cell>
          <cell r="J787">
            <v>25</v>
          </cell>
          <cell r="K787" t="str">
            <v/>
          </cell>
          <cell r="L787">
            <v>0</v>
          </cell>
          <cell r="M787">
            <v>175.21019108280254</v>
          </cell>
        </row>
        <row r="788">
          <cell r="B788">
            <v>270108</v>
          </cell>
          <cell r="C788" t="e">
            <v>#N/A</v>
          </cell>
          <cell r="D788" t="str">
            <v>271</v>
          </cell>
          <cell r="E788">
            <v>52000</v>
          </cell>
          <cell r="F788">
            <v>3.09</v>
          </cell>
          <cell r="G788">
            <v>50122</v>
          </cell>
          <cell r="H788">
            <v>88</v>
          </cell>
          <cell r="I788">
            <v>50102</v>
          </cell>
          <cell r="J788">
            <v>15</v>
          </cell>
          <cell r="K788">
            <v>10343</v>
          </cell>
          <cell r="L788">
            <v>0</v>
          </cell>
          <cell r="M788">
            <v>276.69902912621359</v>
          </cell>
        </row>
        <row r="789">
          <cell r="B789">
            <v>270201</v>
          </cell>
          <cell r="C789" t="e">
            <v>#N/A</v>
          </cell>
          <cell r="D789" t="str">
            <v>272</v>
          </cell>
          <cell r="E789">
            <v>51094</v>
          </cell>
          <cell r="F789">
            <v>106</v>
          </cell>
          <cell r="G789">
            <v>50094</v>
          </cell>
          <cell r="H789">
            <v>25</v>
          </cell>
          <cell r="I789">
            <v>50094</v>
          </cell>
          <cell r="J789">
            <v>25</v>
          </cell>
          <cell r="K789" t="str">
            <v/>
          </cell>
          <cell r="L789">
            <v>0</v>
          </cell>
          <cell r="M789">
            <v>152.41025641025641</v>
          </cell>
        </row>
        <row r="790">
          <cell r="B790">
            <v>270202</v>
          </cell>
          <cell r="C790" t="e">
            <v>#N/A</v>
          </cell>
          <cell r="D790" t="str">
            <v>272</v>
          </cell>
          <cell r="E790">
            <v>51094</v>
          </cell>
          <cell r="F790">
            <v>106</v>
          </cell>
          <cell r="G790">
            <v>50078</v>
          </cell>
          <cell r="H790">
            <v>25</v>
          </cell>
          <cell r="I790">
            <v>50090</v>
          </cell>
          <cell r="J790">
            <v>25</v>
          </cell>
          <cell r="K790" t="str">
            <v/>
          </cell>
          <cell r="L790">
            <v>0</v>
          </cell>
          <cell r="M790">
            <v>152.41025641025641</v>
          </cell>
        </row>
        <row r="791">
          <cell r="B791">
            <v>270203</v>
          </cell>
          <cell r="C791" t="e">
            <v>#N/A</v>
          </cell>
          <cell r="D791" t="str">
            <v>272</v>
          </cell>
          <cell r="E791">
            <v>51094</v>
          </cell>
          <cell r="F791">
            <v>106</v>
          </cell>
          <cell r="G791">
            <v>50135</v>
          </cell>
          <cell r="H791">
            <v>25</v>
          </cell>
          <cell r="I791">
            <v>50090</v>
          </cell>
          <cell r="J791">
            <v>25</v>
          </cell>
          <cell r="K791" t="str">
            <v/>
          </cell>
          <cell r="L791">
            <v>0</v>
          </cell>
          <cell r="M791">
            <v>152.41025641025641</v>
          </cell>
        </row>
        <row r="792">
          <cell r="B792">
            <v>270204</v>
          </cell>
          <cell r="C792" t="e">
            <v>#N/A</v>
          </cell>
          <cell r="D792" t="str">
            <v>272</v>
          </cell>
          <cell r="E792">
            <v>51094</v>
          </cell>
          <cell r="F792">
            <v>106</v>
          </cell>
          <cell r="G792">
            <v>50097</v>
          </cell>
          <cell r="H792">
            <v>25</v>
          </cell>
          <cell r="I792">
            <v>50157</v>
          </cell>
          <cell r="J792">
            <v>25</v>
          </cell>
          <cell r="K792" t="str">
            <v/>
          </cell>
          <cell r="L792">
            <v>0</v>
          </cell>
          <cell r="M792">
            <v>157.21794871794873</v>
          </cell>
        </row>
        <row r="793">
          <cell r="B793">
            <v>270205</v>
          </cell>
          <cell r="C793" t="e">
            <v>#N/A</v>
          </cell>
          <cell r="D793" t="str">
            <v>272</v>
          </cell>
          <cell r="E793">
            <v>51094</v>
          </cell>
          <cell r="F793">
            <v>106</v>
          </cell>
          <cell r="G793">
            <v>50079</v>
          </cell>
          <cell r="H793">
            <v>25</v>
          </cell>
          <cell r="I793">
            <v>50094</v>
          </cell>
          <cell r="J793">
            <v>25</v>
          </cell>
          <cell r="K793" t="str">
            <v/>
          </cell>
          <cell r="L793">
            <v>0</v>
          </cell>
          <cell r="M793">
            <v>152.41025641025641</v>
          </cell>
        </row>
        <row r="794">
          <cell r="B794">
            <v>270208</v>
          </cell>
          <cell r="C794" t="e">
            <v>#N/A</v>
          </cell>
          <cell r="D794" t="str">
            <v>272</v>
          </cell>
          <cell r="E794">
            <v>52000</v>
          </cell>
          <cell r="F794">
            <v>3.09</v>
          </cell>
          <cell r="G794">
            <v>50122</v>
          </cell>
          <cell r="H794">
            <v>88</v>
          </cell>
          <cell r="I794">
            <v>50091</v>
          </cell>
          <cell r="J794">
            <v>15</v>
          </cell>
          <cell r="K794">
            <v>10375</v>
          </cell>
          <cell r="L794">
            <v>0</v>
          </cell>
          <cell r="M794">
            <v>266.09482514845882</v>
          </cell>
        </row>
        <row r="795">
          <cell r="B795">
            <v>270301</v>
          </cell>
          <cell r="C795" t="e">
            <v>#N/A</v>
          </cell>
          <cell r="D795" t="str">
            <v>273</v>
          </cell>
          <cell r="E795">
            <v>51094</v>
          </cell>
          <cell r="F795">
            <v>106</v>
          </cell>
          <cell r="G795">
            <v>50095</v>
          </cell>
          <cell r="H795">
            <v>25</v>
          </cell>
          <cell r="I795">
            <v>50079</v>
          </cell>
          <cell r="J795">
            <v>25</v>
          </cell>
          <cell r="K795" t="str">
            <v/>
          </cell>
          <cell r="L795">
            <v>0</v>
          </cell>
          <cell r="M795">
            <v>152.41025641025641</v>
          </cell>
        </row>
        <row r="796">
          <cell r="B796">
            <v>270302</v>
          </cell>
          <cell r="C796" t="e">
            <v>#N/A</v>
          </cell>
          <cell r="D796" t="str">
            <v>273</v>
          </cell>
          <cell r="E796">
            <v>51094</v>
          </cell>
          <cell r="F796">
            <v>106</v>
          </cell>
          <cell r="G796">
            <v>50097</v>
          </cell>
          <cell r="H796">
            <v>25</v>
          </cell>
          <cell r="I796">
            <v>50145</v>
          </cell>
          <cell r="J796">
            <v>25</v>
          </cell>
          <cell r="K796" t="str">
            <v/>
          </cell>
          <cell r="L796">
            <v>0</v>
          </cell>
          <cell r="M796">
            <v>157.21794871794873</v>
          </cell>
        </row>
        <row r="797">
          <cell r="B797">
            <v>270303</v>
          </cell>
          <cell r="C797" t="e">
            <v>#N/A</v>
          </cell>
          <cell r="D797" t="str">
            <v>273</v>
          </cell>
          <cell r="E797">
            <v>51094</v>
          </cell>
          <cell r="F797">
            <v>106</v>
          </cell>
          <cell r="G797">
            <v>50101</v>
          </cell>
          <cell r="H797">
            <v>25</v>
          </cell>
          <cell r="I797">
            <v>50119</v>
          </cell>
          <cell r="J797">
            <v>25</v>
          </cell>
          <cell r="K797" t="str">
            <v/>
          </cell>
          <cell r="L797">
            <v>0</v>
          </cell>
          <cell r="M797">
            <v>157.21794871794873</v>
          </cell>
        </row>
        <row r="798">
          <cell r="B798">
            <v>270304</v>
          </cell>
          <cell r="C798" t="e">
            <v>#N/A</v>
          </cell>
          <cell r="D798" t="str">
            <v>273</v>
          </cell>
          <cell r="E798">
            <v>51094</v>
          </cell>
          <cell r="F798">
            <v>106</v>
          </cell>
          <cell r="G798">
            <v>50098</v>
          </cell>
          <cell r="H798">
            <v>25</v>
          </cell>
          <cell r="I798">
            <v>50097</v>
          </cell>
          <cell r="J798">
            <v>25</v>
          </cell>
          <cell r="K798" t="str">
            <v/>
          </cell>
          <cell r="L798">
            <v>0</v>
          </cell>
          <cell r="M798">
            <v>176.44871794871796</v>
          </cell>
        </row>
        <row r="799">
          <cell r="B799">
            <v>270305</v>
          </cell>
          <cell r="C799" t="e">
            <v>#N/A</v>
          </cell>
          <cell r="D799" t="str">
            <v>273</v>
          </cell>
          <cell r="E799">
            <v>51094</v>
          </cell>
          <cell r="F799">
            <v>106</v>
          </cell>
          <cell r="G799">
            <v>50103</v>
          </cell>
          <cell r="H799">
            <v>25</v>
          </cell>
          <cell r="I799">
            <v>50099</v>
          </cell>
          <cell r="J799">
            <v>25</v>
          </cell>
          <cell r="K799" t="str">
            <v/>
          </cell>
          <cell r="L799">
            <v>0</v>
          </cell>
          <cell r="M799">
            <v>176.44871794871796</v>
          </cell>
        </row>
        <row r="800">
          <cell r="B800">
            <v>270308</v>
          </cell>
          <cell r="C800" t="e">
            <v>#N/A</v>
          </cell>
          <cell r="D800" t="str">
            <v>273</v>
          </cell>
          <cell r="E800">
            <v>52000</v>
          </cell>
          <cell r="F800">
            <v>3.09</v>
          </cell>
          <cell r="G800">
            <v>50122</v>
          </cell>
          <cell r="H800">
            <v>88</v>
          </cell>
          <cell r="I800">
            <v>50103</v>
          </cell>
          <cell r="J800">
            <v>15</v>
          </cell>
          <cell r="K800">
            <v>10407</v>
          </cell>
          <cell r="L800">
            <v>0</v>
          </cell>
          <cell r="M800">
            <v>276.69902912621359</v>
          </cell>
        </row>
        <row r="801">
          <cell r="B801">
            <v>270401</v>
          </cell>
          <cell r="C801" t="e">
            <v>#N/A</v>
          </cell>
          <cell r="D801" t="str">
            <v>274</v>
          </cell>
          <cell r="E801">
            <v>51095</v>
          </cell>
          <cell r="F801">
            <v>105</v>
          </cell>
          <cell r="G801">
            <v>50099</v>
          </cell>
          <cell r="H801">
            <v>25</v>
          </cell>
          <cell r="I801">
            <v>50100</v>
          </cell>
          <cell r="J801">
            <v>25</v>
          </cell>
          <cell r="K801" t="str">
            <v/>
          </cell>
          <cell r="L801">
            <v>0</v>
          </cell>
          <cell r="M801">
            <v>177.67741935483872</v>
          </cell>
        </row>
        <row r="802">
          <cell r="B802">
            <v>270402</v>
          </cell>
          <cell r="C802" t="e">
            <v>#N/A</v>
          </cell>
          <cell r="D802" t="str">
            <v>274</v>
          </cell>
          <cell r="E802">
            <v>51095</v>
          </cell>
          <cell r="F802">
            <v>105</v>
          </cell>
          <cell r="G802">
            <v>50090</v>
          </cell>
          <cell r="H802">
            <v>25</v>
          </cell>
          <cell r="I802">
            <v>50078</v>
          </cell>
          <cell r="J802">
            <v>25</v>
          </cell>
          <cell r="K802" t="str">
            <v/>
          </cell>
          <cell r="L802">
            <v>0</v>
          </cell>
          <cell r="M802">
            <v>153.48387096774192</v>
          </cell>
        </row>
        <row r="803">
          <cell r="B803">
            <v>270403</v>
          </cell>
          <cell r="C803" t="e">
            <v>#N/A</v>
          </cell>
          <cell r="D803" t="str">
            <v>274</v>
          </cell>
          <cell r="E803">
            <v>51095</v>
          </cell>
          <cell r="F803">
            <v>105</v>
          </cell>
          <cell r="G803">
            <v>50100</v>
          </cell>
          <cell r="H803">
            <v>25</v>
          </cell>
          <cell r="I803">
            <v>50078</v>
          </cell>
          <cell r="J803">
            <v>25</v>
          </cell>
          <cell r="K803" t="str">
            <v/>
          </cell>
          <cell r="L803">
            <v>0</v>
          </cell>
          <cell r="M803">
            <v>165.58064516129033</v>
          </cell>
        </row>
        <row r="804">
          <cell r="B804">
            <v>270404</v>
          </cell>
          <cell r="C804" t="e">
            <v>#N/A</v>
          </cell>
          <cell r="D804" t="str">
            <v>274</v>
          </cell>
          <cell r="E804">
            <v>51095</v>
          </cell>
          <cell r="F804">
            <v>105</v>
          </cell>
          <cell r="G804">
            <v>50090</v>
          </cell>
          <cell r="H804">
            <v>25</v>
          </cell>
          <cell r="I804">
            <v>50078</v>
          </cell>
          <cell r="J804">
            <v>25</v>
          </cell>
          <cell r="K804" t="str">
            <v/>
          </cell>
          <cell r="L804">
            <v>0</v>
          </cell>
          <cell r="M804">
            <v>153.48387096774192</v>
          </cell>
        </row>
        <row r="805">
          <cell r="B805">
            <v>270405</v>
          </cell>
          <cell r="C805" t="e">
            <v>#N/A</v>
          </cell>
          <cell r="D805" t="str">
            <v>274</v>
          </cell>
          <cell r="E805">
            <v>51095</v>
          </cell>
          <cell r="F805">
            <v>105</v>
          </cell>
          <cell r="G805">
            <v>50094</v>
          </cell>
          <cell r="H805">
            <v>25</v>
          </cell>
          <cell r="I805">
            <v>50157</v>
          </cell>
          <cell r="J805">
            <v>25</v>
          </cell>
          <cell r="K805" t="str">
            <v/>
          </cell>
          <cell r="L805">
            <v>0</v>
          </cell>
          <cell r="M805">
            <v>146.2258064516129</v>
          </cell>
        </row>
        <row r="806">
          <cell r="B806">
            <v>270408</v>
          </cell>
          <cell r="C806" t="e">
            <v>#N/A</v>
          </cell>
          <cell r="D806" t="str">
            <v>274</v>
          </cell>
          <cell r="E806">
            <v>52000</v>
          </cell>
          <cell r="F806">
            <v>3.09</v>
          </cell>
          <cell r="G806">
            <v>50122</v>
          </cell>
          <cell r="H806">
            <v>88</v>
          </cell>
          <cell r="I806">
            <v>50097</v>
          </cell>
          <cell r="J806">
            <v>15</v>
          </cell>
          <cell r="K806">
            <v>10439</v>
          </cell>
          <cell r="L806">
            <v>0</v>
          </cell>
          <cell r="M806">
            <v>276.69902912621359</v>
          </cell>
        </row>
        <row r="807">
          <cell r="B807">
            <v>270501</v>
          </cell>
          <cell r="C807" t="e">
            <v>#N/A</v>
          </cell>
          <cell r="D807" t="str">
            <v>275</v>
          </cell>
          <cell r="E807">
            <v>51096</v>
          </cell>
          <cell r="F807">
            <v>104</v>
          </cell>
          <cell r="G807">
            <v>50135</v>
          </cell>
          <cell r="H807">
            <v>25</v>
          </cell>
          <cell r="I807">
            <v>50078</v>
          </cell>
          <cell r="J807">
            <v>25</v>
          </cell>
          <cell r="K807" t="str">
            <v/>
          </cell>
          <cell r="L807">
            <v>0</v>
          </cell>
          <cell r="M807">
            <v>154.54545454545453</v>
          </cell>
        </row>
        <row r="808">
          <cell r="B808">
            <v>270502</v>
          </cell>
          <cell r="C808" t="e">
            <v>#N/A</v>
          </cell>
          <cell r="D808" t="str">
            <v>275</v>
          </cell>
          <cell r="E808">
            <v>51096</v>
          </cell>
          <cell r="F808">
            <v>104</v>
          </cell>
          <cell r="G808">
            <v>50078</v>
          </cell>
          <cell r="H808">
            <v>25</v>
          </cell>
          <cell r="I808">
            <v>50145</v>
          </cell>
          <cell r="J808">
            <v>25</v>
          </cell>
          <cell r="K808" t="str">
            <v/>
          </cell>
          <cell r="L808">
            <v>0</v>
          </cell>
          <cell r="M808">
            <v>147.24025974025975</v>
          </cell>
        </row>
        <row r="809">
          <cell r="B809">
            <v>270503</v>
          </cell>
          <cell r="C809" t="e">
            <v>#N/A</v>
          </cell>
          <cell r="D809" t="str">
            <v>275</v>
          </cell>
          <cell r="E809">
            <v>51096</v>
          </cell>
          <cell r="F809">
            <v>104</v>
          </cell>
          <cell r="G809">
            <v>50097</v>
          </cell>
          <cell r="H809">
            <v>25</v>
          </cell>
          <cell r="I809">
            <v>50092</v>
          </cell>
          <cell r="J809">
            <v>25</v>
          </cell>
          <cell r="K809" t="str">
            <v/>
          </cell>
          <cell r="L809">
            <v>0</v>
          </cell>
          <cell r="M809">
            <v>166.72077922077921</v>
          </cell>
        </row>
        <row r="810">
          <cell r="B810">
            <v>270504</v>
          </cell>
          <cell r="C810" t="e">
            <v>#N/A</v>
          </cell>
          <cell r="D810" t="str">
            <v>275</v>
          </cell>
          <cell r="E810">
            <v>51096</v>
          </cell>
          <cell r="F810">
            <v>104</v>
          </cell>
          <cell r="G810">
            <v>50099</v>
          </cell>
          <cell r="H810">
            <v>25</v>
          </cell>
          <cell r="I810">
            <v>50090</v>
          </cell>
          <cell r="J810">
            <v>25</v>
          </cell>
          <cell r="K810" t="str">
            <v/>
          </cell>
          <cell r="L810">
            <v>0</v>
          </cell>
          <cell r="M810">
            <v>166.72077922077921</v>
          </cell>
        </row>
        <row r="811">
          <cell r="B811">
            <v>270505</v>
          </cell>
          <cell r="C811" t="e">
            <v>#N/A</v>
          </cell>
          <cell r="D811" t="str">
            <v>275</v>
          </cell>
          <cell r="E811">
            <v>51096</v>
          </cell>
          <cell r="F811">
            <v>104</v>
          </cell>
          <cell r="G811">
            <v>50099</v>
          </cell>
          <cell r="H811">
            <v>25</v>
          </cell>
          <cell r="I811">
            <v>50090</v>
          </cell>
          <cell r="J811">
            <v>25</v>
          </cell>
          <cell r="K811" t="str">
            <v/>
          </cell>
          <cell r="L811">
            <v>0</v>
          </cell>
          <cell r="M811">
            <v>166.72077922077921</v>
          </cell>
        </row>
        <row r="812">
          <cell r="B812">
            <v>270508</v>
          </cell>
          <cell r="C812" t="e">
            <v>#N/A</v>
          </cell>
          <cell r="D812" t="str">
            <v>275</v>
          </cell>
          <cell r="E812">
            <v>52000</v>
          </cell>
          <cell r="F812">
            <v>3.09</v>
          </cell>
          <cell r="G812">
            <v>50122</v>
          </cell>
          <cell r="H812">
            <v>88</v>
          </cell>
          <cell r="I812">
            <v>50100</v>
          </cell>
          <cell r="J812">
            <v>15</v>
          </cell>
          <cell r="K812">
            <v>10471</v>
          </cell>
          <cell r="L812">
            <v>0</v>
          </cell>
          <cell r="M812">
            <v>276.69902912621359</v>
          </cell>
        </row>
        <row r="813">
          <cell r="B813">
            <v>280101</v>
          </cell>
          <cell r="C813" t="e">
            <v>#N/A</v>
          </cell>
          <cell r="D813" t="str">
            <v>281</v>
          </cell>
          <cell r="E813">
            <v>51096</v>
          </cell>
          <cell r="F813">
            <v>104</v>
          </cell>
          <cell r="G813">
            <v>50097</v>
          </cell>
          <cell r="H813">
            <v>25</v>
          </cell>
          <cell r="I813">
            <v>50145</v>
          </cell>
          <cell r="J813">
            <v>25</v>
          </cell>
          <cell r="K813" t="str">
            <v/>
          </cell>
          <cell r="L813">
            <v>0</v>
          </cell>
          <cell r="M813">
            <v>159.41558441558442</v>
          </cell>
        </row>
        <row r="814">
          <cell r="B814">
            <v>280102</v>
          </cell>
          <cell r="C814" t="e">
            <v>#N/A</v>
          </cell>
          <cell r="D814" t="str">
            <v>281</v>
          </cell>
          <cell r="E814">
            <v>51096</v>
          </cell>
          <cell r="F814">
            <v>104</v>
          </cell>
          <cell r="G814">
            <v>50119</v>
          </cell>
          <cell r="H814">
            <v>25</v>
          </cell>
          <cell r="I814">
            <v>50092</v>
          </cell>
          <cell r="J814">
            <v>25</v>
          </cell>
          <cell r="K814" t="str">
            <v/>
          </cell>
          <cell r="L814">
            <v>0</v>
          </cell>
          <cell r="M814">
            <v>147.24025974025975</v>
          </cell>
        </row>
        <row r="815">
          <cell r="B815">
            <v>280103</v>
          </cell>
          <cell r="C815" t="e">
            <v>#N/A</v>
          </cell>
          <cell r="D815" t="str">
            <v>281</v>
          </cell>
          <cell r="E815">
            <v>51096</v>
          </cell>
          <cell r="F815">
            <v>104</v>
          </cell>
          <cell r="G815">
            <v>50100</v>
          </cell>
          <cell r="H815">
            <v>25</v>
          </cell>
          <cell r="I815">
            <v>50093</v>
          </cell>
          <cell r="J815">
            <v>25</v>
          </cell>
          <cell r="K815" t="str">
            <v/>
          </cell>
          <cell r="L815">
            <v>0</v>
          </cell>
          <cell r="M815">
            <v>166.72077922077921</v>
          </cell>
        </row>
        <row r="816">
          <cell r="B816">
            <v>280104</v>
          </cell>
          <cell r="C816" t="e">
            <v>#N/A</v>
          </cell>
          <cell r="D816" t="str">
            <v>281</v>
          </cell>
          <cell r="E816">
            <v>51096</v>
          </cell>
          <cell r="F816">
            <v>104</v>
          </cell>
          <cell r="G816">
            <v>50091</v>
          </cell>
          <cell r="H816">
            <v>25</v>
          </cell>
          <cell r="I816">
            <v>50093</v>
          </cell>
          <cell r="J816">
            <v>25</v>
          </cell>
          <cell r="K816" t="str">
            <v/>
          </cell>
          <cell r="L816">
            <v>0</v>
          </cell>
          <cell r="M816">
            <v>154.54545454545453</v>
          </cell>
        </row>
        <row r="817">
          <cell r="B817">
            <v>280105</v>
          </cell>
          <cell r="C817" t="e">
            <v>#N/A</v>
          </cell>
          <cell r="D817" t="str">
            <v>281</v>
          </cell>
          <cell r="E817">
            <v>51096</v>
          </cell>
          <cell r="F817">
            <v>104</v>
          </cell>
          <cell r="G817">
            <v>50094</v>
          </cell>
          <cell r="H817">
            <v>25</v>
          </cell>
          <cell r="I817">
            <v>50103</v>
          </cell>
          <cell r="J817">
            <v>25</v>
          </cell>
          <cell r="K817" t="str">
            <v/>
          </cell>
          <cell r="L817">
            <v>0</v>
          </cell>
          <cell r="M817">
            <v>166.72077922077921</v>
          </cell>
        </row>
        <row r="818">
          <cell r="B818">
            <v>280108</v>
          </cell>
          <cell r="C818" t="e">
            <v>#N/A</v>
          </cell>
          <cell r="D818" t="str">
            <v>281</v>
          </cell>
          <cell r="E818">
            <v>52000</v>
          </cell>
          <cell r="F818">
            <v>3.09</v>
          </cell>
          <cell r="G818">
            <v>50122</v>
          </cell>
          <cell r="H818">
            <v>88</v>
          </cell>
          <cell r="I818">
            <v>50096</v>
          </cell>
          <cell r="J818">
            <v>15</v>
          </cell>
          <cell r="K818">
            <v>10503</v>
          </cell>
          <cell r="L818">
            <v>0</v>
          </cell>
          <cell r="M818">
            <v>266.09482514845882</v>
          </cell>
        </row>
        <row r="819">
          <cell r="B819">
            <v>280201</v>
          </cell>
          <cell r="C819" t="e">
            <v>#N/A</v>
          </cell>
          <cell r="D819" t="str">
            <v>282</v>
          </cell>
          <cell r="E819">
            <v>51097</v>
          </cell>
          <cell r="F819">
            <v>103</v>
          </cell>
          <cell r="G819">
            <v>50078</v>
          </cell>
          <cell r="H819">
            <v>25</v>
          </cell>
          <cell r="I819">
            <v>50095</v>
          </cell>
          <cell r="J819">
            <v>25</v>
          </cell>
          <cell r="K819" t="str">
            <v/>
          </cell>
          <cell r="L819">
            <v>0</v>
          </cell>
          <cell r="M819">
            <v>155.59477124183007</v>
          </cell>
        </row>
        <row r="820">
          <cell r="B820">
            <v>280202</v>
          </cell>
          <cell r="C820" t="e">
            <v>#N/A</v>
          </cell>
          <cell r="D820" t="str">
            <v>282</v>
          </cell>
          <cell r="E820">
            <v>51097</v>
          </cell>
          <cell r="F820">
            <v>103</v>
          </cell>
          <cell r="G820">
            <v>50092</v>
          </cell>
          <cell r="H820">
            <v>25</v>
          </cell>
          <cell r="I820">
            <v>50078</v>
          </cell>
          <cell r="J820">
            <v>25</v>
          </cell>
          <cell r="K820" t="str">
            <v/>
          </cell>
          <cell r="L820">
            <v>0</v>
          </cell>
          <cell r="M820">
            <v>155.59477124183007</v>
          </cell>
        </row>
        <row r="821">
          <cell r="B821">
            <v>280203</v>
          </cell>
          <cell r="C821" t="e">
            <v>#N/A</v>
          </cell>
          <cell r="D821" t="str">
            <v>282</v>
          </cell>
          <cell r="E821">
            <v>51097</v>
          </cell>
          <cell r="F821">
            <v>103</v>
          </cell>
          <cell r="G821">
            <v>50094</v>
          </cell>
          <cell r="H821">
            <v>25</v>
          </cell>
          <cell r="I821">
            <v>50093</v>
          </cell>
          <cell r="J821">
            <v>25</v>
          </cell>
          <cell r="K821" t="str">
            <v/>
          </cell>
          <cell r="L821">
            <v>0</v>
          </cell>
          <cell r="M821">
            <v>155.59477124183007</v>
          </cell>
        </row>
        <row r="822">
          <cell r="B822">
            <v>280204</v>
          </cell>
          <cell r="C822" t="e">
            <v>#N/A</v>
          </cell>
          <cell r="D822" t="str">
            <v>282</v>
          </cell>
          <cell r="E822">
            <v>51097</v>
          </cell>
          <cell r="F822">
            <v>103</v>
          </cell>
          <cell r="G822">
            <v>50079</v>
          </cell>
          <cell r="H822">
            <v>25</v>
          </cell>
          <cell r="I822">
            <v>50094</v>
          </cell>
          <cell r="J822">
            <v>25</v>
          </cell>
          <cell r="K822" t="str">
            <v/>
          </cell>
          <cell r="L822">
            <v>0</v>
          </cell>
          <cell r="M822">
            <v>155.59477124183007</v>
          </cell>
        </row>
        <row r="823">
          <cell r="B823">
            <v>280205</v>
          </cell>
          <cell r="C823" t="e">
            <v>#N/A</v>
          </cell>
          <cell r="D823" t="str">
            <v>282</v>
          </cell>
          <cell r="E823">
            <v>51097</v>
          </cell>
          <cell r="F823">
            <v>103</v>
          </cell>
          <cell r="G823">
            <v>50093</v>
          </cell>
          <cell r="H823">
            <v>25</v>
          </cell>
          <cell r="I823">
            <v>50092</v>
          </cell>
          <cell r="J823">
            <v>25</v>
          </cell>
          <cell r="K823" t="str">
            <v/>
          </cell>
          <cell r="L823">
            <v>0</v>
          </cell>
          <cell r="M823">
            <v>155.59477124183007</v>
          </cell>
        </row>
        <row r="824">
          <cell r="B824">
            <v>280208</v>
          </cell>
          <cell r="C824" t="e">
            <v>#N/A</v>
          </cell>
          <cell r="D824" t="str">
            <v>282</v>
          </cell>
          <cell r="E824">
            <v>52000</v>
          </cell>
          <cell r="F824">
            <v>3.09</v>
          </cell>
          <cell r="G824">
            <v>50122</v>
          </cell>
          <cell r="H824">
            <v>88</v>
          </cell>
          <cell r="I824">
            <v>50103</v>
          </cell>
          <cell r="J824">
            <v>15</v>
          </cell>
          <cell r="K824">
            <v>10535</v>
          </cell>
          <cell r="L824">
            <v>0</v>
          </cell>
          <cell r="M824">
            <v>276.69902912621359</v>
          </cell>
        </row>
        <row r="825">
          <cell r="B825">
            <v>280301</v>
          </cell>
          <cell r="C825" t="e">
            <v>#N/A</v>
          </cell>
          <cell r="D825" t="str">
            <v>283</v>
          </cell>
          <cell r="E825">
            <v>51098</v>
          </cell>
          <cell r="F825">
            <v>102</v>
          </cell>
          <cell r="G825">
            <v>50099</v>
          </cell>
          <cell r="H825">
            <v>25</v>
          </cell>
          <cell r="I825">
            <v>50101</v>
          </cell>
          <cell r="J825">
            <v>25</v>
          </cell>
          <cell r="K825" t="str">
            <v/>
          </cell>
          <cell r="L825">
            <v>0</v>
          </cell>
          <cell r="M825">
            <v>181.30263157894737</v>
          </cell>
        </row>
        <row r="826">
          <cell r="B826">
            <v>280302</v>
          </cell>
          <cell r="C826" t="e">
            <v>#N/A</v>
          </cell>
          <cell r="D826" t="str">
            <v>283</v>
          </cell>
          <cell r="E826">
            <v>51098</v>
          </cell>
          <cell r="F826">
            <v>102</v>
          </cell>
          <cell r="G826">
            <v>50093</v>
          </cell>
          <cell r="H826">
            <v>25</v>
          </cell>
          <cell r="I826">
            <v>50078</v>
          </cell>
          <cell r="J826">
            <v>25</v>
          </cell>
          <cell r="K826" t="str">
            <v/>
          </cell>
          <cell r="L826">
            <v>0</v>
          </cell>
          <cell r="M826">
            <v>156.63157894736841</v>
          </cell>
        </row>
        <row r="827">
          <cell r="B827">
            <v>280303</v>
          </cell>
          <cell r="C827" t="e">
            <v>#N/A</v>
          </cell>
          <cell r="D827" t="str">
            <v>283</v>
          </cell>
          <cell r="E827">
            <v>51098</v>
          </cell>
          <cell r="F827">
            <v>102</v>
          </cell>
          <cell r="G827">
            <v>50093</v>
          </cell>
          <cell r="H827">
            <v>25</v>
          </cell>
          <cell r="I827">
            <v>50119</v>
          </cell>
          <cell r="J827">
            <v>25</v>
          </cell>
          <cell r="K827" t="str">
            <v/>
          </cell>
          <cell r="L827">
            <v>0</v>
          </cell>
          <cell r="M827">
            <v>149.23026315789474</v>
          </cell>
        </row>
        <row r="828">
          <cell r="B828">
            <v>280304</v>
          </cell>
          <cell r="C828" t="e">
            <v>#N/A</v>
          </cell>
          <cell r="D828" t="str">
            <v>283</v>
          </cell>
          <cell r="E828">
            <v>51098</v>
          </cell>
          <cell r="F828">
            <v>102</v>
          </cell>
          <cell r="G828">
            <v>50102</v>
          </cell>
          <cell r="H828">
            <v>25</v>
          </cell>
          <cell r="I828">
            <v>50078</v>
          </cell>
          <cell r="J828">
            <v>25</v>
          </cell>
          <cell r="K828" t="str">
            <v/>
          </cell>
          <cell r="L828">
            <v>0</v>
          </cell>
          <cell r="M828">
            <v>168.96710526315789</v>
          </cell>
        </row>
        <row r="829">
          <cell r="B829">
            <v>280305</v>
          </cell>
          <cell r="C829" t="e">
            <v>#N/A</v>
          </cell>
          <cell r="D829" t="str">
            <v>283</v>
          </cell>
          <cell r="E829">
            <v>51098</v>
          </cell>
          <cell r="F829">
            <v>102</v>
          </cell>
          <cell r="G829">
            <v>50079</v>
          </cell>
          <cell r="H829">
            <v>25</v>
          </cell>
          <cell r="I829">
            <v>50119</v>
          </cell>
          <cell r="J829">
            <v>25</v>
          </cell>
          <cell r="K829" t="str">
            <v/>
          </cell>
          <cell r="L829">
            <v>0</v>
          </cell>
          <cell r="M829">
            <v>149.23026315789474</v>
          </cell>
        </row>
        <row r="830">
          <cell r="B830">
            <v>280308</v>
          </cell>
          <cell r="C830" t="e">
            <v>#N/A</v>
          </cell>
          <cell r="D830" t="str">
            <v>283</v>
          </cell>
          <cell r="E830">
            <v>52000</v>
          </cell>
          <cell r="F830">
            <v>3.09</v>
          </cell>
          <cell r="G830">
            <v>50122</v>
          </cell>
          <cell r="H830">
            <v>88</v>
          </cell>
          <cell r="I830">
            <v>50099</v>
          </cell>
          <cell r="J830">
            <v>15</v>
          </cell>
          <cell r="K830">
            <v>10567</v>
          </cell>
          <cell r="L830">
            <v>0</v>
          </cell>
          <cell r="M830">
            <v>276.69902912621359</v>
          </cell>
        </row>
        <row r="831">
          <cell r="B831">
            <v>280401</v>
          </cell>
          <cell r="C831" t="e">
            <v>#N/A</v>
          </cell>
          <cell r="D831" t="str">
            <v>284</v>
          </cell>
          <cell r="E831">
            <v>51098</v>
          </cell>
          <cell r="F831">
            <v>102</v>
          </cell>
          <cell r="G831">
            <v>50091</v>
          </cell>
          <cell r="H831">
            <v>25</v>
          </cell>
          <cell r="I831">
            <v>50090</v>
          </cell>
          <cell r="J831">
            <v>25</v>
          </cell>
          <cell r="K831" t="str">
            <v/>
          </cell>
          <cell r="L831">
            <v>0</v>
          </cell>
          <cell r="M831">
            <v>156.63157894736841</v>
          </cell>
        </row>
        <row r="832">
          <cell r="B832">
            <v>280402</v>
          </cell>
          <cell r="C832" t="e">
            <v>#N/A</v>
          </cell>
          <cell r="D832" t="str">
            <v>284</v>
          </cell>
          <cell r="E832">
            <v>51098</v>
          </cell>
          <cell r="F832">
            <v>102</v>
          </cell>
          <cell r="G832">
            <v>50091</v>
          </cell>
          <cell r="H832">
            <v>25</v>
          </cell>
          <cell r="I832">
            <v>50135</v>
          </cell>
          <cell r="J832">
            <v>25</v>
          </cell>
          <cell r="K832" t="str">
            <v/>
          </cell>
          <cell r="L832">
            <v>0</v>
          </cell>
          <cell r="M832">
            <v>156.63157894736841</v>
          </cell>
        </row>
        <row r="833">
          <cell r="B833">
            <v>280403</v>
          </cell>
          <cell r="C833" t="e">
            <v>#N/A</v>
          </cell>
          <cell r="D833" t="str">
            <v>284</v>
          </cell>
          <cell r="E833">
            <v>51098</v>
          </cell>
          <cell r="F833">
            <v>102</v>
          </cell>
          <cell r="G833">
            <v>50135</v>
          </cell>
          <cell r="H833">
            <v>25</v>
          </cell>
          <cell r="I833">
            <v>50092</v>
          </cell>
          <cell r="J833">
            <v>25</v>
          </cell>
          <cell r="K833" t="str">
            <v/>
          </cell>
          <cell r="L833">
            <v>0</v>
          </cell>
          <cell r="M833">
            <v>156.63157894736841</v>
          </cell>
        </row>
        <row r="834">
          <cell r="B834">
            <v>280404</v>
          </cell>
          <cell r="C834" t="e">
            <v>#N/A</v>
          </cell>
          <cell r="D834" t="str">
            <v>284</v>
          </cell>
          <cell r="E834">
            <v>51098</v>
          </cell>
          <cell r="F834">
            <v>102</v>
          </cell>
          <cell r="G834">
            <v>50135</v>
          </cell>
          <cell r="H834">
            <v>25</v>
          </cell>
          <cell r="I834">
            <v>50078</v>
          </cell>
          <cell r="J834">
            <v>25</v>
          </cell>
          <cell r="K834" t="str">
            <v/>
          </cell>
          <cell r="L834">
            <v>0</v>
          </cell>
          <cell r="M834">
            <v>156.63157894736841</v>
          </cell>
        </row>
        <row r="835">
          <cell r="B835">
            <v>280405</v>
          </cell>
          <cell r="C835" t="e">
            <v>#N/A</v>
          </cell>
          <cell r="D835" t="str">
            <v>284</v>
          </cell>
          <cell r="E835">
            <v>51098</v>
          </cell>
          <cell r="F835">
            <v>102</v>
          </cell>
          <cell r="G835">
            <v>50091</v>
          </cell>
          <cell r="H835">
            <v>25</v>
          </cell>
          <cell r="I835">
            <v>50079</v>
          </cell>
          <cell r="J835">
            <v>25</v>
          </cell>
          <cell r="K835" t="str">
            <v/>
          </cell>
          <cell r="L835">
            <v>0</v>
          </cell>
          <cell r="M835">
            <v>156.63157894736841</v>
          </cell>
        </row>
        <row r="836">
          <cell r="B836">
            <v>280408</v>
          </cell>
          <cell r="C836" t="e">
            <v>#N/A</v>
          </cell>
          <cell r="D836" t="str">
            <v>284</v>
          </cell>
          <cell r="E836">
            <v>52000</v>
          </cell>
          <cell r="F836">
            <v>3.09</v>
          </cell>
          <cell r="G836">
            <v>50122</v>
          </cell>
          <cell r="H836">
            <v>88</v>
          </cell>
          <cell r="I836">
            <v>50091</v>
          </cell>
          <cell r="J836">
            <v>15</v>
          </cell>
          <cell r="K836">
            <v>10599</v>
          </cell>
          <cell r="L836">
            <v>0</v>
          </cell>
          <cell r="M836">
            <v>266.09482514845882</v>
          </cell>
        </row>
        <row r="837">
          <cell r="B837">
            <v>280501</v>
          </cell>
          <cell r="C837" t="e">
            <v>#N/A</v>
          </cell>
          <cell r="D837" t="str">
            <v>285</v>
          </cell>
          <cell r="E837">
            <v>51099</v>
          </cell>
          <cell r="F837">
            <v>101</v>
          </cell>
          <cell r="G837">
            <v>50119</v>
          </cell>
          <cell r="H837">
            <v>25</v>
          </cell>
          <cell r="I837">
            <v>50079</v>
          </cell>
          <cell r="J837">
            <v>25</v>
          </cell>
          <cell r="K837" t="str">
            <v/>
          </cell>
          <cell r="L837">
            <v>0</v>
          </cell>
          <cell r="M837">
            <v>150.20529801324503</v>
          </cell>
        </row>
        <row r="838">
          <cell r="B838">
            <v>280502</v>
          </cell>
          <cell r="C838" t="e">
            <v>#N/A</v>
          </cell>
          <cell r="D838" t="str">
            <v>285</v>
          </cell>
          <cell r="E838">
            <v>51099</v>
          </cell>
          <cell r="F838">
            <v>101</v>
          </cell>
          <cell r="G838">
            <v>50094</v>
          </cell>
          <cell r="H838">
            <v>25</v>
          </cell>
          <cell r="I838">
            <v>50145</v>
          </cell>
          <cell r="J838">
            <v>25</v>
          </cell>
          <cell r="K838" t="str">
            <v/>
          </cell>
          <cell r="L838">
            <v>0</v>
          </cell>
          <cell r="M838">
            <v>150.20529801324503</v>
          </cell>
        </row>
        <row r="839">
          <cell r="B839">
            <v>280503</v>
          </cell>
          <cell r="C839" t="e">
            <v>#N/A</v>
          </cell>
          <cell r="D839" t="str">
            <v>285</v>
          </cell>
          <cell r="E839">
            <v>51099</v>
          </cell>
          <cell r="F839">
            <v>101</v>
          </cell>
          <cell r="G839">
            <v>50102</v>
          </cell>
          <cell r="H839">
            <v>25</v>
          </cell>
          <cell r="I839">
            <v>50101</v>
          </cell>
          <cell r="J839">
            <v>25</v>
          </cell>
          <cell r="K839" t="str">
            <v/>
          </cell>
          <cell r="L839">
            <v>0</v>
          </cell>
          <cell r="M839">
            <v>182.49006622516555</v>
          </cell>
        </row>
        <row r="840">
          <cell r="B840">
            <v>280504</v>
          </cell>
          <cell r="C840" t="e">
            <v>#N/A</v>
          </cell>
          <cell r="D840" t="str">
            <v>285</v>
          </cell>
          <cell r="E840">
            <v>51099</v>
          </cell>
          <cell r="F840">
            <v>101</v>
          </cell>
          <cell r="G840">
            <v>50119</v>
          </cell>
          <cell r="H840">
            <v>25</v>
          </cell>
          <cell r="I840">
            <v>50078</v>
          </cell>
          <cell r="J840">
            <v>25</v>
          </cell>
          <cell r="K840" t="str">
            <v/>
          </cell>
          <cell r="L840">
            <v>0</v>
          </cell>
          <cell r="M840">
            <v>150.20529801324503</v>
          </cell>
        </row>
        <row r="841">
          <cell r="B841">
            <v>280505</v>
          </cell>
          <cell r="C841" t="e">
            <v>#N/A</v>
          </cell>
          <cell r="D841" t="str">
            <v>285</v>
          </cell>
          <cell r="E841">
            <v>51099</v>
          </cell>
          <cell r="F841">
            <v>101</v>
          </cell>
          <cell r="G841">
            <v>50145</v>
          </cell>
          <cell r="H841">
            <v>25</v>
          </cell>
          <cell r="I841">
            <v>50145</v>
          </cell>
          <cell r="J841">
            <v>25</v>
          </cell>
          <cell r="K841" t="str">
            <v/>
          </cell>
          <cell r="L841">
            <v>0</v>
          </cell>
          <cell r="M841">
            <v>142.75496688741723</v>
          </cell>
        </row>
        <row r="842">
          <cell r="B842">
            <v>280508</v>
          </cell>
          <cell r="C842" t="e">
            <v>#N/A</v>
          </cell>
          <cell r="D842" t="str">
            <v>285</v>
          </cell>
          <cell r="E842">
            <v>52000</v>
          </cell>
          <cell r="F842">
            <v>3.09</v>
          </cell>
          <cell r="G842">
            <v>50122</v>
          </cell>
          <cell r="H842">
            <v>88</v>
          </cell>
          <cell r="I842">
            <v>50090</v>
          </cell>
          <cell r="J842">
            <v>15</v>
          </cell>
          <cell r="K842">
            <v>10631</v>
          </cell>
          <cell r="L842">
            <v>0</v>
          </cell>
          <cell r="M842">
            <v>266.09482514845882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9"/>
  <sheetViews>
    <sheetView workbookViewId="0">
      <selection activeCell="F2" sqref="F2:F29"/>
    </sheetView>
  </sheetViews>
  <sheetFormatPr defaultRowHeight="12.75" x14ac:dyDescent="0.15"/>
  <cols>
    <col min="1" max="1" width="9" style="20"/>
    <col min="2" max="2" width="14.125" style="20" customWidth="1"/>
    <col min="3" max="16384" width="9" style="20"/>
  </cols>
  <sheetData>
    <row r="1" spans="1:13" x14ac:dyDescent="0.15">
      <c r="A1" s="20" t="s">
        <v>940</v>
      </c>
      <c r="B1" s="20" t="s">
        <v>941</v>
      </c>
      <c r="C1" s="20" t="s">
        <v>942</v>
      </c>
      <c r="M1" s="20" t="s">
        <v>903</v>
      </c>
    </row>
    <row r="2" spans="1:13" x14ac:dyDescent="0.15">
      <c r="A2" s="20">
        <v>1</v>
      </c>
      <c r="B2" s="20" t="s">
        <v>913</v>
      </c>
      <c r="C2" s="20">
        <v>5</v>
      </c>
      <c r="F2" s="20">
        <v>4</v>
      </c>
      <c r="M2" s="20">
        <v>1</v>
      </c>
    </row>
    <row r="3" spans="1:13" x14ac:dyDescent="0.15">
      <c r="A3" s="20">
        <v>2</v>
      </c>
      <c r="B3" s="20" t="s">
        <v>914</v>
      </c>
      <c r="C3" s="20">
        <v>5</v>
      </c>
      <c r="F3" s="20">
        <v>3</v>
      </c>
      <c r="M3" s="20">
        <v>2</v>
      </c>
    </row>
    <row r="4" spans="1:13" x14ac:dyDescent="0.15">
      <c r="A4" s="20">
        <v>3</v>
      </c>
      <c r="B4" s="20" t="s">
        <v>915</v>
      </c>
      <c r="C4" s="20">
        <v>5</v>
      </c>
      <c r="F4" s="20">
        <v>6</v>
      </c>
      <c r="M4" s="20">
        <v>3</v>
      </c>
    </row>
    <row r="5" spans="1:13" x14ac:dyDescent="0.15">
      <c r="A5" s="20">
        <v>4</v>
      </c>
      <c r="B5" s="20" t="s">
        <v>916</v>
      </c>
      <c r="C5" s="20">
        <v>5</v>
      </c>
      <c r="F5" s="20">
        <v>10</v>
      </c>
      <c r="M5" s="20">
        <v>4</v>
      </c>
    </row>
    <row r="6" spans="1:13" x14ac:dyDescent="0.15">
      <c r="A6" s="20">
        <v>5</v>
      </c>
      <c r="B6" s="20" t="s">
        <v>917</v>
      </c>
      <c r="C6" s="20">
        <v>5</v>
      </c>
      <c r="F6" s="20">
        <v>8</v>
      </c>
      <c r="M6" s="20">
        <v>5</v>
      </c>
    </row>
    <row r="7" spans="1:13" x14ac:dyDescent="0.15">
      <c r="A7" s="20">
        <v>6</v>
      </c>
      <c r="B7" s="20" t="s">
        <v>918</v>
      </c>
      <c r="C7" s="20">
        <v>5</v>
      </c>
      <c r="F7" s="20">
        <v>13</v>
      </c>
      <c r="M7" s="20">
        <v>6</v>
      </c>
    </row>
    <row r="8" spans="1:13" x14ac:dyDescent="0.15">
      <c r="A8" s="20">
        <v>7</v>
      </c>
      <c r="B8" s="20" t="s">
        <v>0</v>
      </c>
      <c r="C8" s="20">
        <v>5</v>
      </c>
      <c r="F8" s="20">
        <v>11</v>
      </c>
      <c r="M8" s="20">
        <v>7</v>
      </c>
    </row>
    <row r="9" spans="1:13" x14ac:dyDescent="0.15">
      <c r="A9" s="20">
        <v>8</v>
      </c>
      <c r="B9" s="20" t="s">
        <v>919</v>
      </c>
      <c r="C9" s="20">
        <v>5</v>
      </c>
      <c r="F9" s="20">
        <v>7</v>
      </c>
      <c r="M9" s="20">
        <v>8</v>
      </c>
    </row>
    <row r="10" spans="1:13" x14ac:dyDescent="0.15">
      <c r="A10" s="20">
        <v>9</v>
      </c>
      <c r="B10" s="20" t="s">
        <v>920</v>
      </c>
      <c r="C10" s="20">
        <v>5</v>
      </c>
      <c r="F10" s="20">
        <v>19</v>
      </c>
      <c r="M10" s="20">
        <v>9</v>
      </c>
    </row>
    <row r="11" spans="1:13" x14ac:dyDescent="0.15">
      <c r="A11" s="20">
        <v>10</v>
      </c>
      <c r="B11" s="20" t="s">
        <v>921</v>
      </c>
      <c r="C11" s="20">
        <v>5</v>
      </c>
      <c r="F11" s="20">
        <v>15</v>
      </c>
      <c r="M11" s="20">
        <v>10</v>
      </c>
    </row>
    <row r="12" spans="1:13" x14ac:dyDescent="0.15">
      <c r="A12" s="20">
        <v>11</v>
      </c>
      <c r="B12" s="20" t="s">
        <v>922</v>
      </c>
      <c r="C12" s="20">
        <v>5</v>
      </c>
      <c r="F12" s="20">
        <v>29</v>
      </c>
      <c r="M12" s="20">
        <v>11</v>
      </c>
    </row>
    <row r="13" spans="1:13" x14ac:dyDescent="0.15">
      <c r="A13" s="20">
        <v>12</v>
      </c>
      <c r="B13" s="20" t="s">
        <v>923</v>
      </c>
      <c r="C13" s="20">
        <v>5</v>
      </c>
      <c r="F13" s="20">
        <v>24</v>
      </c>
      <c r="M13" s="20">
        <v>12</v>
      </c>
    </row>
    <row r="14" spans="1:13" x14ac:dyDescent="0.15">
      <c r="A14" s="20">
        <v>13</v>
      </c>
      <c r="B14" s="20" t="s">
        <v>924</v>
      </c>
      <c r="C14" s="20">
        <v>5</v>
      </c>
      <c r="F14" s="20">
        <v>14</v>
      </c>
      <c r="M14" s="20">
        <v>13</v>
      </c>
    </row>
    <row r="15" spans="1:13" x14ac:dyDescent="0.15">
      <c r="A15" s="20">
        <v>14</v>
      </c>
      <c r="B15" s="20" t="s">
        <v>925</v>
      </c>
      <c r="C15" s="20">
        <v>5</v>
      </c>
      <c r="F15" s="20">
        <v>16</v>
      </c>
      <c r="M15" s="20">
        <v>14</v>
      </c>
    </row>
    <row r="16" spans="1:13" x14ac:dyDescent="0.15">
      <c r="A16" s="20">
        <v>15</v>
      </c>
      <c r="B16" s="20" t="s">
        <v>926</v>
      </c>
      <c r="C16" s="20">
        <v>5</v>
      </c>
      <c r="F16" s="20">
        <v>12</v>
      </c>
      <c r="M16" s="20">
        <v>15</v>
      </c>
    </row>
    <row r="17" spans="1:13" x14ac:dyDescent="0.15">
      <c r="A17" s="20">
        <v>16</v>
      </c>
      <c r="B17" s="20" t="s">
        <v>927</v>
      </c>
      <c r="C17" s="20">
        <v>5</v>
      </c>
      <c r="F17" s="20">
        <v>27</v>
      </c>
      <c r="M17" s="20">
        <v>16</v>
      </c>
    </row>
    <row r="18" spans="1:13" x14ac:dyDescent="0.15">
      <c r="A18" s="20">
        <v>17</v>
      </c>
      <c r="B18" s="20" t="s">
        <v>928</v>
      </c>
      <c r="C18" s="20">
        <v>5</v>
      </c>
      <c r="F18" s="20">
        <v>12</v>
      </c>
      <c r="M18" s="20">
        <v>17</v>
      </c>
    </row>
    <row r="19" spans="1:13" x14ac:dyDescent="0.15">
      <c r="A19" s="20">
        <v>18</v>
      </c>
      <c r="B19" s="20" t="s">
        <v>929</v>
      </c>
      <c r="C19" s="20">
        <v>5</v>
      </c>
      <c r="F19" s="20">
        <v>26</v>
      </c>
      <c r="M19" s="20">
        <v>18</v>
      </c>
    </row>
    <row r="20" spans="1:13" x14ac:dyDescent="0.15">
      <c r="A20" s="20">
        <v>19</v>
      </c>
      <c r="B20" s="20" t="s">
        <v>930</v>
      </c>
      <c r="C20" s="20">
        <v>5</v>
      </c>
      <c r="F20" s="20">
        <v>23</v>
      </c>
      <c r="M20" s="20">
        <v>19</v>
      </c>
    </row>
    <row r="21" spans="1:13" x14ac:dyDescent="0.15">
      <c r="A21" s="20">
        <v>20</v>
      </c>
      <c r="B21" s="20" t="s">
        <v>931</v>
      </c>
      <c r="C21" s="20">
        <v>5</v>
      </c>
      <c r="F21" s="20">
        <v>9</v>
      </c>
      <c r="M21" s="20">
        <v>20</v>
      </c>
    </row>
    <row r="22" spans="1:13" x14ac:dyDescent="0.15">
      <c r="A22" s="20">
        <v>21</v>
      </c>
      <c r="B22" s="20" t="s">
        <v>932</v>
      </c>
      <c r="C22" s="20">
        <v>5</v>
      </c>
      <c r="F22" s="20">
        <v>18</v>
      </c>
      <c r="M22" s="20">
        <v>21</v>
      </c>
    </row>
    <row r="23" spans="1:13" x14ac:dyDescent="0.15">
      <c r="A23" s="20">
        <v>22</v>
      </c>
      <c r="B23" s="20" t="s">
        <v>933</v>
      </c>
      <c r="C23" s="20">
        <v>5</v>
      </c>
      <c r="F23" s="20">
        <v>31</v>
      </c>
      <c r="M23" s="20">
        <v>22</v>
      </c>
    </row>
    <row r="24" spans="1:13" x14ac:dyDescent="0.15">
      <c r="A24" s="20">
        <v>23</v>
      </c>
      <c r="B24" s="20" t="s">
        <v>934</v>
      </c>
      <c r="C24" s="20">
        <v>5</v>
      </c>
      <c r="F24" s="20">
        <v>33</v>
      </c>
      <c r="M24" s="20">
        <v>23</v>
      </c>
    </row>
    <row r="25" spans="1:13" x14ac:dyDescent="0.15">
      <c r="A25" s="20">
        <v>24</v>
      </c>
      <c r="B25" s="20" t="s">
        <v>935</v>
      </c>
      <c r="C25" s="20">
        <v>5</v>
      </c>
      <c r="F25" s="20">
        <v>34</v>
      </c>
      <c r="M25" s="20">
        <v>24</v>
      </c>
    </row>
    <row r="26" spans="1:13" x14ac:dyDescent="0.15">
      <c r="A26" s="20">
        <v>25</v>
      </c>
      <c r="B26" s="20" t="s">
        <v>936</v>
      </c>
      <c r="C26" s="20">
        <v>5</v>
      </c>
      <c r="F26" s="20">
        <v>35</v>
      </c>
      <c r="M26" s="20">
        <v>25</v>
      </c>
    </row>
    <row r="27" spans="1:13" x14ac:dyDescent="0.15">
      <c r="A27" s="20">
        <v>26</v>
      </c>
      <c r="B27" s="20" t="s">
        <v>937</v>
      </c>
      <c r="C27" s="20">
        <v>5</v>
      </c>
      <c r="F27" s="20">
        <v>36</v>
      </c>
      <c r="M27" s="20">
        <v>26</v>
      </c>
    </row>
    <row r="28" spans="1:13" x14ac:dyDescent="0.15">
      <c r="A28" s="20">
        <v>27</v>
      </c>
      <c r="B28" s="20" t="s">
        <v>938</v>
      </c>
      <c r="C28" s="20">
        <v>5</v>
      </c>
      <c r="F28" s="20">
        <v>37</v>
      </c>
      <c r="M28" s="20">
        <v>27</v>
      </c>
    </row>
    <row r="29" spans="1:13" x14ac:dyDescent="0.15">
      <c r="A29" s="20">
        <v>28</v>
      </c>
      <c r="B29" s="20" t="s">
        <v>939</v>
      </c>
      <c r="C29" s="20">
        <v>5</v>
      </c>
      <c r="F29" s="20">
        <v>39</v>
      </c>
      <c r="M29" s="20">
        <v>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1"/>
  <sheetViews>
    <sheetView workbookViewId="0">
      <selection activeCell="I2" sqref="I2:I141"/>
    </sheetView>
  </sheetViews>
  <sheetFormatPr defaultRowHeight="12.75" x14ac:dyDescent="0.15"/>
  <cols>
    <col min="1" max="2" width="9" style="20"/>
    <col min="3" max="3" width="17.625" style="20" customWidth="1"/>
    <col min="4" max="8" width="9" style="20"/>
    <col min="9" max="9" width="15.75" style="20" customWidth="1"/>
    <col min="10" max="16384" width="9" style="20"/>
  </cols>
  <sheetData>
    <row r="1" spans="1:13" x14ac:dyDescent="0.15">
      <c r="A1" s="20" t="s">
        <v>904</v>
      </c>
      <c r="B1" s="20" t="s">
        <v>910</v>
      </c>
      <c r="C1" s="20" t="s">
        <v>911</v>
      </c>
      <c r="E1" s="20" t="s">
        <v>912</v>
      </c>
      <c r="M1" s="20" t="s">
        <v>903</v>
      </c>
    </row>
    <row r="2" spans="1:13" x14ac:dyDescent="0.15">
      <c r="A2" s="20">
        <v>1</v>
      </c>
      <c r="B2" s="20">
        <v>101</v>
      </c>
      <c r="C2" s="20" t="s">
        <v>738</v>
      </c>
      <c r="E2" s="20">
        <v>5</v>
      </c>
      <c r="G2" s="20" t="str">
        <f>VLOOKUP(A2,map!A$2:B$29,2,FALSE)</f>
        <v>精灵森林</v>
      </c>
      <c r="H2" s="20">
        <f>VLOOKUP(s!G2,map!B$2:F$29,5,FALSE)</f>
        <v>4</v>
      </c>
      <c r="I2" s="20" t="str">
        <f>C2</f>
        <v>精灵森林</v>
      </c>
      <c r="M2" s="20">
        <v>1</v>
      </c>
    </row>
    <row r="3" spans="1:13" x14ac:dyDescent="0.15">
      <c r="A3" s="20">
        <v>1</v>
      </c>
      <c r="B3" s="20">
        <v>102</v>
      </c>
      <c r="C3" s="20" t="s">
        <v>739</v>
      </c>
      <c r="E3" s="20">
        <f>E2+1</f>
        <v>6</v>
      </c>
      <c r="G3" s="20" t="str">
        <f>VLOOKUP(A3,map!A$2:B$29,2,FALSE)</f>
        <v>精灵森林</v>
      </c>
      <c r="H3" s="20">
        <f>VLOOKUP(s!G3,map!B$2:F$29,5,FALSE)</f>
        <v>4</v>
      </c>
      <c r="I3" s="20" t="str">
        <f t="shared" ref="I3:I66" si="0">C3</f>
        <v>风的训练地</v>
      </c>
      <c r="M3" s="20">
        <v>2</v>
      </c>
    </row>
    <row r="4" spans="1:13" x14ac:dyDescent="0.15">
      <c r="A4" s="20">
        <v>1</v>
      </c>
      <c r="B4" s="20">
        <v>103</v>
      </c>
      <c r="C4" s="20" t="s">
        <v>740</v>
      </c>
      <c r="E4" s="20">
        <f t="shared" ref="E4:E67" si="1">E3+1</f>
        <v>7</v>
      </c>
      <c r="G4" s="20" t="str">
        <f>VLOOKUP(A4,map!A$2:B$29,2,FALSE)</f>
        <v>精灵森林</v>
      </c>
      <c r="H4" s="20">
        <f>VLOOKUP(s!G4,map!B$2:F$29,5,FALSE)</f>
        <v>4</v>
      </c>
      <c r="I4" s="20" t="str">
        <f t="shared" si="0"/>
        <v>飞翔恶魔的坑道</v>
      </c>
      <c r="M4" s="20">
        <v>3</v>
      </c>
    </row>
    <row r="5" spans="1:13" x14ac:dyDescent="0.15">
      <c r="A5" s="20">
        <v>1</v>
      </c>
      <c r="B5" s="20">
        <v>104</v>
      </c>
      <c r="C5" s="20" t="s">
        <v>741</v>
      </c>
      <c r="E5" s="20">
        <f t="shared" si="1"/>
        <v>8</v>
      </c>
      <c r="G5" s="20" t="str">
        <f>VLOOKUP(A5,map!A$2:B$29,2,FALSE)</f>
        <v>精灵森林</v>
      </c>
      <c r="H5" s="20">
        <f>VLOOKUP(s!G5,map!B$2:F$29,5,FALSE)</f>
        <v>4</v>
      </c>
      <c r="I5" s="20" t="str">
        <f t="shared" si="0"/>
        <v>工匠协会试炼地区</v>
      </c>
      <c r="M5" s="20">
        <v>4</v>
      </c>
    </row>
    <row r="6" spans="1:13" x14ac:dyDescent="0.15">
      <c r="A6" s="20">
        <v>1</v>
      </c>
      <c r="B6" s="20">
        <v>105</v>
      </c>
      <c r="C6" s="20" t="s">
        <v>742</v>
      </c>
      <c r="E6" s="20">
        <f t="shared" si="1"/>
        <v>9</v>
      </c>
      <c r="G6" s="20" t="str">
        <f>VLOOKUP(A6,map!A$2:B$29,2,FALSE)</f>
        <v>精灵森林</v>
      </c>
      <c r="H6" s="20">
        <f>VLOOKUP(s!G6,map!B$2:F$29,5,FALSE)</f>
        <v>4</v>
      </c>
      <c r="I6" s="20" t="str">
        <f t="shared" si="0"/>
        <v>不归的黑暗空洞</v>
      </c>
      <c r="M6" s="20">
        <v>5</v>
      </c>
    </row>
    <row r="7" spans="1:13" x14ac:dyDescent="0.15">
      <c r="A7" s="20">
        <f>A2+1</f>
        <v>2</v>
      </c>
      <c r="B7" s="20">
        <v>201</v>
      </c>
      <c r="C7" s="20" t="s">
        <v>743</v>
      </c>
      <c r="E7" s="20">
        <f t="shared" si="1"/>
        <v>10</v>
      </c>
      <c r="G7" s="20" t="str">
        <f>VLOOKUP(A7,map!A$2:B$29,2,FALSE)</f>
        <v>斯塞提卡湖</v>
      </c>
      <c r="H7" s="20">
        <f>VLOOKUP(s!G7,map!B$2:F$29,5,FALSE)</f>
        <v>3</v>
      </c>
      <c r="I7" s="20" t="str">
        <f t="shared" si="0"/>
        <v>苍月的南湖畔</v>
      </c>
      <c r="M7" s="20">
        <v>6</v>
      </c>
    </row>
    <row r="8" spans="1:13" x14ac:dyDescent="0.15">
      <c r="A8" s="20">
        <f t="shared" ref="A8:A71" si="2">A3+1</f>
        <v>2</v>
      </c>
      <c r="B8" s="20">
        <v>202</v>
      </c>
      <c r="C8" s="20" t="s">
        <v>744</v>
      </c>
      <c r="E8" s="20">
        <f t="shared" si="1"/>
        <v>11</v>
      </c>
      <c r="G8" s="20" t="str">
        <f>VLOOKUP(A8,map!A$2:B$29,2,FALSE)</f>
        <v>斯塞提卡湖</v>
      </c>
      <c r="H8" s="20">
        <f>VLOOKUP(s!G8,map!B$2:F$29,5,FALSE)</f>
        <v>3</v>
      </c>
      <c r="I8" s="20" t="str">
        <f t="shared" si="0"/>
        <v>凉风西湖畔</v>
      </c>
      <c r="M8" s="20">
        <v>7</v>
      </c>
    </row>
    <row r="9" spans="1:13" x14ac:dyDescent="0.15">
      <c r="A9" s="20">
        <f t="shared" si="2"/>
        <v>2</v>
      </c>
      <c r="B9" s="20">
        <v>203</v>
      </c>
      <c r="C9" s="20" t="s">
        <v>745</v>
      </c>
      <c r="E9" s="20">
        <f t="shared" si="1"/>
        <v>12</v>
      </c>
      <c r="G9" s="20" t="str">
        <f>VLOOKUP(A9,map!A$2:B$29,2,FALSE)</f>
        <v>斯塞提卡湖</v>
      </c>
      <c r="H9" s="20">
        <f>VLOOKUP(s!G9,map!B$2:F$29,5,FALSE)</f>
        <v>3</v>
      </c>
      <c r="I9" s="20" t="str">
        <f t="shared" si="0"/>
        <v>变化的中央湖畔</v>
      </c>
      <c r="M9" s="20">
        <v>8</v>
      </c>
    </row>
    <row r="10" spans="1:13" x14ac:dyDescent="0.15">
      <c r="A10" s="20">
        <f t="shared" si="2"/>
        <v>2</v>
      </c>
      <c r="B10" s="20">
        <v>204</v>
      </c>
      <c r="C10" s="20" t="s">
        <v>746</v>
      </c>
      <c r="E10" s="20">
        <f t="shared" si="1"/>
        <v>13</v>
      </c>
      <c r="G10" s="20" t="str">
        <f>VLOOKUP(A10,map!A$2:B$29,2,FALSE)</f>
        <v>斯塞提卡湖</v>
      </c>
      <c r="H10" s="20">
        <f>VLOOKUP(s!G10,map!B$2:F$29,5,FALSE)</f>
        <v>3</v>
      </c>
      <c r="I10" s="20" t="str">
        <f t="shared" si="0"/>
        <v>愤怒的水妖精</v>
      </c>
      <c r="M10" s="20">
        <v>9</v>
      </c>
    </row>
    <row r="11" spans="1:13" x14ac:dyDescent="0.15">
      <c r="A11" s="20">
        <f t="shared" si="2"/>
        <v>2</v>
      </c>
      <c r="B11" s="20">
        <v>205</v>
      </c>
      <c r="C11" s="20" t="s">
        <v>747</v>
      </c>
      <c r="E11" s="20">
        <f t="shared" si="1"/>
        <v>14</v>
      </c>
      <c r="G11" s="20" t="str">
        <f>VLOOKUP(A11,map!A$2:B$29,2,FALSE)</f>
        <v>斯塞提卡湖</v>
      </c>
      <c r="H11" s="20">
        <f>VLOOKUP(s!G11,map!B$2:F$29,5,FALSE)</f>
        <v>3</v>
      </c>
      <c r="I11" s="20" t="str">
        <f t="shared" si="0"/>
        <v>卡伦契约的河道</v>
      </c>
      <c r="M11" s="20">
        <v>10</v>
      </c>
    </row>
    <row r="12" spans="1:13" x14ac:dyDescent="0.15">
      <c r="A12" s="20">
        <f t="shared" si="2"/>
        <v>3</v>
      </c>
      <c r="B12" s="20">
        <v>301</v>
      </c>
      <c r="C12" s="20" t="s">
        <v>748</v>
      </c>
      <c r="E12" s="20">
        <f t="shared" si="1"/>
        <v>15</v>
      </c>
      <c r="G12" s="20" t="str">
        <f>VLOOKUP(A12,map!A$2:B$29,2,FALSE)</f>
        <v>忏悔森林</v>
      </c>
      <c r="H12" s="20">
        <f>VLOOKUP(s!G12,map!B$2:F$29,5,FALSE)</f>
        <v>6</v>
      </c>
      <c r="I12" s="20" t="str">
        <f t="shared" si="0"/>
        <v>灵气紫森林</v>
      </c>
      <c r="M12" s="20">
        <v>11</v>
      </c>
    </row>
    <row r="13" spans="1:13" x14ac:dyDescent="0.15">
      <c r="A13" s="20">
        <f t="shared" si="2"/>
        <v>3</v>
      </c>
      <c r="B13" s="20">
        <v>302</v>
      </c>
      <c r="C13" s="20" t="s">
        <v>749</v>
      </c>
      <c r="E13" s="20">
        <f t="shared" si="1"/>
        <v>16</v>
      </c>
      <c r="G13" s="20" t="str">
        <f>VLOOKUP(A13,map!A$2:B$29,2,FALSE)</f>
        <v>忏悔森林</v>
      </c>
      <c r="H13" s="20">
        <f>VLOOKUP(s!G13,map!B$2:F$29,5,FALSE)</f>
        <v>6</v>
      </c>
      <c r="I13" s="20" t="str">
        <f t="shared" si="0"/>
        <v>瘴气污浊的森林</v>
      </c>
      <c r="M13" s="20">
        <v>12</v>
      </c>
    </row>
    <row r="14" spans="1:13" x14ac:dyDescent="0.15">
      <c r="A14" s="20">
        <f t="shared" si="2"/>
        <v>3</v>
      </c>
      <c r="B14" s="20">
        <v>303</v>
      </c>
      <c r="C14" s="20" t="s">
        <v>750</v>
      </c>
      <c r="E14" s="20">
        <f t="shared" si="1"/>
        <v>17</v>
      </c>
      <c r="G14" s="20" t="str">
        <f>VLOOKUP(A14,map!A$2:B$29,2,FALSE)</f>
        <v>忏悔森林</v>
      </c>
      <c r="H14" s="20">
        <f>VLOOKUP(s!G14,map!B$2:F$29,5,FALSE)</f>
        <v>6</v>
      </c>
      <c r="I14" s="20" t="str">
        <f t="shared" si="0"/>
        <v>污染的上游河流</v>
      </c>
      <c r="M14" s="20">
        <v>13</v>
      </c>
    </row>
    <row r="15" spans="1:13" x14ac:dyDescent="0.15">
      <c r="A15" s="20">
        <f t="shared" si="2"/>
        <v>3</v>
      </c>
      <c r="B15" s="20">
        <v>304</v>
      </c>
      <c r="C15" s="20" t="s">
        <v>751</v>
      </c>
      <c r="E15" s="20">
        <f t="shared" si="1"/>
        <v>18</v>
      </c>
      <c r="G15" s="20" t="str">
        <f>VLOOKUP(A15,map!A$2:B$29,2,FALSE)</f>
        <v>忏悔森林</v>
      </c>
      <c r="H15" s="20">
        <f>VLOOKUP(s!G15,map!B$2:F$29,5,FALSE)</f>
        <v>6</v>
      </c>
      <c r="I15" s="20" t="str">
        <f t="shared" si="0"/>
        <v>异质的河川</v>
      </c>
      <c r="M15" s="20">
        <v>14</v>
      </c>
    </row>
    <row r="16" spans="1:13" x14ac:dyDescent="0.15">
      <c r="A16" s="20">
        <f t="shared" si="2"/>
        <v>3</v>
      </c>
      <c r="B16" s="20">
        <v>305</v>
      </c>
      <c r="C16" s="20" t="s">
        <v>752</v>
      </c>
      <c r="E16" s="20">
        <f t="shared" si="1"/>
        <v>19</v>
      </c>
      <c r="G16" s="20" t="str">
        <f>VLOOKUP(A16,map!A$2:B$29,2,FALSE)</f>
        <v>忏悔森林</v>
      </c>
      <c r="H16" s="20">
        <f>VLOOKUP(s!G16,map!B$2:F$29,5,FALSE)</f>
        <v>6</v>
      </c>
      <c r="I16" s="20" t="str">
        <f t="shared" si="0"/>
        <v>睡魔的藏身处</v>
      </c>
      <c r="M16" s="20">
        <v>15</v>
      </c>
    </row>
    <row r="17" spans="1:13" x14ac:dyDescent="0.15">
      <c r="A17" s="20">
        <f t="shared" si="2"/>
        <v>4</v>
      </c>
      <c r="B17" s="20">
        <v>401</v>
      </c>
      <c r="C17" s="20" t="s">
        <v>753</v>
      </c>
      <c r="E17" s="20">
        <f t="shared" si="1"/>
        <v>20</v>
      </c>
      <c r="G17" s="20" t="str">
        <f>VLOOKUP(A17,map!A$2:B$29,2,FALSE)</f>
        <v>废弃教堂</v>
      </c>
      <c r="H17" s="20">
        <f>VLOOKUP(s!G17,map!B$2:F$29,5,FALSE)</f>
        <v>10</v>
      </c>
      <c r="I17" s="20" t="str">
        <f t="shared" si="0"/>
        <v>教堂内的蛛丝马迹</v>
      </c>
      <c r="M17" s="20">
        <v>16</v>
      </c>
    </row>
    <row r="18" spans="1:13" x14ac:dyDescent="0.15">
      <c r="A18" s="20">
        <f t="shared" si="2"/>
        <v>4</v>
      </c>
      <c r="B18" s="20">
        <v>402</v>
      </c>
      <c r="C18" s="20" t="s">
        <v>754</v>
      </c>
      <c r="E18" s="20">
        <f t="shared" si="1"/>
        <v>21</v>
      </c>
      <c r="G18" s="20" t="str">
        <f>VLOOKUP(A18,map!A$2:B$29,2,FALSE)</f>
        <v>废弃教堂</v>
      </c>
      <c r="H18" s="20">
        <f>VLOOKUP(s!G18,map!B$2:F$29,5,FALSE)</f>
        <v>10</v>
      </c>
      <c r="I18" s="20" t="str">
        <f t="shared" si="0"/>
        <v>被天蓝色包围的山</v>
      </c>
      <c r="M18" s="20">
        <v>17</v>
      </c>
    </row>
    <row r="19" spans="1:13" x14ac:dyDescent="0.15">
      <c r="A19" s="20">
        <f t="shared" si="2"/>
        <v>4</v>
      </c>
      <c r="B19" s="20">
        <v>403</v>
      </c>
      <c r="C19" s="20" t="s">
        <v>755</v>
      </c>
      <c r="E19" s="20">
        <f t="shared" si="1"/>
        <v>22</v>
      </c>
      <c r="G19" s="20" t="str">
        <f>VLOOKUP(A19,map!A$2:B$29,2,FALSE)</f>
        <v>废弃教堂</v>
      </c>
      <c r="H19" s="20">
        <f>VLOOKUP(s!G19,map!B$2:F$29,5,FALSE)</f>
        <v>10</v>
      </c>
      <c r="I19" s="20" t="str">
        <f t="shared" si="0"/>
        <v>教会的踪迹</v>
      </c>
      <c r="M19" s="20">
        <v>18</v>
      </c>
    </row>
    <row r="20" spans="1:13" x14ac:dyDescent="0.15">
      <c r="A20" s="20">
        <f t="shared" si="2"/>
        <v>4</v>
      </c>
      <c r="B20" s="20">
        <v>404</v>
      </c>
      <c r="C20" s="20" t="s">
        <v>756</v>
      </c>
      <c r="E20" s="20">
        <f t="shared" si="1"/>
        <v>23</v>
      </c>
      <c r="G20" s="20" t="str">
        <f>VLOOKUP(A20,map!A$2:B$29,2,FALSE)</f>
        <v>废弃教堂</v>
      </c>
      <c r="H20" s="20">
        <f>VLOOKUP(s!G20,map!B$2:F$29,5,FALSE)</f>
        <v>10</v>
      </c>
      <c r="I20" s="20" t="str">
        <f t="shared" si="0"/>
        <v>神圣的困境地带</v>
      </c>
      <c r="M20" s="20">
        <v>19</v>
      </c>
    </row>
    <row r="21" spans="1:13" x14ac:dyDescent="0.15">
      <c r="A21" s="20">
        <f t="shared" si="2"/>
        <v>4</v>
      </c>
      <c r="B21" s="20">
        <v>405</v>
      </c>
      <c r="C21" s="20" t="s">
        <v>757</v>
      </c>
      <c r="E21" s="20">
        <f t="shared" si="1"/>
        <v>24</v>
      </c>
      <c r="G21" s="20" t="str">
        <f>VLOOKUP(A21,map!A$2:B$29,2,FALSE)</f>
        <v>废弃教堂</v>
      </c>
      <c r="H21" s="20">
        <f>VLOOKUP(s!G21,map!B$2:F$29,5,FALSE)</f>
        <v>10</v>
      </c>
      <c r="I21" s="20" t="str">
        <f t="shared" si="0"/>
        <v>圣天兽的山路</v>
      </c>
      <c r="M21" s="20">
        <v>20</v>
      </c>
    </row>
    <row r="22" spans="1:13" x14ac:dyDescent="0.15">
      <c r="A22" s="20">
        <f t="shared" si="2"/>
        <v>5</v>
      </c>
      <c r="B22" s="20">
        <v>501</v>
      </c>
      <c r="C22" s="20" t="s">
        <v>758</v>
      </c>
      <c r="E22" s="20">
        <f t="shared" si="1"/>
        <v>25</v>
      </c>
      <c r="G22" s="20" t="str">
        <f>VLOOKUP(A22,map!A$2:B$29,2,FALSE)</f>
        <v>言语树林</v>
      </c>
      <c r="H22" s="20">
        <f>VLOOKUP(s!G22,map!B$2:F$29,5,FALSE)</f>
        <v>8</v>
      </c>
      <c r="I22" s="20" t="str">
        <f t="shared" si="0"/>
        <v>古老的鬼族遗迹</v>
      </c>
      <c r="M22" s="20">
        <v>21</v>
      </c>
    </row>
    <row r="23" spans="1:13" x14ac:dyDescent="0.15">
      <c r="A23" s="20">
        <f t="shared" si="2"/>
        <v>5</v>
      </c>
      <c r="B23" s="20">
        <v>502</v>
      </c>
      <c r="C23" s="20" t="s">
        <v>759</v>
      </c>
      <c r="E23" s="20">
        <f t="shared" si="1"/>
        <v>26</v>
      </c>
      <c r="G23" s="20" t="str">
        <f>VLOOKUP(A23,map!A$2:B$29,2,FALSE)</f>
        <v>言语树林</v>
      </c>
      <c r="H23" s="20">
        <f>VLOOKUP(s!G23,map!B$2:F$29,5,FALSE)</f>
        <v>8</v>
      </c>
      <c r="I23" s="20" t="str">
        <f t="shared" si="0"/>
        <v>漆黑的决战地带</v>
      </c>
      <c r="M23" s="20">
        <v>22</v>
      </c>
    </row>
    <row r="24" spans="1:13" x14ac:dyDescent="0.15">
      <c r="A24" s="20">
        <f t="shared" si="2"/>
        <v>5</v>
      </c>
      <c r="B24" s="20">
        <v>503</v>
      </c>
      <c r="C24" s="20" t="s">
        <v>760</v>
      </c>
      <c r="E24" s="20">
        <f t="shared" si="1"/>
        <v>27</v>
      </c>
      <c r="G24" s="20" t="str">
        <f>VLOOKUP(A24,map!A$2:B$29,2,FALSE)</f>
        <v>言语树林</v>
      </c>
      <c r="H24" s="20">
        <f>VLOOKUP(s!G24,map!B$2:F$29,5,FALSE)</f>
        <v>8</v>
      </c>
      <c r="I24" s="20" t="str">
        <f t="shared" si="0"/>
        <v>法术的修炼地Ⅰ</v>
      </c>
      <c r="M24" s="20">
        <v>23</v>
      </c>
    </row>
    <row r="25" spans="1:13" x14ac:dyDescent="0.15">
      <c r="A25" s="20">
        <f t="shared" si="2"/>
        <v>5</v>
      </c>
      <c r="B25" s="20">
        <v>504</v>
      </c>
      <c r="C25" s="20" t="s">
        <v>761</v>
      </c>
      <c r="E25" s="20">
        <f t="shared" si="1"/>
        <v>28</v>
      </c>
      <c r="G25" s="20" t="str">
        <f>VLOOKUP(A25,map!A$2:B$29,2,FALSE)</f>
        <v>言语树林</v>
      </c>
      <c r="H25" s="20">
        <f>VLOOKUP(s!G25,map!B$2:F$29,5,FALSE)</f>
        <v>8</v>
      </c>
      <c r="I25" s="20" t="str">
        <f t="shared" si="0"/>
        <v>法术的修炼地Ⅱ</v>
      </c>
      <c r="M25" s="20">
        <v>24</v>
      </c>
    </row>
    <row r="26" spans="1:13" x14ac:dyDescent="0.15">
      <c r="A26" s="20">
        <f t="shared" si="2"/>
        <v>5</v>
      </c>
      <c r="B26" s="20">
        <v>505</v>
      </c>
      <c r="C26" s="20" t="s">
        <v>762</v>
      </c>
      <c r="E26" s="20">
        <f t="shared" si="1"/>
        <v>29</v>
      </c>
      <c r="G26" s="20" t="str">
        <f>VLOOKUP(A26,map!A$2:B$29,2,FALSE)</f>
        <v>言语树林</v>
      </c>
      <c r="H26" s="20">
        <f>VLOOKUP(s!G26,map!B$2:F$29,5,FALSE)</f>
        <v>8</v>
      </c>
      <c r="I26" s="20" t="str">
        <f t="shared" si="0"/>
        <v>追忆之乡</v>
      </c>
      <c r="M26" s="20">
        <v>25</v>
      </c>
    </row>
    <row r="27" spans="1:13" x14ac:dyDescent="0.15">
      <c r="A27" s="20">
        <f t="shared" si="2"/>
        <v>6</v>
      </c>
      <c r="B27" s="20">
        <v>601</v>
      </c>
      <c r="C27" s="20" t="s">
        <v>763</v>
      </c>
      <c r="E27" s="20">
        <f t="shared" si="1"/>
        <v>30</v>
      </c>
      <c r="G27" s="20" t="str">
        <f>VLOOKUP(A27,map!A$2:B$29,2,FALSE)</f>
        <v>神龙湖</v>
      </c>
      <c r="H27" s="20">
        <f>VLOOKUP(s!G27,map!B$2:F$29,5,FALSE)</f>
        <v>13</v>
      </c>
      <c r="I27" s="20" t="str">
        <f t="shared" si="0"/>
        <v>寂静的湖底</v>
      </c>
      <c r="M27" s="20">
        <v>26</v>
      </c>
    </row>
    <row r="28" spans="1:13" x14ac:dyDescent="0.15">
      <c r="A28" s="20">
        <f t="shared" si="2"/>
        <v>6</v>
      </c>
      <c r="B28" s="20">
        <v>602</v>
      </c>
      <c r="C28" s="20" t="s">
        <v>764</v>
      </c>
      <c r="E28" s="20">
        <f t="shared" si="1"/>
        <v>31</v>
      </c>
      <c r="G28" s="20" t="str">
        <f>VLOOKUP(A28,map!A$2:B$29,2,FALSE)</f>
        <v>神龙湖</v>
      </c>
      <c r="H28" s="20">
        <f>VLOOKUP(s!G28,map!B$2:F$29,5,FALSE)</f>
        <v>13</v>
      </c>
      <c r="I28" s="20" t="str">
        <f t="shared" si="0"/>
        <v>湖底的退路</v>
      </c>
      <c r="M28" s="20">
        <v>27</v>
      </c>
    </row>
    <row r="29" spans="1:13" x14ac:dyDescent="0.15">
      <c r="A29" s="20">
        <f t="shared" si="2"/>
        <v>6</v>
      </c>
      <c r="B29" s="20">
        <v>603</v>
      </c>
      <c r="C29" s="20" t="s">
        <v>765</v>
      </c>
      <c r="E29" s="20">
        <f t="shared" si="1"/>
        <v>32</v>
      </c>
      <c r="G29" s="20" t="str">
        <f>VLOOKUP(A29,map!A$2:B$29,2,FALSE)</f>
        <v>神龙湖</v>
      </c>
      <c r="H29" s="20">
        <f>VLOOKUP(s!G29,map!B$2:F$29,5,FALSE)</f>
        <v>13</v>
      </c>
      <c r="I29" s="20" t="str">
        <f t="shared" si="0"/>
        <v>神奇的湖底</v>
      </c>
      <c r="M29" s="20">
        <v>28</v>
      </c>
    </row>
    <row r="30" spans="1:13" x14ac:dyDescent="0.15">
      <c r="A30" s="20">
        <f t="shared" si="2"/>
        <v>6</v>
      </c>
      <c r="B30" s="20">
        <v>604</v>
      </c>
      <c r="C30" s="20" t="s">
        <v>766</v>
      </c>
      <c r="E30" s="20">
        <f t="shared" si="1"/>
        <v>33</v>
      </c>
      <c r="G30" s="20" t="str">
        <f>VLOOKUP(A30,map!A$2:B$29,2,FALSE)</f>
        <v>神龙湖</v>
      </c>
      <c r="H30" s="20">
        <f>VLOOKUP(s!G30,map!B$2:F$29,5,FALSE)</f>
        <v>13</v>
      </c>
      <c r="I30" s="20" t="str">
        <f t="shared" si="0"/>
        <v>忘却的湖底空洞</v>
      </c>
      <c r="M30" s="20">
        <v>29</v>
      </c>
    </row>
    <row r="31" spans="1:13" x14ac:dyDescent="0.15">
      <c r="A31" s="20">
        <f t="shared" si="2"/>
        <v>6</v>
      </c>
      <c r="B31" s="20">
        <v>605</v>
      </c>
      <c r="C31" s="20" t="s">
        <v>767</v>
      </c>
      <c r="E31" s="20">
        <f t="shared" si="1"/>
        <v>34</v>
      </c>
      <c r="G31" s="20" t="str">
        <f>VLOOKUP(A31,map!A$2:B$29,2,FALSE)</f>
        <v>神龙湖</v>
      </c>
      <c r="H31" s="20">
        <f>VLOOKUP(s!G31,map!B$2:F$29,5,FALSE)</f>
        <v>13</v>
      </c>
      <c r="I31" s="20" t="str">
        <f t="shared" si="0"/>
        <v>清澈的西湖畔</v>
      </c>
      <c r="M31" s="20">
        <v>30</v>
      </c>
    </row>
    <row r="32" spans="1:13" x14ac:dyDescent="0.15">
      <c r="A32" s="20">
        <f t="shared" si="2"/>
        <v>7</v>
      </c>
      <c r="B32" s="20">
        <v>701</v>
      </c>
      <c r="C32" s="20" t="s">
        <v>768</v>
      </c>
      <c r="E32" s="20">
        <f t="shared" si="1"/>
        <v>35</v>
      </c>
      <c r="G32" s="20" t="str">
        <f>VLOOKUP(A32,map!A$2:B$29,2,FALSE)</f>
        <v>Rosean山脉</v>
      </c>
      <c r="H32" s="20">
        <f>VLOOKUP(s!G32,map!B$2:F$29,5,FALSE)</f>
        <v>11</v>
      </c>
      <c r="I32" s="20" t="str">
        <f t="shared" si="0"/>
        <v>隐秘的火焰山路</v>
      </c>
      <c r="M32" s="20">
        <v>31</v>
      </c>
    </row>
    <row r="33" spans="1:13" x14ac:dyDescent="0.15">
      <c r="A33" s="20">
        <f t="shared" si="2"/>
        <v>7</v>
      </c>
      <c r="B33" s="20">
        <v>702</v>
      </c>
      <c r="C33" s="20" t="s">
        <v>769</v>
      </c>
      <c r="E33" s="20">
        <f t="shared" si="1"/>
        <v>36</v>
      </c>
      <c r="G33" s="20" t="str">
        <f>VLOOKUP(A33,map!A$2:B$29,2,FALSE)</f>
        <v>Rosean山脉</v>
      </c>
      <c r="H33" s="20">
        <f>VLOOKUP(s!G33,map!B$2:F$29,5,FALSE)</f>
        <v>11</v>
      </c>
      <c r="I33" s="20" t="str">
        <f t="shared" si="0"/>
        <v>火炎幻兽的山</v>
      </c>
      <c r="M33" s="20">
        <v>32</v>
      </c>
    </row>
    <row r="34" spans="1:13" x14ac:dyDescent="0.15">
      <c r="A34" s="20">
        <f t="shared" si="2"/>
        <v>7</v>
      </c>
      <c r="B34" s="20">
        <v>703</v>
      </c>
      <c r="C34" s="20" t="s">
        <v>770</v>
      </c>
      <c r="E34" s="20">
        <f t="shared" si="1"/>
        <v>37</v>
      </c>
      <c r="G34" s="20" t="str">
        <f>VLOOKUP(A34,map!A$2:B$29,2,FALSE)</f>
        <v>Rosean山脉</v>
      </c>
      <c r="H34" s="20">
        <f>VLOOKUP(s!G34,map!B$2:F$29,5,FALSE)</f>
        <v>11</v>
      </c>
      <c r="I34" s="20" t="str">
        <f t="shared" si="0"/>
        <v>真彩的山峦</v>
      </c>
      <c r="M34" s="20">
        <v>33</v>
      </c>
    </row>
    <row r="35" spans="1:13" x14ac:dyDescent="0.15">
      <c r="A35" s="20">
        <f t="shared" si="2"/>
        <v>7</v>
      </c>
      <c r="B35" s="20">
        <v>704</v>
      </c>
      <c r="C35" s="20" t="s">
        <v>771</v>
      </c>
      <c r="E35" s="20">
        <f t="shared" si="1"/>
        <v>38</v>
      </c>
      <c r="G35" s="20" t="str">
        <f>VLOOKUP(A35,map!A$2:B$29,2,FALSE)</f>
        <v>Rosean山脉</v>
      </c>
      <c r="H35" s="20">
        <f>VLOOKUP(s!G35,map!B$2:F$29,5,FALSE)</f>
        <v>11</v>
      </c>
      <c r="I35" s="20" t="str">
        <f t="shared" si="0"/>
        <v>灼热的山峦地带</v>
      </c>
      <c r="M35" s="20">
        <v>34</v>
      </c>
    </row>
    <row r="36" spans="1:13" x14ac:dyDescent="0.15">
      <c r="A36" s="20">
        <f t="shared" si="2"/>
        <v>7</v>
      </c>
      <c r="B36" s="20">
        <v>705</v>
      </c>
      <c r="C36" s="20" t="s">
        <v>772</v>
      </c>
      <c r="E36" s="20">
        <f t="shared" si="1"/>
        <v>39</v>
      </c>
      <c r="G36" s="20" t="str">
        <f>VLOOKUP(A36,map!A$2:B$29,2,FALSE)</f>
        <v>Rosean山脉</v>
      </c>
      <c r="H36" s="20">
        <f>VLOOKUP(s!G36,map!B$2:F$29,5,FALSE)</f>
        <v>11</v>
      </c>
      <c r="I36" s="20" t="str">
        <f t="shared" si="0"/>
        <v>巨人族矿床</v>
      </c>
      <c r="M36" s="20">
        <v>35</v>
      </c>
    </row>
    <row r="37" spans="1:13" x14ac:dyDescent="0.15">
      <c r="A37" s="20">
        <f t="shared" si="2"/>
        <v>8</v>
      </c>
      <c r="B37" s="20">
        <v>801</v>
      </c>
      <c r="C37" s="20" t="s">
        <v>773</v>
      </c>
      <c r="E37" s="20">
        <f t="shared" si="1"/>
        <v>40</v>
      </c>
      <c r="G37" s="20" t="str">
        <f>VLOOKUP(A37,map!A$2:B$29,2,FALSE)</f>
        <v>塞尔塔的树海</v>
      </c>
      <c r="H37" s="20">
        <f>VLOOKUP(s!G37,map!B$2:F$29,5,FALSE)</f>
        <v>7</v>
      </c>
      <c r="I37" s="20" t="str">
        <f t="shared" si="0"/>
        <v>亚种族的密林Ⅰ</v>
      </c>
      <c r="M37" s="20">
        <v>36</v>
      </c>
    </row>
    <row r="38" spans="1:13" x14ac:dyDescent="0.15">
      <c r="A38" s="20">
        <f t="shared" si="2"/>
        <v>8</v>
      </c>
      <c r="B38" s="20">
        <v>802</v>
      </c>
      <c r="C38" s="20" t="s">
        <v>774</v>
      </c>
      <c r="E38" s="20">
        <f t="shared" si="1"/>
        <v>41</v>
      </c>
      <c r="G38" s="20" t="str">
        <f>VLOOKUP(A38,map!A$2:B$29,2,FALSE)</f>
        <v>塞尔塔的树海</v>
      </c>
      <c r="H38" s="20">
        <f>VLOOKUP(s!G38,map!B$2:F$29,5,FALSE)</f>
        <v>7</v>
      </c>
      <c r="I38" s="20" t="str">
        <f t="shared" si="0"/>
        <v>亚种族的密林Ⅱ</v>
      </c>
      <c r="M38" s="20">
        <v>37</v>
      </c>
    </row>
    <row r="39" spans="1:13" x14ac:dyDescent="0.15">
      <c r="A39" s="20">
        <f t="shared" si="2"/>
        <v>8</v>
      </c>
      <c r="B39" s="20">
        <v>803</v>
      </c>
      <c r="C39" s="20" t="s">
        <v>775</v>
      </c>
      <c r="E39" s="20">
        <f t="shared" si="1"/>
        <v>42</v>
      </c>
      <c r="G39" s="20" t="str">
        <f>VLOOKUP(A39,map!A$2:B$29,2,FALSE)</f>
        <v>塞尔塔的树海</v>
      </c>
      <c r="H39" s="20">
        <f>VLOOKUP(s!G39,map!B$2:F$29,5,FALSE)</f>
        <v>7</v>
      </c>
      <c r="I39" s="20" t="str">
        <f t="shared" si="0"/>
        <v>巨石龟的栖息地Ⅰ</v>
      </c>
      <c r="M39" s="20">
        <v>38</v>
      </c>
    </row>
    <row r="40" spans="1:13" x14ac:dyDescent="0.15">
      <c r="A40" s="20">
        <f t="shared" si="2"/>
        <v>8</v>
      </c>
      <c r="B40" s="20">
        <v>804</v>
      </c>
      <c r="C40" s="20" t="s">
        <v>776</v>
      </c>
      <c r="E40" s="20">
        <f t="shared" si="1"/>
        <v>43</v>
      </c>
      <c r="G40" s="20" t="str">
        <f>VLOOKUP(A40,map!A$2:B$29,2,FALSE)</f>
        <v>塞尔塔的树海</v>
      </c>
      <c r="H40" s="20">
        <f>VLOOKUP(s!G40,map!B$2:F$29,5,FALSE)</f>
        <v>7</v>
      </c>
      <c r="I40" s="20" t="str">
        <f t="shared" si="0"/>
        <v>巨石龟的栖息地Ⅱ</v>
      </c>
      <c r="M40" s="20">
        <v>39</v>
      </c>
    </row>
    <row r="41" spans="1:13" x14ac:dyDescent="0.15">
      <c r="A41" s="20">
        <f t="shared" si="2"/>
        <v>8</v>
      </c>
      <c r="B41" s="20">
        <v>805</v>
      </c>
      <c r="C41" s="20" t="s">
        <v>777</v>
      </c>
      <c r="E41" s="20">
        <f t="shared" si="1"/>
        <v>44</v>
      </c>
      <c r="G41" s="20" t="str">
        <f>VLOOKUP(A41,map!A$2:B$29,2,FALSE)</f>
        <v>塞尔塔的树海</v>
      </c>
      <c r="H41" s="20">
        <f>VLOOKUP(s!G41,map!B$2:F$29,5,FALSE)</f>
        <v>7</v>
      </c>
      <c r="I41" s="20" t="str">
        <f t="shared" si="0"/>
        <v>秘境的封印遗迹</v>
      </c>
      <c r="M41" s="20">
        <v>40</v>
      </c>
    </row>
    <row r="42" spans="1:13" x14ac:dyDescent="0.15">
      <c r="A42" s="20">
        <f t="shared" si="2"/>
        <v>9</v>
      </c>
      <c r="B42" s="20">
        <v>901</v>
      </c>
      <c r="C42" s="20" t="s">
        <v>778</v>
      </c>
      <c r="E42" s="20">
        <f t="shared" si="1"/>
        <v>45</v>
      </c>
      <c r="G42" s="20" t="str">
        <f>VLOOKUP(A42,map!A$2:B$29,2,FALSE)</f>
        <v>卡尼亚荒地</v>
      </c>
      <c r="H42" s="20">
        <f>VLOOKUP(s!G42,map!B$2:F$29,5,FALSE)</f>
        <v>19</v>
      </c>
      <c r="I42" s="20" t="str">
        <f t="shared" si="0"/>
        <v>闭塞的辽原</v>
      </c>
      <c r="M42" s="20">
        <v>41</v>
      </c>
    </row>
    <row r="43" spans="1:13" x14ac:dyDescent="0.15">
      <c r="A43" s="20">
        <f t="shared" si="2"/>
        <v>9</v>
      </c>
      <c r="B43" s="20">
        <v>902</v>
      </c>
      <c r="C43" s="20" t="s">
        <v>779</v>
      </c>
      <c r="E43" s="20">
        <f t="shared" si="1"/>
        <v>46</v>
      </c>
      <c r="G43" s="20" t="str">
        <f>VLOOKUP(A43,map!A$2:B$29,2,FALSE)</f>
        <v>卡尼亚荒地</v>
      </c>
      <c r="H43" s="20">
        <f>VLOOKUP(s!G43,map!B$2:F$29,5,FALSE)</f>
        <v>19</v>
      </c>
      <c r="I43" s="20" t="str">
        <f t="shared" si="0"/>
        <v>移动的荒地</v>
      </c>
      <c r="M43" s="20">
        <v>42</v>
      </c>
    </row>
    <row r="44" spans="1:13" x14ac:dyDescent="0.15">
      <c r="A44" s="20">
        <f t="shared" si="2"/>
        <v>9</v>
      </c>
      <c r="B44" s="20">
        <v>903</v>
      </c>
      <c r="C44" s="20" t="s">
        <v>780</v>
      </c>
      <c r="E44" s="20">
        <f t="shared" si="1"/>
        <v>47</v>
      </c>
      <c r="G44" s="20" t="str">
        <f>VLOOKUP(A44,map!A$2:B$29,2,FALSE)</f>
        <v>卡尼亚荒地</v>
      </c>
      <c r="H44" s="20">
        <f>VLOOKUP(s!G44,map!B$2:F$29,5,FALSE)</f>
        <v>19</v>
      </c>
      <c r="I44" s="20" t="str">
        <f t="shared" si="0"/>
        <v>不祥的漩涡</v>
      </c>
      <c r="M44" s="20">
        <v>43</v>
      </c>
    </row>
    <row r="45" spans="1:13" x14ac:dyDescent="0.15">
      <c r="A45" s="20">
        <f t="shared" si="2"/>
        <v>9</v>
      </c>
      <c r="B45" s="20">
        <v>904</v>
      </c>
      <c r="C45" s="20" t="s">
        <v>781</v>
      </c>
      <c r="E45" s="20">
        <f t="shared" si="1"/>
        <v>48</v>
      </c>
      <c r="G45" s="20" t="str">
        <f>VLOOKUP(A45,map!A$2:B$29,2,FALSE)</f>
        <v>卡尼亚荒地</v>
      </c>
      <c r="H45" s="20">
        <f>VLOOKUP(s!G45,map!B$2:F$29,5,FALSE)</f>
        <v>19</v>
      </c>
      <c r="I45" s="20" t="str">
        <f t="shared" si="0"/>
        <v>灵魇的异界Ⅰ</v>
      </c>
      <c r="M45" s="20">
        <v>44</v>
      </c>
    </row>
    <row r="46" spans="1:13" x14ac:dyDescent="0.15">
      <c r="A46" s="20">
        <f t="shared" si="2"/>
        <v>9</v>
      </c>
      <c r="B46" s="20">
        <v>905</v>
      </c>
      <c r="C46" s="20" t="s">
        <v>782</v>
      </c>
      <c r="E46" s="20">
        <f t="shared" si="1"/>
        <v>49</v>
      </c>
      <c r="G46" s="20" t="str">
        <f>VLOOKUP(A46,map!A$2:B$29,2,FALSE)</f>
        <v>卡尼亚荒地</v>
      </c>
      <c r="H46" s="20">
        <f>VLOOKUP(s!G46,map!B$2:F$29,5,FALSE)</f>
        <v>19</v>
      </c>
      <c r="I46" s="20" t="str">
        <f t="shared" si="0"/>
        <v>灵魇的异界Ⅱ</v>
      </c>
      <c r="M46" s="20">
        <v>45</v>
      </c>
    </row>
    <row r="47" spans="1:13" x14ac:dyDescent="0.15">
      <c r="A47" s="20">
        <f t="shared" si="2"/>
        <v>10</v>
      </c>
      <c r="B47" s="20">
        <v>1001</v>
      </c>
      <c r="C47" s="20" t="s">
        <v>783</v>
      </c>
      <c r="E47" s="20">
        <f t="shared" si="1"/>
        <v>50</v>
      </c>
      <c r="G47" s="20" t="str">
        <f>VLOOKUP(A47,map!A$2:B$29,2,FALSE)</f>
        <v>钟乳洞穴</v>
      </c>
      <c r="H47" s="20">
        <f>VLOOKUP(s!G47,map!B$2:F$29,5,FALSE)</f>
        <v>15</v>
      </c>
      <c r="I47" s="20" t="str">
        <f t="shared" si="0"/>
        <v>平静的流水洞穴</v>
      </c>
      <c r="M47" s="20">
        <v>46</v>
      </c>
    </row>
    <row r="48" spans="1:13" x14ac:dyDescent="0.15">
      <c r="A48" s="20">
        <f t="shared" si="2"/>
        <v>10</v>
      </c>
      <c r="B48" s="20">
        <v>1002</v>
      </c>
      <c r="C48" s="20" t="s">
        <v>784</v>
      </c>
      <c r="E48" s="20">
        <f t="shared" si="1"/>
        <v>51</v>
      </c>
      <c r="G48" s="20" t="str">
        <f>VLOOKUP(A48,map!A$2:B$29,2,FALSE)</f>
        <v>钟乳洞穴</v>
      </c>
      <c r="H48" s="20">
        <f>VLOOKUP(s!G48,map!B$2:F$29,5,FALSE)</f>
        <v>15</v>
      </c>
      <c r="I48" s="20" t="str">
        <f t="shared" si="0"/>
        <v>亚种生物的巢穴Ⅰ</v>
      </c>
      <c r="M48" s="20">
        <v>47</v>
      </c>
    </row>
    <row r="49" spans="1:13" x14ac:dyDescent="0.15">
      <c r="A49" s="20">
        <f t="shared" si="2"/>
        <v>10</v>
      </c>
      <c r="B49" s="20">
        <v>1003</v>
      </c>
      <c r="C49" s="20" t="s">
        <v>785</v>
      </c>
      <c r="E49" s="20">
        <f t="shared" si="1"/>
        <v>52</v>
      </c>
      <c r="G49" s="20" t="str">
        <f>VLOOKUP(A49,map!A$2:B$29,2,FALSE)</f>
        <v>钟乳洞穴</v>
      </c>
      <c r="H49" s="20">
        <f>VLOOKUP(s!G49,map!B$2:F$29,5,FALSE)</f>
        <v>15</v>
      </c>
      <c r="I49" s="20" t="str">
        <f t="shared" si="0"/>
        <v>亚种生物的巢穴Ⅱ</v>
      </c>
      <c r="M49" s="20">
        <v>48</v>
      </c>
    </row>
    <row r="50" spans="1:13" x14ac:dyDescent="0.15">
      <c r="A50" s="20">
        <f t="shared" si="2"/>
        <v>10</v>
      </c>
      <c r="B50" s="20">
        <v>1004</v>
      </c>
      <c r="C50" s="20" t="s">
        <v>786</v>
      </c>
      <c r="E50" s="20">
        <f t="shared" si="1"/>
        <v>53</v>
      </c>
      <c r="G50" s="20" t="str">
        <f>VLOOKUP(A50,map!A$2:B$29,2,FALSE)</f>
        <v>钟乳洞穴</v>
      </c>
      <c r="H50" s="20">
        <f>VLOOKUP(s!G50,map!B$2:F$29,5,FALSE)</f>
        <v>15</v>
      </c>
      <c r="I50" s="20" t="str">
        <f t="shared" si="0"/>
        <v>迷幻的钟乳洞口</v>
      </c>
      <c r="M50" s="20">
        <v>49</v>
      </c>
    </row>
    <row r="51" spans="1:13" x14ac:dyDescent="0.15">
      <c r="A51" s="20">
        <f t="shared" si="2"/>
        <v>10</v>
      </c>
      <c r="B51" s="20">
        <v>1005</v>
      </c>
      <c r="C51" s="20" t="s">
        <v>787</v>
      </c>
      <c r="E51" s="20">
        <f t="shared" si="1"/>
        <v>54</v>
      </c>
      <c r="G51" s="20" t="str">
        <f>VLOOKUP(A51,map!A$2:B$29,2,FALSE)</f>
        <v>钟乳洞穴</v>
      </c>
      <c r="H51" s="20">
        <f>VLOOKUP(s!G51,map!B$2:F$29,5,FALSE)</f>
        <v>15</v>
      </c>
      <c r="I51" s="20" t="str">
        <f t="shared" si="0"/>
        <v>土匪的巢穴</v>
      </c>
      <c r="M51" s="20">
        <v>50</v>
      </c>
    </row>
    <row r="52" spans="1:13" x14ac:dyDescent="0.15">
      <c r="A52" s="20">
        <f t="shared" si="2"/>
        <v>11</v>
      </c>
      <c r="B52" s="20">
        <v>1101</v>
      </c>
      <c r="C52" s="20" t="s">
        <v>788</v>
      </c>
      <c r="E52" s="20">
        <f t="shared" si="1"/>
        <v>55</v>
      </c>
      <c r="G52" s="20" t="str">
        <f>VLOOKUP(A52,map!A$2:B$29,2,FALSE)</f>
        <v>丘陵地带</v>
      </c>
      <c r="H52" s="20">
        <f>VLOOKUP(s!G52,map!B$2:F$29,5,FALSE)</f>
        <v>29</v>
      </c>
      <c r="I52" s="20" t="str">
        <f t="shared" si="0"/>
        <v>魔兽的巢穴Ⅰ</v>
      </c>
      <c r="M52" s="20">
        <v>51</v>
      </c>
    </row>
    <row r="53" spans="1:13" x14ac:dyDescent="0.15">
      <c r="A53" s="20">
        <f t="shared" si="2"/>
        <v>11</v>
      </c>
      <c r="B53" s="20">
        <v>1102</v>
      </c>
      <c r="C53" s="20" t="s">
        <v>789</v>
      </c>
      <c r="E53" s="20">
        <f t="shared" si="1"/>
        <v>56</v>
      </c>
      <c r="G53" s="20" t="str">
        <f>VLOOKUP(A53,map!A$2:B$29,2,FALSE)</f>
        <v>丘陵地带</v>
      </c>
      <c r="H53" s="20">
        <f>VLOOKUP(s!G53,map!B$2:F$29,5,FALSE)</f>
        <v>29</v>
      </c>
      <c r="I53" s="20" t="str">
        <f t="shared" si="0"/>
        <v>魔兽的巢穴Ⅱ</v>
      </c>
      <c r="M53" s="20">
        <v>52</v>
      </c>
    </row>
    <row r="54" spans="1:13" x14ac:dyDescent="0.15">
      <c r="A54" s="20">
        <f t="shared" si="2"/>
        <v>11</v>
      </c>
      <c r="B54" s="20">
        <v>1103</v>
      </c>
      <c r="C54" s="20" t="s">
        <v>790</v>
      </c>
      <c r="E54" s="20">
        <f t="shared" si="1"/>
        <v>57</v>
      </c>
      <c r="G54" s="20" t="str">
        <f>VLOOKUP(A54,map!A$2:B$29,2,FALSE)</f>
        <v>丘陵地带</v>
      </c>
      <c r="H54" s="20">
        <f>VLOOKUP(s!G54,map!B$2:F$29,5,FALSE)</f>
        <v>29</v>
      </c>
      <c r="I54" s="20" t="str">
        <f t="shared" si="0"/>
        <v>巨人的巢穴Ⅰ</v>
      </c>
      <c r="M54" s="20">
        <v>53</v>
      </c>
    </row>
    <row r="55" spans="1:13" x14ac:dyDescent="0.15">
      <c r="A55" s="20">
        <f t="shared" si="2"/>
        <v>11</v>
      </c>
      <c r="B55" s="20">
        <v>1104</v>
      </c>
      <c r="C55" s="20" t="s">
        <v>791</v>
      </c>
      <c r="E55" s="20">
        <f t="shared" si="1"/>
        <v>58</v>
      </c>
      <c r="G55" s="20" t="str">
        <f>VLOOKUP(A55,map!A$2:B$29,2,FALSE)</f>
        <v>丘陵地带</v>
      </c>
      <c r="H55" s="20">
        <f>VLOOKUP(s!G55,map!B$2:F$29,5,FALSE)</f>
        <v>29</v>
      </c>
      <c r="I55" s="20" t="str">
        <f t="shared" si="0"/>
        <v>巨人的巢穴Ⅱ</v>
      </c>
      <c r="M55" s="20">
        <v>54</v>
      </c>
    </row>
    <row r="56" spans="1:13" x14ac:dyDescent="0.15">
      <c r="A56" s="20">
        <f t="shared" si="2"/>
        <v>11</v>
      </c>
      <c r="B56" s="20">
        <v>1105</v>
      </c>
      <c r="C56" s="20" t="s">
        <v>792</v>
      </c>
      <c r="E56" s="20">
        <f t="shared" si="1"/>
        <v>59</v>
      </c>
      <c r="G56" s="20" t="str">
        <f>VLOOKUP(A56,map!A$2:B$29,2,FALSE)</f>
        <v>丘陵地带</v>
      </c>
      <c r="H56" s="20">
        <f>VLOOKUP(s!G56,map!B$2:F$29,5,FALSE)</f>
        <v>29</v>
      </c>
      <c r="I56" s="20" t="str">
        <f t="shared" si="0"/>
        <v>巨人的巢穴Ⅲ</v>
      </c>
      <c r="M56" s="20">
        <v>55</v>
      </c>
    </row>
    <row r="57" spans="1:13" x14ac:dyDescent="0.15">
      <c r="A57" s="20">
        <f t="shared" si="2"/>
        <v>12</v>
      </c>
      <c r="B57" s="20">
        <v>1201</v>
      </c>
      <c r="C57" s="20" t="s">
        <v>793</v>
      </c>
      <c r="E57" s="20">
        <f t="shared" si="1"/>
        <v>60</v>
      </c>
      <c r="G57" s="20" t="str">
        <f>VLOOKUP(A57,map!A$2:B$29,2,FALSE)</f>
        <v>天空之城</v>
      </c>
      <c r="H57" s="20">
        <f>VLOOKUP(s!G57,map!B$2:F$29,5,FALSE)</f>
        <v>24</v>
      </c>
      <c r="I57" s="20" t="str">
        <f t="shared" si="0"/>
        <v>幻境悬崖Ⅰ</v>
      </c>
      <c r="M57" s="20">
        <v>56</v>
      </c>
    </row>
    <row r="58" spans="1:13" x14ac:dyDescent="0.15">
      <c r="A58" s="20">
        <f t="shared" si="2"/>
        <v>12</v>
      </c>
      <c r="B58" s="20">
        <v>1202</v>
      </c>
      <c r="C58" s="20" t="s">
        <v>794</v>
      </c>
      <c r="E58" s="20">
        <f t="shared" si="1"/>
        <v>61</v>
      </c>
      <c r="G58" s="20" t="str">
        <f>VLOOKUP(A58,map!A$2:B$29,2,FALSE)</f>
        <v>天空之城</v>
      </c>
      <c r="H58" s="20">
        <f>VLOOKUP(s!G58,map!B$2:F$29,5,FALSE)</f>
        <v>24</v>
      </c>
      <c r="I58" s="20" t="str">
        <f t="shared" si="0"/>
        <v>幻境悬崖Ⅱ</v>
      </c>
      <c r="M58" s="20">
        <v>57</v>
      </c>
    </row>
    <row r="59" spans="1:13" x14ac:dyDescent="0.15">
      <c r="A59" s="20">
        <f t="shared" si="2"/>
        <v>12</v>
      </c>
      <c r="B59" s="20">
        <v>1203</v>
      </c>
      <c r="C59" s="20" t="s">
        <v>795</v>
      </c>
      <c r="E59" s="20">
        <f t="shared" si="1"/>
        <v>62</v>
      </c>
      <c r="G59" s="20" t="str">
        <f>VLOOKUP(A59,map!A$2:B$29,2,FALSE)</f>
        <v>天空之城</v>
      </c>
      <c r="H59" s="20">
        <f>VLOOKUP(s!G59,map!B$2:F$29,5,FALSE)</f>
        <v>24</v>
      </c>
      <c r="I59" s="20" t="str">
        <f t="shared" si="0"/>
        <v>古老的圣域Ⅰ</v>
      </c>
      <c r="M59" s="20">
        <v>58</v>
      </c>
    </row>
    <row r="60" spans="1:13" x14ac:dyDescent="0.15">
      <c r="A60" s="20">
        <f t="shared" si="2"/>
        <v>12</v>
      </c>
      <c r="B60" s="20">
        <v>1204</v>
      </c>
      <c r="C60" s="20" t="s">
        <v>796</v>
      </c>
      <c r="E60" s="20">
        <f t="shared" si="1"/>
        <v>63</v>
      </c>
      <c r="G60" s="20" t="str">
        <f>VLOOKUP(A60,map!A$2:B$29,2,FALSE)</f>
        <v>天空之城</v>
      </c>
      <c r="H60" s="20">
        <f>VLOOKUP(s!G60,map!B$2:F$29,5,FALSE)</f>
        <v>24</v>
      </c>
      <c r="I60" s="20" t="str">
        <f t="shared" si="0"/>
        <v>古老的圣域Ⅱ</v>
      </c>
      <c r="M60" s="20">
        <v>59</v>
      </c>
    </row>
    <row r="61" spans="1:13" x14ac:dyDescent="0.15">
      <c r="A61" s="20">
        <f t="shared" si="2"/>
        <v>12</v>
      </c>
      <c r="B61" s="20">
        <v>1205</v>
      </c>
      <c r="C61" s="20" t="s">
        <v>797</v>
      </c>
      <c r="E61" s="20">
        <f t="shared" si="1"/>
        <v>64</v>
      </c>
      <c r="G61" s="20" t="str">
        <f>VLOOKUP(A61,map!A$2:B$29,2,FALSE)</f>
        <v>天空之城</v>
      </c>
      <c r="H61" s="20">
        <f>VLOOKUP(s!G61,map!B$2:F$29,5,FALSE)</f>
        <v>24</v>
      </c>
      <c r="I61" s="20" t="str">
        <f t="shared" si="0"/>
        <v>古老的圣域Ⅲ</v>
      </c>
      <c r="M61" s="20">
        <v>60</v>
      </c>
    </row>
    <row r="62" spans="1:13" x14ac:dyDescent="0.15">
      <c r="A62" s="20">
        <f t="shared" si="2"/>
        <v>13</v>
      </c>
      <c r="B62" s="20">
        <v>1301</v>
      </c>
      <c r="C62" s="20" t="s">
        <v>798</v>
      </c>
      <c r="E62" s="20">
        <f t="shared" si="1"/>
        <v>65</v>
      </c>
      <c r="G62" s="20" t="str">
        <f>VLOOKUP(A62,map!A$2:B$29,2,FALSE)</f>
        <v>混乱之地</v>
      </c>
      <c r="H62" s="20">
        <f>VLOOKUP(s!G62,map!B$2:F$29,5,FALSE)</f>
        <v>14</v>
      </c>
      <c r="I62" s="20" t="str">
        <f t="shared" si="0"/>
        <v>修罗的混沌遗迹Ⅰ</v>
      </c>
      <c r="M62" s="20">
        <v>61</v>
      </c>
    </row>
    <row r="63" spans="1:13" x14ac:dyDescent="0.15">
      <c r="A63" s="20">
        <f t="shared" si="2"/>
        <v>13</v>
      </c>
      <c r="B63" s="20">
        <v>1302</v>
      </c>
      <c r="C63" s="20" t="s">
        <v>799</v>
      </c>
      <c r="E63" s="20">
        <f t="shared" si="1"/>
        <v>66</v>
      </c>
      <c r="G63" s="20" t="str">
        <f>VLOOKUP(A63,map!A$2:B$29,2,FALSE)</f>
        <v>混乱之地</v>
      </c>
      <c r="H63" s="20">
        <f>VLOOKUP(s!G63,map!B$2:F$29,5,FALSE)</f>
        <v>14</v>
      </c>
      <c r="I63" s="20" t="str">
        <f t="shared" si="0"/>
        <v>修罗的混沌遗迹Ⅱ</v>
      </c>
      <c r="M63" s="20">
        <v>62</v>
      </c>
    </row>
    <row r="64" spans="1:13" x14ac:dyDescent="0.15">
      <c r="A64" s="20">
        <f t="shared" si="2"/>
        <v>13</v>
      </c>
      <c r="B64" s="20">
        <v>1303</v>
      </c>
      <c r="C64" s="20" t="s">
        <v>800</v>
      </c>
      <c r="E64" s="20">
        <f t="shared" si="1"/>
        <v>67</v>
      </c>
      <c r="G64" s="20" t="str">
        <f>VLOOKUP(A64,map!A$2:B$29,2,FALSE)</f>
        <v>混乱之地</v>
      </c>
      <c r="H64" s="20">
        <f>VLOOKUP(s!G64,map!B$2:F$29,5,FALSE)</f>
        <v>14</v>
      </c>
      <c r="I64" s="20" t="str">
        <f t="shared" si="0"/>
        <v>狂乱的蛇行道Ⅰ</v>
      </c>
      <c r="M64" s="20">
        <v>63</v>
      </c>
    </row>
    <row r="65" spans="1:13" x14ac:dyDescent="0.15">
      <c r="A65" s="20">
        <f t="shared" si="2"/>
        <v>13</v>
      </c>
      <c r="B65" s="20">
        <v>1304</v>
      </c>
      <c r="C65" s="20" t="s">
        <v>801</v>
      </c>
      <c r="E65" s="20">
        <f t="shared" si="1"/>
        <v>68</v>
      </c>
      <c r="G65" s="20" t="str">
        <f>VLOOKUP(A65,map!A$2:B$29,2,FALSE)</f>
        <v>混乱之地</v>
      </c>
      <c r="H65" s="20">
        <f>VLOOKUP(s!G65,map!B$2:F$29,5,FALSE)</f>
        <v>14</v>
      </c>
      <c r="I65" s="20" t="str">
        <f t="shared" si="0"/>
        <v>狂乱的蛇行道Ⅱ</v>
      </c>
      <c r="M65" s="20">
        <v>64</v>
      </c>
    </row>
    <row r="66" spans="1:13" x14ac:dyDescent="0.15">
      <c r="A66" s="20">
        <f t="shared" si="2"/>
        <v>13</v>
      </c>
      <c r="B66" s="20">
        <v>1305</v>
      </c>
      <c r="C66" s="20" t="s">
        <v>802</v>
      </c>
      <c r="E66" s="20">
        <f t="shared" si="1"/>
        <v>69</v>
      </c>
      <c r="G66" s="20" t="str">
        <f>VLOOKUP(A66,map!A$2:B$29,2,FALSE)</f>
        <v>混乱之地</v>
      </c>
      <c r="H66" s="20">
        <f>VLOOKUP(s!G66,map!B$2:F$29,5,FALSE)</f>
        <v>14</v>
      </c>
      <c r="I66" s="20" t="str">
        <f t="shared" si="0"/>
        <v>狂乱的蛇行道Ⅲ</v>
      </c>
      <c r="M66" s="20">
        <v>65</v>
      </c>
    </row>
    <row r="67" spans="1:13" x14ac:dyDescent="0.15">
      <c r="A67" s="20">
        <f t="shared" si="2"/>
        <v>14</v>
      </c>
      <c r="B67" s="20">
        <v>1401</v>
      </c>
      <c r="C67" s="20" t="s">
        <v>803</v>
      </c>
      <c r="E67" s="20">
        <f t="shared" si="1"/>
        <v>70</v>
      </c>
      <c r="G67" s="20" t="str">
        <f>VLOOKUP(A67,map!A$2:B$29,2,FALSE)</f>
        <v>大瀑布</v>
      </c>
      <c r="H67" s="20">
        <f>VLOOKUP(s!G67,map!B$2:F$29,5,FALSE)</f>
        <v>16</v>
      </c>
      <c r="I67" s="20" t="str">
        <f t="shared" ref="I67:I130" si="3">C67</f>
        <v>河畔的风之遗迹Ⅰ</v>
      </c>
      <c r="M67" s="20">
        <v>66</v>
      </c>
    </row>
    <row r="68" spans="1:13" x14ac:dyDescent="0.15">
      <c r="A68" s="20">
        <f t="shared" si="2"/>
        <v>14</v>
      </c>
      <c r="B68" s="20">
        <v>1402</v>
      </c>
      <c r="C68" s="20" t="s">
        <v>804</v>
      </c>
      <c r="E68" s="20">
        <f t="shared" ref="E68:E131" si="4">E67+1</f>
        <v>71</v>
      </c>
      <c r="G68" s="20" t="str">
        <f>VLOOKUP(A68,map!A$2:B$29,2,FALSE)</f>
        <v>大瀑布</v>
      </c>
      <c r="H68" s="20">
        <f>VLOOKUP(s!G68,map!B$2:F$29,5,FALSE)</f>
        <v>16</v>
      </c>
      <c r="I68" s="20" t="str">
        <f t="shared" si="3"/>
        <v>河畔的风之遗迹Ⅱ</v>
      </c>
      <c r="M68" s="20">
        <v>67</v>
      </c>
    </row>
    <row r="69" spans="1:13" x14ac:dyDescent="0.15">
      <c r="A69" s="20">
        <f t="shared" si="2"/>
        <v>14</v>
      </c>
      <c r="B69" s="20">
        <v>1403</v>
      </c>
      <c r="C69" s="20" t="s">
        <v>805</v>
      </c>
      <c r="E69" s="20">
        <f t="shared" si="4"/>
        <v>72</v>
      </c>
      <c r="G69" s="20" t="str">
        <f>VLOOKUP(A69,map!A$2:B$29,2,FALSE)</f>
        <v>大瀑布</v>
      </c>
      <c r="H69" s="20">
        <f>VLOOKUP(s!G69,map!B$2:F$29,5,FALSE)</f>
        <v>16</v>
      </c>
      <c r="I69" s="20" t="str">
        <f t="shared" si="3"/>
        <v>被封印的黑暗之根Ⅰ</v>
      </c>
      <c r="M69" s="20">
        <v>68</v>
      </c>
    </row>
    <row r="70" spans="1:13" x14ac:dyDescent="0.15">
      <c r="A70" s="20">
        <f t="shared" si="2"/>
        <v>14</v>
      </c>
      <c r="B70" s="20">
        <v>1404</v>
      </c>
      <c r="C70" s="20" t="s">
        <v>806</v>
      </c>
      <c r="E70" s="20">
        <f t="shared" si="4"/>
        <v>73</v>
      </c>
      <c r="G70" s="20" t="str">
        <f>VLOOKUP(A70,map!A$2:B$29,2,FALSE)</f>
        <v>大瀑布</v>
      </c>
      <c r="H70" s="20">
        <f>VLOOKUP(s!G70,map!B$2:F$29,5,FALSE)</f>
        <v>16</v>
      </c>
      <c r="I70" s="20" t="str">
        <f t="shared" si="3"/>
        <v>被封印的黑暗之根Ⅱ</v>
      </c>
      <c r="M70" s="20">
        <v>69</v>
      </c>
    </row>
    <row r="71" spans="1:13" x14ac:dyDescent="0.15">
      <c r="A71" s="20">
        <f t="shared" si="2"/>
        <v>14</v>
      </c>
      <c r="B71" s="20">
        <v>1405</v>
      </c>
      <c r="C71" s="20" t="s">
        <v>807</v>
      </c>
      <c r="E71" s="20">
        <f t="shared" si="4"/>
        <v>74</v>
      </c>
      <c r="G71" s="20" t="str">
        <f>VLOOKUP(A71,map!A$2:B$29,2,FALSE)</f>
        <v>大瀑布</v>
      </c>
      <c r="H71" s="20">
        <f>VLOOKUP(s!G71,map!B$2:F$29,5,FALSE)</f>
        <v>16</v>
      </c>
      <c r="I71" s="20" t="str">
        <f t="shared" si="3"/>
        <v>被封印的黑暗之根Ⅲ</v>
      </c>
      <c r="M71" s="20">
        <v>70</v>
      </c>
    </row>
    <row r="72" spans="1:13" x14ac:dyDescent="0.15">
      <c r="A72" s="20">
        <f t="shared" ref="A72:A135" si="5">A67+1</f>
        <v>15</v>
      </c>
      <c r="B72" s="20">
        <v>1501</v>
      </c>
      <c r="C72" s="20" t="s">
        <v>808</v>
      </c>
      <c r="E72" s="20">
        <f t="shared" si="4"/>
        <v>75</v>
      </c>
      <c r="G72" s="20" t="str">
        <f>VLOOKUP(A72,map!A$2:B$29,2,FALSE)</f>
        <v>火焰神殿</v>
      </c>
      <c r="H72" s="20">
        <f>VLOOKUP(s!G72,map!B$2:F$29,5,FALSE)</f>
        <v>12</v>
      </c>
      <c r="I72" s="20" t="str">
        <f t="shared" si="3"/>
        <v>九尾狐的领地</v>
      </c>
      <c r="M72" s="20">
        <v>71</v>
      </c>
    </row>
    <row r="73" spans="1:13" x14ac:dyDescent="0.15">
      <c r="A73" s="20">
        <f t="shared" si="5"/>
        <v>15</v>
      </c>
      <c r="B73" s="20">
        <v>1502</v>
      </c>
      <c r="C73" s="20" t="s">
        <v>809</v>
      </c>
      <c r="E73" s="20">
        <f t="shared" si="4"/>
        <v>76</v>
      </c>
      <c r="G73" s="20" t="str">
        <f>VLOOKUP(A73,map!A$2:B$29,2,FALSE)</f>
        <v>火焰神殿</v>
      </c>
      <c r="H73" s="20">
        <f>VLOOKUP(s!G73,map!B$2:F$29,5,FALSE)</f>
        <v>12</v>
      </c>
      <c r="I73" s="20" t="str">
        <f t="shared" si="3"/>
        <v>灼烧的火炎地带Ⅰ</v>
      </c>
      <c r="M73" s="20">
        <v>72</v>
      </c>
    </row>
    <row r="74" spans="1:13" x14ac:dyDescent="0.15">
      <c r="A74" s="20">
        <f t="shared" si="5"/>
        <v>15</v>
      </c>
      <c r="B74" s="20">
        <v>1503</v>
      </c>
      <c r="C74" s="20" t="s">
        <v>810</v>
      </c>
      <c r="E74" s="20">
        <f t="shared" si="4"/>
        <v>77</v>
      </c>
      <c r="G74" s="20" t="str">
        <f>VLOOKUP(A74,map!A$2:B$29,2,FALSE)</f>
        <v>火焰神殿</v>
      </c>
      <c r="H74" s="20">
        <f>VLOOKUP(s!G74,map!B$2:F$29,5,FALSE)</f>
        <v>12</v>
      </c>
      <c r="I74" s="20" t="str">
        <f t="shared" si="3"/>
        <v>灼烧的火炎地带Ⅱ</v>
      </c>
      <c r="M74" s="20">
        <v>73</v>
      </c>
    </row>
    <row r="75" spans="1:13" x14ac:dyDescent="0.15">
      <c r="A75" s="20">
        <f t="shared" si="5"/>
        <v>15</v>
      </c>
      <c r="B75" s="20">
        <v>1504</v>
      </c>
      <c r="C75" s="20" t="s">
        <v>811</v>
      </c>
      <c r="E75" s="20">
        <f t="shared" si="4"/>
        <v>78</v>
      </c>
      <c r="G75" s="20" t="str">
        <f>VLOOKUP(A75,map!A$2:B$29,2,FALSE)</f>
        <v>火焰神殿</v>
      </c>
      <c r="H75" s="20">
        <f>VLOOKUP(s!G75,map!B$2:F$29,5,FALSE)</f>
        <v>12</v>
      </c>
      <c r="I75" s="20" t="str">
        <f t="shared" si="3"/>
        <v>进攻火焰山Ⅰ</v>
      </c>
      <c r="M75" s="20">
        <v>74</v>
      </c>
    </row>
    <row r="76" spans="1:13" x14ac:dyDescent="0.15">
      <c r="A76" s="20">
        <f t="shared" si="5"/>
        <v>15</v>
      </c>
      <c r="B76" s="20">
        <v>1505</v>
      </c>
      <c r="C76" s="20" t="s">
        <v>812</v>
      </c>
      <c r="E76" s="20">
        <f t="shared" si="4"/>
        <v>79</v>
      </c>
      <c r="G76" s="20" t="str">
        <f>VLOOKUP(A76,map!A$2:B$29,2,FALSE)</f>
        <v>火焰神殿</v>
      </c>
      <c r="H76" s="20">
        <f>VLOOKUP(s!G76,map!B$2:F$29,5,FALSE)</f>
        <v>12</v>
      </c>
      <c r="I76" s="20" t="str">
        <f t="shared" si="3"/>
        <v>进攻火焰山Ⅱ</v>
      </c>
      <c r="M76" s="20">
        <v>75</v>
      </c>
    </row>
    <row r="77" spans="1:13" x14ac:dyDescent="0.15">
      <c r="A77" s="20">
        <f t="shared" si="5"/>
        <v>16</v>
      </c>
      <c r="B77" s="20">
        <v>1601</v>
      </c>
      <c r="C77" s="20" t="s">
        <v>813</v>
      </c>
      <c r="E77" s="20">
        <f t="shared" si="4"/>
        <v>80</v>
      </c>
      <c r="G77" s="20" t="str">
        <f>VLOOKUP(A77,map!A$2:B$29,2,FALSE)</f>
        <v>神社</v>
      </c>
      <c r="H77" s="20">
        <f>VLOOKUP(s!G77,map!B$2:F$29,5,FALSE)</f>
        <v>27</v>
      </c>
      <c r="I77" s="20" t="str">
        <f t="shared" si="3"/>
        <v>淑琳的圣宫Ⅰ</v>
      </c>
      <c r="M77" s="20">
        <v>76</v>
      </c>
    </row>
    <row r="78" spans="1:13" x14ac:dyDescent="0.15">
      <c r="A78" s="20">
        <f t="shared" si="5"/>
        <v>16</v>
      </c>
      <c r="B78" s="20">
        <v>1602</v>
      </c>
      <c r="C78" s="20" t="s">
        <v>814</v>
      </c>
      <c r="E78" s="20">
        <f t="shared" si="4"/>
        <v>81</v>
      </c>
      <c r="G78" s="20" t="str">
        <f>VLOOKUP(A78,map!A$2:B$29,2,FALSE)</f>
        <v>神社</v>
      </c>
      <c r="H78" s="20">
        <f>VLOOKUP(s!G78,map!B$2:F$29,5,FALSE)</f>
        <v>27</v>
      </c>
      <c r="I78" s="20" t="str">
        <f t="shared" si="3"/>
        <v>淑琳的圣宫Ⅱ</v>
      </c>
      <c r="M78" s="20">
        <v>77</v>
      </c>
    </row>
    <row r="79" spans="1:13" x14ac:dyDescent="0.15">
      <c r="A79" s="20">
        <f t="shared" si="5"/>
        <v>16</v>
      </c>
      <c r="B79" s="20">
        <v>1603</v>
      </c>
      <c r="C79" s="20" t="s">
        <v>815</v>
      </c>
      <c r="E79" s="20">
        <f t="shared" si="4"/>
        <v>82</v>
      </c>
      <c r="G79" s="20" t="str">
        <f>VLOOKUP(A79,map!A$2:B$29,2,FALSE)</f>
        <v>神社</v>
      </c>
      <c r="H79" s="20">
        <f>VLOOKUP(s!G79,map!B$2:F$29,5,FALSE)</f>
        <v>27</v>
      </c>
      <c r="I79" s="20" t="str">
        <f t="shared" si="3"/>
        <v>淑琳的圣宫Ⅲ</v>
      </c>
      <c r="M79" s="20">
        <v>78</v>
      </c>
    </row>
    <row r="80" spans="1:13" x14ac:dyDescent="0.15">
      <c r="A80" s="20">
        <f t="shared" si="5"/>
        <v>16</v>
      </c>
      <c r="B80" s="20">
        <v>1604</v>
      </c>
      <c r="C80" s="20" t="s">
        <v>816</v>
      </c>
      <c r="E80" s="20">
        <f t="shared" si="4"/>
        <v>83</v>
      </c>
      <c r="G80" s="20" t="str">
        <f>VLOOKUP(A80,map!A$2:B$29,2,FALSE)</f>
        <v>神社</v>
      </c>
      <c r="H80" s="20">
        <f>VLOOKUP(s!G80,map!B$2:F$29,5,FALSE)</f>
        <v>27</v>
      </c>
      <c r="I80" s="20" t="str">
        <f t="shared" si="3"/>
        <v>淑琳的圣宫Ⅳ</v>
      </c>
      <c r="M80" s="20">
        <v>79</v>
      </c>
    </row>
    <row r="81" spans="1:13" x14ac:dyDescent="0.15">
      <c r="A81" s="20">
        <f t="shared" si="5"/>
        <v>16</v>
      </c>
      <c r="B81" s="20">
        <v>1605</v>
      </c>
      <c r="C81" s="20" t="s">
        <v>817</v>
      </c>
      <c r="E81" s="20">
        <f t="shared" si="4"/>
        <v>84</v>
      </c>
      <c r="G81" s="20" t="str">
        <f>VLOOKUP(A81,map!A$2:B$29,2,FALSE)</f>
        <v>神社</v>
      </c>
      <c r="H81" s="20">
        <f>VLOOKUP(s!G81,map!B$2:F$29,5,FALSE)</f>
        <v>27</v>
      </c>
      <c r="I81" s="20" t="str">
        <f t="shared" si="3"/>
        <v>淑琳的圣宫Ⅴ</v>
      </c>
      <c r="M81" s="20">
        <v>80</v>
      </c>
    </row>
    <row r="82" spans="1:13" x14ac:dyDescent="0.15">
      <c r="A82" s="20">
        <f t="shared" si="5"/>
        <v>17</v>
      </c>
      <c r="B82" s="20">
        <v>1701</v>
      </c>
      <c r="C82" s="20" t="s">
        <v>818</v>
      </c>
      <c r="E82" s="20">
        <f t="shared" si="4"/>
        <v>85</v>
      </c>
      <c r="G82" s="20" t="str">
        <f>VLOOKUP(A82,map!A$2:B$29,2,FALSE)</f>
        <v>火焰神社</v>
      </c>
      <c r="H82" s="20">
        <f>VLOOKUP(s!G82,map!B$2:F$29,5,FALSE)</f>
        <v>12</v>
      </c>
      <c r="I82" s="20" t="str">
        <f t="shared" si="3"/>
        <v>碧王的神庙Ⅰ</v>
      </c>
      <c r="M82" s="20">
        <v>81</v>
      </c>
    </row>
    <row r="83" spans="1:13" x14ac:dyDescent="0.15">
      <c r="A83" s="20">
        <f t="shared" si="5"/>
        <v>17</v>
      </c>
      <c r="B83" s="20">
        <v>1702</v>
      </c>
      <c r="C83" s="20" t="s">
        <v>819</v>
      </c>
      <c r="E83" s="20">
        <f t="shared" si="4"/>
        <v>86</v>
      </c>
      <c r="G83" s="20" t="str">
        <f>VLOOKUP(A83,map!A$2:B$29,2,FALSE)</f>
        <v>火焰神社</v>
      </c>
      <c r="H83" s="20">
        <f>VLOOKUP(s!G83,map!B$2:F$29,5,FALSE)</f>
        <v>12</v>
      </c>
      <c r="I83" s="20" t="str">
        <f t="shared" si="3"/>
        <v>碧王的神庙Ⅱ</v>
      </c>
      <c r="M83" s="20">
        <v>82</v>
      </c>
    </row>
    <row r="84" spans="1:13" x14ac:dyDescent="0.15">
      <c r="A84" s="20">
        <f t="shared" si="5"/>
        <v>17</v>
      </c>
      <c r="B84" s="20">
        <v>1703</v>
      </c>
      <c r="C84" s="20" t="s">
        <v>820</v>
      </c>
      <c r="E84" s="20">
        <f t="shared" si="4"/>
        <v>87</v>
      </c>
      <c r="G84" s="20" t="str">
        <f>VLOOKUP(A84,map!A$2:B$29,2,FALSE)</f>
        <v>火焰神社</v>
      </c>
      <c r="H84" s="20">
        <f>VLOOKUP(s!G84,map!B$2:F$29,5,FALSE)</f>
        <v>12</v>
      </c>
      <c r="I84" s="20" t="str">
        <f t="shared" si="3"/>
        <v>邪魔的封印洞Ⅰ</v>
      </c>
      <c r="M84" s="20">
        <v>83</v>
      </c>
    </row>
    <row r="85" spans="1:13" x14ac:dyDescent="0.15">
      <c r="A85" s="20">
        <f t="shared" si="5"/>
        <v>17</v>
      </c>
      <c r="B85" s="20">
        <v>1704</v>
      </c>
      <c r="C85" s="20" t="s">
        <v>821</v>
      </c>
      <c r="E85" s="20">
        <f t="shared" si="4"/>
        <v>88</v>
      </c>
      <c r="G85" s="20" t="str">
        <f>VLOOKUP(A85,map!A$2:B$29,2,FALSE)</f>
        <v>火焰神社</v>
      </c>
      <c r="H85" s="20">
        <f>VLOOKUP(s!G85,map!B$2:F$29,5,FALSE)</f>
        <v>12</v>
      </c>
      <c r="I85" s="20" t="str">
        <f t="shared" si="3"/>
        <v>邪魔的封印洞Ⅱ</v>
      </c>
      <c r="M85" s="20">
        <v>84</v>
      </c>
    </row>
    <row r="86" spans="1:13" x14ac:dyDescent="0.15">
      <c r="A86" s="20">
        <f t="shared" si="5"/>
        <v>17</v>
      </c>
      <c r="B86" s="20">
        <v>1705</v>
      </c>
      <c r="C86" s="20" t="s">
        <v>822</v>
      </c>
      <c r="E86" s="20">
        <f t="shared" si="4"/>
        <v>89</v>
      </c>
      <c r="G86" s="20" t="str">
        <f>VLOOKUP(A86,map!A$2:B$29,2,FALSE)</f>
        <v>火焰神社</v>
      </c>
      <c r="H86" s="20">
        <f>VLOOKUP(s!G86,map!B$2:F$29,5,FALSE)</f>
        <v>12</v>
      </c>
      <c r="I86" s="20" t="str">
        <f t="shared" si="3"/>
        <v>邪魔的封印洞Ⅲ</v>
      </c>
      <c r="M86" s="20">
        <v>85</v>
      </c>
    </row>
    <row r="87" spans="1:13" x14ac:dyDescent="0.15">
      <c r="A87" s="20">
        <f t="shared" si="5"/>
        <v>18</v>
      </c>
      <c r="B87" s="20">
        <v>1801</v>
      </c>
      <c r="C87" s="20" t="s">
        <v>823</v>
      </c>
      <c r="E87" s="20">
        <f t="shared" si="4"/>
        <v>90</v>
      </c>
      <c r="G87" s="20" t="str">
        <f>VLOOKUP(A87,map!A$2:B$29,2,FALSE)</f>
        <v>遗迹群</v>
      </c>
      <c r="H87" s="20">
        <f>VLOOKUP(s!G87,map!B$2:F$29,5,FALSE)</f>
        <v>26</v>
      </c>
      <c r="I87" s="20" t="str">
        <f t="shared" si="3"/>
        <v>遥远的故乡Ⅰ</v>
      </c>
      <c r="M87" s="20">
        <v>86</v>
      </c>
    </row>
    <row r="88" spans="1:13" x14ac:dyDescent="0.15">
      <c r="A88" s="20">
        <f t="shared" si="5"/>
        <v>18</v>
      </c>
      <c r="B88" s="20">
        <v>1802</v>
      </c>
      <c r="C88" s="20" t="s">
        <v>824</v>
      </c>
      <c r="E88" s="20">
        <f t="shared" si="4"/>
        <v>91</v>
      </c>
      <c r="G88" s="20" t="str">
        <f>VLOOKUP(A88,map!A$2:B$29,2,FALSE)</f>
        <v>遗迹群</v>
      </c>
      <c r="H88" s="20">
        <f>VLOOKUP(s!G88,map!B$2:F$29,5,FALSE)</f>
        <v>26</v>
      </c>
      <c r="I88" s="20" t="str">
        <f t="shared" si="3"/>
        <v>遥远的故乡Ⅱ</v>
      </c>
      <c r="M88" s="20">
        <v>87</v>
      </c>
    </row>
    <row r="89" spans="1:13" x14ac:dyDescent="0.15">
      <c r="A89" s="20">
        <f t="shared" si="5"/>
        <v>18</v>
      </c>
      <c r="B89" s="20">
        <v>1803</v>
      </c>
      <c r="C89" s="20" t="s">
        <v>825</v>
      </c>
      <c r="E89" s="20">
        <f t="shared" si="4"/>
        <v>92</v>
      </c>
      <c r="G89" s="20" t="str">
        <f>VLOOKUP(A89,map!A$2:B$29,2,FALSE)</f>
        <v>遗迹群</v>
      </c>
      <c r="H89" s="20">
        <f>VLOOKUP(s!G89,map!B$2:F$29,5,FALSE)</f>
        <v>26</v>
      </c>
      <c r="I89" s="20" t="str">
        <f t="shared" si="3"/>
        <v>遥远的故乡Ⅲ</v>
      </c>
      <c r="M89" s="20">
        <v>88</v>
      </c>
    </row>
    <row r="90" spans="1:13" x14ac:dyDescent="0.15">
      <c r="A90" s="20">
        <f t="shared" si="5"/>
        <v>18</v>
      </c>
      <c r="B90" s="20">
        <v>1804</v>
      </c>
      <c r="C90" s="20" t="s">
        <v>826</v>
      </c>
      <c r="E90" s="20">
        <f t="shared" si="4"/>
        <v>93</v>
      </c>
      <c r="G90" s="20" t="str">
        <f>VLOOKUP(A90,map!A$2:B$29,2,FALSE)</f>
        <v>遗迹群</v>
      </c>
      <c r="H90" s="20">
        <f>VLOOKUP(s!G90,map!B$2:F$29,5,FALSE)</f>
        <v>26</v>
      </c>
      <c r="I90" s="20" t="str">
        <f t="shared" si="3"/>
        <v>遥远的故乡Ⅳ</v>
      </c>
      <c r="M90" s="20">
        <v>89</v>
      </c>
    </row>
    <row r="91" spans="1:13" x14ac:dyDescent="0.15">
      <c r="A91" s="20">
        <f t="shared" si="5"/>
        <v>18</v>
      </c>
      <c r="B91" s="20">
        <v>1805</v>
      </c>
      <c r="C91" s="20" t="s">
        <v>827</v>
      </c>
      <c r="E91" s="20">
        <f t="shared" si="4"/>
        <v>94</v>
      </c>
      <c r="G91" s="20" t="str">
        <f>VLOOKUP(A91,map!A$2:B$29,2,FALSE)</f>
        <v>遗迹群</v>
      </c>
      <c r="H91" s="20">
        <f>VLOOKUP(s!G91,map!B$2:F$29,5,FALSE)</f>
        <v>26</v>
      </c>
      <c r="I91" s="20" t="str">
        <f t="shared" si="3"/>
        <v>遥远的故乡Ⅴ</v>
      </c>
      <c r="M91" s="20">
        <v>90</v>
      </c>
    </row>
    <row r="92" spans="1:13" x14ac:dyDescent="0.15">
      <c r="A92" s="20">
        <f t="shared" si="5"/>
        <v>19</v>
      </c>
      <c r="B92" s="20">
        <v>1901</v>
      </c>
      <c r="C92" s="20" t="s">
        <v>828</v>
      </c>
      <c r="E92" s="20">
        <f t="shared" si="4"/>
        <v>95</v>
      </c>
      <c r="G92" s="20" t="str">
        <f>VLOOKUP(A92,map!A$2:B$29,2,FALSE)</f>
        <v>炎热河床</v>
      </c>
      <c r="H92" s="20">
        <f>VLOOKUP(s!G92,map!B$2:F$29,5,FALSE)</f>
        <v>23</v>
      </c>
      <c r="I92" s="20" t="str">
        <f t="shared" si="3"/>
        <v>光之溪谷Ⅰ</v>
      </c>
      <c r="M92" s="20">
        <v>91</v>
      </c>
    </row>
    <row r="93" spans="1:13" x14ac:dyDescent="0.15">
      <c r="A93" s="20">
        <f t="shared" si="5"/>
        <v>19</v>
      </c>
      <c r="B93" s="20">
        <v>1902</v>
      </c>
      <c r="C93" s="20" t="s">
        <v>829</v>
      </c>
      <c r="E93" s="20">
        <f t="shared" si="4"/>
        <v>96</v>
      </c>
      <c r="G93" s="20" t="str">
        <f>VLOOKUP(A93,map!A$2:B$29,2,FALSE)</f>
        <v>炎热河床</v>
      </c>
      <c r="H93" s="20">
        <f>VLOOKUP(s!G93,map!B$2:F$29,5,FALSE)</f>
        <v>23</v>
      </c>
      <c r="I93" s="20" t="str">
        <f t="shared" si="3"/>
        <v>光之溪谷Ⅱ</v>
      </c>
      <c r="M93" s="20">
        <v>92</v>
      </c>
    </row>
    <row r="94" spans="1:13" x14ac:dyDescent="0.15">
      <c r="A94" s="20">
        <f t="shared" si="5"/>
        <v>19</v>
      </c>
      <c r="B94" s="20">
        <v>1903</v>
      </c>
      <c r="C94" s="20" t="s">
        <v>830</v>
      </c>
      <c r="E94" s="20">
        <f t="shared" si="4"/>
        <v>97</v>
      </c>
      <c r="G94" s="20" t="str">
        <f>VLOOKUP(A94,map!A$2:B$29,2,FALSE)</f>
        <v>炎热河床</v>
      </c>
      <c r="H94" s="20">
        <f>VLOOKUP(s!G94,map!B$2:F$29,5,FALSE)</f>
        <v>23</v>
      </c>
      <c r="I94" s="20" t="str">
        <f t="shared" si="3"/>
        <v>光之溪谷Ⅲ</v>
      </c>
      <c r="M94" s="20">
        <v>93</v>
      </c>
    </row>
    <row r="95" spans="1:13" x14ac:dyDescent="0.15">
      <c r="A95" s="20">
        <f t="shared" si="5"/>
        <v>19</v>
      </c>
      <c r="B95" s="20">
        <v>1904</v>
      </c>
      <c r="C95" s="20" t="s">
        <v>831</v>
      </c>
      <c r="E95" s="20">
        <f t="shared" si="4"/>
        <v>98</v>
      </c>
      <c r="G95" s="20" t="str">
        <f>VLOOKUP(A95,map!A$2:B$29,2,FALSE)</f>
        <v>炎热河床</v>
      </c>
      <c r="H95" s="20">
        <f>VLOOKUP(s!G95,map!B$2:F$29,5,FALSE)</f>
        <v>23</v>
      </c>
      <c r="I95" s="20" t="str">
        <f t="shared" si="3"/>
        <v>光之溪谷Ⅳ</v>
      </c>
      <c r="M95" s="20">
        <v>94</v>
      </c>
    </row>
    <row r="96" spans="1:13" x14ac:dyDescent="0.15">
      <c r="A96" s="20">
        <f t="shared" si="5"/>
        <v>19</v>
      </c>
      <c r="B96" s="20">
        <v>1905</v>
      </c>
      <c r="C96" s="20" t="s">
        <v>832</v>
      </c>
      <c r="E96" s="20">
        <f t="shared" si="4"/>
        <v>99</v>
      </c>
      <c r="G96" s="20" t="str">
        <f>VLOOKUP(A96,map!A$2:B$29,2,FALSE)</f>
        <v>炎热河床</v>
      </c>
      <c r="H96" s="20">
        <f>VLOOKUP(s!G96,map!B$2:F$29,5,FALSE)</f>
        <v>23</v>
      </c>
      <c r="I96" s="20" t="str">
        <f t="shared" si="3"/>
        <v>光之溪谷Ⅴ</v>
      </c>
      <c r="M96" s="20">
        <v>95</v>
      </c>
    </row>
    <row r="97" spans="1:13" x14ac:dyDescent="0.15">
      <c r="A97" s="20">
        <f t="shared" si="5"/>
        <v>20</v>
      </c>
      <c r="B97" s="20">
        <v>2001</v>
      </c>
      <c r="C97" s="20" t="s">
        <v>833</v>
      </c>
      <c r="E97" s="20">
        <f t="shared" si="4"/>
        <v>100</v>
      </c>
      <c r="G97" s="20" t="str">
        <f>VLOOKUP(A97,map!A$2:B$29,2,FALSE)</f>
        <v>阳光山谷</v>
      </c>
      <c r="H97" s="20">
        <f>VLOOKUP(s!G97,map!B$2:F$29,5,FALSE)</f>
        <v>9</v>
      </c>
      <c r="I97" s="20" t="str">
        <f t="shared" si="3"/>
        <v>前往魔王宫殿Ⅰ</v>
      </c>
      <c r="M97" s="20">
        <v>96</v>
      </c>
    </row>
    <row r="98" spans="1:13" x14ac:dyDescent="0.15">
      <c r="A98" s="20">
        <f t="shared" si="5"/>
        <v>20</v>
      </c>
      <c r="B98" s="20">
        <v>2002</v>
      </c>
      <c r="C98" s="20" t="s">
        <v>834</v>
      </c>
      <c r="E98" s="20">
        <f t="shared" si="4"/>
        <v>101</v>
      </c>
      <c r="G98" s="20" t="str">
        <f>VLOOKUP(A98,map!A$2:B$29,2,FALSE)</f>
        <v>阳光山谷</v>
      </c>
      <c r="H98" s="20">
        <f>VLOOKUP(s!G98,map!B$2:F$29,5,FALSE)</f>
        <v>9</v>
      </c>
      <c r="I98" s="20" t="str">
        <f t="shared" si="3"/>
        <v>前往魔王宫殿Ⅱ</v>
      </c>
      <c r="M98" s="20">
        <v>97</v>
      </c>
    </row>
    <row r="99" spans="1:13" x14ac:dyDescent="0.15">
      <c r="A99" s="20">
        <f t="shared" si="5"/>
        <v>20</v>
      </c>
      <c r="B99" s="20">
        <v>2003</v>
      </c>
      <c r="C99" s="20" t="s">
        <v>835</v>
      </c>
      <c r="E99" s="20">
        <f t="shared" si="4"/>
        <v>102</v>
      </c>
      <c r="G99" s="20" t="str">
        <f>VLOOKUP(A99,map!A$2:B$29,2,FALSE)</f>
        <v>阳光山谷</v>
      </c>
      <c r="H99" s="20">
        <f>VLOOKUP(s!G99,map!B$2:F$29,5,FALSE)</f>
        <v>9</v>
      </c>
      <c r="I99" s="20" t="str">
        <f t="shared" si="3"/>
        <v>宫殿的间隙Ⅰ</v>
      </c>
      <c r="M99" s="20">
        <v>98</v>
      </c>
    </row>
    <row r="100" spans="1:13" x14ac:dyDescent="0.15">
      <c r="A100" s="20">
        <f t="shared" si="5"/>
        <v>20</v>
      </c>
      <c r="B100" s="20">
        <v>2004</v>
      </c>
      <c r="C100" s="20" t="s">
        <v>836</v>
      </c>
      <c r="E100" s="20">
        <f t="shared" si="4"/>
        <v>103</v>
      </c>
      <c r="G100" s="20" t="str">
        <f>VLOOKUP(A100,map!A$2:B$29,2,FALSE)</f>
        <v>阳光山谷</v>
      </c>
      <c r="H100" s="20">
        <f>VLOOKUP(s!G100,map!B$2:F$29,5,FALSE)</f>
        <v>9</v>
      </c>
      <c r="I100" s="20" t="str">
        <f t="shared" si="3"/>
        <v>宫殿的间隙Ⅱ</v>
      </c>
      <c r="M100" s="20">
        <v>99</v>
      </c>
    </row>
    <row r="101" spans="1:13" x14ac:dyDescent="0.15">
      <c r="A101" s="20">
        <f t="shared" si="5"/>
        <v>20</v>
      </c>
      <c r="B101" s="20">
        <v>2005</v>
      </c>
      <c r="C101" s="20" t="s">
        <v>837</v>
      </c>
      <c r="E101" s="20">
        <f t="shared" si="4"/>
        <v>104</v>
      </c>
      <c r="G101" s="20" t="str">
        <f>VLOOKUP(A101,map!A$2:B$29,2,FALSE)</f>
        <v>阳光山谷</v>
      </c>
      <c r="H101" s="20">
        <f>VLOOKUP(s!G101,map!B$2:F$29,5,FALSE)</f>
        <v>9</v>
      </c>
      <c r="I101" s="20" t="str">
        <f t="shared" si="3"/>
        <v>决战魔王</v>
      </c>
      <c r="M101" s="20">
        <v>100</v>
      </c>
    </row>
    <row r="102" spans="1:13" x14ac:dyDescent="0.15">
      <c r="A102" s="20">
        <f t="shared" si="5"/>
        <v>21</v>
      </c>
      <c r="B102" s="20">
        <v>2101</v>
      </c>
      <c r="C102" s="20" t="s">
        <v>838</v>
      </c>
      <c r="E102" s="20">
        <f t="shared" si="4"/>
        <v>105</v>
      </c>
      <c r="G102" s="20" t="str">
        <f>VLOOKUP(A102,map!A$2:B$29,2,FALSE)</f>
        <v>魔王宫殿</v>
      </c>
      <c r="H102" s="20">
        <f>VLOOKUP(s!G102,map!B$2:F$29,5,FALSE)</f>
        <v>18</v>
      </c>
      <c r="I102" s="20" t="str">
        <f t="shared" si="3"/>
        <v>海岸线街道Ⅰ</v>
      </c>
      <c r="M102" s="20">
        <v>101</v>
      </c>
    </row>
    <row r="103" spans="1:13" x14ac:dyDescent="0.15">
      <c r="A103" s="20">
        <f t="shared" si="5"/>
        <v>21</v>
      </c>
      <c r="B103" s="20">
        <v>2102</v>
      </c>
      <c r="C103" s="20" t="s">
        <v>839</v>
      </c>
      <c r="E103" s="20">
        <f t="shared" si="4"/>
        <v>106</v>
      </c>
      <c r="G103" s="20" t="str">
        <f>VLOOKUP(A103,map!A$2:B$29,2,FALSE)</f>
        <v>魔王宫殿</v>
      </c>
      <c r="H103" s="20">
        <f>VLOOKUP(s!G103,map!B$2:F$29,5,FALSE)</f>
        <v>18</v>
      </c>
      <c r="I103" s="20" t="str">
        <f t="shared" si="3"/>
        <v>海岸线街道Ⅱ</v>
      </c>
      <c r="M103" s="20">
        <v>102</v>
      </c>
    </row>
    <row r="104" spans="1:13" x14ac:dyDescent="0.15">
      <c r="A104" s="20">
        <f t="shared" si="5"/>
        <v>21</v>
      </c>
      <c r="B104" s="20">
        <v>2103</v>
      </c>
      <c r="C104" s="20" t="s">
        <v>840</v>
      </c>
      <c r="E104" s="20">
        <f t="shared" si="4"/>
        <v>107</v>
      </c>
      <c r="G104" s="20" t="str">
        <f>VLOOKUP(A104,map!A$2:B$29,2,FALSE)</f>
        <v>魔王宫殿</v>
      </c>
      <c r="H104" s="20">
        <f>VLOOKUP(s!G104,map!B$2:F$29,5,FALSE)</f>
        <v>18</v>
      </c>
      <c r="I104" s="20" t="str">
        <f t="shared" si="3"/>
        <v>摇曳的海岸线Ⅰ</v>
      </c>
      <c r="M104" s="20">
        <v>103</v>
      </c>
    </row>
    <row r="105" spans="1:13" x14ac:dyDescent="0.15">
      <c r="A105" s="20">
        <f t="shared" si="5"/>
        <v>21</v>
      </c>
      <c r="B105" s="20">
        <v>2104</v>
      </c>
      <c r="C105" s="20" t="s">
        <v>841</v>
      </c>
      <c r="E105" s="20">
        <f t="shared" si="4"/>
        <v>108</v>
      </c>
      <c r="G105" s="20" t="str">
        <f>VLOOKUP(A105,map!A$2:B$29,2,FALSE)</f>
        <v>魔王宫殿</v>
      </c>
      <c r="H105" s="20">
        <f>VLOOKUP(s!G105,map!B$2:F$29,5,FALSE)</f>
        <v>18</v>
      </c>
      <c r="I105" s="20" t="str">
        <f t="shared" si="3"/>
        <v>摇曳的海岸线Ⅱ</v>
      </c>
      <c r="M105" s="20">
        <v>104</v>
      </c>
    </row>
    <row r="106" spans="1:13" x14ac:dyDescent="0.15">
      <c r="A106" s="20">
        <f t="shared" si="5"/>
        <v>21</v>
      </c>
      <c r="B106" s="20">
        <v>2105</v>
      </c>
      <c r="C106" s="20" t="s">
        <v>842</v>
      </c>
      <c r="E106" s="20">
        <f t="shared" si="4"/>
        <v>109</v>
      </c>
      <c r="G106" s="20" t="str">
        <f>VLOOKUP(A106,map!A$2:B$29,2,FALSE)</f>
        <v>魔王宫殿</v>
      </c>
      <c r="H106" s="20">
        <f>VLOOKUP(s!G106,map!B$2:F$29,5,FALSE)</f>
        <v>18</v>
      </c>
      <c r="I106" s="20" t="str">
        <f t="shared" si="3"/>
        <v>漂泊的遇难船</v>
      </c>
      <c r="M106" s="20">
        <v>105</v>
      </c>
    </row>
    <row r="107" spans="1:13" x14ac:dyDescent="0.15">
      <c r="A107" s="20">
        <f t="shared" si="5"/>
        <v>22</v>
      </c>
      <c r="B107" s="20">
        <v>2201</v>
      </c>
      <c r="C107" s="20" t="s">
        <v>843</v>
      </c>
      <c r="E107" s="20">
        <f t="shared" si="4"/>
        <v>110</v>
      </c>
      <c r="G107" s="20" t="str">
        <f>VLOOKUP(A107,map!A$2:B$29,2,FALSE)</f>
        <v>死亡海岸</v>
      </c>
      <c r="H107" s="20">
        <f>VLOOKUP(s!G107,map!B$2:F$29,5,FALSE)</f>
        <v>31</v>
      </c>
      <c r="I107" s="20" t="str">
        <f t="shared" si="3"/>
        <v>迷宫入口</v>
      </c>
      <c r="M107" s="20">
        <v>106</v>
      </c>
    </row>
    <row r="108" spans="1:13" x14ac:dyDescent="0.15">
      <c r="A108" s="20">
        <f t="shared" si="5"/>
        <v>22</v>
      </c>
      <c r="B108" s="20">
        <v>2202</v>
      </c>
      <c r="C108" s="20" t="s">
        <v>844</v>
      </c>
      <c r="E108" s="20">
        <f t="shared" si="4"/>
        <v>111</v>
      </c>
      <c r="G108" s="20" t="str">
        <f>VLOOKUP(A108,map!A$2:B$29,2,FALSE)</f>
        <v>死亡海岸</v>
      </c>
      <c r="H108" s="20">
        <f>VLOOKUP(s!G108,map!B$2:F$29,5,FALSE)</f>
        <v>31</v>
      </c>
      <c r="I108" s="20" t="str">
        <f t="shared" si="3"/>
        <v>迷宫通道</v>
      </c>
      <c r="M108" s="20">
        <v>107</v>
      </c>
    </row>
    <row r="109" spans="1:13" x14ac:dyDescent="0.15">
      <c r="A109" s="20">
        <f t="shared" si="5"/>
        <v>22</v>
      </c>
      <c r="B109" s="20">
        <v>2203</v>
      </c>
      <c r="C109" s="20" t="s">
        <v>845</v>
      </c>
      <c r="E109" s="20">
        <f t="shared" si="4"/>
        <v>112</v>
      </c>
      <c r="G109" s="20" t="str">
        <f>VLOOKUP(A109,map!A$2:B$29,2,FALSE)</f>
        <v>死亡海岸</v>
      </c>
      <c r="H109" s="20">
        <f>VLOOKUP(s!G109,map!B$2:F$29,5,FALSE)</f>
        <v>31</v>
      </c>
      <c r="I109" s="20" t="str">
        <f t="shared" si="3"/>
        <v>迷宫第一法则</v>
      </c>
      <c r="M109" s="20">
        <v>108</v>
      </c>
    </row>
    <row r="110" spans="1:13" x14ac:dyDescent="0.15">
      <c r="A110" s="20">
        <f t="shared" si="5"/>
        <v>22</v>
      </c>
      <c r="B110" s="20">
        <v>2204</v>
      </c>
      <c r="C110" s="20" t="s">
        <v>846</v>
      </c>
      <c r="E110" s="20">
        <f t="shared" si="4"/>
        <v>113</v>
      </c>
      <c r="G110" s="20" t="str">
        <f>VLOOKUP(A110,map!A$2:B$29,2,FALSE)</f>
        <v>死亡海岸</v>
      </c>
      <c r="H110" s="20">
        <f>VLOOKUP(s!G110,map!B$2:F$29,5,FALSE)</f>
        <v>31</v>
      </c>
      <c r="I110" s="20" t="str">
        <f t="shared" si="3"/>
        <v>迷宫第二法则</v>
      </c>
      <c r="M110" s="20">
        <v>109</v>
      </c>
    </row>
    <row r="111" spans="1:13" x14ac:dyDescent="0.15">
      <c r="A111" s="20">
        <f t="shared" si="5"/>
        <v>22</v>
      </c>
      <c r="B111" s="20">
        <v>2205</v>
      </c>
      <c r="C111" s="20" t="s">
        <v>847</v>
      </c>
      <c r="E111" s="20">
        <f t="shared" si="4"/>
        <v>114</v>
      </c>
      <c r="G111" s="20" t="str">
        <f>VLOOKUP(A111,map!A$2:B$29,2,FALSE)</f>
        <v>死亡海岸</v>
      </c>
      <c r="H111" s="20">
        <f>VLOOKUP(s!G111,map!B$2:F$29,5,FALSE)</f>
        <v>31</v>
      </c>
      <c r="I111" s="20" t="str">
        <f t="shared" si="3"/>
        <v>进击吧！炼金师</v>
      </c>
      <c r="M111" s="20">
        <v>110</v>
      </c>
    </row>
    <row r="112" spans="1:13" x14ac:dyDescent="0.15">
      <c r="A112" s="20">
        <f t="shared" si="5"/>
        <v>23</v>
      </c>
      <c r="B112" s="20">
        <v>2301</v>
      </c>
      <c r="C112" s="20" t="s">
        <v>848</v>
      </c>
      <c r="E112" s="20">
        <f t="shared" si="4"/>
        <v>115</v>
      </c>
      <c r="G112" s="20" t="str">
        <f>VLOOKUP(A112,map!A$2:B$29,2,FALSE)</f>
        <v>海拉尔迷宫</v>
      </c>
      <c r="H112" s="20">
        <f>VLOOKUP(s!G112,map!B$2:F$29,5,FALSE)</f>
        <v>33</v>
      </c>
      <c r="I112" s="20" t="str">
        <f t="shared" si="3"/>
        <v>崎岖的山峦</v>
      </c>
      <c r="M112" s="20">
        <v>111</v>
      </c>
    </row>
    <row r="113" spans="1:13" x14ac:dyDescent="0.15">
      <c r="A113" s="20">
        <f t="shared" si="5"/>
        <v>23</v>
      </c>
      <c r="B113" s="20">
        <v>2302</v>
      </c>
      <c r="C113" s="20" t="s">
        <v>849</v>
      </c>
      <c r="E113" s="20">
        <f t="shared" si="4"/>
        <v>116</v>
      </c>
      <c r="G113" s="20" t="str">
        <f>VLOOKUP(A113,map!A$2:B$29,2,FALSE)</f>
        <v>海拉尔迷宫</v>
      </c>
      <c r="H113" s="20">
        <f>VLOOKUP(s!G113,map!B$2:F$29,5,FALSE)</f>
        <v>33</v>
      </c>
      <c r="I113" s="20" t="str">
        <f t="shared" si="3"/>
        <v>雷鸣山Ⅰ</v>
      </c>
      <c r="M113" s="20">
        <v>112</v>
      </c>
    </row>
    <row r="114" spans="1:13" x14ac:dyDescent="0.15">
      <c r="A114" s="20">
        <f t="shared" si="5"/>
        <v>23</v>
      </c>
      <c r="B114" s="20">
        <v>2303</v>
      </c>
      <c r="C114" s="20" t="s">
        <v>850</v>
      </c>
      <c r="E114" s="20">
        <f t="shared" si="4"/>
        <v>117</v>
      </c>
      <c r="G114" s="20" t="str">
        <f>VLOOKUP(A114,map!A$2:B$29,2,FALSE)</f>
        <v>海拉尔迷宫</v>
      </c>
      <c r="H114" s="20">
        <f>VLOOKUP(s!G114,map!B$2:F$29,5,FALSE)</f>
        <v>33</v>
      </c>
      <c r="I114" s="20" t="str">
        <f t="shared" si="3"/>
        <v>雷鸣山Ⅱ</v>
      </c>
      <c r="M114" s="20">
        <v>113</v>
      </c>
    </row>
    <row r="115" spans="1:13" x14ac:dyDescent="0.15">
      <c r="A115" s="20">
        <f t="shared" si="5"/>
        <v>23</v>
      </c>
      <c r="B115" s="20">
        <v>2304</v>
      </c>
      <c r="C115" s="20" t="s">
        <v>851</v>
      </c>
      <c r="E115" s="20">
        <f t="shared" si="4"/>
        <v>118</v>
      </c>
      <c r="G115" s="20" t="str">
        <f>VLOOKUP(A115,map!A$2:B$29,2,FALSE)</f>
        <v>海拉尔迷宫</v>
      </c>
      <c r="H115" s="20">
        <f>VLOOKUP(s!G115,map!B$2:F$29,5,FALSE)</f>
        <v>33</v>
      </c>
      <c r="I115" s="20" t="str">
        <f t="shared" si="3"/>
        <v>雷鸣山Ⅲ</v>
      </c>
      <c r="M115" s="20">
        <v>114</v>
      </c>
    </row>
    <row r="116" spans="1:13" x14ac:dyDescent="0.15">
      <c r="A116" s="20">
        <f t="shared" si="5"/>
        <v>23</v>
      </c>
      <c r="B116" s="20">
        <v>2305</v>
      </c>
      <c r="C116" s="20" t="s">
        <v>852</v>
      </c>
      <c r="E116" s="20">
        <f t="shared" si="4"/>
        <v>119</v>
      </c>
      <c r="G116" s="20" t="str">
        <f>VLOOKUP(A116,map!A$2:B$29,2,FALSE)</f>
        <v>海拉尔迷宫</v>
      </c>
      <c r="H116" s="20">
        <f>VLOOKUP(s!G116,map!B$2:F$29,5,FALSE)</f>
        <v>33</v>
      </c>
      <c r="I116" s="20" t="str">
        <f t="shared" si="3"/>
        <v>雷鸣之顶</v>
      </c>
      <c r="M116" s="20">
        <v>115</v>
      </c>
    </row>
    <row r="117" spans="1:13" x14ac:dyDescent="0.15">
      <c r="A117" s="20">
        <f t="shared" si="5"/>
        <v>24</v>
      </c>
      <c r="B117" s="20">
        <v>2401</v>
      </c>
      <c r="C117" s="20" t="s">
        <v>853</v>
      </c>
      <c r="E117" s="20">
        <f t="shared" si="4"/>
        <v>120</v>
      </c>
      <c r="G117" s="20" t="str">
        <f>VLOOKUP(A117,map!A$2:B$29,2,FALSE)</f>
        <v>管理局山脉</v>
      </c>
      <c r="H117" s="20">
        <f>VLOOKUP(s!G117,map!B$2:F$29,5,FALSE)</f>
        <v>34</v>
      </c>
      <c r="I117" s="20" t="str">
        <f t="shared" si="3"/>
        <v>整洁的河川</v>
      </c>
      <c r="M117" s="20">
        <v>116</v>
      </c>
    </row>
    <row r="118" spans="1:13" x14ac:dyDescent="0.15">
      <c r="A118" s="20">
        <f t="shared" si="5"/>
        <v>24</v>
      </c>
      <c r="B118" s="20">
        <v>2402</v>
      </c>
      <c r="C118" s="20" t="s">
        <v>854</v>
      </c>
      <c r="E118" s="20">
        <f t="shared" si="4"/>
        <v>121</v>
      </c>
      <c r="G118" s="20" t="str">
        <f>VLOOKUP(A118,map!A$2:B$29,2,FALSE)</f>
        <v>管理局山脉</v>
      </c>
      <c r="H118" s="20">
        <f>VLOOKUP(s!G118,map!B$2:F$29,5,FALSE)</f>
        <v>34</v>
      </c>
      <c r="I118" s="20" t="str">
        <f t="shared" si="3"/>
        <v>河床下的秘密Ⅰ</v>
      </c>
      <c r="M118" s="20">
        <v>117</v>
      </c>
    </row>
    <row r="119" spans="1:13" x14ac:dyDescent="0.15">
      <c r="A119" s="20">
        <f t="shared" si="5"/>
        <v>24</v>
      </c>
      <c r="B119" s="20">
        <v>2403</v>
      </c>
      <c r="C119" s="20" t="s">
        <v>855</v>
      </c>
      <c r="E119" s="20">
        <f t="shared" si="4"/>
        <v>122</v>
      </c>
      <c r="G119" s="20" t="str">
        <f>VLOOKUP(A119,map!A$2:B$29,2,FALSE)</f>
        <v>管理局山脉</v>
      </c>
      <c r="H119" s="20">
        <f>VLOOKUP(s!G119,map!B$2:F$29,5,FALSE)</f>
        <v>34</v>
      </c>
      <c r="I119" s="20" t="str">
        <f t="shared" si="3"/>
        <v>河床下的秘密Ⅱ</v>
      </c>
      <c r="M119" s="20">
        <v>118</v>
      </c>
    </row>
    <row r="120" spans="1:13" x14ac:dyDescent="0.15">
      <c r="A120" s="20">
        <f t="shared" si="5"/>
        <v>24</v>
      </c>
      <c r="B120" s="20">
        <v>2404</v>
      </c>
      <c r="C120" s="20" t="s">
        <v>856</v>
      </c>
      <c r="E120" s="20">
        <f t="shared" si="4"/>
        <v>123</v>
      </c>
      <c r="G120" s="20" t="str">
        <f>VLOOKUP(A120,map!A$2:B$29,2,FALSE)</f>
        <v>管理局山脉</v>
      </c>
      <c r="H120" s="20">
        <f>VLOOKUP(s!G120,map!B$2:F$29,5,FALSE)</f>
        <v>34</v>
      </c>
      <c r="I120" s="20" t="str">
        <f t="shared" si="3"/>
        <v>河床下的秘密Ⅲ</v>
      </c>
      <c r="M120" s="20">
        <v>119</v>
      </c>
    </row>
    <row r="121" spans="1:13" x14ac:dyDescent="0.15">
      <c r="A121" s="20">
        <f t="shared" si="5"/>
        <v>24</v>
      </c>
      <c r="B121" s="20">
        <v>2405</v>
      </c>
      <c r="C121" s="20" t="s">
        <v>857</v>
      </c>
      <c r="E121" s="20">
        <f t="shared" si="4"/>
        <v>124</v>
      </c>
      <c r="G121" s="20" t="str">
        <f>VLOOKUP(A121,map!A$2:B$29,2,FALSE)</f>
        <v>管理局山脉</v>
      </c>
      <c r="H121" s="20">
        <f>VLOOKUP(s!G121,map!B$2:F$29,5,FALSE)</f>
        <v>34</v>
      </c>
      <c r="I121" s="20" t="str">
        <f t="shared" si="3"/>
        <v>河床下的秘密Ⅳ</v>
      </c>
      <c r="M121" s="20">
        <v>120</v>
      </c>
    </row>
    <row r="122" spans="1:13" x14ac:dyDescent="0.15">
      <c r="A122" s="20">
        <f t="shared" si="5"/>
        <v>25</v>
      </c>
      <c r="B122" s="20">
        <v>2501</v>
      </c>
      <c r="C122" s="20" t="s">
        <v>856</v>
      </c>
      <c r="E122" s="20">
        <f t="shared" si="4"/>
        <v>125</v>
      </c>
      <c r="G122" s="20" t="str">
        <f>VLOOKUP(A122,map!A$2:B$29,2,FALSE)</f>
        <v>管理局水闸</v>
      </c>
      <c r="H122" s="20">
        <f>VLOOKUP(s!G122,map!B$2:F$29,5,FALSE)</f>
        <v>35</v>
      </c>
      <c r="I122" s="20" t="str">
        <f t="shared" si="3"/>
        <v>河床下的秘密Ⅲ</v>
      </c>
      <c r="M122" s="20">
        <v>121</v>
      </c>
    </row>
    <row r="123" spans="1:13" x14ac:dyDescent="0.15">
      <c r="A123" s="20">
        <f t="shared" si="5"/>
        <v>25</v>
      </c>
      <c r="B123" s="20">
        <v>2502</v>
      </c>
      <c r="C123" s="20" t="s">
        <v>857</v>
      </c>
      <c r="E123" s="20">
        <f t="shared" si="4"/>
        <v>126</v>
      </c>
      <c r="G123" s="20" t="str">
        <f>VLOOKUP(A123,map!A$2:B$29,2,FALSE)</f>
        <v>管理局水闸</v>
      </c>
      <c r="H123" s="20">
        <f>VLOOKUP(s!G123,map!B$2:F$29,5,FALSE)</f>
        <v>35</v>
      </c>
      <c r="I123" s="20" t="str">
        <f t="shared" si="3"/>
        <v>河床下的秘密Ⅳ</v>
      </c>
      <c r="M123" s="20">
        <v>122</v>
      </c>
    </row>
    <row r="124" spans="1:13" x14ac:dyDescent="0.15">
      <c r="A124" s="20">
        <f t="shared" si="5"/>
        <v>25</v>
      </c>
      <c r="B124" s="20">
        <v>2503</v>
      </c>
      <c r="C124" s="20" t="s">
        <v>856</v>
      </c>
      <c r="E124" s="20">
        <f t="shared" si="4"/>
        <v>127</v>
      </c>
      <c r="G124" s="20" t="str">
        <f>VLOOKUP(A124,map!A$2:B$29,2,FALSE)</f>
        <v>管理局水闸</v>
      </c>
      <c r="H124" s="20">
        <f>VLOOKUP(s!G124,map!B$2:F$29,5,FALSE)</f>
        <v>35</v>
      </c>
      <c r="I124" s="20" t="str">
        <f t="shared" si="3"/>
        <v>河床下的秘密Ⅲ</v>
      </c>
      <c r="M124" s="20">
        <v>123</v>
      </c>
    </row>
    <row r="125" spans="1:13" x14ac:dyDescent="0.15">
      <c r="A125" s="20">
        <f t="shared" si="5"/>
        <v>25</v>
      </c>
      <c r="B125" s="20">
        <v>2504</v>
      </c>
      <c r="C125" s="20" t="s">
        <v>857</v>
      </c>
      <c r="E125" s="20">
        <f t="shared" si="4"/>
        <v>128</v>
      </c>
      <c r="G125" s="20" t="str">
        <f>VLOOKUP(A125,map!A$2:B$29,2,FALSE)</f>
        <v>管理局水闸</v>
      </c>
      <c r="H125" s="20">
        <f>VLOOKUP(s!G125,map!B$2:F$29,5,FALSE)</f>
        <v>35</v>
      </c>
      <c r="I125" s="20" t="str">
        <f t="shared" si="3"/>
        <v>河床下的秘密Ⅳ</v>
      </c>
      <c r="M125" s="20">
        <v>124</v>
      </c>
    </row>
    <row r="126" spans="1:13" x14ac:dyDescent="0.15">
      <c r="A126" s="20">
        <f t="shared" si="5"/>
        <v>25</v>
      </c>
      <c r="B126" s="20">
        <v>2505</v>
      </c>
      <c r="C126" s="20" t="s">
        <v>856</v>
      </c>
      <c r="E126" s="20">
        <f t="shared" si="4"/>
        <v>129</v>
      </c>
      <c r="G126" s="20" t="str">
        <f>VLOOKUP(A126,map!A$2:B$29,2,FALSE)</f>
        <v>管理局水闸</v>
      </c>
      <c r="H126" s="20">
        <f>VLOOKUP(s!G126,map!B$2:F$29,5,FALSE)</f>
        <v>35</v>
      </c>
      <c r="I126" s="20" t="str">
        <f t="shared" si="3"/>
        <v>河床下的秘密Ⅲ</v>
      </c>
      <c r="M126" s="20">
        <v>125</v>
      </c>
    </row>
    <row r="127" spans="1:13" x14ac:dyDescent="0.15">
      <c r="A127" s="20">
        <f t="shared" si="5"/>
        <v>26</v>
      </c>
      <c r="B127" s="20">
        <v>2601</v>
      </c>
      <c r="C127" s="20" t="s">
        <v>857</v>
      </c>
      <c r="E127" s="20">
        <f t="shared" si="4"/>
        <v>130</v>
      </c>
      <c r="G127" s="20" t="str">
        <f>VLOOKUP(A127,map!A$2:B$29,2,FALSE)</f>
        <v>虚幻树海</v>
      </c>
      <c r="H127" s="20">
        <f>VLOOKUP(s!G127,map!B$2:F$29,5,FALSE)</f>
        <v>36</v>
      </c>
      <c r="I127" s="20" t="str">
        <f t="shared" si="3"/>
        <v>河床下的秘密Ⅳ</v>
      </c>
      <c r="M127" s="20">
        <v>126</v>
      </c>
    </row>
    <row r="128" spans="1:13" x14ac:dyDescent="0.15">
      <c r="A128" s="20">
        <f t="shared" si="5"/>
        <v>26</v>
      </c>
      <c r="B128" s="20">
        <v>2602</v>
      </c>
      <c r="C128" s="20" t="s">
        <v>856</v>
      </c>
      <c r="E128" s="20">
        <f t="shared" si="4"/>
        <v>131</v>
      </c>
      <c r="G128" s="20" t="str">
        <f>VLOOKUP(A128,map!A$2:B$29,2,FALSE)</f>
        <v>虚幻树海</v>
      </c>
      <c r="H128" s="20">
        <f>VLOOKUP(s!G128,map!B$2:F$29,5,FALSE)</f>
        <v>36</v>
      </c>
      <c r="I128" s="20" t="str">
        <f t="shared" si="3"/>
        <v>河床下的秘密Ⅲ</v>
      </c>
      <c r="M128" s="20">
        <v>127</v>
      </c>
    </row>
    <row r="129" spans="1:13" x14ac:dyDescent="0.15">
      <c r="A129" s="20">
        <f t="shared" si="5"/>
        <v>26</v>
      </c>
      <c r="B129" s="20">
        <v>2603</v>
      </c>
      <c r="C129" s="20" t="s">
        <v>857</v>
      </c>
      <c r="E129" s="20">
        <f t="shared" si="4"/>
        <v>132</v>
      </c>
      <c r="G129" s="20" t="str">
        <f>VLOOKUP(A129,map!A$2:B$29,2,FALSE)</f>
        <v>虚幻树海</v>
      </c>
      <c r="H129" s="20">
        <f>VLOOKUP(s!G129,map!B$2:F$29,5,FALSE)</f>
        <v>36</v>
      </c>
      <c r="I129" s="20" t="str">
        <f t="shared" si="3"/>
        <v>河床下的秘密Ⅳ</v>
      </c>
      <c r="M129" s="20">
        <v>128</v>
      </c>
    </row>
    <row r="130" spans="1:13" x14ac:dyDescent="0.15">
      <c r="A130" s="20">
        <f t="shared" si="5"/>
        <v>26</v>
      </c>
      <c r="B130" s="20">
        <v>2604</v>
      </c>
      <c r="C130" s="20" t="s">
        <v>856</v>
      </c>
      <c r="E130" s="20">
        <f t="shared" si="4"/>
        <v>133</v>
      </c>
      <c r="G130" s="20" t="str">
        <f>VLOOKUP(A130,map!A$2:B$29,2,FALSE)</f>
        <v>虚幻树海</v>
      </c>
      <c r="H130" s="20">
        <f>VLOOKUP(s!G130,map!B$2:F$29,5,FALSE)</f>
        <v>36</v>
      </c>
      <c r="I130" s="20" t="str">
        <f t="shared" si="3"/>
        <v>河床下的秘密Ⅲ</v>
      </c>
      <c r="M130" s="20">
        <v>129</v>
      </c>
    </row>
    <row r="131" spans="1:13" x14ac:dyDescent="0.15">
      <c r="A131" s="20">
        <f t="shared" si="5"/>
        <v>26</v>
      </c>
      <c r="B131" s="20">
        <v>2605</v>
      </c>
      <c r="C131" s="20" t="s">
        <v>857</v>
      </c>
      <c r="E131" s="20">
        <f t="shared" si="4"/>
        <v>134</v>
      </c>
      <c r="G131" s="20" t="str">
        <f>VLOOKUP(A131,map!A$2:B$29,2,FALSE)</f>
        <v>虚幻树海</v>
      </c>
      <c r="H131" s="20">
        <f>VLOOKUP(s!G131,map!B$2:F$29,5,FALSE)</f>
        <v>36</v>
      </c>
      <c r="I131" s="20" t="str">
        <f t="shared" ref="I131:I141" si="6">C131</f>
        <v>河床下的秘密Ⅳ</v>
      </c>
      <c r="M131" s="20">
        <v>130</v>
      </c>
    </row>
    <row r="132" spans="1:13" x14ac:dyDescent="0.15">
      <c r="A132" s="20">
        <f t="shared" si="5"/>
        <v>27</v>
      </c>
      <c r="B132" s="20">
        <v>2701</v>
      </c>
      <c r="C132" s="20" t="s">
        <v>856</v>
      </c>
      <c r="E132" s="20">
        <f t="shared" ref="E132:E141" si="7">E131+1</f>
        <v>135</v>
      </c>
      <c r="G132" s="20" t="str">
        <f>VLOOKUP(A132,map!A$2:B$29,2,FALSE)</f>
        <v>女神瀑布</v>
      </c>
      <c r="H132" s="20">
        <f>VLOOKUP(s!G132,map!B$2:F$29,5,FALSE)</f>
        <v>37</v>
      </c>
      <c r="I132" s="20" t="str">
        <f t="shared" si="6"/>
        <v>河床下的秘密Ⅲ</v>
      </c>
      <c r="M132" s="20">
        <v>131</v>
      </c>
    </row>
    <row r="133" spans="1:13" x14ac:dyDescent="0.15">
      <c r="A133" s="20">
        <f t="shared" si="5"/>
        <v>27</v>
      </c>
      <c r="B133" s="20">
        <v>2702</v>
      </c>
      <c r="C133" s="20" t="s">
        <v>857</v>
      </c>
      <c r="E133" s="20">
        <f t="shared" si="7"/>
        <v>136</v>
      </c>
      <c r="G133" s="20" t="str">
        <f>VLOOKUP(A133,map!A$2:B$29,2,FALSE)</f>
        <v>女神瀑布</v>
      </c>
      <c r="H133" s="20">
        <f>VLOOKUP(s!G133,map!B$2:F$29,5,FALSE)</f>
        <v>37</v>
      </c>
      <c r="I133" s="20" t="str">
        <f t="shared" si="6"/>
        <v>河床下的秘密Ⅳ</v>
      </c>
      <c r="M133" s="20">
        <v>132</v>
      </c>
    </row>
    <row r="134" spans="1:13" x14ac:dyDescent="0.15">
      <c r="A134" s="20">
        <f t="shared" si="5"/>
        <v>27</v>
      </c>
      <c r="B134" s="20">
        <v>2703</v>
      </c>
      <c r="C134" s="20" t="s">
        <v>856</v>
      </c>
      <c r="E134" s="20">
        <f t="shared" si="7"/>
        <v>137</v>
      </c>
      <c r="G134" s="20" t="str">
        <f>VLOOKUP(A134,map!A$2:B$29,2,FALSE)</f>
        <v>女神瀑布</v>
      </c>
      <c r="H134" s="20">
        <f>VLOOKUP(s!G134,map!B$2:F$29,5,FALSE)</f>
        <v>37</v>
      </c>
      <c r="I134" s="20" t="str">
        <f t="shared" si="6"/>
        <v>河床下的秘密Ⅲ</v>
      </c>
      <c r="M134" s="20">
        <v>133</v>
      </c>
    </row>
    <row r="135" spans="1:13" x14ac:dyDescent="0.15">
      <c r="A135" s="20">
        <f t="shared" si="5"/>
        <v>27</v>
      </c>
      <c r="B135" s="20">
        <v>2704</v>
      </c>
      <c r="C135" s="20" t="s">
        <v>857</v>
      </c>
      <c r="E135" s="20">
        <f t="shared" si="7"/>
        <v>138</v>
      </c>
      <c r="G135" s="20" t="str">
        <f>VLOOKUP(A135,map!A$2:B$29,2,FALSE)</f>
        <v>女神瀑布</v>
      </c>
      <c r="H135" s="20">
        <f>VLOOKUP(s!G135,map!B$2:F$29,5,FALSE)</f>
        <v>37</v>
      </c>
      <c r="I135" s="20" t="str">
        <f t="shared" si="6"/>
        <v>河床下的秘密Ⅳ</v>
      </c>
      <c r="M135" s="20">
        <v>134</v>
      </c>
    </row>
    <row r="136" spans="1:13" x14ac:dyDescent="0.15">
      <c r="A136" s="20">
        <f t="shared" ref="A136:A141" si="8">A131+1</f>
        <v>27</v>
      </c>
      <c r="B136" s="20">
        <v>2705</v>
      </c>
      <c r="C136" s="20" t="s">
        <v>856</v>
      </c>
      <c r="E136" s="20">
        <f t="shared" si="7"/>
        <v>139</v>
      </c>
      <c r="G136" s="20" t="str">
        <f>VLOOKUP(A136,map!A$2:B$29,2,FALSE)</f>
        <v>女神瀑布</v>
      </c>
      <c r="H136" s="20">
        <f>VLOOKUP(s!G136,map!B$2:F$29,5,FALSE)</f>
        <v>37</v>
      </c>
      <c r="I136" s="20" t="str">
        <f t="shared" si="6"/>
        <v>河床下的秘密Ⅲ</v>
      </c>
      <c r="M136" s="20">
        <v>135</v>
      </c>
    </row>
    <row r="137" spans="1:13" x14ac:dyDescent="0.15">
      <c r="A137" s="20">
        <f t="shared" si="8"/>
        <v>28</v>
      </c>
      <c r="B137" s="20">
        <v>2801</v>
      </c>
      <c r="C137" s="20" t="s">
        <v>857</v>
      </c>
      <c r="E137" s="20">
        <f t="shared" si="7"/>
        <v>140</v>
      </c>
      <c r="G137" s="20" t="str">
        <f>VLOOKUP(A137,map!A$2:B$29,2,FALSE)</f>
        <v>降临弯</v>
      </c>
      <c r="H137" s="20">
        <f>VLOOKUP(s!G137,map!B$2:F$29,5,FALSE)</f>
        <v>39</v>
      </c>
      <c r="I137" s="20" t="str">
        <f t="shared" si="6"/>
        <v>河床下的秘密Ⅳ</v>
      </c>
      <c r="M137" s="20">
        <v>136</v>
      </c>
    </row>
    <row r="138" spans="1:13" x14ac:dyDescent="0.15">
      <c r="A138" s="20">
        <f t="shared" si="8"/>
        <v>28</v>
      </c>
      <c r="B138" s="20">
        <v>2802</v>
      </c>
      <c r="C138" s="20" t="s">
        <v>856</v>
      </c>
      <c r="E138" s="20">
        <f t="shared" si="7"/>
        <v>141</v>
      </c>
      <c r="G138" s="20" t="str">
        <f>VLOOKUP(A138,map!A$2:B$29,2,FALSE)</f>
        <v>降临弯</v>
      </c>
      <c r="H138" s="20">
        <f>VLOOKUP(s!G138,map!B$2:F$29,5,FALSE)</f>
        <v>39</v>
      </c>
      <c r="I138" s="20" t="str">
        <f t="shared" si="6"/>
        <v>河床下的秘密Ⅲ</v>
      </c>
      <c r="M138" s="20">
        <v>137</v>
      </c>
    </row>
    <row r="139" spans="1:13" x14ac:dyDescent="0.15">
      <c r="A139" s="20">
        <f t="shared" si="8"/>
        <v>28</v>
      </c>
      <c r="B139" s="20">
        <v>2803</v>
      </c>
      <c r="C139" s="20" t="s">
        <v>857</v>
      </c>
      <c r="E139" s="20">
        <f t="shared" si="7"/>
        <v>142</v>
      </c>
      <c r="G139" s="20" t="str">
        <f>VLOOKUP(A139,map!A$2:B$29,2,FALSE)</f>
        <v>降临弯</v>
      </c>
      <c r="H139" s="20">
        <f>VLOOKUP(s!G139,map!B$2:F$29,5,FALSE)</f>
        <v>39</v>
      </c>
      <c r="I139" s="20" t="str">
        <f t="shared" si="6"/>
        <v>河床下的秘密Ⅳ</v>
      </c>
      <c r="M139" s="20">
        <v>138</v>
      </c>
    </row>
    <row r="140" spans="1:13" x14ac:dyDescent="0.15">
      <c r="A140" s="20">
        <f t="shared" si="8"/>
        <v>28</v>
      </c>
      <c r="B140" s="20">
        <v>2804</v>
      </c>
      <c r="C140" s="20" t="s">
        <v>856</v>
      </c>
      <c r="E140" s="20">
        <f t="shared" si="7"/>
        <v>143</v>
      </c>
      <c r="G140" s="20" t="str">
        <f>VLOOKUP(A140,map!A$2:B$29,2,FALSE)</f>
        <v>降临弯</v>
      </c>
      <c r="H140" s="20">
        <f>VLOOKUP(s!G140,map!B$2:F$29,5,FALSE)</f>
        <v>39</v>
      </c>
      <c r="I140" s="20" t="str">
        <f t="shared" si="6"/>
        <v>河床下的秘密Ⅲ</v>
      </c>
      <c r="M140" s="20">
        <v>139</v>
      </c>
    </row>
    <row r="141" spans="1:13" x14ac:dyDescent="0.15">
      <c r="A141" s="20">
        <f t="shared" si="8"/>
        <v>28</v>
      </c>
      <c r="B141" s="20">
        <v>2805</v>
      </c>
      <c r="C141" s="20" t="s">
        <v>857</v>
      </c>
      <c r="E141" s="20">
        <f t="shared" si="7"/>
        <v>144</v>
      </c>
      <c r="G141" s="20" t="str">
        <f>VLOOKUP(A141,map!A$2:B$29,2,FALSE)</f>
        <v>降临弯</v>
      </c>
      <c r="H141" s="20">
        <f>VLOOKUP(s!G141,map!B$2:F$29,5,FALSE)</f>
        <v>39</v>
      </c>
      <c r="I141" s="20" t="str">
        <f t="shared" si="6"/>
        <v>河床下的秘密Ⅳ</v>
      </c>
      <c r="M141" s="20">
        <v>140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01"/>
  <sheetViews>
    <sheetView workbookViewId="0">
      <selection activeCell="I36" sqref="I36"/>
    </sheetView>
  </sheetViews>
  <sheetFormatPr defaultRowHeight="12.75" x14ac:dyDescent="0.15"/>
  <cols>
    <col min="1" max="6" width="9" style="20"/>
    <col min="7" max="7" width="16.25" style="20" customWidth="1"/>
    <col min="8" max="16384" width="9" style="20"/>
  </cols>
  <sheetData>
    <row r="1" spans="1:13" x14ac:dyDescent="0.15">
      <c r="A1" s="20" t="s">
        <v>904</v>
      </c>
      <c r="B1" s="20" t="s">
        <v>905</v>
      </c>
      <c r="C1" s="20" t="s">
        <v>909</v>
      </c>
      <c r="D1" s="20" t="s">
        <v>906</v>
      </c>
      <c r="E1" s="20" t="s">
        <v>907</v>
      </c>
      <c r="M1" s="20" t="s">
        <v>903</v>
      </c>
    </row>
    <row r="2" spans="1:13" x14ac:dyDescent="0.15">
      <c r="A2" s="20">
        <v>1</v>
      </c>
      <c r="B2" s="20">
        <v>101</v>
      </c>
      <c r="C2" s="20">
        <f t="shared" ref="C2:C65" si="0">VLOOKUP(B2,plan1,H2,FALSE)</f>
        <v>50041</v>
      </c>
      <c r="D2" s="20">
        <f t="shared" ref="D2:D65" si="1">VLOOKUP(C2,marking,9,FALSE)</f>
        <v>181</v>
      </c>
      <c r="E2" s="20">
        <v>1</v>
      </c>
      <c r="H2" s="20">
        <v>2</v>
      </c>
      <c r="M2" s="20">
        <v>1</v>
      </c>
    </row>
    <row r="3" spans="1:13" x14ac:dyDescent="0.15">
      <c r="A3" s="20">
        <v>1</v>
      </c>
      <c r="B3" s="20">
        <v>101</v>
      </c>
      <c r="C3" s="20">
        <f t="shared" ca="1" si="0"/>
        <v>50052</v>
      </c>
      <c r="D3" s="20">
        <f t="shared" ca="1" si="1"/>
        <v>181</v>
      </c>
      <c r="E3" s="20">
        <v>1</v>
      </c>
      <c r="H3" s="20">
        <v>5</v>
      </c>
      <c r="M3" s="20">
        <v>2</v>
      </c>
    </row>
    <row r="4" spans="1:13" x14ac:dyDescent="0.15">
      <c r="A4" s="20">
        <v>1</v>
      </c>
      <c r="B4" s="20">
        <v>101</v>
      </c>
      <c r="C4" s="20">
        <f t="shared" ca="1" si="0"/>
        <v>50051</v>
      </c>
      <c r="D4" s="20">
        <f t="shared" ca="1" si="1"/>
        <v>181</v>
      </c>
      <c r="E4" s="20">
        <v>1</v>
      </c>
      <c r="H4" s="20">
        <v>8</v>
      </c>
      <c r="M4" s="20">
        <v>3</v>
      </c>
    </row>
    <row r="5" spans="1:13" x14ac:dyDescent="0.15">
      <c r="A5" s="20">
        <v>1</v>
      </c>
      <c r="B5" s="20">
        <v>101</v>
      </c>
      <c r="C5" s="20">
        <f t="shared" ca="1" si="0"/>
        <v>50045</v>
      </c>
      <c r="D5" s="20">
        <f t="shared" ca="1" si="1"/>
        <v>181</v>
      </c>
      <c r="E5" s="20">
        <v>1</v>
      </c>
      <c r="H5" s="20">
        <v>11</v>
      </c>
      <c r="M5" s="20">
        <v>4</v>
      </c>
    </row>
    <row r="6" spans="1:13" x14ac:dyDescent="0.15">
      <c r="A6" s="20">
        <v>1</v>
      </c>
      <c r="B6" s="20">
        <v>101</v>
      </c>
      <c r="C6" s="20">
        <f t="shared" ca="1" si="0"/>
        <v>50051</v>
      </c>
      <c r="D6" s="20">
        <f t="shared" ca="1" si="1"/>
        <v>181</v>
      </c>
      <c r="E6" s="20">
        <v>1</v>
      </c>
      <c r="H6" s="20">
        <v>14</v>
      </c>
      <c r="M6" s="20">
        <v>5</v>
      </c>
    </row>
    <row r="7" spans="1:13" x14ac:dyDescent="0.15">
      <c r="A7" s="20">
        <v>1</v>
      </c>
      <c r="B7" s="20">
        <v>102</v>
      </c>
      <c r="C7" s="20">
        <f t="shared" si="0"/>
        <v>50045</v>
      </c>
      <c r="D7" s="20">
        <f t="shared" si="1"/>
        <v>181</v>
      </c>
      <c r="E7" s="20">
        <v>1</v>
      </c>
      <c r="H7" s="20">
        <f>H2</f>
        <v>2</v>
      </c>
      <c r="M7" s="20">
        <v>6</v>
      </c>
    </row>
    <row r="8" spans="1:13" x14ac:dyDescent="0.15">
      <c r="A8" s="20">
        <v>1</v>
      </c>
      <c r="B8" s="20">
        <v>102</v>
      </c>
      <c r="C8" s="20">
        <f t="shared" ca="1" si="0"/>
        <v>50168</v>
      </c>
      <c r="D8" s="20">
        <f t="shared" ca="1" si="1"/>
        <v>181</v>
      </c>
      <c r="E8" s="20">
        <v>1</v>
      </c>
      <c r="H8" s="20">
        <f t="shared" ref="H8:H71" si="2">H3</f>
        <v>5</v>
      </c>
      <c r="M8" s="20">
        <v>7</v>
      </c>
    </row>
    <row r="9" spans="1:13" x14ac:dyDescent="0.15">
      <c r="A9" s="20">
        <v>1</v>
      </c>
      <c r="B9" s="20">
        <v>102</v>
      </c>
      <c r="C9" s="20">
        <f t="shared" ca="1" si="0"/>
        <v>50189</v>
      </c>
      <c r="D9" s="20">
        <f t="shared" ca="1" si="1"/>
        <v>181</v>
      </c>
      <c r="E9" s="20">
        <v>1</v>
      </c>
      <c r="H9" s="20">
        <f t="shared" si="2"/>
        <v>8</v>
      </c>
      <c r="M9" s="20">
        <v>8</v>
      </c>
    </row>
    <row r="10" spans="1:13" x14ac:dyDescent="0.15">
      <c r="A10" s="20">
        <v>1</v>
      </c>
      <c r="B10" s="20">
        <v>102</v>
      </c>
      <c r="C10" s="20">
        <f t="shared" ca="1" si="0"/>
        <v>50045</v>
      </c>
      <c r="D10" s="20">
        <f t="shared" ca="1" si="1"/>
        <v>181</v>
      </c>
      <c r="E10" s="20">
        <v>1</v>
      </c>
      <c r="H10" s="20">
        <f t="shared" si="2"/>
        <v>11</v>
      </c>
      <c r="M10" s="20">
        <v>9</v>
      </c>
    </row>
    <row r="11" spans="1:13" x14ac:dyDescent="0.15">
      <c r="A11" s="20">
        <v>1</v>
      </c>
      <c r="B11" s="20">
        <v>102</v>
      </c>
      <c r="C11" s="20">
        <f t="shared" ca="1" si="0"/>
        <v>50168</v>
      </c>
      <c r="D11" s="20">
        <f t="shared" ca="1" si="1"/>
        <v>181</v>
      </c>
      <c r="E11" s="20">
        <v>1</v>
      </c>
      <c r="H11" s="20">
        <f t="shared" si="2"/>
        <v>14</v>
      </c>
      <c r="M11" s="20">
        <v>10</v>
      </c>
    </row>
    <row r="12" spans="1:13" x14ac:dyDescent="0.15">
      <c r="A12" s="20">
        <v>1</v>
      </c>
      <c r="B12" s="20">
        <f>B7+1</f>
        <v>103</v>
      </c>
      <c r="C12" s="20">
        <f t="shared" si="0"/>
        <v>50047</v>
      </c>
      <c r="D12" s="20">
        <f t="shared" si="1"/>
        <v>181</v>
      </c>
      <c r="E12" s="20">
        <v>1</v>
      </c>
      <c r="H12" s="20">
        <f t="shared" si="2"/>
        <v>2</v>
      </c>
      <c r="M12" s="20">
        <v>11</v>
      </c>
    </row>
    <row r="13" spans="1:13" x14ac:dyDescent="0.15">
      <c r="A13" s="20">
        <v>1</v>
      </c>
      <c r="B13" s="20">
        <f t="shared" ref="B13:B26" si="3">B8+1</f>
        <v>103</v>
      </c>
      <c r="C13" s="20">
        <f t="shared" ca="1" si="0"/>
        <v>50041</v>
      </c>
      <c r="D13" s="20">
        <f t="shared" ca="1" si="1"/>
        <v>181</v>
      </c>
      <c r="E13" s="20">
        <v>1</v>
      </c>
      <c r="H13" s="20">
        <f t="shared" si="2"/>
        <v>5</v>
      </c>
      <c r="M13" s="20">
        <v>12</v>
      </c>
    </row>
    <row r="14" spans="1:13" x14ac:dyDescent="0.15">
      <c r="A14" s="20">
        <v>1</v>
      </c>
      <c r="B14" s="20">
        <f t="shared" si="3"/>
        <v>103</v>
      </c>
      <c r="C14" s="20">
        <f t="shared" ca="1" si="0"/>
        <v>50045</v>
      </c>
      <c r="D14" s="20">
        <f t="shared" ca="1" si="1"/>
        <v>181</v>
      </c>
      <c r="E14" s="20">
        <v>1</v>
      </c>
      <c r="H14" s="20">
        <f t="shared" si="2"/>
        <v>8</v>
      </c>
      <c r="M14" s="20">
        <v>13</v>
      </c>
    </row>
    <row r="15" spans="1:13" x14ac:dyDescent="0.15">
      <c r="A15" s="20">
        <v>1</v>
      </c>
      <c r="B15" s="20">
        <f t="shared" si="3"/>
        <v>103</v>
      </c>
      <c r="C15" s="20">
        <f t="shared" ca="1" si="0"/>
        <v>50189</v>
      </c>
      <c r="D15" s="20">
        <f t="shared" ca="1" si="1"/>
        <v>181</v>
      </c>
      <c r="E15" s="20">
        <v>1</v>
      </c>
      <c r="H15" s="20">
        <f t="shared" si="2"/>
        <v>11</v>
      </c>
      <c r="M15" s="20">
        <v>14</v>
      </c>
    </row>
    <row r="16" spans="1:13" x14ac:dyDescent="0.15">
      <c r="A16" s="20">
        <v>1</v>
      </c>
      <c r="B16" s="20">
        <f t="shared" si="3"/>
        <v>103</v>
      </c>
      <c r="C16" s="20">
        <f t="shared" ca="1" si="0"/>
        <v>50051</v>
      </c>
      <c r="D16" s="20">
        <f t="shared" ca="1" si="1"/>
        <v>181</v>
      </c>
      <c r="E16" s="20">
        <v>1</v>
      </c>
      <c r="H16" s="20">
        <f t="shared" si="2"/>
        <v>14</v>
      </c>
      <c r="M16" s="20">
        <v>15</v>
      </c>
    </row>
    <row r="17" spans="1:13" x14ac:dyDescent="0.15">
      <c r="A17" s="20">
        <v>1</v>
      </c>
      <c r="B17" s="20">
        <f t="shared" si="3"/>
        <v>104</v>
      </c>
      <c r="C17" s="20">
        <f t="shared" si="0"/>
        <v>50051</v>
      </c>
      <c r="D17" s="20">
        <f t="shared" si="1"/>
        <v>181</v>
      </c>
      <c r="E17" s="20">
        <v>1</v>
      </c>
      <c r="H17" s="20">
        <f t="shared" si="2"/>
        <v>2</v>
      </c>
      <c r="M17" s="20">
        <v>16</v>
      </c>
    </row>
    <row r="18" spans="1:13" x14ac:dyDescent="0.15">
      <c r="A18" s="20">
        <v>1</v>
      </c>
      <c r="B18" s="20">
        <f t="shared" si="3"/>
        <v>104</v>
      </c>
      <c r="C18" s="20">
        <f t="shared" ca="1" si="0"/>
        <v>50168</v>
      </c>
      <c r="D18" s="20">
        <f t="shared" ca="1" si="1"/>
        <v>181</v>
      </c>
      <c r="E18" s="20">
        <v>1</v>
      </c>
      <c r="H18" s="20">
        <f t="shared" si="2"/>
        <v>5</v>
      </c>
      <c r="M18" s="20">
        <v>17</v>
      </c>
    </row>
    <row r="19" spans="1:13" x14ac:dyDescent="0.15">
      <c r="A19" s="20">
        <v>1</v>
      </c>
      <c r="B19" s="20">
        <f t="shared" si="3"/>
        <v>104</v>
      </c>
      <c r="C19" s="20">
        <f t="shared" ca="1" si="0"/>
        <v>50052</v>
      </c>
      <c r="D19" s="20">
        <f t="shared" ca="1" si="1"/>
        <v>181</v>
      </c>
      <c r="E19" s="20">
        <v>1</v>
      </c>
      <c r="H19" s="20">
        <f t="shared" si="2"/>
        <v>8</v>
      </c>
      <c r="M19" s="20">
        <v>18</v>
      </c>
    </row>
    <row r="20" spans="1:13" x14ac:dyDescent="0.15">
      <c r="A20" s="20">
        <v>1</v>
      </c>
      <c r="B20" s="20">
        <f t="shared" si="3"/>
        <v>104</v>
      </c>
      <c r="C20" s="20">
        <f t="shared" ca="1" si="0"/>
        <v>50051</v>
      </c>
      <c r="D20" s="20">
        <f t="shared" ca="1" si="1"/>
        <v>181</v>
      </c>
      <c r="E20" s="20">
        <v>1</v>
      </c>
      <c r="H20" s="20">
        <f t="shared" si="2"/>
        <v>11</v>
      </c>
      <c r="M20" s="20">
        <v>19</v>
      </c>
    </row>
    <row r="21" spans="1:13" x14ac:dyDescent="0.15">
      <c r="A21" s="20">
        <v>1</v>
      </c>
      <c r="B21" s="20">
        <f t="shared" si="3"/>
        <v>104</v>
      </c>
      <c r="C21" s="20">
        <f t="shared" ca="1" si="0"/>
        <v>50052</v>
      </c>
      <c r="D21" s="20">
        <f t="shared" ca="1" si="1"/>
        <v>181</v>
      </c>
      <c r="E21" s="20">
        <v>1</v>
      </c>
      <c r="H21" s="20">
        <f t="shared" si="2"/>
        <v>14</v>
      </c>
      <c r="M21" s="20">
        <v>20</v>
      </c>
    </row>
    <row r="22" spans="1:13" x14ac:dyDescent="0.15">
      <c r="A22" s="20">
        <v>1</v>
      </c>
      <c r="B22" s="20">
        <f t="shared" si="3"/>
        <v>105</v>
      </c>
      <c r="C22" s="20">
        <f t="shared" si="0"/>
        <v>50052</v>
      </c>
      <c r="D22" s="20">
        <f t="shared" si="1"/>
        <v>181</v>
      </c>
      <c r="E22" s="20">
        <v>1</v>
      </c>
      <c r="H22" s="20">
        <f t="shared" si="2"/>
        <v>2</v>
      </c>
      <c r="M22" s="20">
        <v>21</v>
      </c>
    </row>
    <row r="23" spans="1:13" x14ac:dyDescent="0.15">
      <c r="A23" s="20">
        <v>1</v>
      </c>
      <c r="B23" s="20">
        <f t="shared" si="3"/>
        <v>105</v>
      </c>
      <c r="C23" s="20">
        <f t="shared" ca="1" si="0"/>
        <v>50045</v>
      </c>
      <c r="D23" s="20">
        <f t="shared" ca="1" si="1"/>
        <v>181</v>
      </c>
      <c r="E23" s="20">
        <v>1</v>
      </c>
      <c r="H23" s="20">
        <f t="shared" si="2"/>
        <v>5</v>
      </c>
      <c r="M23" s="20">
        <v>22</v>
      </c>
    </row>
    <row r="24" spans="1:13" x14ac:dyDescent="0.15">
      <c r="A24" s="20">
        <v>1</v>
      </c>
      <c r="B24" s="20">
        <f t="shared" si="3"/>
        <v>105</v>
      </c>
      <c r="C24" s="20">
        <f t="shared" ca="1" si="0"/>
        <v>50051</v>
      </c>
      <c r="D24" s="20">
        <f t="shared" ca="1" si="1"/>
        <v>181</v>
      </c>
      <c r="E24" s="20">
        <v>1</v>
      </c>
      <c r="H24" s="20">
        <f t="shared" si="2"/>
        <v>8</v>
      </c>
      <c r="M24" s="20">
        <v>23</v>
      </c>
    </row>
    <row r="25" spans="1:13" x14ac:dyDescent="0.15">
      <c r="A25" s="20">
        <v>1</v>
      </c>
      <c r="B25" s="20">
        <f t="shared" si="3"/>
        <v>105</v>
      </c>
      <c r="C25" s="20">
        <f t="shared" ca="1" si="0"/>
        <v>50052</v>
      </c>
      <c r="D25" s="20">
        <f t="shared" ca="1" si="1"/>
        <v>181</v>
      </c>
      <c r="E25" s="20">
        <v>1</v>
      </c>
      <c r="H25" s="20">
        <f t="shared" si="2"/>
        <v>11</v>
      </c>
      <c r="M25" s="20">
        <v>24</v>
      </c>
    </row>
    <row r="26" spans="1:13" x14ac:dyDescent="0.15">
      <c r="A26" s="20">
        <v>1</v>
      </c>
      <c r="B26" s="20">
        <f t="shared" si="3"/>
        <v>105</v>
      </c>
      <c r="C26" s="20">
        <f t="shared" ca="1" si="0"/>
        <v>50168</v>
      </c>
      <c r="D26" s="20">
        <f t="shared" ca="1" si="1"/>
        <v>181</v>
      </c>
      <c r="E26" s="20">
        <v>1</v>
      </c>
      <c r="H26" s="20">
        <f t="shared" si="2"/>
        <v>14</v>
      </c>
      <c r="M26" s="20">
        <v>25</v>
      </c>
    </row>
    <row r="27" spans="1:13" x14ac:dyDescent="0.15">
      <c r="A27" s="20">
        <f>A2+1</f>
        <v>2</v>
      </c>
      <c r="B27" s="20">
        <f>B2+100</f>
        <v>201</v>
      </c>
      <c r="C27" s="20">
        <f t="shared" si="0"/>
        <v>50069</v>
      </c>
      <c r="D27" s="20">
        <f t="shared" si="1"/>
        <v>181</v>
      </c>
      <c r="E27" s="20">
        <v>1</v>
      </c>
      <c r="H27" s="20">
        <f t="shared" si="2"/>
        <v>2</v>
      </c>
      <c r="M27" s="20">
        <v>26</v>
      </c>
    </row>
    <row r="28" spans="1:13" x14ac:dyDescent="0.15">
      <c r="A28" s="20">
        <f t="shared" ref="A28:A91" si="4">A3+1</f>
        <v>2</v>
      </c>
      <c r="B28" s="20">
        <f t="shared" ref="B28:B91" si="5">B3+100</f>
        <v>201</v>
      </c>
      <c r="C28" s="20">
        <f t="shared" ca="1" si="0"/>
        <v>50045</v>
      </c>
      <c r="D28" s="20">
        <f t="shared" ca="1" si="1"/>
        <v>181</v>
      </c>
      <c r="E28" s="20">
        <v>1</v>
      </c>
      <c r="H28" s="20">
        <f t="shared" si="2"/>
        <v>5</v>
      </c>
      <c r="M28" s="20">
        <v>27</v>
      </c>
    </row>
    <row r="29" spans="1:13" x14ac:dyDescent="0.15">
      <c r="A29" s="20">
        <f t="shared" si="4"/>
        <v>2</v>
      </c>
      <c r="B29" s="20">
        <f t="shared" si="5"/>
        <v>201</v>
      </c>
      <c r="C29" s="20">
        <f t="shared" ca="1" si="0"/>
        <v>50168</v>
      </c>
      <c r="D29" s="20">
        <f t="shared" ca="1" si="1"/>
        <v>181</v>
      </c>
      <c r="E29" s="20">
        <v>1</v>
      </c>
      <c r="H29" s="20">
        <f t="shared" si="2"/>
        <v>8</v>
      </c>
      <c r="M29" s="20">
        <v>28</v>
      </c>
    </row>
    <row r="30" spans="1:13" x14ac:dyDescent="0.15">
      <c r="A30" s="20">
        <f t="shared" si="4"/>
        <v>2</v>
      </c>
      <c r="B30" s="20">
        <f t="shared" si="5"/>
        <v>201</v>
      </c>
      <c r="C30" s="20">
        <f t="shared" ca="1" si="0"/>
        <v>50189</v>
      </c>
      <c r="D30" s="20">
        <f t="shared" ca="1" si="1"/>
        <v>181</v>
      </c>
      <c r="E30" s="20">
        <v>1</v>
      </c>
      <c r="H30" s="20">
        <f t="shared" si="2"/>
        <v>11</v>
      </c>
      <c r="M30" s="20">
        <v>29</v>
      </c>
    </row>
    <row r="31" spans="1:13" x14ac:dyDescent="0.15">
      <c r="A31" s="20">
        <f t="shared" si="4"/>
        <v>2</v>
      </c>
      <c r="B31" s="20">
        <f t="shared" si="5"/>
        <v>201</v>
      </c>
      <c r="C31" s="20">
        <f t="shared" ca="1" si="0"/>
        <v>50052</v>
      </c>
      <c r="D31" s="20">
        <f t="shared" ca="1" si="1"/>
        <v>181</v>
      </c>
      <c r="E31" s="20">
        <v>1</v>
      </c>
      <c r="H31" s="20">
        <f t="shared" si="2"/>
        <v>14</v>
      </c>
      <c r="M31" s="20">
        <v>30</v>
      </c>
    </row>
    <row r="32" spans="1:13" x14ac:dyDescent="0.15">
      <c r="A32" s="20">
        <f t="shared" si="4"/>
        <v>2</v>
      </c>
      <c r="B32" s="20">
        <f t="shared" si="5"/>
        <v>202</v>
      </c>
      <c r="C32" s="20">
        <f t="shared" si="0"/>
        <v>50168</v>
      </c>
      <c r="D32" s="20">
        <f t="shared" si="1"/>
        <v>181</v>
      </c>
      <c r="E32" s="20">
        <v>1</v>
      </c>
      <c r="H32" s="20">
        <f t="shared" si="2"/>
        <v>2</v>
      </c>
      <c r="M32" s="20">
        <v>31</v>
      </c>
    </row>
    <row r="33" spans="1:13" x14ac:dyDescent="0.15">
      <c r="A33" s="20">
        <f t="shared" si="4"/>
        <v>2</v>
      </c>
      <c r="B33" s="20">
        <f t="shared" si="5"/>
        <v>202</v>
      </c>
      <c r="C33" s="20">
        <f t="shared" ca="1" si="0"/>
        <v>50168</v>
      </c>
      <c r="D33" s="20">
        <f t="shared" ca="1" si="1"/>
        <v>181</v>
      </c>
      <c r="E33" s="20">
        <v>1</v>
      </c>
      <c r="H33" s="20">
        <f t="shared" si="2"/>
        <v>5</v>
      </c>
      <c r="M33" s="20">
        <v>32</v>
      </c>
    </row>
    <row r="34" spans="1:13" x14ac:dyDescent="0.15">
      <c r="A34" s="20">
        <f t="shared" si="4"/>
        <v>2</v>
      </c>
      <c r="B34" s="20">
        <f t="shared" si="5"/>
        <v>202</v>
      </c>
      <c r="C34" s="20">
        <f t="shared" ca="1" si="0"/>
        <v>50045</v>
      </c>
      <c r="D34" s="20">
        <f t="shared" ca="1" si="1"/>
        <v>181</v>
      </c>
      <c r="E34" s="20">
        <v>1</v>
      </c>
      <c r="H34" s="20">
        <f t="shared" si="2"/>
        <v>8</v>
      </c>
      <c r="M34" s="20">
        <v>33</v>
      </c>
    </row>
    <row r="35" spans="1:13" x14ac:dyDescent="0.15">
      <c r="A35" s="20">
        <f t="shared" si="4"/>
        <v>2</v>
      </c>
      <c r="B35" s="20">
        <f t="shared" si="5"/>
        <v>202</v>
      </c>
      <c r="C35" s="20">
        <f t="shared" ca="1" si="0"/>
        <v>50052</v>
      </c>
      <c r="D35" s="20">
        <f t="shared" ca="1" si="1"/>
        <v>181</v>
      </c>
      <c r="E35" s="20">
        <v>1</v>
      </c>
      <c r="H35" s="20">
        <f t="shared" si="2"/>
        <v>11</v>
      </c>
      <c r="M35" s="20">
        <v>34</v>
      </c>
    </row>
    <row r="36" spans="1:13" x14ac:dyDescent="0.15">
      <c r="A36" s="20">
        <f t="shared" si="4"/>
        <v>2</v>
      </c>
      <c r="B36" s="20">
        <f t="shared" si="5"/>
        <v>202</v>
      </c>
      <c r="C36" s="20">
        <f t="shared" ca="1" si="0"/>
        <v>50051</v>
      </c>
      <c r="D36" s="20">
        <f t="shared" ca="1" si="1"/>
        <v>181</v>
      </c>
      <c r="E36" s="20">
        <v>1</v>
      </c>
      <c r="H36" s="20">
        <f t="shared" si="2"/>
        <v>14</v>
      </c>
      <c r="M36" s="20">
        <v>35</v>
      </c>
    </row>
    <row r="37" spans="1:13" x14ac:dyDescent="0.15">
      <c r="A37" s="20">
        <f t="shared" si="4"/>
        <v>2</v>
      </c>
      <c r="B37" s="20">
        <f t="shared" si="5"/>
        <v>203</v>
      </c>
      <c r="C37" s="20">
        <f t="shared" si="0"/>
        <v>50189</v>
      </c>
      <c r="D37" s="20">
        <f t="shared" si="1"/>
        <v>181</v>
      </c>
      <c r="E37" s="20">
        <v>1</v>
      </c>
      <c r="H37" s="20">
        <f t="shared" si="2"/>
        <v>2</v>
      </c>
      <c r="M37" s="20">
        <v>36</v>
      </c>
    </row>
    <row r="38" spans="1:13" x14ac:dyDescent="0.15">
      <c r="A38" s="20">
        <f t="shared" si="4"/>
        <v>2</v>
      </c>
      <c r="B38" s="20">
        <f t="shared" si="5"/>
        <v>203</v>
      </c>
      <c r="C38" s="20">
        <f t="shared" ca="1" si="0"/>
        <v>50047</v>
      </c>
      <c r="D38" s="20">
        <f t="shared" ca="1" si="1"/>
        <v>181</v>
      </c>
      <c r="E38" s="20">
        <v>1</v>
      </c>
      <c r="H38" s="20">
        <f t="shared" si="2"/>
        <v>5</v>
      </c>
      <c r="M38" s="20">
        <v>37</v>
      </c>
    </row>
    <row r="39" spans="1:13" x14ac:dyDescent="0.15">
      <c r="A39" s="20">
        <f t="shared" si="4"/>
        <v>2</v>
      </c>
      <c r="B39" s="20">
        <f t="shared" si="5"/>
        <v>203</v>
      </c>
      <c r="C39" s="20">
        <f t="shared" ca="1" si="0"/>
        <v>50051</v>
      </c>
      <c r="D39" s="20">
        <f t="shared" ca="1" si="1"/>
        <v>181</v>
      </c>
      <c r="E39" s="20">
        <v>1</v>
      </c>
      <c r="H39" s="20">
        <f t="shared" si="2"/>
        <v>8</v>
      </c>
      <c r="M39" s="20">
        <v>38</v>
      </c>
    </row>
    <row r="40" spans="1:13" x14ac:dyDescent="0.15">
      <c r="A40" s="20">
        <f t="shared" si="4"/>
        <v>2</v>
      </c>
      <c r="B40" s="20">
        <f t="shared" si="5"/>
        <v>203</v>
      </c>
      <c r="C40" s="20">
        <f t="shared" ca="1" si="0"/>
        <v>50052</v>
      </c>
      <c r="D40" s="20">
        <f t="shared" ca="1" si="1"/>
        <v>181</v>
      </c>
      <c r="E40" s="20">
        <v>1</v>
      </c>
      <c r="H40" s="20">
        <f t="shared" si="2"/>
        <v>11</v>
      </c>
      <c r="M40" s="20">
        <v>39</v>
      </c>
    </row>
    <row r="41" spans="1:13" x14ac:dyDescent="0.15">
      <c r="A41" s="20">
        <f t="shared" si="4"/>
        <v>2</v>
      </c>
      <c r="B41" s="20">
        <f t="shared" si="5"/>
        <v>203</v>
      </c>
      <c r="C41" s="20">
        <f t="shared" ca="1" si="0"/>
        <v>50045</v>
      </c>
      <c r="D41" s="20">
        <f t="shared" ca="1" si="1"/>
        <v>181</v>
      </c>
      <c r="E41" s="20">
        <v>1</v>
      </c>
      <c r="H41" s="20">
        <f t="shared" si="2"/>
        <v>14</v>
      </c>
      <c r="M41" s="20">
        <v>40</v>
      </c>
    </row>
    <row r="42" spans="1:13" x14ac:dyDescent="0.15">
      <c r="A42" s="20">
        <f t="shared" si="4"/>
        <v>2</v>
      </c>
      <c r="B42" s="20">
        <f t="shared" si="5"/>
        <v>204</v>
      </c>
      <c r="C42" s="20">
        <f t="shared" si="0"/>
        <v>50042</v>
      </c>
      <c r="D42" s="20">
        <f t="shared" si="1"/>
        <v>129</v>
      </c>
      <c r="E42" s="20">
        <v>1</v>
      </c>
      <c r="H42" s="20">
        <f t="shared" si="2"/>
        <v>2</v>
      </c>
      <c r="M42" s="20">
        <v>41</v>
      </c>
    </row>
    <row r="43" spans="1:13" x14ac:dyDescent="0.15">
      <c r="A43" s="20">
        <f t="shared" si="4"/>
        <v>2</v>
      </c>
      <c r="B43" s="20">
        <f t="shared" si="5"/>
        <v>204</v>
      </c>
      <c r="C43" s="20">
        <f t="shared" ca="1" si="0"/>
        <v>50057</v>
      </c>
      <c r="D43" s="20">
        <f t="shared" ca="1" si="1"/>
        <v>129</v>
      </c>
      <c r="E43" s="20">
        <v>1</v>
      </c>
      <c r="H43" s="20">
        <f t="shared" si="2"/>
        <v>5</v>
      </c>
      <c r="M43" s="20">
        <v>42</v>
      </c>
    </row>
    <row r="44" spans="1:13" x14ac:dyDescent="0.15">
      <c r="A44" s="20">
        <f t="shared" si="4"/>
        <v>2</v>
      </c>
      <c r="B44" s="20">
        <f t="shared" si="5"/>
        <v>204</v>
      </c>
      <c r="C44" s="20">
        <f t="shared" ca="1" si="0"/>
        <v>50070</v>
      </c>
      <c r="D44" s="20">
        <f t="shared" ca="1" si="1"/>
        <v>129</v>
      </c>
      <c r="E44" s="20">
        <v>1</v>
      </c>
      <c r="H44" s="20">
        <f t="shared" si="2"/>
        <v>8</v>
      </c>
      <c r="M44" s="20">
        <v>43</v>
      </c>
    </row>
    <row r="45" spans="1:13" x14ac:dyDescent="0.15">
      <c r="A45" s="20">
        <f t="shared" si="4"/>
        <v>2</v>
      </c>
      <c r="B45" s="20">
        <f t="shared" si="5"/>
        <v>204</v>
      </c>
      <c r="C45" s="20">
        <f t="shared" ca="1" si="0"/>
        <v>50042</v>
      </c>
      <c r="D45" s="20">
        <f t="shared" ca="1" si="1"/>
        <v>129</v>
      </c>
      <c r="E45" s="20">
        <v>1</v>
      </c>
      <c r="H45" s="20">
        <f t="shared" si="2"/>
        <v>11</v>
      </c>
      <c r="M45" s="20">
        <v>44</v>
      </c>
    </row>
    <row r="46" spans="1:13" x14ac:dyDescent="0.15">
      <c r="A46" s="20">
        <f t="shared" si="4"/>
        <v>2</v>
      </c>
      <c r="B46" s="20">
        <f t="shared" si="5"/>
        <v>204</v>
      </c>
      <c r="C46" s="20">
        <f t="shared" ca="1" si="0"/>
        <v>50052</v>
      </c>
      <c r="D46" s="20">
        <f t="shared" ca="1" si="1"/>
        <v>181</v>
      </c>
      <c r="E46" s="20">
        <v>1</v>
      </c>
      <c r="H46" s="20">
        <f t="shared" si="2"/>
        <v>14</v>
      </c>
      <c r="M46" s="20">
        <v>45</v>
      </c>
    </row>
    <row r="47" spans="1:13" x14ac:dyDescent="0.15">
      <c r="A47" s="20">
        <f t="shared" si="4"/>
        <v>2</v>
      </c>
      <c r="B47" s="20">
        <f t="shared" si="5"/>
        <v>205</v>
      </c>
      <c r="C47" s="20">
        <f t="shared" si="0"/>
        <v>50053</v>
      </c>
      <c r="D47" s="20">
        <f t="shared" si="1"/>
        <v>129</v>
      </c>
      <c r="E47" s="20">
        <v>1</v>
      </c>
      <c r="H47" s="20">
        <f t="shared" si="2"/>
        <v>2</v>
      </c>
      <c r="M47" s="20">
        <v>46</v>
      </c>
    </row>
    <row r="48" spans="1:13" x14ac:dyDescent="0.15">
      <c r="A48" s="20">
        <f t="shared" si="4"/>
        <v>2</v>
      </c>
      <c r="B48" s="20">
        <f t="shared" si="5"/>
        <v>205</v>
      </c>
      <c r="C48" s="20">
        <f t="shared" ca="1" si="0"/>
        <v>50054</v>
      </c>
      <c r="D48" s="20">
        <f t="shared" ca="1" si="1"/>
        <v>129</v>
      </c>
      <c r="E48" s="20">
        <v>1</v>
      </c>
      <c r="H48" s="20">
        <f t="shared" si="2"/>
        <v>5</v>
      </c>
      <c r="M48" s="20">
        <v>47</v>
      </c>
    </row>
    <row r="49" spans="1:13" x14ac:dyDescent="0.15">
      <c r="A49" s="20">
        <f t="shared" si="4"/>
        <v>2</v>
      </c>
      <c r="B49" s="20">
        <f t="shared" si="5"/>
        <v>205</v>
      </c>
      <c r="C49" s="20">
        <f t="shared" ca="1" si="0"/>
        <v>50069</v>
      </c>
      <c r="D49" s="20">
        <f t="shared" ca="1" si="1"/>
        <v>181</v>
      </c>
      <c r="E49" s="20">
        <v>1</v>
      </c>
      <c r="H49" s="20">
        <f t="shared" si="2"/>
        <v>8</v>
      </c>
      <c r="M49" s="20">
        <v>48</v>
      </c>
    </row>
    <row r="50" spans="1:13" x14ac:dyDescent="0.15">
      <c r="A50" s="20">
        <f t="shared" si="4"/>
        <v>2</v>
      </c>
      <c r="B50" s="20">
        <f t="shared" si="5"/>
        <v>205</v>
      </c>
      <c r="C50" s="20">
        <f t="shared" ca="1" si="0"/>
        <v>50051</v>
      </c>
      <c r="D50" s="20">
        <f t="shared" ca="1" si="1"/>
        <v>181</v>
      </c>
      <c r="E50" s="20">
        <v>1</v>
      </c>
      <c r="H50" s="20">
        <f t="shared" si="2"/>
        <v>11</v>
      </c>
      <c r="M50" s="20">
        <v>49</v>
      </c>
    </row>
    <row r="51" spans="1:13" x14ac:dyDescent="0.15">
      <c r="A51" s="20">
        <f t="shared" si="4"/>
        <v>2</v>
      </c>
      <c r="B51" s="20">
        <f t="shared" si="5"/>
        <v>205</v>
      </c>
      <c r="C51" s="20">
        <f t="shared" ca="1" si="0"/>
        <v>50053</v>
      </c>
      <c r="D51" s="20">
        <f t="shared" ca="1" si="1"/>
        <v>129</v>
      </c>
      <c r="E51" s="20">
        <v>1</v>
      </c>
      <c r="H51" s="20">
        <f t="shared" si="2"/>
        <v>14</v>
      </c>
      <c r="M51" s="20">
        <v>50</v>
      </c>
    </row>
    <row r="52" spans="1:13" x14ac:dyDescent="0.15">
      <c r="A52" s="20">
        <f t="shared" si="4"/>
        <v>3</v>
      </c>
      <c r="B52" s="20">
        <f t="shared" si="5"/>
        <v>301</v>
      </c>
      <c r="C52" s="20">
        <f t="shared" si="0"/>
        <v>50054</v>
      </c>
      <c r="D52" s="20">
        <f t="shared" si="1"/>
        <v>129</v>
      </c>
      <c r="E52" s="20">
        <v>1</v>
      </c>
      <c r="H52" s="20">
        <f t="shared" si="2"/>
        <v>2</v>
      </c>
      <c r="M52" s="20">
        <v>51</v>
      </c>
    </row>
    <row r="53" spans="1:13" x14ac:dyDescent="0.15">
      <c r="A53" s="20">
        <f t="shared" si="4"/>
        <v>3</v>
      </c>
      <c r="B53" s="20">
        <f t="shared" si="5"/>
        <v>301</v>
      </c>
      <c r="C53" s="20">
        <f t="shared" ca="1" si="0"/>
        <v>50051</v>
      </c>
      <c r="D53" s="20">
        <f t="shared" ca="1" si="1"/>
        <v>181</v>
      </c>
      <c r="E53" s="20">
        <v>1</v>
      </c>
      <c r="H53" s="20">
        <f t="shared" si="2"/>
        <v>5</v>
      </c>
      <c r="M53" s="20">
        <v>52</v>
      </c>
    </row>
    <row r="54" spans="1:13" x14ac:dyDescent="0.15">
      <c r="A54" s="20">
        <f t="shared" si="4"/>
        <v>3</v>
      </c>
      <c r="B54" s="20">
        <f t="shared" si="5"/>
        <v>301</v>
      </c>
      <c r="C54" s="20">
        <f t="shared" ca="1" si="0"/>
        <v>50041</v>
      </c>
      <c r="D54" s="20">
        <f t="shared" ca="1" si="1"/>
        <v>181</v>
      </c>
      <c r="E54" s="20">
        <v>1</v>
      </c>
      <c r="H54" s="20">
        <f t="shared" si="2"/>
        <v>8</v>
      </c>
      <c r="M54" s="20">
        <v>53</v>
      </c>
    </row>
    <row r="55" spans="1:13" x14ac:dyDescent="0.15">
      <c r="A55" s="20">
        <f t="shared" si="4"/>
        <v>3</v>
      </c>
      <c r="B55" s="20">
        <f t="shared" si="5"/>
        <v>301</v>
      </c>
      <c r="C55" s="20">
        <f t="shared" ca="1" si="0"/>
        <v>50057</v>
      </c>
      <c r="D55" s="20">
        <f t="shared" ca="1" si="1"/>
        <v>129</v>
      </c>
      <c r="E55" s="20">
        <v>1</v>
      </c>
      <c r="H55" s="20">
        <f t="shared" si="2"/>
        <v>11</v>
      </c>
      <c r="M55" s="20">
        <v>54</v>
      </c>
    </row>
    <row r="56" spans="1:13" x14ac:dyDescent="0.15">
      <c r="A56" s="20">
        <f t="shared" si="4"/>
        <v>3</v>
      </c>
      <c r="B56" s="20">
        <f t="shared" si="5"/>
        <v>301</v>
      </c>
      <c r="C56" s="20">
        <f t="shared" ca="1" si="0"/>
        <v>50041</v>
      </c>
      <c r="D56" s="20">
        <f t="shared" ca="1" si="1"/>
        <v>181</v>
      </c>
      <c r="E56" s="20">
        <v>1</v>
      </c>
      <c r="H56" s="20">
        <f t="shared" si="2"/>
        <v>14</v>
      </c>
      <c r="M56" s="20">
        <v>55</v>
      </c>
    </row>
    <row r="57" spans="1:13" x14ac:dyDescent="0.15">
      <c r="A57" s="20">
        <f t="shared" si="4"/>
        <v>3</v>
      </c>
      <c r="B57" s="20">
        <f t="shared" si="5"/>
        <v>302</v>
      </c>
      <c r="C57" s="20">
        <f t="shared" si="0"/>
        <v>50055</v>
      </c>
      <c r="D57" s="20">
        <f t="shared" si="1"/>
        <v>129</v>
      </c>
      <c r="E57" s="20">
        <v>1</v>
      </c>
      <c r="H57" s="20">
        <f t="shared" si="2"/>
        <v>2</v>
      </c>
      <c r="M57" s="20">
        <v>56</v>
      </c>
    </row>
    <row r="58" spans="1:13" x14ac:dyDescent="0.15">
      <c r="A58" s="20">
        <f t="shared" si="4"/>
        <v>3</v>
      </c>
      <c r="B58" s="20">
        <f t="shared" si="5"/>
        <v>302</v>
      </c>
      <c r="C58" s="20">
        <f t="shared" ca="1" si="0"/>
        <v>50054</v>
      </c>
      <c r="D58" s="20">
        <f t="shared" ca="1" si="1"/>
        <v>129</v>
      </c>
      <c r="E58" s="20">
        <v>1</v>
      </c>
      <c r="H58" s="20">
        <f t="shared" si="2"/>
        <v>5</v>
      </c>
      <c r="M58" s="20">
        <v>57</v>
      </c>
    </row>
    <row r="59" spans="1:13" x14ac:dyDescent="0.15">
      <c r="A59" s="20">
        <f t="shared" si="4"/>
        <v>3</v>
      </c>
      <c r="B59" s="20">
        <f t="shared" si="5"/>
        <v>302</v>
      </c>
      <c r="C59" s="20">
        <f t="shared" ca="1" si="0"/>
        <v>50070</v>
      </c>
      <c r="D59" s="20">
        <f t="shared" ca="1" si="1"/>
        <v>129</v>
      </c>
      <c r="E59" s="20">
        <v>1</v>
      </c>
      <c r="H59" s="20">
        <f t="shared" si="2"/>
        <v>8</v>
      </c>
      <c r="M59" s="20">
        <v>58</v>
      </c>
    </row>
    <row r="60" spans="1:13" x14ac:dyDescent="0.15">
      <c r="A60" s="20">
        <f t="shared" si="4"/>
        <v>3</v>
      </c>
      <c r="B60" s="20">
        <f t="shared" si="5"/>
        <v>302</v>
      </c>
      <c r="C60" s="20">
        <f t="shared" ca="1" si="0"/>
        <v>50064</v>
      </c>
      <c r="D60" s="20">
        <f t="shared" ca="1" si="1"/>
        <v>129</v>
      </c>
      <c r="E60" s="20">
        <v>1</v>
      </c>
      <c r="H60" s="20">
        <f t="shared" si="2"/>
        <v>11</v>
      </c>
      <c r="M60" s="20">
        <v>59</v>
      </c>
    </row>
    <row r="61" spans="1:13" x14ac:dyDescent="0.15">
      <c r="A61" s="20">
        <f t="shared" si="4"/>
        <v>3</v>
      </c>
      <c r="B61" s="20">
        <f t="shared" si="5"/>
        <v>302</v>
      </c>
      <c r="C61" s="20">
        <f t="shared" ca="1" si="0"/>
        <v>50168</v>
      </c>
      <c r="D61" s="20">
        <f t="shared" ca="1" si="1"/>
        <v>181</v>
      </c>
      <c r="E61" s="20">
        <v>1</v>
      </c>
      <c r="H61" s="20">
        <f t="shared" si="2"/>
        <v>14</v>
      </c>
      <c r="M61" s="20">
        <v>60</v>
      </c>
    </row>
    <row r="62" spans="1:13" x14ac:dyDescent="0.15">
      <c r="A62" s="20">
        <f t="shared" si="4"/>
        <v>3</v>
      </c>
      <c r="B62" s="20">
        <f t="shared" si="5"/>
        <v>303</v>
      </c>
      <c r="C62" s="20">
        <f t="shared" si="0"/>
        <v>50056</v>
      </c>
      <c r="D62" s="20">
        <f t="shared" si="1"/>
        <v>129</v>
      </c>
      <c r="E62" s="20">
        <v>1</v>
      </c>
      <c r="H62" s="20">
        <f t="shared" si="2"/>
        <v>2</v>
      </c>
      <c r="M62" s="20">
        <v>61</v>
      </c>
    </row>
    <row r="63" spans="1:13" x14ac:dyDescent="0.15">
      <c r="A63" s="20">
        <f t="shared" si="4"/>
        <v>3</v>
      </c>
      <c r="B63" s="20">
        <f t="shared" si="5"/>
        <v>303</v>
      </c>
      <c r="C63" s="20">
        <f t="shared" ca="1" si="0"/>
        <v>50053</v>
      </c>
      <c r="D63" s="20">
        <f t="shared" ca="1" si="1"/>
        <v>129</v>
      </c>
      <c r="E63" s="20">
        <v>1</v>
      </c>
      <c r="H63" s="20">
        <f t="shared" si="2"/>
        <v>5</v>
      </c>
      <c r="M63" s="20">
        <v>62</v>
      </c>
    </row>
    <row r="64" spans="1:13" x14ac:dyDescent="0.15">
      <c r="A64" s="20">
        <f t="shared" si="4"/>
        <v>3</v>
      </c>
      <c r="B64" s="20">
        <f t="shared" si="5"/>
        <v>303</v>
      </c>
      <c r="C64" s="20">
        <f t="shared" ca="1" si="0"/>
        <v>50051</v>
      </c>
      <c r="D64" s="20">
        <f t="shared" ca="1" si="1"/>
        <v>181</v>
      </c>
      <c r="E64" s="20">
        <v>1</v>
      </c>
      <c r="H64" s="20">
        <f t="shared" si="2"/>
        <v>8</v>
      </c>
      <c r="M64" s="20">
        <v>63</v>
      </c>
    </row>
    <row r="65" spans="1:13" x14ac:dyDescent="0.15">
      <c r="A65" s="20">
        <f t="shared" si="4"/>
        <v>3</v>
      </c>
      <c r="B65" s="20">
        <f t="shared" si="5"/>
        <v>303</v>
      </c>
      <c r="C65" s="20">
        <f t="shared" ca="1" si="0"/>
        <v>50056</v>
      </c>
      <c r="D65" s="20">
        <f t="shared" ca="1" si="1"/>
        <v>129</v>
      </c>
      <c r="E65" s="20">
        <v>1</v>
      </c>
      <c r="H65" s="20">
        <f t="shared" si="2"/>
        <v>11</v>
      </c>
      <c r="M65" s="20">
        <v>64</v>
      </c>
    </row>
    <row r="66" spans="1:13" x14ac:dyDescent="0.15">
      <c r="A66" s="20">
        <f t="shared" si="4"/>
        <v>3</v>
      </c>
      <c r="B66" s="20">
        <f t="shared" si="5"/>
        <v>303</v>
      </c>
      <c r="C66" s="20">
        <f t="shared" ref="C66:C129" ca="1" si="6">VLOOKUP(B66,plan1,H66,FALSE)</f>
        <v>50047</v>
      </c>
      <c r="D66" s="20">
        <f t="shared" ref="D66:D129" ca="1" si="7">VLOOKUP(C66,marking,9,FALSE)</f>
        <v>181</v>
      </c>
      <c r="E66" s="20">
        <v>1</v>
      </c>
      <c r="H66" s="20">
        <f t="shared" si="2"/>
        <v>14</v>
      </c>
      <c r="M66" s="20">
        <v>65</v>
      </c>
    </row>
    <row r="67" spans="1:13" x14ac:dyDescent="0.15">
      <c r="A67" s="20">
        <f t="shared" si="4"/>
        <v>3</v>
      </c>
      <c r="B67" s="20">
        <f t="shared" si="5"/>
        <v>304</v>
      </c>
      <c r="C67" s="20">
        <f t="shared" si="6"/>
        <v>50057</v>
      </c>
      <c r="D67" s="20">
        <f t="shared" si="7"/>
        <v>129</v>
      </c>
      <c r="E67" s="20">
        <v>1</v>
      </c>
      <c r="H67" s="20">
        <f t="shared" si="2"/>
        <v>2</v>
      </c>
      <c r="M67" s="20">
        <v>66</v>
      </c>
    </row>
    <row r="68" spans="1:13" x14ac:dyDescent="0.15">
      <c r="A68" s="20">
        <f t="shared" si="4"/>
        <v>3</v>
      </c>
      <c r="B68" s="20">
        <f t="shared" si="5"/>
        <v>304</v>
      </c>
      <c r="C68" s="20">
        <f t="shared" ca="1" si="6"/>
        <v>50070</v>
      </c>
      <c r="D68" s="20">
        <f t="shared" ca="1" si="7"/>
        <v>129</v>
      </c>
      <c r="E68" s="20">
        <v>1</v>
      </c>
      <c r="H68" s="20">
        <f t="shared" si="2"/>
        <v>5</v>
      </c>
      <c r="M68" s="20">
        <v>67</v>
      </c>
    </row>
    <row r="69" spans="1:13" x14ac:dyDescent="0.15">
      <c r="A69" s="20">
        <f t="shared" si="4"/>
        <v>3</v>
      </c>
      <c r="B69" s="20">
        <f t="shared" si="5"/>
        <v>304</v>
      </c>
      <c r="C69" s="20">
        <f t="shared" ca="1" si="6"/>
        <v>50053</v>
      </c>
      <c r="D69" s="20">
        <f t="shared" ca="1" si="7"/>
        <v>129</v>
      </c>
      <c r="E69" s="20">
        <v>1</v>
      </c>
      <c r="H69" s="20">
        <f t="shared" si="2"/>
        <v>8</v>
      </c>
      <c r="M69" s="20">
        <v>68</v>
      </c>
    </row>
    <row r="70" spans="1:13" x14ac:dyDescent="0.15">
      <c r="A70" s="20">
        <f t="shared" si="4"/>
        <v>3</v>
      </c>
      <c r="B70" s="20">
        <f t="shared" si="5"/>
        <v>304</v>
      </c>
      <c r="C70" s="20">
        <f t="shared" ca="1" si="6"/>
        <v>50045</v>
      </c>
      <c r="D70" s="20">
        <f t="shared" ca="1" si="7"/>
        <v>181</v>
      </c>
      <c r="E70" s="20">
        <v>1</v>
      </c>
      <c r="H70" s="20">
        <f t="shared" si="2"/>
        <v>11</v>
      </c>
      <c r="M70" s="20">
        <v>69</v>
      </c>
    </row>
    <row r="71" spans="1:13" x14ac:dyDescent="0.15">
      <c r="A71" s="20">
        <f t="shared" si="4"/>
        <v>3</v>
      </c>
      <c r="B71" s="20">
        <f t="shared" si="5"/>
        <v>304</v>
      </c>
      <c r="C71" s="20">
        <f t="shared" ca="1" si="6"/>
        <v>50064</v>
      </c>
      <c r="D71" s="20">
        <f t="shared" ca="1" si="7"/>
        <v>129</v>
      </c>
      <c r="E71" s="20">
        <v>1</v>
      </c>
      <c r="H71" s="20">
        <f t="shared" si="2"/>
        <v>14</v>
      </c>
      <c r="M71" s="20">
        <v>70</v>
      </c>
    </row>
    <row r="72" spans="1:13" x14ac:dyDescent="0.15">
      <c r="A72" s="20">
        <f t="shared" si="4"/>
        <v>3</v>
      </c>
      <c r="B72" s="20">
        <f t="shared" si="5"/>
        <v>305</v>
      </c>
      <c r="C72" s="20">
        <f t="shared" si="6"/>
        <v>50063</v>
      </c>
      <c r="D72" s="20">
        <f t="shared" si="7"/>
        <v>129</v>
      </c>
      <c r="E72" s="20">
        <v>1</v>
      </c>
      <c r="H72" s="20">
        <f t="shared" ref="H72:H135" si="8">H67</f>
        <v>2</v>
      </c>
      <c r="M72" s="20">
        <v>71</v>
      </c>
    </row>
    <row r="73" spans="1:13" x14ac:dyDescent="0.15">
      <c r="A73" s="20">
        <f t="shared" si="4"/>
        <v>3</v>
      </c>
      <c r="B73" s="20">
        <f t="shared" si="5"/>
        <v>305</v>
      </c>
      <c r="C73" s="20">
        <f t="shared" ca="1" si="6"/>
        <v>50045</v>
      </c>
      <c r="D73" s="20">
        <f t="shared" ca="1" si="7"/>
        <v>181</v>
      </c>
      <c r="E73" s="20">
        <v>1</v>
      </c>
      <c r="H73" s="20">
        <f t="shared" si="8"/>
        <v>5</v>
      </c>
      <c r="M73" s="20">
        <v>72</v>
      </c>
    </row>
    <row r="74" spans="1:13" x14ac:dyDescent="0.15">
      <c r="A74" s="20">
        <f t="shared" si="4"/>
        <v>3</v>
      </c>
      <c r="B74" s="20">
        <f t="shared" si="5"/>
        <v>305</v>
      </c>
      <c r="C74" s="20">
        <f t="shared" ca="1" si="6"/>
        <v>50041</v>
      </c>
      <c r="D74" s="20">
        <f t="shared" ca="1" si="7"/>
        <v>181</v>
      </c>
      <c r="E74" s="20">
        <v>1</v>
      </c>
      <c r="H74" s="20">
        <f t="shared" si="8"/>
        <v>8</v>
      </c>
      <c r="M74" s="20">
        <v>73</v>
      </c>
    </row>
    <row r="75" spans="1:13" x14ac:dyDescent="0.15">
      <c r="A75" s="20">
        <f t="shared" si="4"/>
        <v>3</v>
      </c>
      <c r="B75" s="20">
        <f t="shared" si="5"/>
        <v>305</v>
      </c>
      <c r="C75" s="20">
        <f t="shared" ca="1" si="6"/>
        <v>50052</v>
      </c>
      <c r="D75" s="20">
        <f t="shared" ca="1" si="7"/>
        <v>181</v>
      </c>
      <c r="E75" s="20">
        <v>1</v>
      </c>
      <c r="H75" s="20">
        <f t="shared" si="8"/>
        <v>11</v>
      </c>
      <c r="M75" s="20">
        <v>74</v>
      </c>
    </row>
    <row r="76" spans="1:13" x14ac:dyDescent="0.15">
      <c r="A76" s="20">
        <f t="shared" si="4"/>
        <v>3</v>
      </c>
      <c r="B76" s="20">
        <f t="shared" si="5"/>
        <v>305</v>
      </c>
      <c r="C76" s="20">
        <f t="shared" ca="1" si="6"/>
        <v>50069</v>
      </c>
      <c r="D76" s="20">
        <f t="shared" ca="1" si="7"/>
        <v>181</v>
      </c>
      <c r="E76" s="20">
        <v>1</v>
      </c>
      <c r="H76" s="20">
        <f t="shared" si="8"/>
        <v>14</v>
      </c>
      <c r="M76" s="20">
        <v>75</v>
      </c>
    </row>
    <row r="77" spans="1:13" x14ac:dyDescent="0.15">
      <c r="A77" s="20">
        <f t="shared" si="4"/>
        <v>4</v>
      </c>
      <c r="B77" s="20">
        <f t="shared" si="5"/>
        <v>401</v>
      </c>
      <c r="C77" s="20">
        <f t="shared" si="6"/>
        <v>50064</v>
      </c>
      <c r="D77" s="20">
        <f t="shared" si="7"/>
        <v>129</v>
      </c>
      <c r="E77" s="20">
        <v>1</v>
      </c>
      <c r="H77" s="20">
        <f t="shared" si="8"/>
        <v>2</v>
      </c>
      <c r="M77" s="20">
        <v>76</v>
      </c>
    </row>
    <row r="78" spans="1:13" x14ac:dyDescent="0.15">
      <c r="A78" s="20">
        <f t="shared" si="4"/>
        <v>4</v>
      </c>
      <c r="B78" s="20">
        <f t="shared" si="5"/>
        <v>401</v>
      </c>
      <c r="C78" s="20">
        <f t="shared" ca="1" si="6"/>
        <v>50189</v>
      </c>
      <c r="D78" s="20">
        <f t="shared" ca="1" si="7"/>
        <v>181</v>
      </c>
      <c r="E78" s="20">
        <v>1</v>
      </c>
      <c r="H78" s="20">
        <f t="shared" si="8"/>
        <v>5</v>
      </c>
      <c r="M78" s="20">
        <v>77</v>
      </c>
    </row>
    <row r="79" spans="1:13" x14ac:dyDescent="0.15">
      <c r="A79" s="20">
        <f t="shared" si="4"/>
        <v>4</v>
      </c>
      <c r="B79" s="20">
        <f t="shared" si="5"/>
        <v>401</v>
      </c>
      <c r="C79" s="20">
        <f t="shared" ca="1" si="6"/>
        <v>50055</v>
      </c>
      <c r="D79" s="20">
        <f t="shared" ca="1" si="7"/>
        <v>129</v>
      </c>
      <c r="E79" s="20">
        <v>1</v>
      </c>
      <c r="H79" s="20">
        <f t="shared" si="8"/>
        <v>8</v>
      </c>
      <c r="M79" s="20">
        <v>78</v>
      </c>
    </row>
    <row r="80" spans="1:13" x14ac:dyDescent="0.15">
      <c r="A80" s="20">
        <f t="shared" si="4"/>
        <v>4</v>
      </c>
      <c r="B80" s="20">
        <f t="shared" si="5"/>
        <v>401</v>
      </c>
      <c r="C80" s="20">
        <f t="shared" ca="1" si="6"/>
        <v>50069</v>
      </c>
      <c r="D80" s="20">
        <f t="shared" ca="1" si="7"/>
        <v>181</v>
      </c>
      <c r="E80" s="20">
        <v>1</v>
      </c>
      <c r="H80" s="20">
        <f t="shared" si="8"/>
        <v>11</v>
      </c>
      <c r="M80" s="20">
        <v>79</v>
      </c>
    </row>
    <row r="81" spans="1:13" x14ac:dyDescent="0.15">
      <c r="A81" s="20">
        <f t="shared" si="4"/>
        <v>4</v>
      </c>
      <c r="B81" s="20">
        <f t="shared" si="5"/>
        <v>401</v>
      </c>
      <c r="C81" s="20">
        <f t="shared" ca="1" si="6"/>
        <v>50069</v>
      </c>
      <c r="D81" s="20">
        <f t="shared" ca="1" si="7"/>
        <v>181</v>
      </c>
      <c r="E81" s="20">
        <v>1</v>
      </c>
      <c r="H81" s="20">
        <f t="shared" si="8"/>
        <v>14</v>
      </c>
      <c r="M81" s="20">
        <v>80</v>
      </c>
    </row>
    <row r="82" spans="1:13" x14ac:dyDescent="0.15">
      <c r="A82" s="20">
        <f t="shared" si="4"/>
        <v>4</v>
      </c>
      <c r="B82" s="20">
        <f t="shared" si="5"/>
        <v>402</v>
      </c>
      <c r="C82" s="20">
        <f t="shared" si="6"/>
        <v>50065</v>
      </c>
      <c r="D82" s="20">
        <f t="shared" si="7"/>
        <v>129</v>
      </c>
      <c r="E82" s="20">
        <v>1</v>
      </c>
      <c r="H82" s="20">
        <f t="shared" si="8"/>
        <v>2</v>
      </c>
      <c r="M82" s="20">
        <v>81</v>
      </c>
    </row>
    <row r="83" spans="1:13" x14ac:dyDescent="0.15">
      <c r="A83" s="20">
        <f t="shared" si="4"/>
        <v>4</v>
      </c>
      <c r="B83" s="20">
        <f t="shared" si="5"/>
        <v>402</v>
      </c>
      <c r="C83" s="20">
        <f t="shared" ca="1" si="6"/>
        <v>50189</v>
      </c>
      <c r="D83" s="20">
        <f t="shared" ca="1" si="7"/>
        <v>181</v>
      </c>
      <c r="E83" s="20">
        <v>1</v>
      </c>
      <c r="H83" s="20">
        <f t="shared" si="8"/>
        <v>5</v>
      </c>
      <c r="M83" s="20">
        <v>82</v>
      </c>
    </row>
    <row r="84" spans="1:13" x14ac:dyDescent="0.15">
      <c r="A84" s="20">
        <f t="shared" si="4"/>
        <v>4</v>
      </c>
      <c r="B84" s="20">
        <f t="shared" si="5"/>
        <v>402</v>
      </c>
      <c r="C84" s="20">
        <f t="shared" ca="1" si="6"/>
        <v>50041</v>
      </c>
      <c r="D84" s="20">
        <f t="shared" ca="1" si="7"/>
        <v>181</v>
      </c>
      <c r="E84" s="20">
        <v>1</v>
      </c>
      <c r="H84" s="20">
        <f t="shared" si="8"/>
        <v>8</v>
      </c>
      <c r="M84" s="20">
        <v>83</v>
      </c>
    </row>
    <row r="85" spans="1:13" x14ac:dyDescent="0.15">
      <c r="A85" s="20">
        <f t="shared" si="4"/>
        <v>4</v>
      </c>
      <c r="B85" s="20">
        <f t="shared" si="5"/>
        <v>402</v>
      </c>
      <c r="C85" s="20">
        <f t="shared" ca="1" si="6"/>
        <v>50065</v>
      </c>
      <c r="D85" s="20">
        <f t="shared" ca="1" si="7"/>
        <v>129</v>
      </c>
      <c r="E85" s="20">
        <v>1</v>
      </c>
      <c r="H85" s="20">
        <f t="shared" si="8"/>
        <v>11</v>
      </c>
      <c r="M85" s="20">
        <v>84</v>
      </c>
    </row>
    <row r="86" spans="1:13" x14ac:dyDescent="0.15">
      <c r="A86" s="20">
        <f t="shared" si="4"/>
        <v>4</v>
      </c>
      <c r="B86" s="20">
        <f t="shared" si="5"/>
        <v>402</v>
      </c>
      <c r="C86" s="20">
        <f t="shared" ca="1" si="6"/>
        <v>50054</v>
      </c>
      <c r="D86" s="20">
        <f t="shared" ca="1" si="7"/>
        <v>129</v>
      </c>
      <c r="E86" s="20">
        <v>1</v>
      </c>
      <c r="H86" s="20">
        <f t="shared" si="8"/>
        <v>14</v>
      </c>
      <c r="M86" s="20">
        <v>85</v>
      </c>
    </row>
    <row r="87" spans="1:13" x14ac:dyDescent="0.15">
      <c r="A87" s="20">
        <f t="shared" si="4"/>
        <v>4</v>
      </c>
      <c r="B87" s="20">
        <f t="shared" si="5"/>
        <v>403</v>
      </c>
      <c r="C87" s="20">
        <f t="shared" si="6"/>
        <v>50070</v>
      </c>
      <c r="D87" s="20">
        <f t="shared" si="7"/>
        <v>129</v>
      </c>
      <c r="E87" s="20">
        <v>1</v>
      </c>
      <c r="H87" s="20">
        <f t="shared" si="8"/>
        <v>2</v>
      </c>
      <c r="M87" s="20">
        <v>86</v>
      </c>
    </row>
    <row r="88" spans="1:13" x14ac:dyDescent="0.15">
      <c r="A88" s="20">
        <f t="shared" si="4"/>
        <v>4</v>
      </c>
      <c r="B88" s="20">
        <f t="shared" si="5"/>
        <v>403</v>
      </c>
      <c r="C88" s="20">
        <f t="shared" ca="1" si="6"/>
        <v>50189</v>
      </c>
      <c r="D88" s="20">
        <f t="shared" ca="1" si="7"/>
        <v>181</v>
      </c>
      <c r="E88" s="20">
        <v>1</v>
      </c>
      <c r="H88" s="20">
        <f t="shared" si="8"/>
        <v>5</v>
      </c>
      <c r="M88" s="20">
        <v>87</v>
      </c>
    </row>
    <row r="89" spans="1:13" x14ac:dyDescent="0.15">
      <c r="A89" s="20">
        <f t="shared" si="4"/>
        <v>4</v>
      </c>
      <c r="B89" s="20">
        <f t="shared" si="5"/>
        <v>403</v>
      </c>
      <c r="C89" s="20">
        <f t="shared" ca="1" si="6"/>
        <v>50047</v>
      </c>
      <c r="D89" s="20">
        <f t="shared" ca="1" si="7"/>
        <v>181</v>
      </c>
      <c r="E89" s="20">
        <v>1</v>
      </c>
      <c r="H89" s="20">
        <f t="shared" si="8"/>
        <v>8</v>
      </c>
      <c r="M89" s="20">
        <v>88</v>
      </c>
    </row>
    <row r="90" spans="1:13" x14ac:dyDescent="0.15">
      <c r="A90" s="20">
        <f t="shared" si="4"/>
        <v>4</v>
      </c>
      <c r="B90" s="20">
        <f t="shared" si="5"/>
        <v>403</v>
      </c>
      <c r="C90" s="20">
        <f t="shared" ca="1" si="6"/>
        <v>50057</v>
      </c>
      <c r="D90" s="20">
        <f t="shared" ca="1" si="7"/>
        <v>129</v>
      </c>
      <c r="E90" s="20">
        <v>1</v>
      </c>
      <c r="H90" s="20">
        <f t="shared" si="8"/>
        <v>11</v>
      </c>
      <c r="M90" s="20">
        <v>89</v>
      </c>
    </row>
    <row r="91" spans="1:13" x14ac:dyDescent="0.15">
      <c r="A91" s="20">
        <f t="shared" si="4"/>
        <v>4</v>
      </c>
      <c r="B91" s="20">
        <f t="shared" si="5"/>
        <v>403</v>
      </c>
      <c r="C91" s="20">
        <f t="shared" ca="1" si="6"/>
        <v>50051</v>
      </c>
      <c r="D91" s="20">
        <f t="shared" ca="1" si="7"/>
        <v>181</v>
      </c>
      <c r="E91" s="20">
        <v>1</v>
      </c>
      <c r="H91" s="20">
        <f t="shared" si="8"/>
        <v>14</v>
      </c>
      <c r="M91" s="20">
        <v>90</v>
      </c>
    </row>
    <row r="92" spans="1:13" x14ac:dyDescent="0.15">
      <c r="A92" s="20">
        <f t="shared" ref="A92:A155" si="9">A67+1</f>
        <v>4</v>
      </c>
      <c r="B92" s="20">
        <f t="shared" ref="B92:B155" si="10">B67+100</f>
        <v>404</v>
      </c>
      <c r="C92" s="20">
        <f t="shared" si="6"/>
        <v>50043</v>
      </c>
      <c r="D92" s="20">
        <f t="shared" si="7"/>
        <v>88</v>
      </c>
      <c r="E92" s="20">
        <v>1</v>
      </c>
      <c r="H92" s="20">
        <f t="shared" si="8"/>
        <v>2</v>
      </c>
      <c r="M92" s="20">
        <v>91</v>
      </c>
    </row>
    <row r="93" spans="1:13" x14ac:dyDescent="0.15">
      <c r="A93" s="20">
        <f t="shared" si="9"/>
        <v>4</v>
      </c>
      <c r="B93" s="20">
        <f t="shared" si="10"/>
        <v>404</v>
      </c>
      <c r="C93" s="20">
        <f t="shared" ca="1" si="6"/>
        <v>50056</v>
      </c>
      <c r="D93" s="20">
        <f t="shared" ca="1" si="7"/>
        <v>129</v>
      </c>
      <c r="E93" s="20">
        <v>1</v>
      </c>
      <c r="H93" s="20">
        <f t="shared" si="8"/>
        <v>5</v>
      </c>
      <c r="M93" s="20">
        <v>92</v>
      </c>
    </row>
    <row r="94" spans="1:13" x14ac:dyDescent="0.15">
      <c r="A94" s="20">
        <f t="shared" si="9"/>
        <v>4</v>
      </c>
      <c r="B94" s="20">
        <f t="shared" si="10"/>
        <v>404</v>
      </c>
      <c r="C94" s="20">
        <f t="shared" ca="1" si="6"/>
        <v>50063</v>
      </c>
      <c r="D94" s="20">
        <f t="shared" ca="1" si="7"/>
        <v>129</v>
      </c>
      <c r="E94" s="20">
        <v>1</v>
      </c>
      <c r="H94" s="20">
        <f t="shared" si="8"/>
        <v>8</v>
      </c>
      <c r="M94" s="20">
        <v>93</v>
      </c>
    </row>
    <row r="95" spans="1:13" x14ac:dyDescent="0.15">
      <c r="A95" s="20">
        <f t="shared" si="9"/>
        <v>4</v>
      </c>
      <c r="B95" s="20">
        <f t="shared" si="10"/>
        <v>404</v>
      </c>
      <c r="C95" s="20">
        <f t="shared" ca="1" si="6"/>
        <v>50067</v>
      </c>
      <c r="D95" s="20">
        <f t="shared" ca="1" si="7"/>
        <v>88</v>
      </c>
      <c r="E95" s="20">
        <v>1</v>
      </c>
      <c r="H95" s="20">
        <f t="shared" si="8"/>
        <v>11</v>
      </c>
      <c r="M95" s="20">
        <v>94</v>
      </c>
    </row>
    <row r="96" spans="1:13" x14ac:dyDescent="0.15">
      <c r="A96" s="20">
        <f t="shared" si="9"/>
        <v>4</v>
      </c>
      <c r="B96" s="20">
        <f t="shared" si="10"/>
        <v>404</v>
      </c>
      <c r="C96" s="20">
        <f t="shared" ca="1" si="6"/>
        <v>50189</v>
      </c>
      <c r="D96" s="20">
        <f t="shared" ca="1" si="7"/>
        <v>181</v>
      </c>
      <c r="E96" s="20">
        <v>1</v>
      </c>
      <c r="H96" s="20">
        <f t="shared" si="8"/>
        <v>14</v>
      </c>
      <c r="M96" s="20">
        <v>95</v>
      </c>
    </row>
    <row r="97" spans="1:13" x14ac:dyDescent="0.15">
      <c r="A97" s="20">
        <f t="shared" si="9"/>
        <v>4</v>
      </c>
      <c r="B97" s="20">
        <f t="shared" si="10"/>
        <v>405</v>
      </c>
      <c r="C97" s="20">
        <f t="shared" si="6"/>
        <v>50046</v>
      </c>
      <c r="D97" s="20">
        <f t="shared" si="7"/>
        <v>88</v>
      </c>
      <c r="E97" s="20">
        <v>1</v>
      </c>
      <c r="H97" s="20">
        <f t="shared" si="8"/>
        <v>2</v>
      </c>
      <c r="M97" s="20">
        <v>96</v>
      </c>
    </row>
    <row r="98" spans="1:13" x14ac:dyDescent="0.15">
      <c r="A98" s="20">
        <f t="shared" si="9"/>
        <v>4</v>
      </c>
      <c r="B98" s="20">
        <f t="shared" si="10"/>
        <v>405</v>
      </c>
      <c r="C98" s="20">
        <f t="shared" ca="1" si="6"/>
        <v>50055</v>
      </c>
      <c r="D98" s="20">
        <f t="shared" ca="1" si="7"/>
        <v>129</v>
      </c>
      <c r="E98" s="20">
        <v>1</v>
      </c>
      <c r="H98" s="20">
        <f t="shared" si="8"/>
        <v>5</v>
      </c>
      <c r="M98" s="20">
        <v>97</v>
      </c>
    </row>
    <row r="99" spans="1:13" x14ac:dyDescent="0.15">
      <c r="A99" s="20">
        <f t="shared" si="9"/>
        <v>4</v>
      </c>
      <c r="B99" s="20">
        <f t="shared" si="10"/>
        <v>405</v>
      </c>
      <c r="C99" s="20">
        <f t="shared" ca="1" si="6"/>
        <v>50171</v>
      </c>
      <c r="D99" s="20">
        <f t="shared" ca="1" si="7"/>
        <v>88</v>
      </c>
      <c r="E99" s="20">
        <v>1</v>
      </c>
      <c r="H99" s="20">
        <f t="shared" si="8"/>
        <v>8</v>
      </c>
      <c r="M99" s="20">
        <v>98</v>
      </c>
    </row>
    <row r="100" spans="1:13" x14ac:dyDescent="0.15">
      <c r="A100" s="20">
        <f t="shared" si="9"/>
        <v>4</v>
      </c>
      <c r="B100" s="20">
        <f t="shared" si="10"/>
        <v>405</v>
      </c>
      <c r="C100" s="20">
        <f t="shared" ca="1" si="6"/>
        <v>50055</v>
      </c>
      <c r="D100" s="20">
        <f t="shared" ca="1" si="7"/>
        <v>129</v>
      </c>
      <c r="E100" s="20">
        <v>1</v>
      </c>
      <c r="H100" s="20">
        <f t="shared" si="8"/>
        <v>11</v>
      </c>
      <c r="M100" s="20">
        <v>99</v>
      </c>
    </row>
    <row r="101" spans="1:13" x14ac:dyDescent="0.15">
      <c r="A101" s="20">
        <f t="shared" si="9"/>
        <v>4</v>
      </c>
      <c r="B101" s="20">
        <f t="shared" si="10"/>
        <v>405</v>
      </c>
      <c r="C101" s="20">
        <f t="shared" ca="1" si="6"/>
        <v>50070</v>
      </c>
      <c r="D101" s="20">
        <f t="shared" ca="1" si="7"/>
        <v>129</v>
      </c>
      <c r="E101" s="20">
        <v>1</v>
      </c>
      <c r="H101" s="20">
        <f t="shared" si="8"/>
        <v>14</v>
      </c>
      <c r="M101" s="20">
        <v>100</v>
      </c>
    </row>
    <row r="102" spans="1:13" x14ac:dyDescent="0.15">
      <c r="A102" s="20">
        <f t="shared" si="9"/>
        <v>5</v>
      </c>
      <c r="B102" s="20">
        <f t="shared" si="10"/>
        <v>501</v>
      </c>
      <c r="C102" s="20">
        <f t="shared" si="6"/>
        <v>50048</v>
      </c>
      <c r="D102" s="20">
        <f t="shared" si="7"/>
        <v>88</v>
      </c>
      <c r="E102" s="20">
        <v>1</v>
      </c>
      <c r="H102" s="20">
        <f t="shared" si="8"/>
        <v>2</v>
      </c>
      <c r="M102" s="20">
        <v>101</v>
      </c>
    </row>
    <row r="103" spans="1:13" x14ac:dyDescent="0.15">
      <c r="A103" s="20">
        <f t="shared" si="9"/>
        <v>5</v>
      </c>
      <c r="B103" s="20">
        <f t="shared" si="10"/>
        <v>501</v>
      </c>
      <c r="C103" s="20">
        <f t="shared" ca="1" si="6"/>
        <v>50054</v>
      </c>
      <c r="D103" s="20">
        <f t="shared" ca="1" si="7"/>
        <v>129</v>
      </c>
      <c r="E103" s="20">
        <v>1</v>
      </c>
      <c r="H103" s="20">
        <f t="shared" si="8"/>
        <v>5</v>
      </c>
      <c r="M103" s="20">
        <v>102</v>
      </c>
    </row>
    <row r="104" spans="1:13" x14ac:dyDescent="0.15">
      <c r="A104" s="20">
        <f t="shared" si="9"/>
        <v>5</v>
      </c>
      <c r="B104" s="20">
        <f t="shared" si="10"/>
        <v>501</v>
      </c>
      <c r="C104" s="20">
        <f t="shared" ca="1" si="6"/>
        <v>50067</v>
      </c>
      <c r="D104" s="20">
        <f t="shared" ca="1" si="7"/>
        <v>88</v>
      </c>
      <c r="E104" s="20">
        <v>1</v>
      </c>
      <c r="H104" s="20">
        <f t="shared" si="8"/>
        <v>8</v>
      </c>
      <c r="M104" s="20">
        <v>103</v>
      </c>
    </row>
    <row r="105" spans="1:13" x14ac:dyDescent="0.15">
      <c r="A105" s="20">
        <f t="shared" si="9"/>
        <v>5</v>
      </c>
      <c r="B105" s="20">
        <f t="shared" si="10"/>
        <v>501</v>
      </c>
      <c r="C105" s="20">
        <f t="shared" ca="1" si="6"/>
        <v>50045</v>
      </c>
      <c r="D105" s="20">
        <f t="shared" ca="1" si="7"/>
        <v>181</v>
      </c>
      <c r="E105" s="20">
        <v>1</v>
      </c>
      <c r="H105" s="20">
        <f t="shared" si="8"/>
        <v>11</v>
      </c>
      <c r="M105" s="20">
        <v>104</v>
      </c>
    </row>
    <row r="106" spans="1:13" x14ac:dyDescent="0.15">
      <c r="A106" s="20">
        <f t="shared" si="9"/>
        <v>5</v>
      </c>
      <c r="B106" s="20">
        <f t="shared" si="10"/>
        <v>501</v>
      </c>
      <c r="C106" s="20">
        <f t="shared" ca="1" si="6"/>
        <v>50043</v>
      </c>
      <c r="D106" s="20">
        <f t="shared" ca="1" si="7"/>
        <v>88</v>
      </c>
      <c r="E106" s="20">
        <v>1</v>
      </c>
      <c r="H106" s="20">
        <f t="shared" si="8"/>
        <v>14</v>
      </c>
      <c r="M106" s="20">
        <v>105</v>
      </c>
    </row>
    <row r="107" spans="1:13" x14ac:dyDescent="0.15">
      <c r="A107" s="20">
        <f t="shared" si="9"/>
        <v>5</v>
      </c>
      <c r="B107" s="20">
        <f t="shared" si="10"/>
        <v>502</v>
      </c>
      <c r="C107" s="20">
        <f t="shared" si="6"/>
        <v>50066</v>
      </c>
      <c r="D107" s="20">
        <f t="shared" si="7"/>
        <v>88</v>
      </c>
      <c r="E107" s="20">
        <v>1</v>
      </c>
      <c r="H107" s="20">
        <f t="shared" si="8"/>
        <v>2</v>
      </c>
      <c r="M107" s="20">
        <v>106</v>
      </c>
    </row>
    <row r="108" spans="1:13" x14ac:dyDescent="0.15">
      <c r="A108" s="20">
        <f t="shared" si="9"/>
        <v>5</v>
      </c>
      <c r="B108" s="20">
        <f t="shared" si="10"/>
        <v>502</v>
      </c>
      <c r="C108" s="20">
        <f t="shared" ca="1" si="6"/>
        <v>50047</v>
      </c>
      <c r="D108" s="20">
        <f t="shared" ca="1" si="7"/>
        <v>181</v>
      </c>
      <c r="E108" s="20">
        <v>1</v>
      </c>
      <c r="H108" s="20">
        <f t="shared" si="8"/>
        <v>5</v>
      </c>
      <c r="M108" s="20">
        <v>107</v>
      </c>
    </row>
    <row r="109" spans="1:13" x14ac:dyDescent="0.15">
      <c r="A109" s="20">
        <f t="shared" si="9"/>
        <v>5</v>
      </c>
      <c r="B109" s="20">
        <f t="shared" si="10"/>
        <v>502</v>
      </c>
      <c r="C109" s="20">
        <f t="shared" ca="1" si="6"/>
        <v>50064</v>
      </c>
      <c r="D109" s="20">
        <f t="shared" ca="1" si="7"/>
        <v>129</v>
      </c>
      <c r="E109" s="20">
        <v>1</v>
      </c>
      <c r="H109" s="20">
        <f t="shared" si="8"/>
        <v>8</v>
      </c>
      <c r="M109" s="20">
        <v>108</v>
      </c>
    </row>
    <row r="110" spans="1:13" x14ac:dyDescent="0.15">
      <c r="A110" s="20">
        <f t="shared" si="9"/>
        <v>5</v>
      </c>
      <c r="B110" s="20">
        <f t="shared" si="10"/>
        <v>502</v>
      </c>
      <c r="C110" s="20">
        <f t="shared" ca="1" si="6"/>
        <v>50047</v>
      </c>
      <c r="D110" s="20">
        <f t="shared" ca="1" si="7"/>
        <v>181</v>
      </c>
      <c r="E110" s="20">
        <v>1</v>
      </c>
      <c r="H110" s="20">
        <f t="shared" si="8"/>
        <v>11</v>
      </c>
      <c r="M110" s="20">
        <v>109</v>
      </c>
    </row>
    <row r="111" spans="1:13" x14ac:dyDescent="0.15">
      <c r="A111" s="20">
        <f t="shared" si="9"/>
        <v>5</v>
      </c>
      <c r="B111" s="20">
        <f t="shared" si="10"/>
        <v>502</v>
      </c>
      <c r="C111" s="20">
        <f t="shared" ca="1" si="6"/>
        <v>50169</v>
      </c>
      <c r="D111" s="20">
        <f t="shared" ca="1" si="7"/>
        <v>88</v>
      </c>
      <c r="E111" s="20">
        <v>1</v>
      </c>
      <c r="H111" s="20">
        <f t="shared" si="8"/>
        <v>14</v>
      </c>
      <c r="M111" s="20">
        <v>110</v>
      </c>
    </row>
    <row r="112" spans="1:13" x14ac:dyDescent="0.15">
      <c r="A112" s="20">
        <f t="shared" si="9"/>
        <v>5</v>
      </c>
      <c r="B112" s="20">
        <f t="shared" si="10"/>
        <v>503</v>
      </c>
      <c r="C112" s="20">
        <f t="shared" si="6"/>
        <v>50067</v>
      </c>
      <c r="D112" s="20">
        <f t="shared" si="7"/>
        <v>88</v>
      </c>
      <c r="E112" s="20">
        <v>1</v>
      </c>
      <c r="H112" s="20">
        <f t="shared" si="8"/>
        <v>2</v>
      </c>
      <c r="M112" s="20">
        <v>111</v>
      </c>
    </row>
    <row r="113" spans="1:13" x14ac:dyDescent="0.15">
      <c r="A113" s="20">
        <f t="shared" si="9"/>
        <v>5</v>
      </c>
      <c r="B113" s="20">
        <f t="shared" si="10"/>
        <v>503</v>
      </c>
      <c r="C113" s="20">
        <f t="shared" ca="1" si="6"/>
        <v>50065</v>
      </c>
      <c r="D113" s="20">
        <f t="shared" ca="1" si="7"/>
        <v>129</v>
      </c>
      <c r="E113" s="20">
        <v>1</v>
      </c>
      <c r="H113" s="20">
        <f t="shared" si="8"/>
        <v>5</v>
      </c>
      <c r="M113" s="20">
        <v>112</v>
      </c>
    </row>
    <row r="114" spans="1:13" x14ac:dyDescent="0.15">
      <c r="A114" s="20">
        <f t="shared" si="9"/>
        <v>5</v>
      </c>
      <c r="B114" s="20">
        <f t="shared" si="10"/>
        <v>503</v>
      </c>
      <c r="C114" s="20">
        <f t="shared" ca="1" si="6"/>
        <v>50169</v>
      </c>
      <c r="D114" s="20">
        <f t="shared" ca="1" si="7"/>
        <v>88</v>
      </c>
      <c r="E114" s="20">
        <v>1</v>
      </c>
      <c r="H114" s="20">
        <f t="shared" si="8"/>
        <v>8</v>
      </c>
      <c r="M114" s="20">
        <v>113</v>
      </c>
    </row>
    <row r="115" spans="1:13" x14ac:dyDescent="0.15">
      <c r="A115" s="20">
        <f t="shared" si="9"/>
        <v>5</v>
      </c>
      <c r="B115" s="20">
        <f t="shared" si="10"/>
        <v>503</v>
      </c>
      <c r="C115" s="20">
        <f t="shared" ca="1" si="6"/>
        <v>50168</v>
      </c>
      <c r="D115" s="20">
        <f t="shared" ca="1" si="7"/>
        <v>181</v>
      </c>
      <c r="E115" s="20">
        <v>1</v>
      </c>
      <c r="H115" s="20">
        <f t="shared" si="8"/>
        <v>11</v>
      </c>
      <c r="M115" s="20">
        <v>114</v>
      </c>
    </row>
    <row r="116" spans="1:13" x14ac:dyDescent="0.15">
      <c r="A116" s="20">
        <f t="shared" si="9"/>
        <v>5</v>
      </c>
      <c r="B116" s="20">
        <f t="shared" si="10"/>
        <v>503</v>
      </c>
      <c r="C116" s="20">
        <f t="shared" ca="1" si="6"/>
        <v>50043</v>
      </c>
      <c r="D116" s="20">
        <f t="shared" ca="1" si="7"/>
        <v>88</v>
      </c>
      <c r="E116" s="20">
        <v>1</v>
      </c>
      <c r="H116" s="20">
        <f t="shared" si="8"/>
        <v>14</v>
      </c>
      <c r="M116" s="20">
        <v>115</v>
      </c>
    </row>
    <row r="117" spans="1:13" x14ac:dyDescent="0.15">
      <c r="A117" s="20">
        <f t="shared" si="9"/>
        <v>5</v>
      </c>
      <c r="B117" s="20">
        <f t="shared" si="10"/>
        <v>504</v>
      </c>
      <c r="C117" s="20">
        <f t="shared" si="6"/>
        <v>50169</v>
      </c>
      <c r="D117" s="20">
        <f t="shared" si="7"/>
        <v>88</v>
      </c>
      <c r="E117" s="20">
        <v>1</v>
      </c>
      <c r="H117" s="20">
        <f t="shared" si="8"/>
        <v>2</v>
      </c>
      <c r="M117" s="20">
        <v>116</v>
      </c>
    </row>
    <row r="118" spans="1:13" x14ac:dyDescent="0.15">
      <c r="A118" s="20">
        <f t="shared" si="9"/>
        <v>5</v>
      </c>
      <c r="B118" s="20">
        <f t="shared" si="10"/>
        <v>504</v>
      </c>
      <c r="C118" s="20">
        <f t="shared" ca="1" si="6"/>
        <v>50168</v>
      </c>
      <c r="D118" s="20">
        <f t="shared" ca="1" si="7"/>
        <v>181</v>
      </c>
      <c r="E118" s="20">
        <v>1</v>
      </c>
      <c r="H118" s="20">
        <f t="shared" si="8"/>
        <v>5</v>
      </c>
      <c r="M118" s="20">
        <v>117</v>
      </c>
    </row>
    <row r="119" spans="1:13" x14ac:dyDescent="0.15">
      <c r="A119" s="20">
        <f t="shared" si="9"/>
        <v>5</v>
      </c>
      <c r="B119" s="20">
        <f t="shared" si="10"/>
        <v>504</v>
      </c>
      <c r="C119" s="20">
        <f t="shared" ca="1" si="6"/>
        <v>50064</v>
      </c>
      <c r="D119" s="20">
        <f t="shared" ca="1" si="7"/>
        <v>129</v>
      </c>
      <c r="E119" s="20">
        <v>1</v>
      </c>
      <c r="H119" s="20">
        <f t="shared" si="8"/>
        <v>8</v>
      </c>
      <c r="M119" s="20">
        <v>118</v>
      </c>
    </row>
    <row r="120" spans="1:13" x14ac:dyDescent="0.15">
      <c r="A120" s="20">
        <f t="shared" si="9"/>
        <v>5</v>
      </c>
      <c r="B120" s="20">
        <f t="shared" si="10"/>
        <v>504</v>
      </c>
      <c r="C120" s="20">
        <f t="shared" ca="1" si="6"/>
        <v>50053</v>
      </c>
      <c r="D120" s="20">
        <f t="shared" ca="1" si="7"/>
        <v>129</v>
      </c>
      <c r="E120" s="20">
        <v>1</v>
      </c>
      <c r="H120" s="20">
        <f t="shared" si="8"/>
        <v>11</v>
      </c>
      <c r="M120" s="20">
        <v>119</v>
      </c>
    </row>
    <row r="121" spans="1:13" x14ac:dyDescent="0.15">
      <c r="A121" s="20">
        <f t="shared" si="9"/>
        <v>5</v>
      </c>
      <c r="B121" s="20">
        <f t="shared" si="10"/>
        <v>504</v>
      </c>
      <c r="C121" s="20">
        <f t="shared" ca="1" si="6"/>
        <v>50042</v>
      </c>
      <c r="D121" s="20">
        <f t="shared" ca="1" si="7"/>
        <v>129</v>
      </c>
      <c r="E121" s="20">
        <v>1</v>
      </c>
      <c r="H121" s="20">
        <f t="shared" si="8"/>
        <v>14</v>
      </c>
      <c r="M121" s="20">
        <v>120</v>
      </c>
    </row>
    <row r="122" spans="1:13" x14ac:dyDescent="0.15">
      <c r="A122" s="20">
        <f t="shared" si="9"/>
        <v>5</v>
      </c>
      <c r="B122" s="20">
        <f t="shared" si="10"/>
        <v>505</v>
      </c>
      <c r="C122" s="20">
        <f t="shared" si="6"/>
        <v>50171</v>
      </c>
      <c r="D122" s="20">
        <f t="shared" si="7"/>
        <v>88</v>
      </c>
      <c r="E122" s="20">
        <v>1</v>
      </c>
      <c r="H122" s="20">
        <f t="shared" si="8"/>
        <v>2</v>
      </c>
      <c r="M122" s="20">
        <v>121</v>
      </c>
    </row>
    <row r="123" spans="1:13" x14ac:dyDescent="0.15">
      <c r="A123" s="20">
        <f t="shared" si="9"/>
        <v>5</v>
      </c>
      <c r="B123" s="20">
        <f t="shared" si="10"/>
        <v>505</v>
      </c>
      <c r="C123" s="20">
        <f t="shared" ca="1" si="6"/>
        <v>50057</v>
      </c>
      <c r="D123" s="20">
        <f t="shared" ca="1" si="7"/>
        <v>129</v>
      </c>
      <c r="E123" s="20">
        <v>1</v>
      </c>
      <c r="H123" s="20">
        <f t="shared" si="8"/>
        <v>5</v>
      </c>
      <c r="M123" s="20">
        <v>122</v>
      </c>
    </row>
    <row r="124" spans="1:13" x14ac:dyDescent="0.15">
      <c r="A124" s="20">
        <f t="shared" si="9"/>
        <v>5</v>
      </c>
      <c r="B124" s="20">
        <f t="shared" si="10"/>
        <v>505</v>
      </c>
      <c r="C124" s="20">
        <f t="shared" ca="1" si="6"/>
        <v>50048</v>
      </c>
      <c r="D124" s="20">
        <f t="shared" ca="1" si="7"/>
        <v>88</v>
      </c>
      <c r="E124" s="20">
        <v>1</v>
      </c>
      <c r="H124" s="20">
        <f t="shared" si="8"/>
        <v>8</v>
      </c>
      <c r="M124" s="20">
        <v>123</v>
      </c>
    </row>
    <row r="125" spans="1:13" x14ac:dyDescent="0.15">
      <c r="A125" s="20">
        <f t="shared" si="9"/>
        <v>5</v>
      </c>
      <c r="B125" s="20">
        <f t="shared" si="10"/>
        <v>505</v>
      </c>
      <c r="C125" s="20">
        <f t="shared" ca="1" si="6"/>
        <v>50057</v>
      </c>
      <c r="D125" s="20">
        <f t="shared" ca="1" si="7"/>
        <v>129</v>
      </c>
      <c r="E125" s="20">
        <v>1</v>
      </c>
      <c r="H125" s="20">
        <f t="shared" si="8"/>
        <v>11</v>
      </c>
      <c r="M125" s="20">
        <v>124</v>
      </c>
    </row>
    <row r="126" spans="1:13" x14ac:dyDescent="0.15">
      <c r="A126" s="20">
        <f t="shared" si="9"/>
        <v>5</v>
      </c>
      <c r="B126" s="20">
        <f t="shared" si="10"/>
        <v>505</v>
      </c>
      <c r="C126" s="20">
        <f t="shared" ca="1" si="6"/>
        <v>50043</v>
      </c>
      <c r="D126" s="20">
        <f t="shared" ca="1" si="7"/>
        <v>88</v>
      </c>
      <c r="E126" s="20">
        <v>1</v>
      </c>
      <c r="H126" s="20">
        <f t="shared" si="8"/>
        <v>14</v>
      </c>
      <c r="M126" s="20">
        <v>125</v>
      </c>
    </row>
    <row r="127" spans="1:13" x14ac:dyDescent="0.15">
      <c r="A127" s="20">
        <f t="shared" si="9"/>
        <v>6</v>
      </c>
      <c r="B127" s="20">
        <f t="shared" si="10"/>
        <v>601</v>
      </c>
      <c r="C127" s="20">
        <f t="shared" si="6"/>
        <v>50044</v>
      </c>
      <c r="D127" s="20">
        <f t="shared" si="7"/>
        <v>55</v>
      </c>
      <c r="E127" s="20">
        <v>1</v>
      </c>
      <c r="H127" s="20">
        <f t="shared" si="8"/>
        <v>2</v>
      </c>
      <c r="M127" s="20">
        <v>126</v>
      </c>
    </row>
    <row r="128" spans="1:13" x14ac:dyDescent="0.15">
      <c r="A128" s="20">
        <f t="shared" si="9"/>
        <v>6</v>
      </c>
      <c r="B128" s="20">
        <f t="shared" si="10"/>
        <v>601</v>
      </c>
      <c r="C128" s="20">
        <f t="shared" ca="1" si="6"/>
        <v>50189</v>
      </c>
      <c r="D128" s="20">
        <f t="shared" ca="1" si="7"/>
        <v>181</v>
      </c>
      <c r="E128" s="20">
        <v>1</v>
      </c>
      <c r="H128" s="20">
        <f t="shared" si="8"/>
        <v>5</v>
      </c>
      <c r="M128" s="20">
        <v>127</v>
      </c>
    </row>
    <row r="129" spans="1:13" x14ac:dyDescent="0.15">
      <c r="A129" s="20">
        <f t="shared" si="9"/>
        <v>6</v>
      </c>
      <c r="B129" s="20">
        <f t="shared" si="10"/>
        <v>601</v>
      </c>
      <c r="C129" s="20">
        <f t="shared" ca="1" si="6"/>
        <v>50046</v>
      </c>
      <c r="D129" s="20">
        <f t="shared" ca="1" si="7"/>
        <v>88</v>
      </c>
      <c r="E129" s="20">
        <v>1</v>
      </c>
      <c r="H129" s="20">
        <f t="shared" si="8"/>
        <v>8</v>
      </c>
      <c r="M129" s="20">
        <v>128</v>
      </c>
    </row>
    <row r="130" spans="1:13" x14ac:dyDescent="0.15">
      <c r="A130" s="20">
        <f t="shared" si="9"/>
        <v>6</v>
      </c>
      <c r="B130" s="20">
        <f t="shared" si="10"/>
        <v>601</v>
      </c>
      <c r="C130" s="20">
        <f t="shared" ref="C130:C193" ca="1" si="11">VLOOKUP(B130,plan1,H130,FALSE)</f>
        <v>50046</v>
      </c>
      <c r="D130" s="20">
        <f t="shared" ref="D130:D193" ca="1" si="12">VLOOKUP(C130,marking,9,FALSE)</f>
        <v>88</v>
      </c>
      <c r="E130" s="20">
        <v>1</v>
      </c>
      <c r="H130" s="20">
        <f t="shared" si="8"/>
        <v>11</v>
      </c>
      <c r="M130" s="20">
        <v>129</v>
      </c>
    </row>
    <row r="131" spans="1:13" x14ac:dyDescent="0.15">
      <c r="A131" s="20">
        <f t="shared" si="9"/>
        <v>6</v>
      </c>
      <c r="B131" s="20">
        <f t="shared" si="10"/>
        <v>601</v>
      </c>
      <c r="C131" s="20">
        <f t="shared" ca="1" si="11"/>
        <v>50055</v>
      </c>
      <c r="D131" s="20">
        <f t="shared" ca="1" si="12"/>
        <v>129</v>
      </c>
      <c r="E131" s="20">
        <v>1</v>
      </c>
      <c r="H131" s="20">
        <f t="shared" si="8"/>
        <v>14</v>
      </c>
      <c r="M131" s="20">
        <v>130</v>
      </c>
    </row>
    <row r="132" spans="1:13" x14ac:dyDescent="0.15">
      <c r="A132" s="20">
        <f t="shared" si="9"/>
        <v>6</v>
      </c>
      <c r="B132" s="20">
        <f t="shared" si="10"/>
        <v>602</v>
      </c>
      <c r="C132" s="20">
        <f t="shared" si="11"/>
        <v>50058</v>
      </c>
      <c r="D132" s="20">
        <f t="shared" si="12"/>
        <v>55</v>
      </c>
      <c r="E132" s="20">
        <v>1</v>
      </c>
      <c r="H132" s="20">
        <f t="shared" si="8"/>
        <v>2</v>
      </c>
      <c r="M132" s="20">
        <v>131</v>
      </c>
    </row>
    <row r="133" spans="1:13" x14ac:dyDescent="0.15">
      <c r="A133" s="20">
        <f t="shared" si="9"/>
        <v>6</v>
      </c>
      <c r="B133" s="20">
        <f t="shared" si="10"/>
        <v>602</v>
      </c>
      <c r="C133" s="20">
        <f t="shared" ca="1" si="11"/>
        <v>50047</v>
      </c>
      <c r="D133" s="20">
        <f t="shared" ca="1" si="12"/>
        <v>181</v>
      </c>
      <c r="E133" s="20">
        <v>1</v>
      </c>
      <c r="H133" s="20">
        <f t="shared" si="8"/>
        <v>5</v>
      </c>
      <c r="M133" s="20">
        <v>132</v>
      </c>
    </row>
    <row r="134" spans="1:13" x14ac:dyDescent="0.15">
      <c r="A134" s="20">
        <f t="shared" si="9"/>
        <v>6</v>
      </c>
      <c r="B134" s="20">
        <f t="shared" si="10"/>
        <v>602</v>
      </c>
      <c r="C134" s="20">
        <f t="shared" ca="1" si="11"/>
        <v>50065</v>
      </c>
      <c r="D134" s="20">
        <f t="shared" ca="1" si="12"/>
        <v>129</v>
      </c>
      <c r="E134" s="20">
        <v>1</v>
      </c>
      <c r="H134" s="20">
        <f t="shared" si="8"/>
        <v>8</v>
      </c>
      <c r="M134" s="20">
        <v>133</v>
      </c>
    </row>
    <row r="135" spans="1:13" x14ac:dyDescent="0.15">
      <c r="A135" s="20">
        <f t="shared" si="9"/>
        <v>6</v>
      </c>
      <c r="B135" s="20">
        <f t="shared" si="10"/>
        <v>602</v>
      </c>
      <c r="C135" s="20">
        <f t="shared" ca="1" si="11"/>
        <v>50064</v>
      </c>
      <c r="D135" s="20">
        <f t="shared" ca="1" si="12"/>
        <v>129</v>
      </c>
      <c r="E135" s="20">
        <v>1</v>
      </c>
      <c r="H135" s="20">
        <f t="shared" si="8"/>
        <v>11</v>
      </c>
      <c r="M135" s="20">
        <v>134</v>
      </c>
    </row>
    <row r="136" spans="1:13" x14ac:dyDescent="0.15">
      <c r="A136" s="20">
        <f t="shared" si="9"/>
        <v>6</v>
      </c>
      <c r="B136" s="20">
        <f t="shared" si="10"/>
        <v>602</v>
      </c>
      <c r="C136" s="20">
        <f t="shared" ca="1" si="11"/>
        <v>50057</v>
      </c>
      <c r="D136" s="20">
        <f t="shared" ca="1" si="12"/>
        <v>129</v>
      </c>
      <c r="E136" s="20">
        <v>1</v>
      </c>
      <c r="H136" s="20">
        <f t="shared" ref="H136:H199" si="13">H131</f>
        <v>14</v>
      </c>
      <c r="M136" s="20">
        <v>135</v>
      </c>
    </row>
    <row r="137" spans="1:13" x14ac:dyDescent="0.15">
      <c r="A137" s="20">
        <f t="shared" si="9"/>
        <v>6</v>
      </c>
      <c r="B137" s="20">
        <f t="shared" si="10"/>
        <v>603</v>
      </c>
      <c r="C137" s="20">
        <f t="shared" si="11"/>
        <v>50049</v>
      </c>
      <c r="D137" s="20">
        <f t="shared" si="12"/>
        <v>32</v>
      </c>
      <c r="E137" s="20">
        <v>1</v>
      </c>
      <c r="H137" s="20">
        <f t="shared" si="13"/>
        <v>2</v>
      </c>
      <c r="M137" s="20">
        <v>136</v>
      </c>
    </row>
    <row r="138" spans="1:13" x14ac:dyDescent="0.15">
      <c r="A138" s="20">
        <f t="shared" si="9"/>
        <v>6</v>
      </c>
      <c r="B138" s="20">
        <f t="shared" si="10"/>
        <v>603</v>
      </c>
      <c r="C138" s="20">
        <f t="shared" ca="1" si="11"/>
        <v>50041</v>
      </c>
      <c r="D138" s="20">
        <f t="shared" ca="1" si="12"/>
        <v>181</v>
      </c>
      <c r="E138" s="20">
        <v>1</v>
      </c>
      <c r="H138" s="20">
        <f t="shared" si="13"/>
        <v>5</v>
      </c>
      <c r="M138" s="20">
        <v>137</v>
      </c>
    </row>
    <row r="139" spans="1:13" x14ac:dyDescent="0.15">
      <c r="A139" s="20">
        <f t="shared" si="9"/>
        <v>6</v>
      </c>
      <c r="B139" s="20">
        <f t="shared" si="10"/>
        <v>603</v>
      </c>
      <c r="C139" s="20">
        <f t="shared" ca="1" si="11"/>
        <v>50054</v>
      </c>
      <c r="D139" s="20">
        <f t="shared" ca="1" si="12"/>
        <v>129</v>
      </c>
      <c r="E139" s="20">
        <v>1</v>
      </c>
      <c r="H139" s="20">
        <f t="shared" si="13"/>
        <v>8</v>
      </c>
      <c r="M139" s="20">
        <v>138</v>
      </c>
    </row>
    <row r="140" spans="1:13" x14ac:dyDescent="0.15">
      <c r="A140" s="20">
        <f t="shared" si="9"/>
        <v>6</v>
      </c>
      <c r="B140" s="20">
        <f t="shared" si="10"/>
        <v>603</v>
      </c>
      <c r="C140" s="20">
        <f t="shared" ca="1" si="11"/>
        <v>50061</v>
      </c>
      <c r="D140" s="20">
        <f t="shared" ca="1" si="12"/>
        <v>32</v>
      </c>
      <c r="E140" s="20">
        <v>1</v>
      </c>
      <c r="H140" s="20">
        <f t="shared" si="13"/>
        <v>11</v>
      </c>
      <c r="M140" s="20">
        <v>139</v>
      </c>
    </row>
    <row r="141" spans="1:13" x14ac:dyDescent="0.15">
      <c r="A141" s="20">
        <f t="shared" si="9"/>
        <v>6</v>
      </c>
      <c r="B141" s="20">
        <f t="shared" si="10"/>
        <v>603</v>
      </c>
      <c r="C141" s="20">
        <f t="shared" ca="1" si="11"/>
        <v>50054</v>
      </c>
      <c r="D141" s="20">
        <f t="shared" ca="1" si="12"/>
        <v>129</v>
      </c>
      <c r="E141" s="20">
        <v>1</v>
      </c>
      <c r="H141" s="20">
        <f t="shared" si="13"/>
        <v>14</v>
      </c>
      <c r="M141" s="20">
        <v>140</v>
      </c>
    </row>
    <row r="142" spans="1:13" x14ac:dyDescent="0.15">
      <c r="A142" s="20">
        <f t="shared" si="9"/>
        <v>6</v>
      </c>
      <c r="B142" s="20">
        <f t="shared" si="10"/>
        <v>604</v>
      </c>
      <c r="C142" s="20">
        <f t="shared" si="11"/>
        <v>50060</v>
      </c>
      <c r="D142" s="20">
        <f t="shared" si="12"/>
        <v>32</v>
      </c>
      <c r="E142" s="20">
        <v>1</v>
      </c>
      <c r="H142" s="20">
        <f t="shared" si="13"/>
        <v>2</v>
      </c>
      <c r="M142" s="20">
        <v>141</v>
      </c>
    </row>
    <row r="143" spans="1:13" x14ac:dyDescent="0.15">
      <c r="A143" s="20">
        <f t="shared" si="9"/>
        <v>6</v>
      </c>
      <c r="B143" s="20">
        <f t="shared" si="10"/>
        <v>604</v>
      </c>
      <c r="C143" s="20">
        <f t="shared" ca="1" si="11"/>
        <v>50054</v>
      </c>
      <c r="D143" s="20">
        <f t="shared" ca="1" si="12"/>
        <v>129</v>
      </c>
      <c r="E143" s="20">
        <v>1</v>
      </c>
      <c r="H143" s="20">
        <f t="shared" si="13"/>
        <v>5</v>
      </c>
      <c r="M143" s="20">
        <v>142</v>
      </c>
    </row>
    <row r="144" spans="1:13" x14ac:dyDescent="0.15">
      <c r="A144" s="20">
        <f t="shared" si="9"/>
        <v>6</v>
      </c>
      <c r="B144" s="20">
        <f t="shared" si="10"/>
        <v>604</v>
      </c>
      <c r="C144" s="20">
        <f t="shared" ca="1" si="11"/>
        <v>50043</v>
      </c>
      <c r="D144" s="20">
        <f t="shared" ca="1" si="12"/>
        <v>88</v>
      </c>
      <c r="E144" s="20">
        <v>1</v>
      </c>
      <c r="H144" s="20">
        <f t="shared" si="13"/>
        <v>8</v>
      </c>
      <c r="M144" s="20">
        <v>143</v>
      </c>
    </row>
    <row r="145" spans="1:13" x14ac:dyDescent="0.15">
      <c r="A145" s="20">
        <f t="shared" si="9"/>
        <v>6</v>
      </c>
      <c r="B145" s="20">
        <f t="shared" si="10"/>
        <v>604</v>
      </c>
      <c r="C145" s="20">
        <f t="shared" ca="1" si="11"/>
        <v>50058</v>
      </c>
      <c r="D145" s="20">
        <f t="shared" ca="1" si="12"/>
        <v>55</v>
      </c>
      <c r="E145" s="20">
        <v>1</v>
      </c>
      <c r="H145" s="20">
        <f t="shared" si="13"/>
        <v>11</v>
      </c>
      <c r="M145" s="20">
        <v>144</v>
      </c>
    </row>
    <row r="146" spans="1:13" x14ac:dyDescent="0.15">
      <c r="A146" s="20">
        <f t="shared" si="9"/>
        <v>6</v>
      </c>
      <c r="B146" s="20">
        <f t="shared" si="10"/>
        <v>604</v>
      </c>
      <c r="C146" s="20">
        <f t="shared" ca="1" si="11"/>
        <v>50069</v>
      </c>
      <c r="D146" s="20">
        <f t="shared" ca="1" si="12"/>
        <v>181</v>
      </c>
      <c r="E146" s="20">
        <v>1</v>
      </c>
      <c r="H146" s="20">
        <f t="shared" si="13"/>
        <v>14</v>
      </c>
      <c r="M146" s="20">
        <v>145</v>
      </c>
    </row>
    <row r="147" spans="1:13" x14ac:dyDescent="0.15">
      <c r="A147" s="20">
        <f t="shared" si="9"/>
        <v>6</v>
      </c>
      <c r="B147" s="20">
        <f t="shared" si="10"/>
        <v>605</v>
      </c>
      <c r="C147" s="20">
        <f t="shared" si="11"/>
        <v>50061</v>
      </c>
      <c r="D147" s="20">
        <f t="shared" si="12"/>
        <v>32</v>
      </c>
      <c r="E147" s="20">
        <v>1</v>
      </c>
      <c r="H147" s="20">
        <f t="shared" si="13"/>
        <v>2</v>
      </c>
      <c r="M147" s="20">
        <v>146</v>
      </c>
    </row>
    <row r="148" spans="1:13" x14ac:dyDescent="0.15">
      <c r="A148" s="20">
        <f t="shared" si="9"/>
        <v>6</v>
      </c>
      <c r="B148" s="20">
        <f t="shared" si="10"/>
        <v>605</v>
      </c>
      <c r="C148" s="20">
        <f t="shared" ca="1" si="11"/>
        <v>50063</v>
      </c>
      <c r="D148" s="20">
        <f t="shared" ca="1" si="12"/>
        <v>129</v>
      </c>
      <c r="E148" s="20">
        <v>1</v>
      </c>
      <c r="H148" s="20">
        <f t="shared" si="13"/>
        <v>5</v>
      </c>
      <c r="M148" s="20">
        <v>147</v>
      </c>
    </row>
    <row r="149" spans="1:13" x14ac:dyDescent="0.15">
      <c r="A149" s="20">
        <f t="shared" si="9"/>
        <v>6</v>
      </c>
      <c r="B149" s="20">
        <f t="shared" si="10"/>
        <v>605</v>
      </c>
      <c r="C149" s="20">
        <f t="shared" ca="1" si="11"/>
        <v>50048</v>
      </c>
      <c r="D149" s="20">
        <f t="shared" ca="1" si="12"/>
        <v>88</v>
      </c>
      <c r="E149" s="20">
        <v>1</v>
      </c>
      <c r="H149" s="20">
        <f t="shared" si="13"/>
        <v>8</v>
      </c>
      <c r="M149" s="20">
        <v>148</v>
      </c>
    </row>
    <row r="150" spans="1:13" x14ac:dyDescent="0.15">
      <c r="A150" s="20">
        <f t="shared" si="9"/>
        <v>6</v>
      </c>
      <c r="B150" s="20">
        <f t="shared" si="10"/>
        <v>605</v>
      </c>
      <c r="C150" s="20">
        <f t="shared" ca="1" si="11"/>
        <v>50068</v>
      </c>
      <c r="D150" s="20">
        <f t="shared" ca="1" si="12"/>
        <v>32</v>
      </c>
      <c r="E150" s="20">
        <v>1</v>
      </c>
      <c r="H150" s="20">
        <f t="shared" si="13"/>
        <v>11</v>
      </c>
      <c r="M150" s="20">
        <v>149</v>
      </c>
    </row>
    <row r="151" spans="1:13" x14ac:dyDescent="0.15">
      <c r="A151" s="20">
        <f t="shared" si="9"/>
        <v>6</v>
      </c>
      <c r="B151" s="20">
        <f t="shared" si="10"/>
        <v>605</v>
      </c>
      <c r="C151" s="20">
        <f t="shared" ca="1" si="11"/>
        <v>50189</v>
      </c>
      <c r="D151" s="20">
        <f t="shared" ca="1" si="12"/>
        <v>181</v>
      </c>
      <c r="E151" s="20">
        <v>1</v>
      </c>
      <c r="H151" s="20">
        <f t="shared" si="13"/>
        <v>14</v>
      </c>
      <c r="M151" s="20">
        <v>150</v>
      </c>
    </row>
    <row r="152" spans="1:13" x14ac:dyDescent="0.15">
      <c r="A152" s="20">
        <f t="shared" si="9"/>
        <v>7</v>
      </c>
      <c r="B152" s="20">
        <f t="shared" si="10"/>
        <v>701</v>
      </c>
      <c r="C152" s="20">
        <f t="shared" si="11"/>
        <v>50062</v>
      </c>
      <c r="D152" s="20">
        <f t="shared" si="12"/>
        <v>32</v>
      </c>
      <c r="E152" s="20">
        <v>1</v>
      </c>
      <c r="H152" s="20">
        <f t="shared" si="13"/>
        <v>2</v>
      </c>
      <c r="M152" s="20">
        <v>151</v>
      </c>
    </row>
    <row r="153" spans="1:13" x14ac:dyDescent="0.15">
      <c r="A153" s="20">
        <f t="shared" si="9"/>
        <v>7</v>
      </c>
      <c r="B153" s="20">
        <f t="shared" si="10"/>
        <v>701</v>
      </c>
      <c r="C153" s="20">
        <f t="shared" ca="1" si="11"/>
        <v>50065</v>
      </c>
      <c r="D153" s="20">
        <f t="shared" ca="1" si="12"/>
        <v>129</v>
      </c>
      <c r="E153" s="20">
        <v>1</v>
      </c>
      <c r="H153" s="20">
        <f t="shared" si="13"/>
        <v>5</v>
      </c>
      <c r="M153" s="20">
        <v>152</v>
      </c>
    </row>
    <row r="154" spans="1:13" x14ac:dyDescent="0.15">
      <c r="A154" s="20">
        <f t="shared" si="9"/>
        <v>7</v>
      </c>
      <c r="B154" s="20">
        <f t="shared" si="10"/>
        <v>701</v>
      </c>
      <c r="C154" s="20">
        <f t="shared" ca="1" si="11"/>
        <v>50070</v>
      </c>
      <c r="D154" s="20">
        <f t="shared" ca="1" si="12"/>
        <v>129</v>
      </c>
      <c r="E154" s="20">
        <v>1</v>
      </c>
      <c r="H154" s="20">
        <f t="shared" si="13"/>
        <v>8</v>
      </c>
      <c r="M154" s="20">
        <v>153</v>
      </c>
    </row>
    <row r="155" spans="1:13" x14ac:dyDescent="0.15">
      <c r="A155" s="20">
        <f t="shared" si="9"/>
        <v>7</v>
      </c>
      <c r="B155" s="20">
        <f t="shared" si="10"/>
        <v>701</v>
      </c>
      <c r="C155" s="20">
        <f t="shared" ca="1" si="11"/>
        <v>50062</v>
      </c>
      <c r="D155" s="20">
        <f t="shared" ca="1" si="12"/>
        <v>32</v>
      </c>
      <c r="E155" s="20">
        <v>1</v>
      </c>
      <c r="H155" s="20">
        <f t="shared" si="13"/>
        <v>11</v>
      </c>
      <c r="M155" s="20">
        <v>154</v>
      </c>
    </row>
    <row r="156" spans="1:13" x14ac:dyDescent="0.15">
      <c r="A156" s="20">
        <f t="shared" ref="A156:A219" si="14">A131+1</f>
        <v>7</v>
      </c>
      <c r="B156" s="20">
        <f t="shared" ref="B156:B219" si="15">B131+100</f>
        <v>701</v>
      </c>
      <c r="C156" s="20">
        <f t="shared" ca="1" si="11"/>
        <v>50052</v>
      </c>
      <c r="D156" s="20">
        <f t="shared" ca="1" si="12"/>
        <v>181</v>
      </c>
      <c r="E156" s="20">
        <v>1</v>
      </c>
      <c r="H156" s="20">
        <f t="shared" si="13"/>
        <v>14</v>
      </c>
      <c r="M156" s="20">
        <v>155</v>
      </c>
    </row>
    <row r="157" spans="1:13" x14ac:dyDescent="0.15">
      <c r="A157" s="20">
        <f t="shared" si="14"/>
        <v>7</v>
      </c>
      <c r="B157" s="20">
        <f t="shared" si="15"/>
        <v>702</v>
      </c>
      <c r="C157" s="20">
        <f t="shared" si="11"/>
        <v>50068</v>
      </c>
      <c r="D157" s="20">
        <f t="shared" si="12"/>
        <v>32</v>
      </c>
      <c r="E157" s="20">
        <v>1</v>
      </c>
      <c r="H157" s="20">
        <f t="shared" si="13"/>
        <v>2</v>
      </c>
      <c r="M157" s="20">
        <v>156</v>
      </c>
    </row>
    <row r="158" spans="1:13" x14ac:dyDescent="0.15">
      <c r="A158" s="20">
        <f t="shared" si="14"/>
        <v>7</v>
      </c>
      <c r="B158" s="20">
        <f t="shared" si="15"/>
        <v>702</v>
      </c>
      <c r="C158" s="20">
        <f t="shared" ca="1" si="11"/>
        <v>50041</v>
      </c>
      <c r="D158" s="20">
        <f t="shared" ca="1" si="12"/>
        <v>181</v>
      </c>
      <c r="E158" s="20">
        <v>1</v>
      </c>
      <c r="H158" s="20">
        <f t="shared" si="13"/>
        <v>5</v>
      </c>
      <c r="M158" s="20">
        <v>157</v>
      </c>
    </row>
    <row r="159" spans="1:13" x14ac:dyDescent="0.15">
      <c r="A159" s="20">
        <f t="shared" si="14"/>
        <v>7</v>
      </c>
      <c r="B159" s="20">
        <f t="shared" si="15"/>
        <v>702</v>
      </c>
      <c r="C159" s="20">
        <f t="shared" ca="1" si="11"/>
        <v>50048</v>
      </c>
      <c r="D159" s="20">
        <f t="shared" ca="1" si="12"/>
        <v>88</v>
      </c>
      <c r="E159" s="20">
        <v>1</v>
      </c>
      <c r="H159" s="20">
        <f t="shared" si="13"/>
        <v>8</v>
      </c>
      <c r="M159" s="20">
        <v>158</v>
      </c>
    </row>
    <row r="160" spans="1:13" x14ac:dyDescent="0.15">
      <c r="A160" s="20">
        <f t="shared" si="14"/>
        <v>7</v>
      </c>
      <c r="B160" s="20">
        <f t="shared" si="15"/>
        <v>702</v>
      </c>
      <c r="C160" s="20">
        <f t="shared" ca="1" si="11"/>
        <v>50061</v>
      </c>
      <c r="D160" s="20">
        <f t="shared" ca="1" si="12"/>
        <v>32</v>
      </c>
      <c r="E160" s="20">
        <v>1</v>
      </c>
      <c r="H160" s="20">
        <f t="shared" si="13"/>
        <v>11</v>
      </c>
      <c r="M160" s="20">
        <v>159</v>
      </c>
    </row>
    <row r="161" spans="1:13" x14ac:dyDescent="0.15">
      <c r="A161" s="20">
        <f t="shared" si="14"/>
        <v>7</v>
      </c>
      <c r="B161" s="20">
        <f t="shared" si="15"/>
        <v>702</v>
      </c>
      <c r="C161" s="20">
        <f t="shared" ca="1" si="11"/>
        <v>50063</v>
      </c>
      <c r="D161" s="20">
        <f t="shared" ca="1" si="12"/>
        <v>129</v>
      </c>
      <c r="E161" s="20">
        <v>1</v>
      </c>
      <c r="H161" s="20">
        <f t="shared" si="13"/>
        <v>14</v>
      </c>
      <c r="M161" s="20">
        <v>160</v>
      </c>
    </row>
    <row r="162" spans="1:13" x14ac:dyDescent="0.15">
      <c r="A162" s="20">
        <f t="shared" si="14"/>
        <v>7</v>
      </c>
      <c r="B162" s="20">
        <f t="shared" si="15"/>
        <v>703</v>
      </c>
      <c r="C162" s="20">
        <f t="shared" si="11"/>
        <v>50170</v>
      </c>
      <c r="D162" s="20">
        <f t="shared" si="12"/>
        <v>32</v>
      </c>
      <c r="E162" s="20">
        <v>1</v>
      </c>
      <c r="H162" s="20">
        <f t="shared" si="13"/>
        <v>2</v>
      </c>
      <c r="M162" s="20">
        <v>161</v>
      </c>
    </row>
    <row r="163" spans="1:13" x14ac:dyDescent="0.15">
      <c r="A163" s="20">
        <f t="shared" si="14"/>
        <v>7</v>
      </c>
      <c r="B163" s="20">
        <f t="shared" si="15"/>
        <v>703</v>
      </c>
      <c r="C163" s="20">
        <f t="shared" ca="1" si="11"/>
        <v>50055</v>
      </c>
      <c r="D163" s="20">
        <f t="shared" ca="1" si="12"/>
        <v>129</v>
      </c>
      <c r="E163" s="20">
        <v>1</v>
      </c>
      <c r="H163" s="20">
        <f t="shared" si="13"/>
        <v>5</v>
      </c>
      <c r="M163" s="20">
        <v>162</v>
      </c>
    </row>
    <row r="164" spans="1:13" x14ac:dyDescent="0.15">
      <c r="A164" s="20">
        <f t="shared" si="14"/>
        <v>7</v>
      </c>
      <c r="B164" s="20">
        <f t="shared" si="15"/>
        <v>703</v>
      </c>
      <c r="C164" s="20">
        <f t="shared" ca="1" si="11"/>
        <v>50063</v>
      </c>
      <c r="D164" s="20">
        <f t="shared" ca="1" si="12"/>
        <v>129</v>
      </c>
      <c r="E164" s="20">
        <v>1</v>
      </c>
      <c r="H164" s="20">
        <f t="shared" si="13"/>
        <v>8</v>
      </c>
      <c r="M164" s="20">
        <v>163</v>
      </c>
    </row>
    <row r="165" spans="1:13" x14ac:dyDescent="0.15">
      <c r="A165" s="20">
        <f t="shared" si="14"/>
        <v>7</v>
      </c>
      <c r="B165" s="20">
        <f t="shared" si="15"/>
        <v>703</v>
      </c>
      <c r="C165" s="20">
        <f t="shared" ca="1" si="11"/>
        <v>50068</v>
      </c>
      <c r="D165" s="20">
        <f t="shared" ca="1" si="12"/>
        <v>32</v>
      </c>
      <c r="E165" s="20">
        <v>1</v>
      </c>
      <c r="H165" s="20">
        <f t="shared" si="13"/>
        <v>11</v>
      </c>
      <c r="M165" s="20">
        <v>164</v>
      </c>
    </row>
    <row r="166" spans="1:13" x14ac:dyDescent="0.15">
      <c r="A166" s="20">
        <f t="shared" si="14"/>
        <v>7</v>
      </c>
      <c r="B166" s="20">
        <f t="shared" si="15"/>
        <v>703</v>
      </c>
      <c r="C166" s="20">
        <f t="shared" ca="1" si="11"/>
        <v>50047</v>
      </c>
      <c r="D166" s="20">
        <f t="shared" ca="1" si="12"/>
        <v>181</v>
      </c>
      <c r="E166" s="20">
        <v>1</v>
      </c>
      <c r="H166" s="20">
        <f t="shared" si="13"/>
        <v>14</v>
      </c>
      <c r="M166" s="20">
        <v>165</v>
      </c>
    </row>
    <row r="167" spans="1:13" x14ac:dyDescent="0.15">
      <c r="A167" s="20">
        <f t="shared" si="14"/>
        <v>7</v>
      </c>
      <c r="B167" s="20">
        <f t="shared" si="15"/>
        <v>704</v>
      </c>
      <c r="C167" s="20">
        <f t="shared" si="11"/>
        <v>50188</v>
      </c>
      <c r="D167" s="20">
        <f t="shared" si="12"/>
        <v>32</v>
      </c>
      <c r="E167" s="20">
        <v>1</v>
      </c>
      <c r="H167" s="20">
        <f t="shared" si="13"/>
        <v>2</v>
      </c>
      <c r="M167" s="20">
        <v>166</v>
      </c>
    </row>
    <row r="168" spans="1:13" x14ac:dyDescent="0.15">
      <c r="A168" s="20">
        <f t="shared" si="14"/>
        <v>7</v>
      </c>
      <c r="B168" s="20">
        <f t="shared" si="15"/>
        <v>704</v>
      </c>
      <c r="C168" s="20">
        <f t="shared" ca="1" si="11"/>
        <v>50042</v>
      </c>
      <c r="D168" s="20">
        <f t="shared" ca="1" si="12"/>
        <v>129</v>
      </c>
      <c r="E168" s="20">
        <v>1</v>
      </c>
      <c r="H168" s="20">
        <f t="shared" si="13"/>
        <v>5</v>
      </c>
      <c r="M168" s="20">
        <v>167</v>
      </c>
    </row>
    <row r="169" spans="1:13" x14ac:dyDescent="0.15">
      <c r="A169" s="20">
        <f t="shared" si="14"/>
        <v>7</v>
      </c>
      <c r="B169" s="20">
        <f t="shared" si="15"/>
        <v>704</v>
      </c>
      <c r="C169" s="20">
        <f t="shared" ca="1" si="11"/>
        <v>50054</v>
      </c>
      <c r="D169" s="20">
        <f t="shared" ca="1" si="12"/>
        <v>129</v>
      </c>
      <c r="E169" s="20">
        <v>1</v>
      </c>
      <c r="H169" s="20">
        <f t="shared" si="13"/>
        <v>8</v>
      </c>
      <c r="M169" s="20">
        <v>168</v>
      </c>
    </row>
    <row r="170" spans="1:13" x14ac:dyDescent="0.15">
      <c r="A170" s="20">
        <f t="shared" si="14"/>
        <v>7</v>
      </c>
      <c r="B170" s="20">
        <f t="shared" si="15"/>
        <v>704</v>
      </c>
      <c r="C170" s="20">
        <f t="shared" ca="1" si="11"/>
        <v>50061</v>
      </c>
      <c r="D170" s="20">
        <f t="shared" ca="1" si="12"/>
        <v>32</v>
      </c>
      <c r="E170" s="20">
        <v>1</v>
      </c>
      <c r="H170" s="20">
        <f t="shared" si="13"/>
        <v>11</v>
      </c>
      <c r="M170" s="20">
        <v>169</v>
      </c>
    </row>
    <row r="171" spans="1:13" x14ac:dyDescent="0.15">
      <c r="A171" s="20">
        <f t="shared" si="14"/>
        <v>7</v>
      </c>
      <c r="B171" s="20">
        <f t="shared" si="15"/>
        <v>704</v>
      </c>
      <c r="C171" s="20">
        <f t="shared" ca="1" si="11"/>
        <v>50168</v>
      </c>
      <c r="D171" s="20">
        <f t="shared" ca="1" si="12"/>
        <v>181</v>
      </c>
      <c r="E171" s="20">
        <v>1</v>
      </c>
      <c r="H171" s="20">
        <f t="shared" si="13"/>
        <v>14</v>
      </c>
      <c r="M171" s="20">
        <v>170</v>
      </c>
    </row>
    <row r="172" spans="1:13" x14ac:dyDescent="0.15">
      <c r="A172" s="20">
        <f t="shared" si="14"/>
        <v>7</v>
      </c>
      <c r="B172" s="20">
        <f t="shared" si="15"/>
        <v>705</v>
      </c>
      <c r="C172" s="20">
        <f t="shared" si="11"/>
        <v>50050</v>
      </c>
      <c r="D172" s="20">
        <f t="shared" si="12"/>
        <v>5</v>
      </c>
      <c r="E172" s="20">
        <v>1</v>
      </c>
      <c r="H172" s="20">
        <f t="shared" si="13"/>
        <v>2</v>
      </c>
      <c r="M172" s="20">
        <v>171</v>
      </c>
    </row>
    <row r="173" spans="1:13" x14ac:dyDescent="0.15">
      <c r="A173" s="20">
        <f t="shared" si="14"/>
        <v>7</v>
      </c>
      <c r="B173" s="20">
        <f t="shared" si="15"/>
        <v>705</v>
      </c>
      <c r="C173" s="20">
        <f t="shared" ca="1" si="11"/>
        <v>50057</v>
      </c>
      <c r="D173" s="20">
        <f t="shared" ca="1" si="12"/>
        <v>129</v>
      </c>
      <c r="E173" s="20">
        <v>1</v>
      </c>
      <c r="H173" s="20">
        <f t="shared" si="13"/>
        <v>5</v>
      </c>
      <c r="M173" s="20">
        <v>172</v>
      </c>
    </row>
    <row r="174" spans="1:13" x14ac:dyDescent="0.15">
      <c r="A174" s="20">
        <f t="shared" si="14"/>
        <v>7</v>
      </c>
      <c r="B174" s="20">
        <f t="shared" si="15"/>
        <v>705</v>
      </c>
      <c r="C174" s="20">
        <f t="shared" ca="1" si="11"/>
        <v>50053</v>
      </c>
      <c r="D174" s="20">
        <f t="shared" ca="1" si="12"/>
        <v>129</v>
      </c>
      <c r="E174" s="20">
        <v>1</v>
      </c>
      <c r="H174" s="20">
        <f t="shared" si="13"/>
        <v>8</v>
      </c>
      <c r="M174" s="20">
        <v>173</v>
      </c>
    </row>
    <row r="175" spans="1:13" x14ac:dyDescent="0.15">
      <c r="A175" s="20">
        <f t="shared" si="14"/>
        <v>7</v>
      </c>
      <c r="B175" s="20">
        <f t="shared" si="15"/>
        <v>705</v>
      </c>
      <c r="C175" s="20">
        <f t="shared" ca="1" si="11"/>
        <v>50058</v>
      </c>
      <c r="D175" s="20">
        <f t="shared" ca="1" si="12"/>
        <v>55</v>
      </c>
      <c r="E175" s="20">
        <v>1</v>
      </c>
      <c r="H175" s="20">
        <f t="shared" si="13"/>
        <v>11</v>
      </c>
      <c r="M175" s="20">
        <v>174</v>
      </c>
    </row>
    <row r="176" spans="1:13" x14ac:dyDescent="0.15">
      <c r="A176" s="20">
        <f t="shared" si="14"/>
        <v>7</v>
      </c>
      <c r="B176" s="20">
        <f t="shared" si="15"/>
        <v>705</v>
      </c>
      <c r="C176" s="20">
        <f t="shared" ca="1" si="11"/>
        <v>50042</v>
      </c>
      <c r="D176" s="20">
        <f t="shared" ca="1" si="12"/>
        <v>129</v>
      </c>
      <c r="E176" s="20">
        <v>1</v>
      </c>
      <c r="H176" s="20">
        <f t="shared" si="13"/>
        <v>14</v>
      </c>
      <c r="M176" s="20">
        <v>175</v>
      </c>
    </row>
    <row r="177" spans="1:13" x14ac:dyDescent="0.15">
      <c r="A177" s="20">
        <f t="shared" si="14"/>
        <v>8</v>
      </c>
      <c r="B177" s="20">
        <f t="shared" si="15"/>
        <v>801</v>
      </c>
      <c r="C177" s="20">
        <f t="shared" si="11"/>
        <v>50059</v>
      </c>
      <c r="D177" s="20">
        <f t="shared" si="12"/>
        <v>5</v>
      </c>
      <c r="E177" s="20">
        <v>1</v>
      </c>
      <c r="H177" s="20">
        <f t="shared" si="13"/>
        <v>2</v>
      </c>
      <c r="M177" s="20">
        <v>176</v>
      </c>
    </row>
    <row r="178" spans="1:13" x14ac:dyDescent="0.15">
      <c r="A178" s="20">
        <f t="shared" si="14"/>
        <v>8</v>
      </c>
      <c r="B178" s="20">
        <f t="shared" si="15"/>
        <v>801</v>
      </c>
      <c r="C178" s="20">
        <f t="shared" ca="1" si="11"/>
        <v>50041</v>
      </c>
      <c r="D178" s="20">
        <f t="shared" ca="1" si="12"/>
        <v>181</v>
      </c>
      <c r="E178" s="20">
        <v>1</v>
      </c>
      <c r="H178" s="20">
        <f t="shared" si="13"/>
        <v>5</v>
      </c>
      <c r="M178" s="20">
        <v>177</v>
      </c>
    </row>
    <row r="179" spans="1:13" x14ac:dyDescent="0.15">
      <c r="A179" s="20">
        <f t="shared" si="14"/>
        <v>8</v>
      </c>
      <c r="B179" s="20">
        <f t="shared" si="15"/>
        <v>801</v>
      </c>
      <c r="C179" s="20">
        <f t="shared" ca="1" si="11"/>
        <v>50042</v>
      </c>
      <c r="D179" s="20">
        <f t="shared" ca="1" si="12"/>
        <v>129</v>
      </c>
      <c r="E179" s="20">
        <v>1</v>
      </c>
      <c r="H179" s="20">
        <f t="shared" si="13"/>
        <v>8</v>
      </c>
      <c r="M179" s="20">
        <v>178</v>
      </c>
    </row>
    <row r="180" spans="1:13" x14ac:dyDescent="0.15">
      <c r="A180" s="20">
        <f t="shared" si="14"/>
        <v>8</v>
      </c>
      <c r="B180" s="20">
        <f t="shared" si="15"/>
        <v>801</v>
      </c>
      <c r="C180" s="20">
        <f t="shared" ca="1" si="11"/>
        <v>50049</v>
      </c>
      <c r="D180" s="20">
        <f t="shared" ca="1" si="12"/>
        <v>32</v>
      </c>
      <c r="E180" s="20">
        <v>1</v>
      </c>
      <c r="H180" s="20">
        <f t="shared" si="13"/>
        <v>11</v>
      </c>
      <c r="M180" s="20">
        <v>179</v>
      </c>
    </row>
    <row r="181" spans="1:13" x14ac:dyDescent="0.15">
      <c r="A181" s="20">
        <f t="shared" si="14"/>
        <v>8</v>
      </c>
      <c r="B181" s="20">
        <f t="shared" si="15"/>
        <v>801</v>
      </c>
      <c r="C181" s="20">
        <f t="shared" ca="1" si="11"/>
        <v>50066</v>
      </c>
      <c r="D181" s="20">
        <f t="shared" ca="1" si="12"/>
        <v>88</v>
      </c>
      <c r="E181" s="20">
        <v>1</v>
      </c>
      <c r="H181" s="20">
        <f t="shared" si="13"/>
        <v>14</v>
      </c>
      <c r="M181" s="20">
        <v>180</v>
      </c>
    </row>
    <row r="182" spans="1:13" x14ac:dyDescent="0.15">
      <c r="A182" s="20">
        <f t="shared" si="14"/>
        <v>8</v>
      </c>
      <c r="B182" s="20">
        <f t="shared" si="15"/>
        <v>802</v>
      </c>
      <c r="C182" s="20">
        <f t="shared" si="11"/>
        <v>50071</v>
      </c>
      <c r="D182" s="20">
        <f t="shared" si="12"/>
        <v>1</v>
      </c>
      <c r="E182" s="20">
        <v>1</v>
      </c>
      <c r="H182" s="20">
        <f t="shared" si="13"/>
        <v>2</v>
      </c>
      <c r="M182" s="20">
        <v>181</v>
      </c>
    </row>
    <row r="183" spans="1:13" x14ac:dyDescent="0.15">
      <c r="A183" s="20">
        <f t="shared" si="14"/>
        <v>8</v>
      </c>
      <c r="B183" s="20">
        <f t="shared" si="15"/>
        <v>802</v>
      </c>
      <c r="C183" s="20">
        <f t="shared" ca="1" si="11"/>
        <v>50065</v>
      </c>
      <c r="D183" s="20">
        <f t="shared" ca="1" si="12"/>
        <v>129</v>
      </c>
      <c r="E183" s="20">
        <v>1</v>
      </c>
      <c r="H183" s="20">
        <f t="shared" si="13"/>
        <v>5</v>
      </c>
      <c r="M183" s="20">
        <v>182</v>
      </c>
    </row>
    <row r="184" spans="1:13" x14ac:dyDescent="0.15">
      <c r="A184" s="20">
        <f t="shared" si="14"/>
        <v>8</v>
      </c>
      <c r="B184" s="20">
        <f t="shared" si="15"/>
        <v>802</v>
      </c>
      <c r="C184" s="20">
        <f t="shared" ca="1" si="11"/>
        <v>50043</v>
      </c>
      <c r="D184" s="20">
        <f t="shared" ca="1" si="12"/>
        <v>88</v>
      </c>
      <c r="E184" s="20">
        <v>1</v>
      </c>
      <c r="H184" s="20">
        <f t="shared" si="13"/>
        <v>8</v>
      </c>
      <c r="M184" s="20">
        <v>183</v>
      </c>
    </row>
    <row r="185" spans="1:13" x14ac:dyDescent="0.15">
      <c r="A185" s="20">
        <f t="shared" si="14"/>
        <v>8</v>
      </c>
      <c r="B185" s="20">
        <f t="shared" si="15"/>
        <v>802</v>
      </c>
      <c r="C185" s="20">
        <f t="shared" ca="1" si="11"/>
        <v>50044</v>
      </c>
      <c r="D185" s="20">
        <f t="shared" ca="1" si="12"/>
        <v>55</v>
      </c>
      <c r="E185" s="20">
        <v>1</v>
      </c>
      <c r="H185" s="20">
        <f t="shared" si="13"/>
        <v>11</v>
      </c>
      <c r="M185" s="20">
        <v>184</v>
      </c>
    </row>
    <row r="186" spans="1:13" x14ac:dyDescent="0.15">
      <c r="A186" s="20">
        <f t="shared" si="14"/>
        <v>8</v>
      </c>
      <c r="B186" s="20">
        <f t="shared" si="15"/>
        <v>802</v>
      </c>
      <c r="C186" s="20">
        <f t="shared" ca="1" si="11"/>
        <v>50050</v>
      </c>
      <c r="D186" s="20">
        <f t="shared" ca="1" si="12"/>
        <v>5</v>
      </c>
      <c r="E186" s="20">
        <v>1</v>
      </c>
      <c r="H186" s="20">
        <f t="shared" si="13"/>
        <v>14</v>
      </c>
      <c r="M186" s="20">
        <v>185</v>
      </c>
    </row>
    <row r="187" spans="1:13" x14ac:dyDescent="0.15">
      <c r="A187" s="20">
        <f t="shared" si="14"/>
        <v>8</v>
      </c>
      <c r="B187" s="20">
        <f t="shared" si="15"/>
        <v>803</v>
      </c>
      <c r="C187" s="20">
        <f t="shared" si="11"/>
        <v>50072</v>
      </c>
      <c r="D187" s="20">
        <f t="shared" si="12"/>
        <v>1</v>
      </c>
      <c r="E187" s="20">
        <v>1</v>
      </c>
      <c r="H187" s="20">
        <f t="shared" si="13"/>
        <v>2</v>
      </c>
      <c r="M187" s="20">
        <v>186</v>
      </c>
    </row>
    <row r="188" spans="1:13" x14ac:dyDescent="0.15">
      <c r="A188" s="20">
        <f t="shared" si="14"/>
        <v>8</v>
      </c>
      <c r="B188" s="20">
        <f t="shared" si="15"/>
        <v>803</v>
      </c>
      <c r="C188" s="20">
        <f t="shared" ca="1" si="11"/>
        <v>50070</v>
      </c>
      <c r="D188" s="20">
        <f t="shared" ca="1" si="12"/>
        <v>129</v>
      </c>
      <c r="E188" s="20">
        <v>1</v>
      </c>
      <c r="H188" s="20">
        <f t="shared" si="13"/>
        <v>5</v>
      </c>
      <c r="M188" s="20">
        <v>187</v>
      </c>
    </row>
    <row r="189" spans="1:13" x14ac:dyDescent="0.15">
      <c r="A189" s="20">
        <f t="shared" si="14"/>
        <v>8</v>
      </c>
      <c r="B189" s="20">
        <f t="shared" si="15"/>
        <v>803</v>
      </c>
      <c r="C189" s="20">
        <f t="shared" ca="1" si="11"/>
        <v>50066</v>
      </c>
      <c r="D189" s="20">
        <f t="shared" ca="1" si="12"/>
        <v>88</v>
      </c>
      <c r="E189" s="20">
        <v>1</v>
      </c>
      <c r="H189" s="20">
        <f t="shared" si="13"/>
        <v>8</v>
      </c>
      <c r="M189" s="20">
        <v>188</v>
      </c>
    </row>
    <row r="190" spans="1:13" x14ac:dyDescent="0.15">
      <c r="A190" s="20">
        <f t="shared" si="14"/>
        <v>8</v>
      </c>
      <c r="B190" s="20">
        <f t="shared" si="15"/>
        <v>803</v>
      </c>
      <c r="C190" s="20">
        <f t="shared" ca="1" si="11"/>
        <v>50062</v>
      </c>
      <c r="D190" s="20">
        <f t="shared" ca="1" si="12"/>
        <v>32</v>
      </c>
      <c r="E190" s="20">
        <v>1</v>
      </c>
      <c r="H190" s="20">
        <f t="shared" si="13"/>
        <v>11</v>
      </c>
      <c r="M190" s="20">
        <v>189</v>
      </c>
    </row>
    <row r="191" spans="1:13" x14ac:dyDescent="0.15">
      <c r="A191" s="20">
        <f t="shared" si="14"/>
        <v>8</v>
      </c>
      <c r="B191" s="20">
        <f t="shared" si="15"/>
        <v>803</v>
      </c>
      <c r="C191" s="20">
        <f t="shared" ca="1" si="11"/>
        <v>50077</v>
      </c>
      <c r="D191" s="20">
        <f t="shared" ca="1" si="12"/>
        <v>1</v>
      </c>
      <c r="E191" s="20">
        <v>1</v>
      </c>
      <c r="H191" s="20">
        <f t="shared" si="13"/>
        <v>14</v>
      </c>
      <c r="M191" s="20">
        <v>190</v>
      </c>
    </row>
    <row r="192" spans="1:13" x14ac:dyDescent="0.15">
      <c r="A192" s="20">
        <f t="shared" si="14"/>
        <v>8</v>
      </c>
      <c r="B192" s="20">
        <f t="shared" si="15"/>
        <v>804</v>
      </c>
      <c r="C192" s="20">
        <f t="shared" si="11"/>
        <v>50073</v>
      </c>
      <c r="D192" s="20">
        <f t="shared" si="12"/>
        <v>1</v>
      </c>
      <c r="E192" s="20">
        <v>1</v>
      </c>
      <c r="H192" s="20">
        <f t="shared" si="13"/>
        <v>2</v>
      </c>
      <c r="M192" s="20">
        <v>191</v>
      </c>
    </row>
    <row r="193" spans="1:13" x14ac:dyDescent="0.15">
      <c r="A193" s="20">
        <f t="shared" si="14"/>
        <v>8</v>
      </c>
      <c r="B193" s="20">
        <f t="shared" si="15"/>
        <v>804</v>
      </c>
      <c r="C193" s="20">
        <f t="shared" ca="1" si="11"/>
        <v>50047</v>
      </c>
      <c r="D193" s="20">
        <f t="shared" ca="1" si="12"/>
        <v>181</v>
      </c>
      <c r="E193" s="20">
        <v>1</v>
      </c>
      <c r="H193" s="20">
        <f t="shared" si="13"/>
        <v>5</v>
      </c>
      <c r="M193" s="20">
        <v>192</v>
      </c>
    </row>
    <row r="194" spans="1:13" x14ac:dyDescent="0.15">
      <c r="A194" s="20">
        <f t="shared" si="14"/>
        <v>8</v>
      </c>
      <c r="B194" s="20">
        <f t="shared" si="15"/>
        <v>804</v>
      </c>
      <c r="C194" s="20">
        <f t="shared" ref="C194:C257" ca="1" si="16">VLOOKUP(B194,plan1,H194,FALSE)</f>
        <v>50042</v>
      </c>
      <c r="D194" s="20">
        <f t="shared" ref="D194:D257" ca="1" si="17">VLOOKUP(C194,marking,9,FALSE)</f>
        <v>129</v>
      </c>
      <c r="E194" s="20">
        <v>1</v>
      </c>
      <c r="H194" s="20">
        <f t="shared" si="13"/>
        <v>8</v>
      </c>
      <c r="M194" s="20">
        <v>193</v>
      </c>
    </row>
    <row r="195" spans="1:13" x14ac:dyDescent="0.15">
      <c r="A195" s="20">
        <f t="shared" si="14"/>
        <v>8</v>
      </c>
      <c r="B195" s="20">
        <f t="shared" si="15"/>
        <v>804</v>
      </c>
      <c r="C195" s="20">
        <f t="shared" ca="1" si="16"/>
        <v>50068</v>
      </c>
      <c r="D195" s="20">
        <f t="shared" ca="1" si="17"/>
        <v>32</v>
      </c>
      <c r="E195" s="20">
        <v>1</v>
      </c>
      <c r="H195" s="20">
        <f t="shared" si="13"/>
        <v>11</v>
      </c>
      <c r="M195" s="20">
        <v>194</v>
      </c>
    </row>
    <row r="196" spans="1:13" x14ac:dyDescent="0.15">
      <c r="A196" s="20">
        <f t="shared" si="14"/>
        <v>8</v>
      </c>
      <c r="B196" s="20">
        <f t="shared" si="15"/>
        <v>804</v>
      </c>
      <c r="C196" s="20">
        <f t="shared" ca="1" si="16"/>
        <v>50076</v>
      </c>
      <c r="D196" s="20">
        <f t="shared" ca="1" si="17"/>
        <v>1</v>
      </c>
      <c r="E196" s="20">
        <v>1</v>
      </c>
      <c r="H196" s="20">
        <f t="shared" si="13"/>
        <v>14</v>
      </c>
      <c r="M196" s="20">
        <v>195</v>
      </c>
    </row>
    <row r="197" spans="1:13" x14ac:dyDescent="0.15">
      <c r="A197" s="20">
        <f t="shared" si="14"/>
        <v>8</v>
      </c>
      <c r="B197" s="20">
        <f t="shared" si="15"/>
        <v>805</v>
      </c>
      <c r="C197" s="20">
        <f t="shared" si="16"/>
        <v>50074</v>
      </c>
      <c r="D197" s="20">
        <f t="shared" si="17"/>
        <v>1</v>
      </c>
      <c r="E197" s="20">
        <v>1</v>
      </c>
      <c r="H197" s="20">
        <f t="shared" si="13"/>
        <v>2</v>
      </c>
      <c r="M197" s="20">
        <v>196</v>
      </c>
    </row>
    <row r="198" spans="1:13" x14ac:dyDescent="0.15">
      <c r="A198" s="20">
        <f t="shared" si="14"/>
        <v>8</v>
      </c>
      <c r="B198" s="20">
        <f t="shared" si="15"/>
        <v>805</v>
      </c>
      <c r="C198" s="20">
        <f t="shared" ca="1" si="16"/>
        <v>50056</v>
      </c>
      <c r="D198" s="20">
        <f t="shared" ca="1" si="17"/>
        <v>129</v>
      </c>
      <c r="E198" s="20">
        <v>1</v>
      </c>
      <c r="H198" s="20">
        <f t="shared" si="13"/>
        <v>5</v>
      </c>
      <c r="M198" s="20">
        <v>197</v>
      </c>
    </row>
    <row r="199" spans="1:13" x14ac:dyDescent="0.15">
      <c r="A199" s="20">
        <f t="shared" si="14"/>
        <v>8</v>
      </c>
      <c r="B199" s="20">
        <f t="shared" si="15"/>
        <v>805</v>
      </c>
      <c r="C199" s="20">
        <f t="shared" ca="1" si="16"/>
        <v>50169</v>
      </c>
      <c r="D199" s="20">
        <f t="shared" ca="1" si="17"/>
        <v>88</v>
      </c>
      <c r="E199" s="20">
        <v>1</v>
      </c>
      <c r="H199" s="20">
        <f t="shared" si="13"/>
        <v>8</v>
      </c>
      <c r="M199" s="20">
        <v>198</v>
      </c>
    </row>
    <row r="200" spans="1:13" x14ac:dyDescent="0.15">
      <c r="A200" s="20">
        <f t="shared" si="14"/>
        <v>8</v>
      </c>
      <c r="B200" s="20">
        <f t="shared" si="15"/>
        <v>805</v>
      </c>
      <c r="C200" s="20">
        <f t="shared" ca="1" si="16"/>
        <v>50049</v>
      </c>
      <c r="D200" s="20">
        <f t="shared" ca="1" si="17"/>
        <v>32</v>
      </c>
      <c r="E200" s="20">
        <v>1</v>
      </c>
      <c r="H200" s="20">
        <f t="shared" ref="H200:H263" si="18">H195</f>
        <v>11</v>
      </c>
      <c r="M200" s="20">
        <v>199</v>
      </c>
    </row>
    <row r="201" spans="1:13" x14ac:dyDescent="0.15">
      <c r="A201" s="20">
        <f t="shared" si="14"/>
        <v>8</v>
      </c>
      <c r="B201" s="20">
        <f t="shared" si="15"/>
        <v>805</v>
      </c>
      <c r="C201" s="20">
        <f t="shared" ca="1" si="16"/>
        <v>50074</v>
      </c>
      <c r="D201" s="20">
        <f t="shared" ca="1" si="17"/>
        <v>1</v>
      </c>
      <c r="E201" s="20">
        <v>1</v>
      </c>
      <c r="H201" s="20">
        <f t="shared" si="18"/>
        <v>14</v>
      </c>
      <c r="M201" s="20">
        <v>200</v>
      </c>
    </row>
    <row r="202" spans="1:13" x14ac:dyDescent="0.15">
      <c r="A202" s="20">
        <f t="shared" si="14"/>
        <v>9</v>
      </c>
      <c r="B202" s="20">
        <f t="shared" si="15"/>
        <v>901</v>
      </c>
      <c r="C202" s="20">
        <f t="shared" si="16"/>
        <v>50075</v>
      </c>
      <c r="D202" s="20">
        <f t="shared" si="17"/>
        <v>1</v>
      </c>
      <c r="E202" s="20">
        <v>1</v>
      </c>
      <c r="H202" s="20">
        <f t="shared" si="18"/>
        <v>2</v>
      </c>
      <c r="M202" s="20">
        <v>201</v>
      </c>
    </row>
    <row r="203" spans="1:13" x14ac:dyDescent="0.15">
      <c r="A203" s="20">
        <f t="shared" si="14"/>
        <v>9</v>
      </c>
      <c r="B203" s="20">
        <f t="shared" si="15"/>
        <v>901</v>
      </c>
      <c r="C203" s="20">
        <f t="shared" ca="1" si="16"/>
        <v>50168</v>
      </c>
      <c r="D203" s="20">
        <f t="shared" ca="1" si="17"/>
        <v>181</v>
      </c>
      <c r="E203" s="20">
        <v>1</v>
      </c>
      <c r="H203" s="20">
        <f t="shared" si="18"/>
        <v>5</v>
      </c>
      <c r="M203" s="20">
        <v>202</v>
      </c>
    </row>
    <row r="204" spans="1:13" x14ac:dyDescent="0.15">
      <c r="A204" s="20">
        <f t="shared" si="14"/>
        <v>9</v>
      </c>
      <c r="B204" s="20">
        <f t="shared" si="15"/>
        <v>901</v>
      </c>
      <c r="C204" s="20">
        <f t="shared" ca="1" si="16"/>
        <v>50042</v>
      </c>
      <c r="D204" s="20">
        <f t="shared" ca="1" si="17"/>
        <v>129</v>
      </c>
      <c r="E204" s="20">
        <v>1</v>
      </c>
      <c r="H204" s="20">
        <f t="shared" si="18"/>
        <v>8</v>
      </c>
      <c r="M204" s="20">
        <v>203</v>
      </c>
    </row>
    <row r="205" spans="1:13" x14ac:dyDescent="0.15">
      <c r="A205" s="20">
        <f t="shared" si="14"/>
        <v>9</v>
      </c>
      <c r="B205" s="20">
        <f t="shared" si="15"/>
        <v>901</v>
      </c>
      <c r="C205" s="20">
        <f t="shared" ca="1" si="16"/>
        <v>50062</v>
      </c>
      <c r="D205" s="20">
        <f t="shared" ca="1" si="17"/>
        <v>32</v>
      </c>
      <c r="E205" s="20">
        <v>1</v>
      </c>
      <c r="H205" s="20">
        <f t="shared" si="18"/>
        <v>11</v>
      </c>
      <c r="M205" s="20">
        <v>204</v>
      </c>
    </row>
    <row r="206" spans="1:13" x14ac:dyDescent="0.15">
      <c r="A206" s="20">
        <f t="shared" si="14"/>
        <v>9</v>
      </c>
      <c r="B206" s="20">
        <f t="shared" si="15"/>
        <v>901</v>
      </c>
      <c r="C206" s="20">
        <f t="shared" ca="1" si="16"/>
        <v>50072</v>
      </c>
      <c r="D206" s="20">
        <f t="shared" ca="1" si="17"/>
        <v>1</v>
      </c>
      <c r="E206" s="20">
        <v>1</v>
      </c>
      <c r="H206" s="20">
        <f t="shared" si="18"/>
        <v>14</v>
      </c>
      <c r="M206" s="20">
        <v>205</v>
      </c>
    </row>
    <row r="207" spans="1:13" x14ac:dyDescent="0.15">
      <c r="A207" s="20">
        <f t="shared" si="14"/>
        <v>9</v>
      </c>
      <c r="B207" s="20">
        <f t="shared" si="15"/>
        <v>902</v>
      </c>
      <c r="C207" s="20">
        <f t="shared" si="16"/>
        <v>50076</v>
      </c>
      <c r="D207" s="20">
        <f t="shared" si="17"/>
        <v>1</v>
      </c>
      <c r="E207" s="20">
        <v>1</v>
      </c>
      <c r="H207" s="20">
        <f t="shared" si="18"/>
        <v>2</v>
      </c>
      <c r="M207" s="20">
        <v>206</v>
      </c>
    </row>
    <row r="208" spans="1:13" x14ac:dyDescent="0.15">
      <c r="A208" s="20">
        <f t="shared" si="14"/>
        <v>9</v>
      </c>
      <c r="B208" s="20">
        <f t="shared" si="15"/>
        <v>902</v>
      </c>
      <c r="C208" s="20">
        <f t="shared" ca="1" si="16"/>
        <v>50055</v>
      </c>
      <c r="D208" s="20">
        <f t="shared" ca="1" si="17"/>
        <v>129</v>
      </c>
      <c r="E208" s="20">
        <v>1</v>
      </c>
      <c r="H208" s="20">
        <f t="shared" si="18"/>
        <v>5</v>
      </c>
      <c r="M208" s="20">
        <v>207</v>
      </c>
    </row>
    <row r="209" spans="1:13" x14ac:dyDescent="0.15">
      <c r="A209" s="20">
        <f t="shared" si="14"/>
        <v>9</v>
      </c>
      <c r="B209" s="20">
        <f t="shared" si="15"/>
        <v>902</v>
      </c>
      <c r="C209" s="20">
        <f t="shared" ca="1" si="16"/>
        <v>50043</v>
      </c>
      <c r="D209" s="20">
        <f t="shared" ca="1" si="17"/>
        <v>88</v>
      </c>
      <c r="E209" s="20">
        <v>1</v>
      </c>
      <c r="H209" s="20">
        <f t="shared" si="18"/>
        <v>8</v>
      </c>
      <c r="M209" s="20">
        <v>208</v>
      </c>
    </row>
    <row r="210" spans="1:13" x14ac:dyDescent="0.15">
      <c r="A210" s="20">
        <f t="shared" si="14"/>
        <v>9</v>
      </c>
      <c r="B210" s="20">
        <f t="shared" si="15"/>
        <v>902</v>
      </c>
      <c r="C210" s="20">
        <f t="shared" ca="1" si="16"/>
        <v>50062</v>
      </c>
      <c r="D210" s="20">
        <f t="shared" ca="1" si="17"/>
        <v>32</v>
      </c>
      <c r="E210" s="20">
        <v>1</v>
      </c>
      <c r="H210" s="20">
        <f t="shared" si="18"/>
        <v>11</v>
      </c>
      <c r="M210" s="20">
        <v>209</v>
      </c>
    </row>
    <row r="211" spans="1:13" x14ac:dyDescent="0.15">
      <c r="A211" s="20">
        <f t="shared" si="14"/>
        <v>9</v>
      </c>
      <c r="B211" s="20">
        <f t="shared" si="15"/>
        <v>902</v>
      </c>
      <c r="C211" s="20">
        <f t="shared" ca="1" si="16"/>
        <v>50071</v>
      </c>
      <c r="D211" s="20">
        <f t="shared" ca="1" si="17"/>
        <v>1</v>
      </c>
      <c r="E211" s="20">
        <v>1</v>
      </c>
      <c r="H211" s="20">
        <f t="shared" si="18"/>
        <v>14</v>
      </c>
      <c r="M211" s="20">
        <v>210</v>
      </c>
    </row>
    <row r="212" spans="1:13" x14ac:dyDescent="0.15">
      <c r="A212" s="20">
        <f t="shared" si="14"/>
        <v>9</v>
      </c>
      <c r="B212" s="20">
        <f t="shared" si="15"/>
        <v>903</v>
      </c>
      <c r="C212" s="20">
        <f t="shared" si="16"/>
        <v>50077</v>
      </c>
      <c r="D212" s="20">
        <f t="shared" si="17"/>
        <v>1</v>
      </c>
      <c r="E212" s="20">
        <v>1</v>
      </c>
      <c r="H212" s="20">
        <f t="shared" si="18"/>
        <v>2</v>
      </c>
      <c r="M212" s="20">
        <v>211</v>
      </c>
    </row>
    <row r="213" spans="1:13" x14ac:dyDescent="0.15">
      <c r="A213" s="20">
        <f t="shared" si="14"/>
        <v>9</v>
      </c>
      <c r="B213" s="20">
        <f t="shared" si="15"/>
        <v>903</v>
      </c>
      <c r="C213" s="20">
        <f t="shared" ca="1" si="16"/>
        <v>50045</v>
      </c>
      <c r="D213" s="20">
        <f t="shared" ca="1" si="17"/>
        <v>181</v>
      </c>
      <c r="E213" s="20">
        <v>1</v>
      </c>
      <c r="H213" s="20">
        <f t="shared" si="18"/>
        <v>5</v>
      </c>
      <c r="M213" s="20">
        <v>212</v>
      </c>
    </row>
    <row r="214" spans="1:13" x14ac:dyDescent="0.15">
      <c r="A214" s="20">
        <f t="shared" si="14"/>
        <v>9</v>
      </c>
      <c r="B214" s="20">
        <f t="shared" si="15"/>
        <v>903</v>
      </c>
      <c r="C214" s="20">
        <f t="shared" ca="1" si="16"/>
        <v>50064</v>
      </c>
      <c r="D214" s="20">
        <f t="shared" ca="1" si="17"/>
        <v>129</v>
      </c>
      <c r="E214" s="20">
        <v>1</v>
      </c>
      <c r="H214" s="20">
        <f t="shared" si="18"/>
        <v>8</v>
      </c>
      <c r="M214" s="20">
        <v>213</v>
      </c>
    </row>
    <row r="215" spans="1:13" x14ac:dyDescent="0.15">
      <c r="A215" s="20">
        <f t="shared" si="14"/>
        <v>9</v>
      </c>
      <c r="B215" s="20">
        <f t="shared" si="15"/>
        <v>903</v>
      </c>
      <c r="C215" s="20">
        <f t="shared" ca="1" si="16"/>
        <v>50170</v>
      </c>
      <c r="D215" s="20">
        <f t="shared" ca="1" si="17"/>
        <v>32</v>
      </c>
      <c r="E215" s="20">
        <v>1</v>
      </c>
      <c r="H215" s="20">
        <f t="shared" si="18"/>
        <v>11</v>
      </c>
      <c r="M215" s="20">
        <v>214</v>
      </c>
    </row>
    <row r="216" spans="1:13" x14ac:dyDescent="0.15">
      <c r="A216" s="20">
        <f t="shared" si="14"/>
        <v>9</v>
      </c>
      <c r="B216" s="20">
        <f t="shared" si="15"/>
        <v>903</v>
      </c>
      <c r="C216" s="20">
        <f t="shared" ca="1" si="16"/>
        <v>50077</v>
      </c>
      <c r="D216" s="20">
        <f t="shared" ca="1" si="17"/>
        <v>1</v>
      </c>
      <c r="E216" s="20">
        <v>1</v>
      </c>
      <c r="H216" s="20">
        <f t="shared" si="18"/>
        <v>14</v>
      </c>
      <c r="M216" s="20">
        <v>215</v>
      </c>
    </row>
    <row r="217" spans="1:13" x14ac:dyDescent="0.15">
      <c r="A217" s="20">
        <f t="shared" si="14"/>
        <v>9</v>
      </c>
      <c r="B217" s="20">
        <f t="shared" si="15"/>
        <v>904</v>
      </c>
      <c r="C217" s="20">
        <f t="shared" si="16"/>
        <v>50190</v>
      </c>
      <c r="D217" s="20">
        <f t="shared" si="17"/>
        <v>1</v>
      </c>
      <c r="E217" s="20">
        <v>1</v>
      </c>
      <c r="H217" s="20">
        <f t="shared" si="18"/>
        <v>2</v>
      </c>
      <c r="M217" s="20">
        <v>216</v>
      </c>
    </row>
    <row r="218" spans="1:13" x14ac:dyDescent="0.15">
      <c r="A218" s="20">
        <f t="shared" si="14"/>
        <v>9</v>
      </c>
      <c r="B218" s="20">
        <f t="shared" si="15"/>
        <v>904</v>
      </c>
      <c r="C218" s="20">
        <f t="shared" ca="1" si="16"/>
        <v>50053</v>
      </c>
      <c r="D218" s="20">
        <f t="shared" ca="1" si="17"/>
        <v>129</v>
      </c>
      <c r="E218" s="20">
        <v>1</v>
      </c>
      <c r="H218" s="20">
        <f t="shared" si="18"/>
        <v>5</v>
      </c>
      <c r="M218" s="20">
        <v>217</v>
      </c>
    </row>
    <row r="219" spans="1:13" x14ac:dyDescent="0.15">
      <c r="A219" s="20">
        <f t="shared" si="14"/>
        <v>9</v>
      </c>
      <c r="B219" s="20">
        <f t="shared" si="15"/>
        <v>904</v>
      </c>
      <c r="C219" s="20">
        <f t="shared" ca="1" si="16"/>
        <v>50063</v>
      </c>
      <c r="D219" s="20">
        <f t="shared" ca="1" si="17"/>
        <v>129</v>
      </c>
      <c r="E219" s="20">
        <v>1</v>
      </c>
      <c r="H219" s="20">
        <f t="shared" si="18"/>
        <v>8</v>
      </c>
      <c r="M219" s="20">
        <v>218</v>
      </c>
    </row>
    <row r="220" spans="1:13" x14ac:dyDescent="0.15">
      <c r="A220" s="20">
        <f t="shared" ref="A220:A283" si="19">A195+1</f>
        <v>9</v>
      </c>
      <c r="B220" s="20">
        <f t="shared" ref="B220:B283" si="20">B195+100</f>
        <v>904</v>
      </c>
      <c r="C220" s="20">
        <f t="shared" ca="1" si="16"/>
        <v>50062</v>
      </c>
      <c r="D220" s="20">
        <f t="shared" ca="1" si="17"/>
        <v>32</v>
      </c>
      <c r="E220" s="20">
        <v>1</v>
      </c>
      <c r="H220" s="20">
        <f t="shared" si="18"/>
        <v>11</v>
      </c>
      <c r="M220" s="20">
        <v>219</v>
      </c>
    </row>
    <row r="221" spans="1:13" x14ac:dyDescent="0.15">
      <c r="A221" s="20">
        <f t="shared" si="19"/>
        <v>9</v>
      </c>
      <c r="B221" s="20">
        <f t="shared" si="20"/>
        <v>904</v>
      </c>
      <c r="C221" s="20">
        <f t="shared" ca="1" si="16"/>
        <v>50059</v>
      </c>
      <c r="D221" s="20">
        <f t="shared" ca="1" si="17"/>
        <v>5</v>
      </c>
      <c r="E221" s="20">
        <v>1</v>
      </c>
      <c r="H221" s="20">
        <f t="shared" si="18"/>
        <v>14</v>
      </c>
      <c r="M221" s="20">
        <v>220</v>
      </c>
    </row>
    <row r="222" spans="1:13" x14ac:dyDescent="0.15">
      <c r="A222" s="20">
        <f t="shared" si="19"/>
        <v>9</v>
      </c>
      <c r="B222" s="20">
        <f t="shared" si="20"/>
        <v>905</v>
      </c>
      <c r="C222" s="20">
        <f t="shared" si="16"/>
        <v>50041</v>
      </c>
      <c r="D222" s="20">
        <f t="shared" si="17"/>
        <v>181</v>
      </c>
      <c r="E222" s="20">
        <v>1</v>
      </c>
      <c r="H222" s="20">
        <f t="shared" si="18"/>
        <v>2</v>
      </c>
      <c r="M222" s="20">
        <v>221</v>
      </c>
    </row>
    <row r="223" spans="1:13" x14ac:dyDescent="0.15">
      <c r="A223" s="20">
        <f t="shared" si="19"/>
        <v>9</v>
      </c>
      <c r="B223" s="20">
        <f t="shared" si="20"/>
        <v>905</v>
      </c>
      <c r="C223" s="20">
        <f t="shared" ca="1" si="16"/>
        <v>50041</v>
      </c>
      <c r="D223" s="20">
        <f t="shared" ca="1" si="17"/>
        <v>181</v>
      </c>
      <c r="E223" s="20">
        <v>1</v>
      </c>
      <c r="H223" s="20">
        <f t="shared" si="18"/>
        <v>5</v>
      </c>
      <c r="M223" s="20">
        <v>222</v>
      </c>
    </row>
    <row r="224" spans="1:13" x14ac:dyDescent="0.15">
      <c r="A224" s="20">
        <f t="shared" si="19"/>
        <v>9</v>
      </c>
      <c r="B224" s="20">
        <f t="shared" si="20"/>
        <v>905</v>
      </c>
      <c r="C224" s="20">
        <f t="shared" ca="1" si="16"/>
        <v>50067</v>
      </c>
      <c r="D224" s="20">
        <f t="shared" ca="1" si="17"/>
        <v>88</v>
      </c>
      <c r="E224" s="20">
        <v>1</v>
      </c>
      <c r="H224" s="20">
        <f t="shared" si="18"/>
        <v>8</v>
      </c>
      <c r="M224" s="20">
        <v>223</v>
      </c>
    </row>
    <row r="225" spans="1:13" x14ac:dyDescent="0.15">
      <c r="A225" s="20">
        <f t="shared" si="19"/>
        <v>9</v>
      </c>
      <c r="B225" s="20">
        <f t="shared" si="20"/>
        <v>905</v>
      </c>
      <c r="C225" s="20">
        <f t="shared" ca="1" si="16"/>
        <v>50068</v>
      </c>
      <c r="D225" s="20">
        <f t="shared" ca="1" si="17"/>
        <v>32</v>
      </c>
      <c r="E225" s="20">
        <v>1</v>
      </c>
      <c r="H225" s="20">
        <f t="shared" si="18"/>
        <v>11</v>
      </c>
      <c r="M225" s="20">
        <v>224</v>
      </c>
    </row>
    <row r="226" spans="1:13" x14ac:dyDescent="0.15">
      <c r="A226" s="20">
        <f t="shared" si="19"/>
        <v>9</v>
      </c>
      <c r="B226" s="20">
        <f t="shared" si="20"/>
        <v>905</v>
      </c>
      <c r="C226" s="20">
        <f t="shared" ca="1" si="16"/>
        <v>50077</v>
      </c>
      <c r="D226" s="20">
        <f t="shared" ca="1" si="17"/>
        <v>1</v>
      </c>
      <c r="E226" s="20">
        <v>1</v>
      </c>
      <c r="H226" s="20">
        <f t="shared" si="18"/>
        <v>14</v>
      </c>
      <c r="M226" s="20">
        <v>225</v>
      </c>
    </row>
    <row r="227" spans="1:13" x14ac:dyDescent="0.15">
      <c r="A227" s="20">
        <f t="shared" si="19"/>
        <v>10</v>
      </c>
      <c r="B227" s="20">
        <f t="shared" si="20"/>
        <v>1001</v>
      </c>
      <c r="C227" s="20">
        <f t="shared" si="16"/>
        <v>50045</v>
      </c>
      <c r="D227" s="20">
        <f t="shared" si="17"/>
        <v>181</v>
      </c>
      <c r="E227" s="20">
        <v>1</v>
      </c>
      <c r="H227" s="20">
        <f t="shared" si="18"/>
        <v>2</v>
      </c>
      <c r="M227" s="20">
        <v>226</v>
      </c>
    </row>
    <row r="228" spans="1:13" x14ac:dyDescent="0.15">
      <c r="A228" s="20">
        <f t="shared" si="19"/>
        <v>10</v>
      </c>
      <c r="B228" s="20">
        <f t="shared" si="20"/>
        <v>1001</v>
      </c>
      <c r="C228" s="20">
        <f t="shared" ca="1" si="16"/>
        <v>50052</v>
      </c>
      <c r="D228" s="20">
        <f t="shared" ca="1" si="17"/>
        <v>181</v>
      </c>
      <c r="E228" s="20">
        <v>1</v>
      </c>
      <c r="H228" s="20">
        <f t="shared" si="18"/>
        <v>5</v>
      </c>
      <c r="M228" s="20">
        <v>227</v>
      </c>
    </row>
    <row r="229" spans="1:13" x14ac:dyDescent="0.15">
      <c r="A229" s="20">
        <f t="shared" si="19"/>
        <v>10</v>
      </c>
      <c r="B229" s="20">
        <f t="shared" si="20"/>
        <v>1001</v>
      </c>
      <c r="C229" s="20">
        <f t="shared" ca="1" si="16"/>
        <v>50046</v>
      </c>
      <c r="D229" s="20">
        <f t="shared" ca="1" si="17"/>
        <v>88</v>
      </c>
      <c r="E229" s="20">
        <v>1</v>
      </c>
      <c r="H229" s="20">
        <f t="shared" si="18"/>
        <v>8</v>
      </c>
      <c r="M229" s="20">
        <v>228</v>
      </c>
    </row>
    <row r="230" spans="1:13" x14ac:dyDescent="0.15">
      <c r="A230" s="20">
        <f t="shared" si="19"/>
        <v>10</v>
      </c>
      <c r="B230" s="20">
        <f t="shared" si="20"/>
        <v>1001</v>
      </c>
      <c r="C230" s="20">
        <f t="shared" ca="1" si="16"/>
        <v>50044</v>
      </c>
      <c r="D230" s="20">
        <f t="shared" ca="1" si="17"/>
        <v>55</v>
      </c>
      <c r="E230" s="20">
        <v>1</v>
      </c>
      <c r="H230" s="20">
        <f t="shared" si="18"/>
        <v>11</v>
      </c>
      <c r="M230" s="20">
        <v>229</v>
      </c>
    </row>
    <row r="231" spans="1:13" x14ac:dyDescent="0.15">
      <c r="A231" s="20">
        <f t="shared" si="19"/>
        <v>10</v>
      </c>
      <c r="B231" s="20">
        <f t="shared" si="20"/>
        <v>1001</v>
      </c>
      <c r="C231" s="20">
        <f t="shared" ca="1" si="16"/>
        <v>50074</v>
      </c>
      <c r="D231" s="20">
        <f t="shared" ca="1" si="17"/>
        <v>1</v>
      </c>
      <c r="E231" s="20">
        <v>1</v>
      </c>
      <c r="H231" s="20">
        <f t="shared" si="18"/>
        <v>14</v>
      </c>
      <c r="M231" s="20">
        <v>230</v>
      </c>
    </row>
    <row r="232" spans="1:13" x14ac:dyDescent="0.15">
      <c r="A232" s="20">
        <f t="shared" si="19"/>
        <v>10</v>
      </c>
      <c r="B232" s="20">
        <f t="shared" si="20"/>
        <v>1002</v>
      </c>
      <c r="C232" s="20">
        <f t="shared" si="16"/>
        <v>50047</v>
      </c>
      <c r="D232" s="20">
        <f t="shared" si="17"/>
        <v>181</v>
      </c>
      <c r="E232" s="20">
        <v>1</v>
      </c>
      <c r="H232" s="20">
        <f t="shared" si="18"/>
        <v>2</v>
      </c>
      <c r="M232" s="20">
        <v>231</v>
      </c>
    </row>
    <row r="233" spans="1:13" x14ac:dyDescent="0.15">
      <c r="A233" s="20">
        <f t="shared" si="19"/>
        <v>10</v>
      </c>
      <c r="B233" s="20">
        <f t="shared" si="20"/>
        <v>1002</v>
      </c>
      <c r="C233" s="20">
        <f t="shared" ca="1" si="16"/>
        <v>50055</v>
      </c>
      <c r="D233" s="20">
        <f t="shared" ca="1" si="17"/>
        <v>129</v>
      </c>
      <c r="E233" s="20">
        <v>1</v>
      </c>
      <c r="H233" s="20">
        <f t="shared" si="18"/>
        <v>5</v>
      </c>
      <c r="M233" s="20">
        <v>232</v>
      </c>
    </row>
    <row r="234" spans="1:13" x14ac:dyDescent="0.15">
      <c r="A234" s="20">
        <f t="shared" si="19"/>
        <v>10</v>
      </c>
      <c r="B234" s="20">
        <f t="shared" si="20"/>
        <v>1002</v>
      </c>
      <c r="C234" s="20">
        <f t="shared" ca="1" si="16"/>
        <v>50053</v>
      </c>
      <c r="D234" s="20">
        <f t="shared" ca="1" si="17"/>
        <v>129</v>
      </c>
      <c r="E234" s="20">
        <v>1</v>
      </c>
      <c r="H234" s="20">
        <f t="shared" si="18"/>
        <v>8</v>
      </c>
      <c r="M234" s="20">
        <v>233</v>
      </c>
    </row>
    <row r="235" spans="1:13" x14ac:dyDescent="0.15">
      <c r="A235" s="20">
        <f t="shared" si="19"/>
        <v>10</v>
      </c>
      <c r="B235" s="20">
        <f t="shared" si="20"/>
        <v>1002</v>
      </c>
      <c r="C235" s="20">
        <f t="shared" ca="1" si="16"/>
        <v>50062</v>
      </c>
      <c r="D235" s="20">
        <f t="shared" ca="1" si="17"/>
        <v>32</v>
      </c>
      <c r="E235" s="20">
        <v>1</v>
      </c>
      <c r="H235" s="20">
        <f t="shared" si="18"/>
        <v>11</v>
      </c>
      <c r="M235" s="20">
        <v>234</v>
      </c>
    </row>
    <row r="236" spans="1:13" x14ac:dyDescent="0.15">
      <c r="A236" s="20">
        <f t="shared" si="19"/>
        <v>10</v>
      </c>
      <c r="B236" s="20">
        <f t="shared" si="20"/>
        <v>1002</v>
      </c>
      <c r="C236" s="20">
        <f t="shared" ca="1" si="16"/>
        <v>50059</v>
      </c>
      <c r="D236" s="20">
        <f t="shared" ca="1" si="17"/>
        <v>5</v>
      </c>
      <c r="E236" s="20">
        <v>1</v>
      </c>
      <c r="H236" s="20">
        <f t="shared" si="18"/>
        <v>14</v>
      </c>
      <c r="M236" s="20">
        <v>235</v>
      </c>
    </row>
    <row r="237" spans="1:13" x14ac:dyDescent="0.15">
      <c r="A237" s="20">
        <f t="shared" si="19"/>
        <v>10</v>
      </c>
      <c r="B237" s="20">
        <f t="shared" si="20"/>
        <v>1003</v>
      </c>
      <c r="C237" s="20">
        <f t="shared" si="16"/>
        <v>50051</v>
      </c>
      <c r="D237" s="20">
        <f t="shared" si="17"/>
        <v>181</v>
      </c>
      <c r="E237" s="20">
        <v>1</v>
      </c>
      <c r="H237" s="20">
        <f t="shared" si="18"/>
        <v>2</v>
      </c>
      <c r="M237" s="20">
        <v>236</v>
      </c>
    </row>
    <row r="238" spans="1:13" x14ac:dyDescent="0.15">
      <c r="A238" s="20">
        <f t="shared" si="19"/>
        <v>10</v>
      </c>
      <c r="B238" s="20">
        <f t="shared" si="20"/>
        <v>1003</v>
      </c>
      <c r="C238" s="20">
        <f t="shared" ca="1" si="16"/>
        <v>50041</v>
      </c>
      <c r="D238" s="20">
        <f t="shared" ca="1" si="17"/>
        <v>181</v>
      </c>
      <c r="E238" s="20">
        <v>1</v>
      </c>
      <c r="H238" s="20">
        <f t="shared" si="18"/>
        <v>5</v>
      </c>
      <c r="M238" s="20">
        <v>237</v>
      </c>
    </row>
    <row r="239" spans="1:13" x14ac:dyDescent="0.15">
      <c r="A239" s="20">
        <f t="shared" si="19"/>
        <v>10</v>
      </c>
      <c r="B239" s="20">
        <f t="shared" si="20"/>
        <v>1003</v>
      </c>
      <c r="C239" s="20">
        <f t="shared" ca="1" si="16"/>
        <v>50063</v>
      </c>
      <c r="D239" s="20">
        <f t="shared" ca="1" si="17"/>
        <v>129</v>
      </c>
      <c r="E239" s="20">
        <v>1</v>
      </c>
      <c r="H239" s="20">
        <f t="shared" si="18"/>
        <v>8</v>
      </c>
      <c r="M239" s="20">
        <v>238</v>
      </c>
    </row>
    <row r="240" spans="1:13" x14ac:dyDescent="0.15">
      <c r="A240" s="20">
        <f t="shared" si="19"/>
        <v>10</v>
      </c>
      <c r="B240" s="20">
        <f t="shared" si="20"/>
        <v>1003</v>
      </c>
      <c r="C240" s="20">
        <f t="shared" ca="1" si="16"/>
        <v>50062</v>
      </c>
      <c r="D240" s="20">
        <f t="shared" ca="1" si="17"/>
        <v>32</v>
      </c>
      <c r="E240" s="20">
        <v>1</v>
      </c>
      <c r="H240" s="20">
        <f t="shared" si="18"/>
        <v>11</v>
      </c>
      <c r="M240" s="20">
        <v>239</v>
      </c>
    </row>
    <row r="241" spans="1:13" x14ac:dyDescent="0.15">
      <c r="A241" s="20">
        <f t="shared" si="19"/>
        <v>10</v>
      </c>
      <c r="B241" s="20">
        <f t="shared" si="20"/>
        <v>1003</v>
      </c>
      <c r="C241" s="20">
        <f t="shared" ca="1" si="16"/>
        <v>50190</v>
      </c>
      <c r="D241" s="20">
        <f t="shared" ca="1" si="17"/>
        <v>1</v>
      </c>
      <c r="E241" s="20">
        <v>1</v>
      </c>
      <c r="H241" s="20">
        <f t="shared" si="18"/>
        <v>14</v>
      </c>
      <c r="M241" s="20">
        <v>240</v>
      </c>
    </row>
    <row r="242" spans="1:13" x14ac:dyDescent="0.15">
      <c r="A242" s="20">
        <f t="shared" si="19"/>
        <v>10</v>
      </c>
      <c r="B242" s="20">
        <f t="shared" si="20"/>
        <v>1004</v>
      </c>
      <c r="C242" s="20">
        <f t="shared" si="16"/>
        <v>50052</v>
      </c>
      <c r="D242" s="20">
        <f t="shared" si="17"/>
        <v>181</v>
      </c>
      <c r="E242" s="20">
        <v>1</v>
      </c>
      <c r="H242" s="20">
        <f t="shared" si="18"/>
        <v>2</v>
      </c>
      <c r="M242" s="20">
        <v>241</v>
      </c>
    </row>
    <row r="243" spans="1:13" x14ac:dyDescent="0.15">
      <c r="A243" s="20">
        <f t="shared" si="19"/>
        <v>10</v>
      </c>
      <c r="B243" s="20">
        <f t="shared" si="20"/>
        <v>1004</v>
      </c>
      <c r="C243" s="20">
        <f t="shared" ca="1" si="16"/>
        <v>50064</v>
      </c>
      <c r="D243" s="20">
        <f t="shared" ca="1" si="17"/>
        <v>129</v>
      </c>
      <c r="E243" s="20">
        <v>1</v>
      </c>
      <c r="H243" s="20">
        <f t="shared" si="18"/>
        <v>5</v>
      </c>
      <c r="M243" s="20">
        <v>242</v>
      </c>
    </row>
    <row r="244" spans="1:13" x14ac:dyDescent="0.15">
      <c r="A244" s="20">
        <f t="shared" si="19"/>
        <v>10</v>
      </c>
      <c r="B244" s="20">
        <f t="shared" si="20"/>
        <v>1004</v>
      </c>
      <c r="C244" s="20">
        <f t="shared" ca="1" si="16"/>
        <v>50048</v>
      </c>
      <c r="D244" s="20">
        <f t="shared" ca="1" si="17"/>
        <v>88</v>
      </c>
      <c r="E244" s="20">
        <v>1</v>
      </c>
      <c r="H244" s="20">
        <f t="shared" si="18"/>
        <v>8</v>
      </c>
      <c r="M244" s="20">
        <v>243</v>
      </c>
    </row>
    <row r="245" spans="1:13" x14ac:dyDescent="0.15">
      <c r="A245" s="20">
        <f t="shared" si="19"/>
        <v>10</v>
      </c>
      <c r="B245" s="20">
        <f t="shared" si="20"/>
        <v>1004</v>
      </c>
      <c r="C245" s="20">
        <f t="shared" ca="1" si="16"/>
        <v>50044</v>
      </c>
      <c r="D245" s="20">
        <f t="shared" ca="1" si="17"/>
        <v>55</v>
      </c>
      <c r="E245" s="20">
        <v>1</v>
      </c>
      <c r="H245" s="20">
        <f t="shared" si="18"/>
        <v>11</v>
      </c>
      <c r="M245" s="20">
        <v>244</v>
      </c>
    </row>
    <row r="246" spans="1:13" x14ac:dyDescent="0.15">
      <c r="A246" s="20">
        <f t="shared" si="19"/>
        <v>10</v>
      </c>
      <c r="B246" s="20">
        <f t="shared" si="20"/>
        <v>1004</v>
      </c>
      <c r="C246" s="20">
        <f t="shared" ca="1" si="16"/>
        <v>50071</v>
      </c>
      <c r="D246" s="20">
        <f t="shared" ca="1" si="17"/>
        <v>1</v>
      </c>
      <c r="E246" s="20">
        <v>1</v>
      </c>
      <c r="H246" s="20">
        <f t="shared" si="18"/>
        <v>14</v>
      </c>
      <c r="M246" s="20">
        <v>245</v>
      </c>
    </row>
    <row r="247" spans="1:13" x14ac:dyDescent="0.15">
      <c r="A247" s="20">
        <f t="shared" si="19"/>
        <v>10</v>
      </c>
      <c r="B247" s="20">
        <f t="shared" si="20"/>
        <v>1005</v>
      </c>
      <c r="C247" s="20">
        <f t="shared" si="16"/>
        <v>50069</v>
      </c>
      <c r="D247" s="20">
        <f t="shared" si="17"/>
        <v>181</v>
      </c>
      <c r="E247" s="20">
        <v>1</v>
      </c>
      <c r="H247" s="20">
        <f t="shared" si="18"/>
        <v>2</v>
      </c>
      <c r="M247" s="20">
        <v>246</v>
      </c>
    </row>
    <row r="248" spans="1:13" x14ac:dyDescent="0.15">
      <c r="A248" s="20">
        <f t="shared" si="19"/>
        <v>10</v>
      </c>
      <c r="B248" s="20">
        <f t="shared" si="20"/>
        <v>1005</v>
      </c>
      <c r="C248" s="20">
        <f t="shared" ca="1" si="16"/>
        <v>50056</v>
      </c>
      <c r="D248" s="20">
        <f t="shared" ca="1" si="17"/>
        <v>129</v>
      </c>
      <c r="E248" s="20">
        <v>1</v>
      </c>
      <c r="H248" s="20">
        <f t="shared" si="18"/>
        <v>5</v>
      </c>
      <c r="M248" s="20">
        <v>247</v>
      </c>
    </row>
    <row r="249" spans="1:13" x14ac:dyDescent="0.15">
      <c r="A249" s="20">
        <f t="shared" si="19"/>
        <v>10</v>
      </c>
      <c r="B249" s="20">
        <f t="shared" si="20"/>
        <v>1005</v>
      </c>
      <c r="C249" s="20">
        <f t="shared" ca="1" si="16"/>
        <v>50065</v>
      </c>
      <c r="D249" s="20">
        <f t="shared" ca="1" si="17"/>
        <v>129</v>
      </c>
      <c r="E249" s="20">
        <v>1</v>
      </c>
      <c r="H249" s="20">
        <f t="shared" si="18"/>
        <v>8</v>
      </c>
      <c r="M249" s="20">
        <v>248</v>
      </c>
    </row>
    <row r="250" spans="1:13" x14ac:dyDescent="0.15">
      <c r="A250" s="20">
        <f t="shared" si="19"/>
        <v>10</v>
      </c>
      <c r="B250" s="20">
        <f t="shared" si="20"/>
        <v>1005</v>
      </c>
      <c r="C250" s="20">
        <f t="shared" ca="1" si="16"/>
        <v>50170</v>
      </c>
      <c r="D250" s="20">
        <f t="shared" ca="1" si="17"/>
        <v>32</v>
      </c>
      <c r="E250" s="20">
        <v>1</v>
      </c>
      <c r="H250" s="20">
        <f t="shared" si="18"/>
        <v>11</v>
      </c>
      <c r="M250" s="20">
        <v>249</v>
      </c>
    </row>
    <row r="251" spans="1:13" x14ac:dyDescent="0.15">
      <c r="A251" s="20">
        <f t="shared" si="19"/>
        <v>10</v>
      </c>
      <c r="B251" s="20">
        <f t="shared" si="20"/>
        <v>1005</v>
      </c>
      <c r="C251" s="20">
        <f t="shared" ca="1" si="16"/>
        <v>50050</v>
      </c>
      <c r="D251" s="20">
        <f t="shared" ca="1" si="17"/>
        <v>5</v>
      </c>
      <c r="E251" s="20">
        <v>1</v>
      </c>
      <c r="H251" s="20">
        <f t="shared" si="18"/>
        <v>14</v>
      </c>
      <c r="M251" s="20">
        <v>250</v>
      </c>
    </row>
    <row r="252" spans="1:13" x14ac:dyDescent="0.15">
      <c r="A252" s="20">
        <f t="shared" si="19"/>
        <v>11</v>
      </c>
      <c r="B252" s="20">
        <f t="shared" si="20"/>
        <v>1101</v>
      </c>
      <c r="C252" s="20">
        <f t="shared" si="16"/>
        <v>50168</v>
      </c>
      <c r="D252" s="20">
        <f t="shared" si="17"/>
        <v>181</v>
      </c>
      <c r="E252" s="20">
        <v>1</v>
      </c>
      <c r="H252" s="20">
        <f t="shared" si="18"/>
        <v>2</v>
      </c>
      <c r="M252" s="20">
        <v>251</v>
      </c>
    </row>
    <row r="253" spans="1:13" x14ac:dyDescent="0.15">
      <c r="A253" s="20">
        <f t="shared" si="19"/>
        <v>11</v>
      </c>
      <c r="B253" s="20">
        <f t="shared" si="20"/>
        <v>1101</v>
      </c>
      <c r="C253" s="20">
        <f t="shared" ca="1" si="16"/>
        <v>50065</v>
      </c>
      <c r="D253" s="20">
        <f t="shared" ca="1" si="17"/>
        <v>129</v>
      </c>
      <c r="E253" s="20">
        <v>1</v>
      </c>
      <c r="H253" s="20">
        <f t="shared" si="18"/>
        <v>5</v>
      </c>
      <c r="M253" s="20">
        <v>252</v>
      </c>
    </row>
    <row r="254" spans="1:13" x14ac:dyDescent="0.15">
      <c r="A254" s="20">
        <f t="shared" si="19"/>
        <v>11</v>
      </c>
      <c r="B254" s="20">
        <f t="shared" si="20"/>
        <v>1101</v>
      </c>
      <c r="C254" s="20">
        <f t="shared" ca="1" si="16"/>
        <v>50055</v>
      </c>
      <c r="D254" s="20">
        <f t="shared" ca="1" si="17"/>
        <v>129</v>
      </c>
      <c r="E254" s="20">
        <v>1</v>
      </c>
      <c r="H254" s="20">
        <f t="shared" si="18"/>
        <v>8</v>
      </c>
      <c r="M254" s="20">
        <v>253</v>
      </c>
    </row>
    <row r="255" spans="1:13" x14ac:dyDescent="0.15">
      <c r="A255" s="20">
        <f t="shared" si="19"/>
        <v>11</v>
      </c>
      <c r="B255" s="20">
        <f t="shared" si="20"/>
        <v>1101</v>
      </c>
      <c r="C255" s="20">
        <f t="shared" ca="1" si="16"/>
        <v>50061</v>
      </c>
      <c r="D255" s="20">
        <f t="shared" ca="1" si="17"/>
        <v>32</v>
      </c>
      <c r="E255" s="20">
        <v>1</v>
      </c>
      <c r="H255" s="20">
        <f t="shared" si="18"/>
        <v>11</v>
      </c>
      <c r="M255" s="20">
        <v>254</v>
      </c>
    </row>
    <row r="256" spans="1:13" x14ac:dyDescent="0.15">
      <c r="A256" s="20">
        <f t="shared" si="19"/>
        <v>11</v>
      </c>
      <c r="B256" s="20">
        <f t="shared" si="20"/>
        <v>1101</v>
      </c>
      <c r="C256" s="20">
        <f t="shared" ca="1" si="16"/>
        <v>50075</v>
      </c>
      <c r="D256" s="20">
        <f t="shared" ca="1" si="17"/>
        <v>1</v>
      </c>
      <c r="E256" s="20">
        <v>1</v>
      </c>
      <c r="H256" s="20">
        <f t="shared" si="18"/>
        <v>14</v>
      </c>
      <c r="M256" s="20">
        <v>255</v>
      </c>
    </row>
    <row r="257" spans="1:13" x14ac:dyDescent="0.15">
      <c r="A257" s="20">
        <f t="shared" si="19"/>
        <v>11</v>
      </c>
      <c r="B257" s="20">
        <f t="shared" si="20"/>
        <v>1102</v>
      </c>
      <c r="C257" s="20">
        <f t="shared" si="16"/>
        <v>50189</v>
      </c>
      <c r="D257" s="20">
        <f t="shared" si="17"/>
        <v>181</v>
      </c>
      <c r="E257" s="20">
        <v>1</v>
      </c>
      <c r="H257" s="20">
        <f t="shared" si="18"/>
        <v>2</v>
      </c>
      <c r="M257" s="20">
        <v>256</v>
      </c>
    </row>
    <row r="258" spans="1:13" x14ac:dyDescent="0.15">
      <c r="A258" s="20">
        <f t="shared" si="19"/>
        <v>11</v>
      </c>
      <c r="B258" s="20">
        <f t="shared" si="20"/>
        <v>1102</v>
      </c>
      <c r="C258" s="20">
        <f t="shared" ref="C258:C321" ca="1" si="21">VLOOKUP(B258,plan1,H258,FALSE)</f>
        <v>50047</v>
      </c>
      <c r="D258" s="20">
        <f t="shared" ref="D258:D321" ca="1" si="22">VLOOKUP(C258,marking,9,FALSE)</f>
        <v>181</v>
      </c>
      <c r="E258" s="20">
        <v>1</v>
      </c>
      <c r="H258" s="20">
        <f t="shared" si="18"/>
        <v>5</v>
      </c>
      <c r="M258" s="20">
        <v>257</v>
      </c>
    </row>
    <row r="259" spans="1:13" x14ac:dyDescent="0.15">
      <c r="A259" s="20">
        <f t="shared" si="19"/>
        <v>11</v>
      </c>
      <c r="B259" s="20">
        <f t="shared" si="20"/>
        <v>1102</v>
      </c>
      <c r="C259" s="20">
        <f t="shared" ca="1" si="21"/>
        <v>50057</v>
      </c>
      <c r="D259" s="20">
        <f t="shared" ca="1" si="22"/>
        <v>129</v>
      </c>
      <c r="E259" s="20">
        <v>1</v>
      </c>
      <c r="H259" s="20">
        <f t="shared" si="18"/>
        <v>8</v>
      </c>
      <c r="M259" s="20">
        <v>258</v>
      </c>
    </row>
    <row r="260" spans="1:13" x14ac:dyDescent="0.15">
      <c r="A260" s="20">
        <f t="shared" si="19"/>
        <v>11</v>
      </c>
      <c r="B260" s="20">
        <f t="shared" si="20"/>
        <v>1102</v>
      </c>
      <c r="C260" s="20">
        <f t="shared" ca="1" si="21"/>
        <v>50061</v>
      </c>
      <c r="D260" s="20">
        <f t="shared" ca="1" si="22"/>
        <v>32</v>
      </c>
      <c r="E260" s="20">
        <v>1</v>
      </c>
      <c r="H260" s="20">
        <f t="shared" si="18"/>
        <v>11</v>
      </c>
      <c r="M260" s="20">
        <v>259</v>
      </c>
    </row>
    <row r="261" spans="1:13" x14ac:dyDescent="0.15">
      <c r="A261" s="20">
        <f t="shared" si="19"/>
        <v>11</v>
      </c>
      <c r="B261" s="20">
        <f t="shared" si="20"/>
        <v>1102</v>
      </c>
      <c r="C261" s="20">
        <f t="shared" ca="1" si="21"/>
        <v>50059</v>
      </c>
      <c r="D261" s="20">
        <f t="shared" ca="1" si="22"/>
        <v>5</v>
      </c>
      <c r="E261" s="20">
        <v>1</v>
      </c>
      <c r="H261" s="20">
        <f t="shared" si="18"/>
        <v>14</v>
      </c>
      <c r="M261" s="20">
        <v>260</v>
      </c>
    </row>
    <row r="262" spans="1:13" x14ac:dyDescent="0.15">
      <c r="A262" s="20">
        <f t="shared" si="19"/>
        <v>11</v>
      </c>
      <c r="B262" s="20">
        <f t="shared" si="20"/>
        <v>1103</v>
      </c>
      <c r="C262" s="20">
        <f t="shared" si="21"/>
        <v>50042</v>
      </c>
      <c r="D262" s="20">
        <f t="shared" si="22"/>
        <v>129</v>
      </c>
      <c r="E262" s="20">
        <v>1</v>
      </c>
      <c r="H262" s="20">
        <f t="shared" si="18"/>
        <v>2</v>
      </c>
      <c r="M262" s="20">
        <v>261</v>
      </c>
    </row>
    <row r="263" spans="1:13" x14ac:dyDescent="0.15">
      <c r="A263" s="20">
        <f t="shared" si="19"/>
        <v>11</v>
      </c>
      <c r="B263" s="20">
        <f t="shared" si="20"/>
        <v>1103</v>
      </c>
      <c r="C263" s="20">
        <f t="shared" ca="1" si="21"/>
        <v>50168</v>
      </c>
      <c r="D263" s="20">
        <f t="shared" ca="1" si="22"/>
        <v>181</v>
      </c>
      <c r="E263" s="20">
        <v>1</v>
      </c>
      <c r="H263" s="20">
        <f t="shared" si="18"/>
        <v>5</v>
      </c>
      <c r="M263" s="20">
        <v>262</v>
      </c>
    </row>
    <row r="264" spans="1:13" x14ac:dyDescent="0.15">
      <c r="A264" s="20">
        <f t="shared" si="19"/>
        <v>11</v>
      </c>
      <c r="B264" s="20">
        <f t="shared" si="20"/>
        <v>1103</v>
      </c>
      <c r="C264" s="20">
        <f t="shared" ca="1" si="21"/>
        <v>50066</v>
      </c>
      <c r="D264" s="20">
        <f t="shared" ca="1" si="22"/>
        <v>88</v>
      </c>
      <c r="E264" s="20">
        <v>1</v>
      </c>
      <c r="H264" s="20">
        <f t="shared" ref="H264:H327" si="23">H259</f>
        <v>8</v>
      </c>
      <c r="M264" s="20">
        <v>263</v>
      </c>
    </row>
    <row r="265" spans="1:13" x14ac:dyDescent="0.15">
      <c r="A265" s="20">
        <f t="shared" si="19"/>
        <v>11</v>
      </c>
      <c r="B265" s="20">
        <f t="shared" si="20"/>
        <v>1103</v>
      </c>
      <c r="C265" s="20">
        <f t="shared" ca="1" si="21"/>
        <v>50058</v>
      </c>
      <c r="D265" s="20">
        <f t="shared" ca="1" si="22"/>
        <v>55</v>
      </c>
      <c r="E265" s="20">
        <v>1</v>
      </c>
      <c r="H265" s="20">
        <f t="shared" si="23"/>
        <v>11</v>
      </c>
      <c r="M265" s="20">
        <v>264</v>
      </c>
    </row>
    <row r="266" spans="1:13" x14ac:dyDescent="0.15">
      <c r="A266" s="20">
        <f t="shared" si="19"/>
        <v>11</v>
      </c>
      <c r="B266" s="20">
        <f t="shared" si="20"/>
        <v>1103</v>
      </c>
      <c r="C266" s="20">
        <f t="shared" ca="1" si="21"/>
        <v>50050</v>
      </c>
      <c r="D266" s="20">
        <f t="shared" ca="1" si="22"/>
        <v>5</v>
      </c>
      <c r="E266" s="20">
        <v>1</v>
      </c>
      <c r="H266" s="20">
        <f t="shared" si="23"/>
        <v>14</v>
      </c>
      <c r="M266" s="20">
        <v>265</v>
      </c>
    </row>
    <row r="267" spans="1:13" x14ac:dyDescent="0.15">
      <c r="A267" s="20">
        <f t="shared" si="19"/>
        <v>11</v>
      </c>
      <c r="B267" s="20">
        <f t="shared" si="20"/>
        <v>1104</v>
      </c>
      <c r="C267" s="20">
        <f t="shared" si="21"/>
        <v>50053</v>
      </c>
      <c r="D267" s="20">
        <f t="shared" si="22"/>
        <v>129</v>
      </c>
      <c r="E267" s="20">
        <v>1</v>
      </c>
      <c r="H267" s="20">
        <f t="shared" si="23"/>
        <v>2</v>
      </c>
      <c r="M267" s="20">
        <v>266</v>
      </c>
    </row>
    <row r="268" spans="1:13" x14ac:dyDescent="0.15">
      <c r="A268" s="20">
        <f t="shared" si="19"/>
        <v>11</v>
      </c>
      <c r="B268" s="20">
        <f t="shared" si="20"/>
        <v>1104</v>
      </c>
      <c r="C268" s="20">
        <f t="shared" ca="1" si="21"/>
        <v>50047</v>
      </c>
      <c r="D268" s="20">
        <f t="shared" ca="1" si="22"/>
        <v>181</v>
      </c>
      <c r="E268" s="20">
        <v>1</v>
      </c>
      <c r="H268" s="20">
        <f t="shared" si="23"/>
        <v>5</v>
      </c>
      <c r="M268" s="20">
        <v>267</v>
      </c>
    </row>
    <row r="269" spans="1:13" x14ac:dyDescent="0.15">
      <c r="A269" s="20">
        <f t="shared" si="19"/>
        <v>11</v>
      </c>
      <c r="B269" s="20">
        <f t="shared" si="20"/>
        <v>1104</v>
      </c>
      <c r="C269" s="20">
        <f t="shared" ca="1" si="21"/>
        <v>50046</v>
      </c>
      <c r="D269" s="20">
        <f t="shared" ca="1" si="22"/>
        <v>88</v>
      </c>
      <c r="E269" s="20">
        <v>1</v>
      </c>
      <c r="H269" s="20">
        <f t="shared" si="23"/>
        <v>8</v>
      </c>
      <c r="M269" s="20">
        <v>268</v>
      </c>
    </row>
    <row r="270" spans="1:13" x14ac:dyDescent="0.15">
      <c r="A270" s="20">
        <f t="shared" si="19"/>
        <v>11</v>
      </c>
      <c r="B270" s="20">
        <f t="shared" si="20"/>
        <v>1104</v>
      </c>
      <c r="C270" s="20">
        <f t="shared" ca="1" si="21"/>
        <v>50044</v>
      </c>
      <c r="D270" s="20">
        <f t="shared" ca="1" si="22"/>
        <v>55</v>
      </c>
      <c r="E270" s="20">
        <v>1</v>
      </c>
      <c r="H270" s="20">
        <f t="shared" si="23"/>
        <v>11</v>
      </c>
      <c r="M270" s="20">
        <v>269</v>
      </c>
    </row>
    <row r="271" spans="1:13" x14ac:dyDescent="0.15">
      <c r="A271" s="20">
        <f t="shared" si="19"/>
        <v>11</v>
      </c>
      <c r="B271" s="20">
        <f t="shared" si="20"/>
        <v>1104</v>
      </c>
      <c r="C271" s="20">
        <f t="shared" ca="1" si="21"/>
        <v>50077</v>
      </c>
      <c r="D271" s="20">
        <f t="shared" ca="1" si="22"/>
        <v>1</v>
      </c>
      <c r="E271" s="20">
        <v>1</v>
      </c>
      <c r="H271" s="20">
        <f t="shared" si="23"/>
        <v>14</v>
      </c>
      <c r="M271" s="20">
        <v>270</v>
      </c>
    </row>
    <row r="272" spans="1:13" x14ac:dyDescent="0.15">
      <c r="A272" s="20">
        <f t="shared" si="19"/>
        <v>11</v>
      </c>
      <c r="B272" s="20">
        <f t="shared" si="20"/>
        <v>1105</v>
      </c>
      <c r="C272" s="20">
        <f t="shared" si="21"/>
        <v>50054</v>
      </c>
      <c r="D272" s="20">
        <f t="shared" si="22"/>
        <v>129</v>
      </c>
      <c r="E272" s="20">
        <v>1</v>
      </c>
      <c r="H272" s="20">
        <f t="shared" si="23"/>
        <v>2</v>
      </c>
      <c r="M272" s="20">
        <v>271</v>
      </c>
    </row>
    <row r="273" spans="1:13" x14ac:dyDescent="0.15">
      <c r="A273" s="20">
        <f t="shared" si="19"/>
        <v>11</v>
      </c>
      <c r="B273" s="20">
        <f t="shared" si="20"/>
        <v>1105</v>
      </c>
      <c r="C273" s="20">
        <f t="shared" ca="1" si="21"/>
        <v>50056</v>
      </c>
      <c r="D273" s="20">
        <f t="shared" ca="1" si="22"/>
        <v>129</v>
      </c>
      <c r="E273" s="20">
        <v>1</v>
      </c>
      <c r="H273" s="20">
        <f t="shared" si="23"/>
        <v>5</v>
      </c>
      <c r="M273" s="20">
        <v>272</v>
      </c>
    </row>
    <row r="274" spans="1:13" x14ac:dyDescent="0.15">
      <c r="A274" s="20">
        <f t="shared" si="19"/>
        <v>11</v>
      </c>
      <c r="B274" s="20">
        <f t="shared" si="20"/>
        <v>1105</v>
      </c>
      <c r="C274" s="20">
        <f t="shared" ca="1" si="21"/>
        <v>50055</v>
      </c>
      <c r="D274" s="20">
        <f t="shared" ca="1" si="22"/>
        <v>129</v>
      </c>
      <c r="E274" s="20">
        <v>1</v>
      </c>
      <c r="H274" s="20">
        <f t="shared" si="23"/>
        <v>8</v>
      </c>
      <c r="M274" s="20">
        <v>273</v>
      </c>
    </row>
    <row r="275" spans="1:13" x14ac:dyDescent="0.15">
      <c r="A275" s="20">
        <f t="shared" si="19"/>
        <v>11</v>
      </c>
      <c r="B275" s="20">
        <f t="shared" si="20"/>
        <v>1105</v>
      </c>
      <c r="C275" s="20">
        <f t="shared" ca="1" si="21"/>
        <v>50058</v>
      </c>
      <c r="D275" s="20">
        <f t="shared" ca="1" si="22"/>
        <v>55</v>
      </c>
      <c r="E275" s="20">
        <v>1</v>
      </c>
      <c r="H275" s="20">
        <f t="shared" si="23"/>
        <v>11</v>
      </c>
      <c r="M275" s="20">
        <v>274</v>
      </c>
    </row>
    <row r="276" spans="1:13" x14ac:dyDescent="0.15">
      <c r="A276" s="20">
        <f t="shared" si="19"/>
        <v>11</v>
      </c>
      <c r="B276" s="20">
        <f t="shared" si="20"/>
        <v>1105</v>
      </c>
      <c r="C276" s="20">
        <f t="shared" ca="1" si="21"/>
        <v>50071</v>
      </c>
      <c r="D276" s="20">
        <f t="shared" ca="1" si="22"/>
        <v>1</v>
      </c>
      <c r="E276" s="20">
        <v>1</v>
      </c>
      <c r="H276" s="20">
        <f t="shared" si="23"/>
        <v>14</v>
      </c>
      <c r="M276" s="20">
        <v>275</v>
      </c>
    </row>
    <row r="277" spans="1:13" x14ac:dyDescent="0.15">
      <c r="A277" s="20">
        <f t="shared" si="19"/>
        <v>12</v>
      </c>
      <c r="B277" s="20">
        <f t="shared" si="20"/>
        <v>1201</v>
      </c>
      <c r="C277" s="20">
        <f t="shared" si="21"/>
        <v>50055</v>
      </c>
      <c r="D277" s="20">
        <f t="shared" si="22"/>
        <v>129</v>
      </c>
      <c r="E277" s="20">
        <v>1</v>
      </c>
      <c r="H277" s="20">
        <f t="shared" si="23"/>
        <v>2</v>
      </c>
      <c r="M277" s="20">
        <v>276</v>
      </c>
    </row>
    <row r="278" spans="1:13" x14ac:dyDescent="0.15">
      <c r="A278" s="20">
        <f t="shared" si="19"/>
        <v>12</v>
      </c>
      <c r="B278" s="20">
        <f t="shared" si="20"/>
        <v>1201</v>
      </c>
      <c r="C278" s="20">
        <f t="shared" ca="1" si="21"/>
        <v>50063</v>
      </c>
      <c r="D278" s="20">
        <f t="shared" ca="1" si="22"/>
        <v>129</v>
      </c>
      <c r="E278" s="20">
        <v>1</v>
      </c>
      <c r="H278" s="20">
        <f t="shared" si="23"/>
        <v>5</v>
      </c>
      <c r="M278" s="20">
        <v>277</v>
      </c>
    </row>
    <row r="279" spans="1:13" x14ac:dyDescent="0.15">
      <c r="A279" s="20">
        <f t="shared" si="19"/>
        <v>12</v>
      </c>
      <c r="B279" s="20">
        <f t="shared" si="20"/>
        <v>1201</v>
      </c>
      <c r="C279" s="20">
        <f t="shared" ca="1" si="21"/>
        <v>50046</v>
      </c>
      <c r="D279" s="20">
        <f t="shared" ca="1" si="22"/>
        <v>88</v>
      </c>
      <c r="E279" s="20">
        <v>1</v>
      </c>
      <c r="H279" s="20">
        <f t="shared" si="23"/>
        <v>8</v>
      </c>
      <c r="M279" s="20">
        <v>278</v>
      </c>
    </row>
    <row r="280" spans="1:13" x14ac:dyDescent="0.15">
      <c r="A280" s="20">
        <f t="shared" si="19"/>
        <v>12</v>
      </c>
      <c r="B280" s="20">
        <f t="shared" si="20"/>
        <v>1201</v>
      </c>
      <c r="C280" s="20">
        <f t="shared" ca="1" si="21"/>
        <v>50058</v>
      </c>
      <c r="D280" s="20">
        <f t="shared" ca="1" si="22"/>
        <v>55</v>
      </c>
      <c r="E280" s="20">
        <v>1</v>
      </c>
      <c r="H280" s="20">
        <f t="shared" si="23"/>
        <v>11</v>
      </c>
      <c r="M280" s="20">
        <v>279</v>
      </c>
    </row>
    <row r="281" spans="1:13" x14ac:dyDescent="0.15">
      <c r="A281" s="20">
        <f t="shared" si="19"/>
        <v>12</v>
      </c>
      <c r="B281" s="20">
        <f t="shared" si="20"/>
        <v>1201</v>
      </c>
      <c r="C281" s="20">
        <f t="shared" ca="1" si="21"/>
        <v>50059</v>
      </c>
      <c r="D281" s="20">
        <f t="shared" ca="1" si="22"/>
        <v>5</v>
      </c>
      <c r="E281" s="20">
        <v>1</v>
      </c>
      <c r="H281" s="20">
        <f t="shared" si="23"/>
        <v>14</v>
      </c>
      <c r="M281" s="20">
        <v>280</v>
      </c>
    </row>
    <row r="282" spans="1:13" x14ac:dyDescent="0.15">
      <c r="A282" s="20">
        <f t="shared" si="19"/>
        <v>12</v>
      </c>
      <c r="B282" s="20">
        <f t="shared" si="20"/>
        <v>1202</v>
      </c>
      <c r="C282" s="20">
        <f t="shared" si="21"/>
        <v>50056</v>
      </c>
      <c r="D282" s="20">
        <f t="shared" si="22"/>
        <v>129</v>
      </c>
      <c r="E282" s="20">
        <v>1</v>
      </c>
      <c r="H282" s="20">
        <f t="shared" si="23"/>
        <v>2</v>
      </c>
      <c r="M282" s="20">
        <v>281</v>
      </c>
    </row>
    <row r="283" spans="1:13" x14ac:dyDescent="0.15">
      <c r="A283" s="20">
        <f t="shared" si="19"/>
        <v>12</v>
      </c>
      <c r="B283" s="20">
        <f t="shared" si="20"/>
        <v>1202</v>
      </c>
      <c r="C283" s="20">
        <f t="shared" ca="1" si="21"/>
        <v>50070</v>
      </c>
      <c r="D283" s="20">
        <f t="shared" ca="1" si="22"/>
        <v>129</v>
      </c>
      <c r="E283" s="20">
        <v>1</v>
      </c>
      <c r="H283" s="20">
        <f t="shared" si="23"/>
        <v>5</v>
      </c>
      <c r="M283" s="20">
        <v>282</v>
      </c>
    </row>
    <row r="284" spans="1:13" x14ac:dyDescent="0.15">
      <c r="A284" s="20">
        <f t="shared" ref="A284:A347" si="24">A259+1</f>
        <v>12</v>
      </c>
      <c r="B284" s="20">
        <f t="shared" ref="B284:B347" si="25">B259+100</f>
        <v>1202</v>
      </c>
      <c r="C284" s="20">
        <f t="shared" ca="1" si="21"/>
        <v>50056</v>
      </c>
      <c r="D284" s="20">
        <f t="shared" ca="1" si="22"/>
        <v>129</v>
      </c>
      <c r="E284" s="20">
        <v>1</v>
      </c>
      <c r="H284" s="20">
        <f t="shared" si="23"/>
        <v>8</v>
      </c>
      <c r="M284" s="20">
        <v>283</v>
      </c>
    </row>
    <row r="285" spans="1:13" x14ac:dyDescent="0.15">
      <c r="A285" s="20">
        <f t="shared" si="24"/>
        <v>12</v>
      </c>
      <c r="B285" s="20">
        <f t="shared" si="25"/>
        <v>1202</v>
      </c>
      <c r="C285" s="20">
        <f t="shared" ca="1" si="21"/>
        <v>50058</v>
      </c>
      <c r="D285" s="20">
        <f t="shared" ca="1" si="22"/>
        <v>55</v>
      </c>
      <c r="E285" s="20">
        <v>1</v>
      </c>
      <c r="H285" s="20">
        <f t="shared" si="23"/>
        <v>11</v>
      </c>
      <c r="M285" s="20">
        <v>284</v>
      </c>
    </row>
    <row r="286" spans="1:13" x14ac:dyDescent="0.15">
      <c r="A286" s="20">
        <f t="shared" si="24"/>
        <v>12</v>
      </c>
      <c r="B286" s="20">
        <f t="shared" si="25"/>
        <v>1202</v>
      </c>
      <c r="C286" s="20">
        <f t="shared" ca="1" si="21"/>
        <v>50190</v>
      </c>
      <c r="D286" s="20">
        <f t="shared" ca="1" si="22"/>
        <v>1</v>
      </c>
      <c r="E286" s="20">
        <v>1</v>
      </c>
      <c r="H286" s="20">
        <f t="shared" si="23"/>
        <v>14</v>
      </c>
      <c r="M286" s="20">
        <v>285</v>
      </c>
    </row>
    <row r="287" spans="1:13" x14ac:dyDescent="0.15">
      <c r="A287" s="20">
        <f t="shared" si="24"/>
        <v>12</v>
      </c>
      <c r="B287" s="20">
        <f t="shared" si="25"/>
        <v>1203</v>
      </c>
      <c r="C287" s="20">
        <f t="shared" si="21"/>
        <v>50057</v>
      </c>
      <c r="D287" s="20">
        <f t="shared" si="22"/>
        <v>129</v>
      </c>
      <c r="E287" s="20">
        <v>1</v>
      </c>
      <c r="H287" s="20">
        <f t="shared" si="23"/>
        <v>2</v>
      </c>
      <c r="M287" s="20">
        <v>286</v>
      </c>
    </row>
    <row r="288" spans="1:13" x14ac:dyDescent="0.15">
      <c r="A288" s="20">
        <f t="shared" si="24"/>
        <v>12</v>
      </c>
      <c r="B288" s="20">
        <f t="shared" si="25"/>
        <v>1203</v>
      </c>
      <c r="C288" s="20">
        <f t="shared" ca="1" si="21"/>
        <v>50057</v>
      </c>
      <c r="D288" s="20">
        <f t="shared" ca="1" si="22"/>
        <v>129</v>
      </c>
      <c r="E288" s="20">
        <v>1</v>
      </c>
      <c r="H288" s="20">
        <f t="shared" si="23"/>
        <v>5</v>
      </c>
      <c r="M288" s="20">
        <v>287</v>
      </c>
    </row>
    <row r="289" spans="1:13" x14ac:dyDescent="0.15">
      <c r="A289" s="20">
        <f t="shared" si="24"/>
        <v>12</v>
      </c>
      <c r="B289" s="20">
        <f t="shared" si="25"/>
        <v>1203</v>
      </c>
      <c r="C289" s="20">
        <f t="shared" ca="1" si="21"/>
        <v>50067</v>
      </c>
      <c r="D289" s="20">
        <f t="shared" ca="1" si="22"/>
        <v>88</v>
      </c>
      <c r="E289" s="20">
        <v>1</v>
      </c>
      <c r="H289" s="20">
        <f t="shared" si="23"/>
        <v>8</v>
      </c>
      <c r="M289" s="20">
        <v>288</v>
      </c>
    </row>
    <row r="290" spans="1:13" x14ac:dyDescent="0.15">
      <c r="A290" s="20">
        <f t="shared" si="24"/>
        <v>12</v>
      </c>
      <c r="B290" s="20">
        <f t="shared" si="25"/>
        <v>1203</v>
      </c>
      <c r="C290" s="20">
        <f t="shared" ca="1" si="21"/>
        <v>50188</v>
      </c>
      <c r="D290" s="20">
        <f t="shared" ca="1" si="22"/>
        <v>32</v>
      </c>
      <c r="E290" s="20">
        <v>1</v>
      </c>
      <c r="H290" s="20">
        <f t="shared" si="23"/>
        <v>11</v>
      </c>
      <c r="M290" s="20">
        <v>289</v>
      </c>
    </row>
    <row r="291" spans="1:13" x14ac:dyDescent="0.15">
      <c r="A291" s="20">
        <f t="shared" si="24"/>
        <v>12</v>
      </c>
      <c r="B291" s="20">
        <f t="shared" si="25"/>
        <v>1203</v>
      </c>
      <c r="C291" s="20">
        <f t="shared" ca="1" si="21"/>
        <v>50050</v>
      </c>
      <c r="D291" s="20">
        <f t="shared" ca="1" si="22"/>
        <v>5</v>
      </c>
      <c r="E291" s="20">
        <v>1</v>
      </c>
      <c r="H291" s="20">
        <f t="shared" si="23"/>
        <v>14</v>
      </c>
      <c r="M291" s="20">
        <v>290</v>
      </c>
    </row>
    <row r="292" spans="1:13" x14ac:dyDescent="0.15">
      <c r="A292" s="20">
        <f t="shared" si="24"/>
        <v>12</v>
      </c>
      <c r="B292" s="20">
        <f t="shared" si="25"/>
        <v>1204</v>
      </c>
      <c r="C292" s="20">
        <f t="shared" si="21"/>
        <v>50063</v>
      </c>
      <c r="D292" s="20">
        <f t="shared" si="22"/>
        <v>129</v>
      </c>
      <c r="E292" s="20">
        <v>1</v>
      </c>
      <c r="H292" s="20">
        <f t="shared" si="23"/>
        <v>2</v>
      </c>
      <c r="M292" s="20">
        <v>291</v>
      </c>
    </row>
    <row r="293" spans="1:13" x14ac:dyDescent="0.15">
      <c r="A293" s="20">
        <f t="shared" si="24"/>
        <v>12</v>
      </c>
      <c r="B293" s="20">
        <f t="shared" si="25"/>
        <v>1204</v>
      </c>
      <c r="C293" s="20">
        <f t="shared" ca="1" si="21"/>
        <v>50052</v>
      </c>
      <c r="D293" s="20">
        <f t="shared" ca="1" si="22"/>
        <v>181</v>
      </c>
      <c r="E293" s="20">
        <v>1</v>
      </c>
      <c r="H293" s="20">
        <f t="shared" si="23"/>
        <v>5</v>
      </c>
      <c r="M293" s="20">
        <v>292</v>
      </c>
    </row>
    <row r="294" spans="1:13" x14ac:dyDescent="0.15">
      <c r="A294" s="20">
        <f t="shared" si="24"/>
        <v>12</v>
      </c>
      <c r="B294" s="20">
        <f t="shared" si="25"/>
        <v>1204</v>
      </c>
      <c r="C294" s="20">
        <f t="shared" ca="1" si="21"/>
        <v>50066</v>
      </c>
      <c r="D294" s="20">
        <f t="shared" ca="1" si="22"/>
        <v>88</v>
      </c>
      <c r="E294" s="20">
        <v>1</v>
      </c>
      <c r="H294" s="20">
        <f t="shared" si="23"/>
        <v>8</v>
      </c>
      <c r="M294" s="20">
        <v>293</v>
      </c>
    </row>
    <row r="295" spans="1:13" x14ac:dyDescent="0.15">
      <c r="A295" s="20">
        <f t="shared" si="24"/>
        <v>12</v>
      </c>
      <c r="B295" s="20">
        <f t="shared" si="25"/>
        <v>1204</v>
      </c>
      <c r="C295" s="20">
        <f t="shared" ca="1" si="21"/>
        <v>50049</v>
      </c>
      <c r="D295" s="20">
        <f t="shared" ca="1" si="22"/>
        <v>32</v>
      </c>
      <c r="E295" s="20">
        <v>1</v>
      </c>
      <c r="H295" s="20">
        <f t="shared" si="23"/>
        <v>11</v>
      </c>
      <c r="M295" s="20">
        <v>294</v>
      </c>
    </row>
    <row r="296" spans="1:13" x14ac:dyDescent="0.15">
      <c r="A296" s="20">
        <f t="shared" si="24"/>
        <v>12</v>
      </c>
      <c r="B296" s="20">
        <f t="shared" si="25"/>
        <v>1204</v>
      </c>
      <c r="C296" s="20">
        <f t="shared" ca="1" si="21"/>
        <v>50075</v>
      </c>
      <c r="D296" s="20">
        <f t="shared" ca="1" si="22"/>
        <v>1</v>
      </c>
      <c r="E296" s="20">
        <v>1</v>
      </c>
      <c r="H296" s="20">
        <f t="shared" si="23"/>
        <v>14</v>
      </c>
      <c r="M296" s="20">
        <v>295</v>
      </c>
    </row>
    <row r="297" spans="1:13" x14ac:dyDescent="0.15">
      <c r="A297" s="20">
        <f t="shared" si="24"/>
        <v>12</v>
      </c>
      <c r="B297" s="20">
        <f t="shared" si="25"/>
        <v>1205</v>
      </c>
      <c r="C297" s="20">
        <f t="shared" si="21"/>
        <v>50064</v>
      </c>
      <c r="D297" s="20">
        <f t="shared" si="22"/>
        <v>129</v>
      </c>
      <c r="E297" s="20">
        <v>1</v>
      </c>
      <c r="H297" s="20">
        <f t="shared" si="23"/>
        <v>2</v>
      </c>
      <c r="M297" s="20">
        <v>296</v>
      </c>
    </row>
    <row r="298" spans="1:13" x14ac:dyDescent="0.15">
      <c r="A298" s="20">
        <f t="shared" si="24"/>
        <v>12</v>
      </c>
      <c r="B298" s="20">
        <f t="shared" si="25"/>
        <v>1205</v>
      </c>
      <c r="C298" s="20">
        <f t="shared" ca="1" si="21"/>
        <v>50189</v>
      </c>
      <c r="D298" s="20">
        <f t="shared" ca="1" si="22"/>
        <v>181</v>
      </c>
      <c r="E298" s="20">
        <v>1</v>
      </c>
      <c r="H298" s="20">
        <f t="shared" si="23"/>
        <v>5</v>
      </c>
      <c r="M298" s="20">
        <v>297</v>
      </c>
    </row>
    <row r="299" spans="1:13" x14ac:dyDescent="0.15">
      <c r="A299" s="20">
        <f t="shared" si="24"/>
        <v>12</v>
      </c>
      <c r="B299" s="20">
        <f t="shared" si="25"/>
        <v>1205</v>
      </c>
      <c r="C299" s="20">
        <f t="shared" ca="1" si="21"/>
        <v>50070</v>
      </c>
      <c r="D299" s="20">
        <f t="shared" ca="1" si="22"/>
        <v>129</v>
      </c>
      <c r="E299" s="20">
        <v>1</v>
      </c>
      <c r="H299" s="20">
        <f t="shared" si="23"/>
        <v>8</v>
      </c>
      <c r="M299" s="20">
        <v>298</v>
      </c>
    </row>
    <row r="300" spans="1:13" x14ac:dyDescent="0.15">
      <c r="A300" s="20">
        <f t="shared" si="24"/>
        <v>12</v>
      </c>
      <c r="B300" s="20">
        <f t="shared" si="25"/>
        <v>1205</v>
      </c>
      <c r="C300" s="20">
        <f t="shared" ca="1" si="21"/>
        <v>50170</v>
      </c>
      <c r="D300" s="20">
        <f t="shared" ca="1" si="22"/>
        <v>32</v>
      </c>
      <c r="E300" s="20">
        <v>1</v>
      </c>
      <c r="H300" s="20">
        <f t="shared" si="23"/>
        <v>11</v>
      </c>
      <c r="M300" s="20">
        <v>299</v>
      </c>
    </row>
    <row r="301" spans="1:13" x14ac:dyDescent="0.15">
      <c r="A301" s="20">
        <f t="shared" si="24"/>
        <v>12</v>
      </c>
      <c r="B301" s="20">
        <f t="shared" si="25"/>
        <v>1205</v>
      </c>
      <c r="C301" s="20">
        <f t="shared" ca="1" si="21"/>
        <v>50190</v>
      </c>
      <c r="D301" s="20">
        <f t="shared" ca="1" si="22"/>
        <v>1</v>
      </c>
      <c r="E301" s="20">
        <v>1</v>
      </c>
      <c r="H301" s="20">
        <f t="shared" si="23"/>
        <v>14</v>
      </c>
      <c r="M301" s="20">
        <v>300</v>
      </c>
    </row>
    <row r="302" spans="1:13" x14ac:dyDescent="0.15">
      <c r="A302" s="20">
        <f t="shared" si="24"/>
        <v>13</v>
      </c>
      <c r="B302" s="20">
        <f t="shared" si="25"/>
        <v>1301</v>
      </c>
      <c r="C302" s="20">
        <f t="shared" si="21"/>
        <v>50065</v>
      </c>
      <c r="D302" s="20">
        <f t="shared" si="22"/>
        <v>129</v>
      </c>
      <c r="E302" s="20">
        <v>1</v>
      </c>
      <c r="H302" s="20">
        <f t="shared" si="23"/>
        <v>2</v>
      </c>
      <c r="M302" s="20">
        <v>301</v>
      </c>
    </row>
    <row r="303" spans="1:13" x14ac:dyDescent="0.15">
      <c r="A303" s="20">
        <f t="shared" si="24"/>
        <v>13</v>
      </c>
      <c r="B303" s="20">
        <f t="shared" si="25"/>
        <v>1301</v>
      </c>
      <c r="C303" s="20">
        <f t="shared" ca="1" si="21"/>
        <v>50070</v>
      </c>
      <c r="D303" s="20">
        <f t="shared" ca="1" si="22"/>
        <v>129</v>
      </c>
      <c r="E303" s="20">
        <v>1</v>
      </c>
      <c r="H303" s="20">
        <f t="shared" si="23"/>
        <v>5</v>
      </c>
      <c r="M303" s="20">
        <v>302</v>
      </c>
    </row>
    <row r="304" spans="1:13" x14ac:dyDescent="0.15">
      <c r="A304" s="20">
        <f t="shared" si="24"/>
        <v>13</v>
      </c>
      <c r="B304" s="20">
        <f t="shared" si="25"/>
        <v>1301</v>
      </c>
      <c r="C304" s="20">
        <f t="shared" ca="1" si="21"/>
        <v>50055</v>
      </c>
      <c r="D304" s="20">
        <f t="shared" ca="1" si="22"/>
        <v>129</v>
      </c>
      <c r="E304" s="20">
        <v>1</v>
      </c>
      <c r="H304" s="20">
        <f t="shared" si="23"/>
        <v>8</v>
      </c>
      <c r="M304" s="20">
        <v>303</v>
      </c>
    </row>
    <row r="305" spans="1:13" x14ac:dyDescent="0.15">
      <c r="A305" s="20">
        <f t="shared" si="24"/>
        <v>13</v>
      </c>
      <c r="B305" s="20">
        <f t="shared" si="25"/>
        <v>1301</v>
      </c>
      <c r="C305" s="20">
        <f t="shared" ca="1" si="21"/>
        <v>50044</v>
      </c>
      <c r="D305" s="20">
        <f t="shared" ca="1" si="22"/>
        <v>55</v>
      </c>
      <c r="E305" s="20">
        <v>1</v>
      </c>
      <c r="H305" s="20">
        <f t="shared" si="23"/>
        <v>11</v>
      </c>
      <c r="M305" s="20">
        <v>304</v>
      </c>
    </row>
    <row r="306" spans="1:13" x14ac:dyDescent="0.15">
      <c r="A306" s="20">
        <f t="shared" si="24"/>
        <v>13</v>
      </c>
      <c r="B306" s="20">
        <f t="shared" si="25"/>
        <v>1301</v>
      </c>
      <c r="C306" s="20">
        <f t="shared" ca="1" si="21"/>
        <v>50073</v>
      </c>
      <c r="D306" s="20">
        <f t="shared" ca="1" si="22"/>
        <v>1</v>
      </c>
      <c r="E306" s="20">
        <v>1</v>
      </c>
      <c r="H306" s="20">
        <f t="shared" si="23"/>
        <v>14</v>
      </c>
      <c r="M306" s="20">
        <v>305</v>
      </c>
    </row>
    <row r="307" spans="1:13" x14ac:dyDescent="0.15">
      <c r="A307" s="20">
        <f t="shared" si="24"/>
        <v>13</v>
      </c>
      <c r="B307" s="20">
        <f t="shared" si="25"/>
        <v>1302</v>
      </c>
      <c r="C307" s="20">
        <f t="shared" si="21"/>
        <v>50070</v>
      </c>
      <c r="D307" s="20">
        <f t="shared" si="22"/>
        <v>129</v>
      </c>
      <c r="E307" s="20">
        <v>1</v>
      </c>
      <c r="H307" s="20">
        <f t="shared" si="23"/>
        <v>2</v>
      </c>
      <c r="M307" s="20">
        <v>306</v>
      </c>
    </row>
    <row r="308" spans="1:13" x14ac:dyDescent="0.15">
      <c r="A308" s="20">
        <f t="shared" si="24"/>
        <v>13</v>
      </c>
      <c r="B308" s="20">
        <f t="shared" si="25"/>
        <v>1302</v>
      </c>
      <c r="C308" s="20">
        <f t="shared" ca="1" si="21"/>
        <v>50070</v>
      </c>
      <c r="D308" s="20">
        <f t="shared" ca="1" si="22"/>
        <v>129</v>
      </c>
      <c r="E308" s="20">
        <v>1</v>
      </c>
      <c r="H308" s="20">
        <f t="shared" si="23"/>
        <v>5</v>
      </c>
      <c r="M308" s="20">
        <v>307</v>
      </c>
    </row>
    <row r="309" spans="1:13" x14ac:dyDescent="0.15">
      <c r="A309" s="20">
        <f t="shared" si="24"/>
        <v>13</v>
      </c>
      <c r="B309" s="20">
        <f t="shared" si="25"/>
        <v>1302</v>
      </c>
      <c r="C309" s="20">
        <f t="shared" ca="1" si="21"/>
        <v>50046</v>
      </c>
      <c r="D309" s="20">
        <f t="shared" ca="1" si="22"/>
        <v>88</v>
      </c>
      <c r="E309" s="20">
        <v>1</v>
      </c>
      <c r="H309" s="20">
        <f t="shared" si="23"/>
        <v>8</v>
      </c>
      <c r="M309" s="20">
        <v>308</v>
      </c>
    </row>
    <row r="310" spans="1:13" x14ac:dyDescent="0.15">
      <c r="A310" s="20">
        <f t="shared" si="24"/>
        <v>13</v>
      </c>
      <c r="B310" s="20">
        <f t="shared" si="25"/>
        <v>1302</v>
      </c>
      <c r="C310" s="20">
        <f t="shared" ca="1" si="21"/>
        <v>50170</v>
      </c>
      <c r="D310" s="20">
        <f t="shared" ca="1" si="22"/>
        <v>32</v>
      </c>
      <c r="E310" s="20">
        <v>1</v>
      </c>
      <c r="H310" s="20">
        <f t="shared" si="23"/>
        <v>11</v>
      </c>
      <c r="M310" s="20">
        <v>309</v>
      </c>
    </row>
    <row r="311" spans="1:13" x14ac:dyDescent="0.15">
      <c r="A311" s="20">
        <f t="shared" si="24"/>
        <v>13</v>
      </c>
      <c r="B311" s="20">
        <f t="shared" si="25"/>
        <v>1302</v>
      </c>
      <c r="C311" s="20">
        <f t="shared" ca="1" si="21"/>
        <v>50071</v>
      </c>
      <c r="D311" s="20">
        <f t="shared" ca="1" si="22"/>
        <v>1</v>
      </c>
      <c r="E311" s="20">
        <v>1</v>
      </c>
      <c r="H311" s="20">
        <f t="shared" si="23"/>
        <v>14</v>
      </c>
      <c r="M311" s="20">
        <v>310</v>
      </c>
    </row>
    <row r="312" spans="1:13" x14ac:dyDescent="0.15">
      <c r="A312" s="20">
        <f t="shared" si="24"/>
        <v>13</v>
      </c>
      <c r="B312" s="20">
        <f t="shared" si="25"/>
        <v>1303</v>
      </c>
      <c r="C312" s="20">
        <f t="shared" si="21"/>
        <v>50043</v>
      </c>
      <c r="D312" s="20">
        <f t="shared" si="22"/>
        <v>88</v>
      </c>
      <c r="E312" s="20">
        <v>1</v>
      </c>
      <c r="H312" s="20">
        <f t="shared" si="23"/>
        <v>2</v>
      </c>
      <c r="M312" s="20">
        <v>311</v>
      </c>
    </row>
    <row r="313" spans="1:13" x14ac:dyDescent="0.15">
      <c r="A313" s="20">
        <f t="shared" si="24"/>
        <v>13</v>
      </c>
      <c r="B313" s="20">
        <f t="shared" si="25"/>
        <v>1303</v>
      </c>
      <c r="C313" s="20">
        <f t="shared" ca="1" si="21"/>
        <v>50056</v>
      </c>
      <c r="D313" s="20">
        <f t="shared" ca="1" si="22"/>
        <v>129</v>
      </c>
      <c r="E313" s="20">
        <v>1</v>
      </c>
      <c r="H313" s="20">
        <f t="shared" si="23"/>
        <v>5</v>
      </c>
      <c r="M313" s="20">
        <v>312</v>
      </c>
    </row>
    <row r="314" spans="1:13" x14ac:dyDescent="0.15">
      <c r="A314" s="20">
        <f t="shared" si="24"/>
        <v>13</v>
      </c>
      <c r="B314" s="20">
        <f t="shared" si="25"/>
        <v>1303</v>
      </c>
      <c r="C314" s="20">
        <f t="shared" ca="1" si="21"/>
        <v>50169</v>
      </c>
      <c r="D314" s="20">
        <f t="shared" ca="1" si="22"/>
        <v>88</v>
      </c>
      <c r="E314" s="20">
        <v>1</v>
      </c>
      <c r="H314" s="20">
        <f t="shared" si="23"/>
        <v>8</v>
      </c>
      <c r="M314" s="20">
        <v>313</v>
      </c>
    </row>
    <row r="315" spans="1:13" x14ac:dyDescent="0.15">
      <c r="A315" s="20">
        <f t="shared" si="24"/>
        <v>13</v>
      </c>
      <c r="B315" s="20">
        <f t="shared" si="25"/>
        <v>1303</v>
      </c>
      <c r="C315" s="20">
        <f t="shared" ca="1" si="21"/>
        <v>50062</v>
      </c>
      <c r="D315" s="20">
        <f t="shared" ca="1" si="22"/>
        <v>32</v>
      </c>
      <c r="E315" s="20">
        <v>1</v>
      </c>
      <c r="H315" s="20">
        <f t="shared" si="23"/>
        <v>11</v>
      </c>
      <c r="M315" s="20">
        <v>314</v>
      </c>
    </row>
    <row r="316" spans="1:13" x14ac:dyDescent="0.15">
      <c r="A316" s="20">
        <f t="shared" si="24"/>
        <v>13</v>
      </c>
      <c r="B316" s="20">
        <f t="shared" si="25"/>
        <v>1303</v>
      </c>
      <c r="C316" s="20">
        <f t="shared" ca="1" si="21"/>
        <v>50072</v>
      </c>
      <c r="D316" s="20">
        <f t="shared" ca="1" si="22"/>
        <v>1</v>
      </c>
      <c r="E316" s="20">
        <v>1</v>
      </c>
      <c r="H316" s="20">
        <f t="shared" si="23"/>
        <v>14</v>
      </c>
      <c r="M316" s="20">
        <v>315</v>
      </c>
    </row>
    <row r="317" spans="1:13" x14ac:dyDescent="0.15">
      <c r="A317" s="20">
        <f t="shared" si="24"/>
        <v>13</v>
      </c>
      <c r="B317" s="20">
        <f t="shared" si="25"/>
        <v>1304</v>
      </c>
      <c r="C317" s="20">
        <f t="shared" si="21"/>
        <v>50046</v>
      </c>
      <c r="D317" s="20">
        <f t="shared" si="22"/>
        <v>88</v>
      </c>
      <c r="E317" s="20">
        <v>1</v>
      </c>
      <c r="H317" s="20">
        <f t="shared" si="23"/>
        <v>2</v>
      </c>
      <c r="M317" s="20">
        <v>316</v>
      </c>
    </row>
    <row r="318" spans="1:13" x14ac:dyDescent="0.15">
      <c r="A318" s="20">
        <f t="shared" si="24"/>
        <v>13</v>
      </c>
      <c r="B318" s="20">
        <f t="shared" si="25"/>
        <v>1304</v>
      </c>
      <c r="C318" s="20">
        <f t="shared" ca="1" si="21"/>
        <v>50052</v>
      </c>
      <c r="D318" s="20">
        <f t="shared" ca="1" si="22"/>
        <v>181</v>
      </c>
      <c r="E318" s="20">
        <v>1</v>
      </c>
      <c r="H318" s="20">
        <f t="shared" si="23"/>
        <v>5</v>
      </c>
      <c r="M318" s="20">
        <v>317</v>
      </c>
    </row>
    <row r="319" spans="1:13" x14ac:dyDescent="0.15">
      <c r="A319" s="20">
        <f t="shared" si="24"/>
        <v>13</v>
      </c>
      <c r="B319" s="20">
        <f t="shared" si="25"/>
        <v>1304</v>
      </c>
      <c r="C319" s="20">
        <f t="shared" ca="1" si="21"/>
        <v>50043</v>
      </c>
      <c r="D319" s="20">
        <f t="shared" ca="1" si="22"/>
        <v>88</v>
      </c>
      <c r="E319" s="20">
        <v>1</v>
      </c>
      <c r="H319" s="20">
        <f t="shared" si="23"/>
        <v>8</v>
      </c>
      <c r="M319" s="20">
        <v>318</v>
      </c>
    </row>
    <row r="320" spans="1:13" x14ac:dyDescent="0.15">
      <c r="A320" s="20">
        <f t="shared" si="24"/>
        <v>13</v>
      </c>
      <c r="B320" s="20">
        <f t="shared" si="25"/>
        <v>1304</v>
      </c>
      <c r="C320" s="20">
        <f t="shared" ca="1" si="21"/>
        <v>50044</v>
      </c>
      <c r="D320" s="20">
        <f t="shared" ca="1" si="22"/>
        <v>55</v>
      </c>
      <c r="E320" s="20">
        <v>1</v>
      </c>
      <c r="H320" s="20">
        <f t="shared" si="23"/>
        <v>11</v>
      </c>
      <c r="M320" s="20">
        <v>319</v>
      </c>
    </row>
    <row r="321" spans="1:13" x14ac:dyDescent="0.15">
      <c r="A321" s="20">
        <f t="shared" si="24"/>
        <v>13</v>
      </c>
      <c r="B321" s="20">
        <f t="shared" si="25"/>
        <v>1304</v>
      </c>
      <c r="C321" s="20">
        <f t="shared" ca="1" si="21"/>
        <v>50076</v>
      </c>
      <c r="D321" s="20">
        <f t="shared" ca="1" si="22"/>
        <v>1</v>
      </c>
      <c r="E321" s="20">
        <v>1</v>
      </c>
      <c r="H321" s="20">
        <f t="shared" si="23"/>
        <v>14</v>
      </c>
      <c r="M321" s="20">
        <v>320</v>
      </c>
    </row>
    <row r="322" spans="1:13" x14ac:dyDescent="0.15">
      <c r="A322" s="20">
        <f t="shared" si="24"/>
        <v>13</v>
      </c>
      <c r="B322" s="20">
        <f t="shared" si="25"/>
        <v>1305</v>
      </c>
      <c r="C322" s="20">
        <f t="shared" ref="C322:C385" si="26">VLOOKUP(B322,plan1,H322,FALSE)</f>
        <v>50048</v>
      </c>
      <c r="D322" s="20">
        <f t="shared" ref="D322:D385" si="27">VLOOKUP(C322,marking,9,FALSE)</f>
        <v>88</v>
      </c>
      <c r="E322" s="20">
        <v>1</v>
      </c>
      <c r="H322" s="20">
        <f t="shared" si="23"/>
        <v>2</v>
      </c>
      <c r="M322" s="20">
        <v>321</v>
      </c>
    </row>
    <row r="323" spans="1:13" x14ac:dyDescent="0.15">
      <c r="A323" s="20">
        <f t="shared" si="24"/>
        <v>13</v>
      </c>
      <c r="B323" s="20">
        <f t="shared" si="25"/>
        <v>1305</v>
      </c>
      <c r="C323" s="20">
        <f t="shared" ca="1" si="26"/>
        <v>50051</v>
      </c>
      <c r="D323" s="20">
        <f t="shared" ca="1" si="27"/>
        <v>181</v>
      </c>
      <c r="E323" s="20">
        <v>1</v>
      </c>
      <c r="H323" s="20">
        <f t="shared" si="23"/>
        <v>5</v>
      </c>
      <c r="M323" s="20">
        <v>322</v>
      </c>
    </row>
    <row r="324" spans="1:13" x14ac:dyDescent="0.15">
      <c r="A324" s="20">
        <f t="shared" si="24"/>
        <v>13</v>
      </c>
      <c r="B324" s="20">
        <f t="shared" si="25"/>
        <v>1305</v>
      </c>
      <c r="C324" s="20">
        <f t="shared" ca="1" si="26"/>
        <v>50065</v>
      </c>
      <c r="D324" s="20">
        <f t="shared" ca="1" si="27"/>
        <v>129</v>
      </c>
      <c r="E324" s="20">
        <v>1</v>
      </c>
      <c r="H324" s="20">
        <f t="shared" si="23"/>
        <v>8</v>
      </c>
      <c r="M324" s="20">
        <v>323</v>
      </c>
    </row>
    <row r="325" spans="1:13" x14ac:dyDescent="0.15">
      <c r="A325" s="20">
        <f t="shared" si="24"/>
        <v>13</v>
      </c>
      <c r="B325" s="20">
        <f t="shared" si="25"/>
        <v>1305</v>
      </c>
      <c r="C325" s="20">
        <f t="shared" ca="1" si="26"/>
        <v>50058</v>
      </c>
      <c r="D325" s="20">
        <f t="shared" ca="1" si="27"/>
        <v>55</v>
      </c>
      <c r="E325" s="20">
        <v>1</v>
      </c>
      <c r="H325" s="20">
        <f t="shared" si="23"/>
        <v>11</v>
      </c>
      <c r="M325" s="20">
        <v>324</v>
      </c>
    </row>
    <row r="326" spans="1:13" x14ac:dyDescent="0.15">
      <c r="A326" s="20">
        <f t="shared" si="24"/>
        <v>13</v>
      </c>
      <c r="B326" s="20">
        <f t="shared" si="25"/>
        <v>1305</v>
      </c>
      <c r="C326" s="20">
        <f t="shared" ca="1" si="26"/>
        <v>50073</v>
      </c>
      <c r="D326" s="20">
        <f t="shared" ca="1" si="27"/>
        <v>1</v>
      </c>
      <c r="E326" s="20">
        <v>1</v>
      </c>
      <c r="H326" s="20">
        <f t="shared" si="23"/>
        <v>14</v>
      </c>
      <c r="M326" s="20">
        <v>325</v>
      </c>
    </row>
    <row r="327" spans="1:13" x14ac:dyDescent="0.15">
      <c r="A327" s="20">
        <f t="shared" si="24"/>
        <v>14</v>
      </c>
      <c r="B327" s="20">
        <f t="shared" si="25"/>
        <v>1401</v>
      </c>
      <c r="C327" s="20">
        <f t="shared" si="26"/>
        <v>50066</v>
      </c>
      <c r="D327" s="20">
        <f t="shared" si="27"/>
        <v>88</v>
      </c>
      <c r="E327" s="20">
        <v>1</v>
      </c>
      <c r="H327" s="20">
        <f t="shared" si="23"/>
        <v>2</v>
      </c>
      <c r="M327" s="20">
        <v>326</v>
      </c>
    </row>
    <row r="328" spans="1:13" x14ac:dyDescent="0.15">
      <c r="A328" s="20">
        <f t="shared" si="24"/>
        <v>14</v>
      </c>
      <c r="B328" s="20">
        <f t="shared" si="25"/>
        <v>1401</v>
      </c>
      <c r="C328" s="20">
        <f t="shared" ca="1" si="26"/>
        <v>50069</v>
      </c>
      <c r="D328" s="20">
        <f t="shared" ca="1" si="27"/>
        <v>181</v>
      </c>
      <c r="E328" s="20">
        <v>1</v>
      </c>
      <c r="H328" s="20">
        <f t="shared" ref="H328:H391" si="28">H323</f>
        <v>5</v>
      </c>
      <c r="M328" s="20">
        <v>327</v>
      </c>
    </row>
    <row r="329" spans="1:13" x14ac:dyDescent="0.15">
      <c r="A329" s="20">
        <f t="shared" si="24"/>
        <v>14</v>
      </c>
      <c r="B329" s="20">
        <f t="shared" si="25"/>
        <v>1401</v>
      </c>
      <c r="C329" s="20">
        <f t="shared" ca="1" si="26"/>
        <v>50067</v>
      </c>
      <c r="D329" s="20">
        <f t="shared" ca="1" si="27"/>
        <v>88</v>
      </c>
      <c r="E329" s="20">
        <v>1</v>
      </c>
      <c r="H329" s="20">
        <f t="shared" si="28"/>
        <v>8</v>
      </c>
      <c r="M329" s="20">
        <v>328</v>
      </c>
    </row>
    <row r="330" spans="1:13" x14ac:dyDescent="0.15">
      <c r="A330" s="20">
        <f t="shared" si="24"/>
        <v>14</v>
      </c>
      <c r="B330" s="20">
        <f t="shared" si="25"/>
        <v>1401</v>
      </c>
      <c r="C330" s="20">
        <f t="shared" ca="1" si="26"/>
        <v>50068</v>
      </c>
      <c r="D330" s="20">
        <f t="shared" ca="1" si="27"/>
        <v>32</v>
      </c>
      <c r="E330" s="20">
        <v>1</v>
      </c>
      <c r="H330" s="20">
        <f t="shared" si="28"/>
        <v>11</v>
      </c>
      <c r="M330" s="20">
        <v>329</v>
      </c>
    </row>
    <row r="331" spans="1:13" x14ac:dyDescent="0.15">
      <c r="A331" s="20">
        <f t="shared" si="24"/>
        <v>14</v>
      </c>
      <c r="B331" s="20">
        <f t="shared" si="25"/>
        <v>1401</v>
      </c>
      <c r="C331" s="20">
        <f t="shared" ca="1" si="26"/>
        <v>50073</v>
      </c>
      <c r="D331" s="20">
        <f t="shared" ca="1" si="27"/>
        <v>1</v>
      </c>
      <c r="E331" s="20">
        <v>1</v>
      </c>
      <c r="H331" s="20">
        <f t="shared" si="28"/>
        <v>14</v>
      </c>
      <c r="M331" s="20">
        <v>330</v>
      </c>
    </row>
    <row r="332" spans="1:13" x14ac:dyDescent="0.15">
      <c r="A332" s="20">
        <f t="shared" si="24"/>
        <v>14</v>
      </c>
      <c r="B332" s="20">
        <f t="shared" si="25"/>
        <v>1402</v>
      </c>
      <c r="C332" s="20">
        <f t="shared" si="26"/>
        <v>50067</v>
      </c>
      <c r="D332" s="20">
        <f t="shared" si="27"/>
        <v>88</v>
      </c>
      <c r="E332" s="20">
        <v>1</v>
      </c>
      <c r="H332" s="20">
        <f t="shared" si="28"/>
        <v>2</v>
      </c>
      <c r="M332" s="20">
        <v>331</v>
      </c>
    </row>
    <row r="333" spans="1:13" x14ac:dyDescent="0.15">
      <c r="A333" s="20">
        <f t="shared" si="24"/>
        <v>14</v>
      </c>
      <c r="B333" s="20">
        <f t="shared" si="25"/>
        <v>1402</v>
      </c>
      <c r="C333" s="20">
        <f t="shared" ca="1" si="26"/>
        <v>50053</v>
      </c>
      <c r="D333" s="20">
        <f t="shared" ca="1" si="27"/>
        <v>129</v>
      </c>
      <c r="E333" s="20">
        <v>1</v>
      </c>
      <c r="H333" s="20">
        <f t="shared" si="28"/>
        <v>5</v>
      </c>
      <c r="M333" s="20">
        <v>332</v>
      </c>
    </row>
    <row r="334" spans="1:13" x14ac:dyDescent="0.15">
      <c r="A334" s="20">
        <f t="shared" si="24"/>
        <v>14</v>
      </c>
      <c r="B334" s="20">
        <f t="shared" si="25"/>
        <v>1402</v>
      </c>
      <c r="C334" s="20">
        <f t="shared" ca="1" si="26"/>
        <v>50169</v>
      </c>
      <c r="D334" s="20">
        <f t="shared" ca="1" si="27"/>
        <v>88</v>
      </c>
      <c r="E334" s="20">
        <v>1</v>
      </c>
      <c r="H334" s="20">
        <f t="shared" si="28"/>
        <v>8</v>
      </c>
      <c r="M334" s="20">
        <v>333</v>
      </c>
    </row>
    <row r="335" spans="1:13" x14ac:dyDescent="0.15">
      <c r="A335" s="20">
        <f t="shared" si="24"/>
        <v>14</v>
      </c>
      <c r="B335" s="20">
        <f t="shared" si="25"/>
        <v>1402</v>
      </c>
      <c r="C335" s="20">
        <f t="shared" ca="1" si="26"/>
        <v>50058</v>
      </c>
      <c r="D335" s="20">
        <f t="shared" ca="1" si="27"/>
        <v>55</v>
      </c>
      <c r="E335" s="20">
        <v>1</v>
      </c>
      <c r="H335" s="20">
        <f t="shared" si="28"/>
        <v>11</v>
      </c>
      <c r="M335" s="20">
        <v>334</v>
      </c>
    </row>
    <row r="336" spans="1:13" x14ac:dyDescent="0.15">
      <c r="A336" s="20">
        <f t="shared" si="24"/>
        <v>14</v>
      </c>
      <c r="B336" s="20">
        <f t="shared" si="25"/>
        <v>1402</v>
      </c>
      <c r="C336" s="20">
        <f t="shared" ca="1" si="26"/>
        <v>50072</v>
      </c>
      <c r="D336" s="20">
        <f t="shared" ca="1" si="27"/>
        <v>1</v>
      </c>
      <c r="E336" s="20">
        <v>1</v>
      </c>
      <c r="H336" s="20">
        <f t="shared" si="28"/>
        <v>14</v>
      </c>
      <c r="M336" s="20">
        <v>335</v>
      </c>
    </row>
    <row r="337" spans="1:13" x14ac:dyDescent="0.15">
      <c r="A337" s="20">
        <f t="shared" si="24"/>
        <v>14</v>
      </c>
      <c r="B337" s="20">
        <f t="shared" si="25"/>
        <v>1403</v>
      </c>
      <c r="C337" s="20">
        <f t="shared" si="26"/>
        <v>50169</v>
      </c>
      <c r="D337" s="20">
        <f t="shared" si="27"/>
        <v>88</v>
      </c>
      <c r="E337" s="20">
        <v>1</v>
      </c>
      <c r="H337" s="20">
        <f t="shared" si="28"/>
        <v>2</v>
      </c>
      <c r="M337" s="20">
        <v>336</v>
      </c>
    </row>
    <row r="338" spans="1:13" x14ac:dyDescent="0.15">
      <c r="A338" s="20">
        <f t="shared" si="24"/>
        <v>14</v>
      </c>
      <c r="B338" s="20">
        <f t="shared" si="25"/>
        <v>1403</v>
      </c>
      <c r="C338" s="20">
        <f t="shared" ca="1" si="26"/>
        <v>50047</v>
      </c>
      <c r="D338" s="20">
        <f t="shared" ca="1" si="27"/>
        <v>181</v>
      </c>
      <c r="E338" s="20">
        <v>1</v>
      </c>
      <c r="H338" s="20">
        <f t="shared" si="28"/>
        <v>5</v>
      </c>
      <c r="M338" s="20">
        <v>337</v>
      </c>
    </row>
    <row r="339" spans="1:13" x14ac:dyDescent="0.15">
      <c r="A339" s="20">
        <f t="shared" si="24"/>
        <v>14</v>
      </c>
      <c r="B339" s="20">
        <f t="shared" si="25"/>
        <v>1403</v>
      </c>
      <c r="C339" s="20">
        <f t="shared" ca="1" si="26"/>
        <v>50070</v>
      </c>
      <c r="D339" s="20">
        <f t="shared" ca="1" si="27"/>
        <v>129</v>
      </c>
      <c r="E339" s="20">
        <v>1</v>
      </c>
      <c r="H339" s="20">
        <f t="shared" si="28"/>
        <v>8</v>
      </c>
      <c r="M339" s="20">
        <v>338</v>
      </c>
    </row>
    <row r="340" spans="1:13" x14ac:dyDescent="0.15">
      <c r="A340" s="20">
        <f t="shared" si="24"/>
        <v>14</v>
      </c>
      <c r="B340" s="20">
        <f t="shared" si="25"/>
        <v>1403</v>
      </c>
      <c r="C340" s="20">
        <f t="shared" ca="1" si="26"/>
        <v>50061</v>
      </c>
      <c r="D340" s="20">
        <f t="shared" ca="1" si="27"/>
        <v>32</v>
      </c>
      <c r="E340" s="20">
        <v>1</v>
      </c>
      <c r="H340" s="20">
        <f t="shared" si="28"/>
        <v>11</v>
      </c>
      <c r="M340" s="20">
        <v>339</v>
      </c>
    </row>
    <row r="341" spans="1:13" x14ac:dyDescent="0.15">
      <c r="A341" s="20">
        <f t="shared" si="24"/>
        <v>14</v>
      </c>
      <c r="B341" s="20">
        <f t="shared" si="25"/>
        <v>1403</v>
      </c>
      <c r="C341" s="20">
        <f t="shared" ca="1" si="26"/>
        <v>50076</v>
      </c>
      <c r="D341" s="20">
        <f t="shared" ca="1" si="27"/>
        <v>1</v>
      </c>
      <c r="E341" s="20">
        <v>1</v>
      </c>
      <c r="H341" s="20">
        <f t="shared" si="28"/>
        <v>14</v>
      </c>
      <c r="M341" s="20">
        <v>340</v>
      </c>
    </row>
    <row r="342" spans="1:13" x14ac:dyDescent="0.15">
      <c r="A342" s="20">
        <f t="shared" si="24"/>
        <v>14</v>
      </c>
      <c r="B342" s="20">
        <f t="shared" si="25"/>
        <v>1404</v>
      </c>
      <c r="C342" s="20">
        <f t="shared" si="26"/>
        <v>50171</v>
      </c>
      <c r="D342" s="20">
        <f t="shared" si="27"/>
        <v>88</v>
      </c>
      <c r="E342" s="20">
        <v>1</v>
      </c>
      <c r="H342" s="20">
        <f t="shared" si="28"/>
        <v>2</v>
      </c>
      <c r="M342" s="20">
        <v>341</v>
      </c>
    </row>
    <row r="343" spans="1:13" x14ac:dyDescent="0.15">
      <c r="A343" s="20">
        <f t="shared" si="24"/>
        <v>14</v>
      </c>
      <c r="B343" s="20">
        <f t="shared" si="25"/>
        <v>1404</v>
      </c>
      <c r="C343" s="20">
        <f t="shared" ca="1" si="26"/>
        <v>50047</v>
      </c>
      <c r="D343" s="20">
        <f t="shared" ca="1" si="27"/>
        <v>181</v>
      </c>
      <c r="E343" s="20">
        <v>1</v>
      </c>
      <c r="H343" s="20">
        <f t="shared" si="28"/>
        <v>5</v>
      </c>
      <c r="M343" s="20">
        <v>342</v>
      </c>
    </row>
    <row r="344" spans="1:13" x14ac:dyDescent="0.15">
      <c r="A344" s="20">
        <f t="shared" si="24"/>
        <v>14</v>
      </c>
      <c r="B344" s="20">
        <f t="shared" si="25"/>
        <v>1404</v>
      </c>
      <c r="C344" s="20">
        <f t="shared" ca="1" si="26"/>
        <v>50067</v>
      </c>
      <c r="D344" s="20">
        <f t="shared" ca="1" si="27"/>
        <v>88</v>
      </c>
      <c r="E344" s="20">
        <v>1</v>
      </c>
      <c r="H344" s="20">
        <f t="shared" si="28"/>
        <v>8</v>
      </c>
      <c r="M344" s="20">
        <v>343</v>
      </c>
    </row>
    <row r="345" spans="1:13" x14ac:dyDescent="0.15">
      <c r="A345" s="20">
        <f t="shared" si="24"/>
        <v>14</v>
      </c>
      <c r="B345" s="20">
        <f t="shared" si="25"/>
        <v>1404</v>
      </c>
      <c r="C345" s="20">
        <f t="shared" ca="1" si="26"/>
        <v>50061</v>
      </c>
      <c r="D345" s="20">
        <f t="shared" ca="1" si="27"/>
        <v>32</v>
      </c>
      <c r="E345" s="20">
        <v>1</v>
      </c>
      <c r="H345" s="20">
        <f t="shared" si="28"/>
        <v>11</v>
      </c>
      <c r="M345" s="20">
        <v>344</v>
      </c>
    </row>
    <row r="346" spans="1:13" x14ac:dyDescent="0.15">
      <c r="A346" s="20">
        <f t="shared" si="24"/>
        <v>14</v>
      </c>
      <c r="B346" s="20">
        <f t="shared" si="25"/>
        <v>1404</v>
      </c>
      <c r="C346" s="20">
        <f t="shared" ca="1" si="26"/>
        <v>50074</v>
      </c>
      <c r="D346" s="20">
        <f t="shared" ca="1" si="27"/>
        <v>1</v>
      </c>
      <c r="E346" s="20">
        <v>1</v>
      </c>
      <c r="H346" s="20">
        <f t="shared" si="28"/>
        <v>14</v>
      </c>
      <c r="M346" s="20">
        <v>345</v>
      </c>
    </row>
    <row r="347" spans="1:13" x14ac:dyDescent="0.15">
      <c r="A347" s="20">
        <f t="shared" si="24"/>
        <v>14</v>
      </c>
      <c r="B347" s="20">
        <f t="shared" si="25"/>
        <v>1405</v>
      </c>
      <c r="C347" s="20">
        <f t="shared" si="26"/>
        <v>50044</v>
      </c>
      <c r="D347" s="20">
        <f t="shared" si="27"/>
        <v>55</v>
      </c>
      <c r="E347" s="20">
        <v>1</v>
      </c>
      <c r="H347" s="20">
        <f t="shared" si="28"/>
        <v>2</v>
      </c>
      <c r="M347" s="20">
        <v>346</v>
      </c>
    </row>
    <row r="348" spans="1:13" x14ac:dyDescent="0.15">
      <c r="A348" s="20">
        <f t="shared" ref="A348:A411" si="29">A323+1</f>
        <v>14</v>
      </c>
      <c r="B348" s="20">
        <f t="shared" ref="B348:B411" si="30">B323+100</f>
        <v>1405</v>
      </c>
      <c r="C348" s="20">
        <f t="shared" ca="1" si="26"/>
        <v>50054</v>
      </c>
      <c r="D348" s="20">
        <f t="shared" ca="1" si="27"/>
        <v>129</v>
      </c>
      <c r="E348" s="20">
        <v>1</v>
      </c>
      <c r="H348" s="20">
        <f t="shared" si="28"/>
        <v>5</v>
      </c>
      <c r="M348" s="20">
        <v>347</v>
      </c>
    </row>
    <row r="349" spans="1:13" x14ac:dyDescent="0.15">
      <c r="A349" s="20">
        <f t="shared" si="29"/>
        <v>14</v>
      </c>
      <c r="B349" s="20">
        <f t="shared" si="30"/>
        <v>1405</v>
      </c>
      <c r="C349" s="20">
        <f t="shared" ca="1" si="26"/>
        <v>50043</v>
      </c>
      <c r="D349" s="20">
        <f t="shared" ca="1" si="27"/>
        <v>88</v>
      </c>
      <c r="E349" s="20">
        <v>1</v>
      </c>
      <c r="H349" s="20">
        <f t="shared" si="28"/>
        <v>8</v>
      </c>
      <c r="M349" s="20">
        <v>348</v>
      </c>
    </row>
    <row r="350" spans="1:13" x14ac:dyDescent="0.15">
      <c r="A350" s="20">
        <f t="shared" si="29"/>
        <v>14</v>
      </c>
      <c r="B350" s="20">
        <f t="shared" si="30"/>
        <v>1405</v>
      </c>
      <c r="C350" s="20">
        <f t="shared" ca="1" si="26"/>
        <v>50044</v>
      </c>
      <c r="D350" s="20">
        <f t="shared" ca="1" si="27"/>
        <v>55</v>
      </c>
      <c r="E350" s="20">
        <v>1</v>
      </c>
      <c r="H350" s="20">
        <f t="shared" si="28"/>
        <v>11</v>
      </c>
      <c r="M350" s="20">
        <v>349</v>
      </c>
    </row>
    <row r="351" spans="1:13" x14ac:dyDescent="0.15">
      <c r="A351" s="20">
        <f t="shared" si="29"/>
        <v>14</v>
      </c>
      <c r="B351" s="20">
        <f t="shared" si="30"/>
        <v>1405</v>
      </c>
      <c r="C351" s="20">
        <f t="shared" ca="1" si="26"/>
        <v>50076</v>
      </c>
      <c r="D351" s="20">
        <f t="shared" ca="1" si="27"/>
        <v>1</v>
      </c>
      <c r="E351" s="20">
        <v>1</v>
      </c>
      <c r="H351" s="20">
        <f t="shared" si="28"/>
        <v>14</v>
      </c>
      <c r="M351" s="20">
        <v>350</v>
      </c>
    </row>
    <row r="352" spans="1:13" x14ac:dyDescent="0.15">
      <c r="A352" s="20">
        <f t="shared" si="29"/>
        <v>15</v>
      </c>
      <c r="B352" s="20">
        <f t="shared" si="30"/>
        <v>1501</v>
      </c>
      <c r="C352" s="20">
        <f t="shared" si="26"/>
        <v>50058</v>
      </c>
      <c r="D352" s="20">
        <f t="shared" si="27"/>
        <v>55</v>
      </c>
      <c r="E352" s="20">
        <v>1</v>
      </c>
      <c r="H352" s="20">
        <f t="shared" si="28"/>
        <v>2</v>
      </c>
      <c r="M352" s="20">
        <v>351</v>
      </c>
    </row>
    <row r="353" spans="1:13" x14ac:dyDescent="0.15">
      <c r="A353" s="20">
        <f t="shared" si="29"/>
        <v>15</v>
      </c>
      <c r="B353" s="20">
        <f t="shared" si="30"/>
        <v>1501</v>
      </c>
      <c r="C353" s="20">
        <f t="shared" ca="1" si="26"/>
        <v>50069</v>
      </c>
      <c r="D353" s="20">
        <f t="shared" ca="1" si="27"/>
        <v>181</v>
      </c>
      <c r="E353" s="20">
        <v>1</v>
      </c>
      <c r="H353" s="20">
        <f t="shared" si="28"/>
        <v>5</v>
      </c>
      <c r="M353" s="20">
        <v>352</v>
      </c>
    </row>
    <row r="354" spans="1:13" x14ac:dyDescent="0.15">
      <c r="A354" s="20">
        <f t="shared" si="29"/>
        <v>15</v>
      </c>
      <c r="B354" s="20">
        <f t="shared" si="30"/>
        <v>1501</v>
      </c>
      <c r="C354" s="20">
        <f t="shared" ca="1" si="26"/>
        <v>50070</v>
      </c>
      <c r="D354" s="20">
        <f t="shared" ca="1" si="27"/>
        <v>129</v>
      </c>
      <c r="E354" s="20">
        <v>1</v>
      </c>
      <c r="H354" s="20">
        <f t="shared" si="28"/>
        <v>8</v>
      </c>
      <c r="M354" s="20">
        <v>353</v>
      </c>
    </row>
    <row r="355" spans="1:13" x14ac:dyDescent="0.15">
      <c r="A355" s="20">
        <f t="shared" si="29"/>
        <v>15</v>
      </c>
      <c r="B355" s="20">
        <f t="shared" si="30"/>
        <v>1501</v>
      </c>
      <c r="C355" s="20">
        <f t="shared" ca="1" si="26"/>
        <v>50061</v>
      </c>
      <c r="D355" s="20">
        <f t="shared" ca="1" si="27"/>
        <v>32</v>
      </c>
      <c r="E355" s="20">
        <v>1</v>
      </c>
      <c r="H355" s="20">
        <f t="shared" si="28"/>
        <v>11</v>
      </c>
      <c r="M355" s="20">
        <v>354</v>
      </c>
    </row>
    <row r="356" spans="1:13" x14ac:dyDescent="0.15">
      <c r="A356" s="20">
        <f t="shared" si="29"/>
        <v>15</v>
      </c>
      <c r="B356" s="20">
        <f t="shared" si="30"/>
        <v>1501</v>
      </c>
      <c r="C356" s="20">
        <f t="shared" ca="1" si="26"/>
        <v>50190</v>
      </c>
      <c r="D356" s="20">
        <f t="shared" ca="1" si="27"/>
        <v>1</v>
      </c>
      <c r="E356" s="20">
        <v>1</v>
      </c>
      <c r="H356" s="20">
        <f t="shared" si="28"/>
        <v>14</v>
      </c>
      <c r="M356" s="20">
        <v>355</v>
      </c>
    </row>
    <row r="357" spans="1:13" x14ac:dyDescent="0.15">
      <c r="A357" s="20">
        <f t="shared" si="29"/>
        <v>15</v>
      </c>
      <c r="B357" s="20">
        <f t="shared" si="30"/>
        <v>1502</v>
      </c>
      <c r="C357" s="20">
        <f t="shared" si="26"/>
        <v>50049</v>
      </c>
      <c r="D357" s="20">
        <f t="shared" si="27"/>
        <v>32</v>
      </c>
      <c r="E357" s="20">
        <v>1</v>
      </c>
      <c r="H357" s="20">
        <f t="shared" si="28"/>
        <v>2</v>
      </c>
      <c r="M357" s="20">
        <v>356</v>
      </c>
    </row>
    <row r="358" spans="1:13" x14ac:dyDescent="0.15">
      <c r="A358" s="20">
        <f t="shared" si="29"/>
        <v>15</v>
      </c>
      <c r="B358" s="20">
        <f t="shared" si="30"/>
        <v>1502</v>
      </c>
      <c r="C358" s="20">
        <f t="shared" ca="1" si="26"/>
        <v>50041</v>
      </c>
      <c r="D358" s="20">
        <f t="shared" ca="1" si="27"/>
        <v>181</v>
      </c>
      <c r="E358" s="20">
        <v>1</v>
      </c>
      <c r="H358" s="20">
        <f t="shared" si="28"/>
        <v>5</v>
      </c>
      <c r="M358" s="20">
        <v>357</v>
      </c>
    </row>
    <row r="359" spans="1:13" x14ac:dyDescent="0.15">
      <c r="A359" s="20">
        <f t="shared" si="29"/>
        <v>15</v>
      </c>
      <c r="B359" s="20">
        <f t="shared" si="30"/>
        <v>1502</v>
      </c>
      <c r="C359" s="20">
        <f t="shared" ca="1" si="26"/>
        <v>50046</v>
      </c>
      <c r="D359" s="20">
        <f t="shared" ca="1" si="27"/>
        <v>88</v>
      </c>
      <c r="E359" s="20">
        <v>1</v>
      </c>
      <c r="H359" s="20">
        <f t="shared" si="28"/>
        <v>8</v>
      </c>
      <c r="M359" s="20">
        <v>358</v>
      </c>
    </row>
    <row r="360" spans="1:13" x14ac:dyDescent="0.15">
      <c r="A360" s="20">
        <f t="shared" si="29"/>
        <v>15</v>
      </c>
      <c r="B360" s="20">
        <f t="shared" si="30"/>
        <v>1502</v>
      </c>
      <c r="C360" s="20">
        <f t="shared" ca="1" si="26"/>
        <v>50170</v>
      </c>
      <c r="D360" s="20">
        <f t="shared" ca="1" si="27"/>
        <v>32</v>
      </c>
      <c r="E360" s="20">
        <v>1</v>
      </c>
      <c r="H360" s="20">
        <f t="shared" si="28"/>
        <v>11</v>
      </c>
      <c r="M360" s="20">
        <v>359</v>
      </c>
    </row>
    <row r="361" spans="1:13" x14ac:dyDescent="0.15">
      <c r="A361" s="20">
        <f t="shared" si="29"/>
        <v>15</v>
      </c>
      <c r="B361" s="20">
        <f t="shared" si="30"/>
        <v>1502</v>
      </c>
      <c r="C361" s="20">
        <f t="shared" ca="1" si="26"/>
        <v>50050</v>
      </c>
      <c r="D361" s="20">
        <f t="shared" ca="1" si="27"/>
        <v>5</v>
      </c>
      <c r="E361" s="20">
        <v>1</v>
      </c>
      <c r="H361" s="20">
        <f t="shared" si="28"/>
        <v>14</v>
      </c>
      <c r="M361" s="20">
        <v>360</v>
      </c>
    </row>
    <row r="362" spans="1:13" x14ac:dyDescent="0.15">
      <c r="A362" s="20">
        <f t="shared" si="29"/>
        <v>15</v>
      </c>
      <c r="B362" s="20">
        <f t="shared" si="30"/>
        <v>1503</v>
      </c>
      <c r="C362" s="20">
        <f t="shared" si="26"/>
        <v>50060</v>
      </c>
      <c r="D362" s="20">
        <f t="shared" si="27"/>
        <v>32</v>
      </c>
      <c r="E362" s="20">
        <v>1</v>
      </c>
      <c r="H362" s="20">
        <f t="shared" si="28"/>
        <v>2</v>
      </c>
      <c r="M362" s="20">
        <v>361</v>
      </c>
    </row>
    <row r="363" spans="1:13" x14ac:dyDescent="0.15">
      <c r="A363" s="20">
        <f t="shared" si="29"/>
        <v>15</v>
      </c>
      <c r="B363" s="20">
        <f t="shared" si="30"/>
        <v>1503</v>
      </c>
      <c r="C363" s="20">
        <f t="shared" ca="1" si="26"/>
        <v>50069</v>
      </c>
      <c r="D363" s="20">
        <f t="shared" ca="1" si="27"/>
        <v>181</v>
      </c>
      <c r="E363" s="20">
        <v>1</v>
      </c>
      <c r="H363" s="20">
        <f t="shared" si="28"/>
        <v>5</v>
      </c>
      <c r="M363" s="20">
        <v>362</v>
      </c>
    </row>
    <row r="364" spans="1:13" x14ac:dyDescent="0.15">
      <c r="A364" s="20">
        <f t="shared" si="29"/>
        <v>15</v>
      </c>
      <c r="B364" s="20">
        <f t="shared" si="30"/>
        <v>1503</v>
      </c>
      <c r="C364" s="20">
        <f t="shared" ca="1" si="26"/>
        <v>50043</v>
      </c>
      <c r="D364" s="20">
        <f t="shared" ca="1" si="27"/>
        <v>88</v>
      </c>
      <c r="E364" s="20">
        <v>1</v>
      </c>
      <c r="H364" s="20">
        <f t="shared" si="28"/>
        <v>8</v>
      </c>
      <c r="M364" s="20">
        <v>363</v>
      </c>
    </row>
    <row r="365" spans="1:13" x14ac:dyDescent="0.15">
      <c r="A365" s="20">
        <f t="shared" si="29"/>
        <v>15</v>
      </c>
      <c r="B365" s="20">
        <f t="shared" si="30"/>
        <v>1503</v>
      </c>
      <c r="C365" s="20">
        <f t="shared" ca="1" si="26"/>
        <v>50062</v>
      </c>
      <c r="D365" s="20">
        <f t="shared" ca="1" si="27"/>
        <v>32</v>
      </c>
      <c r="E365" s="20">
        <v>1</v>
      </c>
      <c r="H365" s="20">
        <f t="shared" si="28"/>
        <v>11</v>
      </c>
      <c r="M365" s="20">
        <v>364</v>
      </c>
    </row>
    <row r="366" spans="1:13" x14ac:dyDescent="0.15">
      <c r="A366" s="20">
        <f t="shared" si="29"/>
        <v>15</v>
      </c>
      <c r="B366" s="20">
        <f t="shared" si="30"/>
        <v>1503</v>
      </c>
      <c r="C366" s="20">
        <f t="shared" ca="1" si="26"/>
        <v>50075</v>
      </c>
      <c r="D366" s="20">
        <f t="shared" ca="1" si="27"/>
        <v>1</v>
      </c>
      <c r="E366" s="20">
        <v>1</v>
      </c>
      <c r="H366" s="20">
        <f t="shared" si="28"/>
        <v>14</v>
      </c>
      <c r="M366" s="20">
        <v>365</v>
      </c>
    </row>
    <row r="367" spans="1:13" x14ac:dyDescent="0.15">
      <c r="A367" s="20">
        <f t="shared" si="29"/>
        <v>15</v>
      </c>
      <c r="B367" s="20">
        <f t="shared" si="30"/>
        <v>1504</v>
      </c>
      <c r="C367" s="20">
        <f t="shared" si="26"/>
        <v>50061</v>
      </c>
      <c r="D367" s="20">
        <f t="shared" si="27"/>
        <v>32</v>
      </c>
      <c r="E367" s="20">
        <v>1</v>
      </c>
      <c r="H367" s="20">
        <f t="shared" si="28"/>
        <v>2</v>
      </c>
      <c r="M367" s="20">
        <v>366</v>
      </c>
    </row>
    <row r="368" spans="1:13" x14ac:dyDescent="0.15">
      <c r="A368" s="20">
        <f t="shared" si="29"/>
        <v>15</v>
      </c>
      <c r="B368" s="20">
        <f t="shared" si="30"/>
        <v>1504</v>
      </c>
      <c r="C368" s="20">
        <f t="shared" ca="1" si="26"/>
        <v>50042</v>
      </c>
      <c r="D368" s="20">
        <f t="shared" ca="1" si="27"/>
        <v>129</v>
      </c>
      <c r="E368" s="20">
        <v>1</v>
      </c>
      <c r="H368" s="20">
        <f t="shared" si="28"/>
        <v>5</v>
      </c>
      <c r="M368" s="20">
        <v>367</v>
      </c>
    </row>
    <row r="369" spans="1:13" x14ac:dyDescent="0.15">
      <c r="A369" s="20">
        <f t="shared" si="29"/>
        <v>15</v>
      </c>
      <c r="B369" s="20">
        <f t="shared" si="30"/>
        <v>1504</v>
      </c>
      <c r="C369" s="20">
        <f t="shared" ca="1" si="26"/>
        <v>50065</v>
      </c>
      <c r="D369" s="20">
        <f t="shared" ca="1" si="27"/>
        <v>129</v>
      </c>
      <c r="E369" s="20">
        <v>1</v>
      </c>
      <c r="H369" s="20">
        <f t="shared" si="28"/>
        <v>8</v>
      </c>
      <c r="M369" s="20">
        <v>368</v>
      </c>
    </row>
    <row r="370" spans="1:13" x14ac:dyDescent="0.15">
      <c r="A370" s="20">
        <f t="shared" si="29"/>
        <v>15</v>
      </c>
      <c r="B370" s="20">
        <f t="shared" si="30"/>
        <v>1504</v>
      </c>
      <c r="C370" s="20">
        <f t="shared" ca="1" si="26"/>
        <v>50188</v>
      </c>
      <c r="D370" s="20">
        <f t="shared" ca="1" si="27"/>
        <v>32</v>
      </c>
      <c r="E370" s="20">
        <v>1</v>
      </c>
      <c r="H370" s="20">
        <f t="shared" si="28"/>
        <v>11</v>
      </c>
      <c r="M370" s="20">
        <v>369</v>
      </c>
    </row>
    <row r="371" spans="1:13" x14ac:dyDescent="0.15">
      <c r="A371" s="20">
        <f t="shared" si="29"/>
        <v>15</v>
      </c>
      <c r="B371" s="20">
        <f t="shared" si="30"/>
        <v>1504</v>
      </c>
      <c r="C371" s="20">
        <f t="shared" ca="1" si="26"/>
        <v>50077</v>
      </c>
      <c r="D371" s="20">
        <f t="shared" ca="1" si="27"/>
        <v>1</v>
      </c>
      <c r="E371" s="20">
        <v>1</v>
      </c>
      <c r="H371" s="20">
        <f t="shared" si="28"/>
        <v>14</v>
      </c>
      <c r="M371" s="20">
        <v>370</v>
      </c>
    </row>
    <row r="372" spans="1:13" x14ac:dyDescent="0.15">
      <c r="A372" s="20">
        <f t="shared" si="29"/>
        <v>15</v>
      </c>
      <c r="B372" s="20">
        <f t="shared" si="30"/>
        <v>1505</v>
      </c>
      <c r="C372" s="20">
        <f t="shared" si="26"/>
        <v>50062</v>
      </c>
      <c r="D372" s="20">
        <f t="shared" si="27"/>
        <v>32</v>
      </c>
      <c r="E372" s="20">
        <v>1</v>
      </c>
      <c r="H372" s="20">
        <f t="shared" si="28"/>
        <v>2</v>
      </c>
      <c r="M372" s="20">
        <v>371</v>
      </c>
    </row>
    <row r="373" spans="1:13" x14ac:dyDescent="0.15">
      <c r="A373" s="20">
        <f t="shared" si="29"/>
        <v>15</v>
      </c>
      <c r="B373" s="20">
        <f t="shared" si="30"/>
        <v>1505</v>
      </c>
      <c r="C373" s="20">
        <f t="shared" ca="1" si="26"/>
        <v>50042</v>
      </c>
      <c r="D373" s="20">
        <f t="shared" ca="1" si="27"/>
        <v>129</v>
      </c>
      <c r="E373" s="20">
        <v>1</v>
      </c>
      <c r="H373" s="20">
        <f t="shared" si="28"/>
        <v>5</v>
      </c>
      <c r="M373" s="20">
        <v>372</v>
      </c>
    </row>
    <row r="374" spans="1:13" x14ac:dyDescent="0.15">
      <c r="A374" s="20">
        <f t="shared" si="29"/>
        <v>15</v>
      </c>
      <c r="B374" s="20">
        <f t="shared" si="30"/>
        <v>1505</v>
      </c>
      <c r="C374" s="20">
        <f t="shared" ca="1" si="26"/>
        <v>50171</v>
      </c>
      <c r="D374" s="20">
        <f t="shared" ca="1" si="27"/>
        <v>88</v>
      </c>
      <c r="E374" s="20">
        <v>1</v>
      </c>
      <c r="H374" s="20">
        <f t="shared" si="28"/>
        <v>8</v>
      </c>
      <c r="M374" s="20">
        <v>373</v>
      </c>
    </row>
    <row r="375" spans="1:13" x14ac:dyDescent="0.15">
      <c r="A375" s="20">
        <f t="shared" si="29"/>
        <v>15</v>
      </c>
      <c r="B375" s="20">
        <f t="shared" si="30"/>
        <v>1505</v>
      </c>
      <c r="C375" s="20">
        <f t="shared" ca="1" si="26"/>
        <v>50058</v>
      </c>
      <c r="D375" s="20">
        <f t="shared" ca="1" si="27"/>
        <v>55</v>
      </c>
      <c r="E375" s="20">
        <v>1</v>
      </c>
      <c r="H375" s="20">
        <f t="shared" si="28"/>
        <v>11</v>
      </c>
      <c r="M375" s="20">
        <v>374</v>
      </c>
    </row>
    <row r="376" spans="1:13" x14ac:dyDescent="0.15">
      <c r="A376" s="20">
        <f t="shared" si="29"/>
        <v>15</v>
      </c>
      <c r="B376" s="20">
        <f t="shared" si="30"/>
        <v>1505</v>
      </c>
      <c r="C376" s="20">
        <f t="shared" ca="1" si="26"/>
        <v>50059</v>
      </c>
      <c r="D376" s="20">
        <f t="shared" ca="1" si="27"/>
        <v>5</v>
      </c>
      <c r="E376" s="20">
        <v>1</v>
      </c>
      <c r="H376" s="20">
        <f t="shared" si="28"/>
        <v>14</v>
      </c>
      <c r="M376" s="20">
        <v>375</v>
      </c>
    </row>
    <row r="377" spans="1:13" x14ac:dyDescent="0.15">
      <c r="A377" s="20">
        <f t="shared" si="29"/>
        <v>16</v>
      </c>
      <c r="B377" s="20">
        <f t="shared" si="30"/>
        <v>1601</v>
      </c>
      <c r="C377" s="20">
        <f t="shared" si="26"/>
        <v>50068</v>
      </c>
      <c r="D377" s="20">
        <f t="shared" si="27"/>
        <v>32</v>
      </c>
      <c r="E377" s="20">
        <v>1</v>
      </c>
      <c r="H377" s="20">
        <f t="shared" si="28"/>
        <v>2</v>
      </c>
      <c r="M377" s="20">
        <v>376</v>
      </c>
    </row>
    <row r="378" spans="1:13" x14ac:dyDescent="0.15">
      <c r="A378" s="20">
        <f t="shared" si="29"/>
        <v>16</v>
      </c>
      <c r="B378" s="20">
        <f t="shared" si="30"/>
        <v>1601</v>
      </c>
      <c r="C378" s="20">
        <f t="shared" ca="1" si="26"/>
        <v>50064</v>
      </c>
      <c r="D378" s="20">
        <f t="shared" ca="1" si="27"/>
        <v>129</v>
      </c>
      <c r="E378" s="20">
        <v>1</v>
      </c>
      <c r="H378" s="20">
        <f t="shared" si="28"/>
        <v>5</v>
      </c>
      <c r="M378" s="20">
        <v>377</v>
      </c>
    </row>
    <row r="379" spans="1:13" x14ac:dyDescent="0.15">
      <c r="A379" s="20">
        <f t="shared" si="29"/>
        <v>16</v>
      </c>
      <c r="B379" s="20">
        <f t="shared" si="30"/>
        <v>1601</v>
      </c>
      <c r="C379" s="20">
        <f t="shared" ca="1" si="26"/>
        <v>50063</v>
      </c>
      <c r="D379" s="20">
        <f t="shared" ca="1" si="27"/>
        <v>129</v>
      </c>
      <c r="E379" s="20">
        <v>1</v>
      </c>
      <c r="H379" s="20">
        <f t="shared" si="28"/>
        <v>8</v>
      </c>
      <c r="M379" s="20">
        <v>378</v>
      </c>
    </row>
    <row r="380" spans="1:13" x14ac:dyDescent="0.15">
      <c r="A380" s="20">
        <f t="shared" si="29"/>
        <v>16</v>
      </c>
      <c r="B380" s="20">
        <f t="shared" si="30"/>
        <v>1601</v>
      </c>
      <c r="C380" s="20">
        <f t="shared" ca="1" si="26"/>
        <v>50058</v>
      </c>
      <c r="D380" s="20">
        <f t="shared" ca="1" si="27"/>
        <v>55</v>
      </c>
      <c r="E380" s="20">
        <v>1</v>
      </c>
      <c r="H380" s="20">
        <f t="shared" si="28"/>
        <v>11</v>
      </c>
      <c r="M380" s="20">
        <v>379</v>
      </c>
    </row>
    <row r="381" spans="1:13" x14ac:dyDescent="0.15">
      <c r="A381" s="20">
        <f t="shared" si="29"/>
        <v>16</v>
      </c>
      <c r="B381" s="20">
        <f t="shared" si="30"/>
        <v>1601</v>
      </c>
      <c r="C381" s="20">
        <f t="shared" ca="1" si="26"/>
        <v>50072</v>
      </c>
      <c r="D381" s="20">
        <f t="shared" ca="1" si="27"/>
        <v>1</v>
      </c>
      <c r="E381" s="20">
        <v>1</v>
      </c>
      <c r="H381" s="20">
        <f t="shared" si="28"/>
        <v>14</v>
      </c>
      <c r="M381" s="20">
        <v>380</v>
      </c>
    </row>
    <row r="382" spans="1:13" x14ac:dyDescent="0.15">
      <c r="A382" s="20">
        <f t="shared" si="29"/>
        <v>16</v>
      </c>
      <c r="B382" s="20">
        <f t="shared" si="30"/>
        <v>1602</v>
      </c>
      <c r="C382" s="20">
        <f t="shared" si="26"/>
        <v>50170</v>
      </c>
      <c r="D382" s="20">
        <f t="shared" si="27"/>
        <v>32</v>
      </c>
      <c r="E382" s="20">
        <v>1</v>
      </c>
      <c r="H382" s="20">
        <f t="shared" si="28"/>
        <v>2</v>
      </c>
      <c r="M382" s="20">
        <v>381</v>
      </c>
    </row>
    <row r="383" spans="1:13" x14ac:dyDescent="0.15">
      <c r="A383" s="20">
        <f t="shared" si="29"/>
        <v>16</v>
      </c>
      <c r="B383" s="20">
        <f t="shared" si="30"/>
        <v>1602</v>
      </c>
      <c r="C383" s="20">
        <f t="shared" ca="1" si="26"/>
        <v>50064</v>
      </c>
      <c r="D383" s="20">
        <f t="shared" ca="1" si="27"/>
        <v>129</v>
      </c>
      <c r="E383" s="20">
        <v>1</v>
      </c>
      <c r="H383" s="20">
        <f t="shared" si="28"/>
        <v>5</v>
      </c>
      <c r="M383" s="20">
        <v>382</v>
      </c>
    </row>
    <row r="384" spans="1:13" x14ac:dyDescent="0.15">
      <c r="A384" s="20">
        <f t="shared" si="29"/>
        <v>16</v>
      </c>
      <c r="B384" s="20">
        <f t="shared" si="30"/>
        <v>1602</v>
      </c>
      <c r="C384" s="20">
        <f t="shared" ca="1" si="26"/>
        <v>50057</v>
      </c>
      <c r="D384" s="20">
        <f t="shared" ca="1" si="27"/>
        <v>129</v>
      </c>
      <c r="E384" s="20">
        <v>1</v>
      </c>
      <c r="H384" s="20">
        <f t="shared" si="28"/>
        <v>8</v>
      </c>
      <c r="M384" s="20">
        <v>383</v>
      </c>
    </row>
    <row r="385" spans="1:13" x14ac:dyDescent="0.15">
      <c r="A385" s="20">
        <f t="shared" si="29"/>
        <v>16</v>
      </c>
      <c r="B385" s="20">
        <f t="shared" si="30"/>
        <v>1602</v>
      </c>
      <c r="C385" s="20">
        <f t="shared" ca="1" si="26"/>
        <v>50049</v>
      </c>
      <c r="D385" s="20">
        <f t="shared" ca="1" si="27"/>
        <v>32</v>
      </c>
      <c r="E385" s="20">
        <v>1</v>
      </c>
      <c r="H385" s="20">
        <f t="shared" si="28"/>
        <v>11</v>
      </c>
      <c r="M385" s="20">
        <v>384</v>
      </c>
    </row>
    <row r="386" spans="1:13" x14ac:dyDescent="0.15">
      <c r="A386" s="20">
        <f t="shared" si="29"/>
        <v>16</v>
      </c>
      <c r="B386" s="20">
        <f t="shared" si="30"/>
        <v>1602</v>
      </c>
      <c r="C386" s="20">
        <f t="shared" ref="C386:C449" ca="1" si="31">VLOOKUP(B386,plan1,H386,FALSE)</f>
        <v>50050</v>
      </c>
      <c r="D386" s="20">
        <f t="shared" ref="D386:D449" ca="1" si="32">VLOOKUP(C386,marking,9,FALSE)</f>
        <v>5</v>
      </c>
      <c r="E386" s="20">
        <v>1</v>
      </c>
      <c r="H386" s="20">
        <f t="shared" si="28"/>
        <v>14</v>
      </c>
      <c r="M386" s="20">
        <v>385</v>
      </c>
    </row>
    <row r="387" spans="1:13" x14ac:dyDescent="0.15">
      <c r="A387" s="20">
        <f t="shared" si="29"/>
        <v>16</v>
      </c>
      <c r="B387" s="20">
        <f t="shared" si="30"/>
        <v>1603</v>
      </c>
      <c r="C387" s="20">
        <f t="shared" si="31"/>
        <v>50188</v>
      </c>
      <c r="D387" s="20">
        <f t="shared" si="32"/>
        <v>32</v>
      </c>
      <c r="E387" s="20">
        <v>1</v>
      </c>
      <c r="H387" s="20">
        <f t="shared" si="28"/>
        <v>2</v>
      </c>
      <c r="M387" s="20">
        <v>386</v>
      </c>
    </row>
    <row r="388" spans="1:13" x14ac:dyDescent="0.15">
      <c r="A388" s="20">
        <f t="shared" si="29"/>
        <v>16</v>
      </c>
      <c r="B388" s="20">
        <f t="shared" si="30"/>
        <v>1603</v>
      </c>
      <c r="C388" s="20">
        <f t="shared" ca="1" si="31"/>
        <v>50065</v>
      </c>
      <c r="D388" s="20">
        <f t="shared" ca="1" si="32"/>
        <v>129</v>
      </c>
      <c r="E388" s="20">
        <v>1</v>
      </c>
      <c r="H388" s="20">
        <f t="shared" si="28"/>
        <v>5</v>
      </c>
      <c r="M388" s="20">
        <v>387</v>
      </c>
    </row>
    <row r="389" spans="1:13" x14ac:dyDescent="0.15">
      <c r="A389" s="20">
        <f t="shared" si="29"/>
        <v>16</v>
      </c>
      <c r="B389" s="20">
        <f t="shared" si="30"/>
        <v>1603</v>
      </c>
      <c r="C389" s="20">
        <f t="shared" ca="1" si="31"/>
        <v>50043</v>
      </c>
      <c r="D389" s="20">
        <f t="shared" ca="1" si="32"/>
        <v>88</v>
      </c>
      <c r="E389" s="20">
        <v>1</v>
      </c>
      <c r="H389" s="20">
        <f t="shared" si="28"/>
        <v>8</v>
      </c>
      <c r="M389" s="20">
        <v>388</v>
      </c>
    </row>
    <row r="390" spans="1:13" x14ac:dyDescent="0.15">
      <c r="A390" s="20">
        <f t="shared" si="29"/>
        <v>16</v>
      </c>
      <c r="B390" s="20">
        <f t="shared" si="30"/>
        <v>1603</v>
      </c>
      <c r="C390" s="20">
        <f t="shared" ca="1" si="31"/>
        <v>50068</v>
      </c>
      <c r="D390" s="20">
        <f t="shared" ca="1" si="32"/>
        <v>32</v>
      </c>
      <c r="E390" s="20">
        <v>1</v>
      </c>
      <c r="H390" s="20">
        <f t="shared" si="28"/>
        <v>11</v>
      </c>
      <c r="M390" s="20">
        <v>389</v>
      </c>
    </row>
    <row r="391" spans="1:13" x14ac:dyDescent="0.15">
      <c r="A391" s="20">
        <f t="shared" si="29"/>
        <v>16</v>
      </c>
      <c r="B391" s="20">
        <f t="shared" si="30"/>
        <v>1603</v>
      </c>
      <c r="C391" s="20">
        <f t="shared" ca="1" si="31"/>
        <v>50190</v>
      </c>
      <c r="D391" s="20">
        <f t="shared" ca="1" si="32"/>
        <v>1</v>
      </c>
      <c r="E391" s="20">
        <v>1</v>
      </c>
      <c r="H391" s="20">
        <f t="shared" si="28"/>
        <v>14</v>
      </c>
      <c r="M391" s="20">
        <v>390</v>
      </c>
    </row>
    <row r="392" spans="1:13" x14ac:dyDescent="0.15">
      <c r="A392" s="20">
        <f t="shared" si="29"/>
        <v>16</v>
      </c>
      <c r="B392" s="20">
        <f t="shared" si="30"/>
        <v>1604</v>
      </c>
      <c r="C392" s="20">
        <f t="shared" si="31"/>
        <v>50050</v>
      </c>
      <c r="D392" s="20">
        <f t="shared" si="32"/>
        <v>5</v>
      </c>
      <c r="E392" s="20">
        <v>1</v>
      </c>
      <c r="H392" s="20">
        <f t="shared" ref="H392:H455" si="33">H387</f>
        <v>2</v>
      </c>
      <c r="M392" s="20">
        <v>391</v>
      </c>
    </row>
    <row r="393" spans="1:13" x14ac:dyDescent="0.15">
      <c r="A393" s="20">
        <f t="shared" si="29"/>
        <v>16</v>
      </c>
      <c r="B393" s="20">
        <f t="shared" si="30"/>
        <v>1604</v>
      </c>
      <c r="C393" s="20">
        <f t="shared" ca="1" si="31"/>
        <v>50053</v>
      </c>
      <c r="D393" s="20">
        <f t="shared" ca="1" si="32"/>
        <v>129</v>
      </c>
      <c r="E393" s="20">
        <v>1</v>
      </c>
      <c r="H393" s="20">
        <f t="shared" si="33"/>
        <v>5</v>
      </c>
      <c r="M393" s="20">
        <v>392</v>
      </c>
    </row>
    <row r="394" spans="1:13" x14ac:dyDescent="0.15">
      <c r="A394" s="20">
        <f t="shared" si="29"/>
        <v>16</v>
      </c>
      <c r="B394" s="20">
        <f t="shared" si="30"/>
        <v>1604</v>
      </c>
      <c r="C394" s="20">
        <f t="shared" ca="1" si="31"/>
        <v>50169</v>
      </c>
      <c r="D394" s="20">
        <f t="shared" ca="1" si="32"/>
        <v>88</v>
      </c>
      <c r="E394" s="20">
        <v>1</v>
      </c>
      <c r="H394" s="20">
        <f t="shared" si="33"/>
        <v>8</v>
      </c>
      <c r="M394" s="20">
        <v>393</v>
      </c>
    </row>
    <row r="395" spans="1:13" x14ac:dyDescent="0.15">
      <c r="A395" s="20">
        <f t="shared" si="29"/>
        <v>16</v>
      </c>
      <c r="B395" s="20">
        <f t="shared" si="30"/>
        <v>1604</v>
      </c>
      <c r="C395" s="20">
        <f t="shared" ca="1" si="31"/>
        <v>50068</v>
      </c>
      <c r="D395" s="20">
        <f t="shared" ca="1" si="32"/>
        <v>32</v>
      </c>
      <c r="E395" s="20">
        <v>1</v>
      </c>
      <c r="H395" s="20">
        <f t="shared" si="33"/>
        <v>11</v>
      </c>
      <c r="M395" s="20">
        <v>394</v>
      </c>
    </row>
    <row r="396" spans="1:13" x14ac:dyDescent="0.15">
      <c r="A396" s="20">
        <f t="shared" si="29"/>
        <v>16</v>
      </c>
      <c r="B396" s="20">
        <f t="shared" si="30"/>
        <v>1604</v>
      </c>
      <c r="C396" s="20">
        <f t="shared" ca="1" si="31"/>
        <v>50072</v>
      </c>
      <c r="D396" s="20">
        <f t="shared" ca="1" si="32"/>
        <v>1</v>
      </c>
      <c r="E396" s="20">
        <v>1</v>
      </c>
      <c r="H396" s="20">
        <f t="shared" si="33"/>
        <v>14</v>
      </c>
      <c r="M396" s="20">
        <v>395</v>
      </c>
    </row>
    <row r="397" spans="1:13" x14ac:dyDescent="0.15">
      <c r="A397" s="20">
        <f t="shared" si="29"/>
        <v>16</v>
      </c>
      <c r="B397" s="20">
        <f t="shared" si="30"/>
        <v>1605</v>
      </c>
      <c r="C397" s="20">
        <f t="shared" si="31"/>
        <v>50059</v>
      </c>
      <c r="D397" s="20">
        <f t="shared" si="32"/>
        <v>5</v>
      </c>
      <c r="E397" s="20">
        <v>1</v>
      </c>
      <c r="H397" s="20">
        <f t="shared" si="33"/>
        <v>2</v>
      </c>
      <c r="M397" s="20">
        <v>396</v>
      </c>
    </row>
    <row r="398" spans="1:13" x14ac:dyDescent="0.15">
      <c r="A398" s="20">
        <f t="shared" si="29"/>
        <v>16</v>
      </c>
      <c r="B398" s="20">
        <f t="shared" si="30"/>
        <v>1605</v>
      </c>
      <c r="C398" s="20">
        <f t="shared" ca="1" si="31"/>
        <v>50064</v>
      </c>
      <c r="D398" s="20">
        <f t="shared" ca="1" si="32"/>
        <v>129</v>
      </c>
      <c r="E398" s="20">
        <v>1</v>
      </c>
      <c r="H398" s="20">
        <f t="shared" si="33"/>
        <v>5</v>
      </c>
      <c r="M398" s="20">
        <v>397</v>
      </c>
    </row>
    <row r="399" spans="1:13" x14ac:dyDescent="0.15">
      <c r="A399" s="20">
        <f t="shared" si="29"/>
        <v>16</v>
      </c>
      <c r="B399" s="20">
        <f t="shared" si="30"/>
        <v>1605</v>
      </c>
      <c r="C399" s="20">
        <f t="shared" ca="1" si="31"/>
        <v>50057</v>
      </c>
      <c r="D399" s="20">
        <f t="shared" ca="1" si="32"/>
        <v>129</v>
      </c>
      <c r="E399" s="20">
        <v>1</v>
      </c>
      <c r="H399" s="20">
        <f t="shared" si="33"/>
        <v>8</v>
      </c>
      <c r="M399" s="20">
        <v>398</v>
      </c>
    </row>
    <row r="400" spans="1:13" x14ac:dyDescent="0.15">
      <c r="A400" s="20">
        <f t="shared" si="29"/>
        <v>16</v>
      </c>
      <c r="B400" s="20">
        <f t="shared" si="30"/>
        <v>1605</v>
      </c>
      <c r="C400" s="20">
        <f t="shared" ca="1" si="31"/>
        <v>50170</v>
      </c>
      <c r="D400" s="20">
        <f t="shared" ca="1" si="32"/>
        <v>32</v>
      </c>
      <c r="E400" s="20">
        <v>1</v>
      </c>
      <c r="H400" s="20">
        <f t="shared" si="33"/>
        <v>11</v>
      </c>
      <c r="M400" s="20">
        <v>399</v>
      </c>
    </row>
    <row r="401" spans="1:13" x14ac:dyDescent="0.15">
      <c r="A401" s="20">
        <f t="shared" si="29"/>
        <v>16</v>
      </c>
      <c r="B401" s="20">
        <f t="shared" si="30"/>
        <v>1605</v>
      </c>
      <c r="C401" s="20">
        <f t="shared" ca="1" si="31"/>
        <v>50076</v>
      </c>
      <c r="D401" s="20">
        <f t="shared" ca="1" si="32"/>
        <v>1</v>
      </c>
      <c r="E401" s="20">
        <v>1</v>
      </c>
      <c r="H401" s="20">
        <f t="shared" si="33"/>
        <v>14</v>
      </c>
      <c r="M401" s="20">
        <v>400</v>
      </c>
    </row>
    <row r="402" spans="1:13" x14ac:dyDescent="0.15">
      <c r="A402" s="20">
        <f t="shared" si="29"/>
        <v>17</v>
      </c>
      <c r="B402" s="20">
        <f t="shared" si="30"/>
        <v>1701</v>
      </c>
      <c r="C402" s="20">
        <f t="shared" si="31"/>
        <v>50071</v>
      </c>
      <c r="D402" s="20">
        <f t="shared" si="32"/>
        <v>1</v>
      </c>
      <c r="E402" s="20">
        <v>1</v>
      </c>
      <c r="H402" s="20">
        <f t="shared" si="33"/>
        <v>2</v>
      </c>
      <c r="M402" s="20">
        <v>401</v>
      </c>
    </row>
    <row r="403" spans="1:13" x14ac:dyDescent="0.15">
      <c r="A403" s="20">
        <f t="shared" si="29"/>
        <v>17</v>
      </c>
      <c r="B403" s="20">
        <f t="shared" si="30"/>
        <v>1701</v>
      </c>
      <c r="C403" s="20">
        <f t="shared" ca="1" si="31"/>
        <v>50042</v>
      </c>
      <c r="D403" s="20">
        <f t="shared" ca="1" si="32"/>
        <v>129</v>
      </c>
      <c r="E403" s="20">
        <v>1</v>
      </c>
      <c r="H403" s="20">
        <f t="shared" si="33"/>
        <v>5</v>
      </c>
      <c r="M403" s="20">
        <v>402</v>
      </c>
    </row>
    <row r="404" spans="1:13" x14ac:dyDescent="0.15">
      <c r="A404" s="20">
        <f t="shared" si="29"/>
        <v>17</v>
      </c>
      <c r="B404" s="20">
        <f t="shared" si="30"/>
        <v>1701</v>
      </c>
      <c r="C404" s="20">
        <f t="shared" ca="1" si="31"/>
        <v>50171</v>
      </c>
      <c r="D404" s="20">
        <f t="shared" ca="1" si="32"/>
        <v>88</v>
      </c>
      <c r="E404" s="20">
        <v>1</v>
      </c>
      <c r="H404" s="20">
        <f t="shared" si="33"/>
        <v>8</v>
      </c>
      <c r="M404" s="20">
        <v>403</v>
      </c>
    </row>
    <row r="405" spans="1:13" x14ac:dyDescent="0.15">
      <c r="A405" s="20">
        <f t="shared" si="29"/>
        <v>17</v>
      </c>
      <c r="B405" s="20">
        <f t="shared" si="30"/>
        <v>1701</v>
      </c>
      <c r="C405" s="20">
        <f t="shared" ca="1" si="31"/>
        <v>50060</v>
      </c>
      <c r="D405" s="20">
        <f t="shared" ca="1" si="32"/>
        <v>32</v>
      </c>
      <c r="E405" s="20">
        <v>1</v>
      </c>
      <c r="H405" s="20">
        <f t="shared" si="33"/>
        <v>11</v>
      </c>
      <c r="M405" s="20">
        <v>404</v>
      </c>
    </row>
    <row r="406" spans="1:13" x14ac:dyDescent="0.15">
      <c r="A406" s="20">
        <f t="shared" si="29"/>
        <v>17</v>
      </c>
      <c r="B406" s="20">
        <f t="shared" si="30"/>
        <v>1701</v>
      </c>
      <c r="C406" s="20">
        <f t="shared" ca="1" si="31"/>
        <v>50190</v>
      </c>
      <c r="D406" s="20">
        <f t="shared" ca="1" si="32"/>
        <v>1</v>
      </c>
      <c r="E406" s="20">
        <v>1</v>
      </c>
      <c r="H406" s="20">
        <f t="shared" si="33"/>
        <v>14</v>
      </c>
      <c r="M406" s="20">
        <v>405</v>
      </c>
    </row>
    <row r="407" spans="1:13" x14ac:dyDescent="0.15">
      <c r="A407" s="20">
        <f t="shared" si="29"/>
        <v>17</v>
      </c>
      <c r="B407" s="20">
        <f t="shared" si="30"/>
        <v>1702</v>
      </c>
      <c r="C407" s="20">
        <f t="shared" si="31"/>
        <v>50072</v>
      </c>
      <c r="D407" s="20">
        <f t="shared" si="32"/>
        <v>1</v>
      </c>
      <c r="E407" s="20">
        <v>1</v>
      </c>
      <c r="H407" s="20">
        <f t="shared" si="33"/>
        <v>2</v>
      </c>
      <c r="M407" s="20">
        <v>406</v>
      </c>
    </row>
    <row r="408" spans="1:13" x14ac:dyDescent="0.15">
      <c r="A408" s="20">
        <f t="shared" si="29"/>
        <v>17</v>
      </c>
      <c r="B408" s="20">
        <f t="shared" si="30"/>
        <v>1702</v>
      </c>
      <c r="C408" s="20">
        <f t="shared" ca="1" si="31"/>
        <v>50042</v>
      </c>
      <c r="D408" s="20">
        <f t="shared" ca="1" si="32"/>
        <v>129</v>
      </c>
      <c r="E408" s="20">
        <v>1</v>
      </c>
      <c r="H408" s="20">
        <f t="shared" si="33"/>
        <v>5</v>
      </c>
      <c r="M408" s="20">
        <v>407</v>
      </c>
    </row>
    <row r="409" spans="1:13" x14ac:dyDescent="0.15">
      <c r="A409" s="20">
        <f t="shared" si="29"/>
        <v>17</v>
      </c>
      <c r="B409" s="20">
        <f t="shared" si="30"/>
        <v>1702</v>
      </c>
      <c r="C409" s="20">
        <f t="shared" ca="1" si="31"/>
        <v>50042</v>
      </c>
      <c r="D409" s="20">
        <f t="shared" ca="1" si="32"/>
        <v>129</v>
      </c>
      <c r="E409" s="20">
        <v>1</v>
      </c>
      <c r="H409" s="20">
        <f t="shared" si="33"/>
        <v>8</v>
      </c>
      <c r="M409" s="20">
        <v>408</v>
      </c>
    </row>
    <row r="410" spans="1:13" x14ac:dyDescent="0.15">
      <c r="A410" s="20">
        <f t="shared" si="29"/>
        <v>17</v>
      </c>
      <c r="B410" s="20">
        <f t="shared" si="30"/>
        <v>1702</v>
      </c>
      <c r="C410" s="20">
        <f t="shared" ca="1" si="31"/>
        <v>50044</v>
      </c>
      <c r="D410" s="20">
        <f t="shared" ca="1" si="32"/>
        <v>55</v>
      </c>
      <c r="E410" s="20">
        <v>1</v>
      </c>
      <c r="H410" s="20">
        <f t="shared" si="33"/>
        <v>11</v>
      </c>
      <c r="M410" s="20">
        <v>409</v>
      </c>
    </row>
    <row r="411" spans="1:13" x14ac:dyDescent="0.15">
      <c r="A411" s="20">
        <f t="shared" si="29"/>
        <v>17</v>
      </c>
      <c r="B411" s="20">
        <f t="shared" si="30"/>
        <v>1702</v>
      </c>
      <c r="C411" s="20">
        <f t="shared" ca="1" si="31"/>
        <v>50050</v>
      </c>
      <c r="D411" s="20">
        <f t="shared" ca="1" si="32"/>
        <v>5</v>
      </c>
      <c r="E411" s="20">
        <v>1</v>
      </c>
      <c r="H411" s="20">
        <f t="shared" si="33"/>
        <v>14</v>
      </c>
      <c r="M411" s="20">
        <v>410</v>
      </c>
    </row>
    <row r="412" spans="1:13" x14ac:dyDescent="0.15">
      <c r="A412" s="20">
        <f t="shared" ref="A412:A475" si="34">A387+1</f>
        <v>17</v>
      </c>
      <c r="B412" s="20">
        <f t="shared" ref="B412:B475" si="35">B387+100</f>
        <v>1703</v>
      </c>
      <c r="C412" s="20">
        <f t="shared" si="31"/>
        <v>50073</v>
      </c>
      <c r="D412" s="20">
        <f t="shared" si="32"/>
        <v>1</v>
      </c>
      <c r="E412" s="20">
        <v>1</v>
      </c>
      <c r="H412" s="20">
        <f t="shared" si="33"/>
        <v>2</v>
      </c>
      <c r="M412" s="20">
        <v>411</v>
      </c>
    </row>
    <row r="413" spans="1:13" x14ac:dyDescent="0.15">
      <c r="A413" s="20">
        <f t="shared" si="34"/>
        <v>17</v>
      </c>
      <c r="B413" s="20">
        <f t="shared" si="35"/>
        <v>1703</v>
      </c>
      <c r="C413" s="20">
        <f t="shared" ca="1" si="31"/>
        <v>50047</v>
      </c>
      <c r="D413" s="20">
        <f t="shared" ca="1" si="32"/>
        <v>181</v>
      </c>
      <c r="E413" s="20">
        <v>1</v>
      </c>
      <c r="H413" s="20">
        <f t="shared" si="33"/>
        <v>5</v>
      </c>
      <c r="M413" s="20">
        <v>412</v>
      </c>
    </row>
    <row r="414" spans="1:13" x14ac:dyDescent="0.15">
      <c r="A414" s="20">
        <f t="shared" si="34"/>
        <v>17</v>
      </c>
      <c r="B414" s="20">
        <f t="shared" si="35"/>
        <v>1703</v>
      </c>
      <c r="C414" s="20">
        <f t="shared" ca="1" si="31"/>
        <v>50056</v>
      </c>
      <c r="D414" s="20">
        <f t="shared" ca="1" si="32"/>
        <v>129</v>
      </c>
      <c r="E414" s="20">
        <v>1</v>
      </c>
      <c r="H414" s="20">
        <f t="shared" si="33"/>
        <v>8</v>
      </c>
      <c r="M414" s="20">
        <v>413</v>
      </c>
    </row>
    <row r="415" spans="1:13" x14ac:dyDescent="0.15">
      <c r="A415" s="20">
        <f t="shared" si="34"/>
        <v>17</v>
      </c>
      <c r="B415" s="20">
        <f t="shared" si="35"/>
        <v>1703</v>
      </c>
      <c r="C415" s="20">
        <f t="shared" ca="1" si="31"/>
        <v>50062</v>
      </c>
      <c r="D415" s="20">
        <f t="shared" ca="1" si="32"/>
        <v>32</v>
      </c>
      <c r="E415" s="20">
        <v>1</v>
      </c>
      <c r="H415" s="20">
        <f t="shared" si="33"/>
        <v>11</v>
      </c>
      <c r="M415" s="20">
        <v>414</v>
      </c>
    </row>
    <row r="416" spans="1:13" x14ac:dyDescent="0.15">
      <c r="A416" s="20">
        <f t="shared" si="34"/>
        <v>17</v>
      </c>
      <c r="B416" s="20">
        <f t="shared" si="35"/>
        <v>1703</v>
      </c>
      <c r="C416" s="20">
        <f t="shared" ca="1" si="31"/>
        <v>50074</v>
      </c>
      <c r="D416" s="20">
        <f t="shared" ca="1" si="32"/>
        <v>1</v>
      </c>
      <c r="E416" s="20">
        <v>1</v>
      </c>
      <c r="H416" s="20">
        <f t="shared" si="33"/>
        <v>14</v>
      </c>
      <c r="M416" s="20">
        <v>415</v>
      </c>
    </row>
    <row r="417" spans="1:13" x14ac:dyDescent="0.15">
      <c r="A417" s="20">
        <f t="shared" si="34"/>
        <v>17</v>
      </c>
      <c r="B417" s="20">
        <f t="shared" si="35"/>
        <v>1704</v>
      </c>
      <c r="C417" s="20">
        <f t="shared" si="31"/>
        <v>50074</v>
      </c>
      <c r="D417" s="20">
        <f t="shared" si="32"/>
        <v>1</v>
      </c>
      <c r="E417" s="20">
        <v>1</v>
      </c>
      <c r="H417" s="20">
        <f t="shared" si="33"/>
        <v>2</v>
      </c>
      <c r="M417" s="20">
        <v>416</v>
      </c>
    </row>
    <row r="418" spans="1:13" x14ac:dyDescent="0.15">
      <c r="A418" s="20">
        <f t="shared" si="34"/>
        <v>17</v>
      </c>
      <c r="B418" s="20">
        <f t="shared" si="35"/>
        <v>1704</v>
      </c>
      <c r="C418" s="20">
        <f t="shared" ca="1" si="31"/>
        <v>50057</v>
      </c>
      <c r="D418" s="20">
        <f t="shared" ca="1" si="32"/>
        <v>129</v>
      </c>
      <c r="E418" s="20">
        <v>1</v>
      </c>
      <c r="H418" s="20">
        <f t="shared" si="33"/>
        <v>5</v>
      </c>
      <c r="M418" s="20">
        <v>417</v>
      </c>
    </row>
    <row r="419" spans="1:13" x14ac:dyDescent="0.15">
      <c r="A419" s="20">
        <f t="shared" si="34"/>
        <v>17</v>
      </c>
      <c r="B419" s="20">
        <f t="shared" si="35"/>
        <v>1704</v>
      </c>
      <c r="C419" s="20">
        <f t="shared" ca="1" si="31"/>
        <v>50056</v>
      </c>
      <c r="D419" s="20">
        <f t="shared" ca="1" si="32"/>
        <v>129</v>
      </c>
      <c r="E419" s="20">
        <v>1</v>
      </c>
      <c r="H419" s="20">
        <f t="shared" si="33"/>
        <v>8</v>
      </c>
      <c r="M419" s="20">
        <v>418</v>
      </c>
    </row>
    <row r="420" spans="1:13" x14ac:dyDescent="0.15">
      <c r="A420" s="20">
        <f t="shared" si="34"/>
        <v>17</v>
      </c>
      <c r="B420" s="20">
        <f t="shared" si="35"/>
        <v>1704</v>
      </c>
      <c r="C420" s="20">
        <f t="shared" ca="1" si="31"/>
        <v>50061</v>
      </c>
      <c r="D420" s="20">
        <f t="shared" ca="1" si="32"/>
        <v>32</v>
      </c>
      <c r="E420" s="20">
        <v>1</v>
      </c>
      <c r="H420" s="20">
        <f t="shared" si="33"/>
        <v>11</v>
      </c>
      <c r="M420" s="20">
        <v>419</v>
      </c>
    </row>
    <row r="421" spans="1:13" x14ac:dyDescent="0.15">
      <c r="A421" s="20">
        <f t="shared" si="34"/>
        <v>17</v>
      </c>
      <c r="B421" s="20">
        <f t="shared" si="35"/>
        <v>1704</v>
      </c>
      <c r="C421" s="20">
        <f t="shared" ca="1" si="31"/>
        <v>50074</v>
      </c>
      <c r="D421" s="20">
        <f t="shared" ca="1" si="32"/>
        <v>1</v>
      </c>
      <c r="E421" s="20">
        <v>1</v>
      </c>
      <c r="H421" s="20">
        <f t="shared" si="33"/>
        <v>14</v>
      </c>
      <c r="M421" s="20">
        <v>420</v>
      </c>
    </row>
    <row r="422" spans="1:13" x14ac:dyDescent="0.15">
      <c r="A422" s="20">
        <f t="shared" si="34"/>
        <v>17</v>
      </c>
      <c r="B422" s="20">
        <f t="shared" si="35"/>
        <v>1705</v>
      </c>
      <c r="C422" s="20">
        <f t="shared" si="31"/>
        <v>50075</v>
      </c>
      <c r="D422" s="20">
        <f t="shared" si="32"/>
        <v>1</v>
      </c>
      <c r="E422" s="20">
        <v>1</v>
      </c>
      <c r="H422" s="20">
        <f t="shared" si="33"/>
        <v>2</v>
      </c>
      <c r="M422" s="20">
        <v>421</v>
      </c>
    </row>
    <row r="423" spans="1:13" x14ac:dyDescent="0.15">
      <c r="A423" s="20">
        <f t="shared" si="34"/>
        <v>17</v>
      </c>
      <c r="B423" s="20">
        <f t="shared" si="35"/>
        <v>1705</v>
      </c>
      <c r="C423" s="20">
        <f t="shared" ca="1" si="31"/>
        <v>50047</v>
      </c>
      <c r="D423" s="20">
        <f t="shared" ca="1" si="32"/>
        <v>181</v>
      </c>
      <c r="E423" s="20">
        <v>1</v>
      </c>
      <c r="H423" s="20">
        <f t="shared" si="33"/>
        <v>5</v>
      </c>
      <c r="M423" s="20">
        <v>422</v>
      </c>
    </row>
    <row r="424" spans="1:13" x14ac:dyDescent="0.15">
      <c r="A424" s="20">
        <f t="shared" si="34"/>
        <v>17</v>
      </c>
      <c r="B424" s="20">
        <f t="shared" si="35"/>
        <v>1705</v>
      </c>
      <c r="C424" s="20">
        <f t="shared" ca="1" si="31"/>
        <v>50067</v>
      </c>
      <c r="D424" s="20">
        <f t="shared" ca="1" si="32"/>
        <v>88</v>
      </c>
      <c r="E424" s="20">
        <v>1</v>
      </c>
      <c r="H424" s="20">
        <f t="shared" si="33"/>
        <v>8</v>
      </c>
      <c r="M424" s="20">
        <v>423</v>
      </c>
    </row>
    <row r="425" spans="1:13" x14ac:dyDescent="0.15">
      <c r="A425" s="20">
        <f t="shared" si="34"/>
        <v>17</v>
      </c>
      <c r="B425" s="20">
        <f t="shared" si="35"/>
        <v>1705</v>
      </c>
      <c r="C425" s="20">
        <f t="shared" ca="1" si="31"/>
        <v>50060</v>
      </c>
      <c r="D425" s="20">
        <f t="shared" ca="1" si="32"/>
        <v>32</v>
      </c>
      <c r="E425" s="20">
        <v>1</v>
      </c>
      <c r="H425" s="20">
        <f t="shared" si="33"/>
        <v>11</v>
      </c>
      <c r="M425" s="20">
        <v>424</v>
      </c>
    </row>
    <row r="426" spans="1:13" x14ac:dyDescent="0.15">
      <c r="A426" s="20">
        <f t="shared" si="34"/>
        <v>17</v>
      </c>
      <c r="B426" s="20">
        <f t="shared" si="35"/>
        <v>1705</v>
      </c>
      <c r="C426" s="20">
        <f t="shared" ca="1" si="31"/>
        <v>50074</v>
      </c>
      <c r="D426" s="20">
        <f t="shared" ca="1" si="32"/>
        <v>1</v>
      </c>
      <c r="E426" s="20">
        <v>1</v>
      </c>
      <c r="H426" s="20">
        <f t="shared" si="33"/>
        <v>14</v>
      </c>
      <c r="M426" s="20">
        <v>425</v>
      </c>
    </row>
    <row r="427" spans="1:13" x14ac:dyDescent="0.15">
      <c r="A427" s="20">
        <f t="shared" si="34"/>
        <v>18</v>
      </c>
      <c r="B427" s="20">
        <f t="shared" si="35"/>
        <v>1801</v>
      </c>
      <c r="C427" s="20">
        <f t="shared" si="31"/>
        <v>50076</v>
      </c>
      <c r="D427" s="20">
        <f t="shared" si="32"/>
        <v>1</v>
      </c>
      <c r="E427" s="20">
        <v>1</v>
      </c>
      <c r="H427" s="20">
        <f t="shared" si="33"/>
        <v>2</v>
      </c>
      <c r="M427" s="20">
        <v>426</v>
      </c>
    </row>
    <row r="428" spans="1:13" x14ac:dyDescent="0.15">
      <c r="A428" s="20">
        <f t="shared" si="34"/>
        <v>18</v>
      </c>
      <c r="B428" s="20">
        <f t="shared" si="35"/>
        <v>1801</v>
      </c>
      <c r="C428" s="20">
        <f t="shared" ca="1" si="31"/>
        <v>50063</v>
      </c>
      <c r="D428" s="20">
        <f t="shared" ca="1" si="32"/>
        <v>129</v>
      </c>
      <c r="E428" s="20">
        <v>1</v>
      </c>
      <c r="H428" s="20">
        <f t="shared" si="33"/>
        <v>5</v>
      </c>
      <c r="M428" s="20">
        <v>427</v>
      </c>
    </row>
    <row r="429" spans="1:13" x14ac:dyDescent="0.15">
      <c r="A429" s="20">
        <f t="shared" si="34"/>
        <v>18</v>
      </c>
      <c r="B429" s="20">
        <f t="shared" si="35"/>
        <v>1801</v>
      </c>
      <c r="C429" s="20">
        <f t="shared" ca="1" si="31"/>
        <v>50055</v>
      </c>
      <c r="D429" s="20">
        <f t="shared" ca="1" si="32"/>
        <v>129</v>
      </c>
      <c r="E429" s="20">
        <v>1</v>
      </c>
      <c r="H429" s="20">
        <f t="shared" si="33"/>
        <v>8</v>
      </c>
      <c r="M429" s="20">
        <v>428</v>
      </c>
    </row>
    <row r="430" spans="1:13" x14ac:dyDescent="0.15">
      <c r="A430" s="20">
        <f t="shared" si="34"/>
        <v>18</v>
      </c>
      <c r="B430" s="20">
        <f t="shared" si="35"/>
        <v>1801</v>
      </c>
      <c r="C430" s="20">
        <f t="shared" ca="1" si="31"/>
        <v>50068</v>
      </c>
      <c r="D430" s="20">
        <f t="shared" ca="1" si="32"/>
        <v>32</v>
      </c>
      <c r="E430" s="20">
        <v>1</v>
      </c>
      <c r="H430" s="20">
        <f t="shared" si="33"/>
        <v>11</v>
      </c>
      <c r="M430" s="20">
        <v>429</v>
      </c>
    </row>
    <row r="431" spans="1:13" x14ac:dyDescent="0.15">
      <c r="A431" s="20">
        <f t="shared" si="34"/>
        <v>18</v>
      </c>
      <c r="B431" s="20">
        <f t="shared" si="35"/>
        <v>1801</v>
      </c>
      <c r="C431" s="20">
        <f t="shared" ca="1" si="31"/>
        <v>50072</v>
      </c>
      <c r="D431" s="20">
        <f t="shared" ca="1" si="32"/>
        <v>1</v>
      </c>
      <c r="E431" s="20">
        <v>1</v>
      </c>
      <c r="H431" s="20">
        <f t="shared" si="33"/>
        <v>14</v>
      </c>
      <c r="M431" s="20">
        <v>430</v>
      </c>
    </row>
    <row r="432" spans="1:13" x14ac:dyDescent="0.15">
      <c r="A432" s="20">
        <f t="shared" si="34"/>
        <v>18</v>
      </c>
      <c r="B432" s="20">
        <f t="shared" si="35"/>
        <v>1802</v>
      </c>
      <c r="C432" s="20">
        <f t="shared" si="31"/>
        <v>50077</v>
      </c>
      <c r="D432" s="20">
        <f t="shared" si="32"/>
        <v>1</v>
      </c>
      <c r="E432" s="20">
        <v>1</v>
      </c>
      <c r="H432" s="20">
        <f t="shared" si="33"/>
        <v>2</v>
      </c>
      <c r="M432" s="20">
        <v>431</v>
      </c>
    </row>
    <row r="433" spans="1:13" x14ac:dyDescent="0.15">
      <c r="A433" s="20">
        <f t="shared" si="34"/>
        <v>18</v>
      </c>
      <c r="B433" s="20">
        <f t="shared" si="35"/>
        <v>1802</v>
      </c>
      <c r="C433" s="20">
        <f t="shared" ca="1" si="31"/>
        <v>50051</v>
      </c>
      <c r="D433" s="20">
        <f t="shared" ca="1" si="32"/>
        <v>181</v>
      </c>
      <c r="E433" s="20">
        <v>1</v>
      </c>
      <c r="H433" s="20">
        <f t="shared" si="33"/>
        <v>5</v>
      </c>
      <c r="M433" s="20">
        <v>432</v>
      </c>
    </row>
    <row r="434" spans="1:13" x14ac:dyDescent="0.15">
      <c r="A434" s="20">
        <f t="shared" si="34"/>
        <v>18</v>
      </c>
      <c r="B434" s="20">
        <f t="shared" si="35"/>
        <v>1802</v>
      </c>
      <c r="C434" s="20">
        <f t="shared" ca="1" si="31"/>
        <v>50067</v>
      </c>
      <c r="D434" s="20">
        <f t="shared" ca="1" si="32"/>
        <v>88</v>
      </c>
      <c r="E434" s="20">
        <v>1</v>
      </c>
      <c r="H434" s="20">
        <f t="shared" si="33"/>
        <v>8</v>
      </c>
      <c r="M434" s="20">
        <v>433</v>
      </c>
    </row>
    <row r="435" spans="1:13" x14ac:dyDescent="0.15">
      <c r="A435" s="20">
        <f t="shared" si="34"/>
        <v>18</v>
      </c>
      <c r="B435" s="20">
        <f t="shared" si="35"/>
        <v>1802</v>
      </c>
      <c r="C435" s="20">
        <f t="shared" ca="1" si="31"/>
        <v>50049</v>
      </c>
      <c r="D435" s="20">
        <f t="shared" ca="1" si="32"/>
        <v>32</v>
      </c>
      <c r="E435" s="20">
        <v>1</v>
      </c>
      <c r="H435" s="20">
        <f t="shared" si="33"/>
        <v>11</v>
      </c>
      <c r="M435" s="20">
        <v>434</v>
      </c>
    </row>
    <row r="436" spans="1:13" x14ac:dyDescent="0.15">
      <c r="A436" s="20">
        <f t="shared" si="34"/>
        <v>18</v>
      </c>
      <c r="B436" s="20">
        <f t="shared" si="35"/>
        <v>1802</v>
      </c>
      <c r="C436" s="20">
        <f t="shared" ca="1" si="31"/>
        <v>50059</v>
      </c>
      <c r="D436" s="20">
        <f t="shared" ca="1" si="32"/>
        <v>5</v>
      </c>
      <c r="E436" s="20">
        <v>1</v>
      </c>
      <c r="H436" s="20">
        <f t="shared" si="33"/>
        <v>14</v>
      </c>
      <c r="M436" s="20">
        <v>435</v>
      </c>
    </row>
    <row r="437" spans="1:13" x14ac:dyDescent="0.15">
      <c r="A437" s="20">
        <f t="shared" si="34"/>
        <v>18</v>
      </c>
      <c r="B437" s="20">
        <f t="shared" si="35"/>
        <v>1803</v>
      </c>
      <c r="C437" s="20">
        <f t="shared" si="31"/>
        <v>50190</v>
      </c>
      <c r="D437" s="20">
        <f t="shared" si="32"/>
        <v>1</v>
      </c>
      <c r="E437" s="20">
        <v>1</v>
      </c>
      <c r="H437" s="20">
        <f t="shared" si="33"/>
        <v>2</v>
      </c>
      <c r="M437" s="20">
        <v>436</v>
      </c>
    </row>
    <row r="438" spans="1:13" x14ac:dyDescent="0.15">
      <c r="A438" s="20">
        <f t="shared" si="34"/>
        <v>18</v>
      </c>
      <c r="B438" s="20">
        <f t="shared" si="35"/>
        <v>1803</v>
      </c>
      <c r="C438" s="20">
        <f t="shared" ca="1" si="31"/>
        <v>50070</v>
      </c>
      <c r="D438" s="20">
        <f t="shared" ca="1" si="32"/>
        <v>129</v>
      </c>
      <c r="E438" s="20">
        <v>1</v>
      </c>
      <c r="H438" s="20">
        <f t="shared" si="33"/>
        <v>5</v>
      </c>
      <c r="M438" s="20">
        <v>437</v>
      </c>
    </row>
    <row r="439" spans="1:13" x14ac:dyDescent="0.15">
      <c r="A439" s="20">
        <f t="shared" si="34"/>
        <v>18</v>
      </c>
      <c r="B439" s="20">
        <f t="shared" si="35"/>
        <v>1803</v>
      </c>
      <c r="C439" s="20">
        <f t="shared" ca="1" si="31"/>
        <v>50065</v>
      </c>
      <c r="D439" s="20">
        <f t="shared" ca="1" si="32"/>
        <v>129</v>
      </c>
      <c r="E439" s="20">
        <v>1</v>
      </c>
      <c r="H439" s="20">
        <f t="shared" si="33"/>
        <v>8</v>
      </c>
      <c r="M439" s="20">
        <v>438</v>
      </c>
    </row>
    <row r="440" spans="1:13" x14ac:dyDescent="0.15">
      <c r="A440" s="20">
        <f t="shared" si="34"/>
        <v>18</v>
      </c>
      <c r="B440" s="20">
        <f t="shared" si="35"/>
        <v>1803</v>
      </c>
      <c r="C440" s="20">
        <f t="shared" ca="1" si="31"/>
        <v>50188</v>
      </c>
      <c r="D440" s="20">
        <f t="shared" ca="1" si="32"/>
        <v>32</v>
      </c>
      <c r="E440" s="20">
        <v>1</v>
      </c>
      <c r="H440" s="20">
        <f t="shared" si="33"/>
        <v>11</v>
      </c>
      <c r="M440" s="20">
        <v>439</v>
      </c>
    </row>
    <row r="441" spans="1:13" x14ac:dyDescent="0.15">
      <c r="A441" s="20">
        <f t="shared" si="34"/>
        <v>18</v>
      </c>
      <c r="B441" s="20">
        <f t="shared" si="35"/>
        <v>1803</v>
      </c>
      <c r="C441" s="20">
        <f t="shared" ca="1" si="31"/>
        <v>50074</v>
      </c>
      <c r="D441" s="20">
        <f t="shared" ca="1" si="32"/>
        <v>1</v>
      </c>
      <c r="E441" s="20">
        <v>1</v>
      </c>
      <c r="H441" s="20">
        <f t="shared" si="33"/>
        <v>14</v>
      </c>
      <c r="M441" s="20">
        <v>440</v>
      </c>
    </row>
    <row r="442" spans="1:13" x14ac:dyDescent="0.15">
      <c r="A442" s="20">
        <f t="shared" si="34"/>
        <v>18</v>
      </c>
      <c r="B442" s="20">
        <f t="shared" si="35"/>
        <v>1804</v>
      </c>
      <c r="C442" s="20">
        <f t="shared" si="31"/>
        <v>50041</v>
      </c>
      <c r="D442" s="20">
        <f t="shared" si="32"/>
        <v>181</v>
      </c>
      <c r="E442" s="20">
        <v>1</v>
      </c>
      <c r="H442" s="20">
        <f t="shared" si="33"/>
        <v>2</v>
      </c>
      <c r="M442" s="20">
        <v>441</v>
      </c>
    </row>
    <row r="443" spans="1:13" x14ac:dyDescent="0.15">
      <c r="A443" s="20">
        <f t="shared" si="34"/>
        <v>18</v>
      </c>
      <c r="B443" s="20">
        <f t="shared" si="35"/>
        <v>1804</v>
      </c>
      <c r="C443" s="20">
        <f t="shared" ca="1" si="31"/>
        <v>50051</v>
      </c>
      <c r="D443" s="20">
        <f t="shared" ca="1" si="32"/>
        <v>181</v>
      </c>
      <c r="E443" s="20">
        <v>1</v>
      </c>
      <c r="H443" s="20">
        <f t="shared" si="33"/>
        <v>5</v>
      </c>
      <c r="M443" s="20">
        <v>442</v>
      </c>
    </row>
    <row r="444" spans="1:13" x14ac:dyDescent="0.15">
      <c r="A444" s="20">
        <f t="shared" si="34"/>
        <v>18</v>
      </c>
      <c r="B444" s="20">
        <f t="shared" si="35"/>
        <v>1804</v>
      </c>
      <c r="C444" s="20">
        <f t="shared" ca="1" si="31"/>
        <v>50066</v>
      </c>
      <c r="D444" s="20">
        <f t="shared" ca="1" si="32"/>
        <v>88</v>
      </c>
      <c r="E444" s="20">
        <v>1</v>
      </c>
      <c r="H444" s="20">
        <f t="shared" si="33"/>
        <v>8</v>
      </c>
      <c r="M444" s="20">
        <v>443</v>
      </c>
    </row>
    <row r="445" spans="1:13" x14ac:dyDescent="0.15">
      <c r="A445" s="20">
        <f t="shared" si="34"/>
        <v>18</v>
      </c>
      <c r="B445" s="20">
        <f t="shared" si="35"/>
        <v>1804</v>
      </c>
      <c r="C445" s="20">
        <f t="shared" ca="1" si="31"/>
        <v>50068</v>
      </c>
      <c r="D445" s="20">
        <f t="shared" ca="1" si="32"/>
        <v>32</v>
      </c>
      <c r="E445" s="20">
        <v>1</v>
      </c>
      <c r="H445" s="20">
        <f t="shared" si="33"/>
        <v>11</v>
      </c>
      <c r="M445" s="20">
        <v>444</v>
      </c>
    </row>
    <row r="446" spans="1:13" x14ac:dyDescent="0.15">
      <c r="A446" s="20">
        <f t="shared" si="34"/>
        <v>18</v>
      </c>
      <c r="B446" s="20">
        <f t="shared" si="35"/>
        <v>1804</v>
      </c>
      <c r="C446" s="20">
        <f t="shared" ca="1" si="31"/>
        <v>50076</v>
      </c>
      <c r="D446" s="20">
        <f t="shared" ca="1" si="32"/>
        <v>1</v>
      </c>
      <c r="E446" s="20">
        <v>1</v>
      </c>
      <c r="H446" s="20">
        <f t="shared" si="33"/>
        <v>14</v>
      </c>
      <c r="M446" s="20">
        <v>445</v>
      </c>
    </row>
    <row r="447" spans="1:13" x14ac:dyDescent="0.15">
      <c r="A447" s="20">
        <f t="shared" si="34"/>
        <v>18</v>
      </c>
      <c r="B447" s="20">
        <f t="shared" si="35"/>
        <v>1805</v>
      </c>
      <c r="C447" s="20">
        <f t="shared" si="31"/>
        <v>50045</v>
      </c>
      <c r="D447" s="20">
        <f t="shared" si="32"/>
        <v>181</v>
      </c>
      <c r="E447" s="20">
        <v>1</v>
      </c>
      <c r="H447" s="20">
        <f t="shared" si="33"/>
        <v>2</v>
      </c>
      <c r="M447" s="20">
        <v>446</v>
      </c>
    </row>
    <row r="448" spans="1:13" x14ac:dyDescent="0.15">
      <c r="A448" s="20">
        <f t="shared" si="34"/>
        <v>18</v>
      </c>
      <c r="B448" s="20">
        <f t="shared" si="35"/>
        <v>1805</v>
      </c>
      <c r="C448" s="20">
        <f t="shared" ca="1" si="31"/>
        <v>50189</v>
      </c>
      <c r="D448" s="20">
        <f t="shared" ca="1" si="32"/>
        <v>181</v>
      </c>
      <c r="E448" s="20">
        <v>1</v>
      </c>
      <c r="H448" s="20">
        <f t="shared" si="33"/>
        <v>5</v>
      </c>
      <c r="M448" s="20">
        <v>447</v>
      </c>
    </row>
    <row r="449" spans="1:13" x14ac:dyDescent="0.15">
      <c r="A449" s="20">
        <f t="shared" si="34"/>
        <v>18</v>
      </c>
      <c r="B449" s="20">
        <f t="shared" si="35"/>
        <v>1805</v>
      </c>
      <c r="C449" s="20">
        <f t="shared" ca="1" si="31"/>
        <v>50169</v>
      </c>
      <c r="D449" s="20">
        <f t="shared" ca="1" si="32"/>
        <v>88</v>
      </c>
      <c r="E449" s="20">
        <v>1</v>
      </c>
      <c r="H449" s="20">
        <f t="shared" si="33"/>
        <v>8</v>
      </c>
      <c r="M449" s="20">
        <v>448</v>
      </c>
    </row>
    <row r="450" spans="1:13" x14ac:dyDescent="0.15">
      <c r="A450" s="20">
        <f t="shared" si="34"/>
        <v>18</v>
      </c>
      <c r="B450" s="20">
        <f t="shared" si="35"/>
        <v>1805</v>
      </c>
      <c r="C450" s="20">
        <f t="shared" ref="C450:C513" ca="1" si="36">VLOOKUP(B450,plan1,H450,FALSE)</f>
        <v>50170</v>
      </c>
      <c r="D450" s="20">
        <f t="shared" ref="D450:D513" ca="1" si="37">VLOOKUP(C450,marking,9,FALSE)</f>
        <v>32</v>
      </c>
      <c r="E450" s="20">
        <v>1</v>
      </c>
      <c r="H450" s="20">
        <f t="shared" si="33"/>
        <v>11</v>
      </c>
      <c r="M450" s="20">
        <v>449</v>
      </c>
    </row>
    <row r="451" spans="1:13" x14ac:dyDescent="0.15">
      <c r="A451" s="20">
        <f t="shared" si="34"/>
        <v>18</v>
      </c>
      <c r="B451" s="20">
        <f t="shared" si="35"/>
        <v>1805</v>
      </c>
      <c r="C451" s="20">
        <f t="shared" ca="1" si="36"/>
        <v>50190</v>
      </c>
      <c r="D451" s="20">
        <f t="shared" ca="1" si="37"/>
        <v>1</v>
      </c>
      <c r="E451" s="20">
        <v>1</v>
      </c>
      <c r="H451" s="20">
        <f t="shared" si="33"/>
        <v>14</v>
      </c>
      <c r="M451" s="20">
        <v>450</v>
      </c>
    </row>
    <row r="452" spans="1:13" x14ac:dyDescent="0.15">
      <c r="A452" s="20">
        <f t="shared" si="34"/>
        <v>19</v>
      </c>
      <c r="B452" s="20">
        <f t="shared" si="35"/>
        <v>1901</v>
      </c>
      <c r="C452" s="20">
        <f t="shared" si="36"/>
        <v>50047</v>
      </c>
      <c r="D452" s="20">
        <f t="shared" si="37"/>
        <v>181</v>
      </c>
      <c r="E452" s="20">
        <v>1</v>
      </c>
      <c r="H452" s="20">
        <f t="shared" si="33"/>
        <v>2</v>
      </c>
      <c r="M452" s="20">
        <v>451</v>
      </c>
    </row>
    <row r="453" spans="1:13" x14ac:dyDescent="0.15">
      <c r="A453" s="20">
        <f t="shared" si="34"/>
        <v>19</v>
      </c>
      <c r="B453" s="20">
        <f t="shared" si="35"/>
        <v>1901</v>
      </c>
      <c r="C453" s="20">
        <f t="shared" ca="1" si="36"/>
        <v>50054</v>
      </c>
      <c r="D453" s="20">
        <f t="shared" ca="1" si="37"/>
        <v>129</v>
      </c>
      <c r="E453" s="20">
        <v>1</v>
      </c>
      <c r="H453" s="20">
        <f t="shared" si="33"/>
        <v>5</v>
      </c>
      <c r="M453" s="20">
        <v>452</v>
      </c>
    </row>
    <row r="454" spans="1:13" x14ac:dyDescent="0.15">
      <c r="A454" s="20">
        <f t="shared" si="34"/>
        <v>19</v>
      </c>
      <c r="B454" s="20">
        <f t="shared" si="35"/>
        <v>1901</v>
      </c>
      <c r="C454" s="20">
        <f t="shared" ca="1" si="36"/>
        <v>50054</v>
      </c>
      <c r="D454" s="20">
        <f t="shared" ca="1" si="37"/>
        <v>129</v>
      </c>
      <c r="E454" s="20">
        <v>1</v>
      </c>
      <c r="H454" s="20">
        <f t="shared" si="33"/>
        <v>8</v>
      </c>
      <c r="M454" s="20">
        <v>453</v>
      </c>
    </row>
    <row r="455" spans="1:13" x14ac:dyDescent="0.15">
      <c r="A455" s="20">
        <f t="shared" si="34"/>
        <v>19</v>
      </c>
      <c r="B455" s="20">
        <f t="shared" si="35"/>
        <v>1901</v>
      </c>
      <c r="C455" s="20">
        <f t="shared" ca="1" si="36"/>
        <v>50170</v>
      </c>
      <c r="D455" s="20">
        <f t="shared" ca="1" si="37"/>
        <v>32</v>
      </c>
      <c r="E455" s="20">
        <v>1</v>
      </c>
      <c r="H455" s="20">
        <f t="shared" si="33"/>
        <v>11</v>
      </c>
      <c r="M455" s="20">
        <v>454</v>
      </c>
    </row>
    <row r="456" spans="1:13" x14ac:dyDescent="0.15">
      <c r="A456" s="20">
        <f t="shared" si="34"/>
        <v>19</v>
      </c>
      <c r="B456" s="20">
        <f t="shared" si="35"/>
        <v>1901</v>
      </c>
      <c r="C456" s="20">
        <f t="shared" ca="1" si="36"/>
        <v>50074</v>
      </c>
      <c r="D456" s="20">
        <f t="shared" ca="1" si="37"/>
        <v>1</v>
      </c>
      <c r="E456" s="20">
        <v>1</v>
      </c>
      <c r="H456" s="20">
        <f t="shared" ref="H456:H519" si="38">H451</f>
        <v>14</v>
      </c>
      <c r="M456" s="20">
        <v>455</v>
      </c>
    </row>
    <row r="457" spans="1:13" x14ac:dyDescent="0.15">
      <c r="A457" s="20">
        <f t="shared" si="34"/>
        <v>19</v>
      </c>
      <c r="B457" s="20">
        <f t="shared" si="35"/>
        <v>1902</v>
      </c>
      <c r="C457" s="20">
        <f t="shared" si="36"/>
        <v>50051</v>
      </c>
      <c r="D457" s="20">
        <f t="shared" si="37"/>
        <v>181</v>
      </c>
      <c r="E457" s="20">
        <v>1</v>
      </c>
      <c r="H457" s="20">
        <f t="shared" si="38"/>
        <v>2</v>
      </c>
      <c r="M457" s="20">
        <v>456</v>
      </c>
    </row>
    <row r="458" spans="1:13" x14ac:dyDescent="0.15">
      <c r="A458" s="20">
        <f t="shared" si="34"/>
        <v>19</v>
      </c>
      <c r="B458" s="20">
        <f t="shared" si="35"/>
        <v>1902</v>
      </c>
      <c r="C458" s="20">
        <f t="shared" ca="1" si="36"/>
        <v>50053</v>
      </c>
      <c r="D458" s="20">
        <f t="shared" ca="1" si="37"/>
        <v>129</v>
      </c>
      <c r="E458" s="20">
        <v>1</v>
      </c>
      <c r="H458" s="20">
        <f t="shared" si="38"/>
        <v>5</v>
      </c>
      <c r="M458" s="20">
        <v>457</v>
      </c>
    </row>
    <row r="459" spans="1:13" x14ac:dyDescent="0.15">
      <c r="A459" s="20">
        <f t="shared" si="34"/>
        <v>19</v>
      </c>
      <c r="B459" s="20">
        <f t="shared" si="35"/>
        <v>1902</v>
      </c>
      <c r="C459" s="20">
        <f t="shared" ca="1" si="36"/>
        <v>50043</v>
      </c>
      <c r="D459" s="20">
        <f t="shared" ca="1" si="37"/>
        <v>88</v>
      </c>
      <c r="E459" s="20">
        <v>1</v>
      </c>
      <c r="H459" s="20">
        <f t="shared" si="38"/>
        <v>8</v>
      </c>
      <c r="M459" s="20">
        <v>458</v>
      </c>
    </row>
    <row r="460" spans="1:13" x14ac:dyDescent="0.15">
      <c r="A460" s="20">
        <f t="shared" si="34"/>
        <v>19</v>
      </c>
      <c r="B460" s="20">
        <f t="shared" si="35"/>
        <v>1902</v>
      </c>
      <c r="C460" s="20">
        <f t="shared" ca="1" si="36"/>
        <v>50060</v>
      </c>
      <c r="D460" s="20">
        <f t="shared" ca="1" si="37"/>
        <v>32</v>
      </c>
      <c r="E460" s="20">
        <v>1</v>
      </c>
      <c r="H460" s="20">
        <f t="shared" si="38"/>
        <v>11</v>
      </c>
      <c r="M460" s="20">
        <v>459</v>
      </c>
    </row>
    <row r="461" spans="1:13" x14ac:dyDescent="0.15">
      <c r="A461" s="20">
        <f t="shared" si="34"/>
        <v>19</v>
      </c>
      <c r="B461" s="20">
        <f t="shared" si="35"/>
        <v>1902</v>
      </c>
      <c r="C461" s="20">
        <f t="shared" ca="1" si="36"/>
        <v>50077</v>
      </c>
      <c r="D461" s="20">
        <f t="shared" ca="1" si="37"/>
        <v>1</v>
      </c>
      <c r="E461" s="20">
        <v>1</v>
      </c>
      <c r="H461" s="20">
        <f t="shared" si="38"/>
        <v>14</v>
      </c>
      <c r="M461" s="20">
        <v>460</v>
      </c>
    </row>
    <row r="462" spans="1:13" x14ac:dyDescent="0.15">
      <c r="A462" s="20">
        <f t="shared" si="34"/>
        <v>19</v>
      </c>
      <c r="B462" s="20">
        <f t="shared" si="35"/>
        <v>1903</v>
      </c>
      <c r="C462" s="20">
        <f t="shared" si="36"/>
        <v>50052</v>
      </c>
      <c r="D462" s="20">
        <f t="shared" si="37"/>
        <v>181</v>
      </c>
      <c r="E462" s="20">
        <v>1</v>
      </c>
      <c r="H462" s="20">
        <f t="shared" si="38"/>
        <v>2</v>
      </c>
      <c r="M462" s="20">
        <v>461</v>
      </c>
    </row>
    <row r="463" spans="1:13" x14ac:dyDescent="0.15">
      <c r="A463" s="20">
        <f t="shared" si="34"/>
        <v>19</v>
      </c>
      <c r="B463" s="20">
        <f t="shared" si="35"/>
        <v>1903</v>
      </c>
      <c r="C463" s="20">
        <f t="shared" ca="1" si="36"/>
        <v>50053</v>
      </c>
      <c r="D463" s="20">
        <f t="shared" ca="1" si="37"/>
        <v>129</v>
      </c>
      <c r="E463" s="20">
        <v>1</v>
      </c>
      <c r="H463" s="20">
        <f t="shared" si="38"/>
        <v>5</v>
      </c>
      <c r="M463" s="20">
        <v>462</v>
      </c>
    </row>
    <row r="464" spans="1:13" x14ac:dyDescent="0.15">
      <c r="A464" s="20">
        <f t="shared" si="34"/>
        <v>19</v>
      </c>
      <c r="B464" s="20">
        <f t="shared" si="35"/>
        <v>1903</v>
      </c>
      <c r="C464" s="20">
        <f t="shared" ca="1" si="36"/>
        <v>50048</v>
      </c>
      <c r="D464" s="20">
        <f t="shared" ca="1" si="37"/>
        <v>88</v>
      </c>
      <c r="E464" s="20">
        <v>1</v>
      </c>
      <c r="H464" s="20">
        <f t="shared" si="38"/>
        <v>8</v>
      </c>
      <c r="M464" s="20">
        <v>463</v>
      </c>
    </row>
    <row r="465" spans="1:13" x14ac:dyDescent="0.15">
      <c r="A465" s="20">
        <f t="shared" si="34"/>
        <v>19</v>
      </c>
      <c r="B465" s="20">
        <f t="shared" si="35"/>
        <v>1903</v>
      </c>
      <c r="C465" s="20">
        <f t="shared" ca="1" si="36"/>
        <v>50170</v>
      </c>
      <c r="D465" s="20">
        <f t="shared" ca="1" si="37"/>
        <v>32</v>
      </c>
      <c r="E465" s="20">
        <v>1</v>
      </c>
      <c r="H465" s="20">
        <f t="shared" si="38"/>
        <v>11</v>
      </c>
      <c r="M465" s="20">
        <v>464</v>
      </c>
    </row>
    <row r="466" spans="1:13" x14ac:dyDescent="0.15">
      <c r="A466" s="20">
        <f t="shared" si="34"/>
        <v>19</v>
      </c>
      <c r="B466" s="20">
        <f t="shared" si="35"/>
        <v>1903</v>
      </c>
      <c r="C466" s="20">
        <f t="shared" ca="1" si="36"/>
        <v>50076</v>
      </c>
      <c r="D466" s="20">
        <f t="shared" ca="1" si="37"/>
        <v>1</v>
      </c>
      <c r="E466" s="20">
        <v>1</v>
      </c>
      <c r="H466" s="20">
        <f t="shared" si="38"/>
        <v>14</v>
      </c>
      <c r="M466" s="20">
        <v>465</v>
      </c>
    </row>
    <row r="467" spans="1:13" x14ac:dyDescent="0.15">
      <c r="A467" s="20">
        <f t="shared" si="34"/>
        <v>19</v>
      </c>
      <c r="B467" s="20">
        <f t="shared" si="35"/>
        <v>1904</v>
      </c>
      <c r="C467" s="20">
        <f t="shared" si="36"/>
        <v>50069</v>
      </c>
      <c r="D467" s="20">
        <f t="shared" si="37"/>
        <v>181</v>
      </c>
      <c r="E467" s="20">
        <v>1</v>
      </c>
      <c r="H467" s="20">
        <f t="shared" si="38"/>
        <v>2</v>
      </c>
      <c r="M467" s="20">
        <v>466</v>
      </c>
    </row>
    <row r="468" spans="1:13" x14ac:dyDescent="0.15">
      <c r="A468" s="20">
        <f t="shared" si="34"/>
        <v>19</v>
      </c>
      <c r="B468" s="20">
        <f t="shared" si="35"/>
        <v>1904</v>
      </c>
      <c r="C468" s="20">
        <f t="shared" ca="1" si="36"/>
        <v>50047</v>
      </c>
      <c r="D468" s="20">
        <f t="shared" ca="1" si="37"/>
        <v>181</v>
      </c>
      <c r="E468" s="20">
        <v>1</v>
      </c>
      <c r="H468" s="20">
        <f t="shared" si="38"/>
        <v>5</v>
      </c>
      <c r="M468" s="20">
        <v>467</v>
      </c>
    </row>
    <row r="469" spans="1:13" x14ac:dyDescent="0.15">
      <c r="A469" s="20">
        <f t="shared" si="34"/>
        <v>19</v>
      </c>
      <c r="B469" s="20">
        <f t="shared" si="35"/>
        <v>1904</v>
      </c>
      <c r="C469" s="20">
        <f t="shared" ca="1" si="36"/>
        <v>50063</v>
      </c>
      <c r="D469" s="20">
        <f t="shared" ca="1" si="37"/>
        <v>129</v>
      </c>
      <c r="E469" s="20">
        <v>1</v>
      </c>
      <c r="H469" s="20">
        <f t="shared" si="38"/>
        <v>8</v>
      </c>
      <c r="M469" s="20">
        <v>468</v>
      </c>
    </row>
    <row r="470" spans="1:13" x14ac:dyDescent="0.15">
      <c r="A470" s="20">
        <f t="shared" si="34"/>
        <v>19</v>
      </c>
      <c r="B470" s="20">
        <f t="shared" si="35"/>
        <v>1904</v>
      </c>
      <c r="C470" s="20">
        <f t="shared" ca="1" si="36"/>
        <v>50061</v>
      </c>
      <c r="D470" s="20">
        <f t="shared" ca="1" si="37"/>
        <v>32</v>
      </c>
      <c r="E470" s="20">
        <v>1</v>
      </c>
      <c r="H470" s="20">
        <f t="shared" si="38"/>
        <v>11</v>
      </c>
      <c r="M470" s="20">
        <v>469</v>
      </c>
    </row>
    <row r="471" spans="1:13" x14ac:dyDescent="0.15">
      <c r="A471" s="20">
        <f t="shared" si="34"/>
        <v>19</v>
      </c>
      <c r="B471" s="20">
        <f t="shared" si="35"/>
        <v>1904</v>
      </c>
      <c r="C471" s="20">
        <f t="shared" ca="1" si="36"/>
        <v>50075</v>
      </c>
      <c r="D471" s="20">
        <f t="shared" ca="1" si="37"/>
        <v>1</v>
      </c>
      <c r="E471" s="20">
        <v>1</v>
      </c>
      <c r="H471" s="20">
        <f t="shared" si="38"/>
        <v>14</v>
      </c>
      <c r="M471" s="20">
        <v>470</v>
      </c>
    </row>
    <row r="472" spans="1:13" x14ac:dyDescent="0.15">
      <c r="A472" s="20">
        <f t="shared" si="34"/>
        <v>19</v>
      </c>
      <c r="B472" s="20">
        <f t="shared" si="35"/>
        <v>1905</v>
      </c>
      <c r="C472" s="20">
        <f t="shared" si="36"/>
        <v>50168</v>
      </c>
      <c r="D472" s="20">
        <f t="shared" si="37"/>
        <v>181</v>
      </c>
      <c r="E472" s="20">
        <v>1</v>
      </c>
      <c r="H472" s="20">
        <f t="shared" si="38"/>
        <v>2</v>
      </c>
      <c r="M472" s="20">
        <v>471</v>
      </c>
    </row>
    <row r="473" spans="1:13" x14ac:dyDescent="0.15">
      <c r="A473" s="20">
        <f t="shared" si="34"/>
        <v>19</v>
      </c>
      <c r="B473" s="20">
        <f t="shared" si="35"/>
        <v>1905</v>
      </c>
      <c r="C473" s="20">
        <f t="shared" ca="1" si="36"/>
        <v>50047</v>
      </c>
      <c r="D473" s="20">
        <f t="shared" ca="1" si="37"/>
        <v>181</v>
      </c>
      <c r="E473" s="20">
        <v>1</v>
      </c>
      <c r="H473" s="20">
        <f t="shared" si="38"/>
        <v>5</v>
      </c>
      <c r="M473" s="20">
        <v>472</v>
      </c>
    </row>
    <row r="474" spans="1:13" x14ac:dyDescent="0.15">
      <c r="A474" s="20">
        <f t="shared" si="34"/>
        <v>19</v>
      </c>
      <c r="B474" s="20">
        <f t="shared" si="35"/>
        <v>1905</v>
      </c>
      <c r="C474" s="20">
        <f t="shared" ca="1" si="36"/>
        <v>50065</v>
      </c>
      <c r="D474" s="20">
        <f t="shared" ca="1" si="37"/>
        <v>129</v>
      </c>
      <c r="E474" s="20">
        <v>1</v>
      </c>
      <c r="H474" s="20">
        <f t="shared" si="38"/>
        <v>8</v>
      </c>
      <c r="M474" s="20">
        <v>473</v>
      </c>
    </row>
    <row r="475" spans="1:13" x14ac:dyDescent="0.15">
      <c r="A475" s="20">
        <f t="shared" si="34"/>
        <v>19</v>
      </c>
      <c r="B475" s="20">
        <f t="shared" si="35"/>
        <v>1905</v>
      </c>
      <c r="C475" s="20">
        <f t="shared" ca="1" si="36"/>
        <v>50188</v>
      </c>
      <c r="D475" s="20">
        <f t="shared" ca="1" si="37"/>
        <v>32</v>
      </c>
      <c r="E475" s="20">
        <v>1</v>
      </c>
      <c r="H475" s="20">
        <f t="shared" si="38"/>
        <v>11</v>
      </c>
      <c r="M475" s="20">
        <v>474</v>
      </c>
    </row>
    <row r="476" spans="1:13" x14ac:dyDescent="0.15">
      <c r="A476" s="20">
        <f t="shared" ref="A476:A539" si="39">A451+1</f>
        <v>19</v>
      </c>
      <c r="B476" s="20">
        <f t="shared" ref="B476:B539" si="40">B451+100</f>
        <v>1905</v>
      </c>
      <c r="C476" s="20">
        <f t="shared" ca="1" si="36"/>
        <v>50073</v>
      </c>
      <c r="D476" s="20">
        <f t="shared" ca="1" si="37"/>
        <v>1</v>
      </c>
      <c r="E476" s="20">
        <v>1</v>
      </c>
      <c r="H476" s="20">
        <f t="shared" si="38"/>
        <v>14</v>
      </c>
      <c r="M476" s="20">
        <v>475</v>
      </c>
    </row>
    <row r="477" spans="1:13" x14ac:dyDescent="0.15">
      <c r="A477" s="20">
        <f t="shared" si="39"/>
        <v>20</v>
      </c>
      <c r="B477" s="20">
        <f t="shared" si="40"/>
        <v>2001</v>
      </c>
      <c r="C477" s="20">
        <f t="shared" si="36"/>
        <v>50189</v>
      </c>
      <c r="D477" s="20">
        <f t="shared" si="37"/>
        <v>181</v>
      </c>
      <c r="E477" s="20">
        <v>1</v>
      </c>
      <c r="H477" s="20">
        <f t="shared" si="38"/>
        <v>2</v>
      </c>
      <c r="M477" s="20">
        <v>476</v>
      </c>
    </row>
    <row r="478" spans="1:13" x14ac:dyDescent="0.15">
      <c r="A478" s="20">
        <f t="shared" si="39"/>
        <v>20</v>
      </c>
      <c r="B478" s="20">
        <f t="shared" si="40"/>
        <v>2001</v>
      </c>
      <c r="C478" s="20">
        <f t="shared" ca="1" si="36"/>
        <v>50065</v>
      </c>
      <c r="D478" s="20">
        <f t="shared" ca="1" si="37"/>
        <v>129</v>
      </c>
      <c r="E478" s="20">
        <v>1</v>
      </c>
      <c r="H478" s="20">
        <f t="shared" si="38"/>
        <v>5</v>
      </c>
      <c r="M478" s="20">
        <v>477</v>
      </c>
    </row>
    <row r="479" spans="1:13" x14ac:dyDescent="0.15">
      <c r="A479" s="20">
        <f t="shared" si="39"/>
        <v>20</v>
      </c>
      <c r="B479" s="20">
        <f t="shared" si="40"/>
        <v>2001</v>
      </c>
      <c r="C479" s="20">
        <f t="shared" ca="1" si="36"/>
        <v>50053</v>
      </c>
      <c r="D479" s="20">
        <f t="shared" ca="1" si="37"/>
        <v>129</v>
      </c>
      <c r="E479" s="20">
        <v>1</v>
      </c>
      <c r="H479" s="20">
        <f t="shared" si="38"/>
        <v>8</v>
      </c>
      <c r="M479" s="20">
        <v>478</v>
      </c>
    </row>
    <row r="480" spans="1:13" x14ac:dyDescent="0.15">
      <c r="A480" s="20">
        <f t="shared" si="39"/>
        <v>20</v>
      </c>
      <c r="B480" s="20">
        <f t="shared" si="40"/>
        <v>2001</v>
      </c>
      <c r="C480" s="20">
        <f t="shared" ca="1" si="36"/>
        <v>50060</v>
      </c>
      <c r="D480" s="20">
        <f t="shared" ca="1" si="37"/>
        <v>32</v>
      </c>
      <c r="E480" s="20">
        <v>1</v>
      </c>
      <c r="H480" s="20">
        <f t="shared" si="38"/>
        <v>11</v>
      </c>
      <c r="M480" s="20">
        <v>479</v>
      </c>
    </row>
    <row r="481" spans="1:13" x14ac:dyDescent="0.15">
      <c r="A481" s="20">
        <f t="shared" si="39"/>
        <v>20</v>
      </c>
      <c r="B481" s="20">
        <f t="shared" si="40"/>
        <v>2001</v>
      </c>
      <c r="C481" s="20">
        <f t="shared" ca="1" si="36"/>
        <v>50190</v>
      </c>
      <c r="D481" s="20">
        <f t="shared" ca="1" si="37"/>
        <v>1</v>
      </c>
      <c r="E481" s="20">
        <v>1</v>
      </c>
      <c r="H481" s="20">
        <f t="shared" si="38"/>
        <v>14</v>
      </c>
      <c r="M481" s="20">
        <v>480</v>
      </c>
    </row>
    <row r="482" spans="1:13" x14ac:dyDescent="0.15">
      <c r="A482" s="20">
        <f t="shared" si="39"/>
        <v>20</v>
      </c>
      <c r="B482" s="20">
        <f t="shared" si="40"/>
        <v>2002</v>
      </c>
      <c r="C482" s="20">
        <f t="shared" si="36"/>
        <v>50042</v>
      </c>
      <c r="D482" s="20">
        <f t="shared" si="37"/>
        <v>129</v>
      </c>
      <c r="E482" s="20">
        <v>1</v>
      </c>
      <c r="H482" s="20">
        <f t="shared" si="38"/>
        <v>2</v>
      </c>
      <c r="M482" s="20">
        <v>481</v>
      </c>
    </row>
    <row r="483" spans="1:13" x14ac:dyDescent="0.15">
      <c r="A483" s="20">
        <f t="shared" si="39"/>
        <v>20</v>
      </c>
      <c r="B483" s="20">
        <f t="shared" si="40"/>
        <v>2002</v>
      </c>
      <c r="C483" s="20">
        <f t="shared" ca="1" si="36"/>
        <v>50069</v>
      </c>
      <c r="D483" s="20">
        <f t="shared" ca="1" si="37"/>
        <v>181</v>
      </c>
      <c r="E483" s="20">
        <v>1</v>
      </c>
      <c r="H483" s="20">
        <f t="shared" si="38"/>
        <v>5</v>
      </c>
      <c r="M483" s="20">
        <v>482</v>
      </c>
    </row>
    <row r="484" spans="1:13" x14ac:dyDescent="0.15">
      <c r="A484" s="20">
        <f t="shared" si="39"/>
        <v>20</v>
      </c>
      <c r="B484" s="20">
        <f t="shared" si="40"/>
        <v>2002</v>
      </c>
      <c r="C484" s="20">
        <f t="shared" ca="1" si="36"/>
        <v>50171</v>
      </c>
      <c r="D484" s="20">
        <f t="shared" ca="1" si="37"/>
        <v>88</v>
      </c>
      <c r="E484" s="20">
        <v>1</v>
      </c>
      <c r="H484" s="20">
        <f t="shared" si="38"/>
        <v>8</v>
      </c>
      <c r="M484" s="20">
        <v>483</v>
      </c>
    </row>
    <row r="485" spans="1:13" x14ac:dyDescent="0.15">
      <c r="A485" s="20">
        <f t="shared" si="39"/>
        <v>20</v>
      </c>
      <c r="B485" s="20">
        <f t="shared" si="40"/>
        <v>2002</v>
      </c>
      <c r="C485" s="20">
        <f t="shared" ca="1" si="36"/>
        <v>50061</v>
      </c>
      <c r="D485" s="20">
        <f t="shared" ca="1" si="37"/>
        <v>32</v>
      </c>
      <c r="E485" s="20">
        <v>1</v>
      </c>
      <c r="H485" s="20">
        <f t="shared" si="38"/>
        <v>11</v>
      </c>
      <c r="M485" s="20">
        <v>484</v>
      </c>
    </row>
    <row r="486" spans="1:13" x14ac:dyDescent="0.15">
      <c r="A486" s="20">
        <f t="shared" si="39"/>
        <v>20</v>
      </c>
      <c r="B486" s="20">
        <f t="shared" si="40"/>
        <v>2002</v>
      </c>
      <c r="C486" s="20">
        <f t="shared" ca="1" si="36"/>
        <v>50190</v>
      </c>
      <c r="D486" s="20">
        <f t="shared" ca="1" si="37"/>
        <v>1</v>
      </c>
      <c r="E486" s="20">
        <v>1</v>
      </c>
      <c r="H486" s="20">
        <f t="shared" si="38"/>
        <v>14</v>
      </c>
      <c r="M486" s="20">
        <v>485</v>
      </c>
    </row>
    <row r="487" spans="1:13" x14ac:dyDescent="0.15">
      <c r="A487" s="20">
        <f t="shared" si="39"/>
        <v>20</v>
      </c>
      <c r="B487" s="20">
        <f t="shared" si="40"/>
        <v>2003</v>
      </c>
      <c r="C487" s="20">
        <f t="shared" si="36"/>
        <v>50053</v>
      </c>
      <c r="D487" s="20">
        <f t="shared" si="37"/>
        <v>129</v>
      </c>
      <c r="E487" s="20">
        <v>1</v>
      </c>
      <c r="H487" s="20">
        <f t="shared" si="38"/>
        <v>2</v>
      </c>
      <c r="M487" s="20">
        <v>486</v>
      </c>
    </row>
    <row r="488" spans="1:13" x14ac:dyDescent="0.15">
      <c r="A488" s="20">
        <f t="shared" si="39"/>
        <v>20</v>
      </c>
      <c r="B488" s="20">
        <f t="shared" si="40"/>
        <v>2003</v>
      </c>
      <c r="C488" s="20">
        <f t="shared" ca="1" si="36"/>
        <v>50063</v>
      </c>
      <c r="D488" s="20">
        <f t="shared" ca="1" si="37"/>
        <v>129</v>
      </c>
      <c r="E488" s="20">
        <v>1</v>
      </c>
      <c r="H488" s="20">
        <f t="shared" si="38"/>
        <v>5</v>
      </c>
      <c r="M488" s="20">
        <v>487</v>
      </c>
    </row>
    <row r="489" spans="1:13" x14ac:dyDescent="0.15">
      <c r="A489" s="20">
        <f t="shared" si="39"/>
        <v>20</v>
      </c>
      <c r="B489" s="20">
        <f t="shared" si="40"/>
        <v>2003</v>
      </c>
      <c r="C489" s="20">
        <f t="shared" ca="1" si="36"/>
        <v>50067</v>
      </c>
      <c r="D489" s="20">
        <f t="shared" ca="1" si="37"/>
        <v>88</v>
      </c>
      <c r="E489" s="20">
        <v>1</v>
      </c>
      <c r="H489" s="20">
        <f t="shared" si="38"/>
        <v>8</v>
      </c>
      <c r="M489" s="20">
        <v>488</v>
      </c>
    </row>
    <row r="490" spans="1:13" x14ac:dyDescent="0.15">
      <c r="A490" s="20">
        <f t="shared" si="39"/>
        <v>20</v>
      </c>
      <c r="B490" s="20">
        <f t="shared" si="40"/>
        <v>2003</v>
      </c>
      <c r="C490" s="20">
        <f t="shared" ca="1" si="36"/>
        <v>50060</v>
      </c>
      <c r="D490" s="20">
        <f t="shared" ca="1" si="37"/>
        <v>32</v>
      </c>
      <c r="E490" s="20">
        <v>1</v>
      </c>
      <c r="H490" s="20">
        <f t="shared" si="38"/>
        <v>11</v>
      </c>
      <c r="M490" s="20">
        <v>489</v>
      </c>
    </row>
    <row r="491" spans="1:13" x14ac:dyDescent="0.15">
      <c r="A491" s="20">
        <f t="shared" si="39"/>
        <v>20</v>
      </c>
      <c r="B491" s="20">
        <f t="shared" si="40"/>
        <v>2003</v>
      </c>
      <c r="C491" s="20">
        <f t="shared" ca="1" si="36"/>
        <v>50071</v>
      </c>
      <c r="D491" s="20">
        <f t="shared" ca="1" si="37"/>
        <v>1</v>
      </c>
      <c r="E491" s="20">
        <v>1</v>
      </c>
      <c r="H491" s="20">
        <f t="shared" si="38"/>
        <v>14</v>
      </c>
      <c r="M491" s="20">
        <v>490</v>
      </c>
    </row>
    <row r="492" spans="1:13" x14ac:dyDescent="0.15">
      <c r="A492" s="20">
        <f t="shared" si="39"/>
        <v>20</v>
      </c>
      <c r="B492" s="20">
        <f t="shared" si="40"/>
        <v>2004</v>
      </c>
      <c r="C492" s="20">
        <f t="shared" si="36"/>
        <v>50054</v>
      </c>
      <c r="D492" s="20">
        <f t="shared" si="37"/>
        <v>129</v>
      </c>
      <c r="E492" s="20">
        <v>1</v>
      </c>
      <c r="H492" s="20">
        <f t="shared" si="38"/>
        <v>2</v>
      </c>
      <c r="M492" s="20">
        <v>491</v>
      </c>
    </row>
    <row r="493" spans="1:13" x14ac:dyDescent="0.15">
      <c r="A493" s="20">
        <f t="shared" si="39"/>
        <v>20</v>
      </c>
      <c r="B493" s="20">
        <f t="shared" si="40"/>
        <v>2004</v>
      </c>
      <c r="C493" s="20">
        <f t="shared" ca="1" si="36"/>
        <v>50054</v>
      </c>
      <c r="D493" s="20">
        <f t="shared" ca="1" si="37"/>
        <v>129</v>
      </c>
      <c r="E493" s="20">
        <v>1</v>
      </c>
      <c r="H493" s="20">
        <f t="shared" si="38"/>
        <v>5</v>
      </c>
      <c r="M493" s="20">
        <v>492</v>
      </c>
    </row>
    <row r="494" spans="1:13" x14ac:dyDescent="0.15">
      <c r="A494" s="20">
        <f t="shared" si="39"/>
        <v>20</v>
      </c>
      <c r="B494" s="20">
        <f t="shared" si="40"/>
        <v>2004</v>
      </c>
      <c r="C494" s="20">
        <f t="shared" ca="1" si="36"/>
        <v>50054</v>
      </c>
      <c r="D494" s="20">
        <f t="shared" ca="1" si="37"/>
        <v>129</v>
      </c>
      <c r="E494" s="20">
        <v>1</v>
      </c>
      <c r="H494" s="20">
        <f t="shared" si="38"/>
        <v>8</v>
      </c>
      <c r="M494" s="20">
        <v>493</v>
      </c>
    </row>
    <row r="495" spans="1:13" x14ac:dyDescent="0.15">
      <c r="A495" s="20">
        <f t="shared" si="39"/>
        <v>20</v>
      </c>
      <c r="B495" s="20">
        <f t="shared" si="40"/>
        <v>2004</v>
      </c>
      <c r="C495" s="20">
        <f t="shared" ca="1" si="36"/>
        <v>50170</v>
      </c>
      <c r="D495" s="20">
        <f t="shared" ca="1" si="37"/>
        <v>32</v>
      </c>
      <c r="E495" s="20">
        <v>1</v>
      </c>
      <c r="H495" s="20">
        <f t="shared" si="38"/>
        <v>11</v>
      </c>
      <c r="M495" s="20">
        <v>494</v>
      </c>
    </row>
    <row r="496" spans="1:13" x14ac:dyDescent="0.15">
      <c r="A496" s="20">
        <f t="shared" si="39"/>
        <v>20</v>
      </c>
      <c r="B496" s="20">
        <f t="shared" si="40"/>
        <v>2004</v>
      </c>
      <c r="C496" s="20">
        <f t="shared" ca="1" si="36"/>
        <v>50072</v>
      </c>
      <c r="D496" s="20">
        <f t="shared" ca="1" si="37"/>
        <v>1</v>
      </c>
      <c r="E496" s="20">
        <v>1</v>
      </c>
      <c r="H496" s="20">
        <f t="shared" si="38"/>
        <v>14</v>
      </c>
      <c r="M496" s="20">
        <v>495</v>
      </c>
    </row>
    <row r="497" spans="1:13" x14ac:dyDescent="0.15">
      <c r="A497" s="20">
        <f t="shared" si="39"/>
        <v>20</v>
      </c>
      <c r="B497" s="20">
        <f t="shared" si="40"/>
        <v>2005</v>
      </c>
      <c r="C497" s="20">
        <f t="shared" si="36"/>
        <v>50055</v>
      </c>
      <c r="D497" s="20">
        <f t="shared" si="37"/>
        <v>129</v>
      </c>
      <c r="E497" s="20">
        <v>1</v>
      </c>
      <c r="H497" s="20">
        <f t="shared" si="38"/>
        <v>2</v>
      </c>
      <c r="M497" s="20">
        <v>496</v>
      </c>
    </row>
    <row r="498" spans="1:13" x14ac:dyDescent="0.15">
      <c r="A498" s="20">
        <f t="shared" si="39"/>
        <v>20</v>
      </c>
      <c r="B498" s="20">
        <f t="shared" si="40"/>
        <v>2005</v>
      </c>
      <c r="C498" s="20">
        <f t="shared" ca="1" si="36"/>
        <v>50056</v>
      </c>
      <c r="D498" s="20">
        <f t="shared" ca="1" si="37"/>
        <v>129</v>
      </c>
      <c r="E498" s="20">
        <v>1</v>
      </c>
      <c r="H498" s="20">
        <f t="shared" si="38"/>
        <v>5</v>
      </c>
      <c r="M498" s="20">
        <v>497</v>
      </c>
    </row>
    <row r="499" spans="1:13" x14ac:dyDescent="0.15">
      <c r="A499" s="20">
        <f t="shared" si="39"/>
        <v>20</v>
      </c>
      <c r="B499" s="20">
        <f t="shared" si="40"/>
        <v>2005</v>
      </c>
      <c r="C499" s="20">
        <f t="shared" ca="1" si="36"/>
        <v>50046</v>
      </c>
      <c r="D499" s="20">
        <f t="shared" ca="1" si="37"/>
        <v>88</v>
      </c>
      <c r="E499" s="20">
        <v>1</v>
      </c>
      <c r="H499" s="20">
        <f t="shared" si="38"/>
        <v>8</v>
      </c>
      <c r="M499" s="20">
        <v>498</v>
      </c>
    </row>
    <row r="500" spans="1:13" x14ac:dyDescent="0.15">
      <c r="A500" s="20">
        <f t="shared" si="39"/>
        <v>20</v>
      </c>
      <c r="B500" s="20">
        <f t="shared" si="40"/>
        <v>2005</v>
      </c>
      <c r="C500" s="20">
        <f t="shared" ca="1" si="36"/>
        <v>50061</v>
      </c>
      <c r="D500" s="20">
        <f t="shared" ca="1" si="37"/>
        <v>32</v>
      </c>
      <c r="E500" s="20">
        <v>1</v>
      </c>
      <c r="H500" s="20">
        <f t="shared" si="38"/>
        <v>11</v>
      </c>
      <c r="M500" s="20">
        <v>499</v>
      </c>
    </row>
    <row r="501" spans="1:13" x14ac:dyDescent="0.15">
      <c r="A501" s="20">
        <f t="shared" si="39"/>
        <v>20</v>
      </c>
      <c r="B501" s="20">
        <f t="shared" si="40"/>
        <v>2005</v>
      </c>
      <c r="C501" s="20">
        <f t="shared" ca="1" si="36"/>
        <v>50074</v>
      </c>
      <c r="D501" s="20">
        <f t="shared" ca="1" si="37"/>
        <v>1</v>
      </c>
      <c r="E501" s="20">
        <v>1</v>
      </c>
      <c r="H501" s="20">
        <f t="shared" si="38"/>
        <v>14</v>
      </c>
      <c r="M501" s="20">
        <v>500</v>
      </c>
    </row>
    <row r="502" spans="1:13" x14ac:dyDescent="0.15">
      <c r="A502" s="20">
        <f t="shared" si="39"/>
        <v>21</v>
      </c>
      <c r="B502" s="20">
        <f t="shared" si="40"/>
        <v>2101</v>
      </c>
      <c r="C502" s="20">
        <f t="shared" si="36"/>
        <v>50056</v>
      </c>
      <c r="D502" s="20">
        <f t="shared" si="37"/>
        <v>129</v>
      </c>
      <c r="E502" s="20">
        <v>1</v>
      </c>
      <c r="H502" s="20">
        <f t="shared" si="38"/>
        <v>2</v>
      </c>
      <c r="M502" s="20">
        <v>501</v>
      </c>
    </row>
    <row r="503" spans="1:13" x14ac:dyDescent="0.15">
      <c r="A503" s="20">
        <f t="shared" si="39"/>
        <v>21</v>
      </c>
      <c r="B503" s="20">
        <f t="shared" si="40"/>
        <v>2101</v>
      </c>
      <c r="C503" s="20">
        <f t="shared" ca="1" si="36"/>
        <v>50054</v>
      </c>
      <c r="D503" s="20">
        <f t="shared" ca="1" si="37"/>
        <v>129</v>
      </c>
      <c r="E503" s="20">
        <v>1</v>
      </c>
      <c r="H503" s="20">
        <f t="shared" si="38"/>
        <v>5</v>
      </c>
      <c r="M503" s="20">
        <v>502</v>
      </c>
    </row>
    <row r="504" spans="1:13" x14ac:dyDescent="0.15">
      <c r="A504" s="20">
        <f t="shared" si="39"/>
        <v>21</v>
      </c>
      <c r="B504" s="20">
        <f t="shared" si="40"/>
        <v>2101</v>
      </c>
      <c r="C504" s="20">
        <f t="shared" ca="1" si="36"/>
        <v>50066</v>
      </c>
      <c r="D504" s="20">
        <f t="shared" ca="1" si="37"/>
        <v>88</v>
      </c>
      <c r="E504" s="20">
        <v>1</v>
      </c>
      <c r="H504" s="20">
        <f t="shared" si="38"/>
        <v>8</v>
      </c>
      <c r="M504" s="20">
        <v>503</v>
      </c>
    </row>
    <row r="505" spans="1:13" x14ac:dyDescent="0.15">
      <c r="A505" s="20">
        <f t="shared" si="39"/>
        <v>21</v>
      </c>
      <c r="B505" s="20">
        <f t="shared" si="40"/>
        <v>2101</v>
      </c>
      <c r="C505" s="20">
        <f t="shared" ca="1" si="36"/>
        <v>50061</v>
      </c>
      <c r="D505" s="20">
        <f t="shared" ca="1" si="37"/>
        <v>32</v>
      </c>
      <c r="E505" s="20">
        <v>1</v>
      </c>
      <c r="H505" s="20">
        <f t="shared" si="38"/>
        <v>11</v>
      </c>
      <c r="M505" s="20">
        <v>504</v>
      </c>
    </row>
    <row r="506" spans="1:13" x14ac:dyDescent="0.15">
      <c r="A506" s="20">
        <f t="shared" si="39"/>
        <v>21</v>
      </c>
      <c r="B506" s="20">
        <f t="shared" si="40"/>
        <v>2101</v>
      </c>
      <c r="C506" s="20">
        <f t="shared" ca="1" si="36"/>
        <v>50073</v>
      </c>
      <c r="D506" s="20">
        <f t="shared" ca="1" si="37"/>
        <v>1</v>
      </c>
      <c r="E506" s="20">
        <v>1</v>
      </c>
      <c r="H506" s="20">
        <f t="shared" si="38"/>
        <v>14</v>
      </c>
      <c r="M506" s="20">
        <v>505</v>
      </c>
    </row>
    <row r="507" spans="1:13" x14ac:dyDescent="0.15">
      <c r="A507" s="20">
        <f t="shared" si="39"/>
        <v>21</v>
      </c>
      <c r="B507" s="20">
        <f t="shared" si="40"/>
        <v>2102</v>
      </c>
      <c r="C507" s="20">
        <f t="shared" si="36"/>
        <v>50057</v>
      </c>
      <c r="D507" s="20">
        <f t="shared" si="37"/>
        <v>129</v>
      </c>
      <c r="E507" s="20">
        <v>1</v>
      </c>
      <c r="H507" s="20">
        <f t="shared" si="38"/>
        <v>2</v>
      </c>
      <c r="M507" s="20">
        <v>506</v>
      </c>
    </row>
    <row r="508" spans="1:13" x14ac:dyDescent="0.15">
      <c r="A508" s="20">
        <f t="shared" si="39"/>
        <v>21</v>
      </c>
      <c r="B508" s="20">
        <f t="shared" si="40"/>
        <v>2102</v>
      </c>
      <c r="C508" s="20">
        <f t="shared" ca="1" si="36"/>
        <v>50042</v>
      </c>
      <c r="D508" s="20">
        <f t="shared" ca="1" si="37"/>
        <v>129</v>
      </c>
      <c r="E508" s="20">
        <v>1</v>
      </c>
      <c r="H508" s="20">
        <f t="shared" si="38"/>
        <v>5</v>
      </c>
      <c r="M508" s="20">
        <v>507</v>
      </c>
    </row>
    <row r="509" spans="1:13" x14ac:dyDescent="0.15">
      <c r="A509" s="20">
        <f t="shared" si="39"/>
        <v>21</v>
      </c>
      <c r="B509" s="20">
        <f t="shared" si="40"/>
        <v>2102</v>
      </c>
      <c r="C509" s="20">
        <f t="shared" ca="1" si="36"/>
        <v>50169</v>
      </c>
      <c r="D509" s="20">
        <f t="shared" ca="1" si="37"/>
        <v>88</v>
      </c>
      <c r="E509" s="20">
        <v>1</v>
      </c>
      <c r="H509" s="20">
        <f t="shared" si="38"/>
        <v>8</v>
      </c>
      <c r="M509" s="20">
        <v>508</v>
      </c>
    </row>
    <row r="510" spans="1:13" x14ac:dyDescent="0.15">
      <c r="A510" s="20">
        <f t="shared" si="39"/>
        <v>21</v>
      </c>
      <c r="B510" s="20">
        <f t="shared" si="40"/>
        <v>2102</v>
      </c>
      <c r="C510" s="20">
        <f t="shared" ca="1" si="36"/>
        <v>50068</v>
      </c>
      <c r="D510" s="20">
        <f t="shared" ca="1" si="37"/>
        <v>32</v>
      </c>
      <c r="E510" s="20">
        <v>1</v>
      </c>
      <c r="H510" s="20">
        <f t="shared" si="38"/>
        <v>11</v>
      </c>
      <c r="M510" s="20">
        <v>509</v>
      </c>
    </row>
    <row r="511" spans="1:13" x14ac:dyDescent="0.15">
      <c r="A511" s="20">
        <f t="shared" si="39"/>
        <v>21</v>
      </c>
      <c r="B511" s="20">
        <f t="shared" si="40"/>
        <v>2102</v>
      </c>
      <c r="C511" s="20">
        <f t="shared" ca="1" si="36"/>
        <v>50074</v>
      </c>
      <c r="D511" s="20">
        <f t="shared" ca="1" si="37"/>
        <v>1</v>
      </c>
      <c r="E511" s="20">
        <v>1</v>
      </c>
      <c r="H511" s="20">
        <f t="shared" si="38"/>
        <v>14</v>
      </c>
      <c r="M511" s="20">
        <v>510</v>
      </c>
    </row>
    <row r="512" spans="1:13" x14ac:dyDescent="0.15">
      <c r="A512" s="20">
        <f t="shared" si="39"/>
        <v>21</v>
      </c>
      <c r="B512" s="20">
        <f t="shared" si="40"/>
        <v>2103</v>
      </c>
      <c r="C512" s="20">
        <f t="shared" si="36"/>
        <v>50063</v>
      </c>
      <c r="D512" s="20">
        <f t="shared" si="37"/>
        <v>129</v>
      </c>
      <c r="E512" s="20">
        <v>1</v>
      </c>
      <c r="H512" s="20">
        <f t="shared" si="38"/>
        <v>2</v>
      </c>
      <c r="M512" s="20">
        <v>511</v>
      </c>
    </row>
    <row r="513" spans="1:13" x14ac:dyDescent="0.15">
      <c r="A513" s="20">
        <f t="shared" si="39"/>
        <v>21</v>
      </c>
      <c r="B513" s="20">
        <f t="shared" si="40"/>
        <v>2103</v>
      </c>
      <c r="C513" s="20">
        <f t="shared" ca="1" si="36"/>
        <v>50189</v>
      </c>
      <c r="D513" s="20">
        <f t="shared" ca="1" si="37"/>
        <v>181</v>
      </c>
      <c r="E513" s="20">
        <v>1</v>
      </c>
      <c r="H513" s="20">
        <f t="shared" si="38"/>
        <v>5</v>
      </c>
      <c r="M513" s="20">
        <v>512</v>
      </c>
    </row>
    <row r="514" spans="1:13" x14ac:dyDescent="0.15">
      <c r="A514" s="20">
        <f t="shared" si="39"/>
        <v>21</v>
      </c>
      <c r="B514" s="20">
        <f t="shared" si="40"/>
        <v>2103</v>
      </c>
      <c r="C514" s="20">
        <f t="shared" ref="C514:C577" ca="1" si="41">VLOOKUP(B514,plan1,H514,FALSE)</f>
        <v>50043</v>
      </c>
      <c r="D514" s="20">
        <f t="shared" ref="D514:D577" ca="1" si="42">VLOOKUP(C514,marking,9,FALSE)</f>
        <v>88</v>
      </c>
      <c r="E514" s="20">
        <v>1</v>
      </c>
      <c r="H514" s="20">
        <f t="shared" si="38"/>
        <v>8</v>
      </c>
      <c r="M514" s="20">
        <v>513</v>
      </c>
    </row>
    <row r="515" spans="1:13" x14ac:dyDescent="0.15">
      <c r="A515" s="20">
        <f t="shared" si="39"/>
        <v>21</v>
      </c>
      <c r="B515" s="20">
        <f t="shared" si="40"/>
        <v>2103</v>
      </c>
      <c r="C515" s="20">
        <f t="shared" ca="1" si="41"/>
        <v>50170</v>
      </c>
      <c r="D515" s="20">
        <f t="shared" ca="1" si="42"/>
        <v>32</v>
      </c>
      <c r="E515" s="20">
        <v>1</v>
      </c>
      <c r="H515" s="20">
        <f t="shared" si="38"/>
        <v>11</v>
      </c>
      <c r="M515" s="20">
        <v>514</v>
      </c>
    </row>
    <row r="516" spans="1:13" x14ac:dyDescent="0.15">
      <c r="A516" s="20">
        <f t="shared" si="39"/>
        <v>21</v>
      </c>
      <c r="B516" s="20">
        <f t="shared" si="40"/>
        <v>2103</v>
      </c>
      <c r="C516" s="20">
        <f t="shared" ca="1" si="41"/>
        <v>50190</v>
      </c>
      <c r="D516" s="20">
        <f t="shared" ca="1" si="42"/>
        <v>1</v>
      </c>
      <c r="E516" s="20">
        <v>1</v>
      </c>
      <c r="H516" s="20">
        <f t="shared" si="38"/>
        <v>14</v>
      </c>
      <c r="M516" s="20">
        <v>515</v>
      </c>
    </row>
    <row r="517" spans="1:13" x14ac:dyDescent="0.15">
      <c r="A517" s="20">
        <f t="shared" si="39"/>
        <v>21</v>
      </c>
      <c r="B517" s="20">
        <f t="shared" si="40"/>
        <v>2104</v>
      </c>
      <c r="C517" s="20">
        <f t="shared" si="41"/>
        <v>50064</v>
      </c>
      <c r="D517" s="20">
        <f t="shared" si="42"/>
        <v>129</v>
      </c>
      <c r="E517" s="20">
        <v>1</v>
      </c>
      <c r="H517" s="20">
        <f t="shared" si="38"/>
        <v>2</v>
      </c>
      <c r="M517" s="20">
        <v>516</v>
      </c>
    </row>
    <row r="518" spans="1:13" x14ac:dyDescent="0.15">
      <c r="A518" s="20">
        <f t="shared" si="39"/>
        <v>21</v>
      </c>
      <c r="B518" s="20">
        <f t="shared" si="40"/>
        <v>2104</v>
      </c>
      <c r="C518" s="20">
        <f t="shared" ca="1" si="41"/>
        <v>50168</v>
      </c>
      <c r="D518" s="20">
        <f t="shared" ca="1" si="42"/>
        <v>181</v>
      </c>
      <c r="E518" s="20">
        <v>1</v>
      </c>
      <c r="H518" s="20">
        <f t="shared" si="38"/>
        <v>5</v>
      </c>
      <c r="M518" s="20">
        <v>517</v>
      </c>
    </row>
    <row r="519" spans="1:13" x14ac:dyDescent="0.15">
      <c r="A519" s="20">
        <f t="shared" si="39"/>
        <v>21</v>
      </c>
      <c r="B519" s="20">
        <f t="shared" si="40"/>
        <v>2104</v>
      </c>
      <c r="C519" s="20">
        <f t="shared" ca="1" si="41"/>
        <v>50043</v>
      </c>
      <c r="D519" s="20">
        <f t="shared" ca="1" si="42"/>
        <v>88</v>
      </c>
      <c r="E519" s="20">
        <v>1</v>
      </c>
      <c r="H519" s="20">
        <f t="shared" si="38"/>
        <v>8</v>
      </c>
      <c r="M519" s="20">
        <v>518</v>
      </c>
    </row>
    <row r="520" spans="1:13" x14ac:dyDescent="0.15">
      <c r="A520" s="20">
        <f t="shared" si="39"/>
        <v>21</v>
      </c>
      <c r="B520" s="20">
        <f t="shared" si="40"/>
        <v>2104</v>
      </c>
      <c r="C520" s="20">
        <f t="shared" ca="1" si="41"/>
        <v>50188</v>
      </c>
      <c r="D520" s="20">
        <f t="shared" ca="1" si="42"/>
        <v>32</v>
      </c>
      <c r="E520" s="20">
        <v>1</v>
      </c>
      <c r="H520" s="20">
        <f t="shared" ref="H520:H583" si="43">H515</f>
        <v>11</v>
      </c>
      <c r="M520" s="20">
        <v>519</v>
      </c>
    </row>
    <row r="521" spans="1:13" x14ac:dyDescent="0.15">
      <c r="A521" s="20">
        <f t="shared" si="39"/>
        <v>21</v>
      </c>
      <c r="B521" s="20">
        <f t="shared" si="40"/>
        <v>2104</v>
      </c>
      <c r="C521" s="20">
        <f t="shared" ca="1" si="41"/>
        <v>50071</v>
      </c>
      <c r="D521" s="20">
        <f t="shared" ca="1" si="42"/>
        <v>1</v>
      </c>
      <c r="E521" s="20">
        <v>1</v>
      </c>
      <c r="H521" s="20">
        <f t="shared" si="43"/>
        <v>14</v>
      </c>
      <c r="M521" s="20">
        <v>520</v>
      </c>
    </row>
    <row r="522" spans="1:13" x14ac:dyDescent="0.15">
      <c r="A522" s="20">
        <f t="shared" si="39"/>
        <v>21</v>
      </c>
      <c r="B522" s="20">
        <f t="shared" si="40"/>
        <v>2105</v>
      </c>
      <c r="C522" s="20">
        <f t="shared" si="41"/>
        <v>50065</v>
      </c>
      <c r="D522" s="20">
        <f t="shared" si="42"/>
        <v>129</v>
      </c>
      <c r="E522" s="20">
        <v>1</v>
      </c>
      <c r="H522" s="20">
        <f t="shared" si="43"/>
        <v>2</v>
      </c>
      <c r="M522" s="20">
        <v>521</v>
      </c>
    </row>
    <row r="523" spans="1:13" x14ac:dyDescent="0.15">
      <c r="A523" s="20">
        <f t="shared" si="39"/>
        <v>21</v>
      </c>
      <c r="B523" s="20">
        <f t="shared" si="40"/>
        <v>2105</v>
      </c>
      <c r="C523" s="20">
        <f t="shared" ca="1" si="41"/>
        <v>50041</v>
      </c>
      <c r="D523" s="20">
        <f t="shared" ca="1" si="42"/>
        <v>181</v>
      </c>
      <c r="E523" s="20">
        <v>1</v>
      </c>
      <c r="H523" s="20">
        <f t="shared" si="43"/>
        <v>5</v>
      </c>
      <c r="M523" s="20">
        <v>522</v>
      </c>
    </row>
    <row r="524" spans="1:13" x14ac:dyDescent="0.15">
      <c r="A524" s="20">
        <f t="shared" si="39"/>
        <v>21</v>
      </c>
      <c r="B524" s="20">
        <f t="shared" si="40"/>
        <v>2105</v>
      </c>
      <c r="C524" s="20">
        <f t="shared" ca="1" si="41"/>
        <v>50070</v>
      </c>
      <c r="D524" s="20">
        <f t="shared" ca="1" si="42"/>
        <v>129</v>
      </c>
      <c r="E524" s="20">
        <v>1</v>
      </c>
      <c r="H524" s="20">
        <f t="shared" si="43"/>
        <v>8</v>
      </c>
      <c r="M524" s="20">
        <v>523</v>
      </c>
    </row>
    <row r="525" spans="1:13" x14ac:dyDescent="0.15">
      <c r="A525" s="20">
        <f t="shared" si="39"/>
        <v>21</v>
      </c>
      <c r="B525" s="20">
        <f t="shared" si="40"/>
        <v>2105</v>
      </c>
      <c r="C525" s="20">
        <f t="shared" ca="1" si="41"/>
        <v>50061</v>
      </c>
      <c r="D525" s="20">
        <f t="shared" ca="1" si="42"/>
        <v>32</v>
      </c>
      <c r="E525" s="20">
        <v>1</v>
      </c>
      <c r="H525" s="20">
        <f t="shared" si="43"/>
        <v>11</v>
      </c>
      <c r="M525" s="20">
        <v>524</v>
      </c>
    </row>
    <row r="526" spans="1:13" x14ac:dyDescent="0.15">
      <c r="A526" s="20">
        <f t="shared" si="39"/>
        <v>21</v>
      </c>
      <c r="B526" s="20">
        <f t="shared" si="40"/>
        <v>2105</v>
      </c>
      <c r="C526" s="20">
        <f t="shared" ca="1" si="41"/>
        <v>50075</v>
      </c>
      <c r="D526" s="20">
        <f t="shared" ca="1" si="42"/>
        <v>1</v>
      </c>
      <c r="E526" s="20">
        <v>1</v>
      </c>
      <c r="H526" s="20">
        <f t="shared" si="43"/>
        <v>14</v>
      </c>
      <c r="M526" s="20">
        <v>525</v>
      </c>
    </row>
    <row r="527" spans="1:13" x14ac:dyDescent="0.15">
      <c r="A527" s="20">
        <f t="shared" si="39"/>
        <v>22</v>
      </c>
      <c r="B527" s="20">
        <f t="shared" si="40"/>
        <v>2201</v>
      </c>
      <c r="C527" s="20">
        <f t="shared" si="41"/>
        <v>50070</v>
      </c>
      <c r="D527" s="20">
        <f t="shared" si="42"/>
        <v>129</v>
      </c>
      <c r="E527" s="20">
        <v>1</v>
      </c>
      <c r="H527" s="20">
        <f t="shared" si="43"/>
        <v>2</v>
      </c>
      <c r="M527" s="20">
        <v>526</v>
      </c>
    </row>
    <row r="528" spans="1:13" x14ac:dyDescent="0.15">
      <c r="A528" s="20">
        <f t="shared" si="39"/>
        <v>22</v>
      </c>
      <c r="B528" s="20">
        <f t="shared" si="40"/>
        <v>2201</v>
      </c>
      <c r="C528" s="20">
        <f t="shared" ca="1" si="41"/>
        <v>50051</v>
      </c>
      <c r="D528" s="20">
        <f t="shared" ca="1" si="42"/>
        <v>181</v>
      </c>
      <c r="E528" s="20">
        <v>1</v>
      </c>
      <c r="H528" s="20">
        <f t="shared" si="43"/>
        <v>5</v>
      </c>
      <c r="M528" s="20">
        <v>527</v>
      </c>
    </row>
    <row r="529" spans="1:13" x14ac:dyDescent="0.15">
      <c r="A529" s="20">
        <f t="shared" si="39"/>
        <v>22</v>
      </c>
      <c r="B529" s="20">
        <f t="shared" si="40"/>
        <v>2201</v>
      </c>
      <c r="C529" s="20">
        <f t="shared" ca="1" si="41"/>
        <v>50042</v>
      </c>
      <c r="D529" s="20">
        <f t="shared" ca="1" si="42"/>
        <v>129</v>
      </c>
      <c r="E529" s="20">
        <v>1</v>
      </c>
      <c r="H529" s="20">
        <f t="shared" si="43"/>
        <v>8</v>
      </c>
      <c r="M529" s="20">
        <v>528</v>
      </c>
    </row>
    <row r="530" spans="1:13" x14ac:dyDescent="0.15">
      <c r="A530" s="20">
        <f t="shared" si="39"/>
        <v>22</v>
      </c>
      <c r="B530" s="20">
        <f t="shared" si="40"/>
        <v>2201</v>
      </c>
      <c r="C530" s="20">
        <f t="shared" ca="1" si="41"/>
        <v>50062</v>
      </c>
      <c r="D530" s="20">
        <f t="shared" ca="1" si="42"/>
        <v>32</v>
      </c>
      <c r="E530" s="20">
        <v>1</v>
      </c>
      <c r="H530" s="20">
        <f t="shared" si="43"/>
        <v>11</v>
      </c>
      <c r="M530" s="20">
        <v>529</v>
      </c>
    </row>
    <row r="531" spans="1:13" x14ac:dyDescent="0.15">
      <c r="A531" s="20">
        <f t="shared" si="39"/>
        <v>22</v>
      </c>
      <c r="B531" s="20">
        <f t="shared" si="40"/>
        <v>2201</v>
      </c>
      <c r="C531" s="20">
        <f t="shared" ca="1" si="41"/>
        <v>50076</v>
      </c>
      <c r="D531" s="20">
        <f t="shared" ca="1" si="42"/>
        <v>1</v>
      </c>
      <c r="E531" s="20">
        <v>1</v>
      </c>
      <c r="H531" s="20">
        <f t="shared" si="43"/>
        <v>14</v>
      </c>
      <c r="M531" s="20">
        <v>530</v>
      </c>
    </row>
    <row r="532" spans="1:13" x14ac:dyDescent="0.15">
      <c r="A532" s="20">
        <f t="shared" si="39"/>
        <v>22</v>
      </c>
      <c r="B532" s="20">
        <f t="shared" si="40"/>
        <v>2202</v>
      </c>
      <c r="C532" s="20">
        <f t="shared" si="41"/>
        <v>50043</v>
      </c>
      <c r="D532" s="20">
        <f t="shared" si="42"/>
        <v>88</v>
      </c>
      <c r="E532" s="20">
        <v>1</v>
      </c>
      <c r="H532" s="20">
        <f t="shared" si="43"/>
        <v>2</v>
      </c>
      <c r="M532" s="20">
        <v>531</v>
      </c>
    </row>
    <row r="533" spans="1:13" x14ac:dyDescent="0.15">
      <c r="A533" s="20">
        <f t="shared" si="39"/>
        <v>22</v>
      </c>
      <c r="B533" s="20">
        <f t="shared" si="40"/>
        <v>2202</v>
      </c>
      <c r="C533" s="20">
        <f t="shared" ca="1" si="41"/>
        <v>50051</v>
      </c>
      <c r="D533" s="20">
        <f t="shared" ca="1" si="42"/>
        <v>181</v>
      </c>
      <c r="E533" s="20">
        <v>1</v>
      </c>
      <c r="H533" s="20">
        <f t="shared" si="43"/>
        <v>5</v>
      </c>
      <c r="M533" s="20">
        <v>532</v>
      </c>
    </row>
    <row r="534" spans="1:13" x14ac:dyDescent="0.15">
      <c r="A534" s="20">
        <f t="shared" si="39"/>
        <v>22</v>
      </c>
      <c r="B534" s="20">
        <f t="shared" si="40"/>
        <v>2202</v>
      </c>
      <c r="C534" s="20">
        <f t="shared" ca="1" si="41"/>
        <v>50048</v>
      </c>
      <c r="D534" s="20">
        <f t="shared" ca="1" si="42"/>
        <v>88</v>
      </c>
      <c r="E534" s="20">
        <v>1</v>
      </c>
      <c r="H534" s="20">
        <f t="shared" si="43"/>
        <v>8</v>
      </c>
      <c r="M534" s="20">
        <v>533</v>
      </c>
    </row>
    <row r="535" spans="1:13" x14ac:dyDescent="0.15">
      <c r="A535" s="20">
        <f t="shared" si="39"/>
        <v>22</v>
      </c>
      <c r="B535" s="20">
        <f t="shared" si="40"/>
        <v>2202</v>
      </c>
      <c r="C535" s="20">
        <f t="shared" ca="1" si="41"/>
        <v>50170</v>
      </c>
      <c r="D535" s="20">
        <f t="shared" ca="1" si="42"/>
        <v>32</v>
      </c>
      <c r="E535" s="20">
        <v>1</v>
      </c>
      <c r="H535" s="20">
        <f t="shared" si="43"/>
        <v>11</v>
      </c>
      <c r="M535" s="20">
        <v>534</v>
      </c>
    </row>
    <row r="536" spans="1:13" x14ac:dyDescent="0.15">
      <c r="A536" s="20">
        <f t="shared" si="39"/>
        <v>22</v>
      </c>
      <c r="B536" s="20">
        <f t="shared" si="40"/>
        <v>2202</v>
      </c>
      <c r="C536" s="20">
        <f t="shared" ca="1" si="41"/>
        <v>50075</v>
      </c>
      <c r="D536" s="20">
        <f t="shared" ca="1" si="42"/>
        <v>1</v>
      </c>
      <c r="E536" s="20">
        <v>1</v>
      </c>
      <c r="H536" s="20">
        <f t="shared" si="43"/>
        <v>14</v>
      </c>
      <c r="M536" s="20">
        <v>535</v>
      </c>
    </row>
    <row r="537" spans="1:13" x14ac:dyDescent="0.15">
      <c r="A537" s="20">
        <f t="shared" si="39"/>
        <v>22</v>
      </c>
      <c r="B537" s="20">
        <f t="shared" si="40"/>
        <v>2203</v>
      </c>
      <c r="C537" s="20">
        <f t="shared" si="41"/>
        <v>50046</v>
      </c>
      <c r="D537" s="20">
        <f t="shared" si="42"/>
        <v>88</v>
      </c>
      <c r="E537" s="20">
        <v>1</v>
      </c>
      <c r="H537" s="20">
        <f t="shared" si="43"/>
        <v>2</v>
      </c>
      <c r="M537" s="20">
        <v>536</v>
      </c>
    </row>
    <row r="538" spans="1:13" x14ac:dyDescent="0.15">
      <c r="A538" s="20">
        <f t="shared" si="39"/>
        <v>22</v>
      </c>
      <c r="B538" s="20">
        <f t="shared" si="40"/>
        <v>2203</v>
      </c>
      <c r="C538" s="20">
        <f t="shared" ca="1" si="41"/>
        <v>50070</v>
      </c>
      <c r="D538" s="20">
        <f t="shared" ca="1" si="42"/>
        <v>129</v>
      </c>
      <c r="E538" s="20">
        <v>1</v>
      </c>
      <c r="H538" s="20">
        <f t="shared" si="43"/>
        <v>5</v>
      </c>
      <c r="M538" s="20">
        <v>537</v>
      </c>
    </row>
    <row r="539" spans="1:13" x14ac:dyDescent="0.15">
      <c r="A539" s="20">
        <f t="shared" si="39"/>
        <v>22</v>
      </c>
      <c r="B539" s="20">
        <f t="shared" si="40"/>
        <v>2203</v>
      </c>
      <c r="C539" s="20">
        <f t="shared" ca="1" si="41"/>
        <v>50053</v>
      </c>
      <c r="D539" s="20">
        <f t="shared" ca="1" si="42"/>
        <v>129</v>
      </c>
      <c r="E539" s="20">
        <v>1</v>
      </c>
      <c r="H539" s="20">
        <f t="shared" si="43"/>
        <v>8</v>
      </c>
      <c r="M539" s="20">
        <v>538</v>
      </c>
    </row>
    <row r="540" spans="1:13" x14ac:dyDescent="0.15">
      <c r="A540" s="20">
        <f t="shared" ref="A540:A603" si="44">A515+1</f>
        <v>22</v>
      </c>
      <c r="B540" s="20">
        <f t="shared" ref="B540:B589" si="45">B515+100</f>
        <v>2203</v>
      </c>
      <c r="C540" s="20">
        <f t="shared" ca="1" si="41"/>
        <v>50061</v>
      </c>
      <c r="D540" s="20">
        <f t="shared" ca="1" si="42"/>
        <v>32</v>
      </c>
      <c r="E540" s="20">
        <v>1</v>
      </c>
      <c r="H540" s="20">
        <f t="shared" si="43"/>
        <v>11</v>
      </c>
      <c r="M540" s="20">
        <v>539</v>
      </c>
    </row>
    <row r="541" spans="1:13" x14ac:dyDescent="0.15">
      <c r="A541" s="20">
        <f t="shared" si="44"/>
        <v>22</v>
      </c>
      <c r="B541" s="20">
        <f t="shared" si="45"/>
        <v>2203</v>
      </c>
      <c r="C541" s="20">
        <f t="shared" ca="1" si="41"/>
        <v>50073</v>
      </c>
      <c r="D541" s="20">
        <f t="shared" ca="1" si="42"/>
        <v>1</v>
      </c>
      <c r="E541" s="20">
        <v>1</v>
      </c>
      <c r="H541" s="20">
        <f t="shared" si="43"/>
        <v>14</v>
      </c>
      <c r="M541" s="20">
        <v>540</v>
      </c>
    </row>
    <row r="542" spans="1:13" x14ac:dyDescent="0.15">
      <c r="A542" s="20">
        <f t="shared" si="44"/>
        <v>22</v>
      </c>
      <c r="B542" s="20">
        <f t="shared" si="45"/>
        <v>2204</v>
      </c>
      <c r="C542" s="20">
        <f t="shared" si="41"/>
        <v>50048</v>
      </c>
      <c r="D542" s="20">
        <f t="shared" si="42"/>
        <v>88</v>
      </c>
      <c r="E542" s="20">
        <v>1</v>
      </c>
      <c r="H542" s="20">
        <f t="shared" si="43"/>
        <v>2</v>
      </c>
      <c r="M542" s="20">
        <v>541</v>
      </c>
    </row>
    <row r="543" spans="1:13" x14ac:dyDescent="0.15">
      <c r="A543" s="20">
        <f t="shared" si="44"/>
        <v>22</v>
      </c>
      <c r="B543" s="20">
        <f t="shared" si="45"/>
        <v>2204</v>
      </c>
      <c r="C543" s="20">
        <f t="shared" ca="1" si="41"/>
        <v>50055</v>
      </c>
      <c r="D543" s="20">
        <f t="shared" ca="1" si="42"/>
        <v>129</v>
      </c>
      <c r="E543" s="20">
        <v>1</v>
      </c>
      <c r="H543" s="20">
        <f t="shared" si="43"/>
        <v>5</v>
      </c>
      <c r="M543" s="20">
        <v>542</v>
      </c>
    </row>
    <row r="544" spans="1:13" x14ac:dyDescent="0.15">
      <c r="A544" s="20">
        <f t="shared" si="44"/>
        <v>22</v>
      </c>
      <c r="B544" s="20">
        <f t="shared" si="45"/>
        <v>2204</v>
      </c>
      <c r="C544" s="20">
        <f t="shared" ca="1" si="41"/>
        <v>50067</v>
      </c>
      <c r="D544" s="20">
        <f t="shared" ca="1" si="42"/>
        <v>88</v>
      </c>
      <c r="E544" s="20">
        <v>1</v>
      </c>
      <c r="H544" s="20">
        <f t="shared" si="43"/>
        <v>8</v>
      </c>
      <c r="M544" s="20">
        <v>543</v>
      </c>
    </row>
    <row r="545" spans="1:13" x14ac:dyDescent="0.15">
      <c r="A545" s="20">
        <f t="shared" si="44"/>
        <v>22</v>
      </c>
      <c r="B545" s="20">
        <f t="shared" si="45"/>
        <v>2204</v>
      </c>
      <c r="C545" s="20">
        <f t="shared" ca="1" si="41"/>
        <v>50062</v>
      </c>
      <c r="D545" s="20">
        <f t="shared" ca="1" si="42"/>
        <v>32</v>
      </c>
      <c r="E545" s="20">
        <v>1</v>
      </c>
      <c r="H545" s="20">
        <f t="shared" si="43"/>
        <v>11</v>
      </c>
      <c r="M545" s="20">
        <v>544</v>
      </c>
    </row>
    <row r="546" spans="1:13" x14ac:dyDescent="0.15">
      <c r="A546" s="20">
        <f t="shared" si="44"/>
        <v>22</v>
      </c>
      <c r="B546" s="20">
        <f t="shared" si="45"/>
        <v>2204</v>
      </c>
      <c r="C546" s="20">
        <f t="shared" ca="1" si="41"/>
        <v>50071</v>
      </c>
      <c r="D546" s="20">
        <f t="shared" ca="1" si="42"/>
        <v>1</v>
      </c>
      <c r="E546" s="20">
        <v>1</v>
      </c>
      <c r="H546" s="20">
        <f t="shared" si="43"/>
        <v>14</v>
      </c>
      <c r="M546" s="20">
        <v>545</v>
      </c>
    </row>
    <row r="547" spans="1:13" x14ac:dyDescent="0.15">
      <c r="A547" s="20">
        <f t="shared" si="44"/>
        <v>22</v>
      </c>
      <c r="B547" s="20">
        <f t="shared" si="45"/>
        <v>2205</v>
      </c>
      <c r="C547" s="20">
        <f t="shared" si="41"/>
        <v>50066</v>
      </c>
      <c r="D547" s="20">
        <f t="shared" si="42"/>
        <v>88</v>
      </c>
      <c r="E547" s="20">
        <v>1</v>
      </c>
      <c r="H547" s="20">
        <f t="shared" si="43"/>
        <v>2</v>
      </c>
      <c r="M547" s="20">
        <v>546</v>
      </c>
    </row>
    <row r="548" spans="1:13" x14ac:dyDescent="0.15">
      <c r="A548" s="20">
        <f t="shared" si="44"/>
        <v>22</v>
      </c>
      <c r="B548" s="20">
        <f t="shared" si="45"/>
        <v>2205</v>
      </c>
      <c r="C548" s="20">
        <f t="shared" ca="1" si="41"/>
        <v>50065</v>
      </c>
      <c r="D548" s="20">
        <f t="shared" ca="1" si="42"/>
        <v>129</v>
      </c>
      <c r="E548" s="20">
        <v>1</v>
      </c>
      <c r="H548" s="20">
        <f t="shared" si="43"/>
        <v>5</v>
      </c>
      <c r="M548" s="20">
        <v>547</v>
      </c>
    </row>
    <row r="549" spans="1:13" x14ac:dyDescent="0.15">
      <c r="A549" s="20">
        <f t="shared" si="44"/>
        <v>22</v>
      </c>
      <c r="B549" s="20">
        <f t="shared" si="45"/>
        <v>2205</v>
      </c>
      <c r="C549" s="20">
        <f t="shared" ca="1" si="41"/>
        <v>50048</v>
      </c>
      <c r="D549" s="20">
        <f t="shared" ca="1" si="42"/>
        <v>88</v>
      </c>
      <c r="E549" s="20">
        <v>1</v>
      </c>
      <c r="H549" s="20">
        <f t="shared" si="43"/>
        <v>8</v>
      </c>
      <c r="M549" s="20">
        <v>548</v>
      </c>
    </row>
    <row r="550" spans="1:13" x14ac:dyDescent="0.15">
      <c r="A550" s="20">
        <f t="shared" si="44"/>
        <v>22</v>
      </c>
      <c r="B550" s="20">
        <f t="shared" si="45"/>
        <v>2205</v>
      </c>
      <c r="C550" s="20">
        <f t="shared" ca="1" si="41"/>
        <v>50060</v>
      </c>
      <c r="D550" s="20">
        <f t="shared" ca="1" si="42"/>
        <v>32</v>
      </c>
      <c r="E550" s="20">
        <v>1</v>
      </c>
      <c r="H550" s="20">
        <f t="shared" si="43"/>
        <v>11</v>
      </c>
      <c r="M550" s="20">
        <v>549</v>
      </c>
    </row>
    <row r="551" spans="1:13" x14ac:dyDescent="0.15">
      <c r="A551" s="20">
        <f t="shared" si="44"/>
        <v>22</v>
      </c>
      <c r="B551" s="20">
        <f t="shared" si="45"/>
        <v>2205</v>
      </c>
      <c r="C551" s="20">
        <f t="shared" ca="1" si="41"/>
        <v>50074</v>
      </c>
      <c r="D551" s="20">
        <f t="shared" ca="1" si="42"/>
        <v>1</v>
      </c>
      <c r="E551" s="20">
        <v>1</v>
      </c>
      <c r="H551" s="20">
        <f t="shared" si="43"/>
        <v>14</v>
      </c>
      <c r="M551" s="20">
        <v>550</v>
      </c>
    </row>
    <row r="552" spans="1:13" x14ac:dyDescent="0.15">
      <c r="A552" s="20">
        <f t="shared" si="44"/>
        <v>23</v>
      </c>
      <c r="B552" s="20">
        <f t="shared" si="45"/>
        <v>2301</v>
      </c>
      <c r="C552" s="20">
        <f t="shared" si="41"/>
        <v>50067</v>
      </c>
      <c r="D552" s="20">
        <f t="shared" si="42"/>
        <v>88</v>
      </c>
      <c r="E552" s="20">
        <v>1</v>
      </c>
      <c r="H552" s="20">
        <f t="shared" si="43"/>
        <v>2</v>
      </c>
      <c r="M552" s="20">
        <v>551</v>
      </c>
    </row>
    <row r="553" spans="1:13" x14ac:dyDescent="0.15">
      <c r="A553" s="20">
        <f t="shared" si="44"/>
        <v>23</v>
      </c>
      <c r="B553" s="20">
        <f t="shared" si="45"/>
        <v>2301</v>
      </c>
      <c r="C553" s="20">
        <f t="shared" ca="1" si="41"/>
        <v>50052</v>
      </c>
      <c r="D553" s="20">
        <f t="shared" ca="1" si="42"/>
        <v>181</v>
      </c>
      <c r="E553" s="20">
        <v>1</v>
      </c>
      <c r="H553" s="20">
        <f t="shared" si="43"/>
        <v>5</v>
      </c>
      <c r="M553" s="20">
        <v>552</v>
      </c>
    </row>
    <row r="554" spans="1:13" x14ac:dyDescent="0.15">
      <c r="A554" s="20">
        <f t="shared" si="44"/>
        <v>23</v>
      </c>
      <c r="B554" s="20">
        <f t="shared" si="45"/>
        <v>2301</v>
      </c>
      <c r="C554" s="20">
        <f t="shared" ca="1" si="41"/>
        <v>50055</v>
      </c>
      <c r="D554" s="20">
        <f t="shared" ca="1" si="42"/>
        <v>129</v>
      </c>
      <c r="E554" s="20">
        <v>1</v>
      </c>
      <c r="H554" s="20">
        <f t="shared" si="43"/>
        <v>8</v>
      </c>
      <c r="M554" s="20">
        <v>553</v>
      </c>
    </row>
    <row r="555" spans="1:13" x14ac:dyDescent="0.15">
      <c r="A555" s="20">
        <f t="shared" si="44"/>
        <v>23</v>
      </c>
      <c r="B555" s="20">
        <f t="shared" si="45"/>
        <v>2301</v>
      </c>
      <c r="C555" s="20">
        <f t="shared" ca="1" si="41"/>
        <v>50049</v>
      </c>
      <c r="D555" s="20">
        <f t="shared" ca="1" si="42"/>
        <v>32</v>
      </c>
      <c r="E555" s="20">
        <v>1</v>
      </c>
      <c r="H555" s="20">
        <f t="shared" si="43"/>
        <v>11</v>
      </c>
      <c r="M555" s="20">
        <v>554</v>
      </c>
    </row>
    <row r="556" spans="1:13" x14ac:dyDescent="0.15">
      <c r="A556" s="20">
        <f t="shared" si="44"/>
        <v>23</v>
      </c>
      <c r="B556" s="20">
        <f t="shared" si="45"/>
        <v>2301</v>
      </c>
      <c r="C556" s="20">
        <f t="shared" ca="1" si="41"/>
        <v>50072</v>
      </c>
      <c r="D556" s="20">
        <f t="shared" ca="1" si="42"/>
        <v>1</v>
      </c>
      <c r="E556" s="20">
        <v>1</v>
      </c>
      <c r="H556" s="20">
        <f t="shared" si="43"/>
        <v>14</v>
      </c>
      <c r="M556" s="20">
        <v>555</v>
      </c>
    </row>
    <row r="557" spans="1:13" x14ac:dyDescent="0.15">
      <c r="A557" s="20">
        <f t="shared" si="44"/>
        <v>23</v>
      </c>
      <c r="B557" s="20">
        <f t="shared" si="45"/>
        <v>2302</v>
      </c>
      <c r="C557" s="20">
        <f t="shared" si="41"/>
        <v>50169</v>
      </c>
      <c r="D557" s="20">
        <f t="shared" si="42"/>
        <v>88</v>
      </c>
      <c r="E557" s="20">
        <v>1</v>
      </c>
      <c r="H557" s="20">
        <f t="shared" si="43"/>
        <v>2</v>
      </c>
      <c r="M557" s="20">
        <v>556</v>
      </c>
    </row>
    <row r="558" spans="1:13" x14ac:dyDescent="0.15">
      <c r="A558" s="20">
        <f t="shared" si="44"/>
        <v>23</v>
      </c>
      <c r="B558" s="20">
        <f t="shared" si="45"/>
        <v>2302</v>
      </c>
      <c r="C558" s="20">
        <f t="shared" ca="1" si="41"/>
        <v>50054</v>
      </c>
      <c r="D558" s="20">
        <f t="shared" ca="1" si="42"/>
        <v>129</v>
      </c>
      <c r="E558" s="20">
        <v>1</v>
      </c>
      <c r="H558" s="20">
        <f t="shared" si="43"/>
        <v>5</v>
      </c>
      <c r="M558" s="20">
        <v>557</v>
      </c>
    </row>
    <row r="559" spans="1:13" x14ac:dyDescent="0.15">
      <c r="A559" s="20">
        <f t="shared" si="44"/>
        <v>23</v>
      </c>
      <c r="B559" s="20">
        <f t="shared" si="45"/>
        <v>2302</v>
      </c>
      <c r="C559" s="20">
        <f t="shared" ca="1" si="41"/>
        <v>50063</v>
      </c>
      <c r="D559" s="20">
        <f t="shared" ca="1" si="42"/>
        <v>129</v>
      </c>
      <c r="E559" s="20">
        <v>1</v>
      </c>
      <c r="H559" s="20">
        <f t="shared" si="43"/>
        <v>8</v>
      </c>
      <c r="M559" s="20">
        <v>558</v>
      </c>
    </row>
    <row r="560" spans="1:13" x14ac:dyDescent="0.15">
      <c r="A560" s="20">
        <f t="shared" si="44"/>
        <v>23</v>
      </c>
      <c r="B560" s="20">
        <f t="shared" si="45"/>
        <v>2302</v>
      </c>
      <c r="C560" s="20">
        <f t="shared" ca="1" si="41"/>
        <v>50062</v>
      </c>
      <c r="D560" s="20">
        <f t="shared" ca="1" si="42"/>
        <v>32</v>
      </c>
      <c r="E560" s="20">
        <v>1</v>
      </c>
      <c r="H560" s="20">
        <f t="shared" si="43"/>
        <v>11</v>
      </c>
      <c r="M560" s="20">
        <v>559</v>
      </c>
    </row>
    <row r="561" spans="1:13" x14ac:dyDescent="0.15">
      <c r="A561" s="20">
        <f t="shared" si="44"/>
        <v>23</v>
      </c>
      <c r="B561" s="20">
        <f t="shared" si="45"/>
        <v>2302</v>
      </c>
      <c r="C561" s="20">
        <f t="shared" ca="1" si="41"/>
        <v>50190</v>
      </c>
      <c r="D561" s="20">
        <f t="shared" ca="1" si="42"/>
        <v>1</v>
      </c>
      <c r="E561" s="20">
        <v>1</v>
      </c>
      <c r="H561" s="20">
        <f t="shared" si="43"/>
        <v>14</v>
      </c>
      <c r="M561" s="20">
        <v>560</v>
      </c>
    </row>
    <row r="562" spans="1:13" x14ac:dyDescent="0.15">
      <c r="A562" s="20">
        <f t="shared" si="44"/>
        <v>23</v>
      </c>
      <c r="B562" s="20">
        <f t="shared" si="45"/>
        <v>2303</v>
      </c>
      <c r="C562" s="20">
        <f t="shared" si="41"/>
        <v>50171</v>
      </c>
      <c r="D562" s="20">
        <f t="shared" si="42"/>
        <v>88</v>
      </c>
      <c r="E562" s="20">
        <v>1</v>
      </c>
      <c r="H562" s="20">
        <f t="shared" si="43"/>
        <v>2</v>
      </c>
      <c r="M562" s="20">
        <v>561</v>
      </c>
    </row>
    <row r="563" spans="1:13" x14ac:dyDescent="0.15">
      <c r="A563" s="20">
        <f t="shared" si="44"/>
        <v>23</v>
      </c>
      <c r="B563" s="20">
        <f t="shared" si="45"/>
        <v>2303</v>
      </c>
      <c r="C563" s="20">
        <f t="shared" ca="1" si="41"/>
        <v>50056</v>
      </c>
      <c r="D563" s="20">
        <f t="shared" ca="1" si="42"/>
        <v>129</v>
      </c>
      <c r="E563" s="20">
        <v>1</v>
      </c>
      <c r="H563" s="20">
        <f t="shared" si="43"/>
        <v>5</v>
      </c>
      <c r="M563" s="20">
        <v>562</v>
      </c>
    </row>
    <row r="564" spans="1:13" x14ac:dyDescent="0.15">
      <c r="A564" s="20">
        <f t="shared" si="44"/>
        <v>23</v>
      </c>
      <c r="B564" s="20">
        <f t="shared" si="45"/>
        <v>2303</v>
      </c>
      <c r="C564" s="20">
        <f t="shared" ca="1" si="41"/>
        <v>50066</v>
      </c>
      <c r="D564" s="20">
        <f t="shared" ca="1" si="42"/>
        <v>88</v>
      </c>
      <c r="E564" s="20">
        <v>1</v>
      </c>
      <c r="H564" s="20">
        <f t="shared" si="43"/>
        <v>8</v>
      </c>
      <c r="M564" s="20">
        <v>563</v>
      </c>
    </row>
    <row r="565" spans="1:13" x14ac:dyDescent="0.15">
      <c r="A565" s="20">
        <f t="shared" si="44"/>
        <v>23</v>
      </c>
      <c r="B565" s="20">
        <f t="shared" si="45"/>
        <v>2303</v>
      </c>
      <c r="C565" s="20">
        <f t="shared" ca="1" si="41"/>
        <v>50060</v>
      </c>
      <c r="D565" s="20">
        <f t="shared" ca="1" si="42"/>
        <v>32</v>
      </c>
      <c r="E565" s="20">
        <v>1</v>
      </c>
      <c r="H565" s="20">
        <f t="shared" si="43"/>
        <v>11</v>
      </c>
      <c r="M565" s="20">
        <v>564</v>
      </c>
    </row>
    <row r="566" spans="1:13" x14ac:dyDescent="0.15">
      <c r="A566" s="20">
        <f t="shared" si="44"/>
        <v>23</v>
      </c>
      <c r="B566" s="20">
        <f t="shared" si="45"/>
        <v>2303</v>
      </c>
      <c r="C566" s="20">
        <f t="shared" ca="1" si="41"/>
        <v>50072</v>
      </c>
      <c r="D566" s="20">
        <f t="shared" ca="1" si="42"/>
        <v>1</v>
      </c>
      <c r="E566" s="20">
        <v>1</v>
      </c>
      <c r="H566" s="20">
        <f t="shared" si="43"/>
        <v>14</v>
      </c>
      <c r="M566" s="20">
        <v>565</v>
      </c>
    </row>
    <row r="567" spans="1:13" x14ac:dyDescent="0.15">
      <c r="A567" s="20">
        <f t="shared" si="44"/>
        <v>23</v>
      </c>
      <c r="B567" s="20">
        <f t="shared" si="45"/>
        <v>2304</v>
      </c>
      <c r="C567" s="20">
        <f t="shared" si="41"/>
        <v>50044</v>
      </c>
      <c r="D567" s="20">
        <f t="shared" si="42"/>
        <v>55</v>
      </c>
      <c r="E567" s="20">
        <v>1</v>
      </c>
      <c r="H567" s="20">
        <f t="shared" si="43"/>
        <v>2</v>
      </c>
      <c r="M567" s="20">
        <v>566</v>
      </c>
    </row>
    <row r="568" spans="1:13" x14ac:dyDescent="0.15">
      <c r="A568" s="20">
        <f t="shared" si="44"/>
        <v>23</v>
      </c>
      <c r="B568" s="20">
        <f t="shared" si="45"/>
        <v>2304</v>
      </c>
      <c r="C568" s="20">
        <f t="shared" ca="1" si="41"/>
        <v>50047</v>
      </c>
      <c r="D568" s="20">
        <f t="shared" ca="1" si="42"/>
        <v>181</v>
      </c>
      <c r="E568" s="20">
        <v>1</v>
      </c>
      <c r="H568" s="20">
        <f t="shared" si="43"/>
        <v>5</v>
      </c>
      <c r="M568" s="20">
        <v>567</v>
      </c>
    </row>
    <row r="569" spans="1:13" x14ac:dyDescent="0.15">
      <c r="A569" s="20">
        <f t="shared" si="44"/>
        <v>23</v>
      </c>
      <c r="B569" s="20">
        <f t="shared" si="45"/>
        <v>2304</v>
      </c>
      <c r="C569" s="20">
        <f t="shared" ca="1" si="41"/>
        <v>50171</v>
      </c>
      <c r="D569" s="20">
        <f t="shared" ca="1" si="42"/>
        <v>88</v>
      </c>
      <c r="E569" s="20">
        <v>1</v>
      </c>
      <c r="H569" s="20">
        <f t="shared" si="43"/>
        <v>8</v>
      </c>
      <c r="M569" s="20">
        <v>568</v>
      </c>
    </row>
    <row r="570" spans="1:13" x14ac:dyDescent="0.15">
      <c r="A570" s="20">
        <f t="shared" si="44"/>
        <v>23</v>
      </c>
      <c r="B570" s="20">
        <f t="shared" si="45"/>
        <v>2304</v>
      </c>
      <c r="C570" s="20">
        <f t="shared" ca="1" si="41"/>
        <v>50060</v>
      </c>
      <c r="D570" s="20">
        <f t="shared" ca="1" si="42"/>
        <v>32</v>
      </c>
      <c r="E570" s="20">
        <v>1</v>
      </c>
      <c r="H570" s="20">
        <f t="shared" si="43"/>
        <v>11</v>
      </c>
      <c r="M570" s="20">
        <v>569</v>
      </c>
    </row>
    <row r="571" spans="1:13" x14ac:dyDescent="0.15">
      <c r="A571" s="20">
        <f t="shared" si="44"/>
        <v>23</v>
      </c>
      <c r="B571" s="20">
        <f t="shared" si="45"/>
        <v>2304</v>
      </c>
      <c r="C571" s="20">
        <f t="shared" ca="1" si="41"/>
        <v>50077</v>
      </c>
      <c r="D571" s="20">
        <f t="shared" ca="1" si="42"/>
        <v>1</v>
      </c>
      <c r="E571" s="20">
        <v>1</v>
      </c>
      <c r="H571" s="20">
        <f t="shared" si="43"/>
        <v>14</v>
      </c>
      <c r="M571" s="20">
        <v>570</v>
      </c>
    </row>
    <row r="572" spans="1:13" x14ac:dyDescent="0.15">
      <c r="A572" s="20">
        <f t="shared" si="44"/>
        <v>23</v>
      </c>
      <c r="B572" s="20">
        <f t="shared" si="45"/>
        <v>2305</v>
      </c>
      <c r="C572" s="20">
        <f t="shared" si="41"/>
        <v>50058</v>
      </c>
      <c r="D572" s="20">
        <f t="shared" si="42"/>
        <v>55</v>
      </c>
      <c r="E572" s="20">
        <v>1</v>
      </c>
      <c r="H572" s="20">
        <f t="shared" si="43"/>
        <v>2</v>
      </c>
      <c r="M572" s="20">
        <v>571</v>
      </c>
    </row>
    <row r="573" spans="1:13" x14ac:dyDescent="0.15">
      <c r="A573" s="20">
        <f t="shared" si="44"/>
        <v>23</v>
      </c>
      <c r="B573" s="20">
        <f t="shared" si="45"/>
        <v>2305</v>
      </c>
      <c r="C573" s="20">
        <f t="shared" ca="1" si="41"/>
        <v>50064</v>
      </c>
      <c r="D573" s="20">
        <f t="shared" ca="1" si="42"/>
        <v>129</v>
      </c>
      <c r="E573" s="20">
        <v>1</v>
      </c>
      <c r="H573" s="20">
        <f t="shared" si="43"/>
        <v>5</v>
      </c>
      <c r="M573" s="20">
        <v>572</v>
      </c>
    </row>
    <row r="574" spans="1:13" x14ac:dyDescent="0.15">
      <c r="A574" s="20">
        <f t="shared" si="44"/>
        <v>23</v>
      </c>
      <c r="B574" s="20">
        <f t="shared" si="45"/>
        <v>2305</v>
      </c>
      <c r="C574" s="20">
        <f t="shared" ca="1" si="41"/>
        <v>50070</v>
      </c>
      <c r="D574" s="20">
        <f t="shared" ca="1" si="42"/>
        <v>129</v>
      </c>
      <c r="E574" s="20">
        <v>1</v>
      </c>
      <c r="H574" s="20">
        <f t="shared" si="43"/>
        <v>8</v>
      </c>
      <c r="M574" s="20">
        <v>573</v>
      </c>
    </row>
    <row r="575" spans="1:13" x14ac:dyDescent="0.15">
      <c r="A575" s="20">
        <f t="shared" si="44"/>
        <v>23</v>
      </c>
      <c r="B575" s="20">
        <f t="shared" si="45"/>
        <v>2305</v>
      </c>
      <c r="C575" s="20">
        <f t="shared" ca="1" si="41"/>
        <v>50062</v>
      </c>
      <c r="D575" s="20">
        <f t="shared" ca="1" si="42"/>
        <v>32</v>
      </c>
      <c r="E575" s="20">
        <v>1</v>
      </c>
      <c r="H575" s="20">
        <f t="shared" si="43"/>
        <v>11</v>
      </c>
      <c r="M575" s="20">
        <v>574</v>
      </c>
    </row>
    <row r="576" spans="1:13" x14ac:dyDescent="0.15">
      <c r="A576" s="20">
        <f t="shared" si="44"/>
        <v>23</v>
      </c>
      <c r="B576" s="20">
        <f t="shared" si="45"/>
        <v>2305</v>
      </c>
      <c r="C576" s="20">
        <f t="shared" ca="1" si="41"/>
        <v>50072</v>
      </c>
      <c r="D576" s="20">
        <f t="shared" ca="1" si="42"/>
        <v>1</v>
      </c>
      <c r="E576" s="20">
        <v>1</v>
      </c>
      <c r="H576" s="20">
        <f t="shared" si="43"/>
        <v>14</v>
      </c>
      <c r="M576" s="20">
        <v>575</v>
      </c>
    </row>
    <row r="577" spans="1:13" x14ac:dyDescent="0.15">
      <c r="A577" s="20">
        <f t="shared" si="44"/>
        <v>24</v>
      </c>
      <c r="B577" s="20">
        <f t="shared" si="45"/>
        <v>2401</v>
      </c>
      <c r="C577" s="20">
        <f t="shared" si="41"/>
        <v>50049</v>
      </c>
      <c r="D577" s="20">
        <f t="shared" si="42"/>
        <v>32</v>
      </c>
      <c r="E577" s="20">
        <v>1</v>
      </c>
      <c r="H577" s="20">
        <f t="shared" si="43"/>
        <v>2</v>
      </c>
      <c r="M577" s="20">
        <v>576</v>
      </c>
    </row>
    <row r="578" spans="1:13" x14ac:dyDescent="0.15">
      <c r="A578" s="20">
        <f t="shared" si="44"/>
        <v>24</v>
      </c>
      <c r="B578" s="20">
        <f t="shared" si="45"/>
        <v>2401</v>
      </c>
      <c r="C578" s="20">
        <f t="shared" ref="C578:C641" ca="1" si="46">VLOOKUP(B578,plan1,H578,FALSE)</f>
        <v>50041</v>
      </c>
      <c r="D578" s="20">
        <f t="shared" ref="D578:D641" ca="1" si="47">VLOOKUP(C578,marking,9,FALSE)</f>
        <v>181</v>
      </c>
      <c r="E578" s="20">
        <v>1</v>
      </c>
      <c r="H578" s="20">
        <f t="shared" si="43"/>
        <v>5</v>
      </c>
      <c r="M578" s="20">
        <v>577</v>
      </c>
    </row>
    <row r="579" spans="1:13" x14ac:dyDescent="0.15">
      <c r="A579" s="20">
        <f t="shared" si="44"/>
        <v>24</v>
      </c>
      <c r="B579" s="20">
        <f t="shared" si="45"/>
        <v>2401</v>
      </c>
      <c r="C579" s="20">
        <f t="shared" ca="1" si="46"/>
        <v>50067</v>
      </c>
      <c r="D579" s="20">
        <f t="shared" ca="1" si="47"/>
        <v>88</v>
      </c>
      <c r="E579" s="20">
        <v>1</v>
      </c>
      <c r="H579" s="20">
        <f t="shared" si="43"/>
        <v>8</v>
      </c>
      <c r="M579" s="20">
        <v>578</v>
      </c>
    </row>
    <row r="580" spans="1:13" x14ac:dyDescent="0.15">
      <c r="A580" s="20">
        <f t="shared" si="44"/>
        <v>24</v>
      </c>
      <c r="B580" s="20">
        <f t="shared" si="45"/>
        <v>2401</v>
      </c>
      <c r="C580" s="20">
        <f t="shared" ca="1" si="46"/>
        <v>50170</v>
      </c>
      <c r="D580" s="20">
        <f t="shared" ca="1" si="47"/>
        <v>32</v>
      </c>
      <c r="E580" s="20">
        <v>1</v>
      </c>
      <c r="H580" s="20">
        <f t="shared" si="43"/>
        <v>11</v>
      </c>
      <c r="M580" s="20">
        <v>579</v>
      </c>
    </row>
    <row r="581" spans="1:13" x14ac:dyDescent="0.15">
      <c r="A581" s="20">
        <f t="shared" si="44"/>
        <v>24</v>
      </c>
      <c r="B581" s="20">
        <f t="shared" si="45"/>
        <v>2401</v>
      </c>
      <c r="C581" s="20">
        <f t="shared" ca="1" si="46"/>
        <v>50072</v>
      </c>
      <c r="D581" s="20">
        <f t="shared" ca="1" si="47"/>
        <v>1</v>
      </c>
      <c r="E581" s="20">
        <v>1</v>
      </c>
      <c r="H581" s="20">
        <f t="shared" si="43"/>
        <v>14</v>
      </c>
      <c r="M581" s="20">
        <v>580</v>
      </c>
    </row>
    <row r="582" spans="1:13" x14ac:dyDescent="0.15">
      <c r="A582" s="20">
        <f t="shared" si="44"/>
        <v>24</v>
      </c>
      <c r="B582" s="20">
        <f t="shared" si="45"/>
        <v>2402</v>
      </c>
      <c r="C582" s="20">
        <f t="shared" si="46"/>
        <v>50060</v>
      </c>
      <c r="D582" s="20">
        <f t="shared" si="47"/>
        <v>32</v>
      </c>
      <c r="E582" s="20">
        <v>1</v>
      </c>
      <c r="H582" s="20">
        <f t="shared" si="43"/>
        <v>2</v>
      </c>
      <c r="M582" s="20">
        <v>581</v>
      </c>
    </row>
    <row r="583" spans="1:13" x14ac:dyDescent="0.15">
      <c r="A583" s="20">
        <f t="shared" si="44"/>
        <v>24</v>
      </c>
      <c r="B583" s="20">
        <f t="shared" si="45"/>
        <v>2402</v>
      </c>
      <c r="C583" s="20">
        <f t="shared" ca="1" si="46"/>
        <v>50057</v>
      </c>
      <c r="D583" s="20">
        <f t="shared" ca="1" si="47"/>
        <v>129</v>
      </c>
      <c r="E583" s="20">
        <v>1</v>
      </c>
      <c r="H583" s="20">
        <f t="shared" si="43"/>
        <v>5</v>
      </c>
      <c r="M583" s="20">
        <v>582</v>
      </c>
    </row>
    <row r="584" spans="1:13" x14ac:dyDescent="0.15">
      <c r="A584" s="20">
        <f t="shared" si="44"/>
        <v>24</v>
      </c>
      <c r="B584" s="20">
        <f t="shared" si="45"/>
        <v>2402</v>
      </c>
      <c r="C584" s="20">
        <f t="shared" ca="1" si="46"/>
        <v>50171</v>
      </c>
      <c r="D584" s="20">
        <f t="shared" ca="1" si="47"/>
        <v>88</v>
      </c>
      <c r="E584" s="20">
        <v>1</v>
      </c>
      <c r="H584" s="20">
        <f t="shared" ref="H584:H647" si="48">H579</f>
        <v>8</v>
      </c>
      <c r="M584" s="20">
        <v>583</v>
      </c>
    </row>
    <row r="585" spans="1:13" x14ac:dyDescent="0.15">
      <c r="A585" s="20">
        <f t="shared" si="44"/>
        <v>24</v>
      </c>
      <c r="B585" s="20">
        <f t="shared" si="45"/>
        <v>2402</v>
      </c>
      <c r="C585" s="20">
        <f t="shared" ca="1" si="46"/>
        <v>50170</v>
      </c>
      <c r="D585" s="20">
        <f t="shared" ca="1" si="47"/>
        <v>32</v>
      </c>
      <c r="E585" s="20">
        <v>1</v>
      </c>
      <c r="H585" s="20">
        <f t="shared" si="48"/>
        <v>11</v>
      </c>
      <c r="M585" s="20">
        <v>584</v>
      </c>
    </row>
    <row r="586" spans="1:13" x14ac:dyDescent="0.15">
      <c r="A586" s="20">
        <f t="shared" si="44"/>
        <v>24</v>
      </c>
      <c r="B586" s="20">
        <f t="shared" si="45"/>
        <v>2402</v>
      </c>
      <c r="C586" s="20">
        <f t="shared" ca="1" si="46"/>
        <v>50075</v>
      </c>
      <c r="D586" s="20">
        <f t="shared" ca="1" si="47"/>
        <v>1</v>
      </c>
      <c r="E586" s="20">
        <v>1</v>
      </c>
      <c r="H586" s="20">
        <f t="shared" si="48"/>
        <v>14</v>
      </c>
      <c r="M586" s="20">
        <v>585</v>
      </c>
    </row>
    <row r="587" spans="1:13" x14ac:dyDescent="0.15">
      <c r="A587" s="20">
        <f t="shared" si="44"/>
        <v>24</v>
      </c>
      <c r="B587" s="20">
        <f t="shared" si="45"/>
        <v>2403</v>
      </c>
      <c r="C587" s="20">
        <f t="shared" si="46"/>
        <v>50061</v>
      </c>
      <c r="D587" s="20">
        <f t="shared" si="47"/>
        <v>32</v>
      </c>
      <c r="E587" s="20">
        <v>1</v>
      </c>
      <c r="H587" s="20">
        <f t="shared" si="48"/>
        <v>2</v>
      </c>
      <c r="M587" s="20">
        <v>586</v>
      </c>
    </row>
    <row r="588" spans="1:13" x14ac:dyDescent="0.15">
      <c r="A588" s="20">
        <f t="shared" si="44"/>
        <v>24</v>
      </c>
      <c r="B588" s="20">
        <f t="shared" si="45"/>
        <v>2403</v>
      </c>
      <c r="C588" s="20">
        <f t="shared" ca="1" si="46"/>
        <v>50056</v>
      </c>
      <c r="D588" s="20">
        <f t="shared" ca="1" si="47"/>
        <v>129</v>
      </c>
      <c r="E588" s="20">
        <v>1</v>
      </c>
      <c r="H588" s="20">
        <f t="shared" si="48"/>
        <v>5</v>
      </c>
      <c r="M588" s="20">
        <v>587</v>
      </c>
    </row>
    <row r="589" spans="1:13" x14ac:dyDescent="0.15">
      <c r="A589" s="20">
        <f t="shared" si="44"/>
        <v>24</v>
      </c>
      <c r="B589" s="20">
        <f t="shared" si="45"/>
        <v>2403</v>
      </c>
      <c r="C589" s="20">
        <f t="shared" ca="1" si="46"/>
        <v>50056</v>
      </c>
      <c r="D589" s="20">
        <f t="shared" ca="1" si="47"/>
        <v>129</v>
      </c>
      <c r="E589" s="20">
        <v>1</v>
      </c>
      <c r="H589" s="20">
        <f t="shared" si="48"/>
        <v>8</v>
      </c>
      <c r="M589" s="20">
        <v>588</v>
      </c>
    </row>
    <row r="590" spans="1:13" x14ac:dyDescent="0.15">
      <c r="A590" s="20">
        <f t="shared" si="44"/>
        <v>24</v>
      </c>
      <c r="B590" s="20">
        <f>B565+100</f>
        <v>2403</v>
      </c>
      <c r="C590" s="20">
        <f t="shared" ca="1" si="46"/>
        <v>50062</v>
      </c>
      <c r="D590" s="20">
        <f t="shared" ca="1" si="47"/>
        <v>32</v>
      </c>
      <c r="E590" s="20">
        <v>1</v>
      </c>
      <c r="H590" s="20">
        <f t="shared" si="48"/>
        <v>11</v>
      </c>
      <c r="M590" s="20">
        <v>589</v>
      </c>
    </row>
    <row r="591" spans="1:13" x14ac:dyDescent="0.15">
      <c r="A591" s="20">
        <f t="shared" si="44"/>
        <v>24</v>
      </c>
      <c r="B591" s="20">
        <f t="shared" ref="B591:B654" si="49">B566+100</f>
        <v>2403</v>
      </c>
      <c r="C591" s="20">
        <f t="shared" ca="1" si="46"/>
        <v>50071</v>
      </c>
      <c r="D591" s="20">
        <f t="shared" ca="1" si="47"/>
        <v>1</v>
      </c>
      <c r="E591" s="20">
        <v>1</v>
      </c>
      <c r="H591" s="20">
        <f t="shared" si="48"/>
        <v>14</v>
      </c>
      <c r="M591" s="20">
        <v>590</v>
      </c>
    </row>
    <row r="592" spans="1:13" x14ac:dyDescent="0.15">
      <c r="A592" s="20">
        <f t="shared" si="44"/>
        <v>24</v>
      </c>
      <c r="B592" s="20">
        <f t="shared" si="49"/>
        <v>2404</v>
      </c>
      <c r="C592" s="20">
        <f t="shared" si="46"/>
        <v>50062</v>
      </c>
      <c r="D592" s="20">
        <f t="shared" si="47"/>
        <v>32</v>
      </c>
      <c r="E592" s="20">
        <v>1</v>
      </c>
      <c r="H592" s="20">
        <f t="shared" si="48"/>
        <v>2</v>
      </c>
      <c r="M592" s="20">
        <v>591</v>
      </c>
    </row>
    <row r="593" spans="1:13" x14ac:dyDescent="0.15">
      <c r="A593" s="20">
        <f t="shared" si="44"/>
        <v>24</v>
      </c>
      <c r="B593" s="20">
        <f t="shared" si="49"/>
        <v>2404</v>
      </c>
      <c r="C593" s="20">
        <f t="shared" ca="1" si="46"/>
        <v>50064</v>
      </c>
      <c r="D593" s="20">
        <f t="shared" ca="1" si="47"/>
        <v>129</v>
      </c>
      <c r="E593" s="20">
        <v>1</v>
      </c>
      <c r="H593" s="20">
        <f t="shared" si="48"/>
        <v>5</v>
      </c>
      <c r="M593" s="20">
        <v>592</v>
      </c>
    </row>
    <row r="594" spans="1:13" x14ac:dyDescent="0.15">
      <c r="A594" s="20">
        <f t="shared" si="44"/>
        <v>24</v>
      </c>
      <c r="B594" s="20">
        <f t="shared" si="49"/>
        <v>2404</v>
      </c>
      <c r="C594" s="20">
        <f t="shared" ca="1" si="46"/>
        <v>50063</v>
      </c>
      <c r="D594" s="20">
        <f t="shared" ca="1" si="47"/>
        <v>129</v>
      </c>
      <c r="E594" s="20">
        <v>1</v>
      </c>
      <c r="H594" s="20">
        <f t="shared" si="48"/>
        <v>8</v>
      </c>
      <c r="M594" s="20">
        <v>593</v>
      </c>
    </row>
    <row r="595" spans="1:13" x14ac:dyDescent="0.15">
      <c r="A595" s="20">
        <f t="shared" si="44"/>
        <v>24</v>
      </c>
      <c r="B595" s="20">
        <f t="shared" si="49"/>
        <v>2404</v>
      </c>
      <c r="C595" s="20">
        <f t="shared" ca="1" si="46"/>
        <v>50062</v>
      </c>
      <c r="D595" s="20">
        <f t="shared" ca="1" si="47"/>
        <v>32</v>
      </c>
      <c r="E595" s="20">
        <v>1</v>
      </c>
      <c r="H595" s="20">
        <f t="shared" si="48"/>
        <v>11</v>
      </c>
      <c r="M595" s="20">
        <v>594</v>
      </c>
    </row>
    <row r="596" spans="1:13" x14ac:dyDescent="0.15">
      <c r="A596" s="20">
        <f t="shared" si="44"/>
        <v>24</v>
      </c>
      <c r="B596" s="20">
        <f t="shared" si="49"/>
        <v>2404</v>
      </c>
      <c r="C596" s="20">
        <f t="shared" ca="1" si="46"/>
        <v>50074</v>
      </c>
      <c r="D596" s="20">
        <f t="shared" ca="1" si="47"/>
        <v>1</v>
      </c>
      <c r="E596" s="20">
        <v>1</v>
      </c>
      <c r="H596" s="20">
        <f t="shared" si="48"/>
        <v>14</v>
      </c>
      <c r="M596" s="20">
        <v>595</v>
      </c>
    </row>
    <row r="597" spans="1:13" x14ac:dyDescent="0.15">
      <c r="A597" s="20">
        <f t="shared" si="44"/>
        <v>24</v>
      </c>
      <c r="B597" s="20">
        <f t="shared" si="49"/>
        <v>2405</v>
      </c>
      <c r="C597" s="20">
        <f t="shared" si="46"/>
        <v>50068</v>
      </c>
      <c r="D597" s="20">
        <f t="shared" si="47"/>
        <v>32</v>
      </c>
      <c r="E597" s="20">
        <v>1</v>
      </c>
      <c r="H597" s="20">
        <f t="shared" si="48"/>
        <v>2</v>
      </c>
      <c r="M597" s="20">
        <v>596</v>
      </c>
    </row>
    <row r="598" spans="1:13" x14ac:dyDescent="0.15">
      <c r="A598" s="20">
        <f t="shared" si="44"/>
        <v>24</v>
      </c>
      <c r="B598" s="20">
        <f t="shared" si="49"/>
        <v>2405</v>
      </c>
      <c r="C598" s="20">
        <f t="shared" ca="1" si="46"/>
        <v>50168</v>
      </c>
      <c r="D598" s="20">
        <f t="shared" ca="1" si="47"/>
        <v>181</v>
      </c>
      <c r="E598" s="20">
        <v>1</v>
      </c>
      <c r="H598" s="20">
        <f t="shared" si="48"/>
        <v>5</v>
      </c>
      <c r="M598" s="20">
        <v>597</v>
      </c>
    </row>
    <row r="599" spans="1:13" x14ac:dyDescent="0.15">
      <c r="A599" s="20">
        <f t="shared" si="44"/>
        <v>24</v>
      </c>
      <c r="B599" s="20">
        <f t="shared" si="49"/>
        <v>2405</v>
      </c>
      <c r="C599" s="20">
        <f t="shared" ca="1" si="46"/>
        <v>50057</v>
      </c>
      <c r="D599" s="20">
        <f t="shared" ca="1" si="47"/>
        <v>129</v>
      </c>
      <c r="E599" s="20">
        <v>1</v>
      </c>
      <c r="H599" s="20">
        <f t="shared" si="48"/>
        <v>8</v>
      </c>
      <c r="M599" s="20">
        <v>598</v>
      </c>
    </row>
    <row r="600" spans="1:13" x14ac:dyDescent="0.15">
      <c r="A600" s="20">
        <f t="shared" si="44"/>
        <v>24</v>
      </c>
      <c r="B600" s="20">
        <f t="shared" si="49"/>
        <v>2405</v>
      </c>
      <c r="C600" s="20">
        <f t="shared" ca="1" si="46"/>
        <v>50060</v>
      </c>
      <c r="D600" s="20">
        <f t="shared" ca="1" si="47"/>
        <v>32</v>
      </c>
      <c r="E600" s="20">
        <v>1</v>
      </c>
      <c r="H600" s="20">
        <f t="shared" si="48"/>
        <v>11</v>
      </c>
      <c r="M600" s="20">
        <v>599</v>
      </c>
    </row>
    <row r="601" spans="1:13" x14ac:dyDescent="0.15">
      <c r="A601" s="20">
        <f t="shared" si="44"/>
        <v>24</v>
      </c>
      <c r="B601" s="20">
        <f t="shared" si="49"/>
        <v>2405</v>
      </c>
      <c r="C601" s="20">
        <f t="shared" ca="1" si="46"/>
        <v>50075</v>
      </c>
      <c r="D601" s="20">
        <f t="shared" ca="1" si="47"/>
        <v>1</v>
      </c>
      <c r="E601" s="20">
        <v>1</v>
      </c>
      <c r="H601" s="20">
        <f t="shared" si="48"/>
        <v>14</v>
      </c>
      <c r="M601" s="20">
        <v>600</v>
      </c>
    </row>
    <row r="602" spans="1:13" x14ac:dyDescent="0.15">
      <c r="A602" s="20">
        <f t="shared" si="44"/>
        <v>25</v>
      </c>
      <c r="B602" s="20">
        <f t="shared" si="49"/>
        <v>2501</v>
      </c>
      <c r="C602" s="20">
        <f t="shared" si="46"/>
        <v>50170</v>
      </c>
      <c r="D602" s="20">
        <f t="shared" si="47"/>
        <v>32</v>
      </c>
      <c r="E602" s="20">
        <v>1</v>
      </c>
      <c r="H602" s="20">
        <f t="shared" si="48"/>
        <v>2</v>
      </c>
      <c r="M602" s="20">
        <v>601</v>
      </c>
    </row>
    <row r="603" spans="1:13" x14ac:dyDescent="0.15">
      <c r="A603" s="20">
        <f t="shared" si="44"/>
        <v>25</v>
      </c>
      <c r="B603" s="20">
        <f t="shared" si="49"/>
        <v>2501</v>
      </c>
      <c r="C603" s="20">
        <f t="shared" ca="1" si="46"/>
        <v>50070</v>
      </c>
      <c r="D603" s="20">
        <f t="shared" ca="1" si="47"/>
        <v>129</v>
      </c>
      <c r="E603" s="20">
        <v>1</v>
      </c>
      <c r="H603" s="20">
        <f t="shared" si="48"/>
        <v>5</v>
      </c>
      <c r="M603" s="20">
        <v>602</v>
      </c>
    </row>
    <row r="604" spans="1:13" x14ac:dyDescent="0.15">
      <c r="A604" s="20">
        <f t="shared" ref="A604:A667" si="50">A579+1</f>
        <v>25</v>
      </c>
      <c r="B604" s="20">
        <f t="shared" si="49"/>
        <v>2501</v>
      </c>
      <c r="C604" s="20">
        <f t="shared" ca="1" si="46"/>
        <v>50053</v>
      </c>
      <c r="D604" s="20">
        <f t="shared" ca="1" si="47"/>
        <v>129</v>
      </c>
      <c r="E604" s="20">
        <v>1</v>
      </c>
      <c r="H604" s="20">
        <f t="shared" si="48"/>
        <v>8</v>
      </c>
      <c r="M604" s="20">
        <v>603</v>
      </c>
    </row>
    <row r="605" spans="1:13" x14ac:dyDescent="0.15">
      <c r="A605" s="20">
        <f t="shared" si="50"/>
        <v>25</v>
      </c>
      <c r="B605" s="20">
        <f t="shared" si="49"/>
        <v>2501</v>
      </c>
      <c r="C605" s="20">
        <f t="shared" ca="1" si="46"/>
        <v>50170</v>
      </c>
      <c r="D605" s="20">
        <f t="shared" ca="1" si="47"/>
        <v>32</v>
      </c>
      <c r="E605" s="20">
        <v>1</v>
      </c>
      <c r="H605" s="20">
        <f t="shared" si="48"/>
        <v>11</v>
      </c>
      <c r="M605" s="20">
        <v>604</v>
      </c>
    </row>
    <row r="606" spans="1:13" x14ac:dyDescent="0.15">
      <c r="A606" s="20">
        <f t="shared" si="50"/>
        <v>25</v>
      </c>
      <c r="B606" s="20">
        <f t="shared" si="49"/>
        <v>2501</v>
      </c>
      <c r="C606" s="20">
        <f t="shared" ca="1" si="46"/>
        <v>50059</v>
      </c>
      <c r="D606" s="20">
        <f t="shared" ca="1" si="47"/>
        <v>5</v>
      </c>
      <c r="E606" s="20">
        <v>1</v>
      </c>
      <c r="H606" s="20">
        <f t="shared" si="48"/>
        <v>14</v>
      </c>
      <c r="M606" s="20">
        <v>605</v>
      </c>
    </row>
    <row r="607" spans="1:13" x14ac:dyDescent="0.15">
      <c r="A607" s="20">
        <f t="shared" si="50"/>
        <v>25</v>
      </c>
      <c r="B607" s="20">
        <f t="shared" si="49"/>
        <v>2502</v>
      </c>
      <c r="C607" s="20">
        <f t="shared" si="46"/>
        <v>50188</v>
      </c>
      <c r="D607" s="20">
        <f t="shared" si="47"/>
        <v>32</v>
      </c>
      <c r="E607" s="20">
        <v>1</v>
      </c>
      <c r="H607" s="20">
        <f t="shared" si="48"/>
        <v>2</v>
      </c>
      <c r="M607" s="20">
        <v>606</v>
      </c>
    </row>
    <row r="608" spans="1:13" x14ac:dyDescent="0.15">
      <c r="A608" s="20">
        <f t="shared" si="50"/>
        <v>25</v>
      </c>
      <c r="B608" s="20">
        <f t="shared" si="49"/>
        <v>2502</v>
      </c>
      <c r="C608" s="20">
        <f t="shared" ca="1" si="46"/>
        <v>50045</v>
      </c>
      <c r="D608" s="20">
        <f t="shared" ca="1" si="47"/>
        <v>181</v>
      </c>
      <c r="E608" s="20">
        <v>1</v>
      </c>
      <c r="H608" s="20">
        <f t="shared" si="48"/>
        <v>5</v>
      </c>
      <c r="M608" s="20">
        <v>607</v>
      </c>
    </row>
    <row r="609" spans="1:13" x14ac:dyDescent="0.15">
      <c r="A609" s="20">
        <f t="shared" si="50"/>
        <v>25</v>
      </c>
      <c r="B609" s="20">
        <f t="shared" si="49"/>
        <v>2502</v>
      </c>
      <c r="C609" s="20">
        <f t="shared" ca="1" si="46"/>
        <v>50046</v>
      </c>
      <c r="D609" s="20">
        <f t="shared" ca="1" si="47"/>
        <v>88</v>
      </c>
      <c r="E609" s="20">
        <v>1</v>
      </c>
      <c r="H609" s="20">
        <f t="shared" si="48"/>
        <v>8</v>
      </c>
      <c r="M609" s="20">
        <v>608</v>
      </c>
    </row>
    <row r="610" spans="1:13" x14ac:dyDescent="0.15">
      <c r="A610" s="20">
        <f t="shared" si="50"/>
        <v>25</v>
      </c>
      <c r="B610" s="20">
        <f t="shared" si="49"/>
        <v>2502</v>
      </c>
      <c r="C610" s="20">
        <f t="shared" ca="1" si="46"/>
        <v>50062</v>
      </c>
      <c r="D610" s="20">
        <f t="shared" ca="1" si="47"/>
        <v>32</v>
      </c>
      <c r="E610" s="20">
        <v>1</v>
      </c>
      <c r="H610" s="20">
        <f t="shared" si="48"/>
        <v>11</v>
      </c>
      <c r="M610" s="20">
        <v>609</v>
      </c>
    </row>
    <row r="611" spans="1:13" x14ac:dyDescent="0.15">
      <c r="A611" s="20">
        <f t="shared" si="50"/>
        <v>25</v>
      </c>
      <c r="B611" s="20">
        <f t="shared" si="49"/>
        <v>2502</v>
      </c>
      <c r="C611" s="20">
        <f t="shared" ca="1" si="46"/>
        <v>50071</v>
      </c>
      <c r="D611" s="20">
        <f t="shared" ca="1" si="47"/>
        <v>1</v>
      </c>
      <c r="E611" s="20">
        <v>1</v>
      </c>
      <c r="H611" s="20">
        <f t="shared" si="48"/>
        <v>14</v>
      </c>
      <c r="M611" s="20">
        <v>610</v>
      </c>
    </row>
    <row r="612" spans="1:13" x14ac:dyDescent="0.15">
      <c r="A612" s="20">
        <f t="shared" si="50"/>
        <v>25</v>
      </c>
      <c r="B612" s="20">
        <f t="shared" si="49"/>
        <v>2503</v>
      </c>
      <c r="C612" s="20">
        <f t="shared" si="46"/>
        <v>50050</v>
      </c>
      <c r="D612" s="20">
        <f t="shared" si="47"/>
        <v>5</v>
      </c>
      <c r="E612" s="20">
        <v>1</v>
      </c>
      <c r="H612" s="20">
        <f t="shared" si="48"/>
        <v>2</v>
      </c>
      <c r="M612" s="20">
        <v>611</v>
      </c>
    </row>
    <row r="613" spans="1:13" x14ac:dyDescent="0.15">
      <c r="A613" s="20">
        <f t="shared" si="50"/>
        <v>25</v>
      </c>
      <c r="B613" s="20">
        <f t="shared" si="49"/>
        <v>2503</v>
      </c>
      <c r="C613" s="20">
        <f t="shared" ca="1" si="46"/>
        <v>50168</v>
      </c>
      <c r="D613" s="20">
        <f t="shared" ca="1" si="47"/>
        <v>181</v>
      </c>
      <c r="E613" s="20">
        <v>1</v>
      </c>
      <c r="H613" s="20">
        <f t="shared" si="48"/>
        <v>5</v>
      </c>
      <c r="M613" s="20">
        <v>612</v>
      </c>
    </row>
    <row r="614" spans="1:13" x14ac:dyDescent="0.15">
      <c r="A614" s="20">
        <f t="shared" si="50"/>
        <v>25</v>
      </c>
      <c r="B614" s="20">
        <f t="shared" si="49"/>
        <v>2503</v>
      </c>
      <c r="C614" s="20">
        <f t="shared" ca="1" si="46"/>
        <v>50063</v>
      </c>
      <c r="D614" s="20">
        <f t="shared" ca="1" si="47"/>
        <v>129</v>
      </c>
      <c r="E614" s="20">
        <v>1</v>
      </c>
      <c r="H614" s="20">
        <f t="shared" si="48"/>
        <v>8</v>
      </c>
      <c r="M614" s="20">
        <v>613</v>
      </c>
    </row>
    <row r="615" spans="1:13" x14ac:dyDescent="0.15">
      <c r="A615" s="20">
        <f t="shared" si="50"/>
        <v>25</v>
      </c>
      <c r="B615" s="20">
        <f t="shared" si="49"/>
        <v>2503</v>
      </c>
      <c r="C615" s="20">
        <f t="shared" ca="1" si="46"/>
        <v>50170</v>
      </c>
      <c r="D615" s="20">
        <f t="shared" ca="1" si="47"/>
        <v>32</v>
      </c>
      <c r="E615" s="20">
        <v>1</v>
      </c>
      <c r="H615" s="20">
        <f t="shared" si="48"/>
        <v>11</v>
      </c>
      <c r="M615" s="20">
        <v>614</v>
      </c>
    </row>
    <row r="616" spans="1:13" x14ac:dyDescent="0.15">
      <c r="A616" s="20">
        <f t="shared" si="50"/>
        <v>25</v>
      </c>
      <c r="B616" s="20">
        <f t="shared" si="49"/>
        <v>2503</v>
      </c>
      <c r="C616" s="20">
        <f t="shared" ca="1" si="46"/>
        <v>50073</v>
      </c>
      <c r="D616" s="20">
        <f t="shared" ca="1" si="47"/>
        <v>1</v>
      </c>
      <c r="E616" s="20">
        <v>1</v>
      </c>
      <c r="H616" s="20">
        <f t="shared" si="48"/>
        <v>14</v>
      </c>
      <c r="M616" s="20">
        <v>615</v>
      </c>
    </row>
    <row r="617" spans="1:13" x14ac:dyDescent="0.15">
      <c r="A617" s="20">
        <f t="shared" si="50"/>
        <v>25</v>
      </c>
      <c r="B617" s="20">
        <f t="shared" si="49"/>
        <v>2504</v>
      </c>
      <c r="C617" s="20">
        <f t="shared" si="46"/>
        <v>50059</v>
      </c>
      <c r="D617" s="20">
        <f t="shared" si="47"/>
        <v>5</v>
      </c>
      <c r="E617" s="20">
        <v>1</v>
      </c>
      <c r="H617" s="20">
        <f t="shared" si="48"/>
        <v>2</v>
      </c>
      <c r="M617" s="20">
        <v>616</v>
      </c>
    </row>
    <row r="618" spans="1:13" x14ac:dyDescent="0.15">
      <c r="A618" s="20">
        <f t="shared" si="50"/>
        <v>25</v>
      </c>
      <c r="B618" s="20">
        <f t="shared" si="49"/>
        <v>2504</v>
      </c>
      <c r="C618" s="20">
        <f t="shared" ca="1" si="46"/>
        <v>50042</v>
      </c>
      <c r="D618" s="20">
        <f t="shared" ca="1" si="47"/>
        <v>129</v>
      </c>
      <c r="E618" s="20">
        <v>1</v>
      </c>
      <c r="H618" s="20">
        <f t="shared" si="48"/>
        <v>5</v>
      </c>
      <c r="M618" s="20">
        <v>617</v>
      </c>
    </row>
    <row r="619" spans="1:13" x14ac:dyDescent="0.15">
      <c r="A619" s="20">
        <f t="shared" si="50"/>
        <v>25</v>
      </c>
      <c r="B619" s="20">
        <f t="shared" si="49"/>
        <v>2504</v>
      </c>
      <c r="C619" s="20">
        <f t="shared" ca="1" si="46"/>
        <v>50169</v>
      </c>
      <c r="D619" s="20">
        <f t="shared" ca="1" si="47"/>
        <v>88</v>
      </c>
      <c r="E619" s="20">
        <v>1</v>
      </c>
      <c r="H619" s="20">
        <f t="shared" si="48"/>
        <v>8</v>
      </c>
      <c r="M619" s="20">
        <v>618</v>
      </c>
    </row>
    <row r="620" spans="1:13" x14ac:dyDescent="0.15">
      <c r="A620" s="20">
        <f t="shared" si="50"/>
        <v>25</v>
      </c>
      <c r="B620" s="20">
        <f t="shared" si="49"/>
        <v>2504</v>
      </c>
      <c r="C620" s="20">
        <f t="shared" ca="1" si="46"/>
        <v>50044</v>
      </c>
      <c r="D620" s="20">
        <f t="shared" ca="1" si="47"/>
        <v>55</v>
      </c>
      <c r="E620" s="20">
        <v>1</v>
      </c>
      <c r="H620" s="20">
        <f t="shared" si="48"/>
        <v>11</v>
      </c>
      <c r="M620" s="20">
        <v>619</v>
      </c>
    </row>
    <row r="621" spans="1:13" x14ac:dyDescent="0.15">
      <c r="A621" s="20">
        <f t="shared" si="50"/>
        <v>25</v>
      </c>
      <c r="B621" s="20">
        <f t="shared" si="49"/>
        <v>2504</v>
      </c>
      <c r="C621" s="20">
        <f t="shared" ca="1" si="46"/>
        <v>50075</v>
      </c>
      <c r="D621" s="20">
        <f t="shared" ca="1" si="47"/>
        <v>1</v>
      </c>
      <c r="E621" s="20">
        <v>1</v>
      </c>
      <c r="H621" s="20">
        <f t="shared" si="48"/>
        <v>14</v>
      </c>
      <c r="M621" s="20">
        <v>620</v>
      </c>
    </row>
    <row r="622" spans="1:13" x14ac:dyDescent="0.15">
      <c r="A622" s="20">
        <f t="shared" si="50"/>
        <v>25</v>
      </c>
      <c r="B622" s="20">
        <f t="shared" si="49"/>
        <v>2505</v>
      </c>
      <c r="C622" s="20">
        <f t="shared" si="46"/>
        <v>50071</v>
      </c>
      <c r="D622" s="20">
        <f t="shared" si="47"/>
        <v>1</v>
      </c>
      <c r="E622" s="20">
        <v>1</v>
      </c>
      <c r="H622" s="20">
        <f t="shared" si="48"/>
        <v>2</v>
      </c>
      <c r="M622" s="20">
        <v>621</v>
      </c>
    </row>
    <row r="623" spans="1:13" x14ac:dyDescent="0.15">
      <c r="A623" s="20">
        <f t="shared" si="50"/>
        <v>25</v>
      </c>
      <c r="B623" s="20">
        <f t="shared" si="49"/>
        <v>2505</v>
      </c>
      <c r="C623" s="20">
        <f t="shared" ca="1" si="46"/>
        <v>50042</v>
      </c>
      <c r="D623" s="20">
        <f t="shared" ca="1" si="47"/>
        <v>129</v>
      </c>
      <c r="E623" s="20">
        <v>1</v>
      </c>
      <c r="H623" s="20">
        <f t="shared" si="48"/>
        <v>5</v>
      </c>
      <c r="M623" s="20">
        <v>622</v>
      </c>
    </row>
    <row r="624" spans="1:13" x14ac:dyDescent="0.15">
      <c r="A624" s="20">
        <f t="shared" si="50"/>
        <v>25</v>
      </c>
      <c r="B624" s="20">
        <f t="shared" si="49"/>
        <v>2505</v>
      </c>
      <c r="C624" s="20">
        <f t="shared" ca="1" si="46"/>
        <v>50046</v>
      </c>
      <c r="D624" s="20">
        <f t="shared" ca="1" si="47"/>
        <v>88</v>
      </c>
      <c r="E624" s="20">
        <v>1</v>
      </c>
      <c r="H624" s="20">
        <f t="shared" si="48"/>
        <v>8</v>
      </c>
      <c r="M624" s="20">
        <v>623</v>
      </c>
    </row>
    <row r="625" spans="1:13" x14ac:dyDescent="0.15">
      <c r="A625" s="20">
        <f t="shared" si="50"/>
        <v>25</v>
      </c>
      <c r="B625" s="20">
        <f t="shared" si="49"/>
        <v>2505</v>
      </c>
      <c r="C625" s="20">
        <f t="shared" ca="1" si="46"/>
        <v>50049</v>
      </c>
      <c r="D625" s="20">
        <f t="shared" ca="1" si="47"/>
        <v>32</v>
      </c>
      <c r="E625" s="20">
        <v>1</v>
      </c>
      <c r="H625" s="20">
        <f t="shared" si="48"/>
        <v>11</v>
      </c>
      <c r="M625" s="20">
        <v>624</v>
      </c>
    </row>
    <row r="626" spans="1:13" x14ac:dyDescent="0.15">
      <c r="A626" s="20">
        <f t="shared" si="50"/>
        <v>25</v>
      </c>
      <c r="B626" s="20">
        <f t="shared" si="49"/>
        <v>2505</v>
      </c>
      <c r="C626" s="20">
        <f t="shared" ca="1" si="46"/>
        <v>50074</v>
      </c>
      <c r="D626" s="20">
        <f t="shared" ca="1" si="47"/>
        <v>1</v>
      </c>
      <c r="E626" s="20">
        <v>1</v>
      </c>
      <c r="H626" s="20">
        <f t="shared" si="48"/>
        <v>14</v>
      </c>
      <c r="M626" s="20">
        <v>625</v>
      </c>
    </row>
    <row r="627" spans="1:13" x14ac:dyDescent="0.15">
      <c r="A627" s="20">
        <f t="shared" si="50"/>
        <v>26</v>
      </c>
      <c r="B627" s="20">
        <f t="shared" si="49"/>
        <v>2601</v>
      </c>
      <c r="C627" s="20">
        <f t="shared" si="46"/>
        <v>50072</v>
      </c>
      <c r="D627" s="20">
        <f t="shared" si="47"/>
        <v>1</v>
      </c>
      <c r="E627" s="20">
        <v>1</v>
      </c>
      <c r="H627" s="20">
        <f t="shared" si="48"/>
        <v>2</v>
      </c>
      <c r="M627" s="20">
        <v>626</v>
      </c>
    </row>
    <row r="628" spans="1:13" x14ac:dyDescent="0.15">
      <c r="A628" s="20">
        <f t="shared" si="50"/>
        <v>26</v>
      </c>
      <c r="B628" s="20">
        <f t="shared" si="49"/>
        <v>2601</v>
      </c>
      <c r="C628" s="20">
        <f t="shared" ca="1" si="46"/>
        <v>50052</v>
      </c>
      <c r="D628" s="20">
        <f t="shared" ca="1" si="47"/>
        <v>181</v>
      </c>
      <c r="E628" s="20">
        <v>1</v>
      </c>
      <c r="H628" s="20">
        <f t="shared" si="48"/>
        <v>5</v>
      </c>
      <c r="M628" s="20">
        <v>627</v>
      </c>
    </row>
    <row r="629" spans="1:13" x14ac:dyDescent="0.15">
      <c r="A629" s="20">
        <f t="shared" si="50"/>
        <v>26</v>
      </c>
      <c r="B629" s="20">
        <f t="shared" si="49"/>
        <v>2601</v>
      </c>
      <c r="C629" s="20">
        <f t="shared" ca="1" si="46"/>
        <v>50055</v>
      </c>
      <c r="D629" s="20">
        <f t="shared" ca="1" si="47"/>
        <v>129</v>
      </c>
      <c r="E629" s="20">
        <v>1</v>
      </c>
      <c r="H629" s="20">
        <f t="shared" si="48"/>
        <v>8</v>
      </c>
      <c r="M629" s="20">
        <v>628</v>
      </c>
    </row>
    <row r="630" spans="1:13" x14ac:dyDescent="0.15">
      <c r="A630" s="20">
        <f t="shared" si="50"/>
        <v>26</v>
      </c>
      <c r="B630" s="20">
        <f t="shared" si="49"/>
        <v>2601</v>
      </c>
      <c r="C630" s="20">
        <f t="shared" ca="1" si="46"/>
        <v>50170</v>
      </c>
      <c r="D630" s="20">
        <f t="shared" ca="1" si="47"/>
        <v>32</v>
      </c>
      <c r="E630" s="20">
        <v>1</v>
      </c>
      <c r="H630" s="20">
        <f t="shared" si="48"/>
        <v>11</v>
      </c>
      <c r="M630" s="20">
        <v>629</v>
      </c>
    </row>
    <row r="631" spans="1:13" x14ac:dyDescent="0.15">
      <c r="A631" s="20">
        <f t="shared" si="50"/>
        <v>26</v>
      </c>
      <c r="B631" s="20">
        <f t="shared" si="49"/>
        <v>2601</v>
      </c>
      <c r="C631" s="20">
        <f t="shared" ca="1" si="46"/>
        <v>50071</v>
      </c>
      <c r="D631" s="20">
        <f t="shared" ca="1" si="47"/>
        <v>1</v>
      </c>
      <c r="E631" s="20">
        <v>1</v>
      </c>
      <c r="H631" s="20">
        <f t="shared" si="48"/>
        <v>14</v>
      </c>
      <c r="M631" s="20">
        <v>630</v>
      </c>
    </row>
    <row r="632" spans="1:13" x14ac:dyDescent="0.15">
      <c r="A632" s="20">
        <f t="shared" si="50"/>
        <v>26</v>
      </c>
      <c r="B632" s="20">
        <f t="shared" si="49"/>
        <v>2602</v>
      </c>
      <c r="C632" s="20">
        <f t="shared" si="46"/>
        <v>50073</v>
      </c>
      <c r="D632" s="20">
        <f t="shared" si="47"/>
        <v>1</v>
      </c>
      <c r="E632" s="20">
        <v>1</v>
      </c>
      <c r="H632" s="20">
        <f t="shared" si="48"/>
        <v>2</v>
      </c>
      <c r="M632" s="20">
        <v>631</v>
      </c>
    </row>
    <row r="633" spans="1:13" x14ac:dyDescent="0.15">
      <c r="A633" s="20">
        <f t="shared" si="50"/>
        <v>26</v>
      </c>
      <c r="B633" s="20">
        <f t="shared" si="49"/>
        <v>2602</v>
      </c>
      <c r="C633" s="20">
        <f t="shared" ca="1" si="46"/>
        <v>50055</v>
      </c>
      <c r="D633" s="20">
        <f t="shared" ca="1" si="47"/>
        <v>129</v>
      </c>
      <c r="E633" s="20">
        <v>1</v>
      </c>
      <c r="H633" s="20">
        <f t="shared" si="48"/>
        <v>5</v>
      </c>
      <c r="M633" s="20">
        <v>632</v>
      </c>
    </row>
    <row r="634" spans="1:13" x14ac:dyDescent="0.15">
      <c r="A634" s="20">
        <f t="shared" si="50"/>
        <v>26</v>
      </c>
      <c r="B634" s="20">
        <f t="shared" si="49"/>
        <v>2602</v>
      </c>
      <c r="C634" s="20">
        <f t="shared" ca="1" si="46"/>
        <v>50171</v>
      </c>
      <c r="D634" s="20">
        <f t="shared" ca="1" si="47"/>
        <v>88</v>
      </c>
      <c r="E634" s="20">
        <v>1</v>
      </c>
      <c r="H634" s="20">
        <f t="shared" si="48"/>
        <v>8</v>
      </c>
      <c r="M634" s="20">
        <v>633</v>
      </c>
    </row>
    <row r="635" spans="1:13" x14ac:dyDescent="0.15">
      <c r="A635" s="20">
        <f t="shared" si="50"/>
        <v>26</v>
      </c>
      <c r="B635" s="20">
        <f t="shared" si="49"/>
        <v>2602</v>
      </c>
      <c r="C635" s="20">
        <f t="shared" ca="1" si="46"/>
        <v>50061</v>
      </c>
      <c r="D635" s="20">
        <f t="shared" ca="1" si="47"/>
        <v>32</v>
      </c>
      <c r="E635" s="20">
        <v>1</v>
      </c>
      <c r="H635" s="20">
        <f t="shared" si="48"/>
        <v>11</v>
      </c>
      <c r="M635" s="20">
        <v>634</v>
      </c>
    </row>
    <row r="636" spans="1:13" x14ac:dyDescent="0.15">
      <c r="A636" s="20">
        <f t="shared" si="50"/>
        <v>26</v>
      </c>
      <c r="B636" s="20">
        <f t="shared" si="49"/>
        <v>2602</v>
      </c>
      <c r="C636" s="20">
        <f t="shared" ca="1" si="46"/>
        <v>50073</v>
      </c>
      <c r="D636" s="20">
        <f t="shared" ca="1" si="47"/>
        <v>1</v>
      </c>
      <c r="E636" s="20">
        <v>1</v>
      </c>
      <c r="H636" s="20">
        <f t="shared" si="48"/>
        <v>14</v>
      </c>
      <c r="M636" s="20">
        <v>635</v>
      </c>
    </row>
    <row r="637" spans="1:13" x14ac:dyDescent="0.15">
      <c r="A637" s="20">
        <f t="shared" si="50"/>
        <v>26</v>
      </c>
      <c r="B637" s="20">
        <f t="shared" si="49"/>
        <v>2603</v>
      </c>
      <c r="C637" s="20">
        <f t="shared" si="46"/>
        <v>50074</v>
      </c>
      <c r="D637" s="20">
        <f t="shared" si="47"/>
        <v>1</v>
      </c>
      <c r="E637" s="20">
        <v>1</v>
      </c>
      <c r="H637" s="20">
        <f t="shared" si="48"/>
        <v>2</v>
      </c>
      <c r="M637" s="20">
        <v>636</v>
      </c>
    </row>
    <row r="638" spans="1:13" x14ac:dyDescent="0.15">
      <c r="A638" s="20">
        <f t="shared" si="50"/>
        <v>26</v>
      </c>
      <c r="B638" s="20">
        <f t="shared" si="49"/>
        <v>2603</v>
      </c>
      <c r="C638" s="20">
        <f t="shared" ca="1" si="46"/>
        <v>50041</v>
      </c>
      <c r="D638" s="20">
        <f t="shared" ca="1" si="47"/>
        <v>181</v>
      </c>
      <c r="E638" s="20">
        <v>1</v>
      </c>
      <c r="H638" s="20">
        <f t="shared" si="48"/>
        <v>5</v>
      </c>
      <c r="M638" s="20">
        <v>637</v>
      </c>
    </row>
    <row r="639" spans="1:13" x14ac:dyDescent="0.15">
      <c r="A639" s="20">
        <f t="shared" si="50"/>
        <v>26</v>
      </c>
      <c r="B639" s="20">
        <f t="shared" si="49"/>
        <v>2603</v>
      </c>
      <c r="C639" s="20">
        <f t="shared" ca="1" si="46"/>
        <v>50065</v>
      </c>
      <c r="D639" s="20">
        <f t="shared" ca="1" si="47"/>
        <v>129</v>
      </c>
      <c r="E639" s="20">
        <v>1</v>
      </c>
      <c r="H639" s="20">
        <f t="shared" si="48"/>
        <v>8</v>
      </c>
      <c r="M639" s="20">
        <v>638</v>
      </c>
    </row>
    <row r="640" spans="1:13" x14ac:dyDescent="0.15">
      <c r="A640" s="20">
        <f t="shared" si="50"/>
        <v>26</v>
      </c>
      <c r="B640" s="20">
        <f t="shared" si="49"/>
        <v>2603</v>
      </c>
      <c r="C640" s="20">
        <f t="shared" ca="1" si="46"/>
        <v>50049</v>
      </c>
      <c r="D640" s="20">
        <f t="shared" ca="1" si="47"/>
        <v>32</v>
      </c>
      <c r="E640" s="20">
        <v>1</v>
      </c>
      <c r="H640" s="20">
        <f t="shared" si="48"/>
        <v>11</v>
      </c>
      <c r="M640" s="20">
        <v>639</v>
      </c>
    </row>
    <row r="641" spans="1:13" x14ac:dyDescent="0.15">
      <c r="A641" s="20">
        <f t="shared" si="50"/>
        <v>26</v>
      </c>
      <c r="B641" s="20">
        <f t="shared" si="49"/>
        <v>2603</v>
      </c>
      <c r="C641" s="20">
        <f t="shared" ca="1" si="46"/>
        <v>50050</v>
      </c>
      <c r="D641" s="20">
        <f t="shared" ca="1" si="47"/>
        <v>5</v>
      </c>
      <c r="E641" s="20">
        <v>1</v>
      </c>
      <c r="H641" s="20">
        <f t="shared" si="48"/>
        <v>14</v>
      </c>
      <c r="M641" s="20">
        <v>640</v>
      </c>
    </row>
    <row r="642" spans="1:13" x14ac:dyDescent="0.15">
      <c r="A642" s="20">
        <f t="shared" si="50"/>
        <v>26</v>
      </c>
      <c r="B642" s="20">
        <f t="shared" si="49"/>
        <v>2604</v>
      </c>
      <c r="C642" s="20">
        <f t="shared" ref="C642:C701" si="51">VLOOKUP(B642,plan1,H642,FALSE)</f>
        <v>50075</v>
      </c>
      <c r="D642" s="20">
        <f t="shared" ref="D642:D701" si="52">VLOOKUP(C642,marking,9,FALSE)</f>
        <v>1</v>
      </c>
      <c r="E642" s="20">
        <v>1</v>
      </c>
      <c r="H642" s="20">
        <f t="shared" si="48"/>
        <v>2</v>
      </c>
      <c r="M642" s="20">
        <v>641</v>
      </c>
    </row>
    <row r="643" spans="1:13" x14ac:dyDescent="0.15">
      <c r="A643" s="20">
        <f t="shared" si="50"/>
        <v>26</v>
      </c>
      <c r="B643" s="20">
        <f t="shared" si="49"/>
        <v>2604</v>
      </c>
      <c r="C643" s="20">
        <f t="shared" ca="1" si="51"/>
        <v>50189</v>
      </c>
      <c r="D643" s="20">
        <f t="shared" ca="1" si="52"/>
        <v>181</v>
      </c>
      <c r="E643" s="20">
        <v>1</v>
      </c>
      <c r="H643" s="20">
        <f t="shared" si="48"/>
        <v>5</v>
      </c>
      <c r="M643" s="20">
        <v>642</v>
      </c>
    </row>
    <row r="644" spans="1:13" x14ac:dyDescent="0.15">
      <c r="A644" s="20">
        <f t="shared" si="50"/>
        <v>26</v>
      </c>
      <c r="B644" s="20">
        <f t="shared" si="49"/>
        <v>2604</v>
      </c>
      <c r="C644" s="20">
        <f t="shared" ca="1" si="51"/>
        <v>50070</v>
      </c>
      <c r="D644" s="20">
        <f t="shared" ca="1" si="52"/>
        <v>129</v>
      </c>
      <c r="E644" s="20">
        <v>1</v>
      </c>
      <c r="H644" s="20">
        <f t="shared" si="48"/>
        <v>8</v>
      </c>
      <c r="M644" s="20">
        <v>643</v>
      </c>
    </row>
    <row r="645" spans="1:13" x14ac:dyDescent="0.15">
      <c r="A645" s="20">
        <f t="shared" si="50"/>
        <v>26</v>
      </c>
      <c r="B645" s="20">
        <f t="shared" si="49"/>
        <v>2604</v>
      </c>
      <c r="C645" s="20">
        <f t="shared" ca="1" si="51"/>
        <v>50170</v>
      </c>
      <c r="D645" s="20">
        <f t="shared" ca="1" si="52"/>
        <v>32</v>
      </c>
      <c r="E645" s="20">
        <v>1</v>
      </c>
      <c r="H645" s="20">
        <f t="shared" si="48"/>
        <v>11</v>
      </c>
      <c r="M645" s="20">
        <v>644</v>
      </c>
    </row>
    <row r="646" spans="1:13" x14ac:dyDescent="0.15">
      <c r="A646" s="20">
        <f t="shared" si="50"/>
        <v>26</v>
      </c>
      <c r="B646" s="20">
        <f t="shared" si="49"/>
        <v>2604</v>
      </c>
      <c r="C646" s="20">
        <f t="shared" ca="1" si="51"/>
        <v>50075</v>
      </c>
      <c r="D646" s="20">
        <f t="shared" ca="1" si="52"/>
        <v>1</v>
      </c>
      <c r="E646" s="20">
        <v>1</v>
      </c>
      <c r="H646" s="20">
        <f t="shared" si="48"/>
        <v>14</v>
      </c>
      <c r="M646" s="20">
        <v>645</v>
      </c>
    </row>
    <row r="647" spans="1:13" x14ac:dyDescent="0.15">
      <c r="A647" s="20">
        <f t="shared" si="50"/>
        <v>26</v>
      </c>
      <c r="B647" s="20">
        <f t="shared" si="49"/>
        <v>2605</v>
      </c>
      <c r="C647" s="20">
        <f t="shared" si="51"/>
        <v>50076</v>
      </c>
      <c r="D647" s="20">
        <f t="shared" si="52"/>
        <v>1</v>
      </c>
      <c r="E647" s="20">
        <v>1</v>
      </c>
      <c r="H647" s="20">
        <f t="shared" si="48"/>
        <v>2</v>
      </c>
      <c r="M647" s="20">
        <v>646</v>
      </c>
    </row>
    <row r="648" spans="1:13" x14ac:dyDescent="0.15">
      <c r="A648" s="20">
        <f t="shared" si="50"/>
        <v>26</v>
      </c>
      <c r="B648" s="20">
        <f t="shared" si="49"/>
        <v>2605</v>
      </c>
      <c r="C648" s="20">
        <f t="shared" ca="1" si="51"/>
        <v>50055</v>
      </c>
      <c r="D648" s="20">
        <f t="shared" ca="1" si="52"/>
        <v>129</v>
      </c>
      <c r="E648" s="20">
        <v>1</v>
      </c>
      <c r="H648" s="20">
        <f t="shared" ref="H648:H701" si="53">H643</f>
        <v>5</v>
      </c>
      <c r="M648" s="20">
        <v>647</v>
      </c>
    </row>
    <row r="649" spans="1:13" x14ac:dyDescent="0.15">
      <c r="A649" s="20">
        <f t="shared" si="50"/>
        <v>26</v>
      </c>
      <c r="B649" s="20">
        <f t="shared" si="49"/>
        <v>2605</v>
      </c>
      <c r="C649" s="20">
        <f t="shared" ca="1" si="51"/>
        <v>50055</v>
      </c>
      <c r="D649" s="20">
        <f t="shared" ca="1" si="52"/>
        <v>129</v>
      </c>
      <c r="E649" s="20">
        <v>1</v>
      </c>
      <c r="H649" s="20">
        <f t="shared" si="53"/>
        <v>8</v>
      </c>
      <c r="M649" s="20">
        <v>648</v>
      </c>
    </row>
    <row r="650" spans="1:13" x14ac:dyDescent="0.15">
      <c r="A650" s="20">
        <f t="shared" si="50"/>
        <v>26</v>
      </c>
      <c r="B650" s="20">
        <f t="shared" si="49"/>
        <v>2605</v>
      </c>
      <c r="C650" s="20">
        <f t="shared" ca="1" si="51"/>
        <v>50049</v>
      </c>
      <c r="D650" s="20">
        <f t="shared" ca="1" si="52"/>
        <v>32</v>
      </c>
      <c r="E650" s="20">
        <v>1</v>
      </c>
      <c r="H650" s="20">
        <f t="shared" si="53"/>
        <v>11</v>
      </c>
      <c r="M650" s="20">
        <v>649</v>
      </c>
    </row>
    <row r="651" spans="1:13" x14ac:dyDescent="0.15">
      <c r="A651" s="20">
        <f t="shared" si="50"/>
        <v>26</v>
      </c>
      <c r="B651" s="20">
        <f t="shared" si="49"/>
        <v>2605</v>
      </c>
      <c r="C651" s="20">
        <f t="shared" ca="1" si="51"/>
        <v>50059</v>
      </c>
      <c r="D651" s="20">
        <f t="shared" ca="1" si="52"/>
        <v>5</v>
      </c>
      <c r="E651" s="20">
        <v>1</v>
      </c>
      <c r="H651" s="20">
        <f t="shared" si="53"/>
        <v>14</v>
      </c>
      <c r="M651" s="20">
        <v>650</v>
      </c>
    </row>
    <row r="652" spans="1:13" x14ac:dyDescent="0.15">
      <c r="A652" s="20">
        <f t="shared" si="50"/>
        <v>27</v>
      </c>
      <c r="B652" s="20">
        <f t="shared" si="49"/>
        <v>2701</v>
      </c>
      <c r="C652" s="20">
        <f t="shared" si="51"/>
        <v>50077</v>
      </c>
      <c r="D652" s="20">
        <f t="shared" si="52"/>
        <v>1</v>
      </c>
      <c r="E652" s="20">
        <v>1</v>
      </c>
      <c r="H652" s="20">
        <f t="shared" si="53"/>
        <v>2</v>
      </c>
      <c r="M652" s="20">
        <v>651</v>
      </c>
    </row>
    <row r="653" spans="1:13" x14ac:dyDescent="0.15">
      <c r="A653" s="20">
        <f t="shared" si="50"/>
        <v>27</v>
      </c>
      <c r="B653" s="20">
        <f t="shared" si="49"/>
        <v>2701</v>
      </c>
      <c r="C653" s="20">
        <f t="shared" ca="1" si="51"/>
        <v>50189</v>
      </c>
      <c r="D653" s="20">
        <f t="shared" ca="1" si="52"/>
        <v>181</v>
      </c>
      <c r="E653" s="20">
        <v>1</v>
      </c>
      <c r="H653" s="20">
        <f t="shared" si="53"/>
        <v>5</v>
      </c>
      <c r="M653" s="20">
        <v>652</v>
      </c>
    </row>
    <row r="654" spans="1:13" x14ac:dyDescent="0.15">
      <c r="A654" s="20">
        <f t="shared" si="50"/>
        <v>27</v>
      </c>
      <c r="B654" s="20">
        <f t="shared" si="49"/>
        <v>2701</v>
      </c>
      <c r="C654" s="20">
        <f t="shared" ca="1" si="51"/>
        <v>50066</v>
      </c>
      <c r="D654" s="20">
        <f t="shared" ca="1" si="52"/>
        <v>88</v>
      </c>
      <c r="E654" s="20">
        <v>1</v>
      </c>
      <c r="H654" s="20">
        <f t="shared" si="53"/>
        <v>8</v>
      </c>
      <c r="M654" s="20">
        <v>653</v>
      </c>
    </row>
    <row r="655" spans="1:13" x14ac:dyDescent="0.15">
      <c r="A655" s="20">
        <f t="shared" si="50"/>
        <v>27</v>
      </c>
      <c r="B655" s="20">
        <f t="shared" ref="B655:B701" si="54">B630+100</f>
        <v>2701</v>
      </c>
      <c r="C655" s="20">
        <f t="shared" ca="1" si="51"/>
        <v>50068</v>
      </c>
      <c r="D655" s="20">
        <f t="shared" ca="1" si="52"/>
        <v>32</v>
      </c>
      <c r="E655" s="20">
        <v>1</v>
      </c>
      <c r="H655" s="20">
        <f t="shared" si="53"/>
        <v>11</v>
      </c>
      <c r="M655" s="20">
        <v>654</v>
      </c>
    </row>
    <row r="656" spans="1:13" x14ac:dyDescent="0.15">
      <c r="A656" s="20">
        <f t="shared" si="50"/>
        <v>27</v>
      </c>
      <c r="B656" s="20">
        <f t="shared" si="54"/>
        <v>2701</v>
      </c>
      <c r="C656" s="20">
        <f t="shared" ca="1" si="51"/>
        <v>50077</v>
      </c>
      <c r="D656" s="20">
        <f t="shared" ca="1" si="52"/>
        <v>1</v>
      </c>
      <c r="E656" s="20">
        <v>1</v>
      </c>
      <c r="H656" s="20">
        <f t="shared" si="53"/>
        <v>14</v>
      </c>
      <c r="M656" s="20">
        <v>655</v>
      </c>
    </row>
    <row r="657" spans="1:13" x14ac:dyDescent="0.15">
      <c r="A657" s="20">
        <f t="shared" si="50"/>
        <v>27</v>
      </c>
      <c r="B657" s="20">
        <f t="shared" si="54"/>
        <v>2702</v>
      </c>
      <c r="C657" s="20">
        <f t="shared" si="51"/>
        <v>50190</v>
      </c>
      <c r="D657" s="20">
        <f t="shared" si="52"/>
        <v>1</v>
      </c>
      <c r="E657" s="20">
        <v>1</v>
      </c>
      <c r="H657" s="20">
        <f t="shared" si="53"/>
        <v>2</v>
      </c>
      <c r="M657" s="20">
        <v>656</v>
      </c>
    </row>
    <row r="658" spans="1:13" x14ac:dyDescent="0.15">
      <c r="A658" s="20">
        <f t="shared" si="50"/>
        <v>27</v>
      </c>
      <c r="B658" s="20">
        <f t="shared" si="54"/>
        <v>2702</v>
      </c>
      <c r="C658" s="20">
        <f t="shared" ca="1" si="51"/>
        <v>50070</v>
      </c>
      <c r="D658" s="20">
        <f t="shared" ca="1" si="52"/>
        <v>129</v>
      </c>
      <c r="E658" s="20">
        <v>1</v>
      </c>
      <c r="H658" s="20">
        <f t="shared" si="53"/>
        <v>5</v>
      </c>
      <c r="M658" s="20">
        <v>657</v>
      </c>
    </row>
    <row r="659" spans="1:13" x14ac:dyDescent="0.15">
      <c r="A659" s="20">
        <f t="shared" si="50"/>
        <v>27</v>
      </c>
      <c r="B659" s="20">
        <f t="shared" si="54"/>
        <v>2702</v>
      </c>
      <c r="C659" s="20">
        <f t="shared" ca="1" si="51"/>
        <v>50169</v>
      </c>
      <c r="D659" s="20">
        <f t="shared" ca="1" si="52"/>
        <v>88</v>
      </c>
      <c r="E659" s="20">
        <v>1</v>
      </c>
      <c r="H659" s="20">
        <f t="shared" si="53"/>
        <v>8</v>
      </c>
      <c r="M659" s="20">
        <v>658</v>
      </c>
    </row>
    <row r="660" spans="1:13" x14ac:dyDescent="0.15">
      <c r="A660" s="20">
        <f t="shared" si="50"/>
        <v>27</v>
      </c>
      <c r="B660" s="20">
        <f t="shared" si="54"/>
        <v>2702</v>
      </c>
      <c r="C660" s="20">
        <f t="shared" ca="1" si="51"/>
        <v>50068</v>
      </c>
      <c r="D660" s="20">
        <f t="shared" ca="1" si="52"/>
        <v>32</v>
      </c>
      <c r="E660" s="20">
        <v>1</v>
      </c>
      <c r="H660" s="20">
        <f t="shared" si="53"/>
        <v>11</v>
      </c>
      <c r="M660" s="20">
        <v>659</v>
      </c>
    </row>
    <row r="661" spans="1:13" x14ac:dyDescent="0.15">
      <c r="A661" s="20">
        <f t="shared" si="50"/>
        <v>27</v>
      </c>
      <c r="B661" s="20">
        <f t="shared" si="54"/>
        <v>2702</v>
      </c>
      <c r="C661" s="20">
        <f t="shared" ca="1" si="51"/>
        <v>50077</v>
      </c>
      <c r="D661" s="20">
        <f t="shared" ca="1" si="52"/>
        <v>1</v>
      </c>
      <c r="E661" s="20">
        <v>1</v>
      </c>
      <c r="H661" s="20">
        <f t="shared" si="53"/>
        <v>14</v>
      </c>
      <c r="M661" s="20">
        <v>660</v>
      </c>
    </row>
    <row r="662" spans="1:13" x14ac:dyDescent="0.15">
      <c r="A662" s="20">
        <f t="shared" si="50"/>
        <v>27</v>
      </c>
      <c r="B662" s="20">
        <f t="shared" si="54"/>
        <v>2703</v>
      </c>
      <c r="C662" s="20">
        <f t="shared" si="51"/>
        <v>50041</v>
      </c>
      <c r="D662" s="20">
        <f t="shared" si="52"/>
        <v>181</v>
      </c>
      <c r="E662" s="20">
        <v>1</v>
      </c>
      <c r="H662" s="20">
        <f t="shared" si="53"/>
        <v>2</v>
      </c>
      <c r="M662" s="20">
        <v>661</v>
      </c>
    </row>
    <row r="663" spans="1:13" x14ac:dyDescent="0.15">
      <c r="A663" s="20">
        <f t="shared" si="50"/>
        <v>27</v>
      </c>
      <c r="B663" s="20">
        <f t="shared" si="54"/>
        <v>2703</v>
      </c>
      <c r="C663" s="20">
        <f t="shared" ca="1" si="51"/>
        <v>50042</v>
      </c>
      <c r="D663" s="20">
        <f t="shared" ca="1" si="52"/>
        <v>129</v>
      </c>
      <c r="E663" s="20">
        <v>1</v>
      </c>
      <c r="H663" s="20">
        <f t="shared" si="53"/>
        <v>5</v>
      </c>
      <c r="M663" s="20">
        <v>662</v>
      </c>
    </row>
    <row r="664" spans="1:13" x14ac:dyDescent="0.15">
      <c r="A664" s="20">
        <f t="shared" si="50"/>
        <v>27</v>
      </c>
      <c r="B664" s="20">
        <f t="shared" si="54"/>
        <v>2703</v>
      </c>
      <c r="C664" s="20">
        <f t="shared" ca="1" si="51"/>
        <v>50053</v>
      </c>
      <c r="D664" s="20">
        <f t="shared" ca="1" si="52"/>
        <v>129</v>
      </c>
      <c r="E664" s="20">
        <v>1</v>
      </c>
      <c r="H664" s="20">
        <f t="shared" si="53"/>
        <v>8</v>
      </c>
      <c r="M664" s="20">
        <v>663</v>
      </c>
    </row>
    <row r="665" spans="1:13" x14ac:dyDescent="0.15">
      <c r="A665" s="20">
        <f t="shared" si="50"/>
        <v>27</v>
      </c>
      <c r="B665" s="20">
        <f t="shared" si="54"/>
        <v>2703</v>
      </c>
      <c r="C665" s="20">
        <f t="shared" ca="1" si="51"/>
        <v>50061</v>
      </c>
      <c r="D665" s="20">
        <f t="shared" ca="1" si="52"/>
        <v>32</v>
      </c>
      <c r="E665" s="20">
        <v>1</v>
      </c>
      <c r="H665" s="20">
        <f t="shared" si="53"/>
        <v>11</v>
      </c>
      <c r="M665" s="20">
        <v>664</v>
      </c>
    </row>
    <row r="666" spans="1:13" x14ac:dyDescent="0.15">
      <c r="A666" s="20">
        <f t="shared" si="50"/>
        <v>27</v>
      </c>
      <c r="B666" s="20">
        <f t="shared" si="54"/>
        <v>2703</v>
      </c>
      <c r="C666" s="20">
        <f t="shared" ca="1" si="51"/>
        <v>50076</v>
      </c>
      <c r="D666" s="20">
        <f t="shared" ca="1" si="52"/>
        <v>1</v>
      </c>
      <c r="E666" s="20">
        <v>1</v>
      </c>
      <c r="H666" s="20">
        <f t="shared" si="53"/>
        <v>14</v>
      </c>
      <c r="M666" s="20">
        <v>665</v>
      </c>
    </row>
    <row r="667" spans="1:13" x14ac:dyDescent="0.15">
      <c r="A667" s="20">
        <f t="shared" si="50"/>
        <v>27</v>
      </c>
      <c r="B667" s="20">
        <f t="shared" si="54"/>
        <v>2704</v>
      </c>
      <c r="C667" s="20">
        <f t="shared" si="51"/>
        <v>50045</v>
      </c>
      <c r="D667" s="20">
        <f t="shared" si="52"/>
        <v>181</v>
      </c>
      <c r="E667" s="20">
        <v>1</v>
      </c>
      <c r="H667" s="20">
        <f t="shared" si="53"/>
        <v>2</v>
      </c>
      <c r="M667" s="20">
        <v>666</v>
      </c>
    </row>
    <row r="668" spans="1:13" x14ac:dyDescent="0.15">
      <c r="A668" s="20">
        <f t="shared" ref="A668:A701" si="55">A643+1</f>
        <v>27</v>
      </c>
      <c r="B668" s="20">
        <f t="shared" si="54"/>
        <v>2704</v>
      </c>
      <c r="C668" s="20">
        <f t="shared" ca="1" si="51"/>
        <v>50070</v>
      </c>
      <c r="D668" s="20">
        <f t="shared" ca="1" si="52"/>
        <v>129</v>
      </c>
      <c r="E668" s="20">
        <v>1</v>
      </c>
      <c r="H668" s="20">
        <f t="shared" si="53"/>
        <v>5</v>
      </c>
      <c r="M668" s="20">
        <v>667</v>
      </c>
    </row>
    <row r="669" spans="1:13" x14ac:dyDescent="0.15">
      <c r="A669" s="20">
        <f t="shared" si="55"/>
        <v>27</v>
      </c>
      <c r="B669" s="20">
        <f t="shared" si="54"/>
        <v>2704</v>
      </c>
      <c r="C669" s="20">
        <f t="shared" ca="1" si="51"/>
        <v>50063</v>
      </c>
      <c r="D669" s="20">
        <f t="shared" ca="1" si="52"/>
        <v>129</v>
      </c>
      <c r="E669" s="20">
        <v>1</v>
      </c>
      <c r="H669" s="20">
        <f t="shared" si="53"/>
        <v>8</v>
      </c>
      <c r="M669" s="20">
        <v>668</v>
      </c>
    </row>
    <row r="670" spans="1:13" x14ac:dyDescent="0.15">
      <c r="A670" s="20">
        <f t="shared" si="55"/>
        <v>27</v>
      </c>
      <c r="B670" s="20">
        <f t="shared" si="54"/>
        <v>2704</v>
      </c>
      <c r="C670" s="20">
        <f t="shared" ca="1" si="51"/>
        <v>50058</v>
      </c>
      <c r="D670" s="20">
        <f t="shared" ca="1" si="52"/>
        <v>55</v>
      </c>
      <c r="E670" s="20">
        <v>1</v>
      </c>
      <c r="H670" s="20">
        <f t="shared" si="53"/>
        <v>11</v>
      </c>
      <c r="M670" s="20">
        <v>669</v>
      </c>
    </row>
    <row r="671" spans="1:13" x14ac:dyDescent="0.15">
      <c r="A671" s="20">
        <f t="shared" si="55"/>
        <v>27</v>
      </c>
      <c r="B671" s="20">
        <f t="shared" si="54"/>
        <v>2704</v>
      </c>
      <c r="C671" s="20">
        <f t="shared" ca="1" si="51"/>
        <v>50074</v>
      </c>
      <c r="D671" s="20">
        <f t="shared" ca="1" si="52"/>
        <v>1</v>
      </c>
      <c r="E671" s="20">
        <v>1</v>
      </c>
      <c r="H671" s="20">
        <f t="shared" si="53"/>
        <v>14</v>
      </c>
      <c r="M671" s="20">
        <v>670</v>
      </c>
    </row>
    <row r="672" spans="1:13" x14ac:dyDescent="0.15">
      <c r="A672" s="20">
        <f t="shared" si="55"/>
        <v>27</v>
      </c>
      <c r="B672" s="20">
        <f t="shared" si="54"/>
        <v>2705</v>
      </c>
      <c r="C672" s="20">
        <f t="shared" si="51"/>
        <v>50047</v>
      </c>
      <c r="D672" s="20">
        <f t="shared" si="52"/>
        <v>181</v>
      </c>
      <c r="E672" s="20">
        <v>1</v>
      </c>
      <c r="H672" s="20">
        <f t="shared" si="53"/>
        <v>2</v>
      </c>
      <c r="M672" s="20">
        <v>671</v>
      </c>
    </row>
    <row r="673" spans="1:13" x14ac:dyDescent="0.15">
      <c r="A673" s="20">
        <f t="shared" si="55"/>
        <v>27</v>
      </c>
      <c r="B673" s="20">
        <f t="shared" si="54"/>
        <v>2705</v>
      </c>
      <c r="C673" s="20">
        <f t="shared" ca="1" si="51"/>
        <v>50041</v>
      </c>
      <c r="D673" s="20">
        <f t="shared" ca="1" si="52"/>
        <v>181</v>
      </c>
      <c r="E673" s="20">
        <v>1</v>
      </c>
      <c r="H673" s="20">
        <f t="shared" si="53"/>
        <v>5</v>
      </c>
      <c r="M673" s="20">
        <v>672</v>
      </c>
    </row>
    <row r="674" spans="1:13" x14ac:dyDescent="0.15">
      <c r="A674" s="20">
        <f t="shared" si="55"/>
        <v>27</v>
      </c>
      <c r="B674" s="20">
        <f t="shared" si="54"/>
        <v>2705</v>
      </c>
      <c r="C674" s="20">
        <f t="shared" ca="1" si="51"/>
        <v>50054</v>
      </c>
      <c r="D674" s="20">
        <f t="shared" ca="1" si="52"/>
        <v>129</v>
      </c>
      <c r="E674" s="20">
        <v>1</v>
      </c>
      <c r="H674" s="20">
        <f t="shared" si="53"/>
        <v>8</v>
      </c>
      <c r="M674" s="20">
        <v>673</v>
      </c>
    </row>
    <row r="675" spans="1:13" x14ac:dyDescent="0.15">
      <c r="A675" s="20">
        <f t="shared" si="55"/>
        <v>27</v>
      </c>
      <c r="B675" s="20">
        <f t="shared" si="54"/>
        <v>2705</v>
      </c>
      <c r="C675" s="20">
        <f t="shared" ca="1" si="51"/>
        <v>50062</v>
      </c>
      <c r="D675" s="20">
        <f t="shared" ca="1" si="52"/>
        <v>32</v>
      </c>
      <c r="E675" s="20">
        <v>1</v>
      </c>
      <c r="H675" s="20">
        <f t="shared" si="53"/>
        <v>11</v>
      </c>
      <c r="M675" s="20">
        <v>674</v>
      </c>
    </row>
    <row r="676" spans="1:13" x14ac:dyDescent="0.15">
      <c r="A676" s="20">
        <f t="shared" si="55"/>
        <v>27</v>
      </c>
      <c r="B676" s="20">
        <f t="shared" si="54"/>
        <v>2705</v>
      </c>
      <c r="C676" s="20">
        <f t="shared" ca="1" si="51"/>
        <v>50059</v>
      </c>
      <c r="D676" s="20">
        <f t="shared" ca="1" si="52"/>
        <v>5</v>
      </c>
      <c r="E676" s="20">
        <v>1</v>
      </c>
      <c r="H676" s="20">
        <f t="shared" si="53"/>
        <v>14</v>
      </c>
      <c r="M676" s="20">
        <v>675</v>
      </c>
    </row>
    <row r="677" spans="1:13" x14ac:dyDescent="0.15">
      <c r="A677" s="20">
        <f t="shared" si="55"/>
        <v>28</v>
      </c>
      <c r="B677" s="20">
        <f t="shared" si="54"/>
        <v>2801</v>
      </c>
      <c r="C677" s="20">
        <f t="shared" si="51"/>
        <v>50051</v>
      </c>
      <c r="D677" s="20">
        <f t="shared" si="52"/>
        <v>181</v>
      </c>
      <c r="E677" s="20">
        <v>1</v>
      </c>
      <c r="H677" s="20">
        <f t="shared" si="53"/>
        <v>2</v>
      </c>
      <c r="M677" s="20">
        <v>676</v>
      </c>
    </row>
    <row r="678" spans="1:13" x14ac:dyDescent="0.15">
      <c r="A678" s="20">
        <f t="shared" si="55"/>
        <v>28</v>
      </c>
      <c r="B678" s="20">
        <f t="shared" si="54"/>
        <v>2801</v>
      </c>
      <c r="C678" s="20">
        <f t="shared" ca="1" si="51"/>
        <v>50065</v>
      </c>
      <c r="D678" s="20">
        <f t="shared" ca="1" si="52"/>
        <v>129</v>
      </c>
      <c r="E678" s="20">
        <v>1</v>
      </c>
      <c r="H678" s="20">
        <f t="shared" si="53"/>
        <v>5</v>
      </c>
      <c r="M678" s="20">
        <v>677</v>
      </c>
    </row>
    <row r="679" spans="1:13" x14ac:dyDescent="0.15">
      <c r="A679" s="20">
        <f t="shared" si="55"/>
        <v>28</v>
      </c>
      <c r="B679" s="20">
        <f t="shared" si="54"/>
        <v>2801</v>
      </c>
      <c r="C679" s="20">
        <f t="shared" ca="1" si="51"/>
        <v>50169</v>
      </c>
      <c r="D679" s="20">
        <f t="shared" ca="1" si="52"/>
        <v>88</v>
      </c>
      <c r="E679" s="20">
        <v>1</v>
      </c>
      <c r="H679" s="20">
        <f t="shared" si="53"/>
        <v>8</v>
      </c>
      <c r="M679" s="20">
        <v>678</v>
      </c>
    </row>
    <row r="680" spans="1:13" x14ac:dyDescent="0.15">
      <c r="A680" s="20">
        <f t="shared" si="55"/>
        <v>28</v>
      </c>
      <c r="B680" s="20">
        <f t="shared" si="54"/>
        <v>2801</v>
      </c>
      <c r="C680" s="20">
        <f t="shared" ca="1" si="51"/>
        <v>50060</v>
      </c>
      <c r="D680" s="20">
        <f t="shared" ca="1" si="52"/>
        <v>32</v>
      </c>
      <c r="E680" s="20">
        <v>1</v>
      </c>
      <c r="H680" s="20">
        <f t="shared" si="53"/>
        <v>11</v>
      </c>
      <c r="M680" s="20">
        <v>679</v>
      </c>
    </row>
    <row r="681" spans="1:13" x14ac:dyDescent="0.15">
      <c r="A681" s="20">
        <f t="shared" si="55"/>
        <v>28</v>
      </c>
      <c r="B681" s="20">
        <f t="shared" si="54"/>
        <v>2801</v>
      </c>
      <c r="C681" s="20">
        <f t="shared" ca="1" si="51"/>
        <v>50075</v>
      </c>
      <c r="D681" s="20">
        <f t="shared" ca="1" si="52"/>
        <v>1</v>
      </c>
      <c r="E681" s="20">
        <v>1</v>
      </c>
      <c r="H681" s="20">
        <f t="shared" si="53"/>
        <v>14</v>
      </c>
      <c r="M681" s="20">
        <v>680</v>
      </c>
    </row>
    <row r="682" spans="1:13" x14ac:dyDescent="0.15">
      <c r="A682" s="20">
        <f t="shared" si="55"/>
        <v>28</v>
      </c>
      <c r="B682" s="20">
        <f t="shared" si="54"/>
        <v>2802</v>
      </c>
      <c r="C682" s="20">
        <f t="shared" si="51"/>
        <v>50052</v>
      </c>
      <c r="D682" s="20">
        <f t="shared" si="52"/>
        <v>181</v>
      </c>
      <c r="E682" s="20">
        <v>1</v>
      </c>
      <c r="H682" s="20">
        <f t="shared" si="53"/>
        <v>2</v>
      </c>
      <c r="M682" s="20">
        <v>681</v>
      </c>
    </row>
    <row r="683" spans="1:13" x14ac:dyDescent="0.15">
      <c r="A683" s="20">
        <f t="shared" si="55"/>
        <v>28</v>
      </c>
      <c r="B683" s="20">
        <f t="shared" si="54"/>
        <v>2802</v>
      </c>
      <c r="C683" s="20">
        <f t="shared" ca="1" si="51"/>
        <v>50069</v>
      </c>
      <c r="D683" s="20">
        <f t="shared" ca="1" si="52"/>
        <v>181</v>
      </c>
      <c r="E683" s="20">
        <v>1</v>
      </c>
      <c r="H683" s="20">
        <f t="shared" si="53"/>
        <v>5</v>
      </c>
      <c r="M683" s="20">
        <v>682</v>
      </c>
    </row>
    <row r="684" spans="1:13" x14ac:dyDescent="0.15">
      <c r="A684" s="20">
        <f t="shared" si="55"/>
        <v>28</v>
      </c>
      <c r="B684" s="20">
        <f t="shared" si="54"/>
        <v>2802</v>
      </c>
      <c r="C684" s="20">
        <f t="shared" ca="1" si="51"/>
        <v>50056</v>
      </c>
      <c r="D684" s="20">
        <f t="shared" ca="1" si="52"/>
        <v>129</v>
      </c>
      <c r="E684" s="20">
        <v>1</v>
      </c>
      <c r="H684" s="20">
        <f t="shared" si="53"/>
        <v>8</v>
      </c>
      <c r="M684" s="20">
        <v>683</v>
      </c>
    </row>
    <row r="685" spans="1:13" x14ac:dyDescent="0.15">
      <c r="A685" s="20">
        <f t="shared" si="55"/>
        <v>28</v>
      </c>
      <c r="B685" s="20">
        <f t="shared" si="54"/>
        <v>2802</v>
      </c>
      <c r="C685" s="20">
        <f t="shared" ca="1" si="51"/>
        <v>50068</v>
      </c>
      <c r="D685" s="20">
        <f t="shared" ca="1" si="52"/>
        <v>32</v>
      </c>
      <c r="E685" s="20">
        <v>1</v>
      </c>
      <c r="H685" s="20">
        <f t="shared" si="53"/>
        <v>11</v>
      </c>
      <c r="M685" s="20">
        <v>684</v>
      </c>
    </row>
    <row r="686" spans="1:13" x14ac:dyDescent="0.15">
      <c r="A686" s="20">
        <f t="shared" si="55"/>
        <v>28</v>
      </c>
      <c r="B686" s="20">
        <f t="shared" si="54"/>
        <v>2802</v>
      </c>
      <c r="C686" s="20">
        <f t="shared" ca="1" si="51"/>
        <v>50072</v>
      </c>
      <c r="D686" s="20">
        <f t="shared" ca="1" si="52"/>
        <v>1</v>
      </c>
      <c r="E686" s="20">
        <v>1</v>
      </c>
      <c r="H686" s="20">
        <f t="shared" si="53"/>
        <v>14</v>
      </c>
      <c r="M686" s="20">
        <v>685</v>
      </c>
    </row>
    <row r="687" spans="1:13" x14ac:dyDescent="0.15">
      <c r="A687" s="20">
        <f t="shared" si="55"/>
        <v>28</v>
      </c>
      <c r="B687" s="20">
        <f t="shared" si="54"/>
        <v>2803</v>
      </c>
      <c r="C687" s="20">
        <f t="shared" si="51"/>
        <v>50069</v>
      </c>
      <c r="D687" s="20">
        <f t="shared" si="52"/>
        <v>181</v>
      </c>
      <c r="E687" s="20">
        <v>1</v>
      </c>
      <c r="H687" s="20">
        <f t="shared" si="53"/>
        <v>2</v>
      </c>
      <c r="M687" s="20">
        <v>686</v>
      </c>
    </row>
    <row r="688" spans="1:13" x14ac:dyDescent="0.15">
      <c r="A688" s="20">
        <f t="shared" si="55"/>
        <v>28</v>
      </c>
      <c r="B688" s="20">
        <f t="shared" si="54"/>
        <v>2803</v>
      </c>
      <c r="C688" s="20">
        <f t="shared" ca="1" si="51"/>
        <v>50054</v>
      </c>
      <c r="D688" s="20">
        <f t="shared" ca="1" si="52"/>
        <v>129</v>
      </c>
      <c r="E688" s="20">
        <v>1</v>
      </c>
      <c r="H688" s="20">
        <f t="shared" si="53"/>
        <v>5</v>
      </c>
      <c r="M688" s="20">
        <v>687</v>
      </c>
    </row>
    <row r="689" spans="1:13" x14ac:dyDescent="0.15">
      <c r="A689" s="20">
        <f t="shared" si="55"/>
        <v>28</v>
      </c>
      <c r="B689" s="20">
        <f t="shared" si="54"/>
        <v>2803</v>
      </c>
      <c r="C689" s="20">
        <f t="shared" ca="1" si="51"/>
        <v>50054</v>
      </c>
      <c r="D689" s="20">
        <f t="shared" ca="1" si="52"/>
        <v>129</v>
      </c>
      <c r="E689" s="20">
        <v>1</v>
      </c>
      <c r="H689" s="20">
        <f t="shared" si="53"/>
        <v>8</v>
      </c>
      <c r="M689" s="20">
        <v>688</v>
      </c>
    </row>
    <row r="690" spans="1:13" x14ac:dyDescent="0.15">
      <c r="A690" s="20">
        <f t="shared" si="55"/>
        <v>28</v>
      </c>
      <c r="B690" s="20">
        <f t="shared" si="54"/>
        <v>2803</v>
      </c>
      <c r="C690" s="20">
        <f t="shared" ca="1" si="51"/>
        <v>50044</v>
      </c>
      <c r="D690" s="20">
        <f t="shared" ca="1" si="52"/>
        <v>55</v>
      </c>
      <c r="E690" s="20">
        <v>1</v>
      </c>
      <c r="H690" s="20">
        <f t="shared" si="53"/>
        <v>11</v>
      </c>
      <c r="M690" s="20">
        <v>689</v>
      </c>
    </row>
    <row r="691" spans="1:13" x14ac:dyDescent="0.15">
      <c r="A691" s="20">
        <f t="shared" si="55"/>
        <v>28</v>
      </c>
      <c r="B691" s="20">
        <f t="shared" si="54"/>
        <v>2803</v>
      </c>
      <c r="C691" s="20">
        <f t="shared" ca="1" si="51"/>
        <v>50073</v>
      </c>
      <c r="D691" s="20">
        <f t="shared" ca="1" si="52"/>
        <v>1</v>
      </c>
      <c r="E691" s="20">
        <v>1</v>
      </c>
      <c r="H691" s="20">
        <f t="shared" si="53"/>
        <v>14</v>
      </c>
      <c r="M691" s="20">
        <v>690</v>
      </c>
    </row>
    <row r="692" spans="1:13" x14ac:dyDescent="0.15">
      <c r="A692" s="20">
        <f t="shared" si="55"/>
        <v>28</v>
      </c>
      <c r="B692" s="20">
        <f t="shared" si="54"/>
        <v>2804</v>
      </c>
      <c r="C692" s="20">
        <f t="shared" si="51"/>
        <v>50168</v>
      </c>
      <c r="D692" s="20">
        <f t="shared" si="52"/>
        <v>181</v>
      </c>
      <c r="E692" s="20">
        <v>1</v>
      </c>
      <c r="H692" s="20">
        <f t="shared" si="53"/>
        <v>2</v>
      </c>
      <c r="M692" s="20">
        <v>691</v>
      </c>
    </row>
    <row r="693" spans="1:13" x14ac:dyDescent="0.15">
      <c r="A693" s="20">
        <f t="shared" si="55"/>
        <v>28</v>
      </c>
      <c r="B693" s="20">
        <f t="shared" si="54"/>
        <v>2804</v>
      </c>
      <c r="C693" s="20">
        <f t="shared" ca="1" si="51"/>
        <v>50052</v>
      </c>
      <c r="D693" s="20">
        <f t="shared" ca="1" si="52"/>
        <v>181</v>
      </c>
      <c r="E693" s="20">
        <v>1</v>
      </c>
      <c r="H693" s="20">
        <f t="shared" si="53"/>
        <v>5</v>
      </c>
      <c r="M693" s="20">
        <v>692</v>
      </c>
    </row>
    <row r="694" spans="1:13" x14ac:dyDescent="0.15">
      <c r="A694" s="20">
        <f t="shared" si="55"/>
        <v>28</v>
      </c>
      <c r="B694" s="20">
        <f t="shared" si="54"/>
        <v>2804</v>
      </c>
      <c r="C694" s="20">
        <f t="shared" ca="1" si="51"/>
        <v>50054</v>
      </c>
      <c r="D694" s="20">
        <f t="shared" ca="1" si="52"/>
        <v>129</v>
      </c>
      <c r="E694" s="20">
        <v>1</v>
      </c>
      <c r="H694" s="20">
        <f t="shared" si="53"/>
        <v>8</v>
      </c>
      <c r="M694" s="20">
        <v>693</v>
      </c>
    </row>
    <row r="695" spans="1:13" x14ac:dyDescent="0.15">
      <c r="A695" s="20">
        <f t="shared" si="55"/>
        <v>28</v>
      </c>
      <c r="B695" s="20">
        <f t="shared" si="54"/>
        <v>2804</v>
      </c>
      <c r="C695" s="20">
        <f t="shared" ca="1" si="51"/>
        <v>50068</v>
      </c>
      <c r="D695" s="20">
        <f t="shared" ca="1" si="52"/>
        <v>32</v>
      </c>
      <c r="E695" s="20">
        <v>1</v>
      </c>
      <c r="H695" s="20">
        <f t="shared" si="53"/>
        <v>11</v>
      </c>
      <c r="M695" s="20">
        <v>694</v>
      </c>
    </row>
    <row r="696" spans="1:13" x14ac:dyDescent="0.15">
      <c r="A696" s="20">
        <f t="shared" si="55"/>
        <v>28</v>
      </c>
      <c r="B696" s="20">
        <f t="shared" si="54"/>
        <v>2804</v>
      </c>
      <c r="C696" s="20">
        <f t="shared" ca="1" si="51"/>
        <v>50071</v>
      </c>
      <c r="D696" s="20">
        <f t="shared" ca="1" si="52"/>
        <v>1</v>
      </c>
      <c r="E696" s="20">
        <v>1</v>
      </c>
      <c r="H696" s="20">
        <f t="shared" si="53"/>
        <v>14</v>
      </c>
      <c r="M696" s="20">
        <v>695</v>
      </c>
    </row>
    <row r="697" spans="1:13" x14ac:dyDescent="0.15">
      <c r="A697" s="20">
        <f t="shared" si="55"/>
        <v>28</v>
      </c>
      <c r="B697" s="20">
        <f t="shared" si="54"/>
        <v>2805</v>
      </c>
      <c r="C697" s="20">
        <f t="shared" si="51"/>
        <v>50189</v>
      </c>
      <c r="D697" s="20">
        <f t="shared" si="52"/>
        <v>181</v>
      </c>
      <c r="E697" s="20">
        <v>1</v>
      </c>
      <c r="H697" s="20">
        <f t="shared" si="53"/>
        <v>2</v>
      </c>
      <c r="M697" s="20">
        <v>696</v>
      </c>
    </row>
    <row r="698" spans="1:13" x14ac:dyDescent="0.15">
      <c r="A698" s="20">
        <f t="shared" si="55"/>
        <v>28</v>
      </c>
      <c r="B698" s="20">
        <f t="shared" si="54"/>
        <v>2805</v>
      </c>
      <c r="C698" s="20">
        <f t="shared" ca="1" si="51"/>
        <v>50052</v>
      </c>
      <c r="D698" s="20">
        <f t="shared" ca="1" si="52"/>
        <v>181</v>
      </c>
      <c r="E698" s="20">
        <v>1</v>
      </c>
      <c r="H698" s="20">
        <f t="shared" si="53"/>
        <v>5</v>
      </c>
      <c r="M698" s="20">
        <v>697</v>
      </c>
    </row>
    <row r="699" spans="1:13" x14ac:dyDescent="0.15">
      <c r="A699" s="20">
        <f t="shared" si="55"/>
        <v>28</v>
      </c>
      <c r="B699" s="20">
        <f t="shared" si="54"/>
        <v>2805</v>
      </c>
      <c r="C699" s="20">
        <f t="shared" ca="1" si="51"/>
        <v>50055</v>
      </c>
      <c r="D699" s="20">
        <f t="shared" ca="1" si="52"/>
        <v>129</v>
      </c>
      <c r="E699" s="20">
        <v>1</v>
      </c>
      <c r="H699" s="20">
        <f t="shared" si="53"/>
        <v>8</v>
      </c>
      <c r="M699" s="20">
        <v>698</v>
      </c>
    </row>
    <row r="700" spans="1:13" x14ac:dyDescent="0.15">
      <c r="A700" s="20">
        <f t="shared" si="55"/>
        <v>28</v>
      </c>
      <c r="B700" s="20">
        <f t="shared" si="54"/>
        <v>2805</v>
      </c>
      <c r="C700" s="20">
        <f t="shared" ca="1" si="51"/>
        <v>50060</v>
      </c>
      <c r="D700" s="20">
        <f t="shared" ca="1" si="52"/>
        <v>32</v>
      </c>
      <c r="E700" s="20">
        <v>1</v>
      </c>
      <c r="H700" s="20">
        <f t="shared" si="53"/>
        <v>11</v>
      </c>
      <c r="M700" s="20">
        <v>699</v>
      </c>
    </row>
    <row r="701" spans="1:13" x14ac:dyDescent="0.15">
      <c r="A701" s="20">
        <f t="shared" si="55"/>
        <v>28</v>
      </c>
      <c r="B701" s="20">
        <f t="shared" si="54"/>
        <v>2805</v>
      </c>
      <c r="C701" s="20">
        <f t="shared" ca="1" si="51"/>
        <v>50071</v>
      </c>
      <c r="D701" s="20">
        <f t="shared" ca="1" si="52"/>
        <v>1</v>
      </c>
      <c r="E701" s="20">
        <v>1</v>
      </c>
      <c r="H701" s="20">
        <f t="shared" si="53"/>
        <v>14</v>
      </c>
      <c r="M701" s="20">
        <v>700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701"/>
  <sheetViews>
    <sheetView workbookViewId="0">
      <selection activeCell="C9" sqref="C9"/>
    </sheetView>
  </sheetViews>
  <sheetFormatPr defaultRowHeight="12.75" x14ac:dyDescent="0.15"/>
  <cols>
    <col min="1" max="16384" width="9" style="20"/>
  </cols>
  <sheetData>
    <row r="1" spans="1:13" x14ac:dyDescent="0.15">
      <c r="A1" s="20" t="s">
        <v>904</v>
      </c>
      <c r="B1" s="20" t="s">
        <v>905</v>
      </c>
      <c r="C1" s="20" t="s">
        <v>909</v>
      </c>
      <c r="D1" s="20" t="s">
        <v>906</v>
      </c>
      <c r="E1" s="20" t="s">
        <v>907</v>
      </c>
      <c r="M1" s="20" t="s">
        <v>903</v>
      </c>
    </row>
    <row r="2" spans="1:13" x14ac:dyDescent="0.15">
      <c r="A2" s="20">
        <f>collect!A2</f>
        <v>1</v>
      </c>
      <c r="B2" s="20">
        <f>collect!B2</f>
        <v>101</v>
      </c>
      <c r="C2" s="20">
        <f t="shared" ref="C2:C65" si="0">VLOOKUP(B2,plan2,H2,FALSE)</f>
        <v>50001</v>
      </c>
      <c r="D2" s="20">
        <f t="shared" ref="D2:D65" si="1">VLOOKUP(C2,marking,9,FALSE)</f>
        <v>181</v>
      </c>
      <c r="E2" s="20">
        <v>1</v>
      </c>
      <c r="H2" s="20">
        <v>2</v>
      </c>
      <c r="M2" s="20">
        <v>1</v>
      </c>
    </row>
    <row r="3" spans="1:13" x14ac:dyDescent="0.15">
      <c r="A3" s="20">
        <f>collect!A3</f>
        <v>1</v>
      </c>
      <c r="B3" s="20">
        <f>collect!B3</f>
        <v>101</v>
      </c>
      <c r="C3" s="20">
        <f t="shared" ca="1" si="0"/>
        <v>50031</v>
      </c>
      <c r="D3" s="20">
        <f t="shared" ca="1" si="1"/>
        <v>181</v>
      </c>
      <c r="E3" s="20">
        <v>1</v>
      </c>
      <c r="H3" s="20">
        <v>5</v>
      </c>
      <c r="M3" s="20">
        <v>2</v>
      </c>
    </row>
    <row r="4" spans="1:13" x14ac:dyDescent="0.15">
      <c r="A4" s="20">
        <f>collect!A4</f>
        <v>1</v>
      </c>
      <c r="B4" s="20">
        <f>collect!B4</f>
        <v>101</v>
      </c>
      <c r="C4" s="20">
        <f t="shared" ca="1" si="0"/>
        <v>50009</v>
      </c>
      <c r="D4" s="20">
        <f t="shared" ca="1" si="1"/>
        <v>181</v>
      </c>
      <c r="E4" s="20">
        <v>1</v>
      </c>
      <c r="H4" s="20">
        <v>8</v>
      </c>
      <c r="M4" s="20">
        <v>3</v>
      </c>
    </row>
    <row r="5" spans="1:13" x14ac:dyDescent="0.15">
      <c r="A5" s="20">
        <f>collect!A5</f>
        <v>1</v>
      </c>
      <c r="B5" s="20">
        <f>collect!B5</f>
        <v>101</v>
      </c>
      <c r="C5" s="20">
        <f t="shared" ca="1" si="0"/>
        <v>50035</v>
      </c>
      <c r="D5" s="20">
        <f t="shared" ca="1" si="1"/>
        <v>181</v>
      </c>
      <c r="E5" s="20">
        <v>1</v>
      </c>
      <c r="H5" s="20">
        <v>11</v>
      </c>
      <c r="M5" s="20">
        <v>4</v>
      </c>
    </row>
    <row r="6" spans="1:13" x14ac:dyDescent="0.15">
      <c r="A6" s="20">
        <f>collect!A6</f>
        <v>1</v>
      </c>
      <c r="B6" s="20">
        <f>collect!B6</f>
        <v>101</v>
      </c>
      <c r="C6" s="20">
        <f t="shared" ca="1" si="0"/>
        <v>50031</v>
      </c>
      <c r="D6" s="20">
        <f t="shared" ca="1" si="1"/>
        <v>181</v>
      </c>
      <c r="E6" s="20">
        <v>1</v>
      </c>
      <c r="H6" s="20">
        <v>14</v>
      </c>
      <c r="M6" s="20">
        <v>5</v>
      </c>
    </row>
    <row r="7" spans="1:13" x14ac:dyDescent="0.15">
      <c r="A7" s="20">
        <f>collect!A7</f>
        <v>1</v>
      </c>
      <c r="B7" s="20">
        <f>collect!B7</f>
        <v>102</v>
      </c>
      <c r="C7" s="20">
        <f t="shared" si="0"/>
        <v>50005</v>
      </c>
      <c r="D7" s="20">
        <f t="shared" si="1"/>
        <v>181</v>
      </c>
      <c r="E7" s="20">
        <v>1</v>
      </c>
      <c r="H7" s="20">
        <f>H2</f>
        <v>2</v>
      </c>
      <c r="M7" s="20">
        <v>6</v>
      </c>
    </row>
    <row r="8" spans="1:13" x14ac:dyDescent="0.15">
      <c r="A8" s="20">
        <f>collect!A8</f>
        <v>1</v>
      </c>
      <c r="B8" s="20">
        <f>collect!B8</f>
        <v>102</v>
      </c>
      <c r="C8" s="20">
        <f t="shared" ca="1" si="0"/>
        <v>50009</v>
      </c>
      <c r="D8" s="20">
        <f t="shared" ca="1" si="1"/>
        <v>181</v>
      </c>
      <c r="E8" s="20">
        <v>1</v>
      </c>
      <c r="H8" s="20">
        <f t="shared" ref="H8:H71" si="2">H3</f>
        <v>5</v>
      </c>
      <c r="M8" s="20">
        <v>7</v>
      </c>
    </row>
    <row r="9" spans="1:13" x14ac:dyDescent="0.15">
      <c r="A9" s="20">
        <f>collect!A9</f>
        <v>1</v>
      </c>
      <c r="B9" s="20">
        <f>collect!B9</f>
        <v>102</v>
      </c>
      <c r="C9" s="20">
        <f t="shared" ca="1" si="0"/>
        <v>50013</v>
      </c>
      <c r="D9" s="20">
        <f t="shared" ca="1" si="1"/>
        <v>181</v>
      </c>
      <c r="E9" s="20">
        <v>1</v>
      </c>
      <c r="H9" s="20">
        <f t="shared" si="2"/>
        <v>8</v>
      </c>
      <c r="M9" s="20">
        <v>8</v>
      </c>
    </row>
    <row r="10" spans="1:13" x14ac:dyDescent="0.15">
      <c r="A10" s="20">
        <f>collect!A10</f>
        <v>1</v>
      </c>
      <c r="B10" s="20">
        <f>collect!B10</f>
        <v>102</v>
      </c>
      <c r="C10" s="20">
        <f t="shared" ca="1" si="0"/>
        <v>50015</v>
      </c>
      <c r="D10" s="20">
        <f t="shared" ca="1" si="1"/>
        <v>181</v>
      </c>
      <c r="E10" s="20">
        <v>1</v>
      </c>
      <c r="H10" s="20">
        <f t="shared" si="2"/>
        <v>11</v>
      </c>
      <c r="M10" s="20">
        <v>9</v>
      </c>
    </row>
    <row r="11" spans="1:13" x14ac:dyDescent="0.15">
      <c r="A11" s="20">
        <f>collect!A11</f>
        <v>1</v>
      </c>
      <c r="B11" s="20">
        <f>collect!B11</f>
        <v>102</v>
      </c>
      <c r="C11" s="20">
        <f t="shared" ca="1" si="0"/>
        <v>50005</v>
      </c>
      <c r="D11" s="20">
        <f t="shared" ca="1" si="1"/>
        <v>181</v>
      </c>
      <c r="E11" s="20">
        <v>1</v>
      </c>
      <c r="H11" s="20">
        <f t="shared" si="2"/>
        <v>14</v>
      </c>
      <c r="M11" s="20">
        <v>10</v>
      </c>
    </row>
    <row r="12" spans="1:13" x14ac:dyDescent="0.15">
      <c r="A12" s="20">
        <f>collect!A12</f>
        <v>1</v>
      </c>
      <c r="B12" s="20">
        <f>collect!B12</f>
        <v>103</v>
      </c>
      <c r="C12" s="20">
        <f t="shared" si="0"/>
        <v>50009</v>
      </c>
      <c r="D12" s="20">
        <f t="shared" si="1"/>
        <v>181</v>
      </c>
      <c r="E12" s="20">
        <v>1</v>
      </c>
      <c r="H12" s="20">
        <f t="shared" si="2"/>
        <v>2</v>
      </c>
      <c r="M12" s="20">
        <v>11</v>
      </c>
    </row>
    <row r="13" spans="1:13" x14ac:dyDescent="0.15">
      <c r="A13" s="20">
        <f>collect!A13</f>
        <v>1</v>
      </c>
      <c r="B13" s="20">
        <f>collect!B13</f>
        <v>103</v>
      </c>
      <c r="C13" s="20">
        <f t="shared" ca="1" si="0"/>
        <v>50015</v>
      </c>
      <c r="D13" s="20">
        <f t="shared" ca="1" si="1"/>
        <v>181</v>
      </c>
      <c r="E13" s="20">
        <v>1</v>
      </c>
      <c r="H13" s="20">
        <f t="shared" si="2"/>
        <v>5</v>
      </c>
      <c r="M13" s="20">
        <v>12</v>
      </c>
    </row>
    <row r="14" spans="1:13" x14ac:dyDescent="0.15">
      <c r="A14" s="20">
        <f>collect!A14</f>
        <v>1</v>
      </c>
      <c r="B14" s="20">
        <f>collect!B14</f>
        <v>103</v>
      </c>
      <c r="C14" s="20">
        <f t="shared" ca="1" si="0"/>
        <v>50009</v>
      </c>
      <c r="D14" s="20">
        <f t="shared" ca="1" si="1"/>
        <v>181</v>
      </c>
      <c r="E14" s="20">
        <v>1</v>
      </c>
      <c r="H14" s="20">
        <f t="shared" si="2"/>
        <v>8</v>
      </c>
      <c r="M14" s="20">
        <v>13</v>
      </c>
    </row>
    <row r="15" spans="1:13" x14ac:dyDescent="0.15">
      <c r="A15" s="20">
        <f>collect!A15</f>
        <v>1</v>
      </c>
      <c r="B15" s="20">
        <f>collect!B15</f>
        <v>103</v>
      </c>
      <c r="C15" s="20">
        <f t="shared" ca="1" si="0"/>
        <v>50015</v>
      </c>
      <c r="D15" s="20">
        <f t="shared" ca="1" si="1"/>
        <v>181</v>
      </c>
      <c r="E15" s="20">
        <v>1</v>
      </c>
      <c r="H15" s="20">
        <f t="shared" si="2"/>
        <v>11</v>
      </c>
      <c r="M15" s="20">
        <v>14</v>
      </c>
    </row>
    <row r="16" spans="1:13" x14ac:dyDescent="0.15">
      <c r="A16" s="20">
        <f>collect!A16</f>
        <v>1</v>
      </c>
      <c r="B16" s="20">
        <f>collect!B16</f>
        <v>103</v>
      </c>
      <c r="C16" s="20">
        <f t="shared" ca="1" si="0"/>
        <v>50005</v>
      </c>
      <c r="D16" s="20">
        <f t="shared" ca="1" si="1"/>
        <v>181</v>
      </c>
      <c r="E16" s="20">
        <v>1</v>
      </c>
      <c r="H16" s="20">
        <f t="shared" si="2"/>
        <v>14</v>
      </c>
      <c r="M16" s="20">
        <v>15</v>
      </c>
    </row>
    <row r="17" spans="1:13" x14ac:dyDescent="0.15">
      <c r="A17" s="20">
        <f>collect!A17</f>
        <v>1</v>
      </c>
      <c r="B17" s="20">
        <f>collect!B17</f>
        <v>104</v>
      </c>
      <c r="C17" s="20">
        <f t="shared" si="0"/>
        <v>50013</v>
      </c>
      <c r="D17" s="20">
        <f t="shared" si="1"/>
        <v>181</v>
      </c>
      <c r="E17" s="20">
        <v>1</v>
      </c>
      <c r="H17" s="20">
        <f t="shared" si="2"/>
        <v>2</v>
      </c>
      <c r="M17" s="20">
        <v>16</v>
      </c>
    </row>
    <row r="18" spans="1:13" x14ac:dyDescent="0.15">
      <c r="A18" s="20">
        <f>collect!A18</f>
        <v>1</v>
      </c>
      <c r="B18" s="20">
        <f>collect!B18</f>
        <v>104</v>
      </c>
      <c r="C18" s="20">
        <f t="shared" ca="1" si="0"/>
        <v>50035</v>
      </c>
      <c r="D18" s="20">
        <f t="shared" ca="1" si="1"/>
        <v>181</v>
      </c>
      <c r="E18" s="20">
        <v>1</v>
      </c>
      <c r="H18" s="20">
        <f t="shared" si="2"/>
        <v>5</v>
      </c>
      <c r="M18" s="20">
        <v>17</v>
      </c>
    </row>
    <row r="19" spans="1:13" x14ac:dyDescent="0.15">
      <c r="A19" s="20">
        <f>collect!A19</f>
        <v>1</v>
      </c>
      <c r="B19" s="20">
        <f>collect!B19</f>
        <v>104</v>
      </c>
      <c r="C19" s="20">
        <f t="shared" ca="1" si="0"/>
        <v>50005</v>
      </c>
      <c r="D19" s="20">
        <f t="shared" ca="1" si="1"/>
        <v>181</v>
      </c>
      <c r="E19" s="20">
        <v>1</v>
      </c>
      <c r="H19" s="20">
        <f t="shared" si="2"/>
        <v>8</v>
      </c>
      <c r="M19" s="20">
        <v>18</v>
      </c>
    </row>
    <row r="20" spans="1:13" x14ac:dyDescent="0.15">
      <c r="A20" s="20">
        <f>collect!A20</f>
        <v>1</v>
      </c>
      <c r="B20" s="20">
        <f>collect!B20</f>
        <v>104</v>
      </c>
      <c r="C20" s="20">
        <f t="shared" ca="1" si="0"/>
        <v>50013</v>
      </c>
      <c r="D20" s="20">
        <f t="shared" ca="1" si="1"/>
        <v>181</v>
      </c>
      <c r="E20" s="20">
        <v>1</v>
      </c>
      <c r="H20" s="20">
        <f t="shared" si="2"/>
        <v>11</v>
      </c>
      <c r="M20" s="20">
        <v>19</v>
      </c>
    </row>
    <row r="21" spans="1:13" x14ac:dyDescent="0.15">
      <c r="A21" s="20">
        <f>collect!A21</f>
        <v>1</v>
      </c>
      <c r="B21" s="20">
        <f>collect!B21</f>
        <v>104</v>
      </c>
      <c r="C21" s="20">
        <f t="shared" ca="1" si="0"/>
        <v>50009</v>
      </c>
      <c r="D21" s="20">
        <f t="shared" ca="1" si="1"/>
        <v>181</v>
      </c>
      <c r="E21" s="20">
        <v>1</v>
      </c>
      <c r="H21" s="20">
        <f t="shared" si="2"/>
        <v>14</v>
      </c>
      <c r="M21" s="20">
        <v>20</v>
      </c>
    </row>
    <row r="22" spans="1:13" x14ac:dyDescent="0.15">
      <c r="A22" s="20">
        <f>collect!A22</f>
        <v>1</v>
      </c>
      <c r="B22" s="20">
        <f>collect!B22</f>
        <v>105</v>
      </c>
      <c r="C22" s="20">
        <f t="shared" si="0"/>
        <v>50015</v>
      </c>
      <c r="D22" s="20">
        <f t="shared" si="1"/>
        <v>181</v>
      </c>
      <c r="E22" s="20">
        <v>1</v>
      </c>
      <c r="H22" s="20">
        <f t="shared" si="2"/>
        <v>2</v>
      </c>
      <c r="M22" s="20">
        <v>21</v>
      </c>
    </row>
    <row r="23" spans="1:13" x14ac:dyDescent="0.15">
      <c r="A23" s="20">
        <f>collect!A23</f>
        <v>1</v>
      </c>
      <c r="B23" s="20">
        <f>collect!B23</f>
        <v>105</v>
      </c>
      <c r="C23" s="20">
        <f t="shared" ca="1" si="0"/>
        <v>50001</v>
      </c>
      <c r="D23" s="20">
        <f t="shared" ca="1" si="1"/>
        <v>181</v>
      </c>
      <c r="E23" s="20">
        <v>1</v>
      </c>
      <c r="H23" s="20">
        <f t="shared" si="2"/>
        <v>5</v>
      </c>
      <c r="M23" s="20">
        <v>22</v>
      </c>
    </row>
    <row r="24" spans="1:13" x14ac:dyDescent="0.15">
      <c r="A24" s="20">
        <f>collect!A24</f>
        <v>1</v>
      </c>
      <c r="B24" s="20">
        <f>collect!B24</f>
        <v>105</v>
      </c>
      <c r="C24" s="20">
        <f t="shared" ca="1" si="0"/>
        <v>50035</v>
      </c>
      <c r="D24" s="20">
        <f t="shared" ca="1" si="1"/>
        <v>181</v>
      </c>
      <c r="E24" s="20">
        <v>1</v>
      </c>
      <c r="H24" s="20">
        <f t="shared" si="2"/>
        <v>8</v>
      </c>
      <c r="M24" s="20">
        <v>23</v>
      </c>
    </row>
    <row r="25" spans="1:13" x14ac:dyDescent="0.15">
      <c r="A25" s="20">
        <f>collect!A25</f>
        <v>1</v>
      </c>
      <c r="B25" s="20">
        <f>collect!B25</f>
        <v>105</v>
      </c>
      <c r="C25" s="20">
        <f t="shared" ca="1" si="0"/>
        <v>50001</v>
      </c>
      <c r="D25" s="20">
        <f t="shared" ca="1" si="1"/>
        <v>181</v>
      </c>
      <c r="E25" s="20">
        <v>1</v>
      </c>
      <c r="H25" s="20">
        <f t="shared" si="2"/>
        <v>11</v>
      </c>
      <c r="M25" s="20">
        <v>24</v>
      </c>
    </row>
    <row r="26" spans="1:13" x14ac:dyDescent="0.15">
      <c r="A26" s="20">
        <f>collect!A26</f>
        <v>1</v>
      </c>
      <c r="B26" s="20">
        <f>collect!B26</f>
        <v>105</v>
      </c>
      <c r="C26" s="20">
        <f t="shared" ca="1" si="0"/>
        <v>50009</v>
      </c>
      <c r="D26" s="20">
        <f t="shared" ca="1" si="1"/>
        <v>181</v>
      </c>
      <c r="E26" s="20">
        <v>1</v>
      </c>
      <c r="H26" s="20">
        <f t="shared" si="2"/>
        <v>14</v>
      </c>
      <c r="M26" s="20">
        <v>25</v>
      </c>
    </row>
    <row r="27" spans="1:13" x14ac:dyDescent="0.15">
      <c r="A27" s="20">
        <f>collect!A27</f>
        <v>2</v>
      </c>
      <c r="B27" s="20">
        <f>collect!B27</f>
        <v>201</v>
      </c>
      <c r="C27" s="20">
        <f t="shared" si="0"/>
        <v>50031</v>
      </c>
      <c r="D27" s="20">
        <f t="shared" si="1"/>
        <v>181</v>
      </c>
      <c r="E27" s="20">
        <v>1</v>
      </c>
      <c r="H27" s="20">
        <f t="shared" si="2"/>
        <v>2</v>
      </c>
      <c r="M27" s="20">
        <v>26</v>
      </c>
    </row>
    <row r="28" spans="1:13" x14ac:dyDescent="0.15">
      <c r="A28" s="20">
        <f>collect!A28</f>
        <v>2</v>
      </c>
      <c r="B28" s="20">
        <f>collect!B28</f>
        <v>201</v>
      </c>
      <c r="C28" s="20">
        <f t="shared" ca="1" si="0"/>
        <v>50031</v>
      </c>
      <c r="D28" s="20">
        <f t="shared" ca="1" si="1"/>
        <v>181</v>
      </c>
      <c r="E28" s="20">
        <v>1</v>
      </c>
      <c r="H28" s="20">
        <f t="shared" si="2"/>
        <v>5</v>
      </c>
      <c r="M28" s="20">
        <v>27</v>
      </c>
    </row>
    <row r="29" spans="1:13" x14ac:dyDescent="0.15">
      <c r="A29" s="20">
        <f>collect!A29</f>
        <v>2</v>
      </c>
      <c r="B29" s="20">
        <f>collect!B29</f>
        <v>201</v>
      </c>
      <c r="C29" s="20">
        <f t="shared" ca="1" si="0"/>
        <v>50015</v>
      </c>
      <c r="D29" s="20">
        <f t="shared" ca="1" si="1"/>
        <v>181</v>
      </c>
      <c r="E29" s="20">
        <v>1</v>
      </c>
      <c r="H29" s="20">
        <f t="shared" si="2"/>
        <v>8</v>
      </c>
      <c r="M29" s="20">
        <v>28</v>
      </c>
    </row>
    <row r="30" spans="1:13" x14ac:dyDescent="0.15">
      <c r="A30" s="20">
        <f>collect!A30</f>
        <v>2</v>
      </c>
      <c r="B30" s="20">
        <f>collect!B30</f>
        <v>201</v>
      </c>
      <c r="C30" s="20">
        <f t="shared" ca="1" si="0"/>
        <v>50013</v>
      </c>
      <c r="D30" s="20">
        <f t="shared" ca="1" si="1"/>
        <v>181</v>
      </c>
      <c r="E30" s="20">
        <v>1</v>
      </c>
      <c r="H30" s="20">
        <f t="shared" si="2"/>
        <v>11</v>
      </c>
      <c r="M30" s="20">
        <v>29</v>
      </c>
    </row>
    <row r="31" spans="1:13" x14ac:dyDescent="0.15">
      <c r="A31" s="20">
        <f>collect!A31</f>
        <v>2</v>
      </c>
      <c r="B31" s="20">
        <f>collect!B31</f>
        <v>201</v>
      </c>
      <c r="C31" s="20">
        <f t="shared" ca="1" si="0"/>
        <v>50001</v>
      </c>
      <c r="D31" s="20">
        <f t="shared" ca="1" si="1"/>
        <v>181</v>
      </c>
      <c r="E31" s="20">
        <v>1</v>
      </c>
      <c r="H31" s="20">
        <f t="shared" si="2"/>
        <v>14</v>
      </c>
      <c r="M31" s="20">
        <v>30</v>
      </c>
    </row>
    <row r="32" spans="1:13" x14ac:dyDescent="0.15">
      <c r="A32" s="20">
        <f>collect!A32</f>
        <v>2</v>
      </c>
      <c r="B32" s="20">
        <f>collect!B32</f>
        <v>202</v>
      </c>
      <c r="C32" s="20">
        <f t="shared" si="0"/>
        <v>50035</v>
      </c>
      <c r="D32" s="20">
        <f t="shared" si="1"/>
        <v>181</v>
      </c>
      <c r="E32" s="20">
        <v>1</v>
      </c>
      <c r="H32" s="20">
        <f t="shared" si="2"/>
        <v>2</v>
      </c>
      <c r="M32" s="20">
        <v>31</v>
      </c>
    </row>
    <row r="33" spans="1:13" x14ac:dyDescent="0.15">
      <c r="A33" s="20">
        <f>collect!A33</f>
        <v>2</v>
      </c>
      <c r="B33" s="20">
        <f>collect!B33</f>
        <v>202</v>
      </c>
      <c r="C33" s="20">
        <f t="shared" ca="1" si="0"/>
        <v>50005</v>
      </c>
      <c r="D33" s="20">
        <f t="shared" ca="1" si="1"/>
        <v>181</v>
      </c>
      <c r="E33" s="20">
        <v>1</v>
      </c>
      <c r="H33" s="20">
        <f t="shared" si="2"/>
        <v>5</v>
      </c>
      <c r="M33" s="20">
        <v>32</v>
      </c>
    </row>
    <row r="34" spans="1:13" x14ac:dyDescent="0.15">
      <c r="A34" s="20">
        <f>collect!A34</f>
        <v>2</v>
      </c>
      <c r="B34" s="20">
        <f>collect!B34</f>
        <v>202</v>
      </c>
      <c r="C34" s="20">
        <f t="shared" ca="1" si="0"/>
        <v>50035</v>
      </c>
      <c r="D34" s="20">
        <f t="shared" ca="1" si="1"/>
        <v>181</v>
      </c>
      <c r="E34" s="20">
        <v>1</v>
      </c>
      <c r="H34" s="20">
        <f t="shared" si="2"/>
        <v>8</v>
      </c>
      <c r="M34" s="20">
        <v>33</v>
      </c>
    </row>
    <row r="35" spans="1:13" x14ac:dyDescent="0.15">
      <c r="A35" s="20">
        <f>collect!A35</f>
        <v>2</v>
      </c>
      <c r="B35" s="20">
        <f>collect!B35</f>
        <v>202</v>
      </c>
      <c r="C35" s="20">
        <f t="shared" ca="1" si="0"/>
        <v>50015</v>
      </c>
      <c r="D35" s="20">
        <f t="shared" ca="1" si="1"/>
        <v>181</v>
      </c>
      <c r="E35" s="20">
        <v>1</v>
      </c>
      <c r="H35" s="20">
        <f t="shared" si="2"/>
        <v>11</v>
      </c>
      <c r="M35" s="20">
        <v>34</v>
      </c>
    </row>
    <row r="36" spans="1:13" x14ac:dyDescent="0.15">
      <c r="A36" s="20">
        <f>collect!A36</f>
        <v>2</v>
      </c>
      <c r="B36" s="20">
        <f>collect!B36</f>
        <v>202</v>
      </c>
      <c r="C36" s="20">
        <f t="shared" ca="1" si="0"/>
        <v>50035</v>
      </c>
      <c r="D36" s="20">
        <f t="shared" ca="1" si="1"/>
        <v>181</v>
      </c>
      <c r="E36" s="20">
        <v>1</v>
      </c>
      <c r="H36" s="20">
        <f t="shared" si="2"/>
        <v>14</v>
      </c>
      <c r="M36" s="20">
        <v>35</v>
      </c>
    </row>
    <row r="37" spans="1:13" x14ac:dyDescent="0.15">
      <c r="A37" s="20">
        <f>collect!A37</f>
        <v>2</v>
      </c>
      <c r="B37" s="20">
        <f>collect!B37</f>
        <v>203</v>
      </c>
      <c r="C37" s="20">
        <f t="shared" si="0"/>
        <v>50002</v>
      </c>
      <c r="D37" s="20">
        <f t="shared" si="1"/>
        <v>129</v>
      </c>
      <c r="E37" s="20">
        <v>1</v>
      </c>
      <c r="H37" s="20">
        <f t="shared" si="2"/>
        <v>2</v>
      </c>
      <c r="M37" s="20">
        <v>36</v>
      </c>
    </row>
    <row r="38" spans="1:13" x14ac:dyDescent="0.15">
      <c r="A38" s="20">
        <f>collect!A38</f>
        <v>2</v>
      </c>
      <c r="B38" s="20">
        <f>collect!B38</f>
        <v>203</v>
      </c>
      <c r="C38" s="20">
        <f t="shared" ca="1" si="0"/>
        <v>50031</v>
      </c>
      <c r="D38" s="20">
        <f t="shared" ca="1" si="1"/>
        <v>181</v>
      </c>
      <c r="E38" s="20">
        <v>1</v>
      </c>
      <c r="H38" s="20">
        <f t="shared" si="2"/>
        <v>5</v>
      </c>
      <c r="M38" s="20">
        <v>37</v>
      </c>
    </row>
    <row r="39" spans="1:13" x14ac:dyDescent="0.15">
      <c r="A39" s="20">
        <f>collect!A39</f>
        <v>2</v>
      </c>
      <c r="B39" s="20">
        <f>collect!B39</f>
        <v>203</v>
      </c>
      <c r="C39" s="20">
        <f t="shared" ca="1" si="0"/>
        <v>50009</v>
      </c>
      <c r="D39" s="20">
        <f t="shared" ca="1" si="1"/>
        <v>181</v>
      </c>
      <c r="E39" s="20">
        <v>1</v>
      </c>
      <c r="H39" s="20">
        <f t="shared" si="2"/>
        <v>8</v>
      </c>
      <c r="M39" s="20">
        <v>38</v>
      </c>
    </row>
    <row r="40" spans="1:13" x14ac:dyDescent="0.15">
      <c r="A40" s="20">
        <f>collect!A40</f>
        <v>2</v>
      </c>
      <c r="B40" s="20">
        <f>collect!B40</f>
        <v>203</v>
      </c>
      <c r="C40" s="20">
        <f t="shared" ca="1" si="0"/>
        <v>50002</v>
      </c>
      <c r="D40" s="20">
        <f t="shared" ca="1" si="1"/>
        <v>129</v>
      </c>
      <c r="E40" s="20">
        <v>1</v>
      </c>
      <c r="H40" s="20">
        <f t="shared" si="2"/>
        <v>11</v>
      </c>
      <c r="M40" s="20">
        <v>39</v>
      </c>
    </row>
    <row r="41" spans="1:13" x14ac:dyDescent="0.15">
      <c r="A41" s="20">
        <f>collect!A41</f>
        <v>2</v>
      </c>
      <c r="B41" s="20">
        <f>collect!B41</f>
        <v>203</v>
      </c>
      <c r="C41" s="20">
        <f t="shared" ca="1" si="0"/>
        <v>50035</v>
      </c>
      <c r="D41" s="20">
        <f t="shared" ca="1" si="1"/>
        <v>181</v>
      </c>
      <c r="E41" s="20">
        <v>1</v>
      </c>
      <c r="H41" s="20">
        <f t="shared" si="2"/>
        <v>14</v>
      </c>
      <c r="M41" s="20">
        <v>40</v>
      </c>
    </row>
    <row r="42" spans="1:13" x14ac:dyDescent="0.15">
      <c r="A42" s="20">
        <f>collect!A42</f>
        <v>2</v>
      </c>
      <c r="B42" s="20">
        <f>collect!B42</f>
        <v>204</v>
      </c>
      <c r="C42" s="20">
        <f t="shared" si="0"/>
        <v>50006</v>
      </c>
      <c r="D42" s="20">
        <f t="shared" si="1"/>
        <v>129</v>
      </c>
      <c r="E42" s="20">
        <v>1</v>
      </c>
      <c r="H42" s="20">
        <f t="shared" si="2"/>
        <v>2</v>
      </c>
      <c r="M42" s="20">
        <v>41</v>
      </c>
    </row>
    <row r="43" spans="1:13" x14ac:dyDescent="0.15">
      <c r="A43" s="20">
        <f>collect!A43</f>
        <v>2</v>
      </c>
      <c r="B43" s="20">
        <f>collect!B43</f>
        <v>204</v>
      </c>
      <c r="C43" s="20">
        <f t="shared" ca="1" si="0"/>
        <v>50002</v>
      </c>
      <c r="D43" s="20">
        <f t="shared" ca="1" si="1"/>
        <v>129</v>
      </c>
      <c r="E43" s="20">
        <v>1</v>
      </c>
      <c r="H43" s="20">
        <f t="shared" si="2"/>
        <v>5</v>
      </c>
      <c r="M43" s="20">
        <v>42</v>
      </c>
    </row>
    <row r="44" spans="1:13" x14ac:dyDescent="0.15">
      <c r="A44" s="20">
        <f>collect!A44</f>
        <v>2</v>
      </c>
      <c r="B44" s="20">
        <f>collect!B44</f>
        <v>204</v>
      </c>
      <c r="C44" s="20">
        <f t="shared" ca="1" si="0"/>
        <v>50010</v>
      </c>
      <c r="D44" s="20">
        <f t="shared" ca="1" si="1"/>
        <v>129</v>
      </c>
      <c r="E44" s="20">
        <v>1</v>
      </c>
      <c r="H44" s="20">
        <f t="shared" si="2"/>
        <v>8</v>
      </c>
      <c r="M44" s="20">
        <v>43</v>
      </c>
    </row>
    <row r="45" spans="1:13" x14ac:dyDescent="0.15">
      <c r="A45" s="20">
        <f>collect!A45</f>
        <v>2</v>
      </c>
      <c r="B45" s="20">
        <f>collect!B45</f>
        <v>204</v>
      </c>
      <c r="C45" s="20">
        <f t="shared" ca="1" si="0"/>
        <v>50035</v>
      </c>
      <c r="D45" s="20">
        <f t="shared" ca="1" si="1"/>
        <v>181</v>
      </c>
      <c r="E45" s="20">
        <v>1</v>
      </c>
      <c r="H45" s="20">
        <f t="shared" si="2"/>
        <v>11</v>
      </c>
      <c r="M45" s="20">
        <v>44</v>
      </c>
    </row>
    <row r="46" spans="1:13" x14ac:dyDescent="0.15">
      <c r="A46" s="20">
        <f>collect!A46</f>
        <v>2</v>
      </c>
      <c r="B46" s="20">
        <f>collect!B46</f>
        <v>204</v>
      </c>
      <c r="C46" s="20">
        <f t="shared" ca="1" si="0"/>
        <v>50087</v>
      </c>
      <c r="D46" s="20">
        <f t="shared" ca="1" si="1"/>
        <v>129</v>
      </c>
      <c r="E46" s="20">
        <v>1</v>
      </c>
      <c r="H46" s="20">
        <f t="shared" si="2"/>
        <v>14</v>
      </c>
      <c r="M46" s="20">
        <v>45</v>
      </c>
    </row>
    <row r="47" spans="1:13" x14ac:dyDescent="0.15">
      <c r="A47" s="20">
        <f>collect!A47</f>
        <v>2</v>
      </c>
      <c r="B47" s="20">
        <f>collect!B47</f>
        <v>205</v>
      </c>
      <c r="C47" s="20">
        <f t="shared" si="0"/>
        <v>50010</v>
      </c>
      <c r="D47" s="20">
        <f t="shared" si="1"/>
        <v>129</v>
      </c>
      <c r="E47" s="20">
        <v>1</v>
      </c>
      <c r="H47" s="20">
        <f t="shared" si="2"/>
        <v>2</v>
      </c>
      <c r="M47" s="20">
        <v>46</v>
      </c>
    </row>
    <row r="48" spans="1:13" x14ac:dyDescent="0.15">
      <c r="A48" s="20">
        <f>collect!A48</f>
        <v>2</v>
      </c>
      <c r="B48" s="20">
        <f>collect!B48</f>
        <v>205</v>
      </c>
      <c r="C48" s="20">
        <f t="shared" ca="1" si="0"/>
        <v>50009</v>
      </c>
      <c r="D48" s="20">
        <f t="shared" ca="1" si="1"/>
        <v>181</v>
      </c>
      <c r="E48" s="20">
        <v>1</v>
      </c>
      <c r="H48" s="20">
        <f t="shared" si="2"/>
        <v>5</v>
      </c>
      <c r="M48" s="20">
        <v>47</v>
      </c>
    </row>
    <row r="49" spans="1:13" x14ac:dyDescent="0.15">
      <c r="A49" s="20">
        <f>collect!A49</f>
        <v>2</v>
      </c>
      <c r="B49" s="20">
        <f>collect!B49</f>
        <v>205</v>
      </c>
      <c r="C49" s="20">
        <f t="shared" ca="1" si="0"/>
        <v>50087</v>
      </c>
      <c r="D49" s="20">
        <f t="shared" ca="1" si="1"/>
        <v>129</v>
      </c>
      <c r="E49" s="20">
        <v>1</v>
      </c>
      <c r="H49" s="20">
        <f t="shared" si="2"/>
        <v>8</v>
      </c>
      <c r="M49" s="20">
        <v>48</v>
      </c>
    </row>
    <row r="50" spans="1:13" x14ac:dyDescent="0.15">
      <c r="A50" s="20">
        <f>collect!A50</f>
        <v>2</v>
      </c>
      <c r="B50" s="20">
        <f>collect!B50</f>
        <v>205</v>
      </c>
      <c r="C50" s="20">
        <f t="shared" ca="1" si="0"/>
        <v>50087</v>
      </c>
      <c r="D50" s="20">
        <f t="shared" ca="1" si="1"/>
        <v>129</v>
      </c>
      <c r="E50" s="20">
        <v>1</v>
      </c>
      <c r="H50" s="20">
        <f t="shared" si="2"/>
        <v>11</v>
      </c>
      <c r="M50" s="20">
        <v>49</v>
      </c>
    </row>
    <row r="51" spans="1:13" x14ac:dyDescent="0.15">
      <c r="A51" s="20">
        <f>collect!A51</f>
        <v>2</v>
      </c>
      <c r="B51" s="20">
        <f>collect!B51</f>
        <v>205</v>
      </c>
      <c r="C51" s="20">
        <f t="shared" ca="1" si="0"/>
        <v>50009</v>
      </c>
      <c r="D51" s="20">
        <f t="shared" ca="1" si="1"/>
        <v>181</v>
      </c>
      <c r="E51" s="20">
        <v>1</v>
      </c>
      <c r="H51" s="20">
        <f t="shared" si="2"/>
        <v>14</v>
      </c>
      <c r="M51" s="20">
        <v>50</v>
      </c>
    </row>
    <row r="52" spans="1:13" x14ac:dyDescent="0.15">
      <c r="A52" s="20">
        <f>collect!A52</f>
        <v>3</v>
      </c>
      <c r="B52" s="20">
        <f>collect!B52</f>
        <v>301</v>
      </c>
      <c r="C52" s="20">
        <f t="shared" si="0"/>
        <v>50087</v>
      </c>
      <c r="D52" s="20">
        <f t="shared" si="1"/>
        <v>129</v>
      </c>
      <c r="E52" s="20">
        <v>1</v>
      </c>
      <c r="H52" s="20">
        <f t="shared" si="2"/>
        <v>2</v>
      </c>
      <c r="M52" s="20">
        <v>51</v>
      </c>
    </row>
    <row r="53" spans="1:13" x14ac:dyDescent="0.15">
      <c r="A53" s="20">
        <f>collect!A53</f>
        <v>3</v>
      </c>
      <c r="B53" s="20">
        <f>collect!B53</f>
        <v>301</v>
      </c>
      <c r="C53" s="20">
        <f t="shared" ca="1" si="0"/>
        <v>50088</v>
      </c>
      <c r="D53" s="20">
        <f t="shared" ca="1" si="1"/>
        <v>129</v>
      </c>
      <c r="E53" s="20">
        <v>1</v>
      </c>
      <c r="H53" s="20">
        <f t="shared" si="2"/>
        <v>5</v>
      </c>
      <c r="M53" s="20">
        <v>52</v>
      </c>
    </row>
    <row r="54" spans="1:13" x14ac:dyDescent="0.15">
      <c r="A54" s="20">
        <f>collect!A54</f>
        <v>3</v>
      </c>
      <c r="B54" s="20">
        <f>collect!B54</f>
        <v>301</v>
      </c>
      <c r="C54" s="20">
        <f t="shared" ca="1" si="0"/>
        <v>50002</v>
      </c>
      <c r="D54" s="20">
        <f t="shared" ca="1" si="1"/>
        <v>129</v>
      </c>
      <c r="E54" s="20">
        <v>1</v>
      </c>
      <c r="H54" s="20">
        <f t="shared" si="2"/>
        <v>8</v>
      </c>
      <c r="M54" s="20">
        <v>53</v>
      </c>
    </row>
    <row r="55" spans="1:13" x14ac:dyDescent="0.15">
      <c r="A55" s="20">
        <f>collect!A55</f>
        <v>3</v>
      </c>
      <c r="B55" s="20">
        <f>collect!B55</f>
        <v>301</v>
      </c>
      <c r="C55" s="20">
        <f t="shared" ca="1" si="0"/>
        <v>50001</v>
      </c>
      <c r="D55" s="20">
        <f t="shared" ca="1" si="1"/>
        <v>181</v>
      </c>
      <c r="E55" s="20">
        <v>1</v>
      </c>
      <c r="H55" s="20">
        <f t="shared" si="2"/>
        <v>11</v>
      </c>
      <c r="M55" s="20">
        <v>54</v>
      </c>
    </row>
    <row r="56" spans="1:13" x14ac:dyDescent="0.15">
      <c r="A56" s="20">
        <f>collect!A56</f>
        <v>3</v>
      </c>
      <c r="B56" s="20">
        <f>collect!B56</f>
        <v>301</v>
      </c>
      <c r="C56" s="20">
        <f t="shared" ca="1" si="0"/>
        <v>50013</v>
      </c>
      <c r="D56" s="20">
        <f t="shared" ca="1" si="1"/>
        <v>181</v>
      </c>
      <c r="E56" s="20">
        <v>1</v>
      </c>
      <c r="H56" s="20">
        <f t="shared" si="2"/>
        <v>14</v>
      </c>
      <c r="M56" s="20">
        <v>55</v>
      </c>
    </row>
    <row r="57" spans="1:13" x14ac:dyDescent="0.15">
      <c r="A57" s="20">
        <f>collect!A57</f>
        <v>3</v>
      </c>
      <c r="B57" s="20">
        <f>collect!B57</f>
        <v>302</v>
      </c>
      <c r="C57" s="20">
        <f t="shared" si="0"/>
        <v>50088</v>
      </c>
      <c r="D57" s="20">
        <f t="shared" si="1"/>
        <v>129</v>
      </c>
      <c r="E57" s="20">
        <v>1</v>
      </c>
      <c r="H57" s="20">
        <f t="shared" si="2"/>
        <v>2</v>
      </c>
      <c r="M57" s="20">
        <v>56</v>
      </c>
    </row>
    <row r="58" spans="1:13" x14ac:dyDescent="0.15">
      <c r="A58" s="20">
        <f>collect!A58</f>
        <v>3</v>
      </c>
      <c r="B58" s="20">
        <f>collect!B58</f>
        <v>302</v>
      </c>
      <c r="C58" s="20">
        <f t="shared" ca="1" si="0"/>
        <v>50013</v>
      </c>
      <c r="D58" s="20">
        <f t="shared" ca="1" si="1"/>
        <v>181</v>
      </c>
      <c r="E58" s="20">
        <v>1</v>
      </c>
      <c r="H58" s="20">
        <f t="shared" si="2"/>
        <v>5</v>
      </c>
      <c r="M58" s="20">
        <v>57</v>
      </c>
    </row>
    <row r="59" spans="1:13" x14ac:dyDescent="0.15">
      <c r="A59" s="20">
        <f>collect!A59</f>
        <v>3</v>
      </c>
      <c r="B59" s="20">
        <f>collect!B59</f>
        <v>302</v>
      </c>
      <c r="C59" s="20">
        <f t="shared" ca="1" si="0"/>
        <v>50001</v>
      </c>
      <c r="D59" s="20">
        <f t="shared" ca="1" si="1"/>
        <v>181</v>
      </c>
      <c r="E59" s="20">
        <v>1</v>
      </c>
      <c r="H59" s="20">
        <f t="shared" si="2"/>
        <v>8</v>
      </c>
      <c r="M59" s="20">
        <v>58</v>
      </c>
    </row>
    <row r="60" spans="1:13" x14ac:dyDescent="0.15">
      <c r="A60" s="20">
        <f>collect!A60</f>
        <v>3</v>
      </c>
      <c r="B60" s="20">
        <f>collect!B60</f>
        <v>302</v>
      </c>
      <c r="C60" s="20">
        <f t="shared" ca="1" si="0"/>
        <v>50031</v>
      </c>
      <c r="D60" s="20">
        <f t="shared" ca="1" si="1"/>
        <v>181</v>
      </c>
      <c r="E60" s="20">
        <v>1</v>
      </c>
      <c r="H60" s="20">
        <f t="shared" si="2"/>
        <v>11</v>
      </c>
      <c r="M60" s="20">
        <v>59</v>
      </c>
    </row>
    <row r="61" spans="1:13" x14ac:dyDescent="0.15">
      <c r="A61" s="20">
        <f>collect!A61</f>
        <v>3</v>
      </c>
      <c r="B61" s="20">
        <f>collect!B61</f>
        <v>302</v>
      </c>
      <c r="C61" s="20">
        <f t="shared" ca="1" si="0"/>
        <v>50013</v>
      </c>
      <c r="D61" s="20">
        <f t="shared" ca="1" si="1"/>
        <v>181</v>
      </c>
      <c r="E61" s="20">
        <v>1</v>
      </c>
      <c r="H61" s="20">
        <f t="shared" si="2"/>
        <v>14</v>
      </c>
      <c r="M61" s="20">
        <v>60</v>
      </c>
    </row>
    <row r="62" spans="1:13" x14ac:dyDescent="0.15">
      <c r="A62" s="20">
        <f>collect!A62</f>
        <v>3</v>
      </c>
      <c r="B62" s="20">
        <f>collect!B62</f>
        <v>303</v>
      </c>
      <c r="C62" s="20">
        <f t="shared" si="0"/>
        <v>50003</v>
      </c>
      <c r="D62" s="20">
        <f t="shared" si="1"/>
        <v>88</v>
      </c>
      <c r="E62" s="20">
        <v>1</v>
      </c>
      <c r="H62" s="20">
        <f t="shared" si="2"/>
        <v>2</v>
      </c>
      <c r="M62" s="20">
        <v>61</v>
      </c>
    </row>
    <row r="63" spans="1:13" x14ac:dyDescent="0.15">
      <c r="A63" s="20">
        <f>collect!A63</f>
        <v>3</v>
      </c>
      <c r="B63" s="20">
        <f>collect!B63</f>
        <v>303</v>
      </c>
      <c r="C63" s="20">
        <f t="shared" ca="1" si="0"/>
        <v>50035</v>
      </c>
      <c r="D63" s="20">
        <f t="shared" ca="1" si="1"/>
        <v>181</v>
      </c>
      <c r="E63" s="20">
        <v>1</v>
      </c>
      <c r="H63" s="20">
        <f t="shared" si="2"/>
        <v>5</v>
      </c>
      <c r="M63" s="20">
        <v>62</v>
      </c>
    </row>
    <row r="64" spans="1:13" x14ac:dyDescent="0.15">
      <c r="A64" s="20">
        <f>collect!A64</f>
        <v>3</v>
      </c>
      <c r="B64" s="20">
        <f>collect!B64</f>
        <v>303</v>
      </c>
      <c r="C64" s="20">
        <f t="shared" ca="1" si="0"/>
        <v>50019</v>
      </c>
      <c r="D64" s="20">
        <f t="shared" ca="1" si="1"/>
        <v>88</v>
      </c>
      <c r="E64" s="20">
        <v>1</v>
      </c>
      <c r="H64" s="20">
        <f t="shared" si="2"/>
        <v>8</v>
      </c>
      <c r="M64" s="20">
        <v>63</v>
      </c>
    </row>
    <row r="65" spans="1:13" x14ac:dyDescent="0.15">
      <c r="A65" s="20">
        <f>collect!A65</f>
        <v>3</v>
      </c>
      <c r="B65" s="20">
        <f>collect!B65</f>
        <v>303</v>
      </c>
      <c r="C65" s="20">
        <f t="shared" ca="1" si="0"/>
        <v>50015</v>
      </c>
      <c r="D65" s="20">
        <f t="shared" ca="1" si="1"/>
        <v>181</v>
      </c>
      <c r="E65" s="20">
        <v>1</v>
      </c>
      <c r="H65" s="20">
        <f t="shared" si="2"/>
        <v>11</v>
      </c>
      <c r="M65" s="20">
        <v>64</v>
      </c>
    </row>
    <row r="66" spans="1:13" x14ac:dyDescent="0.15">
      <c r="A66" s="20">
        <f>collect!A66</f>
        <v>3</v>
      </c>
      <c r="B66" s="20">
        <f>collect!B66</f>
        <v>303</v>
      </c>
      <c r="C66" s="20">
        <f t="shared" ref="C66:C129" ca="1" si="3">VLOOKUP(B66,plan2,H66,FALSE)</f>
        <v>50024</v>
      </c>
      <c r="D66" s="20">
        <f t="shared" ref="D66:D129" ca="1" si="4">VLOOKUP(C66,marking,9,FALSE)</f>
        <v>88</v>
      </c>
      <c r="E66" s="20">
        <v>1</v>
      </c>
      <c r="H66" s="20">
        <f t="shared" si="2"/>
        <v>14</v>
      </c>
      <c r="M66" s="20">
        <v>65</v>
      </c>
    </row>
    <row r="67" spans="1:13" x14ac:dyDescent="0.15">
      <c r="A67" s="20">
        <f>collect!A67</f>
        <v>3</v>
      </c>
      <c r="B67" s="20">
        <f>collect!B67</f>
        <v>304</v>
      </c>
      <c r="C67" s="20">
        <f t="shared" si="3"/>
        <v>50007</v>
      </c>
      <c r="D67" s="20">
        <f t="shared" si="4"/>
        <v>88</v>
      </c>
      <c r="E67" s="20">
        <v>1</v>
      </c>
      <c r="H67" s="20">
        <f t="shared" si="2"/>
        <v>2</v>
      </c>
      <c r="M67" s="20">
        <v>66</v>
      </c>
    </row>
    <row r="68" spans="1:13" x14ac:dyDescent="0.15">
      <c r="A68" s="20">
        <f>collect!A68</f>
        <v>3</v>
      </c>
      <c r="B68" s="20">
        <f>collect!B68</f>
        <v>304</v>
      </c>
      <c r="C68" s="20">
        <f t="shared" ca="1" si="3"/>
        <v>50006</v>
      </c>
      <c r="D68" s="20">
        <f t="shared" ca="1" si="4"/>
        <v>129</v>
      </c>
      <c r="E68" s="20">
        <v>1</v>
      </c>
      <c r="H68" s="20">
        <f t="shared" si="2"/>
        <v>5</v>
      </c>
      <c r="M68" s="20">
        <v>67</v>
      </c>
    </row>
    <row r="69" spans="1:13" x14ac:dyDescent="0.15">
      <c r="A69" s="20">
        <f>collect!A69</f>
        <v>3</v>
      </c>
      <c r="B69" s="20">
        <f>collect!B69</f>
        <v>304</v>
      </c>
      <c r="C69" s="20">
        <f t="shared" ca="1" si="3"/>
        <v>50036</v>
      </c>
      <c r="D69" s="20">
        <f t="shared" ca="1" si="4"/>
        <v>88</v>
      </c>
      <c r="E69" s="20">
        <v>1</v>
      </c>
      <c r="H69" s="20">
        <f t="shared" si="2"/>
        <v>8</v>
      </c>
      <c r="M69" s="20">
        <v>68</v>
      </c>
    </row>
    <row r="70" spans="1:13" x14ac:dyDescent="0.15">
      <c r="A70" s="20">
        <f>collect!A70</f>
        <v>3</v>
      </c>
      <c r="B70" s="20">
        <f>collect!B70</f>
        <v>304</v>
      </c>
      <c r="C70" s="20">
        <f t="shared" ca="1" si="3"/>
        <v>50018</v>
      </c>
      <c r="D70" s="20">
        <f t="shared" ca="1" si="4"/>
        <v>88</v>
      </c>
      <c r="E70" s="20">
        <v>1</v>
      </c>
      <c r="H70" s="20">
        <f t="shared" si="2"/>
        <v>11</v>
      </c>
      <c r="M70" s="20">
        <v>69</v>
      </c>
    </row>
    <row r="71" spans="1:13" x14ac:dyDescent="0.15">
      <c r="A71" s="20">
        <f>collect!A71</f>
        <v>3</v>
      </c>
      <c r="B71" s="20">
        <f>collect!B71</f>
        <v>304</v>
      </c>
      <c r="C71" s="20">
        <f t="shared" ca="1" si="3"/>
        <v>50088</v>
      </c>
      <c r="D71" s="20">
        <f t="shared" ca="1" si="4"/>
        <v>129</v>
      </c>
      <c r="E71" s="20">
        <v>1</v>
      </c>
      <c r="H71" s="20">
        <f t="shared" si="2"/>
        <v>14</v>
      </c>
      <c r="M71" s="20">
        <v>70</v>
      </c>
    </row>
    <row r="72" spans="1:13" x14ac:dyDescent="0.15">
      <c r="A72" s="20">
        <f>collect!A72</f>
        <v>3</v>
      </c>
      <c r="B72" s="20">
        <f>collect!B72</f>
        <v>305</v>
      </c>
      <c r="C72" s="20">
        <f t="shared" si="3"/>
        <v>50011</v>
      </c>
      <c r="D72" s="20">
        <f t="shared" si="4"/>
        <v>88</v>
      </c>
      <c r="E72" s="20">
        <v>1</v>
      </c>
      <c r="H72" s="20">
        <f t="shared" ref="H72:H135" si="5">H67</f>
        <v>2</v>
      </c>
      <c r="M72" s="20">
        <v>71</v>
      </c>
    </row>
    <row r="73" spans="1:13" x14ac:dyDescent="0.15">
      <c r="A73" s="20">
        <f>collect!A73</f>
        <v>3</v>
      </c>
      <c r="B73" s="20">
        <f>collect!B73</f>
        <v>305</v>
      </c>
      <c r="C73" s="20">
        <f t="shared" ca="1" si="3"/>
        <v>50006</v>
      </c>
      <c r="D73" s="20">
        <f t="shared" ca="1" si="4"/>
        <v>129</v>
      </c>
      <c r="E73" s="20">
        <v>1</v>
      </c>
      <c r="H73" s="20">
        <f t="shared" si="5"/>
        <v>5</v>
      </c>
      <c r="M73" s="20">
        <v>72</v>
      </c>
    </row>
    <row r="74" spans="1:13" x14ac:dyDescent="0.15">
      <c r="A74" s="20">
        <f>collect!A74</f>
        <v>3</v>
      </c>
      <c r="B74" s="20">
        <f>collect!B74</f>
        <v>305</v>
      </c>
      <c r="C74" s="20">
        <f t="shared" ca="1" si="3"/>
        <v>50025</v>
      </c>
      <c r="D74" s="20">
        <f t="shared" ca="1" si="4"/>
        <v>88</v>
      </c>
      <c r="E74" s="20">
        <v>1</v>
      </c>
      <c r="H74" s="20">
        <f t="shared" si="5"/>
        <v>8</v>
      </c>
      <c r="M74" s="20">
        <v>73</v>
      </c>
    </row>
    <row r="75" spans="1:13" x14ac:dyDescent="0.15">
      <c r="A75" s="20">
        <f>collect!A75</f>
        <v>3</v>
      </c>
      <c r="B75" s="20">
        <f>collect!B75</f>
        <v>305</v>
      </c>
      <c r="C75" s="20">
        <f t="shared" ca="1" si="3"/>
        <v>50032</v>
      </c>
      <c r="D75" s="20">
        <f t="shared" ca="1" si="4"/>
        <v>88</v>
      </c>
      <c r="E75" s="20">
        <v>1</v>
      </c>
      <c r="H75" s="20">
        <f t="shared" si="5"/>
        <v>11</v>
      </c>
      <c r="M75" s="20">
        <v>74</v>
      </c>
    </row>
    <row r="76" spans="1:13" x14ac:dyDescent="0.15">
      <c r="A76" s="20">
        <f>collect!A76</f>
        <v>3</v>
      </c>
      <c r="B76" s="20">
        <f>collect!B76</f>
        <v>305</v>
      </c>
      <c r="C76" s="20">
        <f t="shared" ca="1" si="3"/>
        <v>50028</v>
      </c>
      <c r="D76" s="20">
        <f t="shared" ca="1" si="4"/>
        <v>88</v>
      </c>
      <c r="E76" s="20">
        <v>1</v>
      </c>
      <c r="H76" s="20">
        <f t="shared" si="5"/>
        <v>14</v>
      </c>
      <c r="M76" s="20">
        <v>75</v>
      </c>
    </row>
    <row r="77" spans="1:13" x14ac:dyDescent="0.15">
      <c r="A77" s="20">
        <f>collect!A77</f>
        <v>4</v>
      </c>
      <c r="B77" s="20">
        <f>collect!B77</f>
        <v>401</v>
      </c>
      <c r="C77" s="20">
        <f t="shared" si="3"/>
        <v>50014</v>
      </c>
      <c r="D77" s="20">
        <f t="shared" si="4"/>
        <v>88</v>
      </c>
      <c r="E77" s="20">
        <v>1</v>
      </c>
      <c r="H77" s="20">
        <f t="shared" si="5"/>
        <v>2</v>
      </c>
      <c r="M77" s="20">
        <v>76</v>
      </c>
    </row>
    <row r="78" spans="1:13" x14ac:dyDescent="0.15">
      <c r="A78" s="20">
        <f>collect!A78</f>
        <v>4</v>
      </c>
      <c r="B78" s="20">
        <f>collect!B78</f>
        <v>401</v>
      </c>
      <c r="C78" s="20">
        <f t="shared" ca="1" si="3"/>
        <v>50009</v>
      </c>
      <c r="D78" s="20">
        <f t="shared" ca="1" si="4"/>
        <v>181</v>
      </c>
      <c r="E78" s="20">
        <v>1</v>
      </c>
      <c r="H78" s="20">
        <f t="shared" si="5"/>
        <v>5</v>
      </c>
      <c r="M78" s="20">
        <v>77</v>
      </c>
    </row>
    <row r="79" spans="1:13" x14ac:dyDescent="0.15">
      <c r="A79" s="20">
        <f>collect!A79</f>
        <v>4</v>
      </c>
      <c r="B79" s="20">
        <f>collect!B79</f>
        <v>401</v>
      </c>
      <c r="C79" s="20">
        <f t="shared" ca="1" si="3"/>
        <v>50018</v>
      </c>
      <c r="D79" s="20">
        <f t="shared" ca="1" si="4"/>
        <v>88</v>
      </c>
      <c r="E79" s="20">
        <v>1</v>
      </c>
      <c r="H79" s="20">
        <f t="shared" si="5"/>
        <v>8</v>
      </c>
      <c r="M79" s="20">
        <v>78</v>
      </c>
    </row>
    <row r="80" spans="1:13" x14ac:dyDescent="0.15">
      <c r="A80" s="20">
        <f>collect!A80</f>
        <v>4</v>
      </c>
      <c r="B80" s="20">
        <f>collect!B80</f>
        <v>401</v>
      </c>
      <c r="C80" s="20">
        <f t="shared" ca="1" si="3"/>
        <v>50036</v>
      </c>
      <c r="D80" s="20">
        <f t="shared" ca="1" si="4"/>
        <v>88</v>
      </c>
      <c r="E80" s="20">
        <v>1</v>
      </c>
      <c r="H80" s="20">
        <f t="shared" si="5"/>
        <v>11</v>
      </c>
      <c r="M80" s="20">
        <v>79</v>
      </c>
    </row>
    <row r="81" spans="1:13" x14ac:dyDescent="0.15">
      <c r="A81" s="20">
        <f>collect!A81</f>
        <v>4</v>
      </c>
      <c r="B81" s="20">
        <f>collect!B81</f>
        <v>401</v>
      </c>
      <c r="C81" s="20">
        <f t="shared" ca="1" si="3"/>
        <v>50023</v>
      </c>
      <c r="D81" s="20">
        <f t="shared" ca="1" si="4"/>
        <v>88</v>
      </c>
      <c r="E81" s="20">
        <v>1</v>
      </c>
      <c r="H81" s="20">
        <f t="shared" si="5"/>
        <v>14</v>
      </c>
      <c r="M81" s="20">
        <v>80</v>
      </c>
    </row>
    <row r="82" spans="1:13" x14ac:dyDescent="0.15">
      <c r="A82" s="20">
        <f>collect!A82</f>
        <v>4</v>
      </c>
      <c r="B82" s="20">
        <f>collect!B82</f>
        <v>402</v>
      </c>
      <c r="C82" s="20">
        <f t="shared" si="3"/>
        <v>50016</v>
      </c>
      <c r="D82" s="20">
        <f t="shared" si="4"/>
        <v>88</v>
      </c>
      <c r="E82" s="20">
        <v>1</v>
      </c>
      <c r="H82" s="20">
        <f t="shared" si="5"/>
        <v>2</v>
      </c>
      <c r="M82" s="20">
        <v>81</v>
      </c>
    </row>
    <row r="83" spans="1:13" x14ac:dyDescent="0.15">
      <c r="A83" s="20">
        <f>collect!A83</f>
        <v>4</v>
      </c>
      <c r="B83" s="20">
        <f>collect!B83</f>
        <v>402</v>
      </c>
      <c r="C83" s="20">
        <f t="shared" ca="1" si="3"/>
        <v>50010</v>
      </c>
      <c r="D83" s="20">
        <f t="shared" ca="1" si="4"/>
        <v>129</v>
      </c>
      <c r="E83" s="20">
        <v>1</v>
      </c>
      <c r="H83" s="20">
        <f t="shared" si="5"/>
        <v>5</v>
      </c>
      <c r="M83" s="20">
        <v>82</v>
      </c>
    </row>
    <row r="84" spans="1:13" x14ac:dyDescent="0.15">
      <c r="A84" s="20">
        <f>collect!A84</f>
        <v>4</v>
      </c>
      <c r="B84" s="20">
        <f>collect!B84</f>
        <v>402</v>
      </c>
      <c r="C84" s="20">
        <f t="shared" ca="1" si="3"/>
        <v>50036</v>
      </c>
      <c r="D84" s="20">
        <f t="shared" ca="1" si="4"/>
        <v>88</v>
      </c>
      <c r="E84" s="20">
        <v>1</v>
      </c>
      <c r="H84" s="20">
        <f t="shared" si="5"/>
        <v>8</v>
      </c>
      <c r="M84" s="20">
        <v>83</v>
      </c>
    </row>
    <row r="85" spans="1:13" x14ac:dyDescent="0.15">
      <c r="A85" s="20">
        <f>collect!A85</f>
        <v>4</v>
      </c>
      <c r="B85" s="20">
        <f>collect!B85</f>
        <v>402</v>
      </c>
      <c r="C85" s="20">
        <f t="shared" ca="1" si="3"/>
        <v>50013</v>
      </c>
      <c r="D85" s="20">
        <f t="shared" ca="1" si="4"/>
        <v>181</v>
      </c>
      <c r="E85" s="20">
        <v>1</v>
      </c>
      <c r="H85" s="20">
        <f t="shared" si="5"/>
        <v>11</v>
      </c>
      <c r="M85" s="20">
        <v>84</v>
      </c>
    </row>
    <row r="86" spans="1:13" x14ac:dyDescent="0.15">
      <c r="A86" s="20">
        <f>collect!A86</f>
        <v>4</v>
      </c>
      <c r="B86" s="20">
        <f>collect!B86</f>
        <v>402</v>
      </c>
      <c r="C86" s="20">
        <f t="shared" ca="1" si="3"/>
        <v>50014</v>
      </c>
      <c r="D86" s="20">
        <f t="shared" ca="1" si="4"/>
        <v>88</v>
      </c>
      <c r="E86" s="20">
        <v>1</v>
      </c>
      <c r="H86" s="20">
        <f t="shared" si="5"/>
        <v>14</v>
      </c>
      <c r="M86" s="20">
        <v>85</v>
      </c>
    </row>
    <row r="87" spans="1:13" x14ac:dyDescent="0.15">
      <c r="A87" s="20">
        <f>collect!A87</f>
        <v>4</v>
      </c>
      <c r="B87" s="20">
        <f>collect!B87</f>
        <v>403</v>
      </c>
      <c r="C87" s="20">
        <f t="shared" si="3"/>
        <v>50018</v>
      </c>
      <c r="D87" s="20">
        <f t="shared" si="4"/>
        <v>88</v>
      </c>
      <c r="E87" s="20">
        <v>1</v>
      </c>
      <c r="H87" s="20">
        <f t="shared" si="5"/>
        <v>2</v>
      </c>
      <c r="M87" s="20">
        <v>86</v>
      </c>
    </row>
    <row r="88" spans="1:13" x14ac:dyDescent="0.15">
      <c r="A88" s="20">
        <f>collect!A88</f>
        <v>4</v>
      </c>
      <c r="B88" s="20">
        <f>collect!B88</f>
        <v>403</v>
      </c>
      <c r="C88" s="20">
        <f t="shared" ca="1" si="3"/>
        <v>50001</v>
      </c>
      <c r="D88" s="20">
        <f t="shared" ca="1" si="4"/>
        <v>181</v>
      </c>
      <c r="E88" s="20">
        <v>1</v>
      </c>
      <c r="H88" s="20">
        <f t="shared" si="5"/>
        <v>5</v>
      </c>
      <c r="M88" s="20">
        <v>87</v>
      </c>
    </row>
    <row r="89" spans="1:13" x14ac:dyDescent="0.15">
      <c r="A89" s="20">
        <f>collect!A89</f>
        <v>4</v>
      </c>
      <c r="B89" s="20">
        <f>collect!B89</f>
        <v>403</v>
      </c>
      <c r="C89" s="20">
        <f t="shared" ca="1" si="3"/>
        <v>50027</v>
      </c>
      <c r="D89" s="20">
        <f t="shared" ca="1" si="4"/>
        <v>88</v>
      </c>
      <c r="E89" s="20">
        <v>1</v>
      </c>
      <c r="H89" s="20">
        <f t="shared" si="5"/>
        <v>8</v>
      </c>
      <c r="M89" s="20">
        <v>88</v>
      </c>
    </row>
    <row r="90" spans="1:13" x14ac:dyDescent="0.15">
      <c r="A90" s="20">
        <f>collect!A90</f>
        <v>4</v>
      </c>
      <c r="B90" s="20">
        <f>collect!B90</f>
        <v>403</v>
      </c>
      <c r="C90" s="20">
        <f t="shared" ca="1" si="3"/>
        <v>50006</v>
      </c>
      <c r="D90" s="20">
        <f t="shared" ca="1" si="4"/>
        <v>129</v>
      </c>
      <c r="E90" s="20">
        <v>1</v>
      </c>
      <c r="H90" s="20">
        <f t="shared" si="5"/>
        <v>11</v>
      </c>
      <c r="M90" s="20">
        <v>89</v>
      </c>
    </row>
    <row r="91" spans="1:13" x14ac:dyDescent="0.15">
      <c r="A91" s="20">
        <f>collect!A91</f>
        <v>4</v>
      </c>
      <c r="B91" s="20">
        <f>collect!B91</f>
        <v>403</v>
      </c>
      <c r="C91" s="20">
        <f t="shared" ca="1" si="3"/>
        <v>50089</v>
      </c>
      <c r="D91" s="20">
        <f t="shared" ca="1" si="4"/>
        <v>88</v>
      </c>
      <c r="E91" s="20">
        <v>1</v>
      </c>
      <c r="H91" s="20">
        <f t="shared" si="5"/>
        <v>14</v>
      </c>
      <c r="M91" s="20">
        <v>90</v>
      </c>
    </row>
    <row r="92" spans="1:13" x14ac:dyDescent="0.15">
      <c r="A92" s="20">
        <f>collect!A92</f>
        <v>4</v>
      </c>
      <c r="B92" s="20">
        <f>collect!B92</f>
        <v>404</v>
      </c>
      <c r="C92" s="20">
        <f t="shared" si="3"/>
        <v>50019</v>
      </c>
      <c r="D92" s="20">
        <f t="shared" si="4"/>
        <v>88</v>
      </c>
      <c r="E92" s="20">
        <v>1</v>
      </c>
      <c r="H92" s="20">
        <f t="shared" si="5"/>
        <v>2</v>
      </c>
      <c r="M92" s="20">
        <v>91</v>
      </c>
    </row>
    <row r="93" spans="1:13" x14ac:dyDescent="0.15">
      <c r="A93" s="20">
        <f>collect!A93</f>
        <v>4</v>
      </c>
      <c r="B93" s="20">
        <f>collect!B93</f>
        <v>404</v>
      </c>
      <c r="C93" s="20">
        <f t="shared" ca="1" si="3"/>
        <v>50001</v>
      </c>
      <c r="D93" s="20">
        <f t="shared" ca="1" si="4"/>
        <v>181</v>
      </c>
      <c r="E93" s="20">
        <v>1</v>
      </c>
      <c r="H93" s="20">
        <f t="shared" si="5"/>
        <v>5</v>
      </c>
      <c r="M93" s="20">
        <v>92</v>
      </c>
    </row>
    <row r="94" spans="1:13" x14ac:dyDescent="0.15">
      <c r="A94" s="20">
        <f>collect!A94</f>
        <v>4</v>
      </c>
      <c r="B94" s="20">
        <f>collect!B94</f>
        <v>404</v>
      </c>
      <c r="C94" s="20">
        <f t="shared" ca="1" si="3"/>
        <v>50023</v>
      </c>
      <c r="D94" s="20">
        <f t="shared" ca="1" si="4"/>
        <v>88</v>
      </c>
      <c r="E94" s="20">
        <v>1</v>
      </c>
      <c r="H94" s="20">
        <f t="shared" si="5"/>
        <v>8</v>
      </c>
      <c r="M94" s="20">
        <v>93</v>
      </c>
    </row>
    <row r="95" spans="1:13" x14ac:dyDescent="0.15">
      <c r="A95" s="20">
        <f>collect!A95</f>
        <v>4</v>
      </c>
      <c r="B95" s="20">
        <f>collect!B95</f>
        <v>404</v>
      </c>
      <c r="C95" s="20">
        <f t="shared" ca="1" si="3"/>
        <v>50007</v>
      </c>
      <c r="D95" s="20">
        <f t="shared" ca="1" si="4"/>
        <v>88</v>
      </c>
      <c r="E95" s="20">
        <v>1</v>
      </c>
      <c r="H95" s="20">
        <f t="shared" si="5"/>
        <v>11</v>
      </c>
      <c r="M95" s="20">
        <v>94</v>
      </c>
    </row>
    <row r="96" spans="1:13" x14ac:dyDescent="0.15">
      <c r="A96" s="20">
        <f>collect!A96</f>
        <v>4</v>
      </c>
      <c r="B96" s="20">
        <f>collect!B96</f>
        <v>404</v>
      </c>
      <c r="C96" s="20">
        <f t="shared" ca="1" si="3"/>
        <v>50030</v>
      </c>
      <c r="D96" s="20">
        <f t="shared" ca="1" si="4"/>
        <v>88</v>
      </c>
      <c r="E96" s="20">
        <v>1</v>
      </c>
      <c r="H96" s="20">
        <f t="shared" si="5"/>
        <v>14</v>
      </c>
      <c r="M96" s="20">
        <v>95</v>
      </c>
    </row>
    <row r="97" spans="1:13" x14ac:dyDescent="0.15">
      <c r="A97" s="20">
        <f>collect!A97</f>
        <v>4</v>
      </c>
      <c r="B97" s="20">
        <f>collect!B97</f>
        <v>405</v>
      </c>
      <c r="C97" s="20">
        <f t="shared" si="3"/>
        <v>50020</v>
      </c>
      <c r="D97" s="20">
        <f t="shared" si="4"/>
        <v>88</v>
      </c>
      <c r="E97" s="20">
        <v>1</v>
      </c>
      <c r="H97" s="20">
        <f t="shared" si="5"/>
        <v>2</v>
      </c>
      <c r="M97" s="20">
        <v>96</v>
      </c>
    </row>
    <row r="98" spans="1:13" x14ac:dyDescent="0.15">
      <c r="A98" s="20">
        <f>collect!A98</f>
        <v>4</v>
      </c>
      <c r="B98" s="20">
        <f>collect!B98</f>
        <v>405</v>
      </c>
      <c r="C98" s="20">
        <f t="shared" ca="1" si="3"/>
        <v>50005</v>
      </c>
      <c r="D98" s="20">
        <f t="shared" ca="1" si="4"/>
        <v>181</v>
      </c>
      <c r="E98" s="20">
        <v>1</v>
      </c>
      <c r="H98" s="20">
        <f t="shared" si="5"/>
        <v>5</v>
      </c>
      <c r="M98" s="20">
        <v>97</v>
      </c>
    </row>
    <row r="99" spans="1:13" x14ac:dyDescent="0.15">
      <c r="A99" s="20">
        <f>collect!A99</f>
        <v>4</v>
      </c>
      <c r="B99" s="20">
        <f>collect!B99</f>
        <v>405</v>
      </c>
      <c r="C99" s="20">
        <f t="shared" ca="1" si="3"/>
        <v>50087</v>
      </c>
      <c r="D99" s="20">
        <f t="shared" ca="1" si="4"/>
        <v>129</v>
      </c>
      <c r="E99" s="20">
        <v>1</v>
      </c>
      <c r="H99" s="20">
        <f t="shared" si="5"/>
        <v>8</v>
      </c>
      <c r="M99" s="20">
        <v>98</v>
      </c>
    </row>
    <row r="100" spans="1:13" x14ac:dyDescent="0.15">
      <c r="A100" s="20">
        <f>collect!A100</f>
        <v>4</v>
      </c>
      <c r="B100" s="20">
        <f>collect!B100</f>
        <v>405</v>
      </c>
      <c r="C100" s="20">
        <f t="shared" ca="1" si="3"/>
        <v>50032</v>
      </c>
      <c r="D100" s="20">
        <f t="shared" ca="1" si="4"/>
        <v>88</v>
      </c>
      <c r="E100" s="20">
        <v>1</v>
      </c>
      <c r="H100" s="20">
        <f t="shared" si="5"/>
        <v>11</v>
      </c>
      <c r="M100" s="20">
        <v>99</v>
      </c>
    </row>
    <row r="101" spans="1:13" x14ac:dyDescent="0.15">
      <c r="A101" s="20">
        <f>collect!A101</f>
        <v>4</v>
      </c>
      <c r="B101" s="20">
        <f>collect!B101</f>
        <v>405</v>
      </c>
      <c r="C101" s="20">
        <f t="shared" ca="1" si="3"/>
        <v>50022</v>
      </c>
      <c r="D101" s="20">
        <f t="shared" ca="1" si="4"/>
        <v>88</v>
      </c>
      <c r="E101" s="20">
        <v>1</v>
      </c>
      <c r="H101" s="20">
        <f t="shared" si="5"/>
        <v>14</v>
      </c>
      <c r="M101" s="20">
        <v>100</v>
      </c>
    </row>
    <row r="102" spans="1:13" x14ac:dyDescent="0.15">
      <c r="A102" s="20">
        <f>collect!A102</f>
        <v>5</v>
      </c>
      <c r="B102" s="20">
        <f>collect!B102</f>
        <v>501</v>
      </c>
      <c r="C102" s="20">
        <f t="shared" si="3"/>
        <v>50021</v>
      </c>
      <c r="D102" s="20">
        <f t="shared" si="4"/>
        <v>88</v>
      </c>
      <c r="E102" s="20">
        <v>1</v>
      </c>
      <c r="H102" s="20">
        <f t="shared" si="5"/>
        <v>2</v>
      </c>
      <c r="M102" s="20">
        <v>101</v>
      </c>
    </row>
    <row r="103" spans="1:13" x14ac:dyDescent="0.15">
      <c r="A103" s="20">
        <f>collect!A103</f>
        <v>5</v>
      </c>
      <c r="B103" s="20">
        <f>collect!B103</f>
        <v>501</v>
      </c>
      <c r="C103" s="20">
        <f t="shared" ca="1" si="3"/>
        <v>50010</v>
      </c>
      <c r="D103" s="20">
        <f t="shared" ca="1" si="4"/>
        <v>129</v>
      </c>
      <c r="E103" s="20">
        <v>1</v>
      </c>
      <c r="H103" s="20">
        <f t="shared" si="5"/>
        <v>5</v>
      </c>
      <c r="M103" s="20">
        <v>102</v>
      </c>
    </row>
    <row r="104" spans="1:13" x14ac:dyDescent="0.15">
      <c r="A104" s="20">
        <f>collect!A104</f>
        <v>5</v>
      </c>
      <c r="B104" s="20">
        <f>collect!B104</f>
        <v>501</v>
      </c>
      <c r="C104" s="20">
        <f t="shared" ca="1" si="3"/>
        <v>50176</v>
      </c>
      <c r="D104" s="20">
        <f t="shared" ca="1" si="4"/>
        <v>88</v>
      </c>
      <c r="E104" s="20">
        <v>1</v>
      </c>
      <c r="H104" s="20">
        <f t="shared" si="5"/>
        <v>8</v>
      </c>
      <c r="M104" s="20">
        <v>103</v>
      </c>
    </row>
    <row r="105" spans="1:13" x14ac:dyDescent="0.15">
      <c r="A105" s="20">
        <f>collect!A105</f>
        <v>5</v>
      </c>
      <c r="B105" s="20">
        <f>collect!B105</f>
        <v>501</v>
      </c>
      <c r="C105" s="20">
        <f t="shared" ca="1" si="3"/>
        <v>50001</v>
      </c>
      <c r="D105" s="20">
        <f t="shared" ca="1" si="4"/>
        <v>181</v>
      </c>
      <c r="E105" s="20">
        <v>1</v>
      </c>
      <c r="H105" s="20">
        <f t="shared" si="5"/>
        <v>11</v>
      </c>
      <c r="M105" s="20">
        <v>104</v>
      </c>
    </row>
    <row r="106" spans="1:13" x14ac:dyDescent="0.15">
      <c r="A106" s="20">
        <f>collect!A106</f>
        <v>5</v>
      </c>
      <c r="B106" s="20">
        <f>collect!B106</f>
        <v>501</v>
      </c>
      <c r="C106" s="20">
        <f t="shared" ca="1" si="3"/>
        <v>50173</v>
      </c>
      <c r="D106" s="20">
        <f t="shared" ca="1" si="4"/>
        <v>88</v>
      </c>
      <c r="E106" s="20">
        <v>1</v>
      </c>
      <c r="H106" s="20">
        <f t="shared" si="5"/>
        <v>14</v>
      </c>
      <c r="M106" s="20">
        <v>105</v>
      </c>
    </row>
    <row r="107" spans="1:13" x14ac:dyDescent="0.15">
      <c r="A107" s="20">
        <f>collect!A107</f>
        <v>5</v>
      </c>
      <c r="B107" s="20">
        <f>collect!B107</f>
        <v>502</v>
      </c>
      <c r="C107" s="20">
        <f t="shared" si="3"/>
        <v>50022</v>
      </c>
      <c r="D107" s="20">
        <f t="shared" si="4"/>
        <v>88</v>
      </c>
      <c r="E107" s="20">
        <v>1</v>
      </c>
      <c r="H107" s="20">
        <f t="shared" si="5"/>
        <v>2</v>
      </c>
      <c r="M107" s="20">
        <v>106</v>
      </c>
    </row>
    <row r="108" spans="1:13" x14ac:dyDescent="0.15">
      <c r="A108" s="20">
        <f>collect!A108</f>
        <v>5</v>
      </c>
      <c r="B108" s="20">
        <f>collect!B108</f>
        <v>502</v>
      </c>
      <c r="C108" s="20">
        <f t="shared" ca="1" si="3"/>
        <v>50010</v>
      </c>
      <c r="D108" s="20">
        <f t="shared" ca="1" si="4"/>
        <v>129</v>
      </c>
      <c r="E108" s="20">
        <v>1</v>
      </c>
      <c r="H108" s="20">
        <f t="shared" si="5"/>
        <v>5</v>
      </c>
      <c r="M108" s="20">
        <v>107</v>
      </c>
    </row>
    <row r="109" spans="1:13" x14ac:dyDescent="0.15">
      <c r="A109" s="20">
        <f>collect!A109</f>
        <v>5</v>
      </c>
      <c r="B109" s="20">
        <f>collect!B109</f>
        <v>502</v>
      </c>
      <c r="C109" s="20">
        <f t="shared" ca="1" si="3"/>
        <v>50087</v>
      </c>
      <c r="D109" s="20">
        <f t="shared" ca="1" si="4"/>
        <v>129</v>
      </c>
      <c r="E109" s="20">
        <v>1</v>
      </c>
      <c r="H109" s="20">
        <f t="shared" si="5"/>
        <v>8</v>
      </c>
      <c r="M109" s="20">
        <v>108</v>
      </c>
    </row>
    <row r="110" spans="1:13" x14ac:dyDescent="0.15">
      <c r="A110" s="20">
        <f>collect!A110</f>
        <v>5</v>
      </c>
      <c r="B110" s="20">
        <f>collect!B110</f>
        <v>502</v>
      </c>
      <c r="C110" s="20">
        <f t="shared" ca="1" si="3"/>
        <v>50028</v>
      </c>
      <c r="D110" s="20">
        <f t="shared" ca="1" si="4"/>
        <v>88</v>
      </c>
      <c r="E110" s="20">
        <v>1</v>
      </c>
      <c r="H110" s="20">
        <f t="shared" si="5"/>
        <v>11</v>
      </c>
      <c r="M110" s="20">
        <v>109</v>
      </c>
    </row>
    <row r="111" spans="1:13" x14ac:dyDescent="0.15">
      <c r="A111" s="20">
        <f>collect!A111</f>
        <v>5</v>
      </c>
      <c r="B111" s="20">
        <f>collect!B111</f>
        <v>502</v>
      </c>
      <c r="C111" s="20">
        <f t="shared" ca="1" si="3"/>
        <v>50173</v>
      </c>
      <c r="D111" s="20">
        <f t="shared" ca="1" si="4"/>
        <v>88</v>
      </c>
      <c r="E111" s="20">
        <v>1</v>
      </c>
      <c r="H111" s="20">
        <f t="shared" si="5"/>
        <v>14</v>
      </c>
      <c r="M111" s="20">
        <v>110</v>
      </c>
    </row>
    <row r="112" spans="1:13" x14ac:dyDescent="0.15">
      <c r="A112" s="20">
        <f>collect!A112</f>
        <v>5</v>
      </c>
      <c r="B112" s="20">
        <f>collect!B112</f>
        <v>503</v>
      </c>
      <c r="C112" s="20">
        <f t="shared" si="3"/>
        <v>50023</v>
      </c>
      <c r="D112" s="20">
        <f t="shared" si="4"/>
        <v>88</v>
      </c>
      <c r="E112" s="20">
        <v>1</v>
      </c>
      <c r="H112" s="20">
        <f t="shared" si="5"/>
        <v>2</v>
      </c>
      <c r="M112" s="20">
        <v>111</v>
      </c>
    </row>
    <row r="113" spans="1:13" x14ac:dyDescent="0.15">
      <c r="A113" s="20">
        <f>collect!A113</f>
        <v>5</v>
      </c>
      <c r="B113" s="20">
        <f>collect!B113</f>
        <v>503</v>
      </c>
      <c r="C113" s="20">
        <f t="shared" ca="1" si="3"/>
        <v>50009</v>
      </c>
      <c r="D113" s="20">
        <f t="shared" ca="1" si="4"/>
        <v>181</v>
      </c>
      <c r="E113" s="20">
        <v>1</v>
      </c>
      <c r="H113" s="20">
        <f t="shared" si="5"/>
        <v>5</v>
      </c>
      <c r="M113" s="20">
        <v>112</v>
      </c>
    </row>
    <row r="114" spans="1:13" x14ac:dyDescent="0.15">
      <c r="A114" s="20">
        <f>collect!A114</f>
        <v>5</v>
      </c>
      <c r="B114" s="20">
        <f>collect!B114</f>
        <v>503</v>
      </c>
      <c r="C114" s="20">
        <f t="shared" ca="1" si="3"/>
        <v>50002</v>
      </c>
      <c r="D114" s="20">
        <f t="shared" ca="1" si="4"/>
        <v>129</v>
      </c>
      <c r="E114" s="20">
        <v>1</v>
      </c>
      <c r="H114" s="20">
        <f t="shared" si="5"/>
        <v>8</v>
      </c>
      <c r="M114" s="20">
        <v>113</v>
      </c>
    </row>
    <row r="115" spans="1:13" x14ac:dyDescent="0.15">
      <c r="A115" s="20">
        <f>collect!A115</f>
        <v>5</v>
      </c>
      <c r="B115" s="20">
        <f>collect!B115</f>
        <v>503</v>
      </c>
      <c r="C115" s="20">
        <f t="shared" ca="1" si="3"/>
        <v>50030</v>
      </c>
      <c r="D115" s="20">
        <f t="shared" ca="1" si="4"/>
        <v>88</v>
      </c>
      <c r="E115" s="20">
        <v>1</v>
      </c>
      <c r="H115" s="20">
        <f t="shared" si="5"/>
        <v>11</v>
      </c>
      <c r="M115" s="20">
        <v>114</v>
      </c>
    </row>
    <row r="116" spans="1:13" x14ac:dyDescent="0.15">
      <c r="A116" s="20">
        <f>collect!A116</f>
        <v>5</v>
      </c>
      <c r="B116" s="20">
        <f>collect!B116</f>
        <v>503</v>
      </c>
      <c r="C116" s="20">
        <f t="shared" ca="1" si="3"/>
        <v>50089</v>
      </c>
      <c r="D116" s="20">
        <f t="shared" ca="1" si="4"/>
        <v>88</v>
      </c>
      <c r="E116" s="20">
        <v>1</v>
      </c>
      <c r="H116" s="20">
        <f t="shared" si="5"/>
        <v>14</v>
      </c>
      <c r="M116" s="20">
        <v>115</v>
      </c>
    </row>
    <row r="117" spans="1:13" x14ac:dyDescent="0.15">
      <c r="A117" s="20">
        <f>collect!A117</f>
        <v>5</v>
      </c>
      <c r="B117" s="20">
        <f>collect!B117</f>
        <v>504</v>
      </c>
      <c r="C117" s="20">
        <f t="shared" si="3"/>
        <v>50024</v>
      </c>
      <c r="D117" s="20">
        <f t="shared" si="4"/>
        <v>88</v>
      </c>
      <c r="E117" s="20">
        <v>1</v>
      </c>
      <c r="H117" s="20">
        <f t="shared" si="5"/>
        <v>2</v>
      </c>
      <c r="M117" s="20">
        <v>116</v>
      </c>
    </row>
    <row r="118" spans="1:13" x14ac:dyDescent="0.15">
      <c r="A118" s="20">
        <f>collect!A118</f>
        <v>5</v>
      </c>
      <c r="B118" s="20">
        <f>collect!B118</f>
        <v>504</v>
      </c>
      <c r="C118" s="20">
        <f t="shared" ca="1" si="3"/>
        <v>50035</v>
      </c>
      <c r="D118" s="20">
        <f t="shared" ca="1" si="4"/>
        <v>181</v>
      </c>
      <c r="E118" s="20">
        <v>1</v>
      </c>
      <c r="H118" s="20">
        <f t="shared" si="5"/>
        <v>5</v>
      </c>
      <c r="M118" s="20">
        <v>117</v>
      </c>
    </row>
    <row r="119" spans="1:13" x14ac:dyDescent="0.15">
      <c r="A119" s="20">
        <f>collect!A119</f>
        <v>5</v>
      </c>
      <c r="B119" s="20">
        <f>collect!B119</f>
        <v>504</v>
      </c>
      <c r="C119" s="20">
        <f t="shared" ca="1" si="3"/>
        <v>50022</v>
      </c>
      <c r="D119" s="20">
        <f t="shared" ca="1" si="4"/>
        <v>88</v>
      </c>
      <c r="E119" s="20">
        <v>1</v>
      </c>
      <c r="H119" s="20">
        <f t="shared" si="5"/>
        <v>8</v>
      </c>
      <c r="M119" s="20">
        <v>118</v>
      </c>
    </row>
    <row r="120" spans="1:13" x14ac:dyDescent="0.15">
      <c r="A120" s="20">
        <f>collect!A120</f>
        <v>5</v>
      </c>
      <c r="B120" s="20">
        <f>collect!B120</f>
        <v>504</v>
      </c>
      <c r="C120" s="20">
        <f t="shared" ca="1" si="3"/>
        <v>50024</v>
      </c>
      <c r="D120" s="20">
        <f t="shared" ca="1" si="4"/>
        <v>88</v>
      </c>
      <c r="E120" s="20">
        <v>1</v>
      </c>
      <c r="H120" s="20">
        <f t="shared" si="5"/>
        <v>11</v>
      </c>
      <c r="M120" s="20">
        <v>119</v>
      </c>
    </row>
    <row r="121" spans="1:13" x14ac:dyDescent="0.15">
      <c r="A121" s="20">
        <f>collect!A121</f>
        <v>5</v>
      </c>
      <c r="B121" s="20">
        <f>collect!B121</f>
        <v>504</v>
      </c>
      <c r="C121" s="20">
        <f t="shared" ca="1" si="3"/>
        <v>50018</v>
      </c>
      <c r="D121" s="20">
        <f t="shared" ca="1" si="4"/>
        <v>88</v>
      </c>
      <c r="E121" s="20">
        <v>1</v>
      </c>
      <c r="H121" s="20">
        <f t="shared" si="5"/>
        <v>14</v>
      </c>
      <c r="M121" s="20">
        <v>120</v>
      </c>
    </row>
    <row r="122" spans="1:13" x14ac:dyDescent="0.15">
      <c r="A122" s="20">
        <f>collect!A122</f>
        <v>5</v>
      </c>
      <c r="B122" s="20">
        <f>collect!B122</f>
        <v>505</v>
      </c>
      <c r="C122" s="20">
        <f t="shared" si="3"/>
        <v>50025</v>
      </c>
      <c r="D122" s="20">
        <f t="shared" si="4"/>
        <v>88</v>
      </c>
      <c r="E122" s="20">
        <v>1</v>
      </c>
      <c r="H122" s="20">
        <f t="shared" si="5"/>
        <v>2</v>
      </c>
      <c r="M122" s="20">
        <v>121</v>
      </c>
    </row>
    <row r="123" spans="1:13" x14ac:dyDescent="0.15">
      <c r="A123" s="20">
        <f>collect!A123</f>
        <v>5</v>
      </c>
      <c r="B123" s="20">
        <f>collect!B123</f>
        <v>505</v>
      </c>
      <c r="C123" s="20">
        <f t="shared" ca="1" si="3"/>
        <v>50001</v>
      </c>
      <c r="D123" s="20">
        <f t="shared" ca="1" si="4"/>
        <v>181</v>
      </c>
      <c r="E123" s="20">
        <v>1</v>
      </c>
      <c r="H123" s="20">
        <f t="shared" si="5"/>
        <v>5</v>
      </c>
      <c r="M123" s="20">
        <v>122</v>
      </c>
    </row>
    <row r="124" spans="1:13" x14ac:dyDescent="0.15">
      <c r="A124" s="20">
        <f>collect!A124</f>
        <v>5</v>
      </c>
      <c r="B124" s="20">
        <f>collect!B124</f>
        <v>505</v>
      </c>
      <c r="C124" s="20">
        <f t="shared" ca="1" si="3"/>
        <v>50087</v>
      </c>
      <c r="D124" s="20">
        <f t="shared" ca="1" si="4"/>
        <v>129</v>
      </c>
      <c r="E124" s="20">
        <v>1</v>
      </c>
      <c r="H124" s="20">
        <f t="shared" si="5"/>
        <v>8</v>
      </c>
      <c r="M124" s="20">
        <v>123</v>
      </c>
    </row>
    <row r="125" spans="1:13" x14ac:dyDescent="0.15">
      <c r="A125" s="20">
        <f>collect!A125</f>
        <v>5</v>
      </c>
      <c r="B125" s="20">
        <f>collect!B125</f>
        <v>505</v>
      </c>
      <c r="C125" s="20">
        <f t="shared" ca="1" si="3"/>
        <v>50022</v>
      </c>
      <c r="D125" s="20">
        <f t="shared" ca="1" si="4"/>
        <v>88</v>
      </c>
      <c r="E125" s="20">
        <v>1</v>
      </c>
      <c r="H125" s="20">
        <f t="shared" si="5"/>
        <v>11</v>
      </c>
      <c r="M125" s="20">
        <v>124</v>
      </c>
    </row>
    <row r="126" spans="1:13" x14ac:dyDescent="0.15">
      <c r="A126" s="20">
        <f>collect!A126</f>
        <v>5</v>
      </c>
      <c r="B126" s="20">
        <f>collect!B126</f>
        <v>505</v>
      </c>
      <c r="C126" s="20">
        <f t="shared" ca="1" si="3"/>
        <v>50001</v>
      </c>
      <c r="D126" s="20">
        <f t="shared" ca="1" si="4"/>
        <v>181</v>
      </c>
      <c r="E126" s="20">
        <v>1</v>
      </c>
      <c r="H126" s="20">
        <f t="shared" si="5"/>
        <v>14</v>
      </c>
      <c r="M126" s="20">
        <v>125</v>
      </c>
    </row>
    <row r="127" spans="1:13" x14ac:dyDescent="0.15">
      <c r="A127" s="20">
        <f>collect!A127</f>
        <v>6</v>
      </c>
      <c r="B127" s="20">
        <f>collect!B127</f>
        <v>601</v>
      </c>
      <c r="C127" s="20">
        <f t="shared" si="3"/>
        <v>50026</v>
      </c>
      <c r="D127" s="20">
        <f t="shared" si="4"/>
        <v>88</v>
      </c>
      <c r="E127" s="20">
        <v>1</v>
      </c>
      <c r="H127" s="20">
        <f t="shared" si="5"/>
        <v>2</v>
      </c>
      <c r="M127" s="20">
        <v>126</v>
      </c>
    </row>
    <row r="128" spans="1:13" x14ac:dyDescent="0.15">
      <c r="A128" s="20">
        <f>collect!A128</f>
        <v>6</v>
      </c>
      <c r="B128" s="20">
        <f>collect!B128</f>
        <v>601</v>
      </c>
      <c r="C128" s="20">
        <f t="shared" ca="1" si="3"/>
        <v>50009</v>
      </c>
      <c r="D128" s="20">
        <f t="shared" ca="1" si="4"/>
        <v>181</v>
      </c>
      <c r="E128" s="20">
        <v>1</v>
      </c>
      <c r="H128" s="20">
        <f t="shared" si="5"/>
        <v>5</v>
      </c>
      <c r="M128" s="20">
        <v>127</v>
      </c>
    </row>
    <row r="129" spans="1:13" x14ac:dyDescent="0.15">
      <c r="A129" s="20">
        <f>collect!A129</f>
        <v>6</v>
      </c>
      <c r="B129" s="20">
        <f>collect!B129</f>
        <v>601</v>
      </c>
      <c r="C129" s="20">
        <f t="shared" ca="1" si="3"/>
        <v>50018</v>
      </c>
      <c r="D129" s="20">
        <f t="shared" ca="1" si="4"/>
        <v>88</v>
      </c>
      <c r="E129" s="20">
        <v>1</v>
      </c>
      <c r="H129" s="20">
        <f t="shared" si="5"/>
        <v>8</v>
      </c>
      <c r="M129" s="20">
        <v>128</v>
      </c>
    </row>
    <row r="130" spans="1:13" x14ac:dyDescent="0.15">
      <c r="A130" s="20">
        <f>collect!A130</f>
        <v>6</v>
      </c>
      <c r="B130" s="20">
        <f>collect!B130</f>
        <v>601</v>
      </c>
      <c r="C130" s="20">
        <f t="shared" ref="C130:C193" ca="1" si="6">VLOOKUP(B130,plan2,H130,FALSE)</f>
        <v>50015</v>
      </c>
      <c r="D130" s="20">
        <f t="shared" ref="D130:D193" ca="1" si="7">VLOOKUP(C130,marking,9,FALSE)</f>
        <v>181</v>
      </c>
      <c r="E130" s="20">
        <v>1</v>
      </c>
      <c r="H130" s="20">
        <f t="shared" si="5"/>
        <v>11</v>
      </c>
      <c r="M130" s="20">
        <v>129</v>
      </c>
    </row>
    <row r="131" spans="1:13" x14ac:dyDescent="0.15">
      <c r="A131" s="20">
        <f>collect!A131</f>
        <v>6</v>
      </c>
      <c r="B131" s="20">
        <f>collect!B131</f>
        <v>601</v>
      </c>
      <c r="C131" s="20">
        <f t="shared" ca="1" si="6"/>
        <v>50022</v>
      </c>
      <c r="D131" s="20">
        <f t="shared" ca="1" si="7"/>
        <v>88</v>
      </c>
      <c r="E131" s="20">
        <v>1</v>
      </c>
      <c r="H131" s="20">
        <f t="shared" si="5"/>
        <v>14</v>
      </c>
      <c r="M131" s="20">
        <v>130</v>
      </c>
    </row>
    <row r="132" spans="1:13" x14ac:dyDescent="0.15">
      <c r="A132" s="20">
        <f>collect!A132</f>
        <v>6</v>
      </c>
      <c r="B132" s="20">
        <f>collect!B132</f>
        <v>602</v>
      </c>
      <c r="C132" s="20">
        <f t="shared" si="6"/>
        <v>50027</v>
      </c>
      <c r="D132" s="20">
        <f t="shared" si="7"/>
        <v>88</v>
      </c>
      <c r="E132" s="20">
        <v>1</v>
      </c>
      <c r="H132" s="20">
        <f t="shared" si="5"/>
        <v>2</v>
      </c>
      <c r="M132" s="20">
        <v>131</v>
      </c>
    </row>
    <row r="133" spans="1:13" x14ac:dyDescent="0.15">
      <c r="A133" s="20">
        <f>collect!A133</f>
        <v>6</v>
      </c>
      <c r="B133" s="20">
        <f>collect!B133</f>
        <v>602</v>
      </c>
      <c r="C133" s="20">
        <f t="shared" ca="1" si="6"/>
        <v>50013</v>
      </c>
      <c r="D133" s="20">
        <f t="shared" ca="1" si="7"/>
        <v>181</v>
      </c>
      <c r="E133" s="20">
        <v>1</v>
      </c>
      <c r="H133" s="20">
        <f t="shared" si="5"/>
        <v>5</v>
      </c>
      <c r="M133" s="20">
        <v>132</v>
      </c>
    </row>
    <row r="134" spans="1:13" x14ac:dyDescent="0.15">
      <c r="A134" s="20">
        <f>collect!A134</f>
        <v>6</v>
      </c>
      <c r="B134" s="20">
        <f>collect!B134</f>
        <v>602</v>
      </c>
      <c r="C134" s="20">
        <f t="shared" ca="1" si="6"/>
        <v>50010</v>
      </c>
      <c r="D134" s="20">
        <f t="shared" ca="1" si="7"/>
        <v>129</v>
      </c>
      <c r="E134" s="20">
        <v>1</v>
      </c>
      <c r="H134" s="20">
        <f t="shared" si="5"/>
        <v>8</v>
      </c>
      <c r="M134" s="20">
        <v>133</v>
      </c>
    </row>
    <row r="135" spans="1:13" x14ac:dyDescent="0.15">
      <c r="A135" s="20">
        <f>collect!A135</f>
        <v>6</v>
      </c>
      <c r="B135" s="20">
        <f>collect!B135</f>
        <v>602</v>
      </c>
      <c r="C135" s="20">
        <f t="shared" ca="1" si="6"/>
        <v>50011</v>
      </c>
      <c r="D135" s="20">
        <f t="shared" ca="1" si="7"/>
        <v>88</v>
      </c>
      <c r="E135" s="20">
        <v>1</v>
      </c>
      <c r="H135" s="20">
        <f t="shared" si="5"/>
        <v>11</v>
      </c>
      <c r="M135" s="20">
        <v>134</v>
      </c>
    </row>
    <row r="136" spans="1:13" x14ac:dyDescent="0.15">
      <c r="A136" s="20">
        <f>collect!A136</f>
        <v>6</v>
      </c>
      <c r="B136" s="20">
        <f>collect!B136</f>
        <v>602</v>
      </c>
      <c r="C136" s="20">
        <f t="shared" ca="1" si="6"/>
        <v>50027</v>
      </c>
      <c r="D136" s="20">
        <f t="shared" ca="1" si="7"/>
        <v>88</v>
      </c>
      <c r="E136" s="20">
        <v>1</v>
      </c>
      <c r="H136" s="20">
        <f t="shared" ref="H136:H199" si="8">H131</f>
        <v>14</v>
      </c>
      <c r="M136" s="20">
        <v>135</v>
      </c>
    </row>
    <row r="137" spans="1:13" x14ac:dyDescent="0.15">
      <c r="A137" s="20">
        <f>collect!A137</f>
        <v>6</v>
      </c>
      <c r="B137" s="20">
        <f>collect!B137</f>
        <v>603</v>
      </c>
      <c r="C137" s="20">
        <f t="shared" si="6"/>
        <v>50028</v>
      </c>
      <c r="D137" s="20">
        <f t="shared" si="7"/>
        <v>88</v>
      </c>
      <c r="E137" s="20">
        <v>1</v>
      </c>
      <c r="H137" s="20">
        <f t="shared" si="8"/>
        <v>2</v>
      </c>
      <c r="M137" s="20">
        <v>136</v>
      </c>
    </row>
    <row r="138" spans="1:13" x14ac:dyDescent="0.15">
      <c r="A138" s="20">
        <f>collect!A138</f>
        <v>6</v>
      </c>
      <c r="B138" s="20">
        <f>collect!B138</f>
        <v>603</v>
      </c>
      <c r="C138" s="20">
        <f t="shared" ca="1" si="6"/>
        <v>50005</v>
      </c>
      <c r="D138" s="20">
        <f t="shared" ca="1" si="7"/>
        <v>181</v>
      </c>
      <c r="E138" s="20">
        <v>1</v>
      </c>
      <c r="H138" s="20">
        <f t="shared" si="8"/>
        <v>5</v>
      </c>
      <c r="M138" s="20">
        <v>137</v>
      </c>
    </row>
    <row r="139" spans="1:13" x14ac:dyDescent="0.15">
      <c r="A139" s="20">
        <f>collect!A139</f>
        <v>6</v>
      </c>
      <c r="B139" s="20">
        <f>collect!B139</f>
        <v>603</v>
      </c>
      <c r="C139" s="20">
        <f t="shared" ca="1" si="6"/>
        <v>50023</v>
      </c>
      <c r="D139" s="20">
        <f t="shared" ca="1" si="7"/>
        <v>88</v>
      </c>
      <c r="E139" s="20">
        <v>1</v>
      </c>
      <c r="H139" s="20">
        <f t="shared" si="8"/>
        <v>8</v>
      </c>
      <c r="M139" s="20">
        <v>138</v>
      </c>
    </row>
    <row r="140" spans="1:13" x14ac:dyDescent="0.15">
      <c r="A140" s="20">
        <f>collect!A140</f>
        <v>6</v>
      </c>
      <c r="B140" s="20">
        <f>collect!B140</f>
        <v>603</v>
      </c>
      <c r="C140" s="20">
        <f t="shared" ca="1" si="6"/>
        <v>50025</v>
      </c>
      <c r="D140" s="20">
        <f t="shared" ca="1" si="7"/>
        <v>88</v>
      </c>
      <c r="E140" s="20">
        <v>1</v>
      </c>
      <c r="H140" s="20">
        <f t="shared" si="8"/>
        <v>11</v>
      </c>
      <c r="M140" s="20">
        <v>139</v>
      </c>
    </row>
    <row r="141" spans="1:13" x14ac:dyDescent="0.15">
      <c r="A141" s="20">
        <f>collect!A141</f>
        <v>6</v>
      </c>
      <c r="B141" s="20">
        <f>collect!B141</f>
        <v>603</v>
      </c>
      <c r="C141" s="20">
        <f t="shared" ca="1" si="6"/>
        <v>50173</v>
      </c>
      <c r="D141" s="20">
        <f t="shared" ca="1" si="7"/>
        <v>88</v>
      </c>
      <c r="E141" s="20">
        <v>1</v>
      </c>
      <c r="H141" s="20">
        <f t="shared" si="8"/>
        <v>14</v>
      </c>
      <c r="M141" s="20">
        <v>140</v>
      </c>
    </row>
    <row r="142" spans="1:13" x14ac:dyDescent="0.15">
      <c r="A142" s="20">
        <f>collect!A142</f>
        <v>6</v>
      </c>
      <c r="B142" s="20">
        <f>collect!B142</f>
        <v>604</v>
      </c>
      <c r="C142" s="20">
        <f t="shared" si="6"/>
        <v>50029</v>
      </c>
      <c r="D142" s="20">
        <f t="shared" si="7"/>
        <v>88</v>
      </c>
      <c r="E142" s="20">
        <v>1</v>
      </c>
      <c r="H142" s="20">
        <f t="shared" si="8"/>
        <v>2</v>
      </c>
      <c r="M142" s="20">
        <v>141</v>
      </c>
    </row>
    <row r="143" spans="1:13" x14ac:dyDescent="0.15">
      <c r="A143" s="20">
        <f>collect!A143</f>
        <v>6</v>
      </c>
      <c r="B143" s="20">
        <f>collect!B143</f>
        <v>604</v>
      </c>
      <c r="C143" s="20">
        <f t="shared" ca="1" si="6"/>
        <v>50002</v>
      </c>
      <c r="D143" s="20">
        <f t="shared" ca="1" si="7"/>
        <v>129</v>
      </c>
      <c r="E143" s="20">
        <v>1</v>
      </c>
      <c r="H143" s="20">
        <f t="shared" si="8"/>
        <v>5</v>
      </c>
      <c r="M143" s="20">
        <v>142</v>
      </c>
    </row>
    <row r="144" spans="1:13" x14ac:dyDescent="0.15">
      <c r="A144" s="20">
        <f>collect!A144</f>
        <v>6</v>
      </c>
      <c r="B144" s="20">
        <f>collect!B144</f>
        <v>604</v>
      </c>
      <c r="C144" s="20">
        <f t="shared" ca="1" si="6"/>
        <v>50003</v>
      </c>
      <c r="D144" s="20">
        <f t="shared" ca="1" si="7"/>
        <v>88</v>
      </c>
      <c r="E144" s="20">
        <v>1</v>
      </c>
      <c r="H144" s="20">
        <f t="shared" si="8"/>
        <v>8</v>
      </c>
      <c r="M144" s="20">
        <v>143</v>
      </c>
    </row>
    <row r="145" spans="1:13" x14ac:dyDescent="0.15">
      <c r="A145" s="20">
        <f>collect!A145</f>
        <v>6</v>
      </c>
      <c r="B145" s="20">
        <f>collect!B145</f>
        <v>604</v>
      </c>
      <c r="C145" s="20">
        <f t="shared" ca="1" si="6"/>
        <v>50174</v>
      </c>
      <c r="D145" s="20">
        <f t="shared" ca="1" si="7"/>
        <v>88</v>
      </c>
      <c r="E145" s="20">
        <v>1</v>
      </c>
      <c r="H145" s="20">
        <f t="shared" si="8"/>
        <v>11</v>
      </c>
      <c r="M145" s="20">
        <v>144</v>
      </c>
    </row>
    <row r="146" spans="1:13" x14ac:dyDescent="0.15">
      <c r="A146" s="20">
        <f>collect!A146</f>
        <v>6</v>
      </c>
      <c r="B146" s="20">
        <f>collect!B146</f>
        <v>604</v>
      </c>
      <c r="C146" s="20">
        <f t="shared" ca="1" si="6"/>
        <v>50013</v>
      </c>
      <c r="D146" s="20">
        <f t="shared" ca="1" si="7"/>
        <v>181</v>
      </c>
      <c r="E146" s="20">
        <v>1</v>
      </c>
      <c r="H146" s="20">
        <f t="shared" si="8"/>
        <v>14</v>
      </c>
      <c r="M146" s="20">
        <v>145</v>
      </c>
    </row>
    <row r="147" spans="1:13" x14ac:dyDescent="0.15">
      <c r="A147" s="20">
        <f>collect!A147</f>
        <v>6</v>
      </c>
      <c r="B147" s="20">
        <f>collect!B147</f>
        <v>605</v>
      </c>
      <c r="C147" s="20">
        <f t="shared" si="6"/>
        <v>50030</v>
      </c>
      <c r="D147" s="20">
        <f t="shared" si="7"/>
        <v>88</v>
      </c>
      <c r="E147" s="20">
        <v>1</v>
      </c>
      <c r="H147" s="20">
        <f t="shared" si="8"/>
        <v>2</v>
      </c>
      <c r="M147" s="20">
        <v>146</v>
      </c>
    </row>
    <row r="148" spans="1:13" x14ac:dyDescent="0.15">
      <c r="A148" s="20">
        <f>collect!A148</f>
        <v>6</v>
      </c>
      <c r="B148" s="20">
        <f>collect!B148</f>
        <v>605</v>
      </c>
      <c r="C148" s="20">
        <f t="shared" ca="1" si="6"/>
        <v>50010</v>
      </c>
      <c r="D148" s="20">
        <f t="shared" ca="1" si="7"/>
        <v>129</v>
      </c>
      <c r="E148" s="20">
        <v>1</v>
      </c>
      <c r="H148" s="20">
        <f t="shared" si="8"/>
        <v>5</v>
      </c>
      <c r="M148" s="20">
        <v>147</v>
      </c>
    </row>
    <row r="149" spans="1:13" x14ac:dyDescent="0.15">
      <c r="A149" s="20">
        <f>collect!A149</f>
        <v>6</v>
      </c>
      <c r="B149" s="20">
        <f>collect!B149</f>
        <v>605</v>
      </c>
      <c r="C149" s="20">
        <f t="shared" ca="1" si="6"/>
        <v>50089</v>
      </c>
      <c r="D149" s="20">
        <f t="shared" ca="1" si="7"/>
        <v>88</v>
      </c>
      <c r="E149" s="20">
        <v>1</v>
      </c>
      <c r="H149" s="20">
        <f t="shared" si="8"/>
        <v>8</v>
      </c>
      <c r="M149" s="20">
        <v>148</v>
      </c>
    </row>
    <row r="150" spans="1:13" x14ac:dyDescent="0.15">
      <c r="A150" s="20">
        <f>collect!A150</f>
        <v>6</v>
      </c>
      <c r="B150" s="20">
        <f>collect!B150</f>
        <v>605</v>
      </c>
      <c r="C150" s="20">
        <f t="shared" ca="1" si="6"/>
        <v>50005</v>
      </c>
      <c r="D150" s="20">
        <f t="shared" ca="1" si="7"/>
        <v>181</v>
      </c>
      <c r="E150" s="20">
        <v>1</v>
      </c>
      <c r="H150" s="20">
        <f t="shared" si="8"/>
        <v>11</v>
      </c>
      <c r="M150" s="20">
        <v>149</v>
      </c>
    </row>
    <row r="151" spans="1:13" x14ac:dyDescent="0.15">
      <c r="A151" s="20">
        <f>collect!A151</f>
        <v>6</v>
      </c>
      <c r="B151" s="20">
        <f>collect!B151</f>
        <v>605</v>
      </c>
      <c r="C151" s="20">
        <f t="shared" ca="1" si="6"/>
        <v>50019</v>
      </c>
      <c r="D151" s="20">
        <f t="shared" ca="1" si="7"/>
        <v>88</v>
      </c>
      <c r="E151" s="20">
        <v>1</v>
      </c>
      <c r="H151" s="20">
        <f t="shared" si="8"/>
        <v>14</v>
      </c>
      <c r="M151" s="20">
        <v>150</v>
      </c>
    </row>
    <row r="152" spans="1:13" x14ac:dyDescent="0.15">
      <c r="A152" s="20">
        <f>collect!A152</f>
        <v>7</v>
      </c>
      <c r="B152" s="20">
        <f>collect!B152</f>
        <v>701</v>
      </c>
      <c r="C152" s="20">
        <f t="shared" si="6"/>
        <v>50032</v>
      </c>
      <c r="D152" s="20">
        <f t="shared" si="7"/>
        <v>88</v>
      </c>
      <c r="E152" s="20">
        <v>1</v>
      </c>
      <c r="H152" s="20">
        <f t="shared" si="8"/>
        <v>2</v>
      </c>
      <c r="M152" s="20">
        <v>151</v>
      </c>
    </row>
    <row r="153" spans="1:13" x14ac:dyDescent="0.15">
      <c r="A153" s="20">
        <f>collect!A153</f>
        <v>7</v>
      </c>
      <c r="B153" s="20">
        <f>collect!B153</f>
        <v>701</v>
      </c>
      <c r="C153" s="20">
        <f t="shared" ca="1" si="6"/>
        <v>50087</v>
      </c>
      <c r="D153" s="20">
        <f t="shared" ca="1" si="7"/>
        <v>129</v>
      </c>
      <c r="E153" s="20">
        <v>1</v>
      </c>
      <c r="H153" s="20">
        <f t="shared" si="8"/>
        <v>5</v>
      </c>
      <c r="M153" s="20">
        <v>152</v>
      </c>
    </row>
    <row r="154" spans="1:13" x14ac:dyDescent="0.15">
      <c r="A154" s="20">
        <f>collect!A154</f>
        <v>7</v>
      </c>
      <c r="B154" s="20">
        <f>collect!B154</f>
        <v>701</v>
      </c>
      <c r="C154" s="20">
        <f t="shared" ca="1" si="6"/>
        <v>50088</v>
      </c>
      <c r="D154" s="20">
        <f t="shared" ca="1" si="7"/>
        <v>129</v>
      </c>
      <c r="E154" s="20">
        <v>1</v>
      </c>
      <c r="H154" s="20">
        <f t="shared" si="8"/>
        <v>8</v>
      </c>
      <c r="M154" s="20">
        <v>153</v>
      </c>
    </row>
    <row r="155" spans="1:13" x14ac:dyDescent="0.15">
      <c r="A155" s="20">
        <f>collect!A155</f>
        <v>7</v>
      </c>
      <c r="B155" s="20">
        <f>collect!B155</f>
        <v>701</v>
      </c>
      <c r="C155" s="20">
        <f t="shared" ca="1" si="6"/>
        <v>50088</v>
      </c>
      <c r="D155" s="20">
        <f t="shared" ca="1" si="7"/>
        <v>129</v>
      </c>
      <c r="E155" s="20">
        <v>1</v>
      </c>
      <c r="H155" s="20">
        <f t="shared" si="8"/>
        <v>11</v>
      </c>
      <c r="M155" s="20">
        <v>154</v>
      </c>
    </row>
    <row r="156" spans="1:13" x14ac:dyDescent="0.15">
      <c r="A156" s="20">
        <f>collect!A156</f>
        <v>7</v>
      </c>
      <c r="B156" s="20">
        <f>collect!B156</f>
        <v>701</v>
      </c>
      <c r="C156" s="20">
        <f t="shared" ca="1" si="6"/>
        <v>50023</v>
      </c>
      <c r="D156" s="20">
        <f t="shared" ca="1" si="7"/>
        <v>88</v>
      </c>
      <c r="E156" s="20">
        <v>1</v>
      </c>
      <c r="H156" s="20">
        <f t="shared" si="8"/>
        <v>14</v>
      </c>
      <c r="M156" s="20">
        <v>155</v>
      </c>
    </row>
    <row r="157" spans="1:13" x14ac:dyDescent="0.15">
      <c r="A157" s="20">
        <f>collect!A157</f>
        <v>7</v>
      </c>
      <c r="B157" s="20">
        <f>collect!B157</f>
        <v>702</v>
      </c>
      <c r="C157" s="20">
        <f t="shared" si="6"/>
        <v>50036</v>
      </c>
      <c r="D157" s="20">
        <f t="shared" si="7"/>
        <v>88</v>
      </c>
      <c r="E157" s="20">
        <v>1</v>
      </c>
      <c r="H157" s="20">
        <f t="shared" si="8"/>
        <v>2</v>
      </c>
      <c r="M157" s="20">
        <v>156</v>
      </c>
    </row>
    <row r="158" spans="1:13" x14ac:dyDescent="0.15">
      <c r="A158" s="20">
        <f>collect!A158</f>
        <v>7</v>
      </c>
      <c r="B158" s="20">
        <f>collect!B158</f>
        <v>702</v>
      </c>
      <c r="C158" s="20">
        <f t="shared" ca="1" si="6"/>
        <v>50009</v>
      </c>
      <c r="D158" s="20">
        <f t="shared" ca="1" si="7"/>
        <v>181</v>
      </c>
      <c r="E158" s="20">
        <v>1</v>
      </c>
      <c r="H158" s="20">
        <f t="shared" si="8"/>
        <v>5</v>
      </c>
      <c r="M158" s="20">
        <v>157</v>
      </c>
    </row>
    <row r="159" spans="1:13" x14ac:dyDescent="0.15">
      <c r="A159" s="20">
        <f>collect!A159</f>
        <v>7</v>
      </c>
      <c r="B159" s="20">
        <f>collect!B159</f>
        <v>702</v>
      </c>
      <c r="C159" s="20">
        <f t="shared" ca="1" si="6"/>
        <v>50016</v>
      </c>
      <c r="D159" s="20">
        <f t="shared" ca="1" si="7"/>
        <v>88</v>
      </c>
      <c r="E159" s="20">
        <v>1</v>
      </c>
      <c r="H159" s="20">
        <f t="shared" si="8"/>
        <v>8</v>
      </c>
      <c r="M159" s="20">
        <v>158</v>
      </c>
    </row>
    <row r="160" spans="1:13" x14ac:dyDescent="0.15">
      <c r="A160" s="20">
        <f>collect!A160</f>
        <v>7</v>
      </c>
      <c r="B160" s="20">
        <f>collect!B160</f>
        <v>702</v>
      </c>
      <c r="C160" s="20">
        <f t="shared" ca="1" si="6"/>
        <v>50087</v>
      </c>
      <c r="D160" s="20">
        <f t="shared" ca="1" si="7"/>
        <v>129</v>
      </c>
      <c r="E160" s="20">
        <v>1</v>
      </c>
      <c r="H160" s="20">
        <f t="shared" si="8"/>
        <v>11</v>
      </c>
      <c r="M160" s="20">
        <v>159</v>
      </c>
    </row>
    <row r="161" spans="1:13" x14ac:dyDescent="0.15">
      <c r="A161" s="20">
        <f>collect!A161</f>
        <v>7</v>
      </c>
      <c r="B161" s="20">
        <f>collect!B161</f>
        <v>702</v>
      </c>
      <c r="C161" s="20">
        <f t="shared" ca="1" si="6"/>
        <v>50018</v>
      </c>
      <c r="D161" s="20">
        <f t="shared" ca="1" si="7"/>
        <v>88</v>
      </c>
      <c r="E161" s="20">
        <v>1</v>
      </c>
      <c r="H161" s="20">
        <f t="shared" si="8"/>
        <v>14</v>
      </c>
      <c r="M161" s="20">
        <v>160</v>
      </c>
    </row>
    <row r="162" spans="1:13" x14ac:dyDescent="0.15">
      <c r="A162" s="20">
        <f>collect!A162</f>
        <v>7</v>
      </c>
      <c r="B162" s="20">
        <f>collect!B162</f>
        <v>703</v>
      </c>
      <c r="C162" s="20">
        <f t="shared" si="6"/>
        <v>50089</v>
      </c>
      <c r="D162" s="20">
        <f t="shared" si="7"/>
        <v>88</v>
      </c>
      <c r="E162" s="20">
        <v>1</v>
      </c>
      <c r="H162" s="20">
        <f t="shared" si="8"/>
        <v>2</v>
      </c>
      <c r="M162" s="20">
        <v>161</v>
      </c>
    </row>
    <row r="163" spans="1:13" x14ac:dyDescent="0.15">
      <c r="A163" s="20">
        <f>collect!A163</f>
        <v>7</v>
      </c>
      <c r="B163" s="20">
        <f>collect!B163</f>
        <v>703</v>
      </c>
      <c r="C163" s="20">
        <f t="shared" ca="1" si="6"/>
        <v>50013</v>
      </c>
      <c r="D163" s="20">
        <f t="shared" ca="1" si="7"/>
        <v>181</v>
      </c>
      <c r="E163" s="20">
        <v>1</v>
      </c>
      <c r="H163" s="20">
        <f t="shared" si="8"/>
        <v>5</v>
      </c>
      <c r="M163" s="20">
        <v>162</v>
      </c>
    </row>
    <row r="164" spans="1:13" x14ac:dyDescent="0.15">
      <c r="A164" s="20">
        <f>collect!A164</f>
        <v>7</v>
      </c>
      <c r="B164" s="20">
        <f>collect!B164</f>
        <v>703</v>
      </c>
      <c r="C164" s="20">
        <f t="shared" ca="1" si="6"/>
        <v>50023</v>
      </c>
      <c r="D164" s="20">
        <f t="shared" ca="1" si="7"/>
        <v>88</v>
      </c>
      <c r="E164" s="20">
        <v>1</v>
      </c>
      <c r="H164" s="20">
        <f t="shared" si="8"/>
        <v>8</v>
      </c>
      <c r="M164" s="20">
        <v>163</v>
      </c>
    </row>
    <row r="165" spans="1:13" x14ac:dyDescent="0.15">
      <c r="A165" s="20">
        <f>collect!A165</f>
        <v>7</v>
      </c>
      <c r="B165" s="20">
        <f>collect!B165</f>
        <v>703</v>
      </c>
      <c r="C165" s="20">
        <f t="shared" ca="1" si="6"/>
        <v>50019</v>
      </c>
      <c r="D165" s="20">
        <f t="shared" ca="1" si="7"/>
        <v>88</v>
      </c>
      <c r="E165" s="20">
        <v>1</v>
      </c>
      <c r="H165" s="20">
        <f t="shared" si="8"/>
        <v>11</v>
      </c>
      <c r="M165" s="20">
        <v>164</v>
      </c>
    </row>
    <row r="166" spans="1:13" x14ac:dyDescent="0.15">
      <c r="A166" s="20">
        <f>collect!A166</f>
        <v>7</v>
      </c>
      <c r="B166" s="20">
        <f>collect!B166</f>
        <v>703</v>
      </c>
      <c r="C166" s="20">
        <f t="shared" ca="1" si="6"/>
        <v>50010</v>
      </c>
      <c r="D166" s="20">
        <f t="shared" ca="1" si="7"/>
        <v>129</v>
      </c>
      <c r="E166" s="20">
        <v>1</v>
      </c>
      <c r="H166" s="20">
        <f t="shared" si="8"/>
        <v>14</v>
      </c>
      <c r="M166" s="20">
        <v>165</v>
      </c>
    </row>
    <row r="167" spans="1:13" x14ac:dyDescent="0.15">
      <c r="A167" s="20">
        <f>collect!A167</f>
        <v>7</v>
      </c>
      <c r="B167" s="20">
        <f>collect!B167</f>
        <v>704</v>
      </c>
      <c r="C167" s="20">
        <f t="shared" si="6"/>
        <v>50173</v>
      </c>
      <c r="D167" s="20">
        <f t="shared" si="7"/>
        <v>88</v>
      </c>
      <c r="E167" s="20">
        <v>1</v>
      </c>
      <c r="H167" s="20">
        <f t="shared" si="8"/>
        <v>2</v>
      </c>
      <c r="M167" s="20">
        <v>166</v>
      </c>
    </row>
    <row r="168" spans="1:13" x14ac:dyDescent="0.15">
      <c r="A168" s="20">
        <f>collect!A168</f>
        <v>7</v>
      </c>
      <c r="B168" s="20">
        <f>collect!B168</f>
        <v>704</v>
      </c>
      <c r="C168" s="20">
        <f t="shared" ca="1" si="6"/>
        <v>50015</v>
      </c>
      <c r="D168" s="20">
        <f t="shared" ca="1" si="7"/>
        <v>181</v>
      </c>
      <c r="E168" s="20">
        <v>1</v>
      </c>
      <c r="H168" s="20">
        <f t="shared" si="8"/>
        <v>5</v>
      </c>
      <c r="M168" s="20">
        <v>167</v>
      </c>
    </row>
    <row r="169" spans="1:13" x14ac:dyDescent="0.15">
      <c r="A169" s="20">
        <f>collect!A169</f>
        <v>7</v>
      </c>
      <c r="B169" s="20">
        <f>collect!B169</f>
        <v>704</v>
      </c>
      <c r="C169" s="20">
        <f t="shared" ca="1" si="6"/>
        <v>50176</v>
      </c>
      <c r="D169" s="20">
        <f t="shared" ca="1" si="7"/>
        <v>88</v>
      </c>
      <c r="E169" s="20">
        <v>1</v>
      </c>
      <c r="H169" s="20">
        <f t="shared" si="8"/>
        <v>8</v>
      </c>
      <c r="M169" s="20">
        <v>168</v>
      </c>
    </row>
    <row r="170" spans="1:13" x14ac:dyDescent="0.15">
      <c r="A170" s="20">
        <f>collect!A170</f>
        <v>7</v>
      </c>
      <c r="B170" s="20">
        <f>collect!B170</f>
        <v>704</v>
      </c>
      <c r="C170" s="20">
        <f t="shared" ca="1" si="6"/>
        <v>50001</v>
      </c>
      <c r="D170" s="20">
        <f t="shared" ca="1" si="7"/>
        <v>181</v>
      </c>
      <c r="E170" s="20">
        <v>1</v>
      </c>
      <c r="H170" s="20">
        <f t="shared" si="8"/>
        <v>11</v>
      </c>
      <c r="M170" s="20">
        <v>169</v>
      </c>
    </row>
    <row r="171" spans="1:13" x14ac:dyDescent="0.15">
      <c r="A171" s="20">
        <f>collect!A171</f>
        <v>7</v>
      </c>
      <c r="B171" s="20">
        <f>collect!B171</f>
        <v>704</v>
      </c>
      <c r="C171" s="20">
        <f t="shared" ca="1" si="6"/>
        <v>50176</v>
      </c>
      <c r="D171" s="20">
        <f t="shared" ca="1" si="7"/>
        <v>88</v>
      </c>
      <c r="E171" s="20">
        <v>1</v>
      </c>
      <c r="H171" s="20">
        <f t="shared" si="8"/>
        <v>14</v>
      </c>
      <c r="M171" s="20">
        <v>170</v>
      </c>
    </row>
    <row r="172" spans="1:13" x14ac:dyDescent="0.15">
      <c r="A172" s="20">
        <f>collect!A172</f>
        <v>7</v>
      </c>
      <c r="B172" s="20">
        <f>collect!B172</f>
        <v>705</v>
      </c>
      <c r="C172" s="20">
        <f t="shared" si="6"/>
        <v>50174</v>
      </c>
      <c r="D172" s="20">
        <f t="shared" si="7"/>
        <v>88</v>
      </c>
      <c r="E172" s="20">
        <v>1</v>
      </c>
      <c r="H172" s="20">
        <f t="shared" si="8"/>
        <v>2</v>
      </c>
      <c r="M172" s="20">
        <v>171</v>
      </c>
    </row>
    <row r="173" spans="1:13" x14ac:dyDescent="0.15">
      <c r="A173" s="20">
        <f>collect!A173</f>
        <v>7</v>
      </c>
      <c r="B173" s="20">
        <f>collect!B173</f>
        <v>705</v>
      </c>
      <c r="C173" s="20">
        <f t="shared" ca="1" si="6"/>
        <v>50013</v>
      </c>
      <c r="D173" s="20">
        <f t="shared" ca="1" si="7"/>
        <v>181</v>
      </c>
      <c r="E173" s="20">
        <v>1</v>
      </c>
      <c r="H173" s="20">
        <f t="shared" si="8"/>
        <v>5</v>
      </c>
      <c r="M173" s="20">
        <v>172</v>
      </c>
    </row>
    <row r="174" spans="1:13" x14ac:dyDescent="0.15">
      <c r="A174" s="20">
        <f>collect!A174</f>
        <v>7</v>
      </c>
      <c r="B174" s="20">
        <f>collect!B174</f>
        <v>705</v>
      </c>
      <c r="C174" s="20">
        <f t="shared" ca="1" si="6"/>
        <v>50030</v>
      </c>
      <c r="D174" s="20">
        <f t="shared" ca="1" si="7"/>
        <v>88</v>
      </c>
      <c r="E174" s="20">
        <v>1</v>
      </c>
      <c r="H174" s="20">
        <f t="shared" si="8"/>
        <v>8</v>
      </c>
      <c r="M174" s="20">
        <v>173</v>
      </c>
    </row>
    <row r="175" spans="1:13" x14ac:dyDescent="0.15">
      <c r="A175" s="20">
        <f>collect!A175</f>
        <v>7</v>
      </c>
      <c r="B175" s="20">
        <f>collect!B175</f>
        <v>705</v>
      </c>
      <c r="C175" s="20">
        <f t="shared" ca="1" si="6"/>
        <v>50007</v>
      </c>
      <c r="D175" s="20">
        <f t="shared" ca="1" si="7"/>
        <v>88</v>
      </c>
      <c r="E175" s="20">
        <v>1</v>
      </c>
      <c r="H175" s="20">
        <f t="shared" si="8"/>
        <v>11</v>
      </c>
      <c r="M175" s="20">
        <v>174</v>
      </c>
    </row>
    <row r="176" spans="1:13" x14ac:dyDescent="0.15">
      <c r="A176" s="20">
        <f>collect!A176</f>
        <v>7</v>
      </c>
      <c r="B176" s="20">
        <f>collect!B176</f>
        <v>705</v>
      </c>
      <c r="C176" s="20">
        <f t="shared" ca="1" si="6"/>
        <v>50027</v>
      </c>
      <c r="D176" s="20">
        <f t="shared" ca="1" si="7"/>
        <v>88</v>
      </c>
      <c r="E176" s="20">
        <v>1</v>
      </c>
      <c r="H176" s="20">
        <f t="shared" si="8"/>
        <v>14</v>
      </c>
      <c r="M176" s="20">
        <v>175</v>
      </c>
    </row>
    <row r="177" spans="1:13" x14ac:dyDescent="0.15">
      <c r="A177" s="20">
        <f>collect!A177</f>
        <v>8</v>
      </c>
      <c r="B177" s="20">
        <f>collect!B177</f>
        <v>801</v>
      </c>
      <c r="C177" s="20">
        <f t="shared" si="6"/>
        <v>50175</v>
      </c>
      <c r="D177" s="20">
        <f t="shared" si="7"/>
        <v>88</v>
      </c>
      <c r="E177" s="20">
        <v>1</v>
      </c>
      <c r="H177" s="20">
        <f t="shared" si="8"/>
        <v>2</v>
      </c>
      <c r="M177" s="20">
        <v>176</v>
      </c>
    </row>
    <row r="178" spans="1:13" x14ac:dyDescent="0.15">
      <c r="A178" s="20">
        <f>collect!A178</f>
        <v>8</v>
      </c>
      <c r="B178" s="20">
        <f>collect!B178</f>
        <v>801</v>
      </c>
      <c r="C178" s="20">
        <f t="shared" ca="1" si="6"/>
        <v>50088</v>
      </c>
      <c r="D178" s="20">
        <f t="shared" ca="1" si="7"/>
        <v>129</v>
      </c>
      <c r="E178" s="20">
        <v>1</v>
      </c>
      <c r="H178" s="20">
        <f t="shared" si="8"/>
        <v>5</v>
      </c>
      <c r="M178" s="20">
        <v>177</v>
      </c>
    </row>
    <row r="179" spans="1:13" x14ac:dyDescent="0.15">
      <c r="A179" s="20">
        <f>collect!A179</f>
        <v>8</v>
      </c>
      <c r="B179" s="20">
        <f>collect!B179</f>
        <v>801</v>
      </c>
      <c r="C179" s="20">
        <f t="shared" ca="1" si="6"/>
        <v>50173</v>
      </c>
      <c r="D179" s="20">
        <f t="shared" ca="1" si="7"/>
        <v>88</v>
      </c>
      <c r="E179" s="20">
        <v>1</v>
      </c>
      <c r="H179" s="20">
        <f t="shared" si="8"/>
        <v>8</v>
      </c>
      <c r="M179" s="20">
        <v>178</v>
      </c>
    </row>
    <row r="180" spans="1:13" x14ac:dyDescent="0.15">
      <c r="A180" s="20">
        <f>collect!A180</f>
        <v>8</v>
      </c>
      <c r="B180" s="20">
        <f>collect!B180</f>
        <v>801</v>
      </c>
      <c r="C180" s="20">
        <f t="shared" ca="1" si="6"/>
        <v>50173</v>
      </c>
      <c r="D180" s="20">
        <f t="shared" ca="1" si="7"/>
        <v>88</v>
      </c>
      <c r="E180" s="20">
        <v>1</v>
      </c>
      <c r="H180" s="20">
        <f t="shared" si="8"/>
        <v>11</v>
      </c>
      <c r="M180" s="20">
        <v>179</v>
      </c>
    </row>
    <row r="181" spans="1:13" x14ac:dyDescent="0.15">
      <c r="A181" s="20">
        <f>collect!A181</f>
        <v>8</v>
      </c>
      <c r="B181" s="20">
        <f>collect!B181</f>
        <v>801</v>
      </c>
      <c r="C181" s="20">
        <f t="shared" ca="1" si="6"/>
        <v>50173</v>
      </c>
      <c r="D181" s="20">
        <f t="shared" ca="1" si="7"/>
        <v>88</v>
      </c>
      <c r="E181" s="20">
        <v>1</v>
      </c>
      <c r="H181" s="20">
        <f t="shared" si="8"/>
        <v>14</v>
      </c>
      <c r="M181" s="20">
        <v>180</v>
      </c>
    </row>
    <row r="182" spans="1:13" x14ac:dyDescent="0.15">
      <c r="A182" s="20">
        <f>collect!A182</f>
        <v>8</v>
      </c>
      <c r="B182" s="20">
        <f>collect!B182</f>
        <v>802</v>
      </c>
      <c r="C182" s="20">
        <f t="shared" si="6"/>
        <v>50176</v>
      </c>
      <c r="D182" s="20">
        <f t="shared" si="7"/>
        <v>88</v>
      </c>
      <c r="E182" s="20">
        <v>1</v>
      </c>
      <c r="H182" s="20">
        <f t="shared" si="8"/>
        <v>2</v>
      </c>
      <c r="M182" s="20">
        <v>181</v>
      </c>
    </row>
    <row r="183" spans="1:13" x14ac:dyDescent="0.15">
      <c r="A183" s="20">
        <f>collect!A183</f>
        <v>8</v>
      </c>
      <c r="B183" s="20">
        <f>collect!B183</f>
        <v>802</v>
      </c>
      <c r="C183" s="20">
        <f t="shared" ca="1" si="6"/>
        <v>50015</v>
      </c>
      <c r="D183" s="20">
        <f t="shared" ca="1" si="7"/>
        <v>181</v>
      </c>
      <c r="E183" s="20">
        <v>1</v>
      </c>
      <c r="H183" s="20">
        <f t="shared" si="8"/>
        <v>5</v>
      </c>
      <c r="M183" s="20">
        <v>182</v>
      </c>
    </row>
    <row r="184" spans="1:13" x14ac:dyDescent="0.15">
      <c r="A184" s="20">
        <f>collect!A184</f>
        <v>8</v>
      </c>
      <c r="B184" s="20">
        <f>collect!B184</f>
        <v>802</v>
      </c>
      <c r="C184" s="20">
        <f t="shared" ca="1" si="6"/>
        <v>50026</v>
      </c>
      <c r="D184" s="20">
        <f t="shared" ca="1" si="7"/>
        <v>88</v>
      </c>
      <c r="E184" s="20">
        <v>1</v>
      </c>
      <c r="H184" s="20">
        <f t="shared" si="8"/>
        <v>8</v>
      </c>
      <c r="M184" s="20">
        <v>183</v>
      </c>
    </row>
    <row r="185" spans="1:13" x14ac:dyDescent="0.15">
      <c r="A185" s="20">
        <f>collect!A185</f>
        <v>8</v>
      </c>
      <c r="B185" s="20">
        <f>collect!B185</f>
        <v>802</v>
      </c>
      <c r="C185" s="20">
        <f t="shared" ca="1" si="6"/>
        <v>50018</v>
      </c>
      <c r="D185" s="20">
        <f t="shared" ca="1" si="7"/>
        <v>88</v>
      </c>
      <c r="E185" s="20">
        <v>1</v>
      </c>
      <c r="H185" s="20">
        <f t="shared" si="8"/>
        <v>11</v>
      </c>
      <c r="M185" s="20">
        <v>184</v>
      </c>
    </row>
    <row r="186" spans="1:13" x14ac:dyDescent="0.15">
      <c r="A186" s="20">
        <f>collect!A186</f>
        <v>8</v>
      </c>
      <c r="B186" s="20">
        <f>collect!B186</f>
        <v>802</v>
      </c>
      <c r="C186" s="20">
        <f t="shared" ca="1" si="6"/>
        <v>50009</v>
      </c>
      <c r="D186" s="20">
        <f t="shared" ca="1" si="7"/>
        <v>181</v>
      </c>
      <c r="E186" s="20">
        <v>1</v>
      </c>
      <c r="H186" s="20">
        <f t="shared" si="8"/>
        <v>14</v>
      </c>
      <c r="M186" s="20">
        <v>185</v>
      </c>
    </row>
    <row r="187" spans="1:13" x14ac:dyDescent="0.15">
      <c r="A187" s="20">
        <f>collect!A187</f>
        <v>8</v>
      </c>
      <c r="B187" s="20">
        <f>collect!B187</f>
        <v>803</v>
      </c>
      <c r="C187" s="20">
        <f t="shared" si="6"/>
        <v>50004</v>
      </c>
      <c r="D187" s="20">
        <f t="shared" si="7"/>
        <v>55</v>
      </c>
      <c r="E187" s="20">
        <v>1</v>
      </c>
      <c r="H187" s="20">
        <f t="shared" si="8"/>
        <v>2</v>
      </c>
      <c r="M187" s="20">
        <v>186</v>
      </c>
    </row>
    <row r="188" spans="1:13" x14ac:dyDescent="0.15">
      <c r="A188" s="20">
        <f>collect!A188</f>
        <v>8</v>
      </c>
      <c r="B188" s="20">
        <f>collect!B188</f>
        <v>803</v>
      </c>
      <c r="C188" s="20">
        <f t="shared" ca="1" si="6"/>
        <v>50088</v>
      </c>
      <c r="D188" s="20">
        <f t="shared" ca="1" si="7"/>
        <v>129</v>
      </c>
      <c r="E188" s="20">
        <v>1</v>
      </c>
      <c r="H188" s="20">
        <f t="shared" si="8"/>
        <v>5</v>
      </c>
      <c r="M188" s="20">
        <v>187</v>
      </c>
    </row>
    <row r="189" spans="1:13" x14ac:dyDescent="0.15">
      <c r="A189" s="20">
        <f>collect!A189</f>
        <v>8</v>
      </c>
      <c r="B189" s="20">
        <f>collect!B189</f>
        <v>803</v>
      </c>
      <c r="C189" s="20">
        <f t="shared" ca="1" si="6"/>
        <v>50014</v>
      </c>
      <c r="D189" s="20">
        <f t="shared" ca="1" si="7"/>
        <v>88</v>
      </c>
      <c r="E189" s="20">
        <v>1</v>
      </c>
      <c r="H189" s="20">
        <f t="shared" si="8"/>
        <v>8</v>
      </c>
      <c r="M189" s="20">
        <v>188</v>
      </c>
    </row>
    <row r="190" spans="1:13" x14ac:dyDescent="0.15">
      <c r="A190" s="20">
        <f>collect!A190</f>
        <v>8</v>
      </c>
      <c r="B190" s="20">
        <f>collect!B190</f>
        <v>803</v>
      </c>
      <c r="C190" s="20">
        <f t="shared" ca="1" si="6"/>
        <v>50018</v>
      </c>
      <c r="D190" s="20">
        <f t="shared" ca="1" si="7"/>
        <v>88</v>
      </c>
      <c r="E190" s="20">
        <v>1</v>
      </c>
      <c r="H190" s="20">
        <f t="shared" si="8"/>
        <v>11</v>
      </c>
      <c r="M190" s="20">
        <v>189</v>
      </c>
    </row>
    <row r="191" spans="1:13" x14ac:dyDescent="0.15">
      <c r="A191" s="20">
        <f>collect!A191</f>
        <v>8</v>
      </c>
      <c r="B191" s="20">
        <f>collect!B191</f>
        <v>803</v>
      </c>
      <c r="C191" s="20">
        <f t="shared" ca="1" si="6"/>
        <v>50088</v>
      </c>
      <c r="D191" s="20">
        <f t="shared" ca="1" si="7"/>
        <v>129</v>
      </c>
      <c r="E191" s="20">
        <v>1</v>
      </c>
      <c r="H191" s="20">
        <f t="shared" si="8"/>
        <v>14</v>
      </c>
      <c r="M191" s="20">
        <v>190</v>
      </c>
    </row>
    <row r="192" spans="1:13" x14ac:dyDescent="0.15">
      <c r="A192" s="20">
        <f>collect!A192</f>
        <v>8</v>
      </c>
      <c r="B192" s="20">
        <f>collect!B192</f>
        <v>804</v>
      </c>
      <c r="C192" s="20">
        <f t="shared" si="6"/>
        <v>50008</v>
      </c>
      <c r="D192" s="20">
        <f t="shared" si="7"/>
        <v>55</v>
      </c>
      <c r="E192" s="20">
        <v>1</v>
      </c>
      <c r="H192" s="20">
        <f t="shared" si="8"/>
        <v>2</v>
      </c>
      <c r="M192" s="20">
        <v>191</v>
      </c>
    </row>
    <row r="193" spans="1:13" x14ac:dyDescent="0.15">
      <c r="A193" s="20">
        <f>collect!A193</f>
        <v>8</v>
      </c>
      <c r="B193" s="20">
        <f>collect!B193</f>
        <v>804</v>
      </c>
      <c r="C193" s="20">
        <f t="shared" ca="1" si="6"/>
        <v>50035</v>
      </c>
      <c r="D193" s="20">
        <f t="shared" ca="1" si="7"/>
        <v>181</v>
      </c>
      <c r="E193" s="20">
        <v>1</v>
      </c>
      <c r="H193" s="20">
        <f t="shared" si="8"/>
        <v>5</v>
      </c>
      <c r="M193" s="20">
        <v>192</v>
      </c>
    </row>
    <row r="194" spans="1:13" x14ac:dyDescent="0.15">
      <c r="A194" s="20">
        <f>collect!A194</f>
        <v>8</v>
      </c>
      <c r="B194" s="20">
        <f>collect!B194</f>
        <v>804</v>
      </c>
      <c r="C194" s="20">
        <f t="shared" ref="C194:C257" ca="1" si="9">VLOOKUP(B194,plan2,H194,FALSE)</f>
        <v>50024</v>
      </c>
      <c r="D194" s="20">
        <f t="shared" ref="D194:D257" ca="1" si="10">VLOOKUP(C194,marking,9,FALSE)</f>
        <v>88</v>
      </c>
      <c r="E194" s="20">
        <v>1</v>
      </c>
      <c r="H194" s="20">
        <f t="shared" si="8"/>
        <v>8</v>
      </c>
      <c r="M194" s="20">
        <v>193</v>
      </c>
    </row>
    <row r="195" spans="1:13" x14ac:dyDescent="0.15">
      <c r="A195" s="20">
        <f>collect!A195</f>
        <v>8</v>
      </c>
      <c r="B195" s="20">
        <f>collect!B195</f>
        <v>804</v>
      </c>
      <c r="C195" s="20">
        <f t="shared" ca="1" si="9"/>
        <v>50001</v>
      </c>
      <c r="D195" s="20">
        <f t="shared" ca="1" si="10"/>
        <v>181</v>
      </c>
      <c r="E195" s="20">
        <v>1</v>
      </c>
      <c r="H195" s="20">
        <f t="shared" si="8"/>
        <v>11</v>
      </c>
      <c r="M195" s="20">
        <v>194</v>
      </c>
    </row>
    <row r="196" spans="1:13" x14ac:dyDescent="0.15">
      <c r="A196" s="20">
        <f>collect!A196</f>
        <v>8</v>
      </c>
      <c r="B196" s="20">
        <f>collect!B196</f>
        <v>804</v>
      </c>
      <c r="C196" s="20">
        <f t="shared" ca="1" si="9"/>
        <v>50016</v>
      </c>
      <c r="D196" s="20">
        <f t="shared" ca="1" si="10"/>
        <v>88</v>
      </c>
      <c r="E196" s="20">
        <v>1</v>
      </c>
      <c r="H196" s="20">
        <f t="shared" si="8"/>
        <v>14</v>
      </c>
      <c r="M196" s="20">
        <v>195</v>
      </c>
    </row>
    <row r="197" spans="1:13" x14ac:dyDescent="0.15">
      <c r="A197" s="20">
        <f>collect!A197</f>
        <v>8</v>
      </c>
      <c r="B197" s="20">
        <f>collect!B197</f>
        <v>805</v>
      </c>
      <c r="C197" s="20">
        <f t="shared" si="9"/>
        <v>50012</v>
      </c>
      <c r="D197" s="20">
        <f t="shared" si="10"/>
        <v>55</v>
      </c>
      <c r="E197" s="20">
        <v>1</v>
      </c>
      <c r="H197" s="20">
        <f t="shared" si="8"/>
        <v>2</v>
      </c>
      <c r="M197" s="20">
        <v>196</v>
      </c>
    </row>
    <row r="198" spans="1:13" x14ac:dyDescent="0.15">
      <c r="A198" s="20">
        <f>collect!A198</f>
        <v>8</v>
      </c>
      <c r="B198" s="20">
        <f>collect!B198</f>
        <v>805</v>
      </c>
      <c r="C198" s="20">
        <f t="shared" ca="1" si="9"/>
        <v>50009</v>
      </c>
      <c r="D198" s="20">
        <f t="shared" ca="1" si="10"/>
        <v>181</v>
      </c>
      <c r="E198" s="20">
        <v>1</v>
      </c>
      <c r="H198" s="20">
        <f t="shared" si="8"/>
        <v>5</v>
      </c>
      <c r="M198" s="20">
        <v>197</v>
      </c>
    </row>
    <row r="199" spans="1:13" x14ac:dyDescent="0.15">
      <c r="A199" s="20">
        <f>collect!A199</f>
        <v>8</v>
      </c>
      <c r="B199" s="20">
        <f>collect!B199</f>
        <v>805</v>
      </c>
      <c r="C199" s="20">
        <f t="shared" ca="1" si="9"/>
        <v>50173</v>
      </c>
      <c r="D199" s="20">
        <f t="shared" ca="1" si="10"/>
        <v>88</v>
      </c>
      <c r="E199" s="20">
        <v>1</v>
      </c>
      <c r="H199" s="20">
        <f t="shared" si="8"/>
        <v>8</v>
      </c>
      <c r="M199" s="20">
        <v>198</v>
      </c>
    </row>
    <row r="200" spans="1:13" x14ac:dyDescent="0.15">
      <c r="A200" s="20">
        <f>collect!A200</f>
        <v>8</v>
      </c>
      <c r="B200" s="20">
        <f>collect!B200</f>
        <v>805</v>
      </c>
      <c r="C200" s="20">
        <f t="shared" ca="1" si="9"/>
        <v>50021</v>
      </c>
      <c r="D200" s="20">
        <f t="shared" ca="1" si="10"/>
        <v>88</v>
      </c>
      <c r="E200" s="20">
        <v>1</v>
      </c>
      <c r="H200" s="20">
        <f t="shared" ref="H200:H263" si="11">H195</f>
        <v>11</v>
      </c>
      <c r="M200" s="20">
        <v>199</v>
      </c>
    </row>
    <row r="201" spans="1:13" x14ac:dyDescent="0.15">
      <c r="A201" s="20">
        <f>collect!A201</f>
        <v>8</v>
      </c>
      <c r="B201" s="20">
        <f>collect!B201</f>
        <v>805</v>
      </c>
      <c r="C201" s="20">
        <f t="shared" ca="1" si="9"/>
        <v>50016</v>
      </c>
      <c r="D201" s="20">
        <f t="shared" ca="1" si="10"/>
        <v>88</v>
      </c>
      <c r="E201" s="20">
        <v>1</v>
      </c>
      <c r="H201" s="20">
        <f t="shared" si="11"/>
        <v>14</v>
      </c>
      <c r="M201" s="20">
        <v>200</v>
      </c>
    </row>
    <row r="202" spans="1:13" x14ac:dyDescent="0.15">
      <c r="A202" s="20">
        <f>collect!A202</f>
        <v>9</v>
      </c>
      <c r="B202" s="20">
        <f>collect!B202</f>
        <v>901</v>
      </c>
      <c r="C202" s="20">
        <f t="shared" si="9"/>
        <v>50017</v>
      </c>
      <c r="D202" s="20">
        <f t="shared" si="10"/>
        <v>32</v>
      </c>
      <c r="E202" s="20">
        <v>1</v>
      </c>
      <c r="H202" s="20">
        <f t="shared" si="11"/>
        <v>2</v>
      </c>
      <c r="M202" s="20">
        <v>201</v>
      </c>
    </row>
    <row r="203" spans="1:13" x14ac:dyDescent="0.15">
      <c r="A203" s="20">
        <f>collect!A203</f>
        <v>9</v>
      </c>
      <c r="B203" s="20">
        <f>collect!B203</f>
        <v>901</v>
      </c>
      <c r="C203" s="20">
        <f t="shared" ca="1" si="9"/>
        <v>50013</v>
      </c>
      <c r="D203" s="20">
        <f t="shared" ca="1" si="10"/>
        <v>181</v>
      </c>
      <c r="E203" s="20">
        <v>1</v>
      </c>
      <c r="H203" s="20">
        <f t="shared" si="11"/>
        <v>5</v>
      </c>
      <c r="M203" s="20">
        <v>202</v>
      </c>
    </row>
    <row r="204" spans="1:13" x14ac:dyDescent="0.15">
      <c r="A204" s="20">
        <f>collect!A204</f>
        <v>9</v>
      </c>
      <c r="B204" s="20">
        <f>collect!B204</f>
        <v>901</v>
      </c>
      <c r="C204" s="20">
        <f t="shared" ca="1" si="9"/>
        <v>50023</v>
      </c>
      <c r="D204" s="20">
        <f t="shared" ca="1" si="10"/>
        <v>88</v>
      </c>
      <c r="E204" s="20">
        <v>1</v>
      </c>
      <c r="H204" s="20">
        <f t="shared" si="11"/>
        <v>8</v>
      </c>
      <c r="M204" s="20">
        <v>203</v>
      </c>
    </row>
    <row r="205" spans="1:13" x14ac:dyDescent="0.15">
      <c r="A205" s="20">
        <f>collect!A205</f>
        <v>9</v>
      </c>
      <c r="B205" s="20">
        <f>collect!B205</f>
        <v>901</v>
      </c>
      <c r="C205" s="20">
        <f t="shared" ca="1" si="9"/>
        <v>50037</v>
      </c>
      <c r="D205" s="20">
        <f t="shared" ca="1" si="10"/>
        <v>32</v>
      </c>
      <c r="E205" s="20">
        <v>1</v>
      </c>
      <c r="H205" s="20">
        <f t="shared" si="11"/>
        <v>11</v>
      </c>
      <c r="M205" s="20">
        <v>204</v>
      </c>
    </row>
    <row r="206" spans="1:13" x14ac:dyDescent="0.15">
      <c r="A206" s="20">
        <f>collect!A206</f>
        <v>9</v>
      </c>
      <c r="B206" s="20">
        <f>collect!B206</f>
        <v>901</v>
      </c>
      <c r="C206" s="20">
        <f t="shared" ca="1" si="9"/>
        <v>50010</v>
      </c>
      <c r="D206" s="20">
        <f t="shared" ca="1" si="10"/>
        <v>129</v>
      </c>
      <c r="E206" s="20">
        <v>1</v>
      </c>
      <c r="H206" s="20">
        <f t="shared" si="11"/>
        <v>14</v>
      </c>
      <c r="M206" s="20">
        <v>205</v>
      </c>
    </row>
    <row r="207" spans="1:13" x14ac:dyDescent="0.15">
      <c r="A207" s="20">
        <f>collect!A207</f>
        <v>9</v>
      </c>
      <c r="B207" s="20">
        <f>collect!B207</f>
        <v>902</v>
      </c>
      <c r="C207" s="20">
        <f t="shared" si="9"/>
        <v>50033</v>
      </c>
      <c r="D207" s="20">
        <f t="shared" si="10"/>
        <v>32</v>
      </c>
      <c r="E207" s="20">
        <v>1</v>
      </c>
      <c r="H207" s="20">
        <f t="shared" si="11"/>
        <v>2</v>
      </c>
      <c r="M207" s="20">
        <v>206</v>
      </c>
    </row>
    <row r="208" spans="1:13" x14ac:dyDescent="0.15">
      <c r="A208" s="20">
        <f>collect!A208</f>
        <v>9</v>
      </c>
      <c r="B208" s="20">
        <f>collect!B208</f>
        <v>902</v>
      </c>
      <c r="C208" s="20">
        <f t="shared" ca="1" si="9"/>
        <v>50006</v>
      </c>
      <c r="D208" s="20">
        <f t="shared" ca="1" si="10"/>
        <v>129</v>
      </c>
      <c r="E208" s="20">
        <v>1</v>
      </c>
      <c r="H208" s="20">
        <f t="shared" si="11"/>
        <v>5</v>
      </c>
      <c r="M208" s="20">
        <v>207</v>
      </c>
    </row>
    <row r="209" spans="1:13" x14ac:dyDescent="0.15">
      <c r="A209" s="20">
        <f>collect!A209</f>
        <v>9</v>
      </c>
      <c r="B209" s="20">
        <f>collect!B209</f>
        <v>902</v>
      </c>
      <c r="C209" s="20">
        <f t="shared" ca="1" si="9"/>
        <v>50021</v>
      </c>
      <c r="D209" s="20">
        <f t="shared" ca="1" si="10"/>
        <v>88</v>
      </c>
      <c r="E209" s="20">
        <v>1</v>
      </c>
      <c r="H209" s="20">
        <f t="shared" si="11"/>
        <v>8</v>
      </c>
      <c r="M209" s="20">
        <v>208</v>
      </c>
    </row>
    <row r="210" spans="1:13" x14ac:dyDescent="0.15">
      <c r="A210" s="20">
        <f>collect!A210</f>
        <v>9</v>
      </c>
      <c r="B210" s="20">
        <f>collect!B210</f>
        <v>902</v>
      </c>
      <c r="C210" s="20">
        <f t="shared" ca="1" si="9"/>
        <v>50037</v>
      </c>
      <c r="D210" s="20">
        <f t="shared" ca="1" si="10"/>
        <v>32</v>
      </c>
      <c r="E210" s="20">
        <v>1</v>
      </c>
      <c r="H210" s="20">
        <f t="shared" si="11"/>
        <v>11</v>
      </c>
      <c r="M210" s="20">
        <v>209</v>
      </c>
    </row>
    <row r="211" spans="1:13" x14ac:dyDescent="0.15">
      <c r="A211" s="20">
        <f>collect!A211</f>
        <v>9</v>
      </c>
      <c r="B211" s="20">
        <f>collect!B211</f>
        <v>902</v>
      </c>
      <c r="C211" s="20">
        <f t="shared" ca="1" si="9"/>
        <v>50021</v>
      </c>
      <c r="D211" s="20">
        <f t="shared" ca="1" si="10"/>
        <v>88</v>
      </c>
      <c r="E211" s="20">
        <v>1</v>
      </c>
      <c r="H211" s="20">
        <f t="shared" si="11"/>
        <v>14</v>
      </c>
      <c r="M211" s="20">
        <v>210</v>
      </c>
    </row>
    <row r="212" spans="1:13" x14ac:dyDescent="0.15">
      <c r="A212" s="20">
        <f>collect!A212</f>
        <v>9</v>
      </c>
      <c r="B212" s="20">
        <f>collect!B212</f>
        <v>903</v>
      </c>
      <c r="C212" s="20">
        <f t="shared" si="9"/>
        <v>50037</v>
      </c>
      <c r="D212" s="20">
        <f t="shared" si="10"/>
        <v>32</v>
      </c>
      <c r="E212" s="20">
        <v>1</v>
      </c>
      <c r="H212" s="20">
        <f t="shared" si="11"/>
        <v>2</v>
      </c>
      <c r="M212" s="20">
        <v>211</v>
      </c>
    </row>
    <row r="213" spans="1:13" x14ac:dyDescent="0.15">
      <c r="A213" s="20">
        <f>collect!A213</f>
        <v>9</v>
      </c>
      <c r="B213" s="20">
        <f>collect!B213</f>
        <v>903</v>
      </c>
      <c r="C213" s="20">
        <f t="shared" ca="1" si="9"/>
        <v>50088</v>
      </c>
      <c r="D213" s="20">
        <f t="shared" ca="1" si="10"/>
        <v>129</v>
      </c>
      <c r="E213" s="20">
        <v>1</v>
      </c>
      <c r="H213" s="20">
        <f t="shared" si="11"/>
        <v>5</v>
      </c>
      <c r="M213" s="20">
        <v>212</v>
      </c>
    </row>
    <row r="214" spans="1:13" x14ac:dyDescent="0.15">
      <c r="A214" s="20">
        <f>collect!A214</f>
        <v>9</v>
      </c>
      <c r="B214" s="20">
        <f>collect!B214</f>
        <v>903</v>
      </c>
      <c r="C214" s="20">
        <f t="shared" ca="1" si="9"/>
        <v>50022</v>
      </c>
      <c r="D214" s="20">
        <f t="shared" ca="1" si="10"/>
        <v>88</v>
      </c>
      <c r="E214" s="20">
        <v>1</v>
      </c>
      <c r="H214" s="20">
        <f t="shared" si="11"/>
        <v>8</v>
      </c>
      <c r="M214" s="20">
        <v>213</v>
      </c>
    </row>
    <row r="215" spans="1:13" x14ac:dyDescent="0.15">
      <c r="A215" s="20">
        <f>collect!A215</f>
        <v>9</v>
      </c>
      <c r="B215" s="20">
        <f>collect!B215</f>
        <v>903</v>
      </c>
      <c r="C215" s="20">
        <f t="shared" ca="1" si="9"/>
        <v>50008</v>
      </c>
      <c r="D215" s="20">
        <f t="shared" ca="1" si="10"/>
        <v>55</v>
      </c>
      <c r="E215" s="20">
        <v>1</v>
      </c>
      <c r="H215" s="20">
        <f t="shared" si="11"/>
        <v>11</v>
      </c>
      <c r="M215" s="20">
        <v>214</v>
      </c>
    </row>
    <row r="216" spans="1:13" x14ac:dyDescent="0.15">
      <c r="A216" s="20">
        <f>collect!A216</f>
        <v>9</v>
      </c>
      <c r="B216" s="20">
        <f>collect!B216</f>
        <v>903</v>
      </c>
      <c r="C216" s="20">
        <f t="shared" ca="1" si="9"/>
        <v>50026</v>
      </c>
      <c r="D216" s="20">
        <f t="shared" ca="1" si="10"/>
        <v>88</v>
      </c>
      <c r="E216" s="20">
        <v>1</v>
      </c>
      <c r="H216" s="20">
        <f t="shared" si="11"/>
        <v>14</v>
      </c>
      <c r="M216" s="20">
        <v>215</v>
      </c>
    </row>
    <row r="217" spans="1:13" x14ac:dyDescent="0.15">
      <c r="A217" s="20">
        <f>collect!A217</f>
        <v>9</v>
      </c>
      <c r="B217" s="20">
        <f>collect!B217</f>
        <v>904</v>
      </c>
      <c r="C217" s="20">
        <f t="shared" si="9"/>
        <v>50038</v>
      </c>
      <c r="D217" s="20">
        <f t="shared" si="10"/>
        <v>32</v>
      </c>
      <c r="E217" s="20">
        <v>1</v>
      </c>
      <c r="H217" s="20">
        <f t="shared" si="11"/>
        <v>2</v>
      </c>
      <c r="M217" s="20">
        <v>216</v>
      </c>
    </row>
    <row r="218" spans="1:13" x14ac:dyDescent="0.15">
      <c r="A218" s="20">
        <f>collect!A218</f>
        <v>9</v>
      </c>
      <c r="B218" s="20">
        <f>collect!B218</f>
        <v>904</v>
      </c>
      <c r="C218" s="20">
        <f t="shared" ca="1" si="9"/>
        <v>50015</v>
      </c>
      <c r="D218" s="20">
        <f t="shared" ca="1" si="10"/>
        <v>181</v>
      </c>
      <c r="E218" s="20">
        <v>1</v>
      </c>
      <c r="H218" s="20">
        <f t="shared" si="11"/>
        <v>5</v>
      </c>
      <c r="M218" s="20">
        <v>217</v>
      </c>
    </row>
    <row r="219" spans="1:13" x14ac:dyDescent="0.15">
      <c r="A219" s="20">
        <f>collect!A219</f>
        <v>9</v>
      </c>
      <c r="B219" s="20">
        <f>collect!B219</f>
        <v>904</v>
      </c>
      <c r="C219" s="20">
        <f t="shared" ca="1" si="9"/>
        <v>50025</v>
      </c>
      <c r="D219" s="20">
        <f t="shared" ca="1" si="10"/>
        <v>88</v>
      </c>
      <c r="E219" s="20">
        <v>1</v>
      </c>
      <c r="H219" s="20">
        <f t="shared" si="11"/>
        <v>8</v>
      </c>
      <c r="M219" s="20">
        <v>218</v>
      </c>
    </row>
    <row r="220" spans="1:13" x14ac:dyDescent="0.15">
      <c r="A220" s="20">
        <f>collect!A220</f>
        <v>9</v>
      </c>
      <c r="B220" s="20">
        <f>collect!B220</f>
        <v>904</v>
      </c>
      <c r="C220" s="20">
        <f t="shared" ca="1" si="9"/>
        <v>50017</v>
      </c>
      <c r="D220" s="20">
        <f t="shared" ca="1" si="10"/>
        <v>32</v>
      </c>
      <c r="E220" s="20">
        <v>1</v>
      </c>
      <c r="H220" s="20">
        <f t="shared" si="11"/>
        <v>11</v>
      </c>
      <c r="M220" s="20">
        <v>219</v>
      </c>
    </row>
    <row r="221" spans="1:13" x14ac:dyDescent="0.15">
      <c r="A221" s="20">
        <f>collect!A221</f>
        <v>9</v>
      </c>
      <c r="B221" s="20">
        <f>collect!B221</f>
        <v>904</v>
      </c>
      <c r="C221" s="20">
        <f t="shared" ca="1" si="9"/>
        <v>50007</v>
      </c>
      <c r="D221" s="20">
        <f t="shared" ca="1" si="10"/>
        <v>88</v>
      </c>
      <c r="E221" s="20">
        <v>1</v>
      </c>
      <c r="H221" s="20">
        <f t="shared" si="11"/>
        <v>14</v>
      </c>
      <c r="M221" s="20">
        <v>220</v>
      </c>
    </row>
    <row r="222" spans="1:13" x14ac:dyDescent="0.15">
      <c r="A222" s="20">
        <f>collect!A222</f>
        <v>9</v>
      </c>
      <c r="B222" s="20">
        <f>collect!B222</f>
        <v>905</v>
      </c>
      <c r="C222" s="20">
        <f t="shared" si="9"/>
        <v>50039</v>
      </c>
      <c r="D222" s="20">
        <f t="shared" si="10"/>
        <v>32</v>
      </c>
      <c r="E222" s="20">
        <v>1</v>
      </c>
      <c r="H222" s="20">
        <f t="shared" si="11"/>
        <v>2</v>
      </c>
      <c r="M222" s="20">
        <v>221</v>
      </c>
    </row>
    <row r="223" spans="1:13" x14ac:dyDescent="0.15">
      <c r="A223" s="20">
        <f>collect!A223</f>
        <v>9</v>
      </c>
      <c r="B223" s="20">
        <f>collect!B223</f>
        <v>905</v>
      </c>
      <c r="C223" s="20">
        <f t="shared" ca="1" si="9"/>
        <v>50010</v>
      </c>
      <c r="D223" s="20">
        <f t="shared" ca="1" si="10"/>
        <v>129</v>
      </c>
      <c r="E223" s="20">
        <v>1</v>
      </c>
      <c r="H223" s="20">
        <f t="shared" si="11"/>
        <v>5</v>
      </c>
      <c r="M223" s="20">
        <v>222</v>
      </c>
    </row>
    <row r="224" spans="1:13" x14ac:dyDescent="0.15">
      <c r="A224" s="20">
        <f>collect!A224</f>
        <v>9</v>
      </c>
      <c r="B224" s="20">
        <f>collect!B224</f>
        <v>905</v>
      </c>
      <c r="C224" s="20">
        <f t="shared" ca="1" si="9"/>
        <v>50175</v>
      </c>
      <c r="D224" s="20">
        <f t="shared" ca="1" si="10"/>
        <v>88</v>
      </c>
      <c r="E224" s="20">
        <v>1</v>
      </c>
      <c r="H224" s="20">
        <f t="shared" si="11"/>
        <v>8</v>
      </c>
      <c r="M224" s="20">
        <v>223</v>
      </c>
    </row>
    <row r="225" spans="1:13" x14ac:dyDescent="0.15">
      <c r="A225" s="20">
        <f>collect!A225</f>
        <v>9</v>
      </c>
      <c r="B225" s="20">
        <f>collect!B225</f>
        <v>905</v>
      </c>
      <c r="C225" s="20">
        <f t="shared" ca="1" si="9"/>
        <v>50012</v>
      </c>
      <c r="D225" s="20">
        <f t="shared" ca="1" si="10"/>
        <v>55</v>
      </c>
      <c r="E225" s="20">
        <v>1</v>
      </c>
      <c r="H225" s="20">
        <f t="shared" si="11"/>
        <v>11</v>
      </c>
      <c r="M225" s="20">
        <v>224</v>
      </c>
    </row>
    <row r="226" spans="1:13" x14ac:dyDescent="0.15">
      <c r="A226" s="20">
        <f>collect!A226</f>
        <v>9</v>
      </c>
      <c r="B226" s="20">
        <f>collect!B226</f>
        <v>905</v>
      </c>
      <c r="C226" s="20">
        <f t="shared" ca="1" si="9"/>
        <v>50005</v>
      </c>
      <c r="D226" s="20">
        <f t="shared" ca="1" si="10"/>
        <v>181</v>
      </c>
      <c r="E226" s="20">
        <v>1</v>
      </c>
      <c r="H226" s="20">
        <f t="shared" si="11"/>
        <v>14</v>
      </c>
      <c r="M226" s="20">
        <v>225</v>
      </c>
    </row>
    <row r="227" spans="1:13" x14ac:dyDescent="0.15">
      <c r="A227" s="20">
        <f>collect!A227</f>
        <v>10</v>
      </c>
      <c r="B227" s="20">
        <f>collect!B227</f>
        <v>1001</v>
      </c>
      <c r="C227" s="20">
        <f t="shared" si="9"/>
        <v>50040</v>
      </c>
      <c r="D227" s="20">
        <f t="shared" si="10"/>
        <v>32</v>
      </c>
      <c r="E227" s="20">
        <v>1</v>
      </c>
      <c r="H227" s="20">
        <f t="shared" si="11"/>
        <v>2</v>
      </c>
      <c r="M227" s="20">
        <v>226</v>
      </c>
    </row>
    <row r="228" spans="1:13" x14ac:dyDescent="0.15">
      <c r="A228" s="20">
        <f>collect!A228</f>
        <v>10</v>
      </c>
      <c r="B228" s="20">
        <f>collect!B228</f>
        <v>1001</v>
      </c>
      <c r="C228" s="20">
        <f t="shared" ca="1" si="9"/>
        <v>50006</v>
      </c>
      <c r="D228" s="20">
        <f t="shared" ca="1" si="10"/>
        <v>129</v>
      </c>
      <c r="E228" s="20">
        <v>1</v>
      </c>
      <c r="H228" s="20">
        <f t="shared" si="11"/>
        <v>5</v>
      </c>
      <c r="M228" s="20">
        <v>227</v>
      </c>
    </row>
    <row r="229" spans="1:13" x14ac:dyDescent="0.15">
      <c r="A229" s="20">
        <f>collect!A229</f>
        <v>10</v>
      </c>
      <c r="B229" s="20">
        <f>collect!B229</f>
        <v>1001</v>
      </c>
      <c r="C229" s="20">
        <f t="shared" ca="1" si="9"/>
        <v>50174</v>
      </c>
      <c r="D229" s="20">
        <f t="shared" ca="1" si="10"/>
        <v>88</v>
      </c>
      <c r="E229" s="20">
        <v>1</v>
      </c>
      <c r="H229" s="20">
        <f t="shared" si="11"/>
        <v>8</v>
      </c>
      <c r="M229" s="20">
        <v>228</v>
      </c>
    </row>
    <row r="230" spans="1:13" x14ac:dyDescent="0.15">
      <c r="A230" s="20">
        <f>collect!A230</f>
        <v>10</v>
      </c>
      <c r="B230" s="20">
        <f>collect!B230</f>
        <v>1001</v>
      </c>
      <c r="C230" s="20">
        <f t="shared" ca="1" si="9"/>
        <v>50004</v>
      </c>
      <c r="D230" s="20">
        <f t="shared" ca="1" si="10"/>
        <v>55</v>
      </c>
      <c r="E230" s="20">
        <v>1</v>
      </c>
      <c r="H230" s="20">
        <f t="shared" si="11"/>
        <v>11</v>
      </c>
      <c r="M230" s="20">
        <v>229</v>
      </c>
    </row>
    <row r="231" spans="1:13" x14ac:dyDescent="0.15">
      <c r="A231" s="20">
        <f>collect!A231</f>
        <v>10</v>
      </c>
      <c r="B231" s="20">
        <f>collect!B231</f>
        <v>1001</v>
      </c>
      <c r="C231" s="20">
        <f t="shared" ca="1" si="9"/>
        <v>50010</v>
      </c>
      <c r="D231" s="20">
        <f t="shared" ca="1" si="10"/>
        <v>129</v>
      </c>
      <c r="E231" s="20">
        <v>1</v>
      </c>
      <c r="H231" s="20">
        <f t="shared" si="11"/>
        <v>14</v>
      </c>
      <c r="M231" s="20">
        <v>230</v>
      </c>
    </row>
    <row r="232" spans="1:13" x14ac:dyDescent="0.15">
      <c r="A232" s="20">
        <f>collect!A232</f>
        <v>10</v>
      </c>
      <c r="B232" s="20">
        <f>collect!B232</f>
        <v>1002</v>
      </c>
      <c r="C232" s="20">
        <f t="shared" si="9"/>
        <v>50034</v>
      </c>
      <c r="D232" s="20">
        <f t="shared" si="10"/>
        <v>5</v>
      </c>
      <c r="E232" s="20">
        <v>1</v>
      </c>
      <c r="H232" s="20">
        <f t="shared" si="11"/>
        <v>2</v>
      </c>
      <c r="M232" s="20">
        <v>231</v>
      </c>
    </row>
    <row r="233" spans="1:13" x14ac:dyDescent="0.15">
      <c r="A233" s="20">
        <f>collect!A233</f>
        <v>10</v>
      </c>
      <c r="B233" s="20">
        <f>collect!B233</f>
        <v>1002</v>
      </c>
      <c r="C233" s="20">
        <f t="shared" ca="1" si="9"/>
        <v>50001</v>
      </c>
      <c r="D233" s="20">
        <f t="shared" ca="1" si="10"/>
        <v>181</v>
      </c>
      <c r="E233" s="20">
        <v>1</v>
      </c>
      <c r="H233" s="20">
        <f t="shared" si="11"/>
        <v>5</v>
      </c>
      <c r="M233" s="20">
        <v>232</v>
      </c>
    </row>
    <row r="234" spans="1:13" x14ac:dyDescent="0.15">
      <c r="A234" s="20">
        <f>collect!A234</f>
        <v>10</v>
      </c>
      <c r="B234" s="20">
        <f>collect!B234</f>
        <v>1002</v>
      </c>
      <c r="C234" s="20">
        <f t="shared" ca="1" si="9"/>
        <v>50027</v>
      </c>
      <c r="D234" s="20">
        <f t="shared" ca="1" si="10"/>
        <v>88</v>
      </c>
      <c r="E234" s="20">
        <v>1</v>
      </c>
      <c r="H234" s="20">
        <f t="shared" si="11"/>
        <v>8</v>
      </c>
      <c r="M234" s="20">
        <v>233</v>
      </c>
    </row>
    <row r="235" spans="1:13" x14ac:dyDescent="0.15">
      <c r="A235" s="20">
        <f>collect!A235</f>
        <v>10</v>
      </c>
      <c r="B235" s="20">
        <f>collect!B235</f>
        <v>1002</v>
      </c>
      <c r="C235" s="20">
        <f t="shared" ca="1" si="9"/>
        <v>50038</v>
      </c>
      <c r="D235" s="20">
        <f t="shared" ca="1" si="10"/>
        <v>32</v>
      </c>
      <c r="E235" s="20">
        <v>1</v>
      </c>
      <c r="H235" s="20">
        <f t="shared" si="11"/>
        <v>11</v>
      </c>
      <c r="M235" s="20">
        <v>234</v>
      </c>
    </row>
    <row r="236" spans="1:13" x14ac:dyDescent="0.15">
      <c r="A236" s="20">
        <f>collect!A236</f>
        <v>10</v>
      </c>
      <c r="B236" s="20">
        <f>collect!B236</f>
        <v>1002</v>
      </c>
      <c r="C236" s="20">
        <f t="shared" ca="1" si="9"/>
        <v>50035</v>
      </c>
      <c r="D236" s="20">
        <f t="shared" ca="1" si="10"/>
        <v>181</v>
      </c>
      <c r="E236" s="20">
        <v>1</v>
      </c>
      <c r="H236" s="20">
        <f t="shared" si="11"/>
        <v>14</v>
      </c>
      <c r="M236" s="20">
        <v>235</v>
      </c>
    </row>
    <row r="237" spans="1:13" x14ac:dyDescent="0.15">
      <c r="A237" s="20">
        <f>collect!A237</f>
        <v>10</v>
      </c>
      <c r="B237" s="20">
        <f>collect!B237</f>
        <v>1003</v>
      </c>
      <c r="C237" s="20">
        <f t="shared" si="9"/>
        <v>50001</v>
      </c>
      <c r="D237" s="20">
        <f t="shared" si="10"/>
        <v>181</v>
      </c>
      <c r="E237" s="20">
        <v>1</v>
      </c>
      <c r="H237" s="20">
        <f t="shared" si="11"/>
        <v>2</v>
      </c>
      <c r="M237" s="20">
        <v>236</v>
      </c>
    </row>
    <row r="238" spans="1:13" x14ac:dyDescent="0.15">
      <c r="A238" s="20">
        <f>collect!A238</f>
        <v>10</v>
      </c>
      <c r="B238" s="20">
        <f>collect!B238</f>
        <v>1003</v>
      </c>
      <c r="C238" s="20">
        <f t="shared" ca="1" si="9"/>
        <v>50035</v>
      </c>
      <c r="D238" s="20">
        <f t="shared" ca="1" si="10"/>
        <v>181</v>
      </c>
      <c r="E238" s="20">
        <v>1</v>
      </c>
      <c r="H238" s="20">
        <f t="shared" si="11"/>
        <v>5</v>
      </c>
      <c r="M238" s="20">
        <v>237</v>
      </c>
    </row>
    <row r="239" spans="1:13" x14ac:dyDescent="0.15">
      <c r="A239" s="20">
        <f>collect!A239</f>
        <v>10</v>
      </c>
      <c r="B239" s="20">
        <f>collect!B239</f>
        <v>1003</v>
      </c>
      <c r="C239" s="20">
        <f t="shared" ca="1" si="9"/>
        <v>50020</v>
      </c>
      <c r="D239" s="20">
        <f t="shared" ca="1" si="10"/>
        <v>88</v>
      </c>
      <c r="E239" s="20">
        <v>1</v>
      </c>
      <c r="H239" s="20">
        <f t="shared" si="11"/>
        <v>8</v>
      </c>
      <c r="M239" s="20">
        <v>238</v>
      </c>
    </row>
    <row r="240" spans="1:13" x14ac:dyDescent="0.15">
      <c r="A240" s="20">
        <f>collect!A240</f>
        <v>10</v>
      </c>
      <c r="B240" s="20">
        <f>collect!B240</f>
        <v>1003</v>
      </c>
      <c r="C240" s="20">
        <f t="shared" ca="1" si="9"/>
        <v>50012</v>
      </c>
      <c r="D240" s="20">
        <f t="shared" ca="1" si="10"/>
        <v>55</v>
      </c>
      <c r="E240" s="20">
        <v>1</v>
      </c>
      <c r="H240" s="20">
        <f t="shared" si="11"/>
        <v>11</v>
      </c>
      <c r="M240" s="20">
        <v>239</v>
      </c>
    </row>
    <row r="241" spans="1:13" x14ac:dyDescent="0.15">
      <c r="A241" s="20">
        <f>collect!A241</f>
        <v>10</v>
      </c>
      <c r="B241" s="20">
        <f>collect!B241</f>
        <v>1003</v>
      </c>
      <c r="C241" s="20">
        <f t="shared" ca="1" si="9"/>
        <v>50040</v>
      </c>
      <c r="D241" s="20">
        <f t="shared" ca="1" si="10"/>
        <v>32</v>
      </c>
      <c r="E241" s="20">
        <v>1</v>
      </c>
      <c r="H241" s="20">
        <f t="shared" si="11"/>
        <v>14</v>
      </c>
      <c r="M241" s="20">
        <v>240</v>
      </c>
    </row>
    <row r="242" spans="1:13" x14ac:dyDescent="0.15">
      <c r="A242" s="20">
        <f>collect!A242</f>
        <v>10</v>
      </c>
      <c r="B242" s="20">
        <f>collect!B242</f>
        <v>1004</v>
      </c>
      <c r="C242" s="20">
        <f t="shared" si="9"/>
        <v>50005</v>
      </c>
      <c r="D242" s="20">
        <f t="shared" si="10"/>
        <v>181</v>
      </c>
      <c r="E242" s="20">
        <v>1</v>
      </c>
      <c r="H242" s="20">
        <f t="shared" si="11"/>
        <v>2</v>
      </c>
      <c r="M242" s="20">
        <v>241</v>
      </c>
    </row>
    <row r="243" spans="1:13" x14ac:dyDescent="0.15">
      <c r="A243" s="20">
        <f>collect!A243</f>
        <v>10</v>
      </c>
      <c r="B243" s="20">
        <f>collect!B243</f>
        <v>1004</v>
      </c>
      <c r="C243" s="20">
        <f t="shared" ca="1" si="9"/>
        <v>50009</v>
      </c>
      <c r="D243" s="20">
        <f t="shared" ca="1" si="10"/>
        <v>181</v>
      </c>
      <c r="E243" s="20">
        <v>1</v>
      </c>
      <c r="H243" s="20">
        <f t="shared" si="11"/>
        <v>5</v>
      </c>
      <c r="M243" s="20">
        <v>242</v>
      </c>
    </row>
    <row r="244" spans="1:13" x14ac:dyDescent="0.15">
      <c r="A244" s="20">
        <f>collect!A244</f>
        <v>10</v>
      </c>
      <c r="B244" s="20">
        <f>collect!B244</f>
        <v>1004</v>
      </c>
      <c r="C244" s="20">
        <f t="shared" ca="1" si="9"/>
        <v>50020</v>
      </c>
      <c r="D244" s="20">
        <f t="shared" ca="1" si="10"/>
        <v>88</v>
      </c>
      <c r="E244" s="20">
        <v>1</v>
      </c>
      <c r="H244" s="20">
        <f t="shared" si="11"/>
        <v>8</v>
      </c>
      <c r="M244" s="20">
        <v>243</v>
      </c>
    </row>
    <row r="245" spans="1:13" x14ac:dyDescent="0.15">
      <c r="A245" s="20">
        <f>collect!A245</f>
        <v>10</v>
      </c>
      <c r="B245" s="20">
        <f>collect!B245</f>
        <v>1004</v>
      </c>
      <c r="C245" s="20">
        <f t="shared" ca="1" si="9"/>
        <v>50008</v>
      </c>
      <c r="D245" s="20">
        <f t="shared" ca="1" si="10"/>
        <v>55</v>
      </c>
      <c r="E245" s="20">
        <v>1</v>
      </c>
      <c r="H245" s="20">
        <f t="shared" si="11"/>
        <v>11</v>
      </c>
      <c r="M245" s="20">
        <v>244</v>
      </c>
    </row>
    <row r="246" spans="1:13" x14ac:dyDescent="0.15">
      <c r="A246" s="20">
        <f>collect!A246</f>
        <v>10</v>
      </c>
      <c r="B246" s="20">
        <f>collect!B246</f>
        <v>1004</v>
      </c>
      <c r="C246" s="20">
        <f t="shared" ca="1" si="9"/>
        <v>50033</v>
      </c>
      <c r="D246" s="20">
        <f t="shared" ca="1" si="10"/>
        <v>32</v>
      </c>
      <c r="E246" s="20">
        <v>1</v>
      </c>
      <c r="H246" s="20">
        <f t="shared" si="11"/>
        <v>14</v>
      </c>
      <c r="M246" s="20">
        <v>245</v>
      </c>
    </row>
    <row r="247" spans="1:13" x14ac:dyDescent="0.15">
      <c r="A247" s="20">
        <f>collect!A247</f>
        <v>10</v>
      </c>
      <c r="B247" s="20">
        <f>collect!B247</f>
        <v>1005</v>
      </c>
      <c r="C247" s="20">
        <f t="shared" si="9"/>
        <v>50009</v>
      </c>
      <c r="D247" s="20">
        <f t="shared" si="10"/>
        <v>181</v>
      </c>
      <c r="E247" s="20">
        <v>1</v>
      </c>
      <c r="H247" s="20">
        <f t="shared" si="11"/>
        <v>2</v>
      </c>
      <c r="M247" s="20">
        <v>246</v>
      </c>
    </row>
    <row r="248" spans="1:13" x14ac:dyDescent="0.15">
      <c r="A248" s="20">
        <f>collect!A248</f>
        <v>10</v>
      </c>
      <c r="B248" s="20">
        <f>collect!B248</f>
        <v>1005</v>
      </c>
      <c r="C248" s="20">
        <f t="shared" ca="1" si="9"/>
        <v>50002</v>
      </c>
      <c r="D248" s="20">
        <f t="shared" ca="1" si="10"/>
        <v>129</v>
      </c>
      <c r="E248" s="20">
        <v>1</v>
      </c>
      <c r="H248" s="20">
        <f t="shared" si="11"/>
        <v>5</v>
      </c>
      <c r="M248" s="20">
        <v>247</v>
      </c>
    </row>
    <row r="249" spans="1:13" x14ac:dyDescent="0.15">
      <c r="A249" s="20">
        <f>collect!A249</f>
        <v>10</v>
      </c>
      <c r="B249" s="20">
        <f>collect!B249</f>
        <v>1005</v>
      </c>
      <c r="C249" s="20">
        <f t="shared" ca="1" si="9"/>
        <v>50019</v>
      </c>
      <c r="D249" s="20">
        <f t="shared" ca="1" si="10"/>
        <v>88</v>
      </c>
      <c r="E249" s="20">
        <v>1</v>
      </c>
      <c r="H249" s="20">
        <f t="shared" si="11"/>
        <v>8</v>
      </c>
      <c r="M249" s="20">
        <v>248</v>
      </c>
    </row>
    <row r="250" spans="1:13" x14ac:dyDescent="0.15">
      <c r="A250" s="20">
        <f>collect!A250</f>
        <v>10</v>
      </c>
      <c r="B250" s="20">
        <f>collect!B250</f>
        <v>1005</v>
      </c>
      <c r="C250" s="20">
        <f t="shared" ca="1" si="9"/>
        <v>50040</v>
      </c>
      <c r="D250" s="20">
        <f t="shared" ca="1" si="10"/>
        <v>32</v>
      </c>
      <c r="E250" s="20">
        <v>1</v>
      </c>
      <c r="H250" s="20">
        <f t="shared" si="11"/>
        <v>11</v>
      </c>
      <c r="M250" s="20">
        <v>249</v>
      </c>
    </row>
    <row r="251" spans="1:13" x14ac:dyDescent="0.15">
      <c r="A251" s="20">
        <f>collect!A251</f>
        <v>10</v>
      </c>
      <c r="B251" s="20">
        <f>collect!B251</f>
        <v>1005</v>
      </c>
      <c r="C251" s="20">
        <f t="shared" ca="1" si="9"/>
        <v>50038</v>
      </c>
      <c r="D251" s="20">
        <f t="shared" ca="1" si="10"/>
        <v>32</v>
      </c>
      <c r="E251" s="20">
        <v>1</v>
      </c>
      <c r="H251" s="20">
        <f t="shared" si="11"/>
        <v>14</v>
      </c>
      <c r="M251" s="20">
        <v>250</v>
      </c>
    </row>
    <row r="252" spans="1:13" x14ac:dyDescent="0.15">
      <c r="A252" s="20">
        <f>collect!A252</f>
        <v>11</v>
      </c>
      <c r="B252" s="20">
        <f>collect!B252</f>
        <v>1101</v>
      </c>
      <c r="C252" s="20">
        <f t="shared" si="9"/>
        <v>50013</v>
      </c>
      <c r="D252" s="20">
        <f t="shared" si="10"/>
        <v>181</v>
      </c>
      <c r="E252" s="20">
        <v>1</v>
      </c>
      <c r="H252" s="20">
        <f t="shared" si="11"/>
        <v>2</v>
      </c>
      <c r="M252" s="20">
        <v>251</v>
      </c>
    </row>
    <row r="253" spans="1:13" x14ac:dyDescent="0.15">
      <c r="A253" s="20">
        <f>collect!A253</f>
        <v>11</v>
      </c>
      <c r="B253" s="20">
        <f>collect!B253</f>
        <v>1101</v>
      </c>
      <c r="C253" s="20">
        <f t="shared" ca="1" si="9"/>
        <v>50088</v>
      </c>
      <c r="D253" s="20">
        <f t="shared" ca="1" si="10"/>
        <v>129</v>
      </c>
      <c r="E253" s="20">
        <v>1</v>
      </c>
      <c r="H253" s="20">
        <f t="shared" si="11"/>
        <v>5</v>
      </c>
      <c r="M253" s="20">
        <v>252</v>
      </c>
    </row>
    <row r="254" spans="1:13" x14ac:dyDescent="0.15">
      <c r="A254" s="20">
        <f>collect!A254</f>
        <v>11</v>
      </c>
      <c r="B254" s="20">
        <f>collect!B254</f>
        <v>1101</v>
      </c>
      <c r="C254" s="20">
        <f t="shared" ca="1" si="9"/>
        <v>50026</v>
      </c>
      <c r="D254" s="20">
        <f t="shared" ca="1" si="10"/>
        <v>88</v>
      </c>
      <c r="E254" s="20">
        <v>1</v>
      </c>
      <c r="H254" s="20">
        <f t="shared" si="11"/>
        <v>8</v>
      </c>
      <c r="M254" s="20">
        <v>253</v>
      </c>
    </row>
    <row r="255" spans="1:13" x14ac:dyDescent="0.15">
      <c r="A255" s="20">
        <f>collect!A255</f>
        <v>11</v>
      </c>
      <c r="B255" s="20">
        <f>collect!B255</f>
        <v>1101</v>
      </c>
      <c r="C255" s="20">
        <f t="shared" ca="1" si="9"/>
        <v>50038</v>
      </c>
      <c r="D255" s="20">
        <f t="shared" ca="1" si="10"/>
        <v>32</v>
      </c>
      <c r="E255" s="20">
        <v>1</v>
      </c>
      <c r="H255" s="20">
        <f t="shared" si="11"/>
        <v>11</v>
      </c>
      <c r="M255" s="20">
        <v>254</v>
      </c>
    </row>
    <row r="256" spans="1:13" x14ac:dyDescent="0.15">
      <c r="A256" s="20">
        <f>collect!A256</f>
        <v>11</v>
      </c>
      <c r="B256" s="20">
        <f>collect!B256</f>
        <v>1101</v>
      </c>
      <c r="C256" s="20">
        <f t="shared" ca="1" si="9"/>
        <v>50040</v>
      </c>
      <c r="D256" s="20">
        <f t="shared" ca="1" si="10"/>
        <v>32</v>
      </c>
      <c r="E256" s="20">
        <v>1</v>
      </c>
      <c r="H256" s="20">
        <f t="shared" si="11"/>
        <v>14</v>
      </c>
      <c r="M256" s="20">
        <v>255</v>
      </c>
    </row>
    <row r="257" spans="1:13" x14ac:dyDescent="0.15">
      <c r="A257" s="20">
        <f>collect!A257</f>
        <v>11</v>
      </c>
      <c r="B257" s="20">
        <f>collect!B257</f>
        <v>1102</v>
      </c>
      <c r="C257" s="20">
        <f t="shared" si="9"/>
        <v>50015</v>
      </c>
      <c r="D257" s="20">
        <f t="shared" si="10"/>
        <v>181</v>
      </c>
      <c r="E257" s="20">
        <v>1</v>
      </c>
      <c r="H257" s="20">
        <f t="shared" si="11"/>
        <v>2</v>
      </c>
      <c r="M257" s="20">
        <v>256</v>
      </c>
    </row>
    <row r="258" spans="1:13" x14ac:dyDescent="0.15">
      <c r="A258" s="20">
        <f>collect!A258</f>
        <v>11</v>
      </c>
      <c r="B258" s="20">
        <f>collect!B258</f>
        <v>1102</v>
      </c>
      <c r="C258" s="20">
        <f t="shared" ref="C258:C321" ca="1" si="12">VLOOKUP(B258,plan2,H258,FALSE)</f>
        <v>50013</v>
      </c>
      <c r="D258" s="20">
        <f t="shared" ref="D258:D321" ca="1" si="13">VLOOKUP(C258,marking,9,FALSE)</f>
        <v>181</v>
      </c>
      <c r="E258" s="20">
        <v>1</v>
      </c>
      <c r="H258" s="20">
        <f t="shared" si="11"/>
        <v>5</v>
      </c>
      <c r="M258" s="20">
        <v>257</v>
      </c>
    </row>
    <row r="259" spans="1:13" x14ac:dyDescent="0.15">
      <c r="A259" s="20">
        <f>collect!A259</f>
        <v>11</v>
      </c>
      <c r="B259" s="20">
        <f>collect!B259</f>
        <v>1102</v>
      </c>
      <c r="C259" s="20">
        <f t="shared" ca="1" si="12"/>
        <v>50175</v>
      </c>
      <c r="D259" s="20">
        <f t="shared" ca="1" si="13"/>
        <v>88</v>
      </c>
      <c r="E259" s="20">
        <v>1</v>
      </c>
      <c r="H259" s="20">
        <f t="shared" si="11"/>
        <v>8</v>
      </c>
      <c r="M259" s="20">
        <v>258</v>
      </c>
    </row>
    <row r="260" spans="1:13" x14ac:dyDescent="0.15">
      <c r="A260" s="20">
        <f>collect!A260</f>
        <v>11</v>
      </c>
      <c r="B260" s="20">
        <f>collect!B260</f>
        <v>1102</v>
      </c>
      <c r="C260" s="20">
        <f t="shared" ca="1" si="12"/>
        <v>50038</v>
      </c>
      <c r="D260" s="20">
        <f t="shared" ca="1" si="13"/>
        <v>32</v>
      </c>
      <c r="E260" s="20">
        <v>1</v>
      </c>
      <c r="H260" s="20">
        <f t="shared" si="11"/>
        <v>11</v>
      </c>
      <c r="M260" s="20">
        <v>259</v>
      </c>
    </row>
    <row r="261" spans="1:13" x14ac:dyDescent="0.15">
      <c r="A261" s="20">
        <f>collect!A261</f>
        <v>11</v>
      </c>
      <c r="B261" s="20">
        <f>collect!B261</f>
        <v>1102</v>
      </c>
      <c r="C261" s="20">
        <f t="shared" ca="1" si="12"/>
        <v>50037</v>
      </c>
      <c r="D261" s="20">
        <f t="shared" ca="1" si="13"/>
        <v>32</v>
      </c>
      <c r="E261" s="20">
        <v>1</v>
      </c>
      <c r="H261" s="20">
        <f t="shared" si="11"/>
        <v>14</v>
      </c>
      <c r="M261" s="20">
        <v>260</v>
      </c>
    </row>
    <row r="262" spans="1:13" x14ac:dyDescent="0.15">
      <c r="A262" s="20">
        <f>collect!A262</f>
        <v>11</v>
      </c>
      <c r="B262" s="20">
        <f>collect!B262</f>
        <v>1103</v>
      </c>
      <c r="C262" s="20">
        <f t="shared" si="12"/>
        <v>50031</v>
      </c>
      <c r="D262" s="20">
        <f t="shared" si="13"/>
        <v>181</v>
      </c>
      <c r="E262" s="20">
        <v>1</v>
      </c>
      <c r="H262" s="20">
        <f t="shared" si="11"/>
        <v>2</v>
      </c>
      <c r="M262" s="20">
        <v>261</v>
      </c>
    </row>
    <row r="263" spans="1:13" x14ac:dyDescent="0.15">
      <c r="A263" s="20">
        <f>collect!A263</f>
        <v>11</v>
      </c>
      <c r="B263" s="20">
        <f>collect!B263</f>
        <v>1103</v>
      </c>
      <c r="C263" s="20">
        <f t="shared" ca="1" si="12"/>
        <v>50010</v>
      </c>
      <c r="D263" s="20">
        <f t="shared" ca="1" si="13"/>
        <v>129</v>
      </c>
      <c r="E263" s="20">
        <v>1</v>
      </c>
      <c r="H263" s="20">
        <f t="shared" si="11"/>
        <v>5</v>
      </c>
      <c r="M263" s="20">
        <v>262</v>
      </c>
    </row>
    <row r="264" spans="1:13" x14ac:dyDescent="0.15">
      <c r="A264" s="20">
        <f>collect!A264</f>
        <v>11</v>
      </c>
      <c r="B264" s="20">
        <f>collect!B264</f>
        <v>1103</v>
      </c>
      <c r="C264" s="20">
        <f t="shared" ca="1" si="12"/>
        <v>50027</v>
      </c>
      <c r="D264" s="20">
        <f t="shared" ca="1" si="13"/>
        <v>88</v>
      </c>
      <c r="E264" s="20">
        <v>1</v>
      </c>
      <c r="H264" s="20">
        <f t="shared" ref="H264:H327" si="14">H259</f>
        <v>8</v>
      </c>
      <c r="M264" s="20">
        <v>263</v>
      </c>
    </row>
    <row r="265" spans="1:13" x14ac:dyDescent="0.15">
      <c r="A265" s="20">
        <f>collect!A265</f>
        <v>11</v>
      </c>
      <c r="B265" s="20">
        <f>collect!B265</f>
        <v>1103</v>
      </c>
      <c r="C265" s="20">
        <f t="shared" ca="1" si="12"/>
        <v>50040</v>
      </c>
      <c r="D265" s="20">
        <f t="shared" ca="1" si="13"/>
        <v>32</v>
      </c>
      <c r="E265" s="20">
        <v>1</v>
      </c>
      <c r="H265" s="20">
        <f t="shared" si="14"/>
        <v>11</v>
      </c>
      <c r="M265" s="20">
        <v>264</v>
      </c>
    </row>
    <row r="266" spans="1:13" x14ac:dyDescent="0.15">
      <c r="A266" s="20">
        <f>collect!A266</f>
        <v>11</v>
      </c>
      <c r="B266" s="20">
        <f>collect!B266</f>
        <v>1103</v>
      </c>
      <c r="C266" s="20">
        <f t="shared" ca="1" si="12"/>
        <v>50033</v>
      </c>
      <c r="D266" s="20">
        <f t="shared" ca="1" si="13"/>
        <v>32</v>
      </c>
      <c r="E266" s="20">
        <v>1</v>
      </c>
      <c r="H266" s="20">
        <f t="shared" si="14"/>
        <v>14</v>
      </c>
      <c r="M266" s="20">
        <v>265</v>
      </c>
    </row>
    <row r="267" spans="1:13" x14ac:dyDescent="0.15">
      <c r="A267" s="20">
        <f>collect!A267</f>
        <v>11</v>
      </c>
      <c r="B267" s="20">
        <f>collect!B267</f>
        <v>1104</v>
      </c>
      <c r="C267" s="20">
        <f t="shared" si="12"/>
        <v>50035</v>
      </c>
      <c r="D267" s="20">
        <f t="shared" si="13"/>
        <v>181</v>
      </c>
      <c r="E267" s="20">
        <v>1</v>
      </c>
      <c r="H267" s="20">
        <f t="shared" si="14"/>
        <v>2</v>
      </c>
      <c r="M267" s="20">
        <v>266</v>
      </c>
    </row>
    <row r="268" spans="1:13" x14ac:dyDescent="0.15">
      <c r="A268" s="20">
        <f>collect!A268</f>
        <v>11</v>
      </c>
      <c r="B268" s="20">
        <f>collect!B268</f>
        <v>1104</v>
      </c>
      <c r="C268" s="20">
        <f t="shared" ca="1" si="12"/>
        <v>50002</v>
      </c>
      <c r="D268" s="20">
        <f t="shared" ca="1" si="13"/>
        <v>129</v>
      </c>
      <c r="E268" s="20">
        <v>1</v>
      </c>
      <c r="H268" s="20">
        <f t="shared" si="14"/>
        <v>5</v>
      </c>
      <c r="M268" s="20">
        <v>267</v>
      </c>
    </row>
    <row r="269" spans="1:13" x14ac:dyDescent="0.15">
      <c r="A269" s="20">
        <f>collect!A269</f>
        <v>11</v>
      </c>
      <c r="B269" s="20">
        <f>collect!B269</f>
        <v>1104</v>
      </c>
      <c r="C269" s="20">
        <f t="shared" ca="1" si="12"/>
        <v>50026</v>
      </c>
      <c r="D269" s="20">
        <f t="shared" ca="1" si="13"/>
        <v>88</v>
      </c>
      <c r="E269" s="20">
        <v>1</v>
      </c>
      <c r="H269" s="20">
        <f t="shared" si="14"/>
        <v>8</v>
      </c>
      <c r="M269" s="20">
        <v>268</v>
      </c>
    </row>
    <row r="270" spans="1:13" x14ac:dyDescent="0.15">
      <c r="A270" s="20">
        <f>collect!A270</f>
        <v>11</v>
      </c>
      <c r="B270" s="20">
        <f>collect!B270</f>
        <v>1104</v>
      </c>
      <c r="C270" s="20">
        <f t="shared" ca="1" si="12"/>
        <v>50038</v>
      </c>
      <c r="D270" s="20">
        <f t="shared" ca="1" si="13"/>
        <v>32</v>
      </c>
      <c r="E270" s="20">
        <v>1</v>
      </c>
      <c r="H270" s="20">
        <f t="shared" si="14"/>
        <v>11</v>
      </c>
      <c r="M270" s="20">
        <v>269</v>
      </c>
    </row>
    <row r="271" spans="1:13" x14ac:dyDescent="0.15">
      <c r="A271" s="20">
        <f>collect!A271</f>
        <v>11</v>
      </c>
      <c r="B271" s="20">
        <f>collect!B271</f>
        <v>1104</v>
      </c>
      <c r="C271" s="20">
        <f t="shared" ca="1" si="12"/>
        <v>50038</v>
      </c>
      <c r="D271" s="20">
        <f t="shared" ca="1" si="13"/>
        <v>32</v>
      </c>
      <c r="E271" s="20">
        <v>1</v>
      </c>
      <c r="H271" s="20">
        <f t="shared" si="14"/>
        <v>14</v>
      </c>
      <c r="M271" s="20">
        <v>270</v>
      </c>
    </row>
    <row r="272" spans="1:13" x14ac:dyDescent="0.15">
      <c r="A272" s="20">
        <f>collect!A272</f>
        <v>11</v>
      </c>
      <c r="B272" s="20">
        <f>collect!B272</f>
        <v>1105</v>
      </c>
      <c r="C272" s="20">
        <f t="shared" si="12"/>
        <v>50002</v>
      </c>
      <c r="D272" s="20">
        <f t="shared" si="13"/>
        <v>129</v>
      </c>
      <c r="E272" s="20">
        <v>1</v>
      </c>
      <c r="H272" s="20">
        <f t="shared" si="14"/>
        <v>2</v>
      </c>
      <c r="M272" s="20">
        <v>271</v>
      </c>
    </row>
    <row r="273" spans="1:13" x14ac:dyDescent="0.15">
      <c r="A273" s="20">
        <f>collect!A273</f>
        <v>11</v>
      </c>
      <c r="B273" s="20">
        <f>collect!B273</f>
        <v>1105</v>
      </c>
      <c r="C273" s="20">
        <f t="shared" ca="1" si="12"/>
        <v>50001</v>
      </c>
      <c r="D273" s="20">
        <f t="shared" ca="1" si="13"/>
        <v>181</v>
      </c>
      <c r="E273" s="20">
        <v>1</v>
      </c>
      <c r="H273" s="20">
        <f t="shared" si="14"/>
        <v>5</v>
      </c>
      <c r="M273" s="20">
        <v>272</v>
      </c>
    </row>
    <row r="274" spans="1:13" x14ac:dyDescent="0.15">
      <c r="A274" s="20">
        <f>collect!A274</f>
        <v>11</v>
      </c>
      <c r="B274" s="20">
        <f>collect!B274</f>
        <v>1105</v>
      </c>
      <c r="C274" s="20">
        <f t="shared" ca="1" si="12"/>
        <v>50011</v>
      </c>
      <c r="D274" s="20">
        <f t="shared" ca="1" si="13"/>
        <v>88</v>
      </c>
      <c r="E274" s="20">
        <v>1</v>
      </c>
      <c r="H274" s="20">
        <f t="shared" si="14"/>
        <v>8</v>
      </c>
      <c r="M274" s="20">
        <v>273</v>
      </c>
    </row>
    <row r="275" spans="1:13" x14ac:dyDescent="0.15">
      <c r="A275" s="20">
        <f>collect!A275</f>
        <v>11</v>
      </c>
      <c r="B275" s="20">
        <f>collect!B275</f>
        <v>1105</v>
      </c>
      <c r="C275" s="20">
        <f t="shared" ca="1" si="12"/>
        <v>50004</v>
      </c>
      <c r="D275" s="20">
        <f t="shared" ca="1" si="13"/>
        <v>55</v>
      </c>
      <c r="E275" s="20">
        <v>1</v>
      </c>
      <c r="H275" s="20">
        <f t="shared" si="14"/>
        <v>11</v>
      </c>
      <c r="M275" s="20">
        <v>274</v>
      </c>
    </row>
    <row r="276" spans="1:13" x14ac:dyDescent="0.15">
      <c r="A276" s="20">
        <f>collect!A276</f>
        <v>11</v>
      </c>
      <c r="B276" s="20">
        <f>collect!B276</f>
        <v>1105</v>
      </c>
      <c r="C276" s="20">
        <f t="shared" ca="1" si="12"/>
        <v>50040</v>
      </c>
      <c r="D276" s="20">
        <f t="shared" ca="1" si="13"/>
        <v>32</v>
      </c>
      <c r="E276" s="20">
        <v>1</v>
      </c>
      <c r="H276" s="20">
        <f t="shared" si="14"/>
        <v>14</v>
      </c>
      <c r="M276" s="20">
        <v>275</v>
      </c>
    </row>
    <row r="277" spans="1:13" x14ac:dyDescent="0.15">
      <c r="A277" s="20">
        <f>collect!A277</f>
        <v>12</v>
      </c>
      <c r="B277" s="20">
        <f>collect!B277</f>
        <v>1201</v>
      </c>
      <c r="C277" s="20">
        <f t="shared" si="12"/>
        <v>50006</v>
      </c>
      <c r="D277" s="20">
        <f t="shared" si="13"/>
        <v>129</v>
      </c>
      <c r="E277" s="20">
        <v>1</v>
      </c>
      <c r="H277" s="20">
        <f t="shared" si="14"/>
        <v>2</v>
      </c>
      <c r="M277" s="20">
        <v>276</v>
      </c>
    </row>
    <row r="278" spans="1:13" x14ac:dyDescent="0.15">
      <c r="A278" s="20">
        <f>collect!A278</f>
        <v>12</v>
      </c>
      <c r="B278" s="20">
        <f>collect!B278</f>
        <v>1201</v>
      </c>
      <c r="C278" s="20">
        <f t="shared" ca="1" si="12"/>
        <v>50001</v>
      </c>
      <c r="D278" s="20">
        <f t="shared" ca="1" si="13"/>
        <v>181</v>
      </c>
      <c r="E278" s="20">
        <v>1</v>
      </c>
      <c r="H278" s="20">
        <f t="shared" si="14"/>
        <v>5</v>
      </c>
      <c r="M278" s="20">
        <v>277</v>
      </c>
    </row>
    <row r="279" spans="1:13" x14ac:dyDescent="0.15">
      <c r="A279" s="20">
        <f>collect!A279</f>
        <v>12</v>
      </c>
      <c r="B279" s="20">
        <f>collect!B279</f>
        <v>1201</v>
      </c>
      <c r="C279" s="20">
        <f t="shared" ca="1" si="12"/>
        <v>50003</v>
      </c>
      <c r="D279" s="20">
        <f t="shared" ca="1" si="13"/>
        <v>88</v>
      </c>
      <c r="E279" s="20">
        <v>1</v>
      </c>
      <c r="H279" s="20">
        <f t="shared" si="14"/>
        <v>8</v>
      </c>
      <c r="M279" s="20">
        <v>278</v>
      </c>
    </row>
    <row r="280" spans="1:13" x14ac:dyDescent="0.15">
      <c r="A280" s="20">
        <f>collect!A280</f>
        <v>12</v>
      </c>
      <c r="B280" s="20">
        <f>collect!B280</f>
        <v>1201</v>
      </c>
      <c r="C280" s="20">
        <f t="shared" ca="1" si="12"/>
        <v>50040</v>
      </c>
      <c r="D280" s="20">
        <f t="shared" ca="1" si="13"/>
        <v>32</v>
      </c>
      <c r="E280" s="20">
        <v>1</v>
      </c>
      <c r="H280" s="20">
        <f t="shared" si="14"/>
        <v>11</v>
      </c>
      <c r="M280" s="20">
        <v>279</v>
      </c>
    </row>
    <row r="281" spans="1:13" x14ac:dyDescent="0.15">
      <c r="A281" s="20">
        <f>collect!A281</f>
        <v>12</v>
      </c>
      <c r="B281" s="20">
        <f>collect!B281</f>
        <v>1201</v>
      </c>
      <c r="C281" s="20">
        <f t="shared" ca="1" si="12"/>
        <v>50033</v>
      </c>
      <c r="D281" s="20">
        <f t="shared" ca="1" si="13"/>
        <v>32</v>
      </c>
      <c r="E281" s="20">
        <v>1</v>
      </c>
      <c r="H281" s="20">
        <f t="shared" si="14"/>
        <v>14</v>
      </c>
      <c r="M281" s="20">
        <v>280</v>
      </c>
    </row>
    <row r="282" spans="1:13" x14ac:dyDescent="0.15">
      <c r="A282" s="20">
        <f>collect!A282</f>
        <v>12</v>
      </c>
      <c r="B282" s="20">
        <f>collect!B282</f>
        <v>1202</v>
      </c>
      <c r="C282" s="20">
        <f t="shared" si="12"/>
        <v>50010</v>
      </c>
      <c r="D282" s="20">
        <f t="shared" si="13"/>
        <v>129</v>
      </c>
      <c r="E282" s="20">
        <v>1</v>
      </c>
      <c r="H282" s="20">
        <f t="shared" si="14"/>
        <v>2</v>
      </c>
      <c r="M282" s="20">
        <v>281</v>
      </c>
    </row>
    <row r="283" spans="1:13" x14ac:dyDescent="0.15">
      <c r="A283" s="20">
        <f>collect!A283</f>
        <v>12</v>
      </c>
      <c r="B283" s="20">
        <f>collect!B283</f>
        <v>1202</v>
      </c>
      <c r="C283" s="20">
        <f t="shared" ca="1" si="12"/>
        <v>50005</v>
      </c>
      <c r="D283" s="20">
        <f t="shared" ca="1" si="13"/>
        <v>181</v>
      </c>
      <c r="E283" s="20">
        <v>1</v>
      </c>
      <c r="H283" s="20">
        <f t="shared" si="14"/>
        <v>5</v>
      </c>
      <c r="M283" s="20">
        <v>282</v>
      </c>
    </row>
    <row r="284" spans="1:13" x14ac:dyDescent="0.15">
      <c r="A284" s="20">
        <f>collect!A284</f>
        <v>12</v>
      </c>
      <c r="B284" s="20">
        <f>collect!B284</f>
        <v>1202</v>
      </c>
      <c r="C284" s="20">
        <f t="shared" ca="1" si="12"/>
        <v>50174</v>
      </c>
      <c r="D284" s="20">
        <f t="shared" ca="1" si="13"/>
        <v>88</v>
      </c>
      <c r="E284" s="20">
        <v>1</v>
      </c>
      <c r="H284" s="20">
        <f t="shared" si="14"/>
        <v>8</v>
      </c>
      <c r="M284" s="20">
        <v>283</v>
      </c>
    </row>
    <row r="285" spans="1:13" x14ac:dyDescent="0.15">
      <c r="A285" s="20">
        <f>collect!A285</f>
        <v>12</v>
      </c>
      <c r="B285" s="20">
        <f>collect!B285</f>
        <v>1202</v>
      </c>
      <c r="C285" s="20">
        <f t="shared" ca="1" si="12"/>
        <v>50017</v>
      </c>
      <c r="D285" s="20">
        <f t="shared" ca="1" si="13"/>
        <v>32</v>
      </c>
      <c r="E285" s="20">
        <v>1</v>
      </c>
      <c r="H285" s="20">
        <f t="shared" si="14"/>
        <v>11</v>
      </c>
      <c r="M285" s="20">
        <v>284</v>
      </c>
    </row>
    <row r="286" spans="1:13" x14ac:dyDescent="0.15">
      <c r="A286" s="20">
        <f>collect!A286</f>
        <v>12</v>
      </c>
      <c r="B286" s="20">
        <f>collect!B286</f>
        <v>1202</v>
      </c>
      <c r="C286" s="20">
        <f t="shared" ca="1" si="12"/>
        <v>50033</v>
      </c>
      <c r="D286" s="20">
        <f t="shared" ca="1" si="13"/>
        <v>32</v>
      </c>
      <c r="E286" s="20">
        <v>1</v>
      </c>
      <c r="H286" s="20">
        <f t="shared" si="14"/>
        <v>14</v>
      </c>
      <c r="M286" s="20">
        <v>285</v>
      </c>
    </row>
    <row r="287" spans="1:13" x14ac:dyDescent="0.15">
      <c r="A287" s="20">
        <f>collect!A287</f>
        <v>12</v>
      </c>
      <c r="B287" s="20">
        <f>collect!B287</f>
        <v>1203</v>
      </c>
      <c r="C287" s="20">
        <f t="shared" si="12"/>
        <v>50087</v>
      </c>
      <c r="D287" s="20">
        <f t="shared" si="13"/>
        <v>129</v>
      </c>
      <c r="E287" s="20">
        <v>1</v>
      </c>
      <c r="H287" s="20">
        <f t="shared" si="14"/>
        <v>2</v>
      </c>
      <c r="M287" s="20">
        <v>286</v>
      </c>
    </row>
    <row r="288" spans="1:13" x14ac:dyDescent="0.15">
      <c r="A288" s="20">
        <f>collect!A288</f>
        <v>12</v>
      </c>
      <c r="B288" s="20">
        <f>collect!B288</f>
        <v>1203</v>
      </c>
      <c r="C288" s="20">
        <f t="shared" ca="1" si="12"/>
        <v>50009</v>
      </c>
      <c r="D288" s="20">
        <f t="shared" ca="1" si="13"/>
        <v>181</v>
      </c>
      <c r="E288" s="20">
        <v>1</v>
      </c>
      <c r="H288" s="20">
        <f t="shared" si="14"/>
        <v>5</v>
      </c>
      <c r="M288" s="20">
        <v>287</v>
      </c>
    </row>
    <row r="289" spans="1:13" x14ac:dyDescent="0.15">
      <c r="A289" s="20">
        <f>collect!A289</f>
        <v>12</v>
      </c>
      <c r="B289" s="20">
        <f>collect!B289</f>
        <v>1203</v>
      </c>
      <c r="C289" s="20">
        <f t="shared" ca="1" si="12"/>
        <v>50030</v>
      </c>
      <c r="D289" s="20">
        <f t="shared" ca="1" si="13"/>
        <v>88</v>
      </c>
      <c r="E289" s="20">
        <v>1</v>
      </c>
      <c r="H289" s="20">
        <f t="shared" si="14"/>
        <v>8</v>
      </c>
      <c r="M289" s="20">
        <v>288</v>
      </c>
    </row>
    <row r="290" spans="1:13" x14ac:dyDescent="0.15">
      <c r="A290" s="20">
        <f>collect!A290</f>
        <v>12</v>
      </c>
      <c r="B290" s="20">
        <f>collect!B290</f>
        <v>1203</v>
      </c>
      <c r="C290" s="20">
        <f t="shared" ca="1" si="12"/>
        <v>50012</v>
      </c>
      <c r="D290" s="20">
        <f t="shared" ca="1" si="13"/>
        <v>55</v>
      </c>
      <c r="E290" s="20">
        <v>1</v>
      </c>
      <c r="H290" s="20">
        <f t="shared" si="14"/>
        <v>11</v>
      </c>
      <c r="M290" s="20">
        <v>289</v>
      </c>
    </row>
    <row r="291" spans="1:13" x14ac:dyDescent="0.15">
      <c r="A291" s="20">
        <f>collect!A291</f>
        <v>12</v>
      </c>
      <c r="B291" s="20">
        <f>collect!B291</f>
        <v>1203</v>
      </c>
      <c r="C291" s="20">
        <f t="shared" ca="1" si="12"/>
        <v>50037</v>
      </c>
      <c r="D291" s="20">
        <f t="shared" ca="1" si="13"/>
        <v>32</v>
      </c>
      <c r="E291" s="20">
        <v>1</v>
      </c>
      <c r="H291" s="20">
        <f t="shared" si="14"/>
        <v>14</v>
      </c>
      <c r="M291" s="20">
        <v>290</v>
      </c>
    </row>
    <row r="292" spans="1:13" x14ac:dyDescent="0.15">
      <c r="A292" s="20">
        <f>collect!A292</f>
        <v>12</v>
      </c>
      <c r="B292" s="20">
        <f>collect!B292</f>
        <v>1204</v>
      </c>
      <c r="C292" s="20">
        <f t="shared" si="12"/>
        <v>50088</v>
      </c>
      <c r="D292" s="20">
        <f t="shared" si="13"/>
        <v>129</v>
      </c>
      <c r="E292" s="20">
        <v>1</v>
      </c>
      <c r="H292" s="20">
        <f t="shared" si="14"/>
        <v>2</v>
      </c>
      <c r="M292" s="20">
        <v>291</v>
      </c>
    </row>
    <row r="293" spans="1:13" x14ac:dyDescent="0.15">
      <c r="A293" s="20">
        <f>collect!A293</f>
        <v>12</v>
      </c>
      <c r="B293" s="20">
        <f>collect!B293</f>
        <v>1204</v>
      </c>
      <c r="C293" s="20">
        <f t="shared" ca="1" si="12"/>
        <v>50031</v>
      </c>
      <c r="D293" s="20">
        <f t="shared" ca="1" si="13"/>
        <v>181</v>
      </c>
      <c r="E293" s="20">
        <v>1</v>
      </c>
      <c r="H293" s="20">
        <f t="shared" si="14"/>
        <v>5</v>
      </c>
      <c r="M293" s="20">
        <v>292</v>
      </c>
    </row>
    <row r="294" spans="1:13" x14ac:dyDescent="0.15">
      <c r="A294" s="20">
        <f>collect!A294</f>
        <v>12</v>
      </c>
      <c r="B294" s="20">
        <f>collect!B294</f>
        <v>1204</v>
      </c>
      <c r="C294" s="20">
        <f t="shared" ca="1" si="12"/>
        <v>50025</v>
      </c>
      <c r="D294" s="20">
        <f t="shared" ca="1" si="13"/>
        <v>88</v>
      </c>
      <c r="E294" s="20">
        <v>1</v>
      </c>
      <c r="H294" s="20">
        <f t="shared" si="14"/>
        <v>8</v>
      </c>
      <c r="M294" s="20">
        <v>293</v>
      </c>
    </row>
    <row r="295" spans="1:13" x14ac:dyDescent="0.15">
      <c r="A295" s="20">
        <f>collect!A295</f>
        <v>12</v>
      </c>
      <c r="B295" s="20">
        <f>collect!B295</f>
        <v>1204</v>
      </c>
      <c r="C295" s="20">
        <f t="shared" ca="1" si="12"/>
        <v>50037</v>
      </c>
      <c r="D295" s="20">
        <f t="shared" ca="1" si="13"/>
        <v>32</v>
      </c>
      <c r="E295" s="20">
        <v>1</v>
      </c>
      <c r="H295" s="20">
        <f t="shared" si="14"/>
        <v>11</v>
      </c>
      <c r="M295" s="20">
        <v>294</v>
      </c>
    </row>
    <row r="296" spans="1:13" x14ac:dyDescent="0.15">
      <c r="A296" s="20">
        <f>collect!A296</f>
        <v>12</v>
      </c>
      <c r="B296" s="20">
        <f>collect!B296</f>
        <v>1204</v>
      </c>
      <c r="C296" s="20">
        <f t="shared" ca="1" si="12"/>
        <v>50038</v>
      </c>
      <c r="D296" s="20">
        <f t="shared" ca="1" si="13"/>
        <v>32</v>
      </c>
      <c r="E296" s="20">
        <v>1</v>
      </c>
      <c r="H296" s="20">
        <f t="shared" si="14"/>
        <v>14</v>
      </c>
      <c r="M296" s="20">
        <v>295</v>
      </c>
    </row>
    <row r="297" spans="1:13" x14ac:dyDescent="0.15">
      <c r="A297" s="20">
        <f>collect!A297</f>
        <v>12</v>
      </c>
      <c r="B297" s="20">
        <f>collect!B297</f>
        <v>1205</v>
      </c>
      <c r="C297" s="20">
        <f t="shared" si="12"/>
        <v>50003</v>
      </c>
      <c r="D297" s="20">
        <f t="shared" si="13"/>
        <v>88</v>
      </c>
      <c r="E297" s="20">
        <v>1</v>
      </c>
      <c r="H297" s="20">
        <f t="shared" si="14"/>
        <v>2</v>
      </c>
      <c r="M297" s="20">
        <v>296</v>
      </c>
    </row>
    <row r="298" spans="1:13" x14ac:dyDescent="0.15">
      <c r="A298" s="20">
        <f>collect!A298</f>
        <v>12</v>
      </c>
      <c r="B298" s="20">
        <f>collect!B298</f>
        <v>1205</v>
      </c>
      <c r="C298" s="20">
        <f t="shared" ca="1" si="12"/>
        <v>50005</v>
      </c>
      <c r="D298" s="20">
        <f t="shared" ca="1" si="13"/>
        <v>181</v>
      </c>
      <c r="E298" s="20">
        <v>1</v>
      </c>
      <c r="H298" s="20">
        <f t="shared" si="14"/>
        <v>5</v>
      </c>
      <c r="M298" s="20">
        <v>297</v>
      </c>
    </row>
    <row r="299" spans="1:13" x14ac:dyDescent="0.15">
      <c r="A299" s="20">
        <f>collect!A299</f>
        <v>12</v>
      </c>
      <c r="B299" s="20">
        <f>collect!B299</f>
        <v>1205</v>
      </c>
      <c r="C299" s="20">
        <f t="shared" ca="1" si="12"/>
        <v>50088</v>
      </c>
      <c r="D299" s="20">
        <f t="shared" ca="1" si="13"/>
        <v>129</v>
      </c>
      <c r="E299" s="20">
        <v>1</v>
      </c>
      <c r="H299" s="20">
        <f t="shared" si="14"/>
        <v>8</v>
      </c>
      <c r="M299" s="20">
        <v>298</v>
      </c>
    </row>
    <row r="300" spans="1:13" x14ac:dyDescent="0.15">
      <c r="A300" s="20">
        <f>collect!A300</f>
        <v>12</v>
      </c>
      <c r="B300" s="20">
        <f>collect!B300</f>
        <v>1205</v>
      </c>
      <c r="C300" s="20">
        <f t="shared" ca="1" si="12"/>
        <v>50033</v>
      </c>
      <c r="D300" s="20">
        <f t="shared" ca="1" si="13"/>
        <v>32</v>
      </c>
      <c r="E300" s="20">
        <v>1</v>
      </c>
      <c r="H300" s="20">
        <f t="shared" si="14"/>
        <v>11</v>
      </c>
      <c r="M300" s="20">
        <v>299</v>
      </c>
    </row>
    <row r="301" spans="1:13" x14ac:dyDescent="0.15">
      <c r="A301" s="20">
        <f>collect!A301</f>
        <v>12</v>
      </c>
      <c r="B301" s="20">
        <f>collect!B301</f>
        <v>1205</v>
      </c>
      <c r="C301" s="20">
        <f t="shared" ca="1" si="12"/>
        <v>50033</v>
      </c>
      <c r="D301" s="20">
        <f t="shared" ca="1" si="13"/>
        <v>32</v>
      </c>
      <c r="E301" s="20">
        <v>1</v>
      </c>
      <c r="H301" s="20">
        <f t="shared" si="14"/>
        <v>14</v>
      </c>
      <c r="M301" s="20">
        <v>300</v>
      </c>
    </row>
    <row r="302" spans="1:13" x14ac:dyDescent="0.15">
      <c r="A302" s="20">
        <f>collect!A302</f>
        <v>13</v>
      </c>
      <c r="B302" s="20">
        <f>collect!B302</f>
        <v>1301</v>
      </c>
      <c r="C302" s="20">
        <f t="shared" si="12"/>
        <v>50007</v>
      </c>
      <c r="D302" s="20">
        <f t="shared" si="13"/>
        <v>88</v>
      </c>
      <c r="E302" s="20">
        <v>1</v>
      </c>
      <c r="H302" s="20">
        <f t="shared" si="14"/>
        <v>2</v>
      </c>
      <c r="M302" s="20">
        <v>301</v>
      </c>
    </row>
    <row r="303" spans="1:13" x14ac:dyDescent="0.15">
      <c r="A303" s="20">
        <f>collect!A303</f>
        <v>13</v>
      </c>
      <c r="B303" s="20">
        <f>collect!B303</f>
        <v>1301</v>
      </c>
      <c r="C303" s="20">
        <f t="shared" ca="1" si="12"/>
        <v>50010</v>
      </c>
      <c r="D303" s="20">
        <f t="shared" ca="1" si="13"/>
        <v>129</v>
      </c>
      <c r="E303" s="20">
        <v>1</v>
      </c>
      <c r="H303" s="20">
        <f t="shared" si="14"/>
        <v>5</v>
      </c>
      <c r="M303" s="20">
        <v>302</v>
      </c>
    </row>
    <row r="304" spans="1:13" x14ac:dyDescent="0.15">
      <c r="A304" s="20">
        <f>collect!A304</f>
        <v>13</v>
      </c>
      <c r="B304" s="20">
        <f>collect!B304</f>
        <v>1301</v>
      </c>
      <c r="C304" s="20">
        <f t="shared" ca="1" si="12"/>
        <v>50089</v>
      </c>
      <c r="D304" s="20">
        <f t="shared" ca="1" si="13"/>
        <v>88</v>
      </c>
      <c r="E304" s="20">
        <v>1</v>
      </c>
      <c r="H304" s="20">
        <f t="shared" si="14"/>
        <v>8</v>
      </c>
      <c r="M304" s="20">
        <v>303</v>
      </c>
    </row>
    <row r="305" spans="1:13" x14ac:dyDescent="0.15">
      <c r="A305" s="20">
        <f>collect!A305</f>
        <v>13</v>
      </c>
      <c r="B305" s="20">
        <f>collect!B305</f>
        <v>1301</v>
      </c>
      <c r="C305" s="20">
        <f t="shared" ca="1" si="12"/>
        <v>50033</v>
      </c>
      <c r="D305" s="20">
        <f t="shared" ca="1" si="13"/>
        <v>32</v>
      </c>
      <c r="E305" s="20">
        <v>1</v>
      </c>
      <c r="H305" s="20">
        <f t="shared" si="14"/>
        <v>11</v>
      </c>
      <c r="M305" s="20">
        <v>304</v>
      </c>
    </row>
    <row r="306" spans="1:13" x14ac:dyDescent="0.15">
      <c r="A306" s="20">
        <f>collect!A306</f>
        <v>13</v>
      </c>
      <c r="B306" s="20">
        <f>collect!B306</f>
        <v>1301</v>
      </c>
      <c r="C306" s="20">
        <f t="shared" ca="1" si="12"/>
        <v>50017</v>
      </c>
      <c r="D306" s="20">
        <f t="shared" ca="1" si="13"/>
        <v>32</v>
      </c>
      <c r="E306" s="20">
        <v>1</v>
      </c>
      <c r="H306" s="20">
        <f t="shared" si="14"/>
        <v>14</v>
      </c>
      <c r="M306" s="20">
        <v>305</v>
      </c>
    </row>
    <row r="307" spans="1:13" x14ac:dyDescent="0.15">
      <c r="A307" s="20">
        <f>collect!A307</f>
        <v>13</v>
      </c>
      <c r="B307" s="20">
        <f>collect!B307</f>
        <v>1302</v>
      </c>
      <c r="C307" s="20">
        <f t="shared" si="12"/>
        <v>50011</v>
      </c>
      <c r="D307" s="20">
        <f t="shared" si="13"/>
        <v>88</v>
      </c>
      <c r="E307" s="20">
        <v>1</v>
      </c>
      <c r="H307" s="20">
        <f t="shared" si="14"/>
        <v>2</v>
      </c>
      <c r="M307" s="20">
        <v>306</v>
      </c>
    </row>
    <row r="308" spans="1:13" x14ac:dyDescent="0.15">
      <c r="A308" s="20">
        <f>collect!A308</f>
        <v>13</v>
      </c>
      <c r="B308" s="20">
        <f>collect!B308</f>
        <v>1302</v>
      </c>
      <c r="C308" s="20">
        <f t="shared" ca="1" si="12"/>
        <v>50010</v>
      </c>
      <c r="D308" s="20">
        <f t="shared" ca="1" si="13"/>
        <v>129</v>
      </c>
      <c r="E308" s="20">
        <v>1</v>
      </c>
      <c r="H308" s="20">
        <f t="shared" si="14"/>
        <v>5</v>
      </c>
      <c r="M308" s="20">
        <v>307</v>
      </c>
    </row>
    <row r="309" spans="1:13" x14ac:dyDescent="0.15">
      <c r="A309" s="20">
        <f>collect!A309</f>
        <v>13</v>
      </c>
      <c r="B309" s="20">
        <f>collect!B309</f>
        <v>1302</v>
      </c>
      <c r="C309" s="20">
        <f t="shared" ca="1" si="12"/>
        <v>50007</v>
      </c>
      <c r="D309" s="20">
        <f t="shared" ca="1" si="13"/>
        <v>88</v>
      </c>
      <c r="E309" s="20">
        <v>1</v>
      </c>
      <c r="H309" s="20">
        <f t="shared" si="14"/>
        <v>8</v>
      </c>
      <c r="M309" s="20">
        <v>308</v>
      </c>
    </row>
    <row r="310" spans="1:13" x14ac:dyDescent="0.15">
      <c r="A310" s="20">
        <f>collect!A310</f>
        <v>13</v>
      </c>
      <c r="B310" s="20">
        <f>collect!B310</f>
        <v>1302</v>
      </c>
      <c r="C310" s="20">
        <f t="shared" ca="1" si="12"/>
        <v>50008</v>
      </c>
      <c r="D310" s="20">
        <f t="shared" ca="1" si="13"/>
        <v>55</v>
      </c>
      <c r="E310" s="20">
        <v>1</v>
      </c>
      <c r="H310" s="20">
        <f t="shared" si="14"/>
        <v>11</v>
      </c>
      <c r="M310" s="20">
        <v>309</v>
      </c>
    </row>
    <row r="311" spans="1:13" x14ac:dyDescent="0.15">
      <c r="A311" s="20">
        <f>collect!A311</f>
        <v>13</v>
      </c>
      <c r="B311" s="20">
        <f>collect!B311</f>
        <v>1302</v>
      </c>
      <c r="C311" s="20">
        <f t="shared" ca="1" si="12"/>
        <v>50040</v>
      </c>
      <c r="D311" s="20">
        <f t="shared" ca="1" si="13"/>
        <v>32</v>
      </c>
      <c r="E311" s="20">
        <v>1</v>
      </c>
      <c r="H311" s="20">
        <f t="shared" si="14"/>
        <v>14</v>
      </c>
      <c r="M311" s="20">
        <v>310</v>
      </c>
    </row>
    <row r="312" spans="1:13" x14ac:dyDescent="0.15">
      <c r="A312" s="20">
        <f>collect!A312</f>
        <v>13</v>
      </c>
      <c r="B312" s="20">
        <f>collect!B312</f>
        <v>1303</v>
      </c>
      <c r="C312" s="20">
        <f t="shared" si="12"/>
        <v>50014</v>
      </c>
      <c r="D312" s="20">
        <f t="shared" si="13"/>
        <v>88</v>
      </c>
      <c r="E312" s="20">
        <v>1</v>
      </c>
      <c r="H312" s="20">
        <f t="shared" si="14"/>
        <v>2</v>
      </c>
      <c r="M312" s="20">
        <v>311</v>
      </c>
    </row>
    <row r="313" spans="1:13" x14ac:dyDescent="0.15">
      <c r="A313" s="20">
        <f>collect!A313</f>
        <v>13</v>
      </c>
      <c r="B313" s="20">
        <f>collect!B313</f>
        <v>1303</v>
      </c>
      <c r="C313" s="20">
        <f t="shared" ca="1" si="12"/>
        <v>50002</v>
      </c>
      <c r="D313" s="20">
        <f t="shared" ca="1" si="13"/>
        <v>129</v>
      </c>
      <c r="E313" s="20">
        <v>1</v>
      </c>
      <c r="H313" s="20">
        <f t="shared" si="14"/>
        <v>5</v>
      </c>
      <c r="M313" s="20">
        <v>312</v>
      </c>
    </row>
    <row r="314" spans="1:13" x14ac:dyDescent="0.15">
      <c r="A314" s="20">
        <f>collect!A314</f>
        <v>13</v>
      </c>
      <c r="B314" s="20">
        <f>collect!B314</f>
        <v>1303</v>
      </c>
      <c r="C314" s="20">
        <f t="shared" ca="1" si="12"/>
        <v>50032</v>
      </c>
      <c r="D314" s="20">
        <f t="shared" ca="1" si="13"/>
        <v>88</v>
      </c>
      <c r="E314" s="20">
        <v>1</v>
      </c>
      <c r="H314" s="20">
        <f t="shared" si="14"/>
        <v>8</v>
      </c>
      <c r="M314" s="20">
        <v>313</v>
      </c>
    </row>
    <row r="315" spans="1:13" x14ac:dyDescent="0.15">
      <c r="A315" s="20">
        <f>collect!A315</f>
        <v>13</v>
      </c>
      <c r="B315" s="20">
        <f>collect!B315</f>
        <v>1303</v>
      </c>
      <c r="C315" s="20">
        <f t="shared" ca="1" si="12"/>
        <v>50040</v>
      </c>
      <c r="D315" s="20">
        <f t="shared" ca="1" si="13"/>
        <v>32</v>
      </c>
      <c r="E315" s="20">
        <v>1</v>
      </c>
      <c r="H315" s="20">
        <f t="shared" si="14"/>
        <v>11</v>
      </c>
      <c r="M315" s="20">
        <v>314</v>
      </c>
    </row>
    <row r="316" spans="1:13" x14ac:dyDescent="0.15">
      <c r="A316" s="20">
        <f>collect!A316</f>
        <v>13</v>
      </c>
      <c r="B316" s="20">
        <f>collect!B316</f>
        <v>1303</v>
      </c>
      <c r="C316" s="20">
        <f t="shared" ca="1" si="12"/>
        <v>50038</v>
      </c>
      <c r="D316" s="20">
        <f t="shared" ca="1" si="13"/>
        <v>32</v>
      </c>
      <c r="E316" s="20">
        <v>1</v>
      </c>
      <c r="H316" s="20">
        <f t="shared" si="14"/>
        <v>14</v>
      </c>
      <c r="M316" s="20">
        <v>315</v>
      </c>
    </row>
    <row r="317" spans="1:13" x14ac:dyDescent="0.15">
      <c r="A317" s="20">
        <f>collect!A317</f>
        <v>13</v>
      </c>
      <c r="B317" s="20">
        <f>collect!B317</f>
        <v>1304</v>
      </c>
      <c r="C317" s="20">
        <f t="shared" si="12"/>
        <v>50016</v>
      </c>
      <c r="D317" s="20">
        <f t="shared" si="13"/>
        <v>88</v>
      </c>
      <c r="E317" s="20">
        <v>1</v>
      </c>
      <c r="H317" s="20">
        <f t="shared" si="14"/>
        <v>2</v>
      </c>
      <c r="M317" s="20">
        <v>316</v>
      </c>
    </row>
    <row r="318" spans="1:13" x14ac:dyDescent="0.15">
      <c r="A318" s="20">
        <f>collect!A318</f>
        <v>13</v>
      </c>
      <c r="B318" s="20">
        <f>collect!B318</f>
        <v>1304</v>
      </c>
      <c r="C318" s="20">
        <f t="shared" ca="1" si="12"/>
        <v>50002</v>
      </c>
      <c r="D318" s="20">
        <f t="shared" ca="1" si="13"/>
        <v>129</v>
      </c>
      <c r="E318" s="20">
        <v>1</v>
      </c>
      <c r="H318" s="20">
        <f t="shared" si="14"/>
        <v>5</v>
      </c>
      <c r="M318" s="20">
        <v>317</v>
      </c>
    </row>
    <row r="319" spans="1:13" x14ac:dyDescent="0.15">
      <c r="A319" s="20">
        <f>collect!A319</f>
        <v>13</v>
      </c>
      <c r="B319" s="20">
        <f>collect!B319</f>
        <v>1304</v>
      </c>
      <c r="C319" s="20">
        <f t="shared" ca="1" si="12"/>
        <v>50002</v>
      </c>
      <c r="D319" s="20">
        <f t="shared" ca="1" si="13"/>
        <v>129</v>
      </c>
      <c r="E319" s="20">
        <v>1</v>
      </c>
      <c r="H319" s="20">
        <f t="shared" si="14"/>
        <v>8</v>
      </c>
      <c r="M319" s="20">
        <v>318</v>
      </c>
    </row>
    <row r="320" spans="1:13" x14ac:dyDescent="0.15">
      <c r="A320" s="20">
        <f>collect!A320</f>
        <v>13</v>
      </c>
      <c r="B320" s="20">
        <f>collect!B320</f>
        <v>1304</v>
      </c>
      <c r="C320" s="20">
        <f t="shared" ca="1" si="12"/>
        <v>50037</v>
      </c>
      <c r="D320" s="20">
        <f t="shared" ca="1" si="13"/>
        <v>32</v>
      </c>
      <c r="E320" s="20">
        <v>1</v>
      </c>
      <c r="H320" s="20">
        <f t="shared" si="14"/>
        <v>11</v>
      </c>
      <c r="M320" s="20">
        <v>319</v>
      </c>
    </row>
    <row r="321" spans="1:13" x14ac:dyDescent="0.15">
      <c r="A321" s="20">
        <f>collect!A321</f>
        <v>13</v>
      </c>
      <c r="B321" s="20">
        <f>collect!B321</f>
        <v>1304</v>
      </c>
      <c r="C321" s="20">
        <f t="shared" ca="1" si="12"/>
        <v>50039</v>
      </c>
      <c r="D321" s="20">
        <f t="shared" ca="1" si="13"/>
        <v>32</v>
      </c>
      <c r="E321" s="20">
        <v>1</v>
      </c>
      <c r="H321" s="20">
        <f t="shared" si="14"/>
        <v>14</v>
      </c>
      <c r="M321" s="20">
        <v>320</v>
      </c>
    </row>
    <row r="322" spans="1:13" x14ac:dyDescent="0.15">
      <c r="A322" s="20">
        <f>collect!A322</f>
        <v>13</v>
      </c>
      <c r="B322" s="20">
        <f>collect!B322</f>
        <v>1305</v>
      </c>
      <c r="C322" s="20">
        <f t="shared" ref="C322:C385" si="15">VLOOKUP(B322,plan2,H322,FALSE)</f>
        <v>50018</v>
      </c>
      <c r="D322" s="20">
        <f t="shared" ref="D322:D385" si="16">VLOOKUP(C322,marking,9,FALSE)</f>
        <v>88</v>
      </c>
      <c r="E322" s="20">
        <v>1</v>
      </c>
      <c r="H322" s="20">
        <f t="shared" si="14"/>
        <v>2</v>
      </c>
      <c r="M322" s="20">
        <v>321</v>
      </c>
    </row>
    <row r="323" spans="1:13" x14ac:dyDescent="0.15">
      <c r="A323" s="20">
        <f>collect!A323</f>
        <v>13</v>
      </c>
      <c r="B323" s="20">
        <f>collect!B323</f>
        <v>1305</v>
      </c>
      <c r="C323" s="20">
        <f t="shared" ca="1" si="15"/>
        <v>50088</v>
      </c>
      <c r="D323" s="20">
        <f t="shared" ca="1" si="16"/>
        <v>129</v>
      </c>
      <c r="E323" s="20">
        <v>1</v>
      </c>
      <c r="H323" s="20">
        <f t="shared" si="14"/>
        <v>5</v>
      </c>
      <c r="M323" s="20">
        <v>322</v>
      </c>
    </row>
    <row r="324" spans="1:13" x14ac:dyDescent="0.15">
      <c r="A324" s="20">
        <f>collect!A324</f>
        <v>13</v>
      </c>
      <c r="B324" s="20">
        <f>collect!B324</f>
        <v>1305</v>
      </c>
      <c r="C324" s="20">
        <f t="shared" ca="1" si="15"/>
        <v>50022</v>
      </c>
      <c r="D324" s="20">
        <f t="shared" ca="1" si="16"/>
        <v>88</v>
      </c>
      <c r="E324" s="20">
        <v>1</v>
      </c>
      <c r="H324" s="20">
        <f t="shared" si="14"/>
        <v>8</v>
      </c>
      <c r="M324" s="20">
        <v>323</v>
      </c>
    </row>
    <row r="325" spans="1:13" x14ac:dyDescent="0.15">
      <c r="A325" s="20">
        <f>collect!A325</f>
        <v>13</v>
      </c>
      <c r="B325" s="20">
        <f>collect!B325</f>
        <v>1305</v>
      </c>
      <c r="C325" s="20">
        <f t="shared" ca="1" si="15"/>
        <v>50040</v>
      </c>
      <c r="D325" s="20">
        <f t="shared" ca="1" si="16"/>
        <v>32</v>
      </c>
      <c r="E325" s="20">
        <v>1</v>
      </c>
      <c r="H325" s="20">
        <f t="shared" si="14"/>
        <v>11</v>
      </c>
      <c r="M325" s="20">
        <v>324</v>
      </c>
    </row>
    <row r="326" spans="1:13" x14ac:dyDescent="0.15">
      <c r="A326" s="20">
        <f>collect!A326</f>
        <v>13</v>
      </c>
      <c r="B326" s="20">
        <f>collect!B326</f>
        <v>1305</v>
      </c>
      <c r="C326" s="20">
        <f t="shared" ca="1" si="15"/>
        <v>50033</v>
      </c>
      <c r="D326" s="20">
        <f t="shared" ca="1" si="16"/>
        <v>32</v>
      </c>
      <c r="E326" s="20">
        <v>1</v>
      </c>
      <c r="H326" s="20">
        <f t="shared" si="14"/>
        <v>14</v>
      </c>
      <c r="M326" s="20">
        <v>325</v>
      </c>
    </row>
    <row r="327" spans="1:13" x14ac:dyDescent="0.15">
      <c r="A327" s="20">
        <f>collect!A327</f>
        <v>14</v>
      </c>
      <c r="B327" s="20">
        <f>collect!B327</f>
        <v>1401</v>
      </c>
      <c r="C327" s="20">
        <f t="shared" si="15"/>
        <v>50019</v>
      </c>
      <c r="D327" s="20">
        <f t="shared" si="16"/>
        <v>88</v>
      </c>
      <c r="E327" s="20">
        <v>1</v>
      </c>
      <c r="H327" s="20">
        <f t="shared" si="14"/>
        <v>2</v>
      </c>
      <c r="M327" s="20">
        <v>326</v>
      </c>
    </row>
    <row r="328" spans="1:13" x14ac:dyDescent="0.15">
      <c r="A328" s="20">
        <f>collect!A328</f>
        <v>14</v>
      </c>
      <c r="B328" s="20">
        <f>collect!B328</f>
        <v>1401</v>
      </c>
      <c r="C328" s="20">
        <f t="shared" ca="1" si="15"/>
        <v>50013</v>
      </c>
      <c r="D328" s="20">
        <f t="shared" ca="1" si="16"/>
        <v>181</v>
      </c>
      <c r="E328" s="20">
        <v>1</v>
      </c>
      <c r="H328" s="20">
        <f t="shared" ref="H328:H391" si="17">H323</f>
        <v>5</v>
      </c>
      <c r="M328" s="20">
        <v>327</v>
      </c>
    </row>
    <row r="329" spans="1:13" x14ac:dyDescent="0.15">
      <c r="A329" s="20">
        <f>collect!A329</f>
        <v>14</v>
      </c>
      <c r="B329" s="20">
        <f>collect!B329</f>
        <v>1401</v>
      </c>
      <c r="C329" s="20">
        <f t="shared" ca="1" si="15"/>
        <v>50016</v>
      </c>
      <c r="D329" s="20">
        <f t="shared" ca="1" si="16"/>
        <v>88</v>
      </c>
      <c r="E329" s="20">
        <v>1</v>
      </c>
      <c r="H329" s="20">
        <f t="shared" si="17"/>
        <v>8</v>
      </c>
      <c r="M329" s="20">
        <v>328</v>
      </c>
    </row>
    <row r="330" spans="1:13" x14ac:dyDescent="0.15">
      <c r="A330" s="20">
        <f>collect!A330</f>
        <v>14</v>
      </c>
      <c r="B330" s="20">
        <f>collect!B330</f>
        <v>1401</v>
      </c>
      <c r="C330" s="20">
        <f t="shared" ca="1" si="15"/>
        <v>50012</v>
      </c>
      <c r="D330" s="20">
        <f t="shared" ca="1" si="16"/>
        <v>55</v>
      </c>
      <c r="E330" s="20">
        <v>1</v>
      </c>
      <c r="H330" s="20">
        <f t="shared" si="17"/>
        <v>11</v>
      </c>
      <c r="M330" s="20">
        <v>329</v>
      </c>
    </row>
    <row r="331" spans="1:13" x14ac:dyDescent="0.15">
      <c r="A331" s="20">
        <f>collect!A331</f>
        <v>14</v>
      </c>
      <c r="B331" s="20">
        <f>collect!B331</f>
        <v>1401</v>
      </c>
      <c r="C331" s="20">
        <f t="shared" ca="1" si="15"/>
        <v>50034</v>
      </c>
      <c r="D331" s="20">
        <f t="shared" ca="1" si="16"/>
        <v>5</v>
      </c>
      <c r="E331" s="20">
        <v>1</v>
      </c>
      <c r="H331" s="20">
        <f t="shared" si="17"/>
        <v>14</v>
      </c>
      <c r="M331" s="20">
        <v>330</v>
      </c>
    </row>
    <row r="332" spans="1:13" x14ac:dyDescent="0.15">
      <c r="A332" s="20">
        <f>collect!A332</f>
        <v>14</v>
      </c>
      <c r="B332" s="20">
        <f>collect!B332</f>
        <v>1402</v>
      </c>
      <c r="C332" s="20">
        <f t="shared" si="15"/>
        <v>50020</v>
      </c>
      <c r="D332" s="20">
        <f t="shared" si="16"/>
        <v>88</v>
      </c>
      <c r="E332" s="20">
        <v>1</v>
      </c>
      <c r="H332" s="20">
        <f t="shared" si="17"/>
        <v>2</v>
      </c>
      <c r="M332" s="20">
        <v>331</v>
      </c>
    </row>
    <row r="333" spans="1:13" x14ac:dyDescent="0.15">
      <c r="A333" s="20">
        <f>collect!A333</f>
        <v>14</v>
      </c>
      <c r="B333" s="20">
        <f>collect!B333</f>
        <v>1402</v>
      </c>
      <c r="C333" s="20">
        <f t="shared" ca="1" si="15"/>
        <v>50015</v>
      </c>
      <c r="D333" s="20">
        <f t="shared" ca="1" si="16"/>
        <v>181</v>
      </c>
      <c r="E333" s="20">
        <v>1</v>
      </c>
      <c r="H333" s="20">
        <f t="shared" si="17"/>
        <v>5</v>
      </c>
      <c r="M333" s="20">
        <v>332</v>
      </c>
    </row>
    <row r="334" spans="1:13" x14ac:dyDescent="0.15">
      <c r="A334" s="20">
        <f>collect!A334</f>
        <v>14</v>
      </c>
      <c r="B334" s="20">
        <f>collect!B334</f>
        <v>1402</v>
      </c>
      <c r="C334" s="20">
        <f t="shared" ca="1" si="15"/>
        <v>50025</v>
      </c>
      <c r="D334" s="20">
        <f t="shared" ca="1" si="16"/>
        <v>88</v>
      </c>
      <c r="E334" s="20">
        <v>1</v>
      </c>
      <c r="H334" s="20">
        <f t="shared" si="17"/>
        <v>8</v>
      </c>
      <c r="M334" s="20">
        <v>333</v>
      </c>
    </row>
    <row r="335" spans="1:13" x14ac:dyDescent="0.15">
      <c r="A335" s="20">
        <f>collect!A335</f>
        <v>14</v>
      </c>
      <c r="B335" s="20">
        <f>collect!B335</f>
        <v>1402</v>
      </c>
      <c r="C335" s="20">
        <f t="shared" ca="1" si="15"/>
        <v>50037</v>
      </c>
      <c r="D335" s="20">
        <f t="shared" ca="1" si="16"/>
        <v>32</v>
      </c>
      <c r="E335" s="20">
        <v>1</v>
      </c>
      <c r="H335" s="20">
        <f t="shared" si="17"/>
        <v>11</v>
      </c>
      <c r="M335" s="20">
        <v>334</v>
      </c>
    </row>
    <row r="336" spans="1:13" x14ac:dyDescent="0.15">
      <c r="A336" s="20">
        <f>collect!A336</f>
        <v>14</v>
      </c>
      <c r="B336" s="20">
        <f>collect!B336</f>
        <v>1402</v>
      </c>
      <c r="C336" s="20">
        <f t="shared" ca="1" si="15"/>
        <v>50033</v>
      </c>
      <c r="D336" s="20">
        <f t="shared" ca="1" si="16"/>
        <v>32</v>
      </c>
      <c r="E336" s="20">
        <v>1</v>
      </c>
      <c r="H336" s="20">
        <f t="shared" si="17"/>
        <v>14</v>
      </c>
      <c r="M336" s="20">
        <v>335</v>
      </c>
    </row>
    <row r="337" spans="1:13" x14ac:dyDescent="0.15">
      <c r="A337" s="20">
        <f>collect!A337</f>
        <v>14</v>
      </c>
      <c r="B337" s="20">
        <f>collect!B337</f>
        <v>1403</v>
      </c>
      <c r="C337" s="20">
        <f t="shared" si="15"/>
        <v>50021</v>
      </c>
      <c r="D337" s="20">
        <f t="shared" si="16"/>
        <v>88</v>
      </c>
      <c r="E337" s="20">
        <v>1</v>
      </c>
      <c r="H337" s="20">
        <f t="shared" si="17"/>
        <v>2</v>
      </c>
      <c r="M337" s="20">
        <v>336</v>
      </c>
    </row>
    <row r="338" spans="1:13" x14ac:dyDescent="0.15">
      <c r="A338" s="20">
        <f>collect!A338</f>
        <v>14</v>
      </c>
      <c r="B338" s="20">
        <f>collect!B338</f>
        <v>1403</v>
      </c>
      <c r="C338" s="20">
        <f t="shared" ca="1" si="15"/>
        <v>50013</v>
      </c>
      <c r="D338" s="20">
        <f t="shared" ca="1" si="16"/>
        <v>181</v>
      </c>
      <c r="E338" s="20">
        <v>1</v>
      </c>
      <c r="H338" s="20">
        <f t="shared" si="17"/>
        <v>5</v>
      </c>
      <c r="M338" s="20">
        <v>337</v>
      </c>
    </row>
    <row r="339" spans="1:13" x14ac:dyDescent="0.15">
      <c r="A339" s="20">
        <f>collect!A339</f>
        <v>14</v>
      </c>
      <c r="B339" s="20">
        <f>collect!B339</f>
        <v>1403</v>
      </c>
      <c r="C339" s="20">
        <f t="shared" ca="1" si="15"/>
        <v>50025</v>
      </c>
      <c r="D339" s="20">
        <f t="shared" ca="1" si="16"/>
        <v>88</v>
      </c>
      <c r="E339" s="20">
        <v>1</v>
      </c>
      <c r="H339" s="20">
        <f t="shared" si="17"/>
        <v>8</v>
      </c>
      <c r="M339" s="20">
        <v>338</v>
      </c>
    </row>
    <row r="340" spans="1:13" x14ac:dyDescent="0.15">
      <c r="A340" s="20">
        <f>collect!A340</f>
        <v>14</v>
      </c>
      <c r="B340" s="20">
        <f>collect!B340</f>
        <v>1403</v>
      </c>
      <c r="C340" s="20">
        <f t="shared" ca="1" si="15"/>
        <v>50012</v>
      </c>
      <c r="D340" s="20">
        <f t="shared" ca="1" si="16"/>
        <v>55</v>
      </c>
      <c r="E340" s="20">
        <v>1</v>
      </c>
      <c r="H340" s="20">
        <f t="shared" si="17"/>
        <v>11</v>
      </c>
      <c r="M340" s="20">
        <v>339</v>
      </c>
    </row>
    <row r="341" spans="1:13" x14ac:dyDescent="0.15">
      <c r="A341" s="20">
        <f>collect!A341</f>
        <v>14</v>
      </c>
      <c r="B341" s="20">
        <f>collect!B341</f>
        <v>1403</v>
      </c>
      <c r="C341" s="20">
        <f t="shared" ca="1" si="15"/>
        <v>50037</v>
      </c>
      <c r="D341" s="20">
        <f t="shared" ca="1" si="16"/>
        <v>32</v>
      </c>
      <c r="E341" s="20">
        <v>1</v>
      </c>
      <c r="H341" s="20">
        <f t="shared" si="17"/>
        <v>14</v>
      </c>
      <c r="M341" s="20">
        <v>340</v>
      </c>
    </row>
    <row r="342" spans="1:13" x14ac:dyDescent="0.15">
      <c r="A342" s="20">
        <f>collect!A342</f>
        <v>14</v>
      </c>
      <c r="B342" s="20">
        <f>collect!B342</f>
        <v>1404</v>
      </c>
      <c r="C342" s="20">
        <f t="shared" si="15"/>
        <v>50022</v>
      </c>
      <c r="D342" s="20">
        <f t="shared" si="16"/>
        <v>88</v>
      </c>
      <c r="E342" s="20">
        <v>1</v>
      </c>
      <c r="H342" s="20">
        <f t="shared" si="17"/>
        <v>2</v>
      </c>
      <c r="M342" s="20">
        <v>341</v>
      </c>
    </row>
    <row r="343" spans="1:13" x14ac:dyDescent="0.15">
      <c r="A343" s="20">
        <f>collect!A343</f>
        <v>14</v>
      </c>
      <c r="B343" s="20">
        <f>collect!B343</f>
        <v>1404</v>
      </c>
      <c r="C343" s="20">
        <f t="shared" ca="1" si="15"/>
        <v>50006</v>
      </c>
      <c r="D343" s="20">
        <f t="shared" ca="1" si="16"/>
        <v>129</v>
      </c>
      <c r="E343" s="20">
        <v>1</v>
      </c>
      <c r="H343" s="20">
        <f t="shared" si="17"/>
        <v>5</v>
      </c>
      <c r="M343" s="20">
        <v>342</v>
      </c>
    </row>
    <row r="344" spans="1:13" x14ac:dyDescent="0.15">
      <c r="A344" s="20">
        <f>collect!A344</f>
        <v>14</v>
      </c>
      <c r="B344" s="20">
        <f>collect!B344</f>
        <v>1404</v>
      </c>
      <c r="C344" s="20">
        <f t="shared" ca="1" si="15"/>
        <v>50002</v>
      </c>
      <c r="D344" s="20">
        <f t="shared" ca="1" si="16"/>
        <v>129</v>
      </c>
      <c r="E344" s="20">
        <v>1</v>
      </c>
      <c r="H344" s="20">
        <f t="shared" si="17"/>
        <v>8</v>
      </c>
      <c r="M344" s="20">
        <v>343</v>
      </c>
    </row>
    <row r="345" spans="1:13" x14ac:dyDescent="0.15">
      <c r="A345" s="20">
        <f>collect!A345</f>
        <v>14</v>
      </c>
      <c r="B345" s="20">
        <f>collect!B345</f>
        <v>1404</v>
      </c>
      <c r="C345" s="20">
        <f t="shared" ca="1" si="15"/>
        <v>50017</v>
      </c>
      <c r="D345" s="20">
        <f t="shared" ca="1" si="16"/>
        <v>32</v>
      </c>
      <c r="E345" s="20">
        <v>1</v>
      </c>
      <c r="H345" s="20">
        <f t="shared" si="17"/>
        <v>11</v>
      </c>
      <c r="M345" s="20">
        <v>344</v>
      </c>
    </row>
    <row r="346" spans="1:13" x14ac:dyDescent="0.15">
      <c r="A346" s="20">
        <f>collect!A346</f>
        <v>14</v>
      </c>
      <c r="B346" s="20">
        <f>collect!B346</f>
        <v>1404</v>
      </c>
      <c r="C346" s="20">
        <f t="shared" ca="1" si="15"/>
        <v>50039</v>
      </c>
      <c r="D346" s="20">
        <f t="shared" ca="1" si="16"/>
        <v>32</v>
      </c>
      <c r="E346" s="20">
        <v>1</v>
      </c>
      <c r="H346" s="20">
        <f t="shared" si="17"/>
        <v>14</v>
      </c>
      <c r="M346" s="20">
        <v>345</v>
      </c>
    </row>
    <row r="347" spans="1:13" x14ac:dyDescent="0.15">
      <c r="A347" s="20">
        <f>collect!A347</f>
        <v>14</v>
      </c>
      <c r="B347" s="20">
        <f>collect!B347</f>
        <v>1405</v>
      </c>
      <c r="C347" s="20">
        <f t="shared" si="15"/>
        <v>50023</v>
      </c>
      <c r="D347" s="20">
        <f t="shared" si="16"/>
        <v>88</v>
      </c>
      <c r="E347" s="20">
        <v>1</v>
      </c>
      <c r="H347" s="20">
        <f t="shared" si="17"/>
        <v>2</v>
      </c>
      <c r="M347" s="20">
        <v>346</v>
      </c>
    </row>
    <row r="348" spans="1:13" x14ac:dyDescent="0.15">
      <c r="A348" s="20">
        <f>collect!A348</f>
        <v>14</v>
      </c>
      <c r="B348" s="20">
        <f>collect!B348</f>
        <v>1405</v>
      </c>
      <c r="C348" s="20">
        <f t="shared" ca="1" si="15"/>
        <v>50015</v>
      </c>
      <c r="D348" s="20">
        <f t="shared" ca="1" si="16"/>
        <v>181</v>
      </c>
      <c r="E348" s="20">
        <v>1</v>
      </c>
      <c r="H348" s="20">
        <f t="shared" si="17"/>
        <v>5</v>
      </c>
      <c r="M348" s="20">
        <v>347</v>
      </c>
    </row>
    <row r="349" spans="1:13" x14ac:dyDescent="0.15">
      <c r="A349" s="20">
        <f>collect!A349</f>
        <v>14</v>
      </c>
      <c r="B349" s="20">
        <f>collect!B349</f>
        <v>1405</v>
      </c>
      <c r="C349" s="20">
        <f t="shared" ca="1" si="15"/>
        <v>50173</v>
      </c>
      <c r="D349" s="20">
        <f t="shared" ca="1" si="16"/>
        <v>88</v>
      </c>
      <c r="E349" s="20">
        <v>1</v>
      </c>
      <c r="H349" s="20">
        <f t="shared" si="17"/>
        <v>8</v>
      </c>
      <c r="M349" s="20">
        <v>348</v>
      </c>
    </row>
    <row r="350" spans="1:13" x14ac:dyDescent="0.15">
      <c r="A350" s="20">
        <f>collect!A350</f>
        <v>14</v>
      </c>
      <c r="B350" s="20">
        <f>collect!B350</f>
        <v>1405</v>
      </c>
      <c r="C350" s="20">
        <f t="shared" ca="1" si="15"/>
        <v>50040</v>
      </c>
      <c r="D350" s="20">
        <f t="shared" ca="1" si="16"/>
        <v>32</v>
      </c>
      <c r="E350" s="20">
        <v>1</v>
      </c>
      <c r="H350" s="20">
        <f t="shared" si="17"/>
        <v>11</v>
      </c>
      <c r="M350" s="20">
        <v>349</v>
      </c>
    </row>
    <row r="351" spans="1:13" x14ac:dyDescent="0.15">
      <c r="A351" s="20">
        <f>collect!A351</f>
        <v>14</v>
      </c>
      <c r="B351" s="20">
        <f>collect!B351</f>
        <v>1405</v>
      </c>
      <c r="C351" s="20">
        <f t="shared" ca="1" si="15"/>
        <v>50033</v>
      </c>
      <c r="D351" s="20">
        <f t="shared" ca="1" si="16"/>
        <v>32</v>
      </c>
      <c r="E351" s="20">
        <v>1</v>
      </c>
      <c r="H351" s="20">
        <f t="shared" si="17"/>
        <v>14</v>
      </c>
      <c r="M351" s="20">
        <v>350</v>
      </c>
    </row>
    <row r="352" spans="1:13" x14ac:dyDescent="0.15">
      <c r="A352" s="20">
        <f>collect!A352</f>
        <v>15</v>
      </c>
      <c r="B352" s="20">
        <f>collect!B352</f>
        <v>1501</v>
      </c>
      <c r="C352" s="20">
        <f t="shared" si="15"/>
        <v>50024</v>
      </c>
      <c r="D352" s="20">
        <f t="shared" si="16"/>
        <v>88</v>
      </c>
      <c r="E352" s="20">
        <v>1</v>
      </c>
      <c r="H352" s="20">
        <f t="shared" si="17"/>
        <v>2</v>
      </c>
      <c r="M352" s="20">
        <v>351</v>
      </c>
    </row>
    <row r="353" spans="1:13" x14ac:dyDescent="0.15">
      <c r="A353" s="20">
        <f>collect!A353</f>
        <v>15</v>
      </c>
      <c r="B353" s="20">
        <f>collect!B353</f>
        <v>1501</v>
      </c>
      <c r="C353" s="20">
        <f t="shared" ca="1" si="15"/>
        <v>50001</v>
      </c>
      <c r="D353" s="20">
        <f t="shared" ca="1" si="16"/>
        <v>181</v>
      </c>
      <c r="E353" s="20">
        <v>1</v>
      </c>
      <c r="H353" s="20">
        <f t="shared" si="17"/>
        <v>5</v>
      </c>
      <c r="M353" s="20">
        <v>352</v>
      </c>
    </row>
    <row r="354" spans="1:13" x14ac:dyDescent="0.15">
      <c r="A354" s="20">
        <f>collect!A354</f>
        <v>15</v>
      </c>
      <c r="B354" s="20">
        <f>collect!B354</f>
        <v>1501</v>
      </c>
      <c r="C354" s="20">
        <f t="shared" ca="1" si="15"/>
        <v>50011</v>
      </c>
      <c r="D354" s="20">
        <f t="shared" ca="1" si="16"/>
        <v>88</v>
      </c>
      <c r="E354" s="20">
        <v>1</v>
      </c>
      <c r="H354" s="20">
        <f t="shared" si="17"/>
        <v>8</v>
      </c>
      <c r="M354" s="20">
        <v>353</v>
      </c>
    </row>
    <row r="355" spans="1:13" x14ac:dyDescent="0.15">
      <c r="A355" s="20">
        <f>collect!A355</f>
        <v>15</v>
      </c>
      <c r="B355" s="20">
        <f>collect!B355</f>
        <v>1501</v>
      </c>
      <c r="C355" s="20">
        <f t="shared" ca="1" si="15"/>
        <v>50039</v>
      </c>
      <c r="D355" s="20">
        <f t="shared" ca="1" si="16"/>
        <v>32</v>
      </c>
      <c r="E355" s="20">
        <v>1</v>
      </c>
      <c r="H355" s="20">
        <f t="shared" si="17"/>
        <v>11</v>
      </c>
      <c r="M355" s="20">
        <v>354</v>
      </c>
    </row>
    <row r="356" spans="1:13" x14ac:dyDescent="0.15">
      <c r="A356" s="20">
        <f>collect!A356</f>
        <v>15</v>
      </c>
      <c r="B356" s="20">
        <f>collect!B356</f>
        <v>1501</v>
      </c>
      <c r="C356" s="20">
        <f t="shared" ca="1" si="15"/>
        <v>50033</v>
      </c>
      <c r="D356" s="20">
        <f t="shared" ca="1" si="16"/>
        <v>32</v>
      </c>
      <c r="E356" s="20">
        <v>1</v>
      </c>
      <c r="H356" s="20">
        <f t="shared" si="17"/>
        <v>14</v>
      </c>
      <c r="M356" s="20">
        <v>355</v>
      </c>
    </row>
    <row r="357" spans="1:13" x14ac:dyDescent="0.15">
      <c r="A357" s="20">
        <f>collect!A357</f>
        <v>15</v>
      </c>
      <c r="B357" s="20">
        <f>collect!B357</f>
        <v>1502</v>
      </c>
      <c r="C357" s="20">
        <f t="shared" si="15"/>
        <v>50025</v>
      </c>
      <c r="D357" s="20">
        <f t="shared" si="16"/>
        <v>88</v>
      </c>
      <c r="E357" s="20">
        <v>1</v>
      </c>
      <c r="H357" s="20">
        <f t="shared" si="17"/>
        <v>2</v>
      </c>
      <c r="M357" s="20">
        <v>356</v>
      </c>
    </row>
    <row r="358" spans="1:13" x14ac:dyDescent="0.15">
      <c r="A358" s="20">
        <f>collect!A358</f>
        <v>15</v>
      </c>
      <c r="B358" s="20">
        <f>collect!B358</f>
        <v>1502</v>
      </c>
      <c r="C358" s="20">
        <f t="shared" ca="1" si="15"/>
        <v>50013</v>
      </c>
      <c r="D358" s="20">
        <f t="shared" ca="1" si="16"/>
        <v>181</v>
      </c>
      <c r="E358" s="20">
        <v>1</v>
      </c>
      <c r="H358" s="20">
        <f t="shared" si="17"/>
        <v>5</v>
      </c>
      <c r="M358" s="20">
        <v>357</v>
      </c>
    </row>
    <row r="359" spans="1:13" x14ac:dyDescent="0.15">
      <c r="A359" s="20">
        <f>collect!A359</f>
        <v>15</v>
      </c>
      <c r="B359" s="20">
        <f>collect!B359</f>
        <v>1502</v>
      </c>
      <c r="C359" s="20">
        <f t="shared" ca="1" si="15"/>
        <v>50026</v>
      </c>
      <c r="D359" s="20">
        <f t="shared" ca="1" si="16"/>
        <v>88</v>
      </c>
      <c r="E359" s="20">
        <v>1</v>
      </c>
      <c r="H359" s="20">
        <f t="shared" si="17"/>
        <v>8</v>
      </c>
      <c r="M359" s="20">
        <v>358</v>
      </c>
    </row>
    <row r="360" spans="1:13" x14ac:dyDescent="0.15">
      <c r="A360" s="20">
        <f>collect!A360</f>
        <v>15</v>
      </c>
      <c r="B360" s="20">
        <f>collect!B360</f>
        <v>1502</v>
      </c>
      <c r="C360" s="20">
        <f t="shared" ca="1" si="15"/>
        <v>50039</v>
      </c>
      <c r="D360" s="20">
        <f t="shared" ca="1" si="16"/>
        <v>32</v>
      </c>
      <c r="E360" s="20">
        <v>1</v>
      </c>
      <c r="H360" s="20">
        <f t="shared" si="17"/>
        <v>11</v>
      </c>
      <c r="M360" s="20">
        <v>359</v>
      </c>
    </row>
    <row r="361" spans="1:13" x14ac:dyDescent="0.15">
      <c r="A361" s="20">
        <f>collect!A361</f>
        <v>15</v>
      </c>
      <c r="B361" s="20">
        <f>collect!B361</f>
        <v>1502</v>
      </c>
      <c r="C361" s="20">
        <f t="shared" ca="1" si="15"/>
        <v>50038</v>
      </c>
      <c r="D361" s="20">
        <f t="shared" ca="1" si="16"/>
        <v>32</v>
      </c>
      <c r="E361" s="20">
        <v>1</v>
      </c>
      <c r="H361" s="20">
        <f t="shared" si="17"/>
        <v>14</v>
      </c>
      <c r="M361" s="20">
        <v>360</v>
      </c>
    </row>
    <row r="362" spans="1:13" x14ac:dyDescent="0.15">
      <c r="A362" s="20">
        <f>collect!A362</f>
        <v>15</v>
      </c>
      <c r="B362" s="20">
        <f>collect!B362</f>
        <v>1503</v>
      </c>
      <c r="C362" s="20">
        <f t="shared" si="15"/>
        <v>50026</v>
      </c>
      <c r="D362" s="20">
        <f t="shared" si="16"/>
        <v>88</v>
      </c>
      <c r="E362" s="20">
        <v>1</v>
      </c>
      <c r="H362" s="20">
        <f t="shared" si="17"/>
        <v>2</v>
      </c>
      <c r="M362" s="20">
        <v>361</v>
      </c>
    </row>
    <row r="363" spans="1:13" x14ac:dyDescent="0.15">
      <c r="A363" s="20">
        <f>collect!A363</f>
        <v>15</v>
      </c>
      <c r="B363" s="20">
        <f>collect!B363</f>
        <v>1503</v>
      </c>
      <c r="C363" s="20">
        <f t="shared" ca="1" si="15"/>
        <v>50002</v>
      </c>
      <c r="D363" s="20">
        <f t="shared" ca="1" si="16"/>
        <v>129</v>
      </c>
      <c r="E363" s="20">
        <v>1</v>
      </c>
      <c r="H363" s="20">
        <f t="shared" si="17"/>
        <v>5</v>
      </c>
      <c r="M363" s="20">
        <v>362</v>
      </c>
    </row>
    <row r="364" spans="1:13" x14ac:dyDescent="0.15">
      <c r="A364" s="20">
        <f>collect!A364</f>
        <v>15</v>
      </c>
      <c r="B364" s="20">
        <f>collect!B364</f>
        <v>1503</v>
      </c>
      <c r="C364" s="20">
        <f t="shared" ca="1" si="15"/>
        <v>50006</v>
      </c>
      <c r="D364" s="20">
        <f t="shared" ca="1" si="16"/>
        <v>129</v>
      </c>
      <c r="E364" s="20">
        <v>1</v>
      </c>
      <c r="H364" s="20">
        <f t="shared" si="17"/>
        <v>8</v>
      </c>
      <c r="M364" s="20">
        <v>363</v>
      </c>
    </row>
    <row r="365" spans="1:13" x14ac:dyDescent="0.15">
      <c r="A365" s="20">
        <f>collect!A365</f>
        <v>15</v>
      </c>
      <c r="B365" s="20">
        <f>collect!B365</f>
        <v>1503</v>
      </c>
      <c r="C365" s="20">
        <f t="shared" ca="1" si="15"/>
        <v>50038</v>
      </c>
      <c r="D365" s="20">
        <f t="shared" ca="1" si="16"/>
        <v>32</v>
      </c>
      <c r="E365" s="20">
        <v>1</v>
      </c>
      <c r="H365" s="20">
        <f t="shared" si="17"/>
        <v>11</v>
      </c>
      <c r="M365" s="20">
        <v>364</v>
      </c>
    </row>
    <row r="366" spans="1:13" x14ac:dyDescent="0.15">
      <c r="A366" s="20">
        <f>collect!A366</f>
        <v>15</v>
      </c>
      <c r="B366" s="20">
        <f>collect!B366</f>
        <v>1503</v>
      </c>
      <c r="C366" s="20">
        <f t="shared" ca="1" si="15"/>
        <v>50037</v>
      </c>
      <c r="D366" s="20">
        <f t="shared" ca="1" si="16"/>
        <v>32</v>
      </c>
      <c r="E366" s="20">
        <v>1</v>
      </c>
      <c r="H366" s="20">
        <f t="shared" si="17"/>
        <v>14</v>
      </c>
      <c r="M366" s="20">
        <v>365</v>
      </c>
    </row>
    <row r="367" spans="1:13" x14ac:dyDescent="0.15">
      <c r="A367" s="20">
        <f>collect!A367</f>
        <v>15</v>
      </c>
      <c r="B367" s="20">
        <f>collect!B367</f>
        <v>1504</v>
      </c>
      <c r="C367" s="20">
        <f t="shared" si="15"/>
        <v>50027</v>
      </c>
      <c r="D367" s="20">
        <f t="shared" si="16"/>
        <v>88</v>
      </c>
      <c r="E367" s="20">
        <v>1</v>
      </c>
      <c r="H367" s="20">
        <f t="shared" si="17"/>
        <v>2</v>
      </c>
      <c r="M367" s="20">
        <v>366</v>
      </c>
    </row>
    <row r="368" spans="1:13" x14ac:dyDescent="0.15">
      <c r="A368" s="20">
        <f>collect!A368</f>
        <v>15</v>
      </c>
      <c r="B368" s="20">
        <f>collect!B368</f>
        <v>1504</v>
      </c>
      <c r="C368" s="20">
        <f t="shared" ca="1" si="15"/>
        <v>50087</v>
      </c>
      <c r="D368" s="20">
        <f t="shared" ca="1" si="16"/>
        <v>129</v>
      </c>
      <c r="E368" s="20">
        <v>1</v>
      </c>
      <c r="H368" s="20">
        <f t="shared" si="17"/>
        <v>5</v>
      </c>
      <c r="M368" s="20">
        <v>367</v>
      </c>
    </row>
    <row r="369" spans="1:13" x14ac:dyDescent="0.15">
      <c r="A369" s="20">
        <f>collect!A369</f>
        <v>15</v>
      </c>
      <c r="B369" s="20">
        <f>collect!B369</f>
        <v>1504</v>
      </c>
      <c r="C369" s="20">
        <f t="shared" ca="1" si="15"/>
        <v>50021</v>
      </c>
      <c r="D369" s="20">
        <f t="shared" ca="1" si="16"/>
        <v>88</v>
      </c>
      <c r="E369" s="20">
        <v>1</v>
      </c>
      <c r="H369" s="20">
        <f t="shared" si="17"/>
        <v>8</v>
      </c>
      <c r="M369" s="20">
        <v>368</v>
      </c>
    </row>
    <row r="370" spans="1:13" x14ac:dyDescent="0.15">
      <c r="A370" s="20">
        <f>collect!A370</f>
        <v>15</v>
      </c>
      <c r="B370" s="20">
        <f>collect!B370</f>
        <v>1504</v>
      </c>
      <c r="C370" s="20">
        <f t="shared" ca="1" si="15"/>
        <v>50017</v>
      </c>
      <c r="D370" s="20">
        <f t="shared" ca="1" si="16"/>
        <v>32</v>
      </c>
      <c r="E370" s="20">
        <v>1</v>
      </c>
      <c r="H370" s="20">
        <f t="shared" si="17"/>
        <v>11</v>
      </c>
      <c r="M370" s="20">
        <v>369</v>
      </c>
    </row>
    <row r="371" spans="1:13" x14ac:dyDescent="0.15">
      <c r="A371" s="20">
        <f>collect!A371</f>
        <v>15</v>
      </c>
      <c r="B371" s="20">
        <f>collect!B371</f>
        <v>1504</v>
      </c>
      <c r="C371" s="20">
        <f t="shared" ca="1" si="15"/>
        <v>50040</v>
      </c>
      <c r="D371" s="20">
        <f t="shared" ca="1" si="16"/>
        <v>32</v>
      </c>
      <c r="E371" s="20">
        <v>1</v>
      </c>
      <c r="H371" s="20">
        <f t="shared" si="17"/>
        <v>14</v>
      </c>
      <c r="M371" s="20">
        <v>370</v>
      </c>
    </row>
    <row r="372" spans="1:13" x14ac:dyDescent="0.15">
      <c r="A372" s="20">
        <f>collect!A372</f>
        <v>15</v>
      </c>
      <c r="B372" s="20">
        <f>collect!B372</f>
        <v>1505</v>
      </c>
      <c r="C372" s="20">
        <f t="shared" si="15"/>
        <v>50028</v>
      </c>
      <c r="D372" s="20">
        <f t="shared" si="16"/>
        <v>88</v>
      </c>
      <c r="E372" s="20">
        <v>1</v>
      </c>
      <c r="H372" s="20">
        <f t="shared" si="17"/>
        <v>2</v>
      </c>
      <c r="M372" s="20">
        <v>371</v>
      </c>
    </row>
    <row r="373" spans="1:13" x14ac:dyDescent="0.15">
      <c r="A373" s="20">
        <f>collect!A373</f>
        <v>15</v>
      </c>
      <c r="B373" s="20">
        <f>collect!B373</f>
        <v>1505</v>
      </c>
      <c r="C373" s="20">
        <f t="shared" ca="1" si="15"/>
        <v>50002</v>
      </c>
      <c r="D373" s="20">
        <f t="shared" ca="1" si="16"/>
        <v>129</v>
      </c>
      <c r="E373" s="20">
        <v>1</v>
      </c>
      <c r="H373" s="20">
        <f t="shared" si="17"/>
        <v>5</v>
      </c>
      <c r="M373" s="20">
        <v>372</v>
      </c>
    </row>
    <row r="374" spans="1:13" x14ac:dyDescent="0.15">
      <c r="A374" s="20">
        <f>collect!A374</f>
        <v>15</v>
      </c>
      <c r="B374" s="20">
        <f>collect!B374</f>
        <v>1505</v>
      </c>
      <c r="C374" s="20">
        <f t="shared" ca="1" si="15"/>
        <v>50026</v>
      </c>
      <c r="D374" s="20">
        <f t="shared" ca="1" si="16"/>
        <v>88</v>
      </c>
      <c r="E374" s="20">
        <v>1</v>
      </c>
      <c r="H374" s="20">
        <f t="shared" si="17"/>
        <v>8</v>
      </c>
      <c r="M374" s="20">
        <v>373</v>
      </c>
    </row>
    <row r="375" spans="1:13" x14ac:dyDescent="0.15">
      <c r="A375" s="20">
        <f>collect!A375</f>
        <v>15</v>
      </c>
      <c r="B375" s="20">
        <f>collect!B375</f>
        <v>1505</v>
      </c>
      <c r="C375" s="20">
        <f t="shared" ca="1" si="15"/>
        <v>50040</v>
      </c>
      <c r="D375" s="20">
        <f t="shared" ca="1" si="16"/>
        <v>32</v>
      </c>
      <c r="E375" s="20">
        <v>1</v>
      </c>
      <c r="H375" s="20">
        <f t="shared" si="17"/>
        <v>11</v>
      </c>
      <c r="M375" s="20">
        <v>374</v>
      </c>
    </row>
    <row r="376" spans="1:13" x14ac:dyDescent="0.15">
      <c r="A376" s="20">
        <f>collect!A376</f>
        <v>15</v>
      </c>
      <c r="B376" s="20">
        <f>collect!B376</f>
        <v>1505</v>
      </c>
      <c r="C376" s="20">
        <f t="shared" ca="1" si="15"/>
        <v>50017</v>
      </c>
      <c r="D376" s="20">
        <f t="shared" ca="1" si="16"/>
        <v>32</v>
      </c>
      <c r="E376" s="20">
        <v>1</v>
      </c>
      <c r="H376" s="20">
        <f t="shared" si="17"/>
        <v>14</v>
      </c>
      <c r="M376" s="20">
        <v>375</v>
      </c>
    </row>
    <row r="377" spans="1:13" x14ac:dyDescent="0.15">
      <c r="A377" s="20">
        <f>collect!A377</f>
        <v>16</v>
      </c>
      <c r="B377" s="20">
        <f>collect!B377</f>
        <v>1601</v>
      </c>
      <c r="C377" s="20">
        <f t="shared" si="15"/>
        <v>50029</v>
      </c>
      <c r="D377" s="20">
        <f t="shared" si="16"/>
        <v>88</v>
      </c>
      <c r="E377" s="20">
        <v>1</v>
      </c>
      <c r="H377" s="20">
        <f t="shared" si="17"/>
        <v>2</v>
      </c>
      <c r="M377" s="20">
        <v>376</v>
      </c>
    </row>
    <row r="378" spans="1:13" x14ac:dyDescent="0.15">
      <c r="A378" s="20">
        <f>collect!A378</f>
        <v>16</v>
      </c>
      <c r="B378" s="20">
        <f>collect!B378</f>
        <v>1601</v>
      </c>
      <c r="C378" s="20">
        <f t="shared" ca="1" si="15"/>
        <v>50088</v>
      </c>
      <c r="D378" s="20">
        <f t="shared" ca="1" si="16"/>
        <v>129</v>
      </c>
      <c r="E378" s="20">
        <v>1</v>
      </c>
      <c r="H378" s="20">
        <f t="shared" si="17"/>
        <v>5</v>
      </c>
      <c r="M378" s="20">
        <v>377</v>
      </c>
    </row>
    <row r="379" spans="1:13" x14ac:dyDescent="0.15">
      <c r="A379" s="20">
        <f>collect!A379</f>
        <v>16</v>
      </c>
      <c r="B379" s="20">
        <f>collect!B379</f>
        <v>1601</v>
      </c>
      <c r="C379" s="20">
        <f t="shared" ca="1" si="15"/>
        <v>50176</v>
      </c>
      <c r="D379" s="20">
        <f t="shared" ca="1" si="16"/>
        <v>88</v>
      </c>
      <c r="E379" s="20">
        <v>1</v>
      </c>
      <c r="H379" s="20">
        <f t="shared" si="17"/>
        <v>8</v>
      </c>
      <c r="M379" s="20">
        <v>378</v>
      </c>
    </row>
    <row r="380" spans="1:13" x14ac:dyDescent="0.15">
      <c r="A380" s="20">
        <f>collect!A380</f>
        <v>16</v>
      </c>
      <c r="B380" s="20">
        <f>collect!B380</f>
        <v>1601</v>
      </c>
      <c r="C380" s="20">
        <f t="shared" ca="1" si="15"/>
        <v>50033</v>
      </c>
      <c r="D380" s="20">
        <f t="shared" ca="1" si="16"/>
        <v>32</v>
      </c>
      <c r="E380" s="20">
        <v>1</v>
      </c>
      <c r="H380" s="20">
        <f t="shared" si="17"/>
        <v>11</v>
      </c>
      <c r="M380" s="20">
        <v>379</v>
      </c>
    </row>
    <row r="381" spans="1:13" x14ac:dyDescent="0.15">
      <c r="A381" s="20">
        <f>collect!A381</f>
        <v>16</v>
      </c>
      <c r="B381" s="20">
        <f>collect!B381</f>
        <v>1601</v>
      </c>
      <c r="C381" s="20">
        <f t="shared" ca="1" si="15"/>
        <v>50033</v>
      </c>
      <c r="D381" s="20">
        <f t="shared" ca="1" si="16"/>
        <v>32</v>
      </c>
      <c r="E381" s="20">
        <v>1</v>
      </c>
      <c r="H381" s="20">
        <f t="shared" si="17"/>
        <v>14</v>
      </c>
      <c r="M381" s="20">
        <v>380</v>
      </c>
    </row>
    <row r="382" spans="1:13" x14ac:dyDescent="0.15">
      <c r="A382" s="20">
        <f>collect!A382</f>
        <v>16</v>
      </c>
      <c r="B382" s="20">
        <f>collect!B382</f>
        <v>1602</v>
      </c>
      <c r="C382" s="20">
        <f t="shared" si="15"/>
        <v>50030</v>
      </c>
      <c r="D382" s="20">
        <f t="shared" si="16"/>
        <v>88</v>
      </c>
      <c r="E382" s="20">
        <v>1</v>
      </c>
      <c r="H382" s="20">
        <f t="shared" si="17"/>
        <v>2</v>
      </c>
      <c r="M382" s="20">
        <v>381</v>
      </c>
    </row>
    <row r="383" spans="1:13" x14ac:dyDescent="0.15">
      <c r="A383" s="20">
        <f>collect!A383</f>
        <v>16</v>
      </c>
      <c r="B383" s="20">
        <f>collect!B383</f>
        <v>1602</v>
      </c>
      <c r="C383" s="20">
        <f t="shared" ca="1" si="15"/>
        <v>50002</v>
      </c>
      <c r="D383" s="20">
        <f t="shared" ca="1" si="16"/>
        <v>129</v>
      </c>
      <c r="E383" s="20">
        <v>1</v>
      </c>
      <c r="H383" s="20">
        <f t="shared" si="17"/>
        <v>5</v>
      </c>
      <c r="M383" s="20">
        <v>382</v>
      </c>
    </row>
    <row r="384" spans="1:13" x14ac:dyDescent="0.15">
      <c r="A384" s="20">
        <f>collect!A384</f>
        <v>16</v>
      </c>
      <c r="B384" s="20">
        <f>collect!B384</f>
        <v>1602</v>
      </c>
      <c r="C384" s="20">
        <f t="shared" ca="1" si="15"/>
        <v>50022</v>
      </c>
      <c r="D384" s="20">
        <f t="shared" ca="1" si="16"/>
        <v>88</v>
      </c>
      <c r="E384" s="20">
        <v>1</v>
      </c>
      <c r="H384" s="20">
        <f t="shared" si="17"/>
        <v>8</v>
      </c>
      <c r="M384" s="20">
        <v>383</v>
      </c>
    </row>
    <row r="385" spans="1:13" x14ac:dyDescent="0.15">
      <c r="A385" s="20">
        <f>collect!A385</f>
        <v>16</v>
      </c>
      <c r="B385" s="20">
        <f>collect!B385</f>
        <v>1602</v>
      </c>
      <c r="C385" s="20">
        <f t="shared" ca="1" si="15"/>
        <v>50038</v>
      </c>
      <c r="D385" s="20">
        <f t="shared" ca="1" si="16"/>
        <v>32</v>
      </c>
      <c r="E385" s="20">
        <v>1</v>
      </c>
      <c r="H385" s="20">
        <f t="shared" si="17"/>
        <v>11</v>
      </c>
      <c r="M385" s="20">
        <v>384</v>
      </c>
    </row>
    <row r="386" spans="1:13" x14ac:dyDescent="0.15">
      <c r="A386" s="20">
        <f>collect!A386</f>
        <v>16</v>
      </c>
      <c r="B386" s="20">
        <f>collect!B386</f>
        <v>1602</v>
      </c>
      <c r="C386" s="20">
        <f t="shared" ref="C386:C449" ca="1" si="18">VLOOKUP(B386,plan2,H386,FALSE)</f>
        <v>50039</v>
      </c>
      <c r="D386" s="20">
        <f t="shared" ref="D386:D449" ca="1" si="19">VLOOKUP(C386,marking,9,FALSE)</f>
        <v>32</v>
      </c>
      <c r="E386" s="20">
        <v>1</v>
      </c>
      <c r="H386" s="20">
        <f t="shared" si="17"/>
        <v>14</v>
      </c>
      <c r="M386" s="20">
        <v>385</v>
      </c>
    </row>
    <row r="387" spans="1:13" x14ac:dyDescent="0.15">
      <c r="A387" s="20">
        <f>collect!A387</f>
        <v>16</v>
      </c>
      <c r="B387" s="20">
        <f>collect!B387</f>
        <v>1603</v>
      </c>
      <c r="C387" s="20">
        <f t="shared" si="18"/>
        <v>50032</v>
      </c>
      <c r="D387" s="20">
        <f t="shared" si="19"/>
        <v>88</v>
      </c>
      <c r="E387" s="20">
        <v>1</v>
      </c>
      <c r="H387" s="20">
        <f t="shared" si="17"/>
        <v>2</v>
      </c>
      <c r="M387" s="20">
        <v>386</v>
      </c>
    </row>
    <row r="388" spans="1:13" x14ac:dyDescent="0.15">
      <c r="A388" s="20">
        <f>collect!A388</f>
        <v>16</v>
      </c>
      <c r="B388" s="20">
        <f>collect!B388</f>
        <v>1603</v>
      </c>
      <c r="C388" s="20">
        <f t="shared" ca="1" si="18"/>
        <v>50009</v>
      </c>
      <c r="D388" s="20">
        <f t="shared" ca="1" si="19"/>
        <v>181</v>
      </c>
      <c r="E388" s="20">
        <v>1</v>
      </c>
      <c r="H388" s="20">
        <f t="shared" si="17"/>
        <v>5</v>
      </c>
      <c r="M388" s="20">
        <v>387</v>
      </c>
    </row>
    <row r="389" spans="1:13" x14ac:dyDescent="0.15">
      <c r="A389" s="20">
        <f>collect!A389</f>
        <v>16</v>
      </c>
      <c r="B389" s="20">
        <f>collect!B389</f>
        <v>1603</v>
      </c>
      <c r="C389" s="20">
        <f t="shared" ca="1" si="18"/>
        <v>50089</v>
      </c>
      <c r="D389" s="20">
        <f t="shared" ca="1" si="19"/>
        <v>88</v>
      </c>
      <c r="E389" s="20">
        <v>1</v>
      </c>
      <c r="H389" s="20">
        <f t="shared" si="17"/>
        <v>8</v>
      </c>
      <c r="M389" s="20">
        <v>388</v>
      </c>
    </row>
    <row r="390" spans="1:13" x14ac:dyDescent="0.15">
      <c r="A390" s="20">
        <f>collect!A390</f>
        <v>16</v>
      </c>
      <c r="B390" s="20">
        <f>collect!B390</f>
        <v>1603</v>
      </c>
      <c r="C390" s="20">
        <f t="shared" ca="1" si="18"/>
        <v>50004</v>
      </c>
      <c r="D390" s="20">
        <f t="shared" ca="1" si="19"/>
        <v>55</v>
      </c>
      <c r="E390" s="20">
        <v>1</v>
      </c>
      <c r="H390" s="20">
        <f t="shared" si="17"/>
        <v>11</v>
      </c>
      <c r="M390" s="20">
        <v>389</v>
      </c>
    </row>
    <row r="391" spans="1:13" x14ac:dyDescent="0.15">
      <c r="A391" s="20">
        <f>collect!A391</f>
        <v>16</v>
      </c>
      <c r="B391" s="20">
        <f>collect!B391</f>
        <v>1603</v>
      </c>
      <c r="C391" s="20">
        <f t="shared" ca="1" si="18"/>
        <v>50039</v>
      </c>
      <c r="D391" s="20">
        <f t="shared" ca="1" si="19"/>
        <v>32</v>
      </c>
      <c r="E391" s="20">
        <v>1</v>
      </c>
      <c r="H391" s="20">
        <f t="shared" si="17"/>
        <v>14</v>
      </c>
      <c r="M391" s="20">
        <v>390</v>
      </c>
    </row>
    <row r="392" spans="1:13" x14ac:dyDescent="0.15">
      <c r="A392" s="20">
        <f>collect!A392</f>
        <v>16</v>
      </c>
      <c r="B392" s="20">
        <f>collect!B392</f>
        <v>1604</v>
      </c>
      <c r="C392" s="20">
        <f t="shared" si="18"/>
        <v>50036</v>
      </c>
      <c r="D392" s="20">
        <f t="shared" si="19"/>
        <v>88</v>
      </c>
      <c r="E392" s="20">
        <v>1</v>
      </c>
      <c r="H392" s="20">
        <f t="shared" ref="H392:H455" si="20">H387</f>
        <v>2</v>
      </c>
      <c r="M392" s="20">
        <v>391</v>
      </c>
    </row>
    <row r="393" spans="1:13" x14ac:dyDescent="0.15">
      <c r="A393" s="20">
        <f>collect!A393</f>
        <v>16</v>
      </c>
      <c r="B393" s="20">
        <f>collect!B393</f>
        <v>1604</v>
      </c>
      <c r="C393" s="20">
        <f t="shared" ca="1" si="18"/>
        <v>50013</v>
      </c>
      <c r="D393" s="20">
        <f t="shared" ca="1" si="19"/>
        <v>181</v>
      </c>
      <c r="E393" s="20">
        <v>1</v>
      </c>
      <c r="H393" s="20">
        <f t="shared" si="20"/>
        <v>5</v>
      </c>
      <c r="M393" s="20">
        <v>392</v>
      </c>
    </row>
    <row r="394" spans="1:13" x14ac:dyDescent="0.15">
      <c r="A394" s="20">
        <f>collect!A394</f>
        <v>16</v>
      </c>
      <c r="B394" s="20">
        <f>collect!B394</f>
        <v>1604</v>
      </c>
      <c r="C394" s="20">
        <f t="shared" ca="1" si="18"/>
        <v>50006</v>
      </c>
      <c r="D394" s="20">
        <f t="shared" ca="1" si="19"/>
        <v>129</v>
      </c>
      <c r="E394" s="20">
        <v>1</v>
      </c>
      <c r="H394" s="20">
        <f t="shared" si="20"/>
        <v>8</v>
      </c>
      <c r="M394" s="20">
        <v>393</v>
      </c>
    </row>
    <row r="395" spans="1:13" x14ac:dyDescent="0.15">
      <c r="A395" s="20">
        <f>collect!A395</f>
        <v>16</v>
      </c>
      <c r="B395" s="20">
        <f>collect!B395</f>
        <v>1604</v>
      </c>
      <c r="C395" s="20">
        <f t="shared" ca="1" si="18"/>
        <v>50037</v>
      </c>
      <c r="D395" s="20">
        <f t="shared" ca="1" si="19"/>
        <v>32</v>
      </c>
      <c r="E395" s="20">
        <v>1</v>
      </c>
      <c r="H395" s="20">
        <f t="shared" si="20"/>
        <v>11</v>
      </c>
      <c r="M395" s="20">
        <v>394</v>
      </c>
    </row>
    <row r="396" spans="1:13" x14ac:dyDescent="0.15">
      <c r="A396" s="20">
        <f>collect!A396</f>
        <v>16</v>
      </c>
      <c r="B396" s="20">
        <f>collect!B396</f>
        <v>1604</v>
      </c>
      <c r="C396" s="20">
        <f t="shared" ca="1" si="18"/>
        <v>50034</v>
      </c>
      <c r="D396" s="20">
        <f t="shared" ca="1" si="19"/>
        <v>5</v>
      </c>
      <c r="E396" s="20">
        <v>1</v>
      </c>
      <c r="H396" s="20">
        <f t="shared" si="20"/>
        <v>14</v>
      </c>
      <c r="M396" s="20">
        <v>395</v>
      </c>
    </row>
    <row r="397" spans="1:13" x14ac:dyDescent="0.15">
      <c r="A397" s="20">
        <f>collect!A397</f>
        <v>16</v>
      </c>
      <c r="B397" s="20">
        <f>collect!B397</f>
        <v>1605</v>
      </c>
      <c r="C397" s="20">
        <f t="shared" si="18"/>
        <v>50089</v>
      </c>
      <c r="D397" s="20">
        <f t="shared" si="19"/>
        <v>88</v>
      </c>
      <c r="E397" s="20">
        <v>1</v>
      </c>
      <c r="H397" s="20">
        <f t="shared" si="20"/>
        <v>2</v>
      </c>
      <c r="M397" s="20">
        <v>396</v>
      </c>
    </row>
    <row r="398" spans="1:13" x14ac:dyDescent="0.15">
      <c r="A398" s="20">
        <f>collect!A398</f>
        <v>16</v>
      </c>
      <c r="B398" s="20">
        <f>collect!B398</f>
        <v>1605</v>
      </c>
      <c r="C398" s="20">
        <f t="shared" ca="1" si="18"/>
        <v>50002</v>
      </c>
      <c r="D398" s="20">
        <f t="shared" ca="1" si="19"/>
        <v>129</v>
      </c>
      <c r="E398" s="20">
        <v>1</v>
      </c>
      <c r="H398" s="20">
        <f t="shared" si="20"/>
        <v>5</v>
      </c>
      <c r="M398" s="20">
        <v>397</v>
      </c>
    </row>
    <row r="399" spans="1:13" x14ac:dyDescent="0.15">
      <c r="A399" s="20">
        <f>collect!A399</f>
        <v>16</v>
      </c>
      <c r="B399" s="20">
        <f>collect!B399</f>
        <v>1605</v>
      </c>
      <c r="C399" s="20">
        <f t="shared" ca="1" si="18"/>
        <v>50176</v>
      </c>
      <c r="D399" s="20">
        <f t="shared" ca="1" si="19"/>
        <v>88</v>
      </c>
      <c r="E399" s="20">
        <v>1</v>
      </c>
      <c r="H399" s="20">
        <f t="shared" si="20"/>
        <v>8</v>
      </c>
      <c r="M399" s="20">
        <v>398</v>
      </c>
    </row>
    <row r="400" spans="1:13" x14ac:dyDescent="0.15">
      <c r="A400" s="20">
        <f>collect!A400</f>
        <v>16</v>
      </c>
      <c r="B400" s="20">
        <f>collect!B400</f>
        <v>1605</v>
      </c>
      <c r="C400" s="20">
        <f t="shared" ca="1" si="18"/>
        <v>50040</v>
      </c>
      <c r="D400" s="20">
        <f t="shared" ca="1" si="19"/>
        <v>32</v>
      </c>
      <c r="E400" s="20">
        <v>1</v>
      </c>
      <c r="H400" s="20">
        <f t="shared" si="20"/>
        <v>11</v>
      </c>
      <c r="M400" s="20">
        <v>399</v>
      </c>
    </row>
    <row r="401" spans="1:13" x14ac:dyDescent="0.15">
      <c r="A401" s="20">
        <f>collect!A401</f>
        <v>16</v>
      </c>
      <c r="B401" s="20">
        <f>collect!B401</f>
        <v>1605</v>
      </c>
      <c r="C401" s="20">
        <f t="shared" ca="1" si="18"/>
        <v>50034</v>
      </c>
      <c r="D401" s="20">
        <f t="shared" ca="1" si="19"/>
        <v>5</v>
      </c>
      <c r="E401" s="20">
        <v>1</v>
      </c>
      <c r="H401" s="20">
        <f t="shared" si="20"/>
        <v>14</v>
      </c>
      <c r="M401" s="20">
        <v>400</v>
      </c>
    </row>
    <row r="402" spans="1:13" x14ac:dyDescent="0.15">
      <c r="A402" s="20">
        <f>collect!A402</f>
        <v>17</v>
      </c>
      <c r="B402" s="20">
        <f>collect!B402</f>
        <v>1701</v>
      </c>
      <c r="C402" s="20">
        <f t="shared" si="18"/>
        <v>50173</v>
      </c>
      <c r="D402" s="20">
        <f t="shared" si="19"/>
        <v>88</v>
      </c>
      <c r="E402" s="20">
        <v>1</v>
      </c>
      <c r="H402" s="20">
        <f t="shared" si="20"/>
        <v>2</v>
      </c>
      <c r="M402" s="20">
        <v>401</v>
      </c>
    </row>
    <row r="403" spans="1:13" x14ac:dyDescent="0.15">
      <c r="A403" s="20">
        <f>collect!A403</f>
        <v>17</v>
      </c>
      <c r="B403" s="20">
        <f>collect!B403</f>
        <v>1701</v>
      </c>
      <c r="C403" s="20">
        <f t="shared" ca="1" si="18"/>
        <v>50035</v>
      </c>
      <c r="D403" s="20">
        <f t="shared" ca="1" si="19"/>
        <v>181</v>
      </c>
      <c r="E403" s="20">
        <v>1</v>
      </c>
      <c r="H403" s="20">
        <f t="shared" si="20"/>
        <v>5</v>
      </c>
      <c r="M403" s="20">
        <v>402</v>
      </c>
    </row>
    <row r="404" spans="1:13" x14ac:dyDescent="0.15">
      <c r="A404" s="20">
        <f>collect!A404</f>
        <v>17</v>
      </c>
      <c r="B404" s="20">
        <f>collect!B404</f>
        <v>1701</v>
      </c>
      <c r="C404" s="20">
        <f t="shared" ca="1" si="18"/>
        <v>50030</v>
      </c>
      <c r="D404" s="20">
        <f t="shared" ca="1" si="19"/>
        <v>88</v>
      </c>
      <c r="E404" s="20">
        <v>1</v>
      </c>
      <c r="H404" s="20">
        <f t="shared" si="20"/>
        <v>8</v>
      </c>
      <c r="M404" s="20">
        <v>403</v>
      </c>
    </row>
    <row r="405" spans="1:13" x14ac:dyDescent="0.15">
      <c r="A405" s="20">
        <f>collect!A405</f>
        <v>17</v>
      </c>
      <c r="B405" s="20">
        <f>collect!B405</f>
        <v>1701</v>
      </c>
      <c r="C405" s="20">
        <f t="shared" ca="1" si="18"/>
        <v>50038</v>
      </c>
      <c r="D405" s="20">
        <f t="shared" ca="1" si="19"/>
        <v>32</v>
      </c>
      <c r="E405" s="20">
        <v>1</v>
      </c>
      <c r="H405" s="20">
        <f t="shared" si="20"/>
        <v>11</v>
      </c>
      <c r="M405" s="20">
        <v>404</v>
      </c>
    </row>
    <row r="406" spans="1:13" x14ac:dyDescent="0.15">
      <c r="A406" s="20">
        <f>collect!A406</f>
        <v>17</v>
      </c>
      <c r="B406" s="20">
        <f>collect!B406</f>
        <v>1701</v>
      </c>
      <c r="C406" s="20">
        <f t="shared" ca="1" si="18"/>
        <v>50033</v>
      </c>
      <c r="D406" s="20">
        <f t="shared" ca="1" si="19"/>
        <v>32</v>
      </c>
      <c r="E406" s="20">
        <v>1</v>
      </c>
      <c r="H406" s="20">
        <f t="shared" si="20"/>
        <v>14</v>
      </c>
      <c r="M406" s="20">
        <v>405</v>
      </c>
    </row>
    <row r="407" spans="1:13" x14ac:dyDescent="0.15">
      <c r="A407" s="20">
        <f>collect!A407</f>
        <v>17</v>
      </c>
      <c r="B407" s="20">
        <f>collect!B407</f>
        <v>1702</v>
      </c>
      <c r="C407" s="20">
        <f t="shared" si="18"/>
        <v>50174</v>
      </c>
      <c r="D407" s="20">
        <f t="shared" si="19"/>
        <v>88</v>
      </c>
      <c r="E407" s="20">
        <v>1</v>
      </c>
      <c r="H407" s="20">
        <f t="shared" si="20"/>
        <v>2</v>
      </c>
      <c r="M407" s="20">
        <v>406</v>
      </c>
    </row>
    <row r="408" spans="1:13" x14ac:dyDescent="0.15">
      <c r="A408" s="20">
        <f>collect!A408</f>
        <v>17</v>
      </c>
      <c r="B408" s="20">
        <f>collect!B408</f>
        <v>1702</v>
      </c>
      <c r="C408" s="20">
        <f t="shared" ca="1" si="18"/>
        <v>50015</v>
      </c>
      <c r="D408" s="20">
        <f t="shared" ca="1" si="19"/>
        <v>181</v>
      </c>
      <c r="E408" s="20">
        <v>1</v>
      </c>
      <c r="H408" s="20">
        <f t="shared" si="20"/>
        <v>5</v>
      </c>
      <c r="M408" s="20">
        <v>407</v>
      </c>
    </row>
    <row r="409" spans="1:13" x14ac:dyDescent="0.15">
      <c r="A409" s="20">
        <f>collect!A409</f>
        <v>17</v>
      </c>
      <c r="B409" s="20">
        <f>collect!B409</f>
        <v>1702</v>
      </c>
      <c r="C409" s="20">
        <f t="shared" ca="1" si="18"/>
        <v>50010</v>
      </c>
      <c r="D409" s="20">
        <f t="shared" ca="1" si="19"/>
        <v>129</v>
      </c>
      <c r="E409" s="20">
        <v>1</v>
      </c>
      <c r="H409" s="20">
        <f t="shared" si="20"/>
        <v>8</v>
      </c>
      <c r="M409" s="20">
        <v>408</v>
      </c>
    </row>
    <row r="410" spans="1:13" x14ac:dyDescent="0.15">
      <c r="A410" s="20">
        <f>collect!A410</f>
        <v>17</v>
      </c>
      <c r="B410" s="20">
        <f>collect!B410</f>
        <v>1702</v>
      </c>
      <c r="C410" s="20">
        <f t="shared" ca="1" si="18"/>
        <v>50004</v>
      </c>
      <c r="D410" s="20">
        <f t="shared" ca="1" si="19"/>
        <v>55</v>
      </c>
      <c r="E410" s="20">
        <v>1</v>
      </c>
      <c r="H410" s="20">
        <f t="shared" si="20"/>
        <v>11</v>
      </c>
      <c r="M410" s="20">
        <v>409</v>
      </c>
    </row>
    <row r="411" spans="1:13" x14ac:dyDescent="0.15">
      <c r="A411" s="20">
        <f>collect!A411</f>
        <v>17</v>
      </c>
      <c r="B411" s="20">
        <f>collect!B411</f>
        <v>1702</v>
      </c>
      <c r="C411" s="20">
        <f t="shared" ca="1" si="18"/>
        <v>50039</v>
      </c>
      <c r="D411" s="20">
        <f t="shared" ca="1" si="19"/>
        <v>32</v>
      </c>
      <c r="E411" s="20">
        <v>1</v>
      </c>
      <c r="H411" s="20">
        <f t="shared" si="20"/>
        <v>14</v>
      </c>
      <c r="M411" s="20">
        <v>410</v>
      </c>
    </row>
    <row r="412" spans="1:13" x14ac:dyDescent="0.15">
      <c r="A412" s="20">
        <f>collect!A412</f>
        <v>17</v>
      </c>
      <c r="B412" s="20">
        <f>collect!B412</f>
        <v>1703</v>
      </c>
      <c r="C412" s="20">
        <f t="shared" si="18"/>
        <v>50175</v>
      </c>
      <c r="D412" s="20">
        <f t="shared" si="19"/>
        <v>88</v>
      </c>
      <c r="E412" s="20">
        <v>1</v>
      </c>
      <c r="H412" s="20">
        <f t="shared" si="20"/>
        <v>2</v>
      </c>
      <c r="M412" s="20">
        <v>411</v>
      </c>
    </row>
    <row r="413" spans="1:13" x14ac:dyDescent="0.15">
      <c r="A413" s="20">
        <f>collect!A413</f>
        <v>17</v>
      </c>
      <c r="B413" s="20">
        <f>collect!B413</f>
        <v>1703</v>
      </c>
      <c r="C413" s="20">
        <f t="shared" ca="1" si="18"/>
        <v>50002</v>
      </c>
      <c r="D413" s="20">
        <f t="shared" ca="1" si="19"/>
        <v>129</v>
      </c>
      <c r="E413" s="20">
        <v>1</v>
      </c>
      <c r="H413" s="20">
        <f t="shared" si="20"/>
        <v>5</v>
      </c>
      <c r="M413" s="20">
        <v>412</v>
      </c>
    </row>
    <row r="414" spans="1:13" x14ac:dyDescent="0.15">
      <c r="A414" s="20">
        <f>collect!A414</f>
        <v>17</v>
      </c>
      <c r="B414" s="20">
        <f>collect!B414</f>
        <v>1703</v>
      </c>
      <c r="C414" s="20">
        <f t="shared" ca="1" si="18"/>
        <v>50174</v>
      </c>
      <c r="D414" s="20">
        <f t="shared" ca="1" si="19"/>
        <v>88</v>
      </c>
      <c r="E414" s="20">
        <v>1</v>
      </c>
      <c r="H414" s="20">
        <f t="shared" si="20"/>
        <v>8</v>
      </c>
      <c r="M414" s="20">
        <v>413</v>
      </c>
    </row>
    <row r="415" spans="1:13" x14ac:dyDescent="0.15">
      <c r="A415" s="20">
        <f>collect!A415</f>
        <v>17</v>
      </c>
      <c r="B415" s="20">
        <f>collect!B415</f>
        <v>1703</v>
      </c>
      <c r="C415" s="20">
        <f t="shared" ca="1" si="18"/>
        <v>50033</v>
      </c>
      <c r="D415" s="20">
        <f t="shared" ca="1" si="19"/>
        <v>32</v>
      </c>
      <c r="E415" s="20">
        <v>1</v>
      </c>
      <c r="H415" s="20">
        <f t="shared" si="20"/>
        <v>11</v>
      </c>
      <c r="M415" s="20">
        <v>414</v>
      </c>
    </row>
    <row r="416" spans="1:13" x14ac:dyDescent="0.15">
      <c r="A416" s="20">
        <f>collect!A416</f>
        <v>17</v>
      </c>
      <c r="B416" s="20">
        <f>collect!B416</f>
        <v>1703</v>
      </c>
      <c r="C416" s="20">
        <f t="shared" ca="1" si="18"/>
        <v>50038</v>
      </c>
      <c r="D416" s="20">
        <f t="shared" ca="1" si="19"/>
        <v>32</v>
      </c>
      <c r="E416" s="20">
        <v>1</v>
      </c>
      <c r="H416" s="20">
        <f t="shared" si="20"/>
        <v>14</v>
      </c>
      <c r="M416" s="20">
        <v>415</v>
      </c>
    </row>
    <row r="417" spans="1:13" x14ac:dyDescent="0.15">
      <c r="A417" s="20">
        <f>collect!A417</f>
        <v>17</v>
      </c>
      <c r="B417" s="20">
        <f>collect!B417</f>
        <v>1704</v>
      </c>
      <c r="C417" s="20">
        <f t="shared" si="18"/>
        <v>50176</v>
      </c>
      <c r="D417" s="20">
        <f t="shared" si="19"/>
        <v>88</v>
      </c>
      <c r="E417" s="20">
        <v>1</v>
      </c>
      <c r="H417" s="20">
        <f t="shared" si="20"/>
        <v>2</v>
      </c>
      <c r="M417" s="20">
        <v>416</v>
      </c>
    </row>
    <row r="418" spans="1:13" x14ac:dyDescent="0.15">
      <c r="A418" s="20">
        <f>collect!A418</f>
        <v>17</v>
      </c>
      <c r="B418" s="20">
        <f>collect!B418</f>
        <v>1704</v>
      </c>
      <c r="C418" s="20">
        <f t="shared" ca="1" si="18"/>
        <v>50087</v>
      </c>
      <c r="D418" s="20">
        <f t="shared" ca="1" si="19"/>
        <v>129</v>
      </c>
      <c r="E418" s="20">
        <v>1</v>
      </c>
      <c r="H418" s="20">
        <f t="shared" si="20"/>
        <v>5</v>
      </c>
      <c r="M418" s="20">
        <v>417</v>
      </c>
    </row>
    <row r="419" spans="1:13" x14ac:dyDescent="0.15">
      <c r="A419" s="20">
        <f>collect!A419</f>
        <v>17</v>
      </c>
      <c r="B419" s="20">
        <f>collect!B419</f>
        <v>1704</v>
      </c>
      <c r="C419" s="20">
        <f t="shared" ca="1" si="18"/>
        <v>50023</v>
      </c>
      <c r="D419" s="20">
        <f t="shared" ca="1" si="19"/>
        <v>88</v>
      </c>
      <c r="E419" s="20">
        <v>1</v>
      </c>
      <c r="H419" s="20">
        <f t="shared" si="20"/>
        <v>8</v>
      </c>
      <c r="M419" s="20">
        <v>418</v>
      </c>
    </row>
    <row r="420" spans="1:13" x14ac:dyDescent="0.15">
      <c r="A420" s="20">
        <f>collect!A420</f>
        <v>17</v>
      </c>
      <c r="B420" s="20">
        <f>collect!B420</f>
        <v>1704</v>
      </c>
      <c r="C420" s="20">
        <f t="shared" ca="1" si="18"/>
        <v>50033</v>
      </c>
      <c r="D420" s="20">
        <f t="shared" ca="1" si="19"/>
        <v>32</v>
      </c>
      <c r="E420" s="20">
        <v>1</v>
      </c>
      <c r="H420" s="20">
        <f t="shared" si="20"/>
        <v>11</v>
      </c>
      <c r="M420" s="20">
        <v>419</v>
      </c>
    </row>
    <row r="421" spans="1:13" x14ac:dyDescent="0.15">
      <c r="A421" s="20">
        <f>collect!A421</f>
        <v>17</v>
      </c>
      <c r="B421" s="20">
        <f>collect!B421</f>
        <v>1704</v>
      </c>
      <c r="C421" s="20">
        <f t="shared" ca="1" si="18"/>
        <v>50034</v>
      </c>
      <c r="D421" s="20">
        <f t="shared" ca="1" si="19"/>
        <v>5</v>
      </c>
      <c r="E421" s="20">
        <v>1</v>
      </c>
      <c r="H421" s="20">
        <f t="shared" si="20"/>
        <v>14</v>
      </c>
      <c r="M421" s="20">
        <v>420</v>
      </c>
    </row>
    <row r="422" spans="1:13" x14ac:dyDescent="0.15">
      <c r="A422" s="20">
        <f>collect!A422</f>
        <v>17</v>
      </c>
      <c r="B422" s="20">
        <f>collect!B422</f>
        <v>1705</v>
      </c>
      <c r="C422" s="20">
        <f t="shared" si="18"/>
        <v>50004</v>
      </c>
      <c r="D422" s="20">
        <f t="shared" si="19"/>
        <v>55</v>
      </c>
      <c r="E422" s="20">
        <v>1</v>
      </c>
      <c r="H422" s="20">
        <f t="shared" si="20"/>
        <v>2</v>
      </c>
      <c r="M422" s="20">
        <v>421</v>
      </c>
    </row>
    <row r="423" spans="1:13" x14ac:dyDescent="0.15">
      <c r="A423" s="20">
        <f>collect!A423</f>
        <v>17</v>
      </c>
      <c r="B423" s="20">
        <f>collect!B423</f>
        <v>1705</v>
      </c>
      <c r="C423" s="20">
        <f t="shared" ca="1" si="18"/>
        <v>50015</v>
      </c>
      <c r="D423" s="20">
        <f t="shared" ca="1" si="19"/>
        <v>181</v>
      </c>
      <c r="E423" s="20">
        <v>1</v>
      </c>
      <c r="H423" s="20">
        <f t="shared" si="20"/>
        <v>5</v>
      </c>
      <c r="M423" s="20">
        <v>422</v>
      </c>
    </row>
    <row r="424" spans="1:13" x14ac:dyDescent="0.15">
      <c r="A424" s="20">
        <f>collect!A424</f>
        <v>17</v>
      </c>
      <c r="B424" s="20">
        <f>collect!B424</f>
        <v>1705</v>
      </c>
      <c r="C424" s="20">
        <f t="shared" ca="1" si="18"/>
        <v>50020</v>
      </c>
      <c r="D424" s="20">
        <f t="shared" ca="1" si="19"/>
        <v>88</v>
      </c>
      <c r="E424" s="20">
        <v>1</v>
      </c>
      <c r="H424" s="20">
        <f t="shared" si="20"/>
        <v>8</v>
      </c>
      <c r="M424" s="20">
        <v>423</v>
      </c>
    </row>
    <row r="425" spans="1:13" x14ac:dyDescent="0.15">
      <c r="A425" s="20">
        <f>collect!A425</f>
        <v>17</v>
      </c>
      <c r="B425" s="20">
        <f>collect!B425</f>
        <v>1705</v>
      </c>
      <c r="C425" s="20">
        <f t="shared" ca="1" si="18"/>
        <v>50004</v>
      </c>
      <c r="D425" s="20">
        <f t="shared" ca="1" si="19"/>
        <v>55</v>
      </c>
      <c r="E425" s="20">
        <v>1</v>
      </c>
      <c r="H425" s="20">
        <f t="shared" si="20"/>
        <v>11</v>
      </c>
      <c r="M425" s="20">
        <v>424</v>
      </c>
    </row>
    <row r="426" spans="1:13" x14ac:dyDescent="0.15">
      <c r="A426" s="20">
        <f>collect!A426</f>
        <v>17</v>
      </c>
      <c r="B426" s="20">
        <f>collect!B426</f>
        <v>1705</v>
      </c>
      <c r="C426" s="20">
        <f t="shared" ca="1" si="18"/>
        <v>50034</v>
      </c>
      <c r="D426" s="20">
        <f t="shared" ca="1" si="19"/>
        <v>5</v>
      </c>
      <c r="E426" s="20">
        <v>1</v>
      </c>
      <c r="H426" s="20">
        <f t="shared" si="20"/>
        <v>14</v>
      </c>
      <c r="M426" s="20">
        <v>425</v>
      </c>
    </row>
    <row r="427" spans="1:13" x14ac:dyDescent="0.15">
      <c r="A427" s="20">
        <f>collect!A427</f>
        <v>18</v>
      </c>
      <c r="B427" s="20">
        <f>collect!B427</f>
        <v>1801</v>
      </c>
      <c r="C427" s="20">
        <f t="shared" si="18"/>
        <v>50008</v>
      </c>
      <c r="D427" s="20">
        <f t="shared" si="19"/>
        <v>55</v>
      </c>
      <c r="E427" s="20">
        <v>1</v>
      </c>
      <c r="H427" s="20">
        <f t="shared" si="20"/>
        <v>2</v>
      </c>
      <c r="M427" s="20">
        <v>426</v>
      </c>
    </row>
    <row r="428" spans="1:13" x14ac:dyDescent="0.15">
      <c r="A428" s="20">
        <f>collect!A428</f>
        <v>18</v>
      </c>
      <c r="B428" s="20">
        <f>collect!B428</f>
        <v>1801</v>
      </c>
      <c r="C428" s="20">
        <f t="shared" ca="1" si="18"/>
        <v>50009</v>
      </c>
      <c r="D428" s="20">
        <f t="shared" ca="1" si="19"/>
        <v>181</v>
      </c>
      <c r="E428" s="20">
        <v>1</v>
      </c>
      <c r="H428" s="20">
        <f t="shared" si="20"/>
        <v>5</v>
      </c>
      <c r="M428" s="20">
        <v>427</v>
      </c>
    </row>
    <row r="429" spans="1:13" x14ac:dyDescent="0.15">
      <c r="A429" s="20">
        <f>collect!A429</f>
        <v>18</v>
      </c>
      <c r="B429" s="20">
        <f>collect!B429</f>
        <v>1801</v>
      </c>
      <c r="C429" s="20">
        <f t="shared" ca="1" si="18"/>
        <v>50026</v>
      </c>
      <c r="D429" s="20">
        <f t="shared" ca="1" si="19"/>
        <v>88</v>
      </c>
      <c r="E429" s="20">
        <v>1</v>
      </c>
      <c r="H429" s="20">
        <f t="shared" si="20"/>
        <v>8</v>
      </c>
      <c r="M429" s="20">
        <v>428</v>
      </c>
    </row>
    <row r="430" spans="1:13" x14ac:dyDescent="0.15">
      <c r="A430" s="20">
        <f>collect!A430</f>
        <v>18</v>
      </c>
      <c r="B430" s="20">
        <f>collect!B430</f>
        <v>1801</v>
      </c>
      <c r="C430" s="20">
        <f t="shared" ca="1" si="18"/>
        <v>50040</v>
      </c>
      <c r="D430" s="20">
        <f t="shared" ca="1" si="19"/>
        <v>32</v>
      </c>
      <c r="E430" s="20">
        <v>1</v>
      </c>
      <c r="H430" s="20">
        <f t="shared" si="20"/>
        <v>11</v>
      </c>
      <c r="M430" s="20">
        <v>429</v>
      </c>
    </row>
    <row r="431" spans="1:13" x14ac:dyDescent="0.15">
      <c r="A431" s="20">
        <f>collect!A431</f>
        <v>18</v>
      </c>
      <c r="B431" s="20">
        <f>collect!B431</f>
        <v>1801</v>
      </c>
      <c r="C431" s="20">
        <f t="shared" ca="1" si="18"/>
        <v>50038</v>
      </c>
      <c r="D431" s="20">
        <f t="shared" ca="1" si="19"/>
        <v>32</v>
      </c>
      <c r="E431" s="20">
        <v>1</v>
      </c>
      <c r="H431" s="20">
        <f t="shared" si="20"/>
        <v>14</v>
      </c>
      <c r="M431" s="20">
        <v>430</v>
      </c>
    </row>
    <row r="432" spans="1:13" x14ac:dyDescent="0.15">
      <c r="A432" s="20">
        <f>collect!A432</f>
        <v>18</v>
      </c>
      <c r="B432" s="20">
        <f>collect!B432</f>
        <v>1802</v>
      </c>
      <c r="C432" s="20">
        <f t="shared" si="18"/>
        <v>50012</v>
      </c>
      <c r="D432" s="20">
        <f t="shared" si="19"/>
        <v>55</v>
      </c>
      <c r="E432" s="20">
        <v>1</v>
      </c>
      <c r="H432" s="20">
        <f t="shared" si="20"/>
        <v>2</v>
      </c>
      <c r="M432" s="20">
        <v>431</v>
      </c>
    </row>
    <row r="433" spans="1:13" x14ac:dyDescent="0.15">
      <c r="A433" s="20">
        <f>collect!A433</f>
        <v>18</v>
      </c>
      <c r="B433" s="20">
        <f>collect!B433</f>
        <v>1802</v>
      </c>
      <c r="C433" s="20">
        <f t="shared" ca="1" si="18"/>
        <v>50002</v>
      </c>
      <c r="D433" s="20">
        <f t="shared" ca="1" si="19"/>
        <v>129</v>
      </c>
      <c r="E433" s="20">
        <v>1</v>
      </c>
      <c r="H433" s="20">
        <f t="shared" si="20"/>
        <v>5</v>
      </c>
      <c r="M433" s="20">
        <v>432</v>
      </c>
    </row>
    <row r="434" spans="1:13" x14ac:dyDescent="0.15">
      <c r="A434" s="20">
        <f>collect!A434</f>
        <v>18</v>
      </c>
      <c r="B434" s="20">
        <f>collect!B434</f>
        <v>1802</v>
      </c>
      <c r="C434" s="20">
        <f t="shared" ca="1" si="18"/>
        <v>50036</v>
      </c>
      <c r="D434" s="20">
        <f t="shared" ca="1" si="19"/>
        <v>88</v>
      </c>
      <c r="E434" s="20">
        <v>1</v>
      </c>
      <c r="H434" s="20">
        <f t="shared" si="20"/>
        <v>8</v>
      </c>
      <c r="M434" s="20">
        <v>433</v>
      </c>
    </row>
    <row r="435" spans="1:13" x14ac:dyDescent="0.15">
      <c r="A435" s="20">
        <f>collect!A435</f>
        <v>18</v>
      </c>
      <c r="B435" s="20">
        <f>collect!B435</f>
        <v>1802</v>
      </c>
      <c r="C435" s="20">
        <f t="shared" ca="1" si="18"/>
        <v>50004</v>
      </c>
      <c r="D435" s="20">
        <f t="shared" ca="1" si="19"/>
        <v>55</v>
      </c>
      <c r="E435" s="20">
        <v>1</v>
      </c>
      <c r="H435" s="20">
        <f t="shared" si="20"/>
        <v>11</v>
      </c>
      <c r="M435" s="20">
        <v>434</v>
      </c>
    </row>
    <row r="436" spans="1:13" x14ac:dyDescent="0.15">
      <c r="A436" s="20">
        <f>collect!A436</f>
        <v>18</v>
      </c>
      <c r="B436" s="20">
        <f>collect!B436</f>
        <v>1802</v>
      </c>
      <c r="C436" s="20">
        <f t="shared" ca="1" si="18"/>
        <v>50040</v>
      </c>
      <c r="D436" s="20">
        <f t="shared" ca="1" si="19"/>
        <v>32</v>
      </c>
      <c r="E436" s="20">
        <v>1</v>
      </c>
      <c r="H436" s="20">
        <f t="shared" si="20"/>
        <v>14</v>
      </c>
      <c r="M436" s="20">
        <v>435</v>
      </c>
    </row>
    <row r="437" spans="1:13" x14ac:dyDescent="0.15">
      <c r="A437" s="20">
        <f>collect!A437</f>
        <v>18</v>
      </c>
      <c r="B437" s="20">
        <f>collect!B437</f>
        <v>1803</v>
      </c>
      <c r="C437" s="20">
        <f t="shared" si="18"/>
        <v>50017</v>
      </c>
      <c r="D437" s="20">
        <f t="shared" si="19"/>
        <v>32</v>
      </c>
      <c r="E437" s="20">
        <v>1</v>
      </c>
      <c r="H437" s="20">
        <f t="shared" si="20"/>
        <v>2</v>
      </c>
      <c r="M437" s="20">
        <v>436</v>
      </c>
    </row>
    <row r="438" spans="1:13" x14ac:dyDescent="0.15">
      <c r="A438" s="20">
        <f>collect!A438</f>
        <v>18</v>
      </c>
      <c r="B438" s="20">
        <f>collect!B438</f>
        <v>1803</v>
      </c>
      <c r="C438" s="20">
        <f t="shared" ca="1" si="18"/>
        <v>50005</v>
      </c>
      <c r="D438" s="20">
        <f t="shared" ca="1" si="19"/>
        <v>181</v>
      </c>
      <c r="E438" s="20">
        <v>1</v>
      </c>
      <c r="H438" s="20">
        <f t="shared" si="20"/>
        <v>5</v>
      </c>
      <c r="M438" s="20">
        <v>437</v>
      </c>
    </row>
    <row r="439" spans="1:13" x14ac:dyDescent="0.15">
      <c r="A439" s="20">
        <f>collect!A439</f>
        <v>18</v>
      </c>
      <c r="B439" s="20">
        <f>collect!B439</f>
        <v>1803</v>
      </c>
      <c r="C439" s="20">
        <f t="shared" ca="1" si="18"/>
        <v>50020</v>
      </c>
      <c r="D439" s="20">
        <f t="shared" ca="1" si="19"/>
        <v>88</v>
      </c>
      <c r="E439" s="20">
        <v>1</v>
      </c>
      <c r="H439" s="20">
        <f t="shared" si="20"/>
        <v>8</v>
      </c>
      <c r="M439" s="20">
        <v>438</v>
      </c>
    </row>
    <row r="440" spans="1:13" x14ac:dyDescent="0.15">
      <c r="A440" s="20">
        <f>collect!A440</f>
        <v>18</v>
      </c>
      <c r="B440" s="20">
        <f>collect!B440</f>
        <v>1803</v>
      </c>
      <c r="C440" s="20">
        <f t="shared" ca="1" si="18"/>
        <v>50033</v>
      </c>
      <c r="D440" s="20">
        <f t="shared" ca="1" si="19"/>
        <v>32</v>
      </c>
      <c r="E440" s="20">
        <v>1</v>
      </c>
      <c r="H440" s="20">
        <f t="shared" si="20"/>
        <v>11</v>
      </c>
      <c r="M440" s="20">
        <v>439</v>
      </c>
    </row>
    <row r="441" spans="1:13" x14ac:dyDescent="0.15">
      <c r="A441" s="20">
        <f>collect!A441</f>
        <v>18</v>
      </c>
      <c r="B441" s="20">
        <f>collect!B441</f>
        <v>1803</v>
      </c>
      <c r="C441" s="20">
        <f t="shared" ca="1" si="18"/>
        <v>50040</v>
      </c>
      <c r="D441" s="20">
        <f t="shared" ca="1" si="19"/>
        <v>32</v>
      </c>
      <c r="E441" s="20">
        <v>1</v>
      </c>
      <c r="H441" s="20">
        <f t="shared" si="20"/>
        <v>14</v>
      </c>
      <c r="M441" s="20">
        <v>440</v>
      </c>
    </row>
    <row r="442" spans="1:13" x14ac:dyDescent="0.15">
      <c r="A442" s="20">
        <f>collect!A442</f>
        <v>18</v>
      </c>
      <c r="B442" s="20">
        <f>collect!B442</f>
        <v>1804</v>
      </c>
      <c r="C442" s="20">
        <f t="shared" si="18"/>
        <v>50033</v>
      </c>
      <c r="D442" s="20">
        <f t="shared" si="19"/>
        <v>32</v>
      </c>
      <c r="E442" s="20">
        <v>1</v>
      </c>
      <c r="H442" s="20">
        <f t="shared" si="20"/>
        <v>2</v>
      </c>
      <c r="M442" s="20">
        <v>441</v>
      </c>
    </row>
    <row r="443" spans="1:13" x14ac:dyDescent="0.15">
      <c r="A443" s="20">
        <f>collect!A443</f>
        <v>18</v>
      </c>
      <c r="B443" s="20">
        <f>collect!B443</f>
        <v>1804</v>
      </c>
      <c r="C443" s="20">
        <f t="shared" ca="1" si="18"/>
        <v>50001</v>
      </c>
      <c r="D443" s="20">
        <f t="shared" ca="1" si="19"/>
        <v>181</v>
      </c>
      <c r="E443" s="20">
        <v>1</v>
      </c>
      <c r="H443" s="20">
        <f t="shared" si="20"/>
        <v>5</v>
      </c>
      <c r="M443" s="20">
        <v>442</v>
      </c>
    </row>
    <row r="444" spans="1:13" x14ac:dyDescent="0.15">
      <c r="A444" s="20">
        <f>collect!A444</f>
        <v>18</v>
      </c>
      <c r="B444" s="20">
        <f>collect!B444</f>
        <v>1804</v>
      </c>
      <c r="C444" s="20">
        <f t="shared" ca="1" si="18"/>
        <v>50027</v>
      </c>
      <c r="D444" s="20">
        <f t="shared" ca="1" si="19"/>
        <v>88</v>
      </c>
      <c r="E444" s="20">
        <v>1</v>
      </c>
      <c r="H444" s="20">
        <f t="shared" si="20"/>
        <v>8</v>
      </c>
      <c r="M444" s="20">
        <v>443</v>
      </c>
    </row>
    <row r="445" spans="1:13" x14ac:dyDescent="0.15">
      <c r="A445" s="20">
        <f>collect!A445</f>
        <v>18</v>
      </c>
      <c r="B445" s="20">
        <f>collect!B445</f>
        <v>1804</v>
      </c>
      <c r="C445" s="20">
        <f t="shared" ca="1" si="18"/>
        <v>50012</v>
      </c>
      <c r="D445" s="20">
        <f t="shared" ca="1" si="19"/>
        <v>55</v>
      </c>
      <c r="E445" s="20">
        <v>1</v>
      </c>
      <c r="H445" s="20">
        <f t="shared" si="20"/>
        <v>11</v>
      </c>
      <c r="M445" s="20">
        <v>444</v>
      </c>
    </row>
    <row r="446" spans="1:13" x14ac:dyDescent="0.15">
      <c r="A446" s="20">
        <f>collect!A446</f>
        <v>18</v>
      </c>
      <c r="B446" s="20">
        <f>collect!B446</f>
        <v>1804</v>
      </c>
      <c r="C446" s="20">
        <f t="shared" ca="1" si="18"/>
        <v>50034</v>
      </c>
      <c r="D446" s="20">
        <f t="shared" ca="1" si="19"/>
        <v>5</v>
      </c>
      <c r="E446" s="20">
        <v>1</v>
      </c>
      <c r="H446" s="20">
        <f t="shared" si="20"/>
        <v>14</v>
      </c>
      <c r="M446" s="20">
        <v>445</v>
      </c>
    </row>
    <row r="447" spans="1:13" x14ac:dyDescent="0.15">
      <c r="A447" s="20">
        <f>collect!A447</f>
        <v>18</v>
      </c>
      <c r="B447" s="20">
        <f>collect!B447</f>
        <v>1805</v>
      </c>
      <c r="C447" s="20">
        <f t="shared" si="18"/>
        <v>50037</v>
      </c>
      <c r="D447" s="20">
        <f t="shared" si="19"/>
        <v>32</v>
      </c>
      <c r="E447" s="20">
        <v>1</v>
      </c>
      <c r="H447" s="20">
        <f t="shared" si="20"/>
        <v>2</v>
      </c>
      <c r="M447" s="20">
        <v>446</v>
      </c>
    </row>
    <row r="448" spans="1:13" x14ac:dyDescent="0.15">
      <c r="A448" s="20">
        <f>collect!A448</f>
        <v>18</v>
      </c>
      <c r="B448" s="20">
        <f>collect!B448</f>
        <v>1805</v>
      </c>
      <c r="C448" s="20">
        <f t="shared" ca="1" si="18"/>
        <v>50035</v>
      </c>
      <c r="D448" s="20">
        <f t="shared" ca="1" si="19"/>
        <v>181</v>
      </c>
      <c r="E448" s="20">
        <v>1</v>
      </c>
      <c r="H448" s="20">
        <f t="shared" si="20"/>
        <v>5</v>
      </c>
      <c r="M448" s="20">
        <v>447</v>
      </c>
    </row>
    <row r="449" spans="1:13" x14ac:dyDescent="0.15">
      <c r="A449" s="20">
        <f>collect!A449</f>
        <v>18</v>
      </c>
      <c r="B449" s="20">
        <f>collect!B449</f>
        <v>1805</v>
      </c>
      <c r="C449" s="20">
        <f t="shared" ca="1" si="18"/>
        <v>50021</v>
      </c>
      <c r="D449" s="20">
        <f t="shared" ca="1" si="19"/>
        <v>88</v>
      </c>
      <c r="E449" s="20">
        <v>1</v>
      </c>
      <c r="H449" s="20">
        <f t="shared" si="20"/>
        <v>8</v>
      </c>
      <c r="M449" s="20">
        <v>448</v>
      </c>
    </row>
    <row r="450" spans="1:13" x14ac:dyDescent="0.15">
      <c r="A450" s="20">
        <f>collect!A450</f>
        <v>18</v>
      </c>
      <c r="B450" s="20">
        <f>collect!B450</f>
        <v>1805</v>
      </c>
      <c r="C450" s="20">
        <f t="shared" ref="C450:C513" ca="1" si="21">VLOOKUP(B450,plan2,H450,FALSE)</f>
        <v>50039</v>
      </c>
      <c r="D450" s="20">
        <f t="shared" ref="D450:D513" ca="1" si="22">VLOOKUP(C450,marking,9,FALSE)</f>
        <v>32</v>
      </c>
      <c r="E450" s="20">
        <v>1</v>
      </c>
      <c r="H450" s="20">
        <f t="shared" si="20"/>
        <v>11</v>
      </c>
      <c r="M450" s="20">
        <v>449</v>
      </c>
    </row>
    <row r="451" spans="1:13" x14ac:dyDescent="0.15">
      <c r="A451" s="20">
        <f>collect!A451</f>
        <v>18</v>
      </c>
      <c r="B451" s="20">
        <f>collect!B451</f>
        <v>1805</v>
      </c>
      <c r="C451" s="20">
        <f t="shared" ca="1" si="21"/>
        <v>50039</v>
      </c>
      <c r="D451" s="20">
        <f t="shared" ca="1" si="22"/>
        <v>32</v>
      </c>
      <c r="E451" s="20">
        <v>1</v>
      </c>
      <c r="H451" s="20">
        <f t="shared" si="20"/>
        <v>14</v>
      </c>
      <c r="M451" s="20">
        <v>450</v>
      </c>
    </row>
    <row r="452" spans="1:13" x14ac:dyDescent="0.15">
      <c r="A452" s="20">
        <f>collect!A452</f>
        <v>19</v>
      </c>
      <c r="B452" s="20">
        <f>collect!B452</f>
        <v>1901</v>
      </c>
      <c r="C452" s="20">
        <f t="shared" si="21"/>
        <v>50038</v>
      </c>
      <c r="D452" s="20">
        <f t="shared" si="22"/>
        <v>32</v>
      </c>
      <c r="E452" s="20">
        <v>1</v>
      </c>
      <c r="H452" s="20">
        <f t="shared" si="20"/>
        <v>2</v>
      </c>
      <c r="M452" s="20">
        <v>451</v>
      </c>
    </row>
    <row r="453" spans="1:13" x14ac:dyDescent="0.15">
      <c r="A453" s="20">
        <f>collect!A453</f>
        <v>19</v>
      </c>
      <c r="B453" s="20">
        <f>collect!B453</f>
        <v>1901</v>
      </c>
      <c r="C453" s="20">
        <f t="shared" ca="1" si="21"/>
        <v>50002</v>
      </c>
      <c r="D453" s="20">
        <f t="shared" ca="1" si="22"/>
        <v>129</v>
      </c>
      <c r="E453" s="20">
        <v>1</v>
      </c>
      <c r="H453" s="20">
        <f t="shared" si="20"/>
        <v>5</v>
      </c>
      <c r="M453" s="20">
        <v>452</v>
      </c>
    </row>
    <row r="454" spans="1:13" x14ac:dyDescent="0.15">
      <c r="A454" s="20">
        <f>collect!A454</f>
        <v>19</v>
      </c>
      <c r="B454" s="20">
        <f>collect!B454</f>
        <v>1901</v>
      </c>
      <c r="C454" s="20">
        <f t="shared" ca="1" si="21"/>
        <v>50032</v>
      </c>
      <c r="D454" s="20">
        <f t="shared" ca="1" si="22"/>
        <v>88</v>
      </c>
      <c r="E454" s="20">
        <v>1</v>
      </c>
      <c r="H454" s="20">
        <f t="shared" si="20"/>
        <v>8</v>
      </c>
      <c r="M454" s="20">
        <v>453</v>
      </c>
    </row>
    <row r="455" spans="1:13" x14ac:dyDescent="0.15">
      <c r="A455" s="20">
        <f>collect!A455</f>
        <v>19</v>
      </c>
      <c r="B455" s="20">
        <f>collect!B455</f>
        <v>1901</v>
      </c>
      <c r="C455" s="20">
        <f t="shared" ca="1" si="21"/>
        <v>50017</v>
      </c>
      <c r="D455" s="20">
        <f t="shared" ca="1" si="22"/>
        <v>32</v>
      </c>
      <c r="E455" s="20">
        <v>1</v>
      </c>
      <c r="H455" s="20">
        <f t="shared" si="20"/>
        <v>11</v>
      </c>
      <c r="M455" s="20">
        <v>454</v>
      </c>
    </row>
    <row r="456" spans="1:13" x14ac:dyDescent="0.15">
      <c r="A456" s="20">
        <f>collect!A456</f>
        <v>19</v>
      </c>
      <c r="B456" s="20">
        <f>collect!B456</f>
        <v>1901</v>
      </c>
      <c r="C456" s="20">
        <f t="shared" ca="1" si="21"/>
        <v>50040</v>
      </c>
      <c r="D456" s="20">
        <f t="shared" ca="1" si="22"/>
        <v>32</v>
      </c>
      <c r="E456" s="20">
        <v>1</v>
      </c>
      <c r="H456" s="20">
        <f t="shared" ref="H456:H519" si="23">H451</f>
        <v>14</v>
      </c>
      <c r="M456" s="20">
        <v>455</v>
      </c>
    </row>
    <row r="457" spans="1:13" x14ac:dyDescent="0.15">
      <c r="A457" s="20">
        <f>collect!A457</f>
        <v>19</v>
      </c>
      <c r="B457" s="20">
        <f>collect!B457</f>
        <v>1902</v>
      </c>
      <c r="C457" s="20">
        <f t="shared" si="21"/>
        <v>50039</v>
      </c>
      <c r="D457" s="20">
        <f t="shared" si="22"/>
        <v>32</v>
      </c>
      <c r="E457" s="20">
        <v>1</v>
      </c>
      <c r="H457" s="20">
        <f t="shared" si="23"/>
        <v>2</v>
      </c>
      <c r="M457" s="20">
        <v>456</v>
      </c>
    </row>
    <row r="458" spans="1:13" x14ac:dyDescent="0.15">
      <c r="A458" s="20">
        <f>collect!A458</f>
        <v>19</v>
      </c>
      <c r="B458" s="20">
        <f>collect!B458</f>
        <v>1902</v>
      </c>
      <c r="C458" s="20">
        <f t="shared" ca="1" si="21"/>
        <v>50010</v>
      </c>
      <c r="D458" s="20">
        <f t="shared" ca="1" si="22"/>
        <v>129</v>
      </c>
      <c r="E458" s="20">
        <v>1</v>
      </c>
      <c r="H458" s="20">
        <f t="shared" si="23"/>
        <v>5</v>
      </c>
      <c r="M458" s="20">
        <v>457</v>
      </c>
    </row>
    <row r="459" spans="1:13" x14ac:dyDescent="0.15">
      <c r="A459" s="20">
        <f>collect!A459</f>
        <v>19</v>
      </c>
      <c r="B459" s="20">
        <f>collect!B459</f>
        <v>1902</v>
      </c>
      <c r="C459" s="20">
        <f t="shared" ca="1" si="21"/>
        <v>50002</v>
      </c>
      <c r="D459" s="20">
        <f t="shared" ca="1" si="22"/>
        <v>129</v>
      </c>
      <c r="E459" s="20">
        <v>1</v>
      </c>
      <c r="H459" s="20">
        <f t="shared" si="23"/>
        <v>8</v>
      </c>
      <c r="M459" s="20">
        <v>458</v>
      </c>
    </row>
    <row r="460" spans="1:13" x14ac:dyDescent="0.15">
      <c r="A460" s="20">
        <f>collect!A460</f>
        <v>19</v>
      </c>
      <c r="B460" s="20">
        <f>collect!B460</f>
        <v>1902</v>
      </c>
      <c r="C460" s="20">
        <f t="shared" ca="1" si="21"/>
        <v>50017</v>
      </c>
      <c r="D460" s="20">
        <f t="shared" ca="1" si="22"/>
        <v>32</v>
      </c>
      <c r="E460" s="20">
        <v>1</v>
      </c>
      <c r="H460" s="20">
        <f t="shared" si="23"/>
        <v>11</v>
      </c>
      <c r="M460" s="20">
        <v>459</v>
      </c>
    </row>
    <row r="461" spans="1:13" x14ac:dyDescent="0.15">
      <c r="A461" s="20">
        <f>collect!A461</f>
        <v>19</v>
      </c>
      <c r="B461" s="20">
        <f>collect!B461</f>
        <v>1902</v>
      </c>
      <c r="C461" s="20">
        <f t="shared" ca="1" si="21"/>
        <v>50038</v>
      </c>
      <c r="D461" s="20">
        <f t="shared" ca="1" si="22"/>
        <v>32</v>
      </c>
      <c r="E461" s="20">
        <v>1</v>
      </c>
      <c r="H461" s="20">
        <f t="shared" si="23"/>
        <v>14</v>
      </c>
      <c r="M461" s="20">
        <v>460</v>
      </c>
    </row>
    <row r="462" spans="1:13" x14ac:dyDescent="0.15">
      <c r="A462" s="20">
        <f>collect!A462</f>
        <v>19</v>
      </c>
      <c r="B462" s="20">
        <f>collect!B462</f>
        <v>1903</v>
      </c>
      <c r="C462" s="20">
        <f t="shared" si="21"/>
        <v>50040</v>
      </c>
      <c r="D462" s="20">
        <f t="shared" si="22"/>
        <v>32</v>
      </c>
      <c r="E462" s="20">
        <v>1</v>
      </c>
      <c r="H462" s="20">
        <f t="shared" si="23"/>
        <v>2</v>
      </c>
      <c r="M462" s="20">
        <v>461</v>
      </c>
    </row>
    <row r="463" spans="1:13" x14ac:dyDescent="0.15">
      <c r="A463" s="20">
        <f>collect!A463</f>
        <v>19</v>
      </c>
      <c r="B463" s="20">
        <f>collect!B463</f>
        <v>1903</v>
      </c>
      <c r="C463" s="20">
        <f t="shared" ca="1" si="21"/>
        <v>50010</v>
      </c>
      <c r="D463" s="20">
        <f t="shared" ca="1" si="22"/>
        <v>129</v>
      </c>
      <c r="E463" s="20">
        <v>1</v>
      </c>
      <c r="H463" s="20">
        <f t="shared" si="23"/>
        <v>5</v>
      </c>
      <c r="M463" s="20">
        <v>462</v>
      </c>
    </row>
    <row r="464" spans="1:13" x14ac:dyDescent="0.15">
      <c r="A464" s="20">
        <f>collect!A464</f>
        <v>19</v>
      </c>
      <c r="B464" s="20">
        <f>collect!B464</f>
        <v>1903</v>
      </c>
      <c r="C464" s="20">
        <f t="shared" ca="1" si="21"/>
        <v>50026</v>
      </c>
      <c r="D464" s="20">
        <f t="shared" ca="1" si="22"/>
        <v>88</v>
      </c>
      <c r="E464" s="20">
        <v>1</v>
      </c>
      <c r="H464" s="20">
        <f t="shared" si="23"/>
        <v>8</v>
      </c>
      <c r="M464" s="20">
        <v>463</v>
      </c>
    </row>
    <row r="465" spans="1:13" x14ac:dyDescent="0.15">
      <c r="A465" s="20">
        <f>collect!A465</f>
        <v>19</v>
      </c>
      <c r="B465" s="20">
        <f>collect!B465</f>
        <v>1903</v>
      </c>
      <c r="C465" s="20">
        <f t="shared" ca="1" si="21"/>
        <v>50012</v>
      </c>
      <c r="D465" s="20">
        <f t="shared" ca="1" si="22"/>
        <v>55</v>
      </c>
      <c r="E465" s="20">
        <v>1</v>
      </c>
      <c r="H465" s="20">
        <f t="shared" si="23"/>
        <v>11</v>
      </c>
      <c r="M465" s="20">
        <v>464</v>
      </c>
    </row>
    <row r="466" spans="1:13" x14ac:dyDescent="0.15">
      <c r="A466" s="20">
        <f>collect!A466</f>
        <v>19</v>
      </c>
      <c r="B466" s="20">
        <f>collect!B466</f>
        <v>1903</v>
      </c>
      <c r="C466" s="20">
        <f t="shared" ca="1" si="21"/>
        <v>50034</v>
      </c>
      <c r="D466" s="20">
        <f t="shared" ca="1" si="22"/>
        <v>5</v>
      </c>
      <c r="E466" s="20">
        <v>1</v>
      </c>
      <c r="H466" s="20">
        <f t="shared" si="23"/>
        <v>14</v>
      </c>
      <c r="M466" s="20">
        <v>465</v>
      </c>
    </row>
    <row r="467" spans="1:13" x14ac:dyDescent="0.15">
      <c r="A467" s="20">
        <f>collect!A467</f>
        <v>19</v>
      </c>
      <c r="B467" s="20">
        <f>collect!B467</f>
        <v>1904</v>
      </c>
      <c r="C467" s="20">
        <f t="shared" si="21"/>
        <v>50034</v>
      </c>
      <c r="D467" s="20">
        <f t="shared" si="22"/>
        <v>5</v>
      </c>
      <c r="E467" s="20">
        <v>1</v>
      </c>
      <c r="H467" s="20">
        <f t="shared" si="23"/>
        <v>2</v>
      </c>
      <c r="M467" s="20">
        <v>466</v>
      </c>
    </row>
    <row r="468" spans="1:13" x14ac:dyDescent="0.15">
      <c r="A468" s="20">
        <f>collect!A468</f>
        <v>19</v>
      </c>
      <c r="B468" s="20">
        <f>collect!B468</f>
        <v>1904</v>
      </c>
      <c r="C468" s="20">
        <f t="shared" ca="1" si="21"/>
        <v>50002</v>
      </c>
      <c r="D468" s="20">
        <f t="shared" ca="1" si="22"/>
        <v>129</v>
      </c>
      <c r="E468" s="20">
        <v>1</v>
      </c>
      <c r="H468" s="20">
        <f t="shared" si="23"/>
        <v>5</v>
      </c>
      <c r="M468" s="20">
        <v>467</v>
      </c>
    </row>
    <row r="469" spans="1:13" x14ac:dyDescent="0.15">
      <c r="A469" s="20">
        <f>collect!A469</f>
        <v>19</v>
      </c>
      <c r="B469" s="20">
        <f>collect!B469</f>
        <v>1904</v>
      </c>
      <c r="C469" s="20">
        <f t="shared" ca="1" si="21"/>
        <v>50002</v>
      </c>
      <c r="D469" s="20">
        <f t="shared" ca="1" si="22"/>
        <v>129</v>
      </c>
      <c r="E469" s="20">
        <v>1</v>
      </c>
      <c r="H469" s="20">
        <f t="shared" si="23"/>
        <v>8</v>
      </c>
      <c r="M469" s="20">
        <v>468</v>
      </c>
    </row>
    <row r="470" spans="1:13" x14ac:dyDescent="0.15">
      <c r="A470" s="20">
        <f>collect!A470</f>
        <v>19</v>
      </c>
      <c r="B470" s="20">
        <f>collect!B470</f>
        <v>1904</v>
      </c>
      <c r="C470" s="20">
        <f t="shared" ca="1" si="21"/>
        <v>50012</v>
      </c>
      <c r="D470" s="20">
        <f t="shared" ca="1" si="22"/>
        <v>55</v>
      </c>
      <c r="E470" s="20">
        <v>1</v>
      </c>
      <c r="H470" s="20">
        <f t="shared" si="23"/>
        <v>11</v>
      </c>
      <c r="M470" s="20">
        <v>469</v>
      </c>
    </row>
    <row r="471" spans="1:13" x14ac:dyDescent="0.15">
      <c r="A471" s="20">
        <f>collect!A471</f>
        <v>19</v>
      </c>
      <c r="B471" s="20">
        <f>collect!B471</f>
        <v>1904</v>
      </c>
      <c r="C471" s="20">
        <f t="shared" ca="1" si="21"/>
        <v>50034</v>
      </c>
      <c r="D471" s="20">
        <f t="shared" ca="1" si="22"/>
        <v>5</v>
      </c>
      <c r="E471" s="20">
        <v>1</v>
      </c>
      <c r="H471" s="20">
        <f t="shared" si="23"/>
        <v>14</v>
      </c>
      <c r="M471" s="20">
        <v>470</v>
      </c>
    </row>
    <row r="472" spans="1:13" x14ac:dyDescent="0.15">
      <c r="A472" s="20">
        <f>collect!A472</f>
        <v>19</v>
      </c>
      <c r="B472" s="20">
        <f>collect!B472</f>
        <v>1905</v>
      </c>
      <c r="C472" s="20">
        <f t="shared" si="21"/>
        <v>50001</v>
      </c>
      <c r="D472" s="20">
        <f t="shared" si="22"/>
        <v>181</v>
      </c>
      <c r="E472" s="20">
        <v>1</v>
      </c>
      <c r="H472" s="20">
        <f t="shared" si="23"/>
        <v>2</v>
      </c>
      <c r="M472" s="20">
        <v>471</v>
      </c>
    </row>
    <row r="473" spans="1:13" x14ac:dyDescent="0.15">
      <c r="A473" s="20">
        <f>collect!A473</f>
        <v>19</v>
      </c>
      <c r="B473" s="20">
        <f>collect!B473</f>
        <v>1905</v>
      </c>
      <c r="C473" s="20">
        <f t="shared" ca="1" si="21"/>
        <v>50001</v>
      </c>
      <c r="D473" s="20">
        <f t="shared" ca="1" si="22"/>
        <v>181</v>
      </c>
      <c r="E473" s="20">
        <v>1</v>
      </c>
      <c r="H473" s="20">
        <f t="shared" si="23"/>
        <v>5</v>
      </c>
      <c r="M473" s="20">
        <v>472</v>
      </c>
    </row>
    <row r="474" spans="1:13" x14ac:dyDescent="0.15">
      <c r="A474" s="20">
        <f>collect!A474</f>
        <v>19</v>
      </c>
      <c r="B474" s="20">
        <f>collect!B474</f>
        <v>1905</v>
      </c>
      <c r="C474" s="20">
        <f t="shared" ca="1" si="21"/>
        <v>50023</v>
      </c>
      <c r="D474" s="20">
        <f t="shared" ca="1" si="22"/>
        <v>88</v>
      </c>
      <c r="E474" s="20">
        <v>1</v>
      </c>
      <c r="H474" s="20">
        <f t="shared" si="23"/>
        <v>8</v>
      </c>
      <c r="M474" s="20">
        <v>473</v>
      </c>
    </row>
    <row r="475" spans="1:13" x14ac:dyDescent="0.15">
      <c r="A475" s="20">
        <f>collect!A475</f>
        <v>19</v>
      </c>
      <c r="B475" s="20">
        <f>collect!B475</f>
        <v>1905</v>
      </c>
      <c r="C475" s="20">
        <f t="shared" ca="1" si="21"/>
        <v>50008</v>
      </c>
      <c r="D475" s="20">
        <f t="shared" ca="1" si="22"/>
        <v>55</v>
      </c>
      <c r="E475" s="20">
        <v>1</v>
      </c>
      <c r="H475" s="20">
        <f t="shared" si="23"/>
        <v>11</v>
      </c>
      <c r="M475" s="20">
        <v>474</v>
      </c>
    </row>
    <row r="476" spans="1:13" x14ac:dyDescent="0.15">
      <c r="A476" s="20">
        <f>collect!A476</f>
        <v>19</v>
      </c>
      <c r="B476" s="20">
        <f>collect!B476</f>
        <v>1905</v>
      </c>
      <c r="C476" s="20">
        <f t="shared" ca="1" si="21"/>
        <v>50038</v>
      </c>
      <c r="D476" s="20">
        <f t="shared" ca="1" si="22"/>
        <v>32</v>
      </c>
      <c r="E476" s="20">
        <v>1</v>
      </c>
      <c r="H476" s="20">
        <f t="shared" si="23"/>
        <v>14</v>
      </c>
      <c r="M476" s="20">
        <v>475</v>
      </c>
    </row>
    <row r="477" spans="1:13" x14ac:dyDescent="0.15">
      <c r="A477" s="20">
        <f>collect!A477</f>
        <v>20</v>
      </c>
      <c r="B477" s="20">
        <f>collect!B477</f>
        <v>2001</v>
      </c>
      <c r="C477" s="20">
        <f t="shared" si="21"/>
        <v>50005</v>
      </c>
      <c r="D477" s="20">
        <f t="shared" si="22"/>
        <v>181</v>
      </c>
      <c r="E477" s="20">
        <v>1</v>
      </c>
      <c r="H477" s="20">
        <f t="shared" si="23"/>
        <v>2</v>
      </c>
      <c r="M477" s="20">
        <v>476</v>
      </c>
    </row>
    <row r="478" spans="1:13" x14ac:dyDescent="0.15">
      <c r="A478" s="20">
        <f>collect!A478</f>
        <v>20</v>
      </c>
      <c r="B478" s="20">
        <f>collect!B478</f>
        <v>2001</v>
      </c>
      <c r="C478" s="20">
        <f t="shared" ca="1" si="21"/>
        <v>50010</v>
      </c>
      <c r="D478" s="20">
        <f t="shared" ca="1" si="22"/>
        <v>129</v>
      </c>
      <c r="E478" s="20">
        <v>1</v>
      </c>
      <c r="H478" s="20">
        <f t="shared" si="23"/>
        <v>5</v>
      </c>
      <c r="M478" s="20">
        <v>477</v>
      </c>
    </row>
    <row r="479" spans="1:13" x14ac:dyDescent="0.15">
      <c r="A479" s="20">
        <f>collect!A479</f>
        <v>20</v>
      </c>
      <c r="B479" s="20">
        <f>collect!B479</f>
        <v>2001</v>
      </c>
      <c r="C479" s="20">
        <f t="shared" ca="1" si="21"/>
        <v>50025</v>
      </c>
      <c r="D479" s="20">
        <f t="shared" ca="1" si="22"/>
        <v>88</v>
      </c>
      <c r="E479" s="20">
        <v>1</v>
      </c>
      <c r="H479" s="20">
        <f t="shared" si="23"/>
        <v>8</v>
      </c>
      <c r="M479" s="20">
        <v>478</v>
      </c>
    </row>
    <row r="480" spans="1:13" x14ac:dyDescent="0.15">
      <c r="A480" s="20">
        <f>collect!A480</f>
        <v>20</v>
      </c>
      <c r="B480" s="20">
        <f>collect!B480</f>
        <v>2001</v>
      </c>
      <c r="C480" s="20">
        <f t="shared" ca="1" si="21"/>
        <v>50039</v>
      </c>
      <c r="D480" s="20">
        <f t="shared" ca="1" si="22"/>
        <v>32</v>
      </c>
      <c r="E480" s="20">
        <v>1</v>
      </c>
      <c r="H480" s="20">
        <f t="shared" si="23"/>
        <v>11</v>
      </c>
      <c r="M480" s="20">
        <v>479</v>
      </c>
    </row>
    <row r="481" spans="1:13" x14ac:dyDescent="0.15">
      <c r="A481" s="20">
        <f>collect!A481</f>
        <v>20</v>
      </c>
      <c r="B481" s="20">
        <f>collect!B481</f>
        <v>2001</v>
      </c>
      <c r="C481" s="20">
        <f t="shared" ca="1" si="21"/>
        <v>50034</v>
      </c>
      <c r="D481" s="20">
        <f t="shared" ca="1" si="22"/>
        <v>5</v>
      </c>
      <c r="E481" s="20">
        <v>1</v>
      </c>
      <c r="H481" s="20">
        <f t="shared" si="23"/>
        <v>14</v>
      </c>
      <c r="M481" s="20">
        <v>480</v>
      </c>
    </row>
    <row r="482" spans="1:13" x14ac:dyDescent="0.15">
      <c r="A482" s="20">
        <f>collect!A482</f>
        <v>20</v>
      </c>
      <c r="B482" s="20">
        <f>collect!B482</f>
        <v>2002</v>
      </c>
      <c r="C482" s="20">
        <f t="shared" si="21"/>
        <v>50009</v>
      </c>
      <c r="D482" s="20">
        <f t="shared" si="22"/>
        <v>181</v>
      </c>
      <c r="E482" s="20">
        <v>1</v>
      </c>
      <c r="H482" s="20">
        <f t="shared" si="23"/>
        <v>2</v>
      </c>
      <c r="M482" s="20">
        <v>481</v>
      </c>
    </row>
    <row r="483" spans="1:13" x14ac:dyDescent="0.15">
      <c r="A483" s="20">
        <f>collect!A483</f>
        <v>20</v>
      </c>
      <c r="B483" s="20">
        <f>collect!B483</f>
        <v>2002</v>
      </c>
      <c r="C483" s="20">
        <f t="shared" ca="1" si="21"/>
        <v>50031</v>
      </c>
      <c r="D483" s="20">
        <f t="shared" ca="1" si="22"/>
        <v>181</v>
      </c>
      <c r="E483" s="20">
        <v>1</v>
      </c>
      <c r="H483" s="20">
        <f t="shared" si="23"/>
        <v>5</v>
      </c>
      <c r="M483" s="20">
        <v>482</v>
      </c>
    </row>
    <row r="484" spans="1:13" x14ac:dyDescent="0.15">
      <c r="A484" s="20">
        <f>collect!A484</f>
        <v>20</v>
      </c>
      <c r="B484" s="20">
        <f>collect!B484</f>
        <v>2002</v>
      </c>
      <c r="C484" s="20">
        <f t="shared" ca="1" si="21"/>
        <v>50023</v>
      </c>
      <c r="D484" s="20">
        <f t="shared" ca="1" si="22"/>
        <v>88</v>
      </c>
      <c r="E484" s="20">
        <v>1</v>
      </c>
      <c r="H484" s="20">
        <f t="shared" si="23"/>
        <v>8</v>
      </c>
      <c r="M484" s="20">
        <v>483</v>
      </c>
    </row>
    <row r="485" spans="1:13" x14ac:dyDescent="0.15">
      <c r="A485" s="20">
        <f>collect!A485</f>
        <v>20</v>
      </c>
      <c r="B485" s="20">
        <f>collect!B485</f>
        <v>2002</v>
      </c>
      <c r="C485" s="20">
        <f t="shared" ca="1" si="21"/>
        <v>50008</v>
      </c>
      <c r="D485" s="20">
        <f t="shared" ca="1" si="22"/>
        <v>55</v>
      </c>
      <c r="E485" s="20">
        <v>1</v>
      </c>
      <c r="H485" s="20">
        <f t="shared" si="23"/>
        <v>11</v>
      </c>
      <c r="M485" s="20">
        <v>484</v>
      </c>
    </row>
    <row r="486" spans="1:13" x14ac:dyDescent="0.15">
      <c r="A486" s="20">
        <f>collect!A486</f>
        <v>20</v>
      </c>
      <c r="B486" s="20">
        <f>collect!B486</f>
        <v>2002</v>
      </c>
      <c r="C486" s="20">
        <f t="shared" ca="1" si="21"/>
        <v>50037</v>
      </c>
      <c r="D486" s="20">
        <f t="shared" ca="1" si="22"/>
        <v>32</v>
      </c>
      <c r="E486" s="20">
        <v>1</v>
      </c>
      <c r="H486" s="20">
        <f t="shared" si="23"/>
        <v>14</v>
      </c>
      <c r="M486" s="20">
        <v>485</v>
      </c>
    </row>
    <row r="487" spans="1:13" x14ac:dyDescent="0.15">
      <c r="A487" s="20">
        <f>collect!A487</f>
        <v>20</v>
      </c>
      <c r="B487" s="20">
        <f>collect!B487</f>
        <v>2003</v>
      </c>
      <c r="C487" s="20">
        <f t="shared" si="21"/>
        <v>50013</v>
      </c>
      <c r="D487" s="20">
        <f t="shared" si="22"/>
        <v>181</v>
      </c>
      <c r="E487" s="20">
        <v>1</v>
      </c>
      <c r="H487" s="20">
        <f t="shared" si="23"/>
        <v>2</v>
      </c>
      <c r="M487" s="20">
        <v>486</v>
      </c>
    </row>
    <row r="488" spans="1:13" x14ac:dyDescent="0.15">
      <c r="A488" s="20">
        <f>collect!A488</f>
        <v>20</v>
      </c>
      <c r="B488" s="20">
        <f>collect!B488</f>
        <v>2003</v>
      </c>
      <c r="C488" s="20">
        <f t="shared" ca="1" si="21"/>
        <v>50006</v>
      </c>
      <c r="D488" s="20">
        <f t="shared" ca="1" si="22"/>
        <v>129</v>
      </c>
      <c r="E488" s="20">
        <v>1</v>
      </c>
      <c r="H488" s="20">
        <f t="shared" si="23"/>
        <v>5</v>
      </c>
      <c r="M488" s="20">
        <v>487</v>
      </c>
    </row>
    <row r="489" spans="1:13" x14ac:dyDescent="0.15">
      <c r="A489" s="20">
        <f>collect!A489</f>
        <v>20</v>
      </c>
      <c r="B489" s="20">
        <f>collect!B489</f>
        <v>2003</v>
      </c>
      <c r="C489" s="20">
        <f t="shared" ca="1" si="21"/>
        <v>50018</v>
      </c>
      <c r="D489" s="20">
        <f t="shared" ca="1" si="22"/>
        <v>88</v>
      </c>
      <c r="E489" s="20">
        <v>1</v>
      </c>
      <c r="H489" s="20">
        <f t="shared" si="23"/>
        <v>8</v>
      </c>
      <c r="M489" s="20">
        <v>488</v>
      </c>
    </row>
    <row r="490" spans="1:13" x14ac:dyDescent="0.15">
      <c r="A490" s="20">
        <f>collect!A490</f>
        <v>20</v>
      </c>
      <c r="B490" s="20">
        <f>collect!B490</f>
        <v>2003</v>
      </c>
      <c r="C490" s="20">
        <f t="shared" ca="1" si="21"/>
        <v>50038</v>
      </c>
      <c r="D490" s="20">
        <f t="shared" ca="1" si="22"/>
        <v>32</v>
      </c>
      <c r="E490" s="20">
        <v>1</v>
      </c>
      <c r="H490" s="20">
        <f t="shared" si="23"/>
        <v>11</v>
      </c>
      <c r="M490" s="20">
        <v>489</v>
      </c>
    </row>
    <row r="491" spans="1:13" x14ac:dyDescent="0.15">
      <c r="A491" s="20">
        <f>collect!A491</f>
        <v>20</v>
      </c>
      <c r="B491" s="20">
        <f>collect!B491</f>
        <v>2003</v>
      </c>
      <c r="C491" s="20">
        <f t="shared" ca="1" si="21"/>
        <v>50033</v>
      </c>
      <c r="D491" s="20">
        <f t="shared" ca="1" si="22"/>
        <v>32</v>
      </c>
      <c r="E491" s="20">
        <v>1</v>
      </c>
      <c r="H491" s="20">
        <f t="shared" si="23"/>
        <v>14</v>
      </c>
      <c r="M491" s="20">
        <v>490</v>
      </c>
    </row>
    <row r="492" spans="1:13" x14ac:dyDescent="0.15">
      <c r="A492" s="20">
        <f>collect!A492</f>
        <v>20</v>
      </c>
      <c r="B492" s="20">
        <f>collect!B492</f>
        <v>2004</v>
      </c>
      <c r="C492" s="20">
        <f t="shared" si="21"/>
        <v>50015</v>
      </c>
      <c r="D492" s="20">
        <f t="shared" si="22"/>
        <v>181</v>
      </c>
      <c r="E492" s="20">
        <v>1</v>
      </c>
      <c r="H492" s="20">
        <f t="shared" si="23"/>
        <v>2</v>
      </c>
      <c r="M492" s="20">
        <v>491</v>
      </c>
    </row>
    <row r="493" spans="1:13" x14ac:dyDescent="0.15">
      <c r="A493" s="20">
        <f>collect!A493</f>
        <v>20</v>
      </c>
      <c r="B493" s="20">
        <f>collect!B493</f>
        <v>2004</v>
      </c>
      <c r="C493" s="20">
        <f t="shared" ca="1" si="21"/>
        <v>50005</v>
      </c>
      <c r="D493" s="20">
        <f t="shared" ca="1" si="22"/>
        <v>181</v>
      </c>
      <c r="E493" s="20">
        <v>1</v>
      </c>
      <c r="H493" s="20">
        <f t="shared" si="23"/>
        <v>5</v>
      </c>
      <c r="M493" s="20">
        <v>492</v>
      </c>
    </row>
    <row r="494" spans="1:13" x14ac:dyDescent="0.15">
      <c r="A494" s="20">
        <f>collect!A494</f>
        <v>20</v>
      </c>
      <c r="B494" s="20">
        <f>collect!B494</f>
        <v>2004</v>
      </c>
      <c r="C494" s="20">
        <f t="shared" ca="1" si="21"/>
        <v>50027</v>
      </c>
      <c r="D494" s="20">
        <f t="shared" ca="1" si="22"/>
        <v>88</v>
      </c>
      <c r="E494" s="20">
        <v>1</v>
      </c>
      <c r="H494" s="20">
        <f t="shared" si="23"/>
        <v>8</v>
      </c>
      <c r="M494" s="20">
        <v>493</v>
      </c>
    </row>
    <row r="495" spans="1:13" x14ac:dyDescent="0.15">
      <c r="A495" s="20">
        <f>collect!A495</f>
        <v>20</v>
      </c>
      <c r="B495" s="20">
        <f>collect!B495</f>
        <v>2004</v>
      </c>
      <c r="C495" s="20">
        <f t="shared" ca="1" si="21"/>
        <v>50012</v>
      </c>
      <c r="D495" s="20">
        <f t="shared" ca="1" si="22"/>
        <v>55</v>
      </c>
      <c r="E495" s="20">
        <v>1</v>
      </c>
      <c r="H495" s="20">
        <f t="shared" si="23"/>
        <v>11</v>
      </c>
      <c r="M495" s="20">
        <v>494</v>
      </c>
    </row>
    <row r="496" spans="1:13" x14ac:dyDescent="0.15">
      <c r="A496" s="20">
        <f>collect!A496</f>
        <v>20</v>
      </c>
      <c r="B496" s="20">
        <f>collect!B496</f>
        <v>2004</v>
      </c>
      <c r="C496" s="20">
        <f t="shared" ca="1" si="21"/>
        <v>50017</v>
      </c>
      <c r="D496" s="20">
        <f t="shared" ca="1" si="22"/>
        <v>32</v>
      </c>
      <c r="E496" s="20">
        <v>1</v>
      </c>
      <c r="H496" s="20">
        <f t="shared" si="23"/>
        <v>14</v>
      </c>
      <c r="M496" s="20">
        <v>495</v>
      </c>
    </row>
    <row r="497" spans="1:13" x14ac:dyDescent="0.15">
      <c r="A497" s="20">
        <f>collect!A497</f>
        <v>20</v>
      </c>
      <c r="B497" s="20">
        <f>collect!B497</f>
        <v>2005</v>
      </c>
      <c r="C497" s="20">
        <f t="shared" si="21"/>
        <v>50031</v>
      </c>
      <c r="D497" s="20">
        <f t="shared" si="22"/>
        <v>181</v>
      </c>
      <c r="E497" s="20">
        <v>1</v>
      </c>
      <c r="H497" s="20">
        <f t="shared" si="23"/>
        <v>2</v>
      </c>
      <c r="M497" s="20">
        <v>496</v>
      </c>
    </row>
    <row r="498" spans="1:13" x14ac:dyDescent="0.15">
      <c r="A498" s="20">
        <f>collect!A498</f>
        <v>20</v>
      </c>
      <c r="B498" s="20">
        <f>collect!B498</f>
        <v>2005</v>
      </c>
      <c r="C498" s="20">
        <f t="shared" ca="1" si="21"/>
        <v>50035</v>
      </c>
      <c r="D498" s="20">
        <f t="shared" ca="1" si="22"/>
        <v>181</v>
      </c>
      <c r="E498" s="20">
        <v>1</v>
      </c>
      <c r="H498" s="20">
        <f t="shared" si="23"/>
        <v>5</v>
      </c>
      <c r="M498" s="20">
        <v>497</v>
      </c>
    </row>
    <row r="499" spans="1:13" x14ac:dyDescent="0.15">
      <c r="A499" s="20">
        <f>collect!A499</f>
        <v>20</v>
      </c>
      <c r="B499" s="20">
        <f>collect!B499</f>
        <v>2005</v>
      </c>
      <c r="C499" s="20">
        <f t="shared" ca="1" si="21"/>
        <v>50010</v>
      </c>
      <c r="D499" s="20">
        <f t="shared" ca="1" si="22"/>
        <v>129</v>
      </c>
      <c r="E499" s="20">
        <v>1</v>
      </c>
      <c r="H499" s="20">
        <f t="shared" si="23"/>
        <v>8</v>
      </c>
      <c r="M499" s="20">
        <v>498</v>
      </c>
    </row>
    <row r="500" spans="1:13" x14ac:dyDescent="0.15">
      <c r="A500" s="20">
        <f>collect!A500</f>
        <v>20</v>
      </c>
      <c r="B500" s="20">
        <f>collect!B500</f>
        <v>2005</v>
      </c>
      <c r="C500" s="20">
        <f t="shared" ca="1" si="21"/>
        <v>50017</v>
      </c>
      <c r="D500" s="20">
        <f t="shared" ca="1" si="22"/>
        <v>32</v>
      </c>
      <c r="E500" s="20">
        <v>1</v>
      </c>
      <c r="H500" s="20">
        <f t="shared" si="23"/>
        <v>11</v>
      </c>
      <c r="M500" s="20">
        <v>499</v>
      </c>
    </row>
    <row r="501" spans="1:13" x14ac:dyDescent="0.15">
      <c r="A501" s="20">
        <f>collect!A501</f>
        <v>20</v>
      </c>
      <c r="B501" s="20">
        <f>collect!B501</f>
        <v>2005</v>
      </c>
      <c r="C501" s="20">
        <f t="shared" ca="1" si="21"/>
        <v>50033</v>
      </c>
      <c r="D501" s="20">
        <f t="shared" ca="1" si="22"/>
        <v>32</v>
      </c>
      <c r="E501" s="20">
        <v>1</v>
      </c>
      <c r="H501" s="20">
        <f t="shared" si="23"/>
        <v>14</v>
      </c>
      <c r="M501" s="20">
        <v>500</v>
      </c>
    </row>
    <row r="502" spans="1:13" x14ac:dyDescent="0.15">
      <c r="A502" s="20">
        <f>collect!A502</f>
        <v>21</v>
      </c>
      <c r="B502" s="20">
        <f>collect!B502</f>
        <v>2101</v>
      </c>
      <c r="C502" s="20">
        <f t="shared" si="21"/>
        <v>50035</v>
      </c>
      <c r="D502" s="20">
        <f t="shared" si="22"/>
        <v>181</v>
      </c>
      <c r="E502" s="20">
        <v>1</v>
      </c>
      <c r="H502" s="20">
        <f t="shared" si="23"/>
        <v>2</v>
      </c>
      <c r="M502" s="20">
        <v>501</v>
      </c>
    </row>
    <row r="503" spans="1:13" x14ac:dyDescent="0.15">
      <c r="A503" s="20">
        <f>collect!A503</f>
        <v>21</v>
      </c>
      <c r="B503" s="20">
        <f>collect!B503</f>
        <v>2101</v>
      </c>
      <c r="C503" s="20">
        <f t="shared" ca="1" si="21"/>
        <v>50088</v>
      </c>
      <c r="D503" s="20">
        <f t="shared" ca="1" si="22"/>
        <v>129</v>
      </c>
      <c r="E503" s="20">
        <v>1</v>
      </c>
      <c r="H503" s="20">
        <f t="shared" si="23"/>
        <v>5</v>
      </c>
      <c r="M503" s="20">
        <v>502</v>
      </c>
    </row>
    <row r="504" spans="1:13" x14ac:dyDescent="0.15">
      <c r="A504" s="20">
        <f>collect!A504</f>
        <v>21</v>
      </c>
      <c r="B504" s="20">
        <f>collect!B504</f>
        <v>2101</v>
      </c>
      <c r="C504" s="20">
        <f t="shared" ca="1" si="21"/>
        <v>50023</v>
      </c>
      <c r="D504" s="20">
        <f t="shared" ca="1" si="22"/>
        <v>88</v>
      </c>
      <c r="E504" s="20">
        <v>1</v>
      </c>
      <c r="H504" s="20">
        <f t="shared" si="23"/>
        <v>8</v>
      </c>
      <c r="M504" s="20">
        <v>503</v>
      </c>
    </row>
    <row r="505" spans="1:13" x14ac:dyDescent="0.15">
      <c r="A505" s="20">
        <f>collect!A505</f>
        <v>21</v>
      </c>
      <c r="B505" s="20">
        <f>collect!B505</f>
        <v>2101</v>
      </c>
      <c r="C505" s="20">
        <f t="shared" ca="1" si="21"/>
        <v>50017</v>
      </c>
      <c r="D505" s="20">
        <f t="shared" ca="1" si="22"/>
        <v>32</v>
      </c>
      <c r="E505" s="20">
        <v>1</v>
      </c>
      <c r="H505" s="20">
        <f t="shared" si="23"/>
        <v>11</v>
      </c>
      <c r="M505" s="20">
        <v>504</v>
      </c>
    </row>
    <row r="506" spans="1:13" x14ac:dyDescent="0.15">
      <c r="A506" s="20">
        <f>collect!A506</f>
        <v>21</v>
      </c>
      <c r="B506" s="20">
        <f>collect!B506</f>
        <v>2101</v>
      </c>
      <c r="C506" s="20">
        <f t="shared" ca="1" si="21"/>
        <v>50039</v>
      </c>
      <c r="D506" s="20">
        <f t="shared" ca="1" si="22"/>
        <v>32</v>
      </c>
      <c r="E506" s="20">
        <v>1</v>
      </c>
      <c r="H506" s="20">
        <f t="shared" si="23"/>
        <v>14</v>
      </c>
      <c r="M506" s="20">
        <v>505</v>
      </c>
    </row>
    <row r="507" spans="1:13" x14ac:dyDescent="0.15">
      <c r="A507" s="20">
        <f>collect!A507</f>
        <v>21</v>
      </c>
      <c r="B507" s="20">
        <f>collect!B507</f>
        <v>2102</v>
      </c>
      <c r="C507" s="20">
        <f t="shared" si="21"/>
        <v>50002</v>
      </c>
      <c r="D507" s="20">
        <f t="shared" si="22"/>
        <v>129</v>
      </c>
      <c r="E507" s="20">
        <v>1</v>
      </c>
      <c r="H507" s="20">
        <f t="shared" si="23"/>
        <v>2</v>
      </c>
      <c r="M507" s="20">
        <v>506</v>
      </c>
    </row>
    <row r="508" spans="1:13" x14ac:dyDescent="0.15">
      <c r="A508" s="20">
        <f>collect!A508</f>
        <v>21</v>
      </c>
      <c r="B508" s="20">
        <f>collect!B508</f>
        <v>2102</v>
      </c>
      <c r="C508" s="20">
        <f t="shared" ca="1" si="21"/>
        <v>50006</v>
      </c>
      <c r="D508" s="20">
        <f t="shared" ca="1" si="22"/>
        <v>129</v>
      </c>
      <c r="E508" s="20">
        <v>1</v>
      </c>
      <c r="H508" s="20">
        <f t="shared" si="23"/>
        <v>5</v>
      </c>
      <c r="M508" s="20">
        <v>507</v>
      </c>
    </row>
    <row r="509" spans="1:13" x14ac:dyDescent="0.15">
      <c r="A509" s="20">
        <f>collect!A509</f>
        <v>21</v>
      </c>
      <c r="B509" s="20">
        <f>collect!B509</f>
        <v>2102</v>
      </c>
      <c r="C509" s="20">
        <f t="shared" ca="1" si="21"/>
        <v>50010</v>
      </c>
      <c r="D509" s="20">
        <f t="shared" ca="1" si="22"/>
        <v>129</v>
      </c>
      <c r="E509" s="20">
        <v>1</v>
      </c>
      <c r="H509" s="20">
        <f t="shared" si="23"/>
        <v>8</v>
      </c>
      <c r="M509" s="20">
        <v>508</v>
      </c>
    </row>
    <row r="510" spans="1:13" x14ac:dyDescent="0.15">
      <c r="A510" s="20">
        <f>collect!A510</f>
        <v>21</v>
      </c>
      <c r="B510" s="20">
        <f>collect!B510</f>
        <v>2102</v>
      </c>
      <c r="C510" s="20">
        <f t="shared" ca="1" si="21"/>
        <v>50040</v>
      </c>
      <c r="D510" s="20">
        <f t="shared" ca="1" si="22"/>
        <v>32</v>
      </c>
      <c r="E510" s="20">
        <v>1</v>
      </c>
      <c r="H510" s="20">
        <f t="shared" si="23"/>
        <v>11</v>
      </c>
      <c r="M510" s="20">
        <v>509</v>
      </c>
    </row>
    <row r="511" spans="1:13" x14ac:dyDescent="0.15">
      <c r="A511" s="20">
        <f>collect!A511</f>
        <v>21</v>
      </c>
      <c r="B511" s="20">
        <f>collect!B511</f>
        <v>2102</v>
      </c>
      <c r="C511" s="20">
        <f t="shared" ca="1" si="21"/>
        <v>50040</v>
      </c>
      <c r="D511" s="20">
        <f t="shared" ca="1" si="22"/>
        <v>32</v>
      </c>
      <c r="E511" s="20">
        <v>1</v>
      </c>
      <c r="H511" s="20">
        <f t="shared" si="23"/>
        <v>14</v>
      </c>
      <c r="M511" s="20">
        <v>510</v>
      </c>
    </row>
    <row r="512" spans="1:13" x14ac:dyDescent="0.15">
      <c r="A512" s="20">
        <f>collect!A512</f>
        <v>21</v>
      </c>
      <c r="B512" s="20">
        <f>collect!B512</f>
        <v>2103</v>
      </c>
      <c r="C512" s="20">
        <f t="shared" si="21"/>
        <v>50006</v>
      </c>
      <c r="D512" s="20">
        <f t="shared" si="22"/>
        <v>129</v>
      </c>
      <c r="E512" s="20">
        <v>1</v>
      </c>
      <c r="H512" s="20">
        <f t="shared" si="23"/>
        <v>2</v>
      </c>
      <c r="M512" s="20">
        <v>511</v>
      </c>
    </row>
    <row r="513" spans="1:13" x14ac:dyDescent="0.15">
      <c r="A513" s="20">
        <f>collect!A513</f>
        <v>21</v>
      </c>
      <c r="B513" s="20">
        <f>collect!B513</f>
        <v>2103</v>
      </c>
      <c r="C513" s="20">
        <f t="shared" ca="1" si="21"/>
        <v>50005</v>
      </c>
      <c r="D513" s="20">
        <f t="shared" ca="1" si="22"/>
        <v>181</v>
      </c>
      <c r="E513" s="20">
        <v>1</v>
      </c>
      <c r="H513" s="20">
        <f t="shared" si="23"/>
        <v>5</v>
      </c>
      <c r="M513" s="20">
        <v>512</v>
      </c>
    </row>
    <row r="514" spans="1:13" x14ac:dyDescent="0.15">
      <c r="A514" s="20">
        <f>collect!A514</f>
        <v>21</v>
      </c>
      <c r="B514" s="20">
        <f>collect!B514</f>
        <v>2103</v>
      </c>
      <c r="C514" s="20">
        <f t="shared" ref="C514:C577" ca="1" si="24">VLOOKUP(B514,plan2,H514,FALSE)</f>
        <v>50087</v>
      </c>
      <c r="D514" s="20">
        <f t="shared" ref="D514:D577" ca="1" si="25">VLOOKUP(C514,marking,9,FALSE)</f>
        <v>129</v>
      </c>
      <c r="E514" s="20">
        <v>1</v>
      </c>
      <c r="H514" s="20">
        <f t="shared" si="23"/>
        <v>8</v>
      </c>
      <c r="M514" s="20">
        <v>513</v>
      </c>
    </row>
    <row r="515" spans="1:13" x14ac:dyDescent="0.15">
      <c r="A515" s="20">
        <f>collect!A515</f>
        <v>21</v>
      </c>
      <c r="B515" s="20">
        <f>collect!B515</f>
        <v>2103</v>
      </c>
      <c r="C515" s="20">
        <f t="shared" ca="1" si="24"/>
        <v>50037</v>
      </c>
      <c r="D515" s="20">
        <f t="shared" ca="1" si="25"/>
        <v>32</v>
      </c>
      <c r="E515" s="20">
        <v>1</v>
      </c>
      <c r="H515" s="20">
        <f t="shared" si="23"/>
        <v>11</v>
      </c>
      <c r="M515" s="20">
        <v>514</v>
      </c>
    </row>
    <row r="516" spans="1:13" x14ac:dyDescent="0.15">
      <c r="A516" s="20">
        <f>collect!A516</f>
        <v>21</v>
      </c>
      <c r="B516" s="20">
        <f>collect!B516</f>
        <v>2103</v>
      </c>
      <c r="C516" s="20">
        <f t="shared" ca="1" si="24"/>
        <v>50039</v>
      </c>
      <c r="D516" s="20">
        <f t="shared" ca="1" si="25"/>
        <v>32</v>
      </c>
      <c r="E516" s="20">
        <v>1</v>
      </c>
      <c r="H516" s="20">
        <f t="shared" si="23"/>
        <v>14</v>
      </c>
      <c r="M516" s="20">
        <v>515</v>
      </c>
    </row>
    <row r="517" spans="1:13" x14ac:dyDescent="0.15">
      <c r="A517" s="20">
        <f>collect!A517</f>
        <v>21</v>
      </c>
      <c r="B517" s="20">
        <f>collect!B517</f>
        <v>2104</v>
      </c>
      <c r="C517" s="20">
        <f t="shared" si="24"/>
        <v>50010</v>
      </c>
      <c r="D517" s="20">
        <f t="shared" si="25"/>
        <v>129</v>
      </c>
      <c r="E517" s="20">
        <v>1</v>
      </c>
      <c r="H517" s="20">
        <f t="shared" si="23"/>
        <v>2</v>
      </c>
      <c r="M517" s="20">
        <v>516</v>
      </c>
    </row>
    <row r="518" spans="1:13" x14ac:dyDescent="0.15">
      <c r="A518" s="20">
        <f>collect!A518</f>
        <v>21</v>
      </c>
      <c r="B518" s="20">
        <f>collect!B518</f>
        <v>2104</v>
      </c>
      <c r="C518" s="20">
        <f t="shared" ca="1" si="24"/>
        <v>50087</v>
      </c>
      <c r="D518" s="20">
        <f t="shared" ca="1" si="25"/>
        <v>129</v>
      </c>
      <c r="E518" s="20">
        <v>1</v>
      </c>
      <c r="H518" s="20">
        <f t="shared" si="23"/>
        <v>5</v>
      </c>
      <c r="M518" s="20">
        <v>517</v>
      </c>
    </row>
    <row r="519" spans="1:13" x14ac:dyDescent="0.15">
      <c r="A519" s="20">
        <f>collect!A519</f>
        <v>21</v>
      </c>
      <c r="B519" s="20">
        <f>collect!B519</f>
        <v>2104</v>
      </c>
      <c r="C519" s="20">
        <f t="shared" ca="1" si="24"/>
        <v>50174</v>
      </c>
      <c r="D519" s="20">
        <f t="shared" ca="1" si="25"/>
        <v>88</v>
      </c>
      <c r="E519" s="20">
        <v>1</v>
      </c>
      <c r="H519" s="20">
        <f t="shared" si="23"/>
        <v>8</v>
      </c>
      <c r="M519" s="20">
        <v>518</v>
      </c>
    </row>
    <row r="520" spans="1:13" x14ac:dyDescent="0.15">
      <c r="A520" s="20">
        <f>collect!A520</f>
        <v>21</v>
      </c>
      <c r="B520" s="20">
        <f>collect!B520</f>
        <v>2104</v>
      </c>
      <c r="C520" s="20">
        <f t="shared" ca="1" si="24"/>
        <v>50012</v>
      </c>
      <c r="D520" s="20">
        <f t="shared" ca="1" si="25"/>
        <v>55</v>
      </c>
      <c r="E520" s="20">
        <v>1</v>
      </c>
      <c r="H520" s="20">
        <f t="shared" ref="H520:H583" si="26">H515</f>
        <v>11</v>
      </c>
      <c r="M520" s="20">
        <v>519</v>
      </c>
    </row>
    <row r="521" spans="1:13" x14ac:dyDescent="0.15">
      <c r="A521" s="20">
        <f>collect!A521</f>
        <v>21</v>
      </c>
      <c r="B521" s="20">
        <f>collect!B521</f>
        <v>2104</v>
      </c>
      <c r="C521" s="20">
        <f t="shared" ca="1" si="24"/>
        <v>50038</v>
      </c>
      <c r="D521" s="20">
        <f t="shared" ca="1" si="25"/>
        <v>32</v>
      </c>
      <c r="E521" s="20">
        <v>1</v>
      </c>
      <c r="H521" s="20">
        <f t="shared" si="26"/>
        <v>14</v>
      </c>
      <c r="M521" s="20">
        <v>520</v>
      </c>
    </row>
    <row r="522" spans="1:13" x14ac:dyDescent="0.15">
      <c r="A522" s="20">
        <f>collect!A522</f>
        <v>21</v>
      </c>
      <c r="B522" s="20">
        <f>collect!B522</f>
        <v>2105</v>
      </c>
      <c r="C522" s="20">
        <f t="shared" si="24"/>
        <v>50087</v>
      </c>
      <c r="D522" s="20">
        <f t="shared" si="25"/>
        <v>129</v>
      </c>
      <c r="E522" s="20">
        <v>1</v>
      </c>
      <c r="H522" s="20">
        <f t="shared" si="26"/>
        <v>2</v>
      </c>
      <c r="M522" s="20">
        <v>521</v>
      </c>
    </row>
    <row r="523" spans="1:13" x14ac:dyDescent="0.15">
      <c r="A523" s="20">
        <f>collect!A523</f>
        <v>21</v>
      </c>
      <c r="B523" s="20">
        <f>collect!B523</f>
        <v>2105</v>
      </c>
      <c r="C523" s="20">
        <f t="shared" ca="1" si="24"/>
        <v>50010</v>
      </c>
      <c r="D523" s="20">
        <f t="shared" ca="1" si="25"/>
        <v>129</v>
      </c>
      <c r="E523" s="20">
        <v>1</v>
      </c>
      <c r="H523" s="20">
        <f t="shared" si="26"/>
        <v>5</v>
      </c>
      <c r="M523" s="20">
        <v>522</v>
      </c>
    </row>
    <row r="524" spans="1:13" x14ac:dyDescent="0.15">
      <c r="A524" s="20">
        <f>collect!A524</f>
        <v>21</v>
      </c>
      <c r="B524" s="20">
        <f>collect!B524</f>
        <v>2105</v>
      </c>
      <c r="C524" s="20">
        <f t="shared" ca="1" si="24"/>
        <v>50022</v>
      </c>
      <c r="D524" s="20">
        <f t="shared" ca="1" si="25"/>
        <v>88</v>
      </c>
      <c r="E524" s="20">
        <v>1</v>
      </c>
      <c r="H524" s="20">
        <f t="shared" si="26"/>
        <v>8</v>
      </c>
      <c r="M524" s="20">
        <v>523</v>
      </c>
    </row>
    <row r="525" spans="1:13" x14ac:dyDescent="0.15">
      <c r="A525" s="20">
        <f>collect!A525</f>
        <v>21</v>
      </c>
      <c r="B525" s="20">
        <f>collect!B525</f>
        <v>2105</v>
      </c>
      <c r="C525" s="20">
        <f t="shared" ca="1" si="24"/>
        <v>50012</v>
      </c>
      <c r="D525" s="20">
        <f t="shared" ca="1" si="25"/>
        <v>55</v>
      </c>
      <c r="E525" s="20">
        <v>1</v>
      </c>
      <c r="H525" s="20">
        <f t="shared" si="26"/>
        <v>11</v>
      </c>
      <c r="M525" s="20">
        <v>524</v>
      </c>
    </row>
    <row r="526" spans="1:13" x14ac:dyDescent="0.15">
      <c r="A526" s="20">
        <f>collect!A526</f>
        <v>21</v>
      </c>
      <c r="B526" s="20">
        <f>collect!B526</f>
        <v>2105</v>
      </c>
      <c r="C526" s="20">
        <f t="shared" ca="1" si="24"/>
        <v>50034</v>
      </c>
      <c r="D526" s="20">
        <f t="shared" ca="1" si="25"/>
        <v>5</v>
      </c>
      <c r="E526" s="20">
        <v>1</v>
      </c>
      <c r="H526" s="20">
        <f t="shared" si="26"/>
        <v>14</v>
      </c>
      <c r="M526" s="20">
        <v>525</v>
      </c>
    </row>
    <row r="527" spans="1:13" x14ac:dyDescent="0.15">
      <c r="A527" s="20">
        <f>collect!A527</f>
        <v>22</v>
      </c>
      <c r="B527" s="20">
        <f>collect!B527</f>
        <v>2201</v>
      </c>
      <c r="C527" s="20">
        <f t="shared" si="24"/>
        <v>50088</v>
      </c>
      <c r="D527" s="20">
        <f t="shared" si="25"/>
        <v>129</v>
      </c>
      <c r="E527" s="20">
        <v>1</v>
      </c>
      <c r="H527" s="20">
        <f t="shared" si="26"/>
        <v>2</v>
      </c>
      <c r="M527" s="20">
        <v>526</v>
      </c>
    </row>
    <row r="528" spans="1:13" x14ac:dyDescent="0.15">
      <c r="A528" s="20">
        <f>collect!A528</f>
        <v>22</v>
      </c>
      <c r="B528" s="20">
        <f>collect!B528</f>
        <v>2201</v>
      </c>
      <c r="C528" s="20">
        <f t="shared" ca="1" si="24"/>
        <v>50088</v>
      </c>
      <c r="D528" s="20">
        <f t="shared" ca="1" si="25"/>
        <v>129</v>
      </c>
      <c r="E528" s="20">
        <v>1</v>
      </c>
      <c r="H528" s="20">
        <f t="shared" si="26"/>
        <v>5</v>
      </c>
      <c r="M528" s="20">
        <v>527</v>
      </c>
    </row>
    <row r="529" spans="1:13" x14ac:dyDescent="0.15">
      <c r="A529" s="20">
        <f>collect!A529</f>
        <v>22</v>
      </c>
      <c r="B529" s="20">
        <f>collect!B529</f>
        <v>2201</v>
      </c>
      <c r="C529" s="20">
        <f t="shared" ca="1" si="24"/>
        <v>50029</v>
      </c>
      <c r="D529" s="20">
        <f t="shared" ca="1" si="25"/>
        <v>88</v>
      </c>
      <c r="E529" s="20">
        <v>1</v>
      </c>
      <c r="H529" s="20">
        <f t="shared" si="26"/>
        <v>8</v>
      </c>
      <c r="M529" s="20">
        <v>528</v>
      </c>
    </row>
    <row r="530" spans="1:13" x14ac:dyDescent="0.15">
      <c r="A530" s="20">
        <f>collect!A530</f>
        <v>22</v>
      </c>
      <c r="B530" s="20">
        <f>collect!B530</f>
        <v>2201</v>
      </c>
      <c r="C530" s="20">
        <f t="shared" ca="1" si="24"/>
        <v>50040</v>
      </c>
      <c r="D530" s="20">
        <f t="shared" ca="1" si="25"/>
        <v>32</v>
      </c>
      <c r="E530" s="20">
        <v>1</v>
      </c>
      <c r="H530" s="20">
        <f t="shared" si="26"/>
        <v>11</v>
      </c>
      <c r="M530" s="20">
        <v>529</v>
      </c>
    </row>
    <row r="531" spans="1:13" x14ac:dyDescent="0.15">
      <c r="A531" s="20">
        <f>collect!A531</f>
        <v>22</v>
      </c>
      <c r="B531" s="20">
        <f>collect!B531</f>
        <v>2201</v>
      </c>
      <c r="C531" s="20">
        <f t="shared" ca="1" si="24"/>
        <v>50037</v>
      </c>
      <c r="D531" s="20">
        <f t="shared" ca="1" si="25"/>
        <v>32</v>
      </c>
      <c r="E531" s="20">
        <v>1</v>
      </c>
      <c r="H531" s="20">
        <f t="shared" si="26"/>
        <v>14</v>
      </c>
      <c r="M531" s="20">
        <v>530</v>
      </c>
    </row>
    <row r="532" spans="1:13" x14ac:dyDescent="0.15">
      <c r="A532" s="20">
        <f>collect!A532</f>
        <v>22</v>
      </c>
      <c r="B532" s="20">
        <f>collect!B532</f>
        <v>2202</v>
      </c>
      <c r="C532" s="20">
        <f t="shared" si="24"/>
        <v>50003</v>
      </c>
      <c r="D532" s="20">
        <f t="shared" si="25"/>
        <v>88</v>
      </c>
      <c r="E532" s="20">
        <v>1</v>
      </c>
      <c r="H532" s="20">
        <f t="shared" si="26"/>
        <v>2</v>
      </c>
      <c r="M532" s="20">
        <v>531</v>
      </c>
    </row>
    <row r="533" spans="1:13" x14ac:dyDescent="0.15">
      <c r="A533" s="20">
        <f>collect!A533</f>
        <v>22</v>
      </c>
      <c r="B533" s="20">
        <f>collect!B533</f>
        <v>2202</v>
      </c>
      <c r="C533" s="20">
        <f t="shared" ca="1" si="24"/>
        <v>50002</v>
      </c>
      <c r="D533" s="20">
        <f t="shared" ca="1" si="25"/>
        <v>129</v>
      </c>
      <c r="E533" s="20">
        <v>1</v>
      </c>
      <c r="H533" s="20">
        <f t="shared" si="26"/>
        <v>5</v>
      </c>
      <c r="M533" s="20">
        <v>532</v>
      </c>
    </row>
    <row r="534" spans="1:13" x14ac:dyDescent="0.15">
      <c r="A534" s="20">
        <f>collect!A534</f>
        <v>22</v>
      </c>
      <c r="B534" s="20">
        <f>collect!B534</f>
        <v>2202</v>
      </c>
      <c r="C534" s="20">
        <f t="shared" ca="1" si="24"/>
        <v>50003</v>
      </c>
      <c r="D534" s="20">
        <f t="shared" ca="1" si="25"/>
        <v>88</v>
      </c>
      <c r="E534" s="20">
        <v>1</v>
      </c>
      <c r="H534" s="20">
        <f t="shared" si="26"/>
        <v>8</v>
      </c>
      <c r="M534" s="20">
        <v>533</v>
      </c>
    </row>
    <row r="535" spans="1:13" x14ac:dyDescent="0.15">
      <c r="A535" s="20">
        <f>collect!A535</f>
        <v>22</v>
      </c>
      <c r="B535" s="20">
        <f>collect!B535</f>
        <v>2202</v>
      </c>
      <c r="C535" s="20">
        <f t="shared" ca="1" si="24"/>
        <v>50040</v>
      </c>
      <c r="D535" s="20">
        <f t="shared" ca="1" si="25"/>
        <v>32</v>
      </c>
      <c r="E535" s="20">
        <v>1</v>
      </c>
      <c r="H535" s="20">
        <f t="shared" si="26"/>
        <v>11</v>
      </c>
      <c r="M535" s="20">
        <v>534</v>
      </c>
    </row>
    <row r="536" spans="1:13" x14ac:dyDescent="0.15">
      <c r="A536" s="20">
        <f>collect!A536</f>
        <v>22</v>
      </c>
      <c r="B536" s="20">
        <f>collect!B536</f>
        <v>2202</v>
      </c>
      <c r="C536" s="20">
        <f t="shared" ca="1" si="24"/>
        <v>50038</v>
      </c>
      <c r="D536" s="20">
        <f t="shared" ca="1" si="25"/>
        <v>32</v>
      </c>
      <c r="E536" s="20">
        <v>1</v>
      </c>
      <c r="H536" s="20">
        <f t="shared" si="26"/>
        <v>14</v>
      </c>
      <c r="M536" s="20">
        <v>535</v>
      </c>
    </row>
    <row r="537" spans="1:13" x14ac:dyDescent="0.15">
      <c r="A537" s="20">
        <f>collect!A537</f>
        <v>22</v>
      </c>
      <c r="B537" s="20">
        <f>collect!B537</f>
        <v>2203</v>
      </c>
      <c r="C537" s="20">
        <f t="shared" si="24"/>
        <v>50007</v>
      </c>
      <c r="D537" s="20">
        <f t="shared" si="25"/>
        <v>88</v>
      </c>
      <c r="E537" s="20">
        <v>1</v>
      </c>
      <c r="H537" s="20">
        <f t="shared" si="26"/>
        <v>2</v>
      </c>
      <c r="M537" s="20">
        <v>536</v>
      </c>
    </row>
    <row r="538" spans="1:13" x14ac:dyDescent="0.15">
      <c r="A538" s="20">
        <f>collect!A538</f>
        <v>22</v>
      </c>
      <c r="B538" s="20">
        <f>collect!B538</f>
        <v>2203</v>
      </c>
      <c r="C538" s="20">
        <f t="shared" ca="1" si="24"/>
        <v>50015</v>
      </c>
      <c r="D538" s="20">
        <f t="shared" ca="1" si="25"/>
        <v>181</v>
      </c>
      <c r="E538" s="20">
        <v>1</v>
      </c>
      <c r="H538" s="20">
        <f t="shared" si="26"/>
        <v>5</v>
      </c>
      <c r="M538" s="20">
        <v>537</v>
      </c>
    </row>
    <row r="539" spans="1:13" x14ac:dyDescent="0.15">
      <c r="A539" s="20">
        <f>collect!A539</f>
        <v>22</v>
      </c>
      <c r="B539" s="20">
        <f>collect!B539</f>
        <v>2203</v>
      </c>
      <c r="C539" s="20">
        <f t="shared" ca="1" si="24"/>
        <v>50002</v>
      </c>
      <c r="D539" s="20">
        <f t="shared" ca="1" si="25"/>
        <v>129</v>
      </c>
      <c r="E539" s="20">
        <v>1</v>
      </c>
      <c r="H539" s="20">
        <f t="shared" si="26"/>
        <v>8</v>
      </c>
      <c r="M539" s="20">
        <v>538</v>
      </c>
    </row>
    <row r="540" spans="1:13" x14ac:dyDescent="0.15">
      <c r="A540" s="20">
        <f>collect!A540</f>
        <v>22</v>
      </c>
      <c r="B540" s="20">
        <f>collect!B540</f>
        <v>2203</v>
      </c>
      <c r="C540" s="20">
        <f t="shared" ca="1" si="24"/>
        <v>50037</v>
      </c>
      <c r="D540" s="20">
        <f t="shared" ca="1" si="25"/>
        <v>32</v>
      </c>
      <c r="E540" s="20">
        <v>1</v>
      </c>
      <c r="H540" s="20">
        <f t="shared" si="26"/>
        <v>11</v>
      </c>
      <c r="M540" s="20">
        <v>539</v>
      </c>
    </row>
    <row r="541" spans="1:13" x14ac:dyDescent="0.15">
      <c r="A541" s="20">
        <f>collect!A541</f>
        <v>22</v>
      </c>
      <c r="B541" s="20">
        <f>collect!B541</f>
        <v>2203</v>
      </c>
      <c r="C541" s="20">
        <f t="shared" ca="1" si="24"/>
        <v>50039</v>
      </c>
      <c r="D541" s="20">
        <f t="shared" ca="1" si="25"/>
        <v>32</v>
      </c>
      <c r="E541" s="20">
        <v>1</v>
      </c>
      <c r="H541" s="20">
        <f t="shared" si="26"/>
        <v>14</v>
      </c>
      <c r="M541" s="20">
        <v>540</v>
      </c>
    </row>
    <row r="542" spans="1:13" x14ac:dyDescent="0.15">
      <c r="A542" s="20">
        <f>collect!A542</f>
        <v>22</v>
      </c>
      <c r="B542" s="20">
        <f>collect!B542</f>
        <v>2204</v>
      </c>
      <c r="C542" s="20">
        <f t="shared" si="24"/>
        <v>50011</v>
      </c>
      <c r="D542" s="20">
        <f t="shared" si="25"/>
        <v>88</v>
      </c>
      <c r="E542" s="20">
        <v>1</v>
      </c>
      <c r="H542" s="20">
        <f t="shared" si="26"/>
        <v>2</v>
      </c>
      <c r="M542" s="20">
        <v>541</v>
      </c>
    </row>
    <row r="543" spans="1:13" x14ac:dyDescent="0.15">
      <c r="A543" s="20">
        <f>collect!A543</f>
        <v>22</v>
      </c>
      <c r="B543" s="20">
        <f>collect!B543</f>
        <v>2204</v>
      </c>
      <c r="C543" s="20">
        <f t="shared" ca="1" si="24"/>
        <v>50001</v>
      </c>
      <c r="D543" s="20">
        <f t="shared" ca="1" si="25"/>
        <v>181</v>
      </c>
      <c r="E543" s="20">
        <v>1</v>
      </c>
      <c r="H543" s="20">
        <f t="shared" si="26"/>
        <v>5</v>
      </c>
      <c r="M543" s="20">
        <v>542</v>
      </c>
    </row>
    <row r="544" spans="1:13" x14ac:dyDescent="0.15">
      <c r="A544" s="20">
        <f>collect!A544</f>
        <v>22</v>
      </c>
      <c r="B544" s="20">
        <f>collect!B544</f>
        <v>2204</v>
      </c>
      <c r="C544" s="20">
        <f t="shared" ca="1" si="24"/>
        <v>50088</v>
      </c>
      <c r="D544" s="20">
        <f t="shared" ca="1" si="25"/>
        <v>129</v>
      </c>
      <c r="E544" s="20">
        <v>1</v>
      </c>
      <c r="H544" s="20">
        <f t="shared" si="26"/>
        <v>8</v>
      </c>
      <c r="M544" s="20">
        <v>543</v>
      </c>
    </row>
    <row r="545" spans="1:13" x14ac:dyDescent="0.15">
      <c r="A545" s="20">
        <f>collect!A545</f>
        <v>22</v>
      </c>
      <c r="B545" s="20">
        <f>collect!B545</f>
        <v>2204</v>
      </c>
      <c r="C545" s="20">
        <f t="shared" ca="1" si="24"/>
        <v>50017</v>
      </c>
      <c r="D545" s="20">
        <f t="shared" ca="1" si="25"/>
        <v>32</v>
      </c>
      <c r="E545" s="20">
        <v>1</v>
      </c>
      <c r="H545" s="20">
        <f t="shared" si="26"/>
        <v>11</v>
      </c>
      <c r="M545" s="20">
        <v>544</v>
      </c>
    </row>
    <row r="546" spans="1:13" x14ac:dyDescent="0.15">
      <c r="A546" s="20">
        <f>collect!A546</f>
        <v>22</v>
      </c>
      <c r="B546" s="20">
        <f>collect!B546</f>
        <v>2204</v>
      </c>
      <c r="C546" s="20">
        <f t="shared" ca="1" si="24"/>
        <v>50033</v>
      </c>
      <c r="D546" s="20">
        <f t="shared" ca="1" si="25"/>
        <v>32</v>
      </c>
      <c r="E546" s="20">
        <v>1</v>
      </c>
      <c r="H546" s="20">
        <f t="shared" si="26"/>
        <v>14</v>
      </c>
      <c r="M546" s="20">
        <v>545</v>
      </c>
    </row>
    <row r="547" spans="1:13" x14ac:dyDescent="0.15">
      <c r="A547" s="20">
        <f>collect!A547</f>
        <v>22</v>
      </c>
      <c r="B547" s="20">
        <f>collect!B547</f>
        <v>2205</v>
      </c>
      <c r="C547" s="20">
        <f t="shared" si="24"/>
        <v>50014</v>
      </c>
      <c r="D547" s="20">
        <f t="shared" si="25"/>
        <v>88</v>
      </c>
      <c r="E547" s="20">
        <v>1</v>
      </c>
      <c r="H547" s="20">
        <f t="shared" si="26"/>
        <v>2</v>
      </c>
      <c r="M547" s="20">
        <v>546</v>
      </c>
    </row>
    <row r="548" spans="1:13" x14ac:dyDescent="0.15">
      <c r="A548" s="20">
        <f>collect!A548</f>
        <v>22</v>
      </c>
      <c r="B548" s="20">
        <f>collect!B548</f>
        <v>2205</v>
      </c>
      <c r="C548" s="20">
        <f t="shared" ca="1" si="24"/>
        <v>50015</v>
      </c>
      <c r="D548" s="20">
        <f t="shared" ca="1" si="25"/>
        <v>181</v>
      </c>
      <c r="E548" s="20">
        <v>1</v>
      </c>
      <c r="H548" s="20">
        <f t="shared" si="26"/>
        <v>5</v>
      </c>
      <c r="M548" s="20">
        <v>547</v>
      </c>
    </row>
    <row r="549" spans="1:13" x14ac:dyDescent="0.15">
      <c r="A549" s="20">
        <f>collect!A549</f>
        <v>22</v>
      </c>
      <c r="B549" s="20">
        <f>collect!B549</f>
        <v>2205</v>
      </c>
      <c r="C549" s="20">
        <f t="shared" ca="1" si="24"/>
        <v>50030</v>
      </c>
      <c r="D549" s="20">
        <f t="shared" ca="1" si="25"/>
        <v>88</v>
      </c>
      <c r="E549" s="20">
        <v>1</v>
      </c>
      <c r="H549" s="20">
        <f t="shared" si="26"/>
        <v>8</v>
      </c>
      <c r="M549" s="20">
        <v>548</v>
      </c>
    </row>
    <row r="550" spans="1:13" x14ac:dyDescent="0.15">
      <c r="A550" s="20">
        <f>collect!A550</f>
        <v>22</v>
      </c>
      <c r="B550" s="20">
        <f>collect!B550</f>
        <v>2205</v>
      </c>
      <c r="C550" s="20">
        <f t="shared" ca="1" si="24"/>
        <v>50033</v>
      </c>
      <c r="D550" s="20">
        <f t="shared" ca="1" si="25"/>
        <v>32</v>
      </c>
      <c r="E550" s="20">
        <v>1</v>
      </c>
      <c r="H550" s="20">
        <f t="shared" si="26"/>
        <v>11</v>
      </c>
      <c r="M550" s="20">
        <v>549</v>
      </c>
    </row>
    <row r="551" spans="1:13" x14ac:dyDescent="0.15">
      <c r="A551" s="20">
        <f>collect!A551</f>
        <v>22</v>
      </c>
      <c r="B551" s="20">
        <f>collect!B551</f>
        <v>2205</v>
      </c>
      <c r="C551" s="20">
        <f t="shared" ca="1" si="24"/>
        <v>50039</v>
      </c>
      <c r="D551" s="20">
        <f t="shared" ca="1" si="25"/>
        <v>32</v>
      </c>
      <c r="E551" s="20">
        <v>1</v>
      </c>
      <c r="H551" s="20">
        <f t="shared" si="26"/>
        <v>14</v>
      </c>
      <c r="M551" s="20">
        <v>550</v>
      </c>
    </row>
    <row r="552" spans="1:13" x14ac:dyDescent="0.15">
      <c r="A552" s="20">
        <f>collect!A552</f>
        <v>23</v>
      </c>
      <c r="B552" s="20">
        <f>collect!B552</f>
        <v>2301</v>
      </c>
      <c r="C552" s="20">
        <f t="shared" si="24"/>
        <v>50016</v>
      </c>
      <c r="D552" s="20">
        <f t="shared" si="25"/>
        <v>88</v>
      </c>
      <c r="E552" s="20">
        <v>1</v>
      </c>
      <c r="H552" s="20">
        <f t="shared" si="26"/>
        <v>2</v>
      </c>
      <c r="M552" s="20">
        <v>551</v>
      </c>
    </row>
    <row r="553" spans="1:13" x14ac:dyDescent="0.15">
      <c r="A553" s="20">
        <f>collect!A553</f>
        <v>23</v>
      </c>
      <c r="B553" s="20">
        <f>collect!B553</f>
        <v>2301</v>
      </c>
      <c r="C553" s="20">
        <f t="shared" ca="1" si="24"/>
        <v>50001</v>
      </c>
      <c r="D553" s="20">
        <f t="shared" ca="1" si="25"/>
        <v>181</v>
      </c>
      <c r="E553" s="20">
        <v>1</v>
      </c>
      <c r="H553" s="20">
        <f t="shared" si="26"/>
        <v>5</v>
      </c>
      <c r="M553" s="20">
        <v>552</v>
      </c>
    </row>
    <row r="554" spans="1:13" x14ac:dyDescent="0.15">
      <c r="A554" s="20">
        <f>collect!A554</f>
        <v>23</v>
      </c>
      <c r="B554" s="20">
        <f>collect!B554</f>
        <v>2301</v>
      </c>
      <c r="C554" s="20">
        <f t="shared" ca="1" si="24"/>
        <v>50020</v>
      </c>
      <c r="D554" s="20">
        <f t="shared" ca="1" si="25"/>
        <v>88</v>
      </c>
      <c r="E554" s="20">
        <v>1</v>
      </c>
      <c r="H554" s="20">
        <f t="shared" si="26"/>
        <v>8</v>
      </c>
      <c r="M554" s="20">
        <v>553</v>
      </c>
    </row>
    <row r="555" spans="1:13" x14ac:dyDescent="0.15">
      <c r="A555" s="20">
        <f>collect!A555</f>
        <v>23</v>
      </c>
      <c r="B555" s="20">
        <f>collect!B555</f>
        <v>2301</v>
      </c>
      <c r="C555" s="20">
        <f t="shared" ca="1" si="24"/>
        <v>50037</v>
      </c>
      <c r="D555" s="20">
        <f t="shared" ca="1" si="25"/>
        <v>32</v>
      </c>
      <c r="E555" s="20">
        <v>1</v>
      </c>
      <c r="H555" s="20">
        <f t="shared" si="26"/>
        <v>11</v>
      </c>
      <c r="M555" s="20">
        <v>554</v>
      </c>
    </row>
    <row r="556" spans="1:13" x14ac:dyDescent="0.15">
      <c r="A556" s="20">
        <f>collect!A556</f>
        <v>23</v>
      </c>
      <c r="B556" s="20">
        <f>collect!B556</f>
        <v>2301</v>
      </c>
      <c r="C556" s="20">
        <f t="shared" ca="1" si="24"/>
        <v>50017</v>
      </c>
      <c r="D556" s="20">
        <f t="shared" ca="1" si="25"/>
        <v>32</v>
      </c>
      <c r="E556" s="20">
        <v>1</v>
      </c>
      <c r="H556" s="20">
        <f t="shared" si="26"/>
        <v>14</v>
      </c>
      <c r="M556" s="20">
        <v>555</v>
      </c>
    </row>
    <row r="557" spans="1:13" x14ac:dyDescent="0.15">
      <c r="A557" s="20">
        <f>collect!A557</f>
        <v>23</v>
      </c>
      <c r="B557" s="20">
        <f>collect!B557</f>
        <v>2302</v>
      </c>
      <c r="C557" s="20">
        <f t="shared" si="24"/>
        <v>50018</v>
      </c>
      <c r="D557" s="20">
        <f t="shared" si="25"/>
        <v>88</v>
      </c>
      <c r="E557" s="20">
        <v>1</v>
      </c>
      <c r="H557" s="20">
        <f t="shared" si="26"/>
        <v>2</v>
      </c>
      <c r="M557" s="20">
        <v>556</v>
      </c>
    </row>
    <row r="558" spans="1:13" x14ac:dyDescent="0.15">
      <c r="A558" s="20">
        <f>collect!A558</f>
        <v>23</v>
      </c>
      <c r="B558" s="20">
        <f>collect!B558</f>
        <v>2302</v>
      </c>
      <c r="C558" s="20">
        <f t="shared" ca="1" si="24"/>
        <v>50015</v>
      </c>
      <c r="D558" s="20">
        <f t="shared" ca="1" si="25"/>
        <v>181</v>
      </c>
      <c r="E558" s="20">
        <v>1</v>
      </c>
      <c r="H558" s="20">
        <f t="shared" si="26"/>
        <v>5</v>
      </c>
      <c r="M558" s="20">
        <v>557</v>
      </c>
    </row>
    <row r="559" spans="1:13" x14ac:dyDescent="0.15">
      <c r="A559" s="20">
        <f>collect!A559</f>
        <v>23</v>
      </c>
      <c r="B559" s="20">
        <f>collect!B559</f>
        <v>2302</v>
      </c>
      <c r="C559" s="20">
        <f t="shared" ca="1" si="24"/>
        <v>50173</v>
      </c>
      <c r="D559" s="20">
        <f t="shared" ca="1" si="25"/>
        <v>88</v>
      </c>
      <c r="E559" s="20">
        <v>1</v>
      </c>
      <c r="H559" s="20">
        <f t="shared" si="26"/>
        <v>8</v>
      </c>
      <c r="M559" s="20">
        <v>558</v>
      </c>
    </row>
    <row r="560" spans="1:13" x14ac:dyDescent="0.15">
      <c r="A560" s="20">
        <f>collect!A560</f>
        <v>23</v>
      </c>
      <c r="B560" s="20">
        <f>collect!B560</f>
        <v>2302</v>
      </c>
      <c r="C560" s="20">
        <f t="shared" ca="1" si="24"/>
        <v>50017</v>
      </c>
      <c r="D560" s="20">
        <f t="shared" ca="1" si="25"/>
        <v>32</v>
      </c>
      <c r="E560" s="20">
        <v>1</v>
      </c>
      <c r="H560" s="20">
        <f t="shared" si="26"/>
        <v>11</v>
      </c>
      <c r="M560" s="20">
        <v>559</v>
      </c>
    </row>
    <row r="561" spans="1:13" x14ac:dyDescent="0.15">
      <c r="A561" s="20">
        <f>collect!A561</f>
        <v>23</v>
      </c>
      <c r="B561" s="20">
        <f>collect!B561</f>
        <v>2302</v>
      </c>
      <c r="C561" s="20">
        <f t="shared" ca="1" si="24"/>
        <v>50040</v>
      </c>
      <c r="D561" s="20">
        <f t="shared" ca="1" si="25"/>
        <v>32</v>
      </c>
      <c r="E561" s="20">
        <v>1</v>
      </c>
      <c r="H561" s="20">
        <f t="shared" si="26"/>
        <v>14</v>
      </c>
      <c r="M561" s="20">
        <v>560</v>
      </c>
    </row>
    <row r="562" spans="1:13" x14ac:dyDescent="0.15">
      <c r="A562" s="20">
        <f>collect!A562</f>
        <v>23</v>
      </c>
      <c r="B562" s="20">
        <f>collect!B562</f>
        <v>2303</v>
      </c>
      <c r="C562" s="20">
        <f t="shared" si="24"/>
        <v>50019</v>
      </c>
      <c r="D562" s="20">
        <f t="shared" si="25"/>
        <v>88</v>
      </c>
      <c r="E562" s="20">
        <v>1</v>
      </c>
      <c r="H562" s="20">
        <f t="shared" si="26"/>
        <v>2</v>
      </c>
      <c r="M562" s="20">
        <v>561</v>
      </c>
    </row>
    <row r="563" spans="1:13" x14ac:dyDescent="0.15">
      <c r="A563" s="20">
        <f>collect!A563</f>
        <v>23</v>
      </c>
      <c r="B563" s="20">
        <f>collect!B563</f>
        <v>2303</v>
      </c>
      <c r="C563" s="20">
        <f t="shared" ca="1" si="24"/>
        <v>50006</v>
      </c>
      <c r="D563" s="20">
        <f t="shared" ca="1" si="25"/>
        <v>129</v>
      </c>
      <c r="E563" s="20">
        <v>1</v>
      </c>
      <c r="H563" s="20">
        <f t="shared" si="26"/>
        <v>5</v>
      </c>
      <c r="M563" s="20">
        <v>562</v>
      </c>
    </row>
    <row r="564" spans="1:13" x14ac:dyDescent="0.15">
      <c r="A564" s="20">
        <f>collect!A564</f>
        <v>23</v>
      </c>
      <c r="B564" s="20">
        <f>collect!B564</f>
        <v>2303</v>
      </c>
      <c r="C564" s="20">
        <f t="shared" ca="1" si="24"/>
        <v>50027</v>
      </c>
      <c r="D564" s="20">
        <f t="shared" ca="1" si="25"/>
        <v>88</v>
      </c>
      <c r="E564" s="20">
        <v>1</v>
      </c>
      <c r="H564" s="20">
        <f t="shared" si="26"/>
        <v>8</v>
      </c>
      <c r="M564" s="20">
        <v>563</v>
      </c>
    </row>
    <row r="565" spans="1:13" x14ac:dyDescent="0.15">
      <c r="A565" s="20">
        <f>collect!A565</f>
        <v>23</v>
      </c>
      <c r="B565" s="20">
        <f>collect!B565</f>
        <v>2303</v>
      </c>
      <c r="C565" s="20">
        <f t="shared" ca="1" si="24"/>
        <v>50039</v>
      </c>
      <c r="D565" s="20">
        <f t="shared" ca="1" si="25"/>
        <v>32</v>
      </c>
      <c r="E565" s="20">
        <v>1</v>
      </c>
      <c r="H565" s="20">
        <f t="shared" si="26"/>
        <v>11</v>
      </c>
      <c r="M565" s="20">
        <v>564</v>
      </c>
    </row>
    <row r="566" spans="1:13" x14ac:dyDescent="0.15">
      <c r="A566" s="20">
        <f>collect!A566</f>
        <v>23</v>
      </c>
      <c r="B566" s="20">
        <f>collect!B566</f>
        <v>2303</v>
      </c>
      <c r="C566" s="20">
        <f t="shared" ca="1" si="24"/>
        <v>50034</v>
      </c>
      <c r="D566" s="20">
        <f t="shared" ca="1" si="25"/>
        <v>5</v>
      </c>
      <c r="E566" s="20">
        <v>1</v>
      </c>
      <c r="H566" s="20">
        <f t="shared" si="26"/>
        <v>14</v>
      </c>
      <c r="M566" s="20">
        <v>565</v>
      </c>
    </row>
    <row r="567" spans="1:13" x14ac:dyDescent="0.15">
      <c r="A567" s="20">
        <f>collect!A567</f>
        <v>23</v>
      </c>
      <c r="B567" s="20">
        <f>collect!B567</f>
        <v>2304</v>
      </c>
      <c r="C567" s="20">
        <f t="shared" si="24"/>
        <v>50020</v>
      </c>
      <c r="D567" s="20">
        <f t="shared" si="25"/>
        <v>88</v>
      </c>
      <c r="E567" s="20">
        <v>1</v>
      </c>
      <c r="H567" s="20">
        <f t="shared" si="26"/>
        <v>2</v>
      </c>
      <c r="M567" s="20">
        <v>566</v>
      </c>
    </row>
    <row r="568" spans="1:13" x14ac:dyDescent="0.15">
      <c r="A568" s="20">
        <f>collect!A568</f>
        <v>23</v>
      </c>
      <c r="B568" s="20">
        <f>collect!B568</f>
        <v>2304</v>
      </c>
      <c r="C568" s="20">
        <f t="shared" ca="1" si="24"/>
        <v>50031</v>
      </c>
      <c r="D568" s="20">
        <f t="shared" ca="1" si="25"/>
        <v>181</v>
      </c>
      <c r="E568" s="20">
        <v>1</v>
      </c>
      <c r="H568" s="20">
        <f t="shared" si="26"/>
        <v>5</v>
      </c>
      <c r="M568" s="20">
        <v>567</v>
      </c>
    </row>
    <row r="569" spans="1:13" x14ac:dyDescent="0.15">
      <c r="A569" s="20">
        <f>collect!A569</f>
        <v>23</v>
      </c>
      <c r="B569" s="20">
        <f>collect!B569</f>
        <v>2304</v>
      </c>
      <c r="C569" s="20">
        <f t="shared" ca="1" si="24"/>
        <v>50087</v>
      </c>
      <c r="D569" s="20">
        <f t="shared" ca="1" si="25"/>
        <v>129</v>
      </c>
      <c r="E569" s="20">
        <v>1</v>
      </c>
      <c r="H569" s="20">
        <f t="shared" si="26"/>
        <v>8</v>
      </c>
      <c r="M569" s="20">
        <v>568</v>
      </c>
    </row>
    <row r="570" spans="1:13" x14ac:dyDescent="0.15">
      <c r="A570" s="20">
        <f>collect!A570</f>
        <v>23</v>
      </c>
      <c r="B570" s="20">
        <f>collect!B570</f>
        <v>2304</v>
      </c>
      <c r="C570" s="20">
        <f t="shared" ca="1" si="24"/>
        <v>50008</v>
      </c>
      <c r="D570" s="20">
        <f t="shared" ca="1" si="25"/>
        <v>55</v>
      </c>
      <c r="E570" s="20">
        <v>1</v>
      </c>
      <c r="H570" s="20">
        <f t="shared" si="26"/>
        <v>11</v>
      </c>
      <c r="M570" s="20">
        <v>569</v>
      </c>
    </row>
    <row r="571" spans="1:13" x14ac:dyDescent="0.15">
      <c r="A571" s="20">
        <f>collect!A571</f>
        <v>23</v>
      </c>
      <c r="B571" s="20">
        <f>collect!B571</f>
        <v>2304</v>
      </c>
      <c r="C571" s="20">
        <f t="shared" ca="1" si="24"/>
        <v>50038</v>
      </c>
      <c r="D571" s="20">
        <f t="shared" ca="1" si="25"/>
        <v>32</v>
      </c>
      <c r="E571" s="20">
        <v>1</v>
      </c>
      <c r="H571" s="20">
        <f t="shared" si="26"/>
        <v>14</v>
      </c>
      <c r="M571" s="20">
        <v>570</v>
      </c>
    </row>
    <row r="572" spans="1:13" x14ac:dyDescent="0.15">
      <c r="A572" s="20">
        <f>collect!A572</f>
        <v>23</v>
      </c>
      <c r="B572" s="20">
        <f>collect!B572</f>
        <v>2305</v>
      </c>
      <c r="C572" s="20">
        <f t="shared" si="24"/>
        <v>50021</v>
      </c>
      <c r="D572" s="20">
        <f t="shared" si="25"/>
        <v>88</v>
      </c>
      <c r="E572" s="20">
        <v>1</v>
      </c>
      <c r="H572" s="20">
        <f t="shared" si="26"/>
        <v>2</v>
      </c>
      <c r="M572" s="20">
        <v>571</v>
      </c>
    </row>
    <row r="573" spans="1:13" x14ac:dyDescent="0.15">
      <c r="A573" s="20">
        <f>collect!A573</f>
        <v>23</v>
      </c>
      <c r="B573" s="20">
        <f>collect!B573</f>
        <v>2305</v>
      </c>
      <c r="C573" s="20">
        <f t="shared" ca="1" si="24"/>
        <v>50001</v>
      </c>
      <c r="D573" s="20">
        <f t="shared" ca="1" si="25"/>
        <v>181</v>
      </c>
      <c r="E573" s="20">
        <v>1</v>
      </c>
      <c r="H573" s="20">
        <f t="shared" si="26"/>
        <v>5</v>
      </c>
      <c r="M573" s="20">
        <v>572</v>
      </c>
    </row>
    <row r="574" spans="1:13" x14ac:dyDescent="0.15">
      <c r="A574" s="20">
        <f>collect!A574</f>
        <v>23</v>
      </c>
      <c r="B574" s="20">
        <f>collect!B574</f>
        <v>2305</v>
      </c>
      <c r="C574" s="20">
        <f t="shared" ca="1" si="24"/>
        <v>50003</v>
      </c>
      <c r="D574" s="20">
        <f t="shared" ca="1" si="25"/>
        <v>88</v>
      </c>
      <c r="E574" s="20">
        <v>1</v>
      </c>
      <c r="H574" s="20">
        <f t="shared" si="26"/>
        <v>8</v>
      </c>
      <c r="M574" s="20">
        <v>573</v>
      </c>
    </row>
    <row r="575" spans="1:13" x14ac:dyDescent="0.15">
      <c r="A575" s="20">
        <f>collect!A575</f>
        <v>23</v>
      </c>
      <c r="B575" s="20">
        <f>collect!B575</f>
        <v>2305</v>
      </c>
      <c r="C575" s="20">
        <f t="shared" ca="1" si="24"/>
        <v>50039</v>
      </c>
      <c r="D575" s="20">
        <f t="shared" ca="1" si="25"/>
        <v>32</v>
      </c>
      <c r="E575" s="20">
        <v>1</v>
      </c>
      <c r="H575" s="20">
        <f t="shared" si="26"/>
        <v>11</v>
      </c>
      <c r="M575" s="20">
        <v>574</v>
      </c>
    </row>
    <row r="576" spans="1:13" x14ac:dyDescent="0.15">
      <c r="A576" s="20">
        <f>collect!A576</f>
        <v>23</v>
      </c>
      <c r="B576" s="20">
        <f>collect!B576</f>
        <v>2305</v>
      </c>
      <c r="C576" s="20">
        <f t="shared" ca="1" si="24"/>
        <v>50017</v>
      </c>
      <c r="D576" s="20">
        <f t="shared" ca="1" si="25"/>
        <v>32</v>
      </c>
      <c r="E576" s="20">
        <v>1</v>
      </c>
      <c r="H576" s="20">
        <f t="shared" si="26"/>
        <v>14</v>
      </c>
      <c r="M576" s="20">
        <v>575</v>
      </c>
    </row>
    <row r="577" spans="1:13" x14ac:dyDescent="0.15">
      <c r="A577" s="20">
        <f>collect!A577</f>
        <v>24</v>
      </c>
      <c r="B577" s="20">
        <f>collect!B577</f>
        <v>2401</v>
      </c>
      <c r="C577" s="20">
        <f t="shared" si="24"/>
        <v>50022</v>
      </c>
      <c r="D577" s="20">
        <f t="shared" si="25"/>
        <v>88</v>
      </c>
      <c r="E577" s="20">
        <v>1</v>
      </c>
      <c r="H577" s="20">
        <f t="shared" si="26"/>
        <v>2</v>
      </c>
      <c r="M577" s="20">
        <v>576</v>
      </c>
    </row>
    <row r="578" spans="1:13" x14ac:dyDescent="0.15">
      <c r="A578" s="20">
        <f>collect!A578</f>
        <v>24</v>
      </c>
      <c r="B578" s="20">
        <f>collect!B578</f>
        <v>2401</v>
      </c>
      <c r="C578" s="20">
        <f t="shared" ref="C578:C641" ca="1" si="27">VLOOKUP(B578,plan2,H578,FALSE)</f>
        <v>50002</v>
      </c>
      <c r="D578" s="20">
        <f t="shared" ref="D578:D641" ca="1" si="28">VLOOKUP(C578,marking,9,FALSE)</f>
        <v>129</v>
      </c>
      <c r="E578" s="20">
        <v>1</v>
      </c>
      <c r="H578" s="20">
        <f t="shared" si="26"/>
        <v>5</v>
      </c>
      <c r="M578" s="20">
        <v>577</v>
      </c>
    </row>
    <row r="579" spans="1:13" x14ac:dyDescent="0.15">
      <c r="A579" s="20">
        <f>collect!A579</f>
        <v>24</v>
      </c>
      <c r="B579" s="20">
        <f>collect!B579</f>
        <v>2401</v>
      </c>
      <c r="C579" s="20">
        <f t="shared" ca="1" si="27"/>
        <v>50024</v>
      </c>
      <c r="D579" s="20">
        <f t="shared" ca="1" si="28"/>
        <v>88</v>
      </c>
      <c r="E579" s="20">
        <v>1</v>
      </c>
      <c r="H579" s="20">
        <f t="shared" si="26"/>
        <v>8</v>
      </c>
      <c r="M579" s="20">
        <v>578</v>
      </c>
    </row>
    <row r="580" spans="1:13" x14ac:dyDescent="0.15">
      <c r="A580" s="20">
        <f>collect!A580</f>
        <v>24</v>
      </c>
      <c r="B580" s="20">
        <f>collect!B580</f>
        <v>2401</v>
      </c>
      <c r="C580" s="20">
        <f t="shared" ca="1" si="27"/>
        <v>50037</v>
      </c>
      <c r="D580" s="20">
        <f t="shared" ca="1" si="28"/>
        <v>32</v>
      </c>
      <c r="E580" s="20">
        <v>1</v>
      </c>
      <c r="H580" s="20">
        <f t="shared" si="26"/>
        <v>11</v>
      </c>
      <c r="M580" s="20">
        <v>579</v>
      </c>
    </row>
    <row r="581" spans="1:13" x14ac:dyDescent="0.15">
      <c r="A581" s="20">
        <f>collect!A581</f>
        <v>24</v>
      </c>
      <c r="B581" s="20">
        <f>collect!B581</f>
        <v>2401</v>
      </c>
      <c r="C581" s="20">
        <f t="shared" ca="1" si="27"/>
        <v>50040</v>
      </c>
      <c r="D581" s="20">
        <f t="shared" ca="1" si="28"/>
        <v>32</v>
      </c>
      <c r="E581" s="20">
        <v>1</v>
      </c>
      <c r="H581" s="20">
        <f t="shared" si="26"/>
        <v>14</v>
      </c>
      <c r="M581" s="20">
        <v>580</v>
      </c>
    </row>
    <row r="582" spans="1:13" x14ac:dyDescent="0.15">
      <c r="A582" s="20">
        <f>collect!A582</f>
        <v>24</v>
      </c>
      <c r="B582" s="20">
        <f>collect!B582</f>
        <v>2402</v>
      </c>
      <c r="C582" s="20">
        <f t="shared" si="27"/>
        <v>50023</v>
      </c>
      <c r="D582" s="20">
        <f t="shared" si="28"/>
        <v>88</v>
      </c>
      <c r="E582" s="20">
        <v>1</v>
      </c>
      <c r="H582" s="20">
        <f t="shared" si="26"/>
        <v>2</v>
      </c>
      <c r="M582" s="20">
        <v>581</v>
      </c>
    </row>
    <row r="583" spans="1:13" x14ac:dyDescent="0.15">
      <c r="A583" s="20">
        <f>collect!A583</f>
        <v>24</v>
      </c>
      <c r="B583" s="20">
        <f>collect!B583</f>
        <v>2402</v>
      </c>
      <c r="C583" s="20">
        <f t="shared" ca="1" si="27"/>
        <v>50010</v>
      </c>
      <c r="D583" s="20">
        <f t="shared" ca="1" si="28"/>
        <v>129</v>
      </c>
      <c r="E583" s="20">
        <v>1</v>
      </c>
      <c r="H583" s="20">
        <f t="shared" si="26"/>
        <v>5</v>
      </c>
      <c r="M583" s="20">
        <v>582</v>
      </c>
    </row>
    <row r="584" spans="1:13" x14ac:dyDescent="0.15">
      <c r="A584" s="20">
        <f>collect!A584</f>
        <v>24</v>
      </c>
      <c r="B584" s="20">
        <f>collect!B584</f>
        <v>2402</v>
      </c>
      <c r="C584" s="20">
        <f t="shared" ca="1" si="27"/>
        <v>50018</v>
      </c>
      <c r="D584" s="20">
        <f t="shared" ca="1" si="28"/>
        <v>88</v>
      </c>
      <c r="E584" s="20">
        <v>1</v>
      </c>
      <c r="H584" s="20">
        <f t="shared" ref="H584:H647" si="29">H579</f>
        <v>8</v>
      </c>
      <c r="M584" s="20">
        <v>583</v>
      </c>
    </row>
    <row r="585" spans="1:13" x14ac:dyDescent="0.15">
      <c r="A585" s="20">
        <f>collect!A585</f>
        <v>24</v>
      </c>
      <c r="B585" s="20">
        <f>collect!B585</f>
        <v>2402</v>
      </c>
      <c r="C585" s="20">
        <f t="shared" ca="1" si="27"/>
        <v>50008</v>
      </c>
      <c r="D585" s="20">
        <f t="shared" ca="1" si="28"/>
        <v>55</v>
      </c>
      <c r="E585" s="20">
        <v>1</v>
      </c>
      <c r="H585" s="20">
        <f t="shared" si="29"/>
        <v>11</v>
      </c>
      <c r="M585" s="20">
        <v>584</v>
      </c>
    </row>
    <row r="586" spans="1:13" x14ac:dyDescent="0.15">
      <c r="A586" s="20">
        <f>collect!A586</f>
        <v>24</v>
      </c>
      <c r="B586" s="20">
        <f>collect!B586</f>
        <v>2402</v>
      </c>
      <c r="C586" s="20">
        <f t="shared" ca="1" si="27"/>
        <v>50038</v>
      </c>
      <c r="D586" s="20">
        <f t="shared" ca="1" si="28"/>
        <v>32</v>
      </c>
      <c r="E586" s="20">
        <v>1</v>
      </c>
      <c r="H586" s="20">
        <f t="shared" si="29"/>
        <v>14</v>
      </c>
      <c r="M586" s="20">
        <v>585</v>
      </c>
    </row>
    <row r="587" spans="1:13" x14ac:dyDescent="0.15">
      <c r="A587" s="20">
        <f>collect!A587</f>
        <v>24</v>
      </c>
      <c r="B587" s="20">
        <f>collect!B587</f>
        <v>2403</v>
      </c>
      <c r="C587" s="20">
        <f t="shared" si="27"/>
        <v>50024</v>
      </c>
      <c r="D587" s="20">
        <f t="shared" si="28"/>
        <v>88</v>
      </c>
      <c r="E587" s="20">
        <v>1</v>
      </c>
      <c r="H587" s="20">
        <f t="shared" si="29"/>
        <v>2</v>
      </c>
      <c r="M587" s="20">
        <v>586</v>
      </c>
    </row>
    <row r="588" spans="1:13" x14ac:dyDescent="0.15">
      <c r="A588" s="20">
        <f>collect!A588</f>
        <v>24</v>
      </c>
      <c r="B588" s="20">
        <f>collect!B588</f>
        <v>2403</v>
      </c>
      <c r="C588" s="20">
        <f t="shared" ca="1" si="27"/>
        <v>50002</v>
      </c>
      <c r="D588" s="20">
        <f t="shared" ca="1" si="28"/>
        <v>129</v>
      </c>
      <c r="E588" s="20">
        <v>1</v>
      </c>
      <c r="H588" s="20">
        <f t="shared" si="29"/>
        <v>5</v>
      </c>
      <c r="M588" s="20">
        <v>587</v>
      </c>
    </row>
    <row r="589" spans="1:13" x14ac:dyDescent="0.15">
      <c r="A589" s="20">
        <f>collect!A589</f>
        <v>24</v>
      </c>
      <c r="B589" s="20">
        <f>collect!B589</f>
        <v>2403</v>
      </c>
      <c r="C589" s="20">
        <f t="shared" ca="1" si="27"/>
        <v>50021</v>
      </c>
      <c r="D589" s="20">
        <f t="shared" ca="1" si="28"/>
        <v>88</v>
      </c>
      <c r="E589" s="20">
        <v>1</v>
      </c>
      <c r="H589" s="20">
        <f t="shared" si="29"/>
        <v>8</v>
      </c>
      <c r="M589" s="20">
        <v>588</v>
      </c>
    </row>
    <row r="590" spans="1:13" x14ac:dyDescent="0.15">
      <c r="A590" s="20">
        <f>collect!A590</f>
        <v>24</v>
      </c>
      <c r="B590" s="20">
        <f>collect!B590</f>
        <v>2403</v>
      </c>
      <c r="C590" s="20">
        <f t="shared" ca="1" si="27"/>
        <v>50037</v>
      </c>
      <c r="D590" s="20">
        <f t="shared" ca="1" si="28"/>
        <v>32</v>
      </c>
      <c r="E590" s="20">
        <v>1</v>
      </c>
      <c r="H590" s="20">
        <f t="shared" si="29"/>
        <v>11</v>
      </c>
      <c r="M590" s="20">
        <v>589</v>
      </c>
    </row>
    <row r="591" spans="1:13" x14ac:dyDescent="0.15">
      <c r="A591" s="20">
        <f>collect!A591</f>
        <v>24</v>
      </c>
      <c r="B591" s="20">
        <f>collect!B591</f>
        <v>2403</v>
      </c>
      <c r="C591" s="20">
        <f t="shared" ca="1" si="27"/>
        <v>50038</v>
      </c>
      <c r="D591" s="20">
        <f t="shared" ca="1" si="28"/>
        <v>32</v>
      </c>
      <c r="E591" s="20">
        <v>1</v>
      </c>
      <c r="H591" s="20">
        <f t="shared" si="29"/>
        <v>14</v>
      </c>
      <c r="M591" s="20">
        <v>590</v>
      </c>
    </row>
    <row r="592" spans="1:13" x14ac:dyDescent="0.15">
      <c r="A592" s="20">
        <f>collect!A592</f>
        <v>24</v>
      </c>
      <c r="B592" s="20">
        <f>collect!B592</f>
        <v>2404</v>
      </c>
      <c r="C592" s="20">
        <f t="shared" si="27"/>
        <v>50025</v>
      </c>
      <c r="D592" s="20">
        <f t="shared" si="28"/>
        <v>88</v>
      </c>
      <c r="E592" s="20">
        <v>1</v>
      </c>
      <c r="H592" s="20">
        <f t="shared" si="29"/>
        <v>2</v>
      </c>
      <c r="M592" s="20">
        <v>591</v>
      </c>
    </row>
    <row r="593" spans="1:13" x14ac:dyDescent="0.15">
      <c r="A593" s="20">
        <f>collect!A593</f>
        <v>24</v>
      </c>
      <c r="B593" s="20">
        <f>collect!B593</f>
        <v>2404</v>
      </c>
      <c r="C593" s="20">
        <f t="shared" ca="1" si="27"/>
        <v>50010</v>
      </c>
      <c r="D593" s="20">
        <f t="shared" ca="1" si="28"/>
        <v>129</v>
      </c>
      <c r="E593" s="20">
        <v>1</v>
      </c>
      <c r="H593" s="20">
        <f t="shared" si="29"/>
        <v>5</v>
      </c>
      <c r="M593" s="20">
        <v>592</v>
      </c>
    </row>
    <row r="594" spans="1:13" x14ac:dyDescent="0.15">
      <c r="A594" s="20">
        <f>collect!A594</f>
        <v>24</v>
      </c>
      <c r="B594" s="20">
        <f>collect!B594</f>
        <v>2404</v>
      </c>
      <c r="C594" s="20">
        <f t="shared" ca="1" si="27"/>
        <v>50176</v>
      </c>
      <c r="D594" s="20">
        <f t="shared" ca="1" si="28"/>
        <v>88</v>
      </c>
      <c r="E594" s="20">
        <v>1</v>
      </c>
      <c r="H594" s="20">
        <f t="shared" si="29"/>
        <v>8</v>
      </c>
      <c r="M594" s="20">
        <v>593</v>
      </c>
    </row>
    <row r="595" spans="1:13" x14ac:dyDescent="0.15">
      <c r="A595" s="20">
        <f>collect!A595</f>
        <v>24</v>
      </c>
      <c r="B595" s="20">
        <f>collect!B595</f>
        <v>2404</v>
      </c>
      <c r="C595" s="20">
        <f t="shared" ca="1" si="27"/>
        <v>50033</v>
      </c>
      <c r="D595" s="20">
        <f t="shared" ca="1" si="28"/>
        <v>32</v>
      </c>
      <c r="E595" s="20">
        <v>1</v>
      </c>
      <c r="H595" s="20">
        <f t="shared" si="29"/>
        <v>11</v>
      </c>
      <c r="M595" s="20">
        <v>594</v>
      </c>
    </row>
    <row r="596" spans="1:13" x14ac:dyDescent="0.15">
      <c r="A596" s="20">
        <f>collect!A596</f>
        <v>24</v>
      </c>
      <c r="B596" s="20">
        <f>collect!B596</f>
        <v>2404</v>
      </c>
      <c r="C596" s="20">
        <f t="shared" ca="1" si="27"/>
        <v>50033</v>
      </c>
      <c r="D596" s="20">
        <f t="shared" ca="1" si="28"/>
        <v>32</v>
      </c>
      <c r="E596" s="20">
        <v>1</v>
      </c>
      <c r="H596" s="20">
        <f t="shared" si="29"/>
        <v>14</v>
      </c>
      <c r="M596" s="20">
        <v>595</v>
      </c>
    </row>
    <row r="597" spans="1:13" x14ac:dyDescent="0.15">
      <c r="A597" s="20">
        <f>collect!A597</f>
        <v>24</v>
      </c>
      <c r="B597" s="20">
        <f>collect!B597</f>
        <v>2405</v>
      </c>
      <c r="C597" s="20">
        <f t="shared" si="27"/>
        <v>50026</v>
      </c>
      <c r="D597" s="20">
        <f t="shared" si="28"/>
        <v>88</v>
      </c>
      <c r="E597" s="20">
        <v>1</v>
      </c>
      <c r="H597" s="20">
        <f t="shared" si="29"/>
        <v>2</v>
      </c>
      <c r="M597" s="20">
        <v>596</v>
      </c>
    </row>
    <row r="598" spans="1:13" x14ac:dyDescent="0.15">
      <c r="A598" s="20">
        <f>collect!A598</f>
        <v>24</v>
      </c>
      <c r="B598" s="20">
        <f>collect!B598</f>
        <v>2405</v>
      </c>
      <c r="C598" s="20">
        <f t="shared" ca="1" si="27"/>
        <v>50006</v>
      </c>
      <c r="D598" s="20">
        <f t="shared" ca="1" si="28"/>
        <v>129</v>
      </c>
      <c r="E598" s="20">
        <v>1</v>
      </c>
      <c r="H598" s="20">
        <f t="shared" si="29"/>
        <v>5</v>
      </c>
      <c r="M598" s="20">
        <v>597</v>
      </c>
    </row>
    <row r="599" spans="1:13" x14ac:dyDescent="0.15">
      <c r="A599" s="20">
        <f>collect!A599</f>
        <v>24</v>
      </c>
      <c r="B599" s="20">
        <f>collect!B599</f>
        <v>2405</v>
      </c>
      <c r="C599" s="20">
        <f t="shared" ca="1" si="27"/>
        <v>50018</v>
      </c>
      <c r="D599" s="20">
        <f t="shared" ca="1" si="28"/>
        <v>88</v>
      </c>
      <c r="E599" s="20">
        <v>1</v>
      </c>
      <c r="H599" s="20">
        <f t="shared" si="29"/>
        <v>8</v>
      </c>
      <c r="M599" s="20">
        <v>598</v>
      </c>
    </row>
    <row r="600" spans="1:13" x14ac:dyDescent="0.15">
      <c r="A600" s="20">
        <f>collect!A600</f>
        <v>24</v>
      </c>
      <c r="B600" s="20">
        <f>collect!B600</f>
        <v>2405</v>
      </c>
      <c r="C600" s="20">
        <f t="shared" ca="1" si="27"/>
        <v>50008</v>
      </c>
      <c r="D600" s="20">
        <f t="shared" ca="1" si="28"/>
        <v>55</v>
      </c>
      <c r="E600" s="20">
        <v>1</v>
      </c>
      <c r="H600" s="20">
        <f t="shared" si="29"/>
        <v>11</v>
      </c>
      <c r="M600" s="20">
        <v>599</v>
      </c>
    </row>
    <row r="601" spans="1:13" x14ac:dyDescent="0.15">
      <c r="A601" s="20">
        <f>collect!A601</f>
        <v>24</v>
      </c>
      <c r="B601" s="20">
        <f>collect!B601</f>
        <v>2405</v>
      </c>
      <c r="C601" s="20">
        <f t="shared" ca="1" si="27"/>
        <v>50034</v>
      </c>
      <c r="D601" s="20">
        <f t="shared" ca="1" si="28"/>
        <v>5</v>
      </c>
      <c r="E601" s="20">
        <v>1</v>
      </c>
      <c r="H601" s="20">
        <f t="shared" si="29"/>
        <v>14</v>
      </c>
      <c r="M601" s="20">
        <v>600</v>
      </c>
    </row>
    <row r="602" spans="1:13" x14ac:dyDescent="0.15">
      <c r="A602" s="20">
        <f>collect!A602</f>
        <v>25</v>
      </c>
      <c r="B602" s="20">
        <f>collect!B602</f>
        <v>2501</v>
      </c>
      <c r="C602" s="20">
        <f t="shared" si="27"/>
        <v>50027</v>
      </c>
      <c r="D602" s="20">
        <f t="shared" si="28"/>
        <v>88</v>
      </c>
      <c r="E602" s="20">
        <v>1</v>
      </c>
      <c r="H602" s="20">
        <f t="shared" si="29"/>
        <v>2</v>
      </c>
      <c r="M602" s="20">
        <v>601</v>
      </c>
    </row>
    <row r="603" spans="1:13" x14ac:dyDescent="0.15">
      <c r="A603" s="20">
        <f>collect!A603</f>
        <v>25</v>
      </c>
      <c r="B603" s="20">
        <f>collect!B603</f>
        <v>2501</v>
      </c>
      <c r="C603" s="20">
        <f t="shared" ca="1" si="27"/>
        <v>50002</v>
      </c>
      <c r="D603" s="20">
        <f t="shared" ca="1" si="28"/>
        <v>129</v>
      </c>
      <c r="E603" s="20">
        <v>1</v>
      </c>
      <c r="H603" s="20">
        <f t="shared" si="29"/>
        <v>5</v>
      </c>
      <c r="M603" s="20">
        <v>602</v>
      </c>
    </row>
    <row r="604" spans="1:13" x14ac:dyDescent="0.15">
      <c r="A604" s="20">
        <f>collect!A604</f>
        <v>25</v>
      </c>
      <c r="B604" s="20">
        <f>collect!B604</f>
        <v>2501</v>
      </c>
      <c r="C604" s="20">
        <f t="shared" ca="1" si="27"/>
        <v>50026</v>
      </c>
      <c r="D604" s="20">
        <f t="shared" ca="1" si="28"/>
        <v>88</v>
      </c>
      <c r="E604" s="20">
        <v>1</v>
      </c>
      <c r="H604" s="20">
        <f t="shared" si="29"/>
        <v>8</v>
      </c>
      <c r="M604" s="20">
        <v>603</v>
      </c>
    </row>
    <row r="605" spans="1:13" x14ac:dyDescent="0.15">
      <c r="A605" s="20">
        <f>collect!A605</f>
        <v>25</v>
      </c>
      <c r="B605" s="20">
        <f>collect!B605</f>
        <v>2501</v>
      </c>
      <c r="C605" s="20">
        <f t="shared" ca="1" si="27"/>
        <v>50017</v>
      </c>
      <c r="D605" s="20">
        <f t="shared" ca="1" si="28"/>
        <v>32</v>
      </c>
      <c r="E605" s="20">
        <v>1</v>
      </c>
      <c r="H605" s="20">
        <f t="shared" si="29"/>
        <v>11</v>
      </c>
      <c r="M605" s="20">
        <v>604</v>
      </c>
    </row>
    <row r="606" spans="1:13" x14ac:dyDescent="0.15">
      <c r="A606" s="20">
        <f>collect!A606</f>
        <v>25</v>
      </c>
      <c r="B606" s="20">
        <f>collect!B606</f>
        <v>2501</v>
      </c>
      <c r="C606" s="20">
        <f t="shared" ca="1" si="27"/>
        <v>50033</v>
      </c>
      <c r="D606" s="20">
        <f t="shared" ca="1" si="28"/>
        <v>32</v>
      </c>
      <c r="E606" s="20">
        <v>1</v>
      </c>
      <c r="H606" s="20">
        <f t="shared" si="29"/>
        <v>14</v>
      </c>
      <c r="M606" s="20">
        <v>605</v>
      </c>
    </row>
    <row r="607" spans="1:13" x14ac:dyDescent="0.15">
      <c r="A607" s="20">
        <f>collect!A607</f>
        <v>25</v>
      </c>
      <c r="B607" s="20">
        <f>collect!B607</f>
        <v>2502</v>
      </c>
      <c r="C607" s="20">
        <f t="shared" si="27"/>
        <v>50028</v>
      </c>
      <c r="D607" s="20">
        <f t="shared" si="28"/>
        <v>88</v>
      </c>
      <c r="E607" s="20">
        <v>1</v>
      </c>
      <c r="H607" s="20">
        <f t="shared" si="29"/>
        <v>2</v>
      </c>
      <c r="M607" s="20">
        <v>606</v>
      </c>
    </row>
    <row r="608" spans="1:13" x14ac:dyDescent="0.15">
      <c r="A608" s="20">
        <f>collect!A608</f>
        <v>25</v>
      </c>
      <c r="B608" s="20">
        <f>collect!B608</f>
        <v>2502</v>
      </c>
      <c r="C608" s="20">
        <f t="shared" ca="1" si="27"/>
        <v>50015</v>
      </c>
      <c r="D608" s="20">
        <f t="shared" ca="1" si="28"/>
        <v>181</v>
      </c>
      <c r="E608" s="20">
        <v>1</v>
      </c>
      <c r="H608" s="20">
        <f t="shared" si="29"/>
        <v>5</v>
      </c>
      <c r="M608" s="20">
        <v>607</v>
      </c>
    </row>
    <row r="609" spans="1:13" x14ac:dyDescent="0.15">
      <c r="A609" s="20">
        <f>collect!A609</f>
        <v>25</v>
      </c>
      <c r="B609" s="20">
        <f>collect!B609</f>
        <v>2502</v>
      </c>
      <c r="C609" s="20">
        <f t="shared" ca="1" si="27"/>
        <v>50025</v>
      </c>
      <c r="D609" s="20">
        <f t="shared" ca="1" si="28"/>
        <v>88</v>
      </c>
      <c r="E609" s="20">
        <v>1</v>
      </c>
      <c r="H609" s="20">
        <f t="shared" si="29"/>
        <v>8</v>
      </c>
      <c r="M609" s="20">
        <v>608</v>
      </c>
    </row>
    <row r="610" spans="1:13" x14ac:dyDescent="0.15">
      <c r="A610" s="20">
        <f>collect!A610</f>
        <v>25</v>
      </c>
      <c r="B610" s="20">
        <f>collect!B610</f>
        <v>2502</v>
      </c>
      <c r="C610" s="20">
        <f t="shared" ca="1" si="27"/>
        <v>50040</v>
      </c>
      <c r="D610" s="20">
        <f t="shared" ca="1" si="28"/>
        <v>32</v>
      </c>
      <c r="E610" s="20">
        <v>1</v>
      </c>
      <c r="H610" s="20">
        <f t="shared" si="29"/>
        <v>11</v>
      </c>
      <c r="M610" s="20">
        <v>609</v>
      </c>
    </row>
    <row r="611" spans="1:13" x14ac:dyDescent="0.15">
      <c r="A611" s="20">
        <f>collect!A611</f>
        <v>25</v>
      </c>
      <c r="B611" s="20">
        <f>collect!B611</f>
        <v>2502</v>
      </c>
      <c r="C611" s="20">
        <f t="shared" ca="1" si="27"/>
        <v>50034</v>
      </c>
      <c r="D611" s="20">
        <f t="shared" ca="1" si="28"/>
        <v>5</v>
      </c>
      <c r="E611" s="20">
        <v>1</v>
      </c>
      <c r="H611" s="20">
        <f t="shared" si="29"/>
        <v>14</v>
      </c>
      <c r="M611" s="20">
        <v>610</v>
      </c>
    </row>
    <row r="612" spans="1:13" x14ac:dyDescent="0.15">
      <c r="A612" s="20">
        <f>collect!A612</f>
        <v>25</v>
      </c>
      <c r="B612" s="20">
        <f>collect!B612</f>
        <v>2503</v>
      </c>
      <c r="C612" s="20">
        <f t="shared" si="27"/>
        <v>50029</v>
      </c>
      <c r="D612" s="20">
        <f t="shared" si="28"/>
        <v>88</v>
      </c>
      <c r="E612" s="20">
        <v>1</v>
      </c>
      <c r="H612" s="20">
        <f t="shared" si="29"/>
        <v>2</v>
      </c>
      <c r="M612" s="20">
        <v>611</v>
      </c>
    </row>
    <row r="613" spans="1:13" x14ac:dyDescent="0.15">
      <c r="A613" s="20">
        <f>collect!A613</f>
        <v>25</v>
      </c>
      <c r="B613" s="20">
        <f>collect!B613</f>
        <v>2503</v>
      </c>
      <c r="C613" s="20">
        <f t="shared" ca="1" si="27"/>
        <v>50010</v>
      </c>
      <c r="D613" s="20">
        <f t="shared" ca="1" si="28"/>
        <v>129</v>
      </c>
      <c r="E613" s="20">
        <v>1</v>
      </c>
      <c r="H613" s="20">
        <f t="shared" si="29"/>
        <v>5</v>
      </c>
      <c r="M613" s="20">
        <v>612</v>
      </c>
    </row>
    <row r="614" spans="1:13" x14ac:dyDescent="0.15">
      <c r="A614" s="20">
        <f>collect!A614</f>
        <v>25</v>
      </c>
      <c r="B614" s="20">
        <f>collect!B614</f>
        <v>2503</v>
      </c>
      <c r="C614" s="20">
        <f t="shared" ca="1" si="27"/>
        <v>50176</v>
      </c>
      <c r="D614" s="20">
        <f t="shared" ca="1" si="28"/>
        <v>88</v>
      </c>
      <c r="E614" s="20">
        <v>1</v>
      </c>
      <c r="H614" s="20">
        <f t="shared" si="29"/>
        <v>8</v>
      </c>
      <c r="M614" s="20">
        <v>613</v>
      </c>
    </row>
    <row r="615" spans="1:13" x14ac:dyDescent="0.15">
      <c r="A615" s="20">
        <f>collect!A615</f>
        <v>25</v>
      </c>
      <c r="B615" s="20">
        <f>collect!B615</f>
        <v>2503</v>
      </c>
      <c r="C615" s="20">
        <f t="shared" ca="1" si="27"/>
        <v>50008</v>
      </c>
      <c r="D615" s="20">
        <f t="shared" ca="1" si="28"/>
        <v>55</v>
      </c>
      <c r="E615" s="20">
        <v>1</v>
      </c>
      <c r="H615" s="20">
        <f t="shared" si="29"/>
        <v>11</v>
      </c>
      <c r="M615" s="20">
        <v>614</v>
      </c>
    </row>
    <row r="616" spans="1:13" x14ac:dyDescent="0.15">
      <c r="A616" s="20">
        <f>collect!A616</f>
        <v>25</v>
      </c>
      <c r="B616" s="20">
        <f>collect!B616</f>
        <v>2503</v>
      </c>
      <c r="C616" s="20">
        <f t="shared" ca="1" si="27"/>
        <v>50038</v>
      </c>
      <c r="D616" s="20">
        <f t="shared" ca="1" si="28"/>
        <v>32</v>
      </c>
      <c r="E616" s="20">
        <v>1</v>
      </c>
      <c r="H616" s="20">
        <f t="shared" si="29"/>
        <v>14</v>
      </c>
      <c r="M616" s="20">
        <v>615</v>
      </c>
    </row>
    <row r="617" spans="1:13" x14ac:dyDescent="0.15">
      <c r="A617" s="20">
        <f>collect!A617</f>
        <v>25</v>
      </c>
      <c r="B617" s="20">
        <f>collect!B617</f>
        <v>2504</v>
      </c>
      <c r="C617" s="20">
        <f t="shared" si="27"/>
        <v>50030</v>
      </c>
      <c r="D617" s="20">
        <f t="shared" si="28"/>
        <v>88</v>
      </c>
      <c r="E617" s="20">
        <v>1</v>
      </c>
      <c r="H617" s="20">
        <f t="shared" si="29"/>
        <v>2</v>
      </c>
      <c r="M617" s="20">
        <v>616</v>
      </c>
    </row>
    <row r="618" spans="1:13" x14ac:dyDescent="0.15">
      <c r="A618" s="20">
        <f>collect!A618</f>
        <v>25</v>
      </c>
      <c r="B618" s="20">
        <f>collect!B618</f>
        <v>2504</v>
      </c>
      <c r="C618" s="20">
        <f t="shared" ca="1" si="27"/>
        <v>50009</v>
      </c>
      <c r="D618" s="20">
        <f t="shared" ca="1" si="28"/>
        <v>181</v>
      </c>
      <c r="E618" s="20">
        <v>1</v>
      </c>
      <c r="H618" s="20">
        <f t="shared" si="29"/>
        <v>5</v>
      </c>
      <c r="M618" s="20">
        <v>617</v>
      </c>
    </row>
    <row r="619" spans="1:13" x14ac:dyDescent="0.15">
      <c r="A619" s="20">
        <f>collect!A619</f>
        <v>25</v>
      </c>
      <c r="B619" s="20">
        <f>collect!B619</f>
        <v>2504</v>
      </c>
      <c r="C619" s="20">
        <f t="shared" ca="1" si="27"/>
        <v>50173</v>
      </c>
      <c r="D619" s="20">
        <f t="shared" ca="1" si="28"/>
        <v>88</v>
      </c>
      <c r="E619" s="20">
        <v>1</v>
      </c>
      <c r="H619" s="20">
        <f t="shared" si="29"/>
        <v>8</v>
      </c>
      <c r="M619" s="20">
        <v>618</v>
      </c>
    </row>
    <row r="620" spans="1:13" x14ac:dyDescent="0.15">
      <c r="A620" s="20">
        <f>collect!A620</f>
        <v>25</v>
      </c>
      <c r="B620" s="20">
        <f>collect!B620</f>
        <v>2504</v>
      </c>
      <c r="C620" s="20">
        <f t="shared" ca="1" si="27"/>
        <v>50033</v>
      </c>
      <c r="D620" s="20">
        <f t="shared" ca="1" si="28"/>
        <v>32</v>
      </c>
      <c r="E620" s="20">
        <v>1</v>
      </c>
      <c r="H620" s="20">
        <f t="shared" si="29"/>
        <v>11</v>
      </c>
      <c r="M620" s="20">
        <v>619</v>
      </c>
    </row>
    <row r="621" spans="1:13" x14ac:dyDescent="0.15">
      <c r="A621" s="20">
        <f>collect!A621</f>
        <v>25</v>
      </c>
      <c r="B621" s="20">
        <f>collect!B621</f>
        <v>2504</v>
      </c>
      <c r="C621" s="20">
        <f t="shared" ca="1" si="27"/>
        <v>50034</v>
      </c>
      <c r="D621" s="20">
        <f t="shared" ca="1" si="28"/>
        <v>5</v>
      </c>
      <c r="E621" s="20">
        <v>1</v>
      </c>
      <c r="H621" s="20">
        <f t="shared" si="29"/>
        <v>14</v>
      </c>
      <c r="M621" s="20">
        <v>620</v>
      </c>
    </row>
    <row r="622" spans="1:13" x14ac:dyDescent="0.15">
      <c r="A622" s="20">
        <f>collect!A622</f>
        <v>25</v>
      </c>
      <c r="B622" s="20">
        <f>collect!B622</f>
        <v>2505</v>
      </c>
      <c r="C622" s="20">
        <f t="shared" si="27"/>
        <v>50032</v>
      </c>
      <c r="D622" s="20">
        <f t="shared" si="28"/>
        <v>88</v>
      </c>
      <c r="E622" s="20">
        <v>1</v>
      </c>
      <c r="H622" s="20">
        <f t="shared" si="29"/>
        <v>2</v>
      </c>
      <c r="M622" s="20">
        <v>621</v>
      </c>
    </row>
    <row r="623" spans="1:13" x14ac:dyDescent="0.15">
      <c r="A623" s="20">
        <f>collect!A623</f>
        <v>25</v>
      </c>
      <c r="B623" s="20">
        <f>collect!B623</f>
        <v>2505</v>
      </c>
      <c r="C623" s="20">
        <f t="shared" ca="1" si="27"/>
        <v>50031</v>
      </c>
      <c r="D623" s="20">
        <f t="shared" ca="1" si="28"/>
        <v>181</v>
      </c>
      <c r="E623" s="20">
        <v>1</v>
      </c>
      <c r="H623" s="20">
        <f t="shared" si="29"/>
        <v>5</v>
      </c>
      <c r="M623" s="20">
        <v>622</v>
      </c>
    </row>
    <row r="624" spans="1:13" x14ac:dyDescent="0.15">
      <c r="A624" s="20">
        <f>collect!A624</f>
        <v>25</v>
      </c>
      <c r="B624" s="20">
        <f>collect!B624</f>
        <v>2505</v>
      </c>
      <c r="C624" s="20">
        <f t="shared" ca="1" si="27"/>
        <v>50025</v>
      </c>
      <c r="D624" s="20">
        <f t="shared" ca="1" si="28"/>
        <v>88</v>
      </c>
      <c r="E624" s="20">
        <v>1</v>
      </c>
      <c r="H624" s="20">
        <f t="shared" si="29"/>
        <v>8</v>
      </c>
      <c r="M624" s="20">
        <v>623</v>
      </c>
    </row>
    <row r="625" spans="1:13" x14ac:dyDescent="0.15">
      <c r="A625" s="20">
        <f>collect!A625</f>
        <v>25</v>
      </c>
      <c r="B625" s="20">
        <f>collect!B625</f>
        <v>2505</v>
      </c>
      <c r="C625" s="20">
        <f t="shared" ca="1" si="27"/>
        <v>50012</v>
      </c>
      <c r="D625" s="20">
        <f t="shared" ca="1" si="28"/>
        <v>55</v>
      </c>
      <c r="E625" s="20">
        <v>1</v>
      </c>
      <c r="H625" s="20">
        <f t="shared" si="29"/>
        <v>11</v>
      </c>
      <c r="M625" s="20">
        <v>624</v>
      </c>
    </row>
    <row r="626" spans="1:13" x14ac:dyDescent="0.15">
      <c r="A626" s="20">
        <f>collect!A626</f>
        <v>25</v>
      </c>
      <c r="B626" s="20">
        <f>collect!B626</f>
        <v>2505</v>
      </c>
      <c r="C626" s="20">
        <f t="shared" ca="1" si="27"/>
        <v>50037</v>
      </c>
      <c r="D626" s="20">
        <f t="shared" ca="1" si="28"/>
        <v>32</v>
      </c>
      <c r="E626" s="20">
        <v>1</v>
      </c>
      <c r="H626" s="20">
        <f t="shared" si="29"/>
        <v>14</v>
      </c>
      <c r="M626" s="20">
        <v>625</v>
      </c>
    </row>
    <row r="627" spans="1:13" x14ac:dyDescent="0.15">
      <c r="A627" s="20">
        <f>collect!A627</f>
        <v>26</v>
      </c>
      <c r="B627" s="20">
        <f>collect!B627</f>
        <v>2601</v>
      </c>
      <c r="C627" s="20">
        <f t="shared" si="27"/>
        <v>50036</v>
      </c>
      <c r="D627" s="20">
        <f t="shared" si="28"/>
        <v>88</v>
      </c>
      <c r="E627" s="20">
        <v>1</v>
      </c>
      <c r="H627" s="20">
        <f t="shared" si="29"/>
        <v>2</v>
      </c>
      <c r="M627" s="20">
        <v>626</v>
      </c>
    </row>
    <row r="628" spans="1:13" x14ac:dyDescent="0.15">
      <c r="A628" s="20">
        <f>collect!A628</f>
        <v>26</v>
      </c>
      <c r="B628" s="20">
        <f>collect!B628</f>
        <v>2601</v>
      </c>
      <c r="C628" s="20">
        <f t="shared" ca="1" si="27"/>
        <v>50001</v>
      </c>
      <c r="D628" s="20">
        <f t="shared" ca="1" si="28"/>
        <v>181</v>
      </c>
      <c r="E628" s="20">
        <v>1</v>
      </c>
      <c r="H628" s="20">
        <f t="shared" si="29"/>
        <v>5</v>
      </c>
      <c r="M628" s="20">
        <v>627</v>
      </c>
    </row>
    <row r="629" spans="1:13" x14ac:dyDescent="0.15">
      <c r="A629" s="20">
        <f>collect!A629</f>
        <v>26</v>
      </c>
      <c r="B629" s="20">
        <f>collect!B629</f>
        <v>2601</v>
      </c>
      <c r="C629" s="20">
        <f t="shared" ca="1" si="27"/>
        <v>50027</v>
      </c>
      <c r="D629" s="20">
        <f t="shared" ca="1" si="28"/>
        <v>88</v>
      </c>
      <c r="E629" s="20">
        <v>1</v>
      </c>
      <c r="H629" s="20">
        <f t="shared" si="29"/>
        <v>8</v>
      </c>
      <c r="M629" s="20">
        <v>628</v>
      </c>
    </row>
    <row r="630" spans="1:13" x14ac:dyDescent="0.15">
      <c r="A630" s="20">
        <f>collect!A630</f>
        <v>26</v>
      </c>
      <c r="B630" s="20">
        <f>collect!B630</f>
        <v>2601</v>
      </c>
      <c r="C630" s="20">
        <f t="shared" ca="1" si="27"/>
        <v>50040</v>
      </c>
      <c r="D630" s="20">
        <f t="shared" ca="1" si="28"/>
        <v>32</v>
      </c>
      <c r="E630" s="20">
        <v>1</v>
      </c>
      <c r="H630" s="20">
        <f t="shared" si="29"/>
        <v>11</v>
      </c>
      <c r="M630" s="20">
        <v>629</v>
      </c>
    </row>
    <row r="631" spans="1:13" x14ac:dyDescent="0.15">
      <c r="A631" s="20">
        <f>collect!A631</f>
        <v>26</v>
      </c>
      <c r="B631" s="20">
        <f>collect!B631</f>
        <v>2601</v>
      </c>
      <c r="C631" s="20">
        <f t="shared" ca="1" si="27"/>
        <v>50034</v>
      </c>
      <c r="D631" s="20">
        <f t="shared" ca="1" si="28"/>
        <v>5</v>
      </c>
      <c r="E631" s="20">
        <v>1</v>
      </c>
      <c r="H631" s="20">
        <f t="shared" si="29"/>
        <v>14</v>
      </c>
      <c r="M631" s="20">
        <v>630</v>
      </c>
    </row>
    <row r="632" spans="1:13" x14ac:dyDescent="0.15">
      <c r="A632" s="20">
        <f>collect!A632</f>
        <v>26</v>
      </c>
      <c r="B632" s="20">
        <f>collect!B632</f>
        <v>2602</v>
      </c>
      <c r="C632" s="20">
        <f t="shared" si="27"/>
        <v>50089</v>
      </c>
      <c r="D632" s="20">
        <f t="shared" si="28"/>
        <v>88</v>
      </c>
      <c r="E632" s="20">
        <v>1</v>
      </c>
      <c r="H632" s="20">
        <f t="shared" si="29"/>
        <v>2</v>
      </c>
      <c r="M632" s="20">
        <v>631</v>
      </c>
    </row>
    <row r="633" spans="1:13" x14ac:dyDescent="0.15">
      <c r="A633" s="20">
        <f>collect!A633</f>
        <v>26</v>
      </c>
      <c r="B633" s="20">
        <f>collect!B633</f>
        <v>2602</v>
      </c>
      <c r="C633" s="20">
        <f t="shared" ca="1" si="27"/>
        <v>50035</v>
      </c>
      <c r="D633" s="20">
        <f t="shared" ca="1" si="28"/>
        <v>181</v>
      </c>
      <c r="E633" s="20">
        <v>1</v>
      </c>
      <c r="H633" s="20">
        <f t="shared" si="29"/>
        <v>5</v>
      </c>
      <c r="M633" s="20">
        <v>632</v>
      </c>
    </row>
    <row r="634" spans="1:13" x14ac:dyDescent="0.15">
      <c r="A634" s="20">
        <f>collect!A634</f>
        <v>26</v>
      </c>
      <c r="B634" s="20">
        <f>collect!B634</f>
        <v>2602</v>
      </c>
      <c r="C634" s="20">
        <f t="shared" ca="1" si="27"/>
        <v>50029</v>
      </c>
      <c r="D634" s="20">
        <f t="shared" ca="1" si="28"/>
        <v>88</v>
      </c>
      <c r="E634" s="20">
        <v>1</v>
      </c>
      <c r="H634" s="20">
        <f t="shared" si="29"/>
        <v>8</v>
      </c>
      <c r="M634" s="20">
        <v>633</v>
      </c>
    </row>
    <row r="635" spans="1:13" x14ac:dyDescent="0.15">
      <c r="A635" s="20">
        <f>collect!A635</f>
        <v>26</v>
      </c>
      <c r="B635" s="20">
        <f>collect!B635</f>
        <v>2602</v>
      </c>
      <c r="C635" s="20">
        <f t="shared" ca="1" si="27"/>
        <v>50017</v>
      </c>
      <c r="D635" s="20">
        <f t="shared" ca="1" si="28"/>
        <v>32</v>
      </c>
      <c r="E635" s="20">
        <v>1</v>
      </c>
      <c r="H635" s="20">
        <f t="shared" si="29"/>
        <v>11</v>
      </c>
      <c r="M635" s="20">
        <v>634</v>
      </c>
    </row>
    <row r="636" spans="1:13" x14ac:dyDescent="0.15">
      <c r="A636" s="20">
        <f>collect!A636</f>
        <v>26</v>
      </c>
      <c r="B636" s="20">
        <f>collect!B636</f>
        <v>2602</v>
      </c>
      <c r="C636" s="20">
        <f t="shared" ca="1" si="27"/>
        <v>50033</v>
      </c>
      <c r="D636" s="20">
        <f t="shared" ca="1" si="28"/>
        <v>32</v>
      </c>
      <c r="E636" s="20">
        <v>1</v>
      </c>
      <c r="H636" s="20">
        <f t="shared" si="29"/>
        <v>14</v>
      </c>
      <c r="M636" s="20">
        <v>635</v>
      </c>
    </row>
    <row r="637" spans="1:13" x14ac:dyDescent="0.15">
      <c r="A637" s="20">
        <f>collect!A637</f>
        <v>26</v>
      </c>
      <c r="B637" s="20">
        <f>collect!B637</f>
        <v>2603</v>
      </c>
      <c r="C637" s="20">
        <f t="shared" si="27"/>
        <v>50173</v>
      </c>
      <c r="D637" s="20">
        <f t="shared" si="28"/>
        <v>88</v>
      </c>
      <c r="E637" s="20">
        <v>1</v>
      </c>
      <c r="H637" s="20">
        <f t="shared" si="29"/>
        <v>2</v>
      </c>
      <c r="M637" s="20">
        <v>636</v>
      </c>
    </row>
    <row r="638" spans="1:13" x14ac:dyDescent="0.15">
      <c r="A638" s="20">
        <f>collect!A638</f>
        <v>26</v>
      </c>
      <c r="B638" s="20">
        <f>collect!B638</f>
        <v>2603</v>
      </c>
      <c r="C638" s="20">
        <f t="shared" ca="1" si="27"/>
        <v>50031</v>
      </c>
      <c r="D638" s="20">
        <f t="shared" ca="1" si="28"/>
        <v>181</v>
      </c>
      <c r="E638" s="20">
        <v>1</v>
      </c>
      <c r="H638" s="20">
        <f t="shared" si="29"/>
        <v>5</v>
      </c>
      <c r="M638" s="20">
        <v>637</v>
      </c>
    </row>
    <row r="639" spans="1:13" x14ac:dyDescent="0.15">
      <c r="A639" s="20">
        <f>collect!A639</f>
        <v>26</v>
      </c>
      <c r="B639" s="20">
        <f>collect!B639</f>
        <v>2603</v>
      </c>
      <c r="C639" s="20">
        <f t="shared" ca="1" si="27"/>
        <v>50014</v>
      </c>
      <c r="D639" s="20">
        <f t="shared" ca="1" si="28"/>
        <v>88</v>
      </c>
      <c r="E639" s="20">
        <v>1</v>
      </c>
      <c r="H639" s="20">
        <f t="shared" si="29"/>
        <v>8</v>
      </c>
      <c r="M639" s="20">
        <v>638</v>
      </c>
    </row>
    <row r="640" spans="1:13" x14ac:dyDescent="0.15">
      <c r="A640" s="20">
        <f>collect!A640</f>
        <v>26</v>
      </c>
      <c r="B640" s="20">
        <f>collect!B640</f>
        <v>2603</v>
      </c>
      <c r="C640" s="20">
        <f t="shared" ca="1" si="27"/>
        <v>50017</v>
      </c>
      <c r="D640" s="20">
        <f t="shared" ca="1" si="28"/>
        <v>32</v>
      </c>
      <c r="E640" s="20">
        <v>1</v>
      </c>
      <c r="H640" s="20">
        <f t="shared" si="29"/>
        <v>11</v>
      </c>
      <c r="M640" s="20">
        <v>639</v>
      </c>
    </row>
    <row r="641" spans="1:13" x14ac:dyDescent="0.15">
      <c r="A641" s="20">
        <f>collect!A641</f>
        <v>26</v>
      </c>
      <c r="B641" s="20">
        <f>collect!B641</f>
        <v>2603</v>
      </c>
      <c r="C641" s="20">
        <f t="shared" ca="1" si="27"/>
        <v>50039</v>
      </c>
      <c r="D641" s="20">
        <f t="shared" ca="1" si="28"/>
        <v>32</v>
      </c>
      <c r="E641" s="20">
        <v>1</v>
      </c>
      <c r="H641" s="20">
        <f t="shared" si="29"/>
        <v>14</v>
      </c>
      <c r="M641" s="20">
        <v>640</v>
      </c>
    </row>
    <row r="642" spans="1:13" x14ac:dyDescent="0.15">
      <c r="A642" s="20">
        <f>collect!A642</f>
        <v>26</v>
      </c>
      <c r="B642" s="20">
        <f>collect!B642</f>
        <v>2604</v>
      </c>
      <c r="C642" s="20">
        <f t="shared" ref="C642:C701" si="30">VLOOKUP(B642,plan2,H642,FALSE)</f>
        <v>50174</v>
      </c>
      <c r="D642" s="20">
        <f t="shared" ref="D642:D701" si="31">VLOOKUP(C642,marking,9,FALSE)</f>
        <v>88</v>
      </c>
      <c r="E642" s="20">
        <v>1</v>
      </c>
      <c r="H642" s="20">
        <f t="shared" si="29"/>
        <v>2</v>
      </c>
      <c r="M642" s="20">
        <v>641</v>
      </c>
    </row>
    <row r="643" spans="1:13" x14ac:dyDescent="0.15">
      <c r="A643" s="20">
        <f>collect!A643</f>
        <v>26</v>
      </c>
      <c r="B643" s="20">
        <f>collect!B643</f>
        <v>2604</v>
      </c>
      <c r="C643" s="20">
        <f t="shared" ca="1" si="30"/>
        <v>50005</v>
      </c>
      <c r="D643" s="20">
        <f t="shared" ca="1" si="31"/>
        <v>181</v>
      </c>
      <c r="E643" s="20">
        <v>1</v>
      </c>
      <c r="H643" s="20">
        <f t="shared" si="29"/>
        <v>5</v>
      </c>
      <c r="M643" s="20">
        <v>642</v>
      </c>
    </row>
    <row r="644" spans="1:13" x14ac:dyDescent="0.15">
      <c r="A644" s="20">
        <f>collect!A644</f>
        <v>26</v>
      </c>
      <c r="B644" s="20">
        <f>collect!B644</f>
        <v>2604</v>
      </c>
      <c r="C644" s="20">
        <f t="shared" ca="1" si="30"/>
        <v>50036</v>
      </c>
      <c r="D644" s="20">
        <f t="shared" ca="1" si="31"/>
        <v>88</v>
      </c>
      <c r="E644" s="20">
        <v>1</v>
      </c>
      <c r="H644" s="20">
        <f t="shared" si="29"/>
        <v>8</v>
      </c>
      <c r="M644" s="20">
        <v>643</v>
      </c>
    </row>
    <row r="645" spans="1:13" x14ac:dyDescent="0.15">
      <c r="A645" s="20">
        <f>collect!A645</f>
        <v>26</v>
      </c>
      <c r="B645" s="20">
        <f>collect!B645</f>
        <v>2604</v>
      </c>
      <c r="C645" s="20">
        <f t="shared" ca="1" si="30"/>
        <v>50008</v>
      </c>
      <c r="D645" s="20">
        <f t="shared" ca="1" si="31"/>
        <v>55</v>
      </c>
      <c r="E645" s="20">
        <v>1</v>
      </c>
      <c r="H645" s="20">
        <f t="shared" si="29"/>
        <v>11</v>
      </c>
      <c r="M645" s="20">
        <v>644</v>
      </c>
    </row>
    <row r="646" spans="1:13" x14ac:dyDescent="0.15">
      <c r="A646" s="20">
        <f>collect!A646</f>
        <v>26</v>
      </c>
      <c r="B646" s="20">
        <f>collect!B646</f>
        <v>2604</v>
      </c>
      <c r="C646" s="20">
        <f t="shared" ca="1" si="30"/>
        <v>50037</v>
      </c>
      <c r="D646" s="20">
        <f t="shared" ca="1" si="31"/>
        <v>32</v>
      </c>
      <c r="E646" s="20">
        <v>1</v>
      </c>
      <c r="H646" s="20">
        <f t="shared" si="29"/>
        <v>14</v>
      </c>
      <c r="M646" s="20">
        <v>645</v>
      </c>
    </row>
    <row r="647" spans="1:13" x14ac:dyDescent="0.15">
      <c r="A647" s="20">
        <f>collect!A647</f>
        <v>26</v>
      </c>
      <c r="B647" s="20">
        <f>collect!B647</f>
        <v>2605</v>
      </c>
      <c r="C647" s="20">
        <f t="shared" si="30"/>
        <v>50175</v>
      </c>
      <c r="D647" s="20">
        <f t="shared" si="31"/>
        <v>88</v>
      </c>
      <c r="E647" s="20">
        <v>1</v>
      </c>
      <c r="H647" s="20">
        <f t="shared" si="29"/>
        <v>2</v>
      </c>
      <c r="M647" s="20">
        <v>646</v>
      </c>
    </row>
    <row r="648" spans="1:13" x14ac:dyDescent="0.15">
      <c r="A648" s="20">
        <f>collect!A648</f>
        <v>26</v>
      </c>
      <c r="B648" s="20">
        <f>collect!B648</f>
        <v>2605</v>
      </c>
      <c r="C648" s="20">
        <f t="shared" ca="1" si="30"/>
        <v>50015</v>
      </c>
      <c r="D648" s="20">
        <f t="shared" ca="1" si="31"/>
        <v>181</v>
      </c>
      <c r="E648" s="20">
        <v>1</v>
      </c>
      <c r="H648" s="20">
        <f t="shared" ref="H648:H701" si="32">H643</f>
        <v>5</v>
      </c>
      <c r="M648" s="20">
        <v>647</v>
      </c>
    </row>
    <row r="649" spans="1:13" x14ac:dyDescent="0.15">
      <c r="A649" s="20">
        <f>collect!A649</f>
        <v>26</v>
      </c>
      <c r="B649" s="20">
        <f>collect!B649</f>
        <v>2605</v>
      </c>
      <c r="C649" s="20">
        <f t="shared" ca="1" si="30"/>
        <v>50088</v>
      </c>
      <c r="D649" s="20">
        <f t="shared" ca="1" si="31"/>
        <v>129</v>
      </c>
      <c r="E649" s="20">
        <v>1</v>
      </c>
      <c r="H649" s="20">
        <f t="shared" si="32"/>
        <v>8</v>
      </c>
      <c r="M649" s="20">
        <v>648</v>
      </c>
    </row>
    <row r="650" spans="1:13" x14ac:dyDescent="0.15">
      <c r="A650" s="20">
        <f>collect!A650</f>
        <v>26</v>
      </c>
      <c r="B650" s="20">
        <f>collect!B650</f>
        <v>2605</v>
      </c>
      <c r="C650" s="20">
        <f t="shared" ca="1" si="30"/>
        <v>50008</v>
      </c>
      <c r="D650" s="20">
        <f t="shared" ca="1" si="31"/>
        <v>55</v>
      </c>
      <c r="E650" s="20">
        <v>1</v>
      </c>
      <c r="H650" s="20">
        <f t="shared" si="32"/>
        <v>11</v>
      </c>
      <c r="M650" s="20">
        <v>649</v>
      </c>
    </row>
    <row r="651" spans="1:13" x14ac:dyDescent="0.15">
      <c r="A651" s="20">
        <f>collect!A651</f>
        <v>26</v>
      </c>
      <c r="B651" s="20">
        <f>collect!B651</f>
        <v>2605</v>
      </c>
      <c r="C651" s="20">
        <f t="shared" ca="1" si="30"/>
        <v>50038</v>
      </c>
      <c r="D651" s="20">
        <f t="shared" ca="1" si="31"/>
        <v>32</v>
      </c>
      <c r="E651" s="20">
        <v>1</v>
      </c>
      <c r="H651" s="20">
        <f t="shared" si="32"/>
        <v>14</v>
      </c>
      <c r="M651" s="20">
        <v>650</v>
      </c>
    </row>
    <row r="652" spans="1:13" x14ac:dyDescent="0.15">
      <c r="A652" s="20">
        <f>collect!A652</f>
        <v>27</v>
      </c>
      <c r="B652" s="20">
        <f>collect!B652</f>
        <v>2701</v>
      </c>
      <c r="C652" s="20">
        <f t="shared" si="30"/>
        <v>50176</v>
      </c>
      <c r="D652" s="20">
        <f t="shared" si="31"/>
        <v>88</v>
      </c>
      <c r="E652" s="20">
        <v>1</v>
      </c>
      <c r="H652" s="20">
        <f t="shared" si="32"/>
        <v>2</v>
      </c>
      <c r="M652" s="20">
        <v>651</v>
      </c>
    </row>
    <row r="653" spans="1:13" x14ac:dyDescent="0.15">
      <c r="A653" s="20">
        <f>collect!A653</f>
        <v>27</v>
      </c>
      <c r="B653" s="20">
        <f>collect!B653</f>
        <v>2701</v>
      </c>
      <c r="C653" s="20">
        <f t="shared" ca="1" si="30"/>
        <v>50005</v>
      </c>
      <c r="D653" s="20">
        <f t="shared" ca="1" si="31"/>
        <v>181</v>
      </c>
      <c r="E653" s="20">
        <v>1</v>
      </c>
      <c r="H653" s="20">
        <f t="shared" si="32"/>
        <v>5</v>
      </c>
      <c r="M653" s="20">
        <v>652</v>
      </c>
    </row>
    <row r="654" spans="1:13" x14ac:dyDescent="0.15">
      <c r="A654" s="20">
        <f>collect!A654</f>
        <v>27</v>
      </c>
      <c r="B654" s="20">
        <f>collect!B654</f>
        <v>2701</v>
      </c>
      <c r="C654" s="20">
        <f t="shared" ca="1" si="30"/>
        <v>50020</v>
      </c>
      <c r="D654" s="20">
        <f t="shared" ca="1" si="31"/>
        <v>88</v>
      </c>
      <c r="E654" s="20">
        <v>1</v>
      </c>
      <c r="H654" s="20">
        <f t="shared" si="32"/>
        <v>8</v>
      </c>
      <c r="M654" s="20">
        <v>653</v>
      </c>
    </row>
    <row r="655" spans="1:13" x14ac:dyDescent="0.15">
      <c r="A655" s="20">
        <f>collect!A655</f>
        <v>27</v>
      </c>
      <c r="B655" s="20">
        <f>collect!B655</f>
        <v>2701</v>
      </c>
      <c r="C655" s="20">
        <f t="shared" ca="1" si="30"/>
        <v>50004</v>
      </c>
      <c r="D655" s="20">
        <f t="shared" ca="1" si="31"/>
        <v>55</v>
      </c>
      <c r="E655" s="20">
        <v>1</v>
      </c>
      <c r="H655" s="20">
        <f t="shared" si="32"/>
        <v>11</v>
      </c>
      <c r="M655" s="20">
        <v>654</v>
      </c>
    </row>
    <row r="656" spans="1:13" x14ac:dyDescent="0.15">
      <c r="A656" s="20">
        <f>collect!A656</f>
        <v>27</v>
      </c>
      <c r="B656" s="20">
        <f>collect!B656</f>
        <v>2701</v>
      </c>
      <c r="C656" s="20">
        <f t="shared" ca="1" si="30"/>
        <v>50034</v>
      </c>
      <c r="D656" s="20">
        <f t="shared" ca="1" si="31"/>
        <v>5</v>
      </c>
      <c r="E656" s="20">
        <v>1</v>
      </c>
      <c r="H656" s="20">
        <f t="shared" si="32"/>
        <v>14</v>
      </c>
      <c r="M656" s="20">
        <v>655</v>
      </c>
    </row>
    <row r="657" spans="1:13" x14ac:dyDescent="0.15">
      <c r="A657" s="20">
        <f>collect!A657</f>
        <v>27</v>
      </c>
      <c r="B657" s="20">
        <f>collect!B657</f>
        <v>2702</v>
      </c>
      <c r="C657" s="20">
        <f t="shared" si="30"/>
        <v>50004</v>
      </c>
      <c r="D657" s="20">
        <f t="shared" si="31"/>
        <v>55</v>
      </c>
      <c r="E657" s="20">
        <v>1</v>
      </c>
      <c r="H657" s="20">
        <f t="shared" si="32"/>
        <v>2</v>
      </c>
      <c r="M657" s="20">
        <v>656</v>
      </c>
    </row>
    <row r="658" spans="1:13" x14ac:dyDescent="0.15">
      <c r="A658" s="20">
        <f>collect!A658</f>
        <v>27</v>
      </c>
      <c r="B658" s="20">
        <f>collect!B658</f>
        <v>2702</v>
      </c>
      <c r="C658" s="20">
        <f t="shared" ca="1" si="30"/>
        <v>50010</v>
      </c>
      <c r="D658" s="20">
        <f t="shared" ca="1" si="31"/>
        <v>129</v>
      </c>
      <c r="E658" s="20">
        <v>1</v>
      </c>
      <c r="H658" s="20">
        <f t="shared" si="32"/>
        <v>5</v>
      </c>
      <c r="M658" s="20">
        <v>657</v>
      </c>
    </row>
    <row r="659" spans="1:13" x14ac:dyDescent="0.15">
      <c r="A659" s="20">
        <f>collect!A659</f>
        <v>27</v>
      </c>
      <c r="B659" s="20">
        <f>collect!B659</f>
        <v>2702</v>
      </c>
      <c r="C659" s="20">
        <f t="shared" ca="1" si="30"/>
        <v>50011</v>
      </c>
      <c r="D659" s="20">
        <f t="shared" ca="1" si="31"/>
        <v>88</v>
      </c>
      <c r="E659" s="20">
        <v>1</v>
      </c>
      <c r="H659" s="20">
        <f t="shared" si="32"/>
        <v>8</v>
      </c>
      <c r="M659" s="20">
        <v>658</v>
      </c>
    </row>
    <row r="660" spans="1:13" x14ac:dyDescent="0.15">
      <c r="A660" s="20">
        <f>collect!A660</f>
        <v>27</v>
      </c>
      <c r="B660" s="20">
        <f>collect!B660</f>
        <v>2702</v>
      </c>
      <c r="C660" s="20">
        <f t="shared" ca="1" si="30"/>
        <v>50039</v>
      </c>
      <c r="D660" s="20">
        <f t="shared" ca="1" si="31"/>
        <v>32</v>
      </c>
      <c r="E660" s="20">
        <v>1</v>
      </c>
      <c r="H660" s="20">
        <f t="shared" si="32"/>
        <v>11</v>
      </c>
      <c r="M660" s="20">
        <v>659</v>
      </c>
    </row>
    <row r="661" spans="1:13" x14ac:dyDescent="0.15">
      <c r="A661" s="20">
        <f>collect!A661</f>
        <v>27</v>
      </c>
      <c r="B661" s="20">
        <f>collect!B661</f>
        <v>2702</v>
      </c>
      <c r="C661" s="20">
        <f t="shared" ca="1" si="30"/>
        <v>50040</v>
      </c>
      <c r="D661" s="20">
        <f t="shared" ca="1" si="31"/>
        <v>32</v>
      </c>
      <c r="E661" s="20">
        <v>1</v>
      </c>
      <c r="H661" s="20">
        <f t="shared" si="32"/>
        <v>14</v>
      </c>
      <c r="M661" s="20">
        <v>660</v>
      </c>
    </row>
    <row r="662" spans="1:13" x14ac:dyDescent="0.15">
      <c r="A662" s="20">
        <f>collect!A662</f>
        <v>27</v>
      </c>
      <c r="B662" s="20">
        <f>collect!B662</f>
        <v>2703</v>
      </c>
      <c r="C662" s="20">
        <f t="shared" si="30"/>
        <v>50008</v>
      </c>
      <c r="D662" s="20">
        <f t="shared" si="31"/>
        <v>55</v>
      </c>
      <c r="E662" s="20">
        <v>1</v>
      </c>
      <c r="H662" s="20">
        <f t="shared" si="32"/>
        <v>2</v>
      </c>
      <c r="M662" s="20">
        <v>661</v>
      </c>
    </row>
    <row r="663" spans="1:13" x14ac:dyDescent="0.15">
      <c r="A663" s="20">
        <f>collect!A663</f>
        <v>27</v>
      </c>
      <c r="B663" s="20">
        <f>collect!B663</f>
        <v>2703</v>
      </c>
      <c r="C663" s="20">
        <f t="shared" ca="1" si="30"/>
        <v>50001</v>
      </c>
      <c r="D663" s="20">
        <f t="shared" ca="1" si="31"/>
        <v>181</v>
      </c>
      <c r="E663" s="20">
        <v>1</v>
      </c>
      <c r="H663" s="20">
        <f t="shared" si="32"/>
        <v>5</v>
      </c>
      <c r="M663" s="20">
        <v>662</v>
      </c>
    </row>
    <row r="664" spans="1:13" x14ac:dyDescent="0.15">
      <c r="A664" s="20">
        <f>collect!A664</f>
        <v>27</v>
      </c>
      <c r="B664" s="20">
        <f>collect!B664</f>
        <v>2703</v>
      </c>
      <c r="C664" s="20">
        <f t="shared" ca="1" si="30"/>
        <v>50030</v>
      </c>
      <c r="D664" s="20">
        <f t="shared" ca="1" si="31"/>
        <v>88</v>
      </c>
      <c r="E664" s="20">
        <v>1</v>
      </c>
      <c r="H664" s="20">
        <f t="shared" si="32"/>
        <v>8</v>
      </c>
      <c r="M664" s="20">
        <v>663</v>
      </c>
    </row>
    <row r="665" spans="1:13" x14ac:dyDescent="0.15">
      <c r="A665" s="20">
        <f>collect!A665</f>
        <v>27</v>
      </c>
      <c r="B665" s="20">
        <f>collect!B665</f>
        <v>2703</v>
      </c>
      <c r="C665" s="20">
        <f t="shared" ca="1" si="30"/>
        <v>50017</v>
      </c>
      <c r="D665" s="20">
        <f t="shared" ca="1" si="31"/>
        <v>32</v>
      </c>
      <c r="E665" s="20">
        <v>1</v>
      </c>
      <c r="H665" s="20">
        <f t="shared" si="32"/>
        <v>11</v>
      </c>
      <c r="M665" s="20">
        <v>664</v>
      </c>
    </row>
    <row r="666" spans="1:13" x14ac:dyDescent="0.15">
      <c r="A666" s="20">
        <f>collect!A666</f>
        <v>27</v>
      </c>
      <c r="B666" s="20">
        <f>collect!B666</f>
        <v>2703</v>
      </c>
      <c r="C666" s="20">
        <f t="shared" ca="1" si="30"/>
        <v>50033</v>
      </c>
      <c r="D666" s="20">
        <f t="shared" ca="1" si="31"/>
        <v>32</v>
      </c>
      <c r="E666" s="20">
        <v>1</v>
      </c>
      <c r="H666" s="20">
        <f t="shared" si="32"/>
        <v>14</v>
      </c>
      <c r="M666" s="20">
        <v>665</v>
      </c>
    </row>
    <row r="667" spans="1:13" x14ac:dyDescent="0.15">
      <c r="A667" s="20">
        <f>collect!A667</f>
        <v>27</v>
      </c>
      <c r="B667" s="20">
        <f>collect!B667</f>
        <v>2704</v>
      </c>
      <c r="C667" s="20">
        <f t="shared" si="30"/>
        <v>50012</v>
      </c>
      <c r="D667" s="20">
        <f t="shared" si="31"/>
        <v>55</v>
      </c>
      <c r="E667" s="20">
        <v>1</v>
      </c>
      <c r="H667" s="20">
        <f t="shared" si="32"/>
        <v>2</v>
      </c>
      <c r="M667" s="20">
        <v>666</v>
      </c>
    </row>
    <row r="668" spans="1:13" x14ac:dyDescent="0.15">
      <c r="A668" s="20">
        <f>collect!A668</f>
        <v>27</v>
      </c>
      <c r="B668" s="20">
        <f>collect!B668</f>
        <v>2704</v>
      </c>
      <c r="C668" s="20">
        <f t="shared" ca="1" si="30"/>
        <v>50015</v>
      </c>
      <c r="D668" s="20">
        <f t="shared" ca="1" si="31"/>
        <v>181</v>
      </c>
      <c r="E668" s="20">
        <v>1</v>
      </c>
      <c r="H668" s="20">
        <f t="shared" si="32"/>
        <v>5</v>
      </c>
      <c r="M668" s="20">
        <v>667</v>
      </c>
    </row>
    <row r="669" spans="1:13" x14ac:dyDescent="0.15">
      <c r="A669" s="20">
        <f>collect!A669</f>
        <v>27</v>
      </c>
      <c r="B669" s="20">
        <f>collect!B669</f>
        <v>2704</v>
      </c>
      <c r="C669" s="20">
        <f t="shared" ca="1" si="30"/>
        <v>50020</v>
      </c>
      <c r="D669" s="20">
        <f t="shared" ca="1" si="31"/>
        <v>88</v>
      </c>
      <c r="E669" s="20">
        <v>1</v>
      </c>
      <c r="H669" s="20">
        <f t="shared" si="32"/>
        <v>8</v>
      </c>
      <c r="M669" s="20">
        <v>668</v>
      </c>
    </row>
    <row r="670" spans="1:13" x14ac:dyDescent="0.15">
      <c r="A670" s="20">
        <f>collect!A670</f>
        <v>27</v>
      </c>
      <c r="B670" s="20">
        <f>collect!B670</f>
        <v>2704</v>
      </c>
      <c r="C670" s="20">
        <f t="shared" ca="1" si="30"/>
        <v>50038</v>
      </c>
      <c r="D670" s="20">
        <f t="shared" ca="1" si="31"/>
        <v>32</v>
      </c>
      <c r="E670" s="20">
        <v>1</v>
      </c>
      <c r="H670" s="20">
        <f t="shared" si="32"/>
        <v>11</v>
      </c>
      <c r="M670" s="20">
        <v>669</v>
      </c>
    </row>
    <row r="671" spans="1:13" x14ac:dyDescent="0.15">
      <c r="A671" s="20">
        <f>collect!A671</f>
        <v>27</v>
      </c>
      <c r="B671" s="20">
        <f>collect!B671</f>
        <v>2704</v>
      </c>
      <c r="C671" s="20">
        <f t="shared" ca="1" si="30"/>
        <v>50033</v>
      </c>
      <c r="D671" s="20">
        <f t="shared" ca="1" si="31"/>
        <v>32</v>
      </c>
      <c r="E671" s="20">
        <v>1</v>
      </c>
      <c r="H671" s="20">
        <f t="shared" si="32"/>
        <v>14</v>
      </c>
      <c r="M671" s="20">
        <v>670</v>
      </c>
    </row>
    <row r="672" spans="1:13" x14ac:dyDescent="0.15">
      <c r="A672" s="20">
        <f>collect!A672</f>
        <v>27</v>
      </c>
      <c r="B672" s="20">
        <f>collect!B672</f>
        <v>2705</v>
      </c>
      <c r="C672" s="20">
        <f t="shared" si="30"/>
        <v>50017</v>
      </c>
      <c r="D672" s="20">
        <f t="shared" si="31"/>
        <v>32</v>
      </c>
      <c r="E672" s="20">
        <v>1</v>
      </c>
      <c r="H672" s="20">
        <f t="shared" si="32"/>
        <v>2</v>
      </c>
      <c r="M672" s="20">
        <v>671</v>
      </c>
    </row>
    <row r="673" spans="1:13" x14ac:dyDescent="0.15">
      <c r="A673" s="20">
        <f>collect!A673</f>
        <v>27</v>
      </c>
      <c r="B673" s="20">
        <f>collect!B673</f>
        <v>2705</v>
      </c>
      <c r="C673" s="20">
        <f t="shared" ca="1" si="30"/>
        <v>50001</v>
      </c>
      <c r="D673" s="20">
        <f t="shared" ca="1" si="31"/>
        <v>181</v>
      </c>
      <c r="E673" s="20">
        <v>1</v>
      </c>
      <c r="H673" s="20">
        <f t="shared" si="32"/>
        <v>5</v>
      </c>
      <c r="M673" s="20">
        <v>672</v>
      </c>
    </row>
    <row r="674" spans="1:13" x14ac:dyDescent="0.15">
      <c r="A674" s="20">
        <f>collect!A674</f>
        <v>27</v>
      </c>
      <c r="B674" s="20">
        <f>collect!B674</f>
        <v>2705</v>
      </c>
      <c r="C674" s="20">
        <f t="shared" ca="1" si="30"/>
        <v>50175</v>
      </c>
      <c r="D674" s="20">
        <f t="shared" ca="1" si="31"/>
        <v>88</v>
      </c>
      <c r="E674" s="20">
        <v>1</v>
      </c>
      <c r="H674" s="20">
        <f t="shared" si="32"/>
        <v>8</v>
      </c>
      <c r="M674" s="20">
        <v>673</v>
      </c>
    </row>
    <row r="675" spans="1:13" x14ac:dyDescent="0.15">
      <c r="A675" s="20">
        <f>collect!A675</f>
        <v>27</v>
      </c>
      <c r="B675" s="20">
        <f>collect!B675</f>
        <v>2705</v>
      </c>
      <c r="C675" s="20">
        <f t="shared" ca="1" si="30"/>
        <v>50017</v>
      </c>
      <c r="D675" s="20">
        <f t="shared" ca="1" si="31"/>
        <v>32</v>
      </c>
      <c r="E675" s="20">
        <v>1</v>
      </c>
      <c r="H675" s="20">
        <f t="shared" si="32"/>
        <v>11</v>
      </c>
      <c r="M675" s="20">
        <v>674</v>
      </c>
    </row>
    <row r="676" spans="1:13" x14ac:dyDescent="0.15">
      <c r="A676" s="20">
        <f>collect!A676</f>
        <v>27</v>
      </c>
      <c r="B676" s="20">
        <f>collect!B676</f>
        <v>2705</v>
      </c>
      <c r="C676" s="20">
        <f t="shared" ca="1" si="30"/>
        <v>50017</v>
      </c>
      <c r="D676" s="20">
        <f t="shared" ca="1" si="31"/>
        <v>32</v>
      </c>
      <c r="E676" s="20">
        <v>1</v>
      </c>
      <c r="H676" s="20">
        <f t="shared" si="32"/>
        <v>14</v>
      </c>
      <c r="M676" s="20">
        <v>675</v>
      </c>
    </row>
    <row r="677" spans="1:13" x14ac:dyDescent="0.15">
      <c r="A677" s="20">
        <f>collect!A677</f>
        <v>28</v>
      </c>
      <c r="B677" s="20">
        <f>collect!B677</f>
        <v>2801</v>
      </c>
      <c r="C677" s="20">
        <f t="shared" si="30"/>
        <v>50033</v>
      </c>
      <c r="D677" s="20">
        <f t="shared" si="31"/>
        <v>32</v>
      </c>
      <c r="E677" s="20">
        <v>1</v>
      </c>
      <c r="H677" s="20">
        <f t="shared" si="32"/>
        <v>2</v>
      </c>
      <c r="M677" s="20">
        <v>676</v>
      </c>
    </row>
    <row r="678" spans="1:13" x14ac:dyDescent="0.15">
      <c r="A678" s="20">
        <f>collect!A678</f>
        <v>28</v>
      </c>
      <c r="B678" s="20">
        <f>collect!B678</f>
        <v>2801</v>
      </c>
      <c r="C678" s="20">
        <f t="shared" ca="1" si="30"/>
        <v>50015</v>
      </c>
      <c r="D678" s="20">
        <f t="shared" ca="1" si="31"/>
        <v>181</v>
      </c>
      <c r="E678" s="20">
        <v>1</v>
      </c>
      <c r="H678" s="20">
        <f t="shared" si="32"/>
        <v>5</v>
      </c>
      <c r="M678" s="20">
        <v>677</v>
      </c>
    </row>
    <row r="679" spans="1:13" x14ac:dyDescent="0.15">
      <c r="A679" s="20">
        <f>collect!A679</f>
        <v>28</v>
      </c>
      <c r="B679" s="20">
        <f>collect!B679</f>
        <v>2801</v>
      </c>
      <c r="C679" s="20">
        <f t="shared" ca="1" si="30"/>
        <v>50176</v>
      </c>
      <c r="D679" s="20">
        <f t="shared" ca="1" si="31"/>
        <v>88</v>
      </c>
      <c r="E679" s="20">
        <v>1</v>
      </c>
      <c r="H679" s="20">
        <f t="shared" si="32"/>
        <v>8</v>
      </c>
      <c r="M679" s="20">
        <v>678</v>
      </c>
    </row>
    <row r="680" spans="1:13" x14ac:dyDescent="0.15">
      <c r="A680" s="20">
        <f>collect!A680</f>
        <v>28</v>
      </c>
      <c r="B680" s="20">
        <f>collect!B680</f>
        <v>2801</v>
      </c>
      <c r="C680" s="20">
        <f t="shared" ca="1" si="30"/>
        <v>50039</v>
      </c>
      <c r="D680" s="20">
        <f t="shared" ca="1" si="31"/>
        <v>32</v>
      </c>
      <c r="E680" s="20">
        <v>1</v>
      </c>
      <c r="H680" s="20">
        <f t="shared" si="32"/>
        <v>11</v>
      </c>
      <c r="M680" s="20">
        <v>679</v>
      </c>
    </row>
    <row r="681" spans="1:13" x14ac:dyDescent="0.15">
      <c r="A681" s="20">
        <f>collect!A681</f>
        <v>28</v>
      </c>
      <c r="B681" s="20">
        <f>collect!B681</f>
        <v>2801</v>
      </c>
      <c r="C681" s="20">
        <f t="shared" ca="1" si="30"/>
        <v>50038</v>
      </c>
      <c r="D681" s="20">
        <f t="shared" ca="1" si="31"/>
        <v>32</v>
      </c>
      <c r="E681" s="20">
        <v>1</v>
      </c>
      <c r="H681" s="20">
        <f t="shared" si="32"/>
        <v>14</v>
      </c>
      <c r="M681" s="20">
        <v>680</v>
      </c>
    </row>
    <row r="682" spans="1:13" x14ac:dyDescent="0.15">
      <c r="A682" s="20">
        <f>collect!A682</f>
        <v>28</v>
      </c>
      <c r="B682" s="20">
        <f>collect!B682</f>
        <v>2802</v>
      </c>
      <c r="C682" s="20">
        <f t="shared" si="30"/>
        <v>50037</v>
      </c>
      <c r="D682" s="20">
        <f t="shared" si="31"/>
        <v>32</v>
      </c>
      <c r="E682" s="20">
        <v>1</v>
      </c>
      <c r="H682" s="20">
        <f t="shared" si="32"/>
        <v>2</v>
      </c>
      <c r="M682" s="20">
        <v>681</v>
      </c>
    </row>
    <row r="683" spans="1:13" x14ac:dyDescent="0.15">
      <c r="A683" s="20">
        <f>collect!A683</f>
        <v>28</v>
      </c>
      <c r="B683" s="20">
        <f>collect!B683</f>
        <v>2802</v>
      </c>
      <c r="C683" s="20">
        <f t="shared" ca="1" si="30"/>
        <v>50031</v>
      </c>
      <c r="D683" s="20">
        <f t="shared" ca="1" si="31"/>
        <v>181</v>
      </c>
      <c r="E683" s="20">
        <v>1</v>
      </c>
      <c r="H683" s="20">
        <f t="shared" si="32"/>
        <v>5</v>
      </c>
      <c r="M683" s="20">
        <v>682</v>
      </c>
    </row>
    <row r="684" spans="1:13" x14ac:dyDescent="0.15">
      <c r="A684" s="20">
        <f>collect!A684</f>
        <v>28</v>
      </c>
      <c r="B684" s="20">
        <f>collect!B684</f>
        <v>2802</v>
      </c>
      <c r="C684" s="20">
        <f t="shared" ca="1" si="30"/>
        <v>50019</v>
      </c>
      <c r="D684" s="20">
        <f t="shared" ca="1" si="31"/>
        <v>88</v>
      </c>
      <c r="E684" s="20">
        <v>1</v>
      </c>
      <c r="H684" s="20">
        <f t="shared" si="32"/>
        <v>8</v>
      </c>
      <c r="M684" s="20">
        <v>683</v>
      </c>
    </row>
    <row r="685" spans="1:13" x14ac:dyDescent="0.15">
      <c r="A685" s="20">
        <f>collect!A685</f>
        <v>28</v>
      </c>
      <c r="B685" s="20">
        <f>collect!B685</f>
        <v>2802</v>
      </c>
      <c r="C685" s="20">
        <f t="shared" ca="1" si="30"/>
        <v>50037</v>
      </c>
      <c r="D685" s="20">
        <f t="shared" ca="1" si="31"/>
        <v>32</v>
      </c>
      <c r="E685" s="20">
        <v>1</v>
      </c>
      <c r="H685" s="20">
        <f t="shared" si="32"/>
        <v>11</v>
      </c>
      <c r="M685" s="20">
        <v>684</v>
      </c>
    </row>
    <row r="686" spans="1:13" x14ac:dyDescent="0.15">
      <c r="A686" s="20">
        <f>collect!A686</f>
        <v>28</v>
      </c>
      <c r="B686" s="20">
        <f>collect!B686</f>
        <v>2802</v>
      </c>
      <c r="C686" s="20">
        <f t="shared" ca="1" si="30"/>
        <v>50039</v>
      </c>
      <c r="D686" s="20">
        <f t="shared" ca="1" si="31"/>
        <v>32</v>
      </c>
      <c r="E686" s="20">
        <v>1</v>
      </c>
      <c r="H686" s="20">
        <f t="shared" si="32"/>
        <v>14</v>
      </c>
      <c r="M686" s="20">
        <v>685</v>
      </c>
    </row>
    <row r="687" spans="1:13" x14ac:dyDescent="0.15">
      <c r="A687" s="20">
        <f>collect!A687</f>
        <v>28</v>
      </c>
      <c r="B687" s="20">
        <f>collect!B687</f>
        <v>2803</v>
      </c>
      <c r="C687" s="20">
        <f t="shared" si="30"/>
        <v>50038</v>
      </c>
      <c r="D687" s="20">
        <f t="shared" si="31"/>
        <v>32</v>
      </c>
      <c r="E687" s="20">
        <v>1</v>
      </c>
      <c r="H687" s="20">
        <f t="shared" si="32"/>
        <v>2</v>
      </c>
      <c r="M687" s="20">
        <v>686</v>
      </c>
    </row>
    <row r="688" spans="1:13" x14ac:dyDescent="0.15">
      <c r="A688" s="20">
        <f>collect!A688</f>
        <v>28</v>
      </c>
      <c r="B688" s="20">
        <f>collect!B688</f>
        <v>2803</v>
      </c>
      <c r="C688" s="20">
        <f t="shared" ca="1" si="30"/>
        <v>50035</v>
      </c>
      <c r="D688" s="20">
        <f t="shared" ca="1" si="31"/>
        <v>181</v>
      </c>
      <c r="E688" s="20">
        <v>1</v>
      </c>
      <c r="H688" s="20">
        <f t="shared" si="32"/>
        <v>5</v>
      </c>
      <c r="M688" s="20">
        <v>687</v>
      </c>
    </row>
    <row r="689" spans="1:13" x14ac:dyDescent="0.15">
      <c r="A689" s="20">
        <f>collect!A689</f>
        <v>28</v>
      </c>
      <c r="B689" s="20">
        <f>collect!B689</f>
        <v>2803</v>
      </c>
      <c r="C689" s="20">
        <f t="shared" ca="1" si="30"/>
        <v>50088</v>
      </c>
      <c r="D689" s="20">
        <f t="shared" ca="1" si="31"/>
        <v>129</v>
      </c>
      <c r="E689" s="20">
        <v>1</v>
      </c>
      <c r="H689" s="20">
        <f t="shared" si="32"/>
        <v>8</v>
      </c>
      <c r="M689" s="20">
        <v>688</v>
      </c>
    </row>
    <row r="690" spans="1:13" x14ac:dyDescent="0.15">
      <c r="A690" s="20">
        <f>collect!A690</f>
        <v>28</v>
      </c>
      <c r="B690" s="20">
        <f>collect!B690</f>
        <v>2803</v>
      </c>
      <c r="C690" s="20">
        <f t="shared" ca="1" si="30"/>
        <v>50038</v>
      </c>
      <c r="D690" s="20">
        <f t="shared" ca="1" si="31"/>
        <v>32</v>
      </c>
      <c r="E690" s="20">
        <v>1</v>
      </c>
      <c r="H690" s="20">
        <f t="shared" si="32"/>
        <v>11</v>
      </c>
      <c r="M690" s="20">
        <v>689</v>
      </c>
    </row>
    <row r="691" spans="1:13" x14ac:dyDescent="0.15">
      <c r="A691" s="20">
        <f>collect!A691</f>
        <v>28</v>
      </c>
      <c r="B691" s="20">
        <f>collect!B691</f>
        <v>2803</v>
      </c>
      <c r="C691" s="20">
        <f t="shared" ca="1" si="30"/>
        <v>50039</v>
      </c>
      <c r="D691" s="20">
        <f t="shared" ca="1" si="31"/>
        <v>32</v>
      </c>
      <c r="E691" s="20">
        <v>1</v>
      </c>
      <c r="H691" s="20">
        <f t="shared" si="32"/>
        <v>14</v>
      </c>
      <c r="M691" s="20">
        <v>690</v>
      </c>
    </row>
    <row r="692" spans="1:13" x14ac:dyDescent="0.15">
      <c r="A692" s="20">
        <f>collect!A692</f>
        <v>28</v>
      </c>
      <c r="B692" s="20">
        <f>collect!B692</f>
        <v>2804</v>
      </c>
      <c r="C692" s="20">
        <f t="shared" si="30"/>
        <v>50039</v>
      </c>
      <c r="D692" s="20">
        <f t="shared" si="31"/>
        <v>32</v>
      </c>
      <c r="E692" s="20">
        <v>1</v>
      </c>
      <c r="H692" s="20">
        <f t="shared" si="32"/>
        <v>2</v>
      </c>
      <c r="M692" s="20">
        <v>691</v>
      </c>
    </row>
    <row r="693" spans="1:13" x14ac:dyDescent="0.15">
      <c r="A693" s="20">
        <f>collect!A693</f>
        <v>28</v>
      </c>
      <c r="B693" s="20">
        <f>collect!B693</f>
        <v>2804</v>
      </c>
      <c r="C693" s="20">
        <f t="shared" ca="1" si="30"/>
        <v>50035</v>
      </c>
      <c r="D693" s="20">
        <f t="shared" ca="1" si="31"/>
        <v>181</v>
      </c>
      <c r="E693" s="20">
        <v>1</v>
      </c>
      <c r="H693" s="20">
        <f t="shared" si="32"/>
        <v>5</v>
      </c>
      <c r="M693" s="20">
        <v>692</v>
      </c>
    </row>
    <row r="694" spans="1:13" x14ac:dyDescent="0.15">
      <c r="A694" s="20">
        <f>collect!A694</f>
        <v>28</v>
      </c>
      <c r="B694" s="20">
        <f>collect!B694</f>
        <v>2804</v>
      </c>
      <c r="C694" s="20">
        <f t="shared" ca="1" si="30"/>
        <v>50020</v>
      </c>
      <c r="D694" s="20">
        <f t="shared" ca="1" si="31"/>
        <v>88</v>
      </c>
      <c r="E694" s="20">
        <v>1</v>
      </c>
      <c r="H694" s="20">
        <f t="shared" si="32"/>
        <v>8</v>
      </c>
      <c r="M694" s="20">
        <v>693</v>
      </c>
    </row>
    <row r="695" spans="1:13" x14ac:dyDescent="0.15">
      <c r="A695" s="20">
        <f>collect!A695</f>
        <v>28</v>
      </c>
      <c r="B695" s="20">
        <f>collect!B695</f>
        <v>2804</v>
      </c>
      <c r="C695" s="20">
        <f t="shared" ca="1" si="30"/>
        <v>50012</v>
      </c>
      <c r="D695" s="20">
        <f t="shared" ca="1" si="31"/>
        <v>55</v>
      </c>
      <c r="E695" s="20">
        <v>1</v>
      </c>
      <c r="H695" s="20">
        <f t="shared" si="32"/>
        <v>11</v>
      </c>
      <c r="M695" s="20">
        <v>694</v>
      </c>
    </row>
    <row r="696" spans="1:13" x14ac:dyDescent="0.15">
      <c r="A696" s="20">
        <f>collect!A696</f>
        <v>28</v>
      </c>
      <c r="B696" s="20">
        <f>collect!B696</f>
        <v>2804</v>
      </c>
      <c r="C696" s="20">
        <f t="shared" ca="1" si="30"/>
        <v>50033</v>
      </c>
      <c r="D696" s="20">
        <f t="shared" ca="1" si="31"/>
        <v>32</v>
      </c>
      <c r="E696" s="20">
        <v>1</v>
      </c>
      <c r="H696" s="20">
        <f t="shared" si="32"/>
        <v>14</v>
      </c>
      <c r="M696" s="20">
        <v>695</v>
      </c>
    </row>
    <row r="697" spans="1:13" x14ac:dyDescent="0.15">
      <c r="A697" s="20">
        <f>collect!A697</f>
        <v>28</v>
      </c>
      <c r="B697" s="20">
        <f>collect!B697</f>
        <v>2805</v>
      </c>
      <c r="C697" s="20">
        <f t="shared" si="30"/>
        <v>50040</v>
      </c>
      <c r="D697" s="20">
        <f t="shared" si="31"/>
        <v>32</v>
      </c>
      <c r="E697" s="20">
        <v>1</v>
      </c>
      <c r="H697" s="20">
        <f t="shared" si="32"/>
        <v>2</v>
      </c>
      <c r="M697" s="20">
        <v>696</v>
      </c>
    </row>
    <row r="698" spans="1:13" x14ac:dyDescent="0.15">
      <c r="A698" s="20">
        <f>collect!A698</f>
        <v>28</v>
      </c>
      <c r="B698" s="20">
        <f>collect!B698</f>
        <v>2805</v>
      </c>
      <c r="C698" s="20">
        <f t="shared" ca="1" si="30"/>
        <v>50009</v>
      </c>
      <c r="D698" s="20">
        <f t="shared" ca="1" si="31"/>
        <v>181</v>
      </c>
      <c r="E698" s="20">
        <v>1</v>
      </c>
      <c r="H698" s="20">
        <f t="shared" si="32"/>
        <v>5</v>
      </c>
      <c r="M698" s="20">
        <v>697</v>
      </c>
    </row>
    <row r="699" spans="1:13" x14ac:dyDescent="0.15">
      <c r="A699" s="20">
        <f>collect!A699</f>
        <v>28</v>
      </c>
      <c r="B699" s="20">
        <f>collect!B699</f>
        <v>2805</v>
      </c>
      <c r="C699" s="20">
        <f t="shared" ca="1" si="30"/>
        <v>50174</v>
      </c>
      <c r="D699" s="20">
        <f t="shared" ca="1" si="31"/>
        <v>88</v>
      </c>
      <c r="E699" s="20">
        <v>1</v>
      </c>
      <c r="H699" s="20">
        <f t="shared" si="32"/>
        <v>8</v>
      </c>
      <c r="M699" s="20">
        <v>698</v>
      </c>
    </row>
    <row r="700" spans="1:13" x14ac:dyDescent="0.15">
      <c r="A700" s="20">
        <f>collect!A700</f>
        <v>28</v>
      </c>
      <c r="B700" s="20">
        <f>collect!B700</f>
        <v>2805</v>
      </c>
      <c r="C700" s="20">
        <f t="shared" ca="1" si="30"/>
        <v>50038</v>
      </c>
      <c r="D700" s="20">
        <f t="shared" ca="1" si="31"/>
        <v>32</v>
      </c>
      <c r="E700" s="20">
        <v>1</v>
      </c>
      <c r="H700" s="20">
        <f t="shared" si="32"/>
        <v>11</v>
      </c>
      <c r="M700" s="20">
        <v>699</v>
      </c>
    </row>
    <row r="701" spans="1:13" x14ac:dyDescent="0.15">
      <c r="A701" s="20">
        <f>collect!A701</f>
        <v>28</v>
      </c>
      <c r="B701" s="20">
        <f>collect!B701</f>
        <v>2805</v>
      </c>
      <c r="C701" s="20">
        <f t="shared" ca="1" si="30"/>
        <v>50017</v>
      </c>
      <c r="D701" s="20">
        <f t="shared" ca="1" si="31"/>
        <v>32</v>
      </c>
      <c r="E701" s="20">
        <v>1</v>
      </c>
      <c r="H701" s="20">
        <f t="shared" si="32"/>
        <v>14</v>
      </c>
      <c r="M701" s="20">
        <v>700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01"/>
  <sheetViews>
    <sheetView tabSelected="1" workbookViewId="0">
      <selection activeCell="C2" sqref="C2:C7"/>
    </sheetView>
  </sheetViews>
  <sheetFormatPr defaultRowHeight="12.75" x14ac:dyDescent="0.15"/>
  <cols>
    <col min="1" max="2" width="9" style="20"/>
    <col min="3" max="3" width="15.375" style="20" customWidth="1"/>
    <col min="4" max="8" width="9" style="20"/>
    <col min="9" max="9" width="16.5" style="20" customWidth="1"/>
    <col min="10" max="16384" width="9" style="20"/>
  </cols>
  <sheetData>
    <row r="1" spans="1:13" x14ac:dyDescent="0.15">
      <c r="A1" s="20" t="s">
        <v>904</v>
      </c>
      <c r="B1" s="20" t="s">
        <v>905</v>
      </c>
      <c r="C1" s="20" t="s">
        <v>908</v>
      </c>
      <c r="D1" s="20" t="s">
        <v>906</v>
      </c>
      <c r="E1" s="20" t="s">
        <v>907</v>
      </c>
      <c r="I1" s="23"/>
      <c r="M1" s="20" t="s">
        <v>903</v>
      </c>
    </row>
    <row r="2" spans="1:13" x14ac:dyDescent="0.15">
      <c r="A2" s="20">
        <f>dig!A2</f>
        <v>1</v>
      </c>
      <c r="B2" s="20">
        <f>dig!B2</f>
        <v>101</v>
      </c>
      <c r="C2" s="20">
        <f>B2*100+COUNTIF(B$2:B2,B2)</f>
        <v>10101</v>
      </c>
      <c r="D2" s="20">
        <f>IF(OR(RIGHT(C2,1)="5",RIGHT(C2,1)="4"),10,30)</f>
        <v>30</v>
      </c>
      <c r="E2" s="20">
        <v>1</v>
      </c>
      <c r="H2" s="20" t="str">
        <f>VLOOKUP(C2,[1]!moster1,10,FALSE)</f>
        <v/>
      </c>
      <c r="J2" s="20">
        <v>1</v>
      </c>
      <c r="M2" s="20">
        <v>1</v>
      </c>
    </row>
    <row r="3" spans="1:13" x14ac:dyDescent="0.15">
      <c r="A3" s="20">
        <f>dig!A3</f>
        <v>1</v>
      </c>
      <c r="B3" s="20">
        <f>dig!B3</f>
        <v>101</v>
      </c>
      <c r="C3" s="20">
        <f>B3*100+COUNTIF(B$2:B3,B3)</f>
        <v>10102</v>
      </c>
      <c r="D3" s="20">
        <f t="shared" ref="D3:D66" si="0">IF(OR(RIGHT(C3,1)="5",RIGHT(C3,1)="4"),10,30)</f>
        <v>30</v>
      </c>
      <c r="E3" s="20">
        <v>1</v>
      </c>
      <c r="H3" s="20" t="str">
        <f>VLOOKUP(C3,[1]!moster1,10,FALSE)</f>
        <v/>
      </c>
      <c r="J3" s="20">
        <v>6</v>
      </c>
      <c r="M3" s="20">
        <v>2</v>
      </c>
    </row>
    <row r="4" spans="1:13" x14ac:dyDescent="0.15">
      <c r="A4" s="20">
        <f>dig!A4</f>
        <v>1</v>
      </c>
      <c r="B4" s="20">
        <f>dig!B4</f>
        <v>101</v>
      </c>
      <c r="C4" s="20">
        <f>B4*100+COUNTIF(B$2:B4,B4)</f>
        <v>10103</v>
      </c>
      <c r="D4" s="20">
        <f t="shared" si="0"/>
        <v>30</v>
      </c>
      <c r="E4" s="20">
        <v>1</v>
      </c>
      <c r="H4" s="20" t="str">
        <f>VLOOKUP(C4,[1]!moster1,10,FALSE)</f>
        <v/>
      </c>
      <c r="J4" s="20">
        <f>J3+5</f>
        <v>11</v>
      </c>
      <c r="M4" s="20">
        <v>3</v>
      </c>
    </row>
    <row r="5" spans="1:13" x14ac:dyDescent="0.15">
      <c r="A5" s="20">
        <f>dig!A5</f>
        <v>1</v>
      </c>
      <c r="B5" s="20">
        <f>dig!B5</f>
        <v>101</v>
      </c>
      <c r="C5" s="20">
        <f>B5*100+COUNTIF(B$2:B5,B5)</f>
        <v>10104</v>
      </c>
      <c r="D5" s="20">
        <f t="shared" si="0"/>
        <v>10</v>
      </c>
      <c r="E5" s="20">
        <v>1</v>
      </c>
      <c r="H5" s="20" t="str">
        <f>VLOOKUP(C5,[1]!moster1,10,FALSE)</f>
        <v/>
      </c>
      <c r="J5" s="20">
        <f t="shared" ref="J5:J34" si="1">J4+5</f>
        <v>16</v>
      </c>
      <c r="M5" s="20">
        <v>4</v>
      </c>
    </row>
    <row r="6" spans="1:13" x14ac:dyDescent="0.15">
      <c r="A6" s="20">
        <f>dig!A6</f>
        <v>1</v>
      </c>
      <c r="B6" s="20">
        <f>dig!B6</f>
        <v>101</v>
      </c>
      <c r="C6" s="20">
        <f>B6*100+COUNTIF(B$2:B6,B6)</f>
        <v>10105</v>
      </c>
      <c r="D6" s="20">
        <f t="shared" si="0"/>
        <v>10</v>
      </c>
      <c r="E6" s="20">
        <v>1</v>
      </c>
      <c r="H6" s="20" t="str">
        <f>VLOOKUP(C6,[1]!moster1,10,FALSE)</f>
        <v/>
      </c>
      <c r="J6" s="20">
        <f t="shared" si="1"/>
        <v>21</v>
      </c>
      <c r="M6" s="20">
        <v>5</v>
      </c>
    </row>
    <row r="7" spans="1:13" x14ac:dyDescent="0.15">
      <c r="A7" s="20">
        <f>dig!A7</f>
        <v>1</v>
      </c>
      <c r="B7" s="20">
        <f>dig!B7</f>
        <v>102</v>
      </c>
      <c r="C7" s="20">
        <f>B7*100+COUNTIF(B$2:B7,B7)</f>
        <v>10201</v>
      </c>
      <c r="D7" s="20">
        <f t="shared" si="0"/>
        <v>30</v>
      </c>
      <c r="E7" s="20">
        <v>1</v>
      </c>
      <c r="H7" s="20" t="str">
        <f>VLOOKUP(C7,[1]!moster1,10,FALSE)</f>
        <v/>
      </c>
      <c r="J7" s="20">
        <f t="shared" si="1"/>
        <v>26</v>
      </c>
      <c r="M7" s="20">
        <v>6</v>
      </c>
    </row>
    <row r="8" spans="1:13" x14ac:dyDescent="0.15">
      <c r="A8" s="20">
        <f>dig!A8</f>
        <v>1</v>
      </c>
      <c r="B8" s="20">
        <f>dig!B8</f>
        <v>102</v>
      </c>
      <c r="C8" s="20">
        <f>B8*100+COUNTIF(B$2:B8,B8)</f>
        <v>10202</v>
      </c>
      <c r="D8" s="20">
        <f t="shared" si="0"/>
        <v>30</v>
      </c>
      <c r="E8" s="20">
        <v>1</v>
      </c>
      <c r="H8" s="20" t="str">
        <f>VLOOKUP(C8,[1]!moster1,10,FALSE)</f>
        <v/>
      </c>
      <c r="J8" s="20">
        <f t="shared" si="1"/>
        <v>31</v>
      </c>
      <c r="M8" s="20">
        <v>7</v>
      </c>
    </row>
    <row r="9" spans="1:13" x14ac:dyDescent="0.15">
      <c r="A9" s="20">
        <f>dig!A9</f>
        <v>1</v>
      </c>
      <c r="B9" s="20">
        <f>dig!B9</f>
        <v>102</v>
      </c>
      <c r="C9" s="20">
        <f>B9*100+COUNTIF(B$2:B9,B9)</f>
        <v>10203</v>
      </c>
      <c r="D9" s="20">
        <f t="shared" si="0"/>
        <v>30</v>
      </c>
      <c r="E9" s="20">
        <v>1</v>
      </c>
      <c r="H9" s="20" t="str">
        <f>VLOOKUP(C9,[1]!moster1,10,FALSE)</f>
        <v/>
      </c>
      <c r="J9" s="20">
        <f t="shared" si="1"/>
        <v>36</v>
      </c>
      <c r="M9" s="20">
        <v>8</v>
      </c>
    </row>
    <row r="10" spans="1:13" x14ac:dyDescent="0.15">
      <c r="A10" s="20">
        <f>dig!A10</f>
        <v>1</v>
      </c>
      <c r="B10" s="20">
        <f>dig!B10</f>
        <v>102</v>
      </c>
      <c r="C10" s="20">
        <f>B10*100+COUNTIF(B$2:B10,B10)</f>
        <v>10204</v>
      </c>
      <c r="D10" s="20">
        <f t="shared" si="0"/>
        <v>10</v>
      </c>
      <c r="E10" s="20">
        <v>1</v>
      </c>
      <c r="H10" s="20" t="str">
        <f>VLOOKUP(C10,[1]!moster1,10,FALSE)</f>
        <v/>
      </c>
      <c r="J10" s="20">
        <f t="shared" si="1"/>
        <v>41</v>
      </c>
      <c r="M10" s="20">
        <v>9</v>
      </c>
    </row>
    <row r="11" spans="1:13" x14ac:dyDescent="0.15">
      <c r="A11" s="20">
        <f>dig!A11</f>
        <v>1</v>
      </c>
      <c r="B11" s="20">
        <f>dig!B11</f>
        <v>102</v>
      </c>
      <c r="C11" s="20">
        <f>B11*100+COUNTIF(B$2:B11,B11)</f>
        <v>10205</v>
      </c>
      <c r="D11" s="20">
        <f t="shared" si="0"/>
        <v>10</v>
      </c>
      <c r="E11" s="20">
        <v>1</v>
      </c>
      <c r="H11" s="20" t="str">
        <f>VLOOKUP(C11,[1]!moster1,10,FALSE)</f>
        <v/>
      </c>
      <c r="J11" s="20">
        <f t="shared" si="1"/>
        <v>46</v>
      </c>
      <c r="M11" s="20">
        <v>10</v>
      </c>
    </row>
    <row r="12" spans="1:13" x14ac:dyDescent="0.15">
      <c r="A12" s="20">
        <f>dig!A12</f>
        <v>1</v>
      </c>
      <c r="B12" s="20">
        <f>dig!B12</f>
        <v>103</v>
      </c>
      <c r="C12" s="20">
        <f>B12*100+COUNTIF(B$2:B12,B12)</f>
        <v>10301</v>
      </c>
      <c r="D12" s="20">
        <f t="shared" si="0"/>
        <v>30</v>
      </c>
      <c r="E12" s="20">
        <v>1</v>
      </c>
      <c r="H12" s="20" t="str">
        <f>VLOOKUP(C12,[1]!moster1,10,FALSE)</f>
        <v/>
      </c>
      <c r="J12" s="20">
        <f t="shared" si="1"/>
        <v>51</v>
      </c>
      <c r="M12" s="20">
        <v>11</v>
      </c>
    </row>
    <row r="13" spans="1:13" x14ac:dyDescent="0.15">
      <c r="A13" s="20">
        <f>dig!A13</f>
        <v>1</v>
      </c>
      <c r="B13" s="20">
        <f>dig!B13</f>
        <v>103</v>
      </c>
      <c r="C13" s="20">
        <f>B13*100+COUNTIF(B$2:B13,B13)</f>
        <v>10302</v>
      </c>
      <c r="D13" s="20">
        <f t="shared" si="0"/>
        <v>30</v>
      </c>
      <c r="E13" s="20">
        <v>1</v>
      </c>
      <c r="H13" s="20" t="str">
        <f>VLOOKUP(C13,[1]!moster1,10,FALSE)</f>
        <v/>
      </c>
      <c r="J13" s="20">
        <f t="shared" si="1"/>
        <v>56</v>
      </c>
      <c r="M13" s="20">
        <v>12</v>
      </c>
    </row>
    <row r="14" spans="1:13" x14ac:dyDescent="0.15">
      <c r="A14" s="20">
        <f>dig!A14</f>
        <v>1</v>
      </c>
      <c r="B14" s="20">
        <f>dig!B14</f>
        <v>103</v>
      </c>
      <c r="C14" s="20">
        <f>B14*100+COUNTIF(B$2:B14,B14)</f>
        <v>10303</v>
      </c>
      <c r="D14" s="20">
        <f t="shared" si="0"/>
        <v>30</v>
      </c>
      <c r="E14" s="20">
        <v>1</v>
      </c>
      <c r="H14" s="20" t="str">
        <f>VLOOKUP(C14,[1]!moster1,10,FALSE)</f>
        <v/>
      </c>
      <c r="J14" s="20">
        <f t="shared" si="1"/>
        <v>61</v>
      </c>
      <c r="M14" s="20">
        <v>13</v>
      </c>
    </row>
    <row r="15" spans="1:13" x14ac:dyDescent="0.15">
      <c r="A15" s="20">
        <f>dig!A15</f>
        <v>1</v>
      </c>
      <c r="B15" s="20">
        <f>dig!B15</f>
        <v>103</v>
      </c>
      <c r="C15" s="20">
        <f>B15*100+COUNTIF(B$2:B15,B15)</f>
        <v>10304</v>
      </c>
      <c r="D15" s="20">
        <f t="shared" si="0"/>
        <v>10</v>
      </c>
      <c r="E15" s="20">
        <v>1</v>
      </c>
      <c r="H15" s="20" t="str">
        <f>VLOOKUP(C15,[1]!moster1,10,FALSE)</f>
        <v/>
      </c>
      <c r="J15" s="20">
        <f t="shared" si="1"/>
        <v>66</v>
      </c>
      <c r="M15" s="20">
        <v>14</v>
      </c>
    </row>
    <row r="16" spans="1:13" x14ac:dyDescent="0.15">
      <c r="A16" s="20">
        <f>dig!A16</f>
        <v>1</v>
      </c>
      <c r="B16" s="20">
        <f>dig!B16</f>
        <v>103</v>
      </c>
      <c r="C16" s="20">
        <f>B16*100+COUNTIF(B$2:B16,B16)</f>
        <v>10305</v>
      </c>
      <c r="D16" s="20">
        <f t="shared" si="0"/>
        <v>10</v>
      </c>
      <c r="E16" s="20">
        <v>1</v>
      </c>
      <c r="H16" s="20" t="str">
        <f>VLOOKUP(C16,[1]!moster1,10,FALSE)</f>
        <v/>
      </c>
      <c r="J16" s="20">
        <f t="shared" si="1"/>
        <v>71</v>
      </c>
      <c r="M16" s="20">
        <v>15</v>
      </c>
    </row>
    <row r="17" spans="1:13" x14ac:dyDescent="0.15">
      <c r="A17" s="20">
        <f>dig!A17</f>
        <v>1</v>
      </c>
      <c r="B17" s="20">
        <f>dig!B17</f>
        <v>104</v>
      </c>
      <c r="C17" s="20">
        <f>B17*100+COUNTIF(B$2:B17,B17)</f>
        <v>10401</v>
      </c>
      <c r="D17" s="20">
        <f t="shared" si="0"/>
        <v>30</v>
      </c>
      <c r="E17" s="20">
        <v>1</v>
      </c>
      <c r="H17" s="20" t="str">
        <f>VLOOKUP(C17,[1]!moster1,10,FALSE)</f>
        <v/>
      </c>
      <c r="J17" s="20">
        <f t="shared" si="1"/>
        <v>76</v>
      </c>
      <c r="M17" s="20">
        <v>16</v>
      </c>
    </row>
    <row r="18" spans="1:13" x14ac:dyDescent="0.15">
      <c r="A18" s="20">
        <f>dig!A18</f>
        <v>1</v>
      </c>
      <c r="B18" s="20">
        <f>dig!B18</f>
        <v>104</v>
      </c>
      <c r="C18" s="20">
        <f>B18*100+COUNTIF(B$2:B18,B18)</f>
        <v>10402</v>
      </c>
      <c r="D18" s="20">
        <f t="shared" si="0"/>
        <v>30</v>
      </c>
      <c r="E18" s="20">
        <v>1</v>
      </c>
      <c r="H18" s="20" t="str">
        <f>VLOOKUP(C18,[1]!moster1,10,FALSE)</f>
        <v/>
      </c>
      <c r="J18" s="20">
        <f t="shared" si="1"/>
        <v>81</v>
      </c>
      <c r="M18" s="20">
        <v>17</v>
      </c>
    </row>
    <row r="19" spans="1:13" x14ac:dyDescent="0.15">
      <c r="A19" s="20">
        <f>dig!A19</f>
        <v>1</v>
      </c>
      <c r="B19" s="20">
        <f>dig!B19</f>
        <v>104</v>
      </c>
      <c r="C19" s="20">
        <f>B19*100+COUNTIF(B$2:B19,B19)</f>
        <v>10403</v>
      </c>
      <c r="D19" s="20">
        <f t="shared" si="0"/>
        <v>30</v>
      </c>
      <c r="E19" s="20">
        <v>1</v>
      </c>
      <c r="H19" s="20" t="str">
        <f>VLOOKUP(C19,[1]!moster1,10,FALSE)</f>
        <v/>
      </c>
      <c r="J19" s="20">
        <f t="shared" si="1"/>
        <v>86</v>
      </c>
      <c r="M19" s="20">
        <v>18</v>
      </c>
    </row>
    <row r="20" spans="1:13" x14ac:dyDescent="0.15">
      <c r="A20" s="20">
        <f>dig!A20</f>
        <v>1</v>
      </c>
      <c r="B20" s="20">
        <f>dig!B20</f>
        <v>104</v>
      </c>
      <c r="C20" s="20">
        <f>B20*100+COUNTIF(B$2:B20,B20)</f>
        <v>10404</v>
      </c>
      <c r="D20" s="20">
        <f t="shared" si="0"/>
        <v>10</v>
      </c>
      <c r="E20" s="20">
        <v>1</v>
      </c>
      <c r="H20" s="20" t="str">
        <f>VLOOKUP(C20,[1]!moster1,10,FALSE)</f>
        <v/>
      </c>
      <c r="J20" s="20">
        <f t="shared" si="1"/>
        <v>91</v>
      </c>
      <c r="M20" s="20">
        <v>19</v>
      </c>
    </row>
    <row r="21" spans="1:13" x14ac:dyDescent="0.15">
      <c r="A21" s="20">
        <f>dig!A21</f>
        <v>1</v>
      </c>
      <c r="B21" s="20">
        <f>dig!B21</f>
        <v>104</v>
      </c>
      <c r="C21" s="20">
        <f>B21*100+COUNTIF(B$2:B21,B21)</f>
        <v>10405</v>
      </c>
      <c r="D21" s="20">
        <f t="shared" si="0"/>
        <v>10</v>
      </c>
      <c r="E21" s="20">
        <v>1</v>
      </c>
      <c r="H21" s="20" t="str">
        <f>VLOOKUP(C21,[1]!moster1,10,FALSE)</f>
        <v/>
      </c>
      <c r="J21" s="20">
        <f t="shared" si="1"/>
        <v>96</v>
      </c>
      <c r="M21" s="20">
        <v>20</v>
      </c>
    </row>
    <row r="22" spans="1:13" x14ac:dyDescent="0.15">
      <c r="A22" s="20">
        <f>dig!A22</f>
        <v>1</v>
      </c>
      <c r="B22" s="20">
        <f>dig!B22</f>
        <v>105</v>
      </c>
      <c r="C22" s="20">
        <f>B22*100+COUNTIF(B$2:B22,B22)</f>
        <v>10501</v>
      </c>
      <c r="D22" s="20">
        <f t="shared" si="0"/>
        <v>30</v>
      </c>
      <c r="E22" s="20">
        <v>1</v>
      </c>
      <c r="H22" s="20" t="str">
        <f>VLOOKUP(C22,[1]!moster1,10,FALSE)</f>
        <v/>
      </c>
      <c r="J22" s="20">
        <f t="shared" si="1"/>
        <v>101</v>
      </c>
      <c r="M22" s="20">
        <v>21</v>
      </c>
    </row>
    <row r="23" spans="1:13" x14ac:dyDescent="0.15">
      <c r="A23" s="20">
        <f>dig!A23</f>
        <v>1</v>
      </c>
      <c r="B23" s="20">
        <f>dig!B23</f>
        <v>105</v>
      </c>
      <c r="C23" s="20">
        <f>B23*100+COUNTIF(B$2:B23,B23)</f>
        <v>10502</v>
      </c>
      <c r="D23" s="20">
        <f t="shared" si="0"/>
        <v>30</v>
      </c>
      <c r="E23" s="20">
        <v>1</v>
      </c>
      <c r="H23" s="20" t="str">
        <f>VLOOKUP(C23,[1]!moster1,10,FALSE)</f>
        <v/>
      </c>
      <c r="J23" s="20">
        <f t="shared" si="1"/>
        <v>106</v>
      </c>
      <c r="M23" s="20">
        <v>22</v>
      </c>
    </row>
    <row r="24" spans="1:13" x14ac:dyDescent="0.15">
      <c r="A24" s="20">
        <f>dig!A24</f>
        <v>1</v>
      </c>
      <c r="B24" s="20">
        <f>dig!B24</f>
        <v>105</v>
      </c>
      <c r="C24" s="20">
        <f>B24*100+COUNTIF(B$2:B24,B24)</f>
        <v>10503</v>
      </c>
      <c r="D24" s="20">
        <f t="shared" si="0"/>
        <v>30</v>
      </c>
      <c r="E24" s="20">
        <v>1</v>
      </c>
      <c r="H24" s="20" t="str">
        <f>VLOOKUP(C24,[1]!moster1,10,FALSE)</f>
        <v/>
      </c>
      <c r="J24" s="20">
        <f t="shared" si="1"/>
        <v>111</v>
      </c>
      <c r="M24" s="20">
        <v>23</v>
      </c>
    </row>
    <row r="25" spans="1:13" x14ac:dyDescent="0.15">
      <c r="A25" s="20">
        <f>dig!A25</f>
        <v>1</v>
      </c>
      <c r="B25" s="20">
        <f>dig!B25</f>
        <v>105</v>
      </c>
      <c r="C25" s="20">
        <f>B25*100+COUNTIF(B$2:B25,B25)</f>
        <v>10504</v>
      </c>
      <c r="D25" s="20">
        <f t="shared" si="0"/>
        <v>10</v>
      </c>
      <c r="E25" s="20">
        <v>1</v>
      </c>
      <c r="H25" s="20" t="str">
        <f>VLOOKUP(C25,[1]!moster1,10,FALSE)</f>
        <v/>
      </c>
      <c r="J25" s="20">
        <f t="shared" si="1"/>
        <v>116</v>
      </c>
      <c r="M25" s="20">
        <v>24</v>
      </c>
    </row>
    <row r="26" spans="1:13" x14ac:dyDescent="0.15">
      <c r="A26" s="20">
        <f>dig!A26</f>
        <v>1</v>
      </c>
      <c r="B26" s="20">
        <f>dig!B26</f>
        <v>105</v>
      </c>
      <c r="C26" s="20">
        <f>B26*100+COUNTIF(B$2:B26,B26)</f>
        <v>10505</v>
      </c>
      <c r="D26" s="20">
        <f t="shared" si="0"/>
        <v>10</v>
      </c>
      <c r="E26" s="20">
        <v>1</v>
      </c>
      <c r="H26" s="20" t="str">
        <f>VLOOKUP(C26,[1]!moster1,10,FALSE)</f>
        <v/>
      </c>
      <c r="J26" s="20">
        <f t="shared" si="1"/>
        <v>121</v>
      </c>
      <c r="M26" s="20">
        <v>25</v>
      </c>
    </row>
    <row r="27" spans="1:13" x14ac:dyDescent="0.15">
      <c r="A27" s="20">
        <f>dig!A27</f>
        <v>2</v>
      </c>
      <c r="B27" s="20">
        <f>dig!B27</f>
        <v>201</v>
      </c>
      <c r="C27" s="20">
        <f>B27*100+COUNTIF(B$2:B27,B27)</f>
        <v>20101</v>
      </c>
      <c r="D27" s="20">
        <f t="shared" si="0"/>
        <v>30</v>
      </c>
      <c r="E27" s="20">
        <v>1</v>
      </c>
      <c r="H27" s="20" t="str">
        <f>VLOOKUP(C27,[1]!moster1,10,FALSE)</f>
        <v/>
      </c>
      <c r="J27" s="20">
        <f t="shared" si="1"/>
        <v>126</v>
      </c>
      <c r="M27" s="20">
        <v>26</v>
      </c>
    </row>
    <row r="28" spans="1:13" x14ac:dyDescent="0.15">
      <c r="A28" s="20">
        <f>dig!A28</f>
        <v>2</v>
      </c>
      <c r="B28" s="20">
        <f>dig!B28</f>
        <v>201</v>
      </c>
      <c r="C28" s="20">
        <f>B28*100+COUNTIF(B$2:B28,B28)</f>
        <v>20102</v>
      </c>
      <c r="D28" s="20">
        <f t="shared" si="0"/>
        <v>30</v>
      </c>
      <c r="E28" s="20">
        <v>1</v>
      </c>
      <c r="H28" s="20" t="str">
        <f>VLOOKUP(C28,[1]!moster1,10,FALSE)</f>
        <v/>
      </c>
      <c r="J28" s="20">
        <f t="shared" si="1"/>
        <v>131</v>
      </c>
      <c r="M28" s="20">
        <v>27</v>
      </c>
    </row>
    <row r="29" spans="1:13" x14ac:dyDescent="0.15">
      <c r="A29" s="20">
        <f>dig!A29</f>
        <v>2</v>
      </c>
      <c r="B29" s="20">
        <f>dig!B29</f>
        <v>201</v>
      </c>
      <c r="C29" s="20">
        <f>B29*100+COUNTIF(B$2:B29,B29)</f>
        <v>20103</v>
      </c>
      <c r="D29" s="20">
        <f t="shared" si="0"/>
        <v>30</v>
      </c>
      <c r="E29" s="20">
        <v>1</v>
      </c>
      <c r="H29" s="20" t="str">
        <f>VLOOKUP(C29,[1]!moster1,10,FALSE)</f>
        <v/>
      </c>
      <c r="J29" s="20">
        <f t="shared" si="1"/>
        <v>136</v>
      </c>
      <c r="M29" s="20">
        <v>28</v>
      </c>
    </row>
    <row r="30" spans="1:13" x14ac:dyDescent="0.15">
      <c r="A30" s="20">
        <f>dig!A30</f>
        <v>2</v>
      </c>
      <c r="B30" s="20">
        <f>dig!B30</f>
        <v>201</v>
      </c>
      <c r="C30" s="20">
        <f>B30*100+COUNTIF(B$2:B30,B30)</f>
        <v>20104</v>
      </c>
      <c r="D30" s="20">
        <f t="shared" si="0"/>
        <v>10</v>
      </c>
      <c r="E30" s="20">
        <v>1</v>
      </c>
      <c r="H30" s="20" t="str">
        <f>VLOOKUP(C30,[1]!moster1,10,FALSE)</f>
        <v/>
      </c>
      <c r="J30" s="20">
        <f t="shared" si="1"/>
        <v>141</v>
      </c>
      <c r="M30" s="20">
        <v>29</v>
      </c>
    </row>
    <row r="31" spans="1:13" x14ac:dyDescent="0.15">
      <c r="A31" s="20">
        <f>dig!A31</f>
        <v>2</v>
      </c>
      <c r="B31" s="20">
        <f>dig!B31</f>
        <v>201</v>
      </c>
      <c r="C31" s="20">
        <f>B31*100+COUNTIF(B$2:B31,B31)</f>
        <v>20105</v>
      </c>
      <c r="D31" s="20">
        <f t="shared" si="0"/>
        <v>10</v>
      </c>
      <c r="E31" s="20">
        <v>1</v>
      </c>
      <c r="H31" s="20" t="str">
        <f>VLOOKUP(C31,[1]!moster1,10,FALSE)</f>
        <v/>
      </c>
      <c r="J31" s="20">
        <f t="shared" si="1"/>
        <v>146</v>
      </c>
      <c r="M31" s="20">
        <v>30</v>
      </c>
    </row>
    <row r="32" spans="1:13" x14ac:dyDescent="0.15">
      <c r="A32" s="20">
        <f>dig!A32</f>
        <v>2</v>
      </c>
      <c r="B32" s="20">
        <f>dig!B32</f>
        <v>202</v>
      </c>
      <c r="C32" s="20">
        <f>B32*100+COUNTIF(B$2:B32,B32)</f>
        <v>20201</v>
      </c>
      <c r="D32" s="20">
        <f t="shared" si="0"/>
        <v>30</v>
      </c>
      <c r="E32" s="20">
        <v>1</v>
      </c>
      <c r="H32" s="20" t="str">
        <f>VLOOKUP(C32,[1]!moster1,10,FALSE)</f>
        <v/>
      </c>
      <c r="J32" s="20">
        <f t="shared" si="1"/>
        <v>151</v>
      </c>
      <c r="M32" s="20">
        <v>31</v>
      </c>
    </row>
    <row r="33" spans="1:13" x14ac:dyDescent="0.15">
      <c r="A33" s="20">
        <f>dig!A33</f>
        <v>2</v>
      </c>
      <c r="B33" s="20">
        <f>dig!B33</f>
        <v>202</v>
      </c>
      <c r="C33" s="20">
        <f>B33*100+COUNTIF(B$2:B33,B33)</f>
        <v>20202</v>
      </c>
      <c r="D33" s="20">
        <f t="shared" si="0"/>
        <v>30</v>
      </c>
      <c r="E33" s="20">
        <v>1</v>
      </c>
      <c r="H33" s="20" t="str">
        <f>VLOOKUP(C33,[1]!moster1,10,FALSE)</f>
        <v/>
      </c>
      <c r="J33" s="20">
        <f t="shared" si="1"/>
        <v>156</v>
      </c>
      <c r="M33" s="20">
        <v>32</v>
      </c>
    </row>
    <row r="34" spans="1:13" x14ac:dyDescent="0.15">
      <c r="A34" s="20">
        <f>dig!A34</f>
        <v>2</v>
      </c>
      <c r="B34" s="20">
        <f>dig!B34</f>
        <v>202</v>
      </c>
      <c r="C34" s="20">
        <f>B34*100+COUNTIF(B$2:B34,B34)</f>
        <v>20203</v>
      </c>
      <c r="D34" s="20">
        <f t="shared" si="0"/>
        <v>30</v>
      </c>
      <c r="E34" s="20">
        <v>1</v>
      </c>
      <c r="H34" s="20" t="str">
        <f>VLOOKUP(C34,[1]!moster1,10,FALSE)</f>
        <v/>
      </c>
      <c r="J34" s="20">
        <f t="shared" si="1"/>
        <v>161</v>
      </c>
      <c r="M34" s="20">
        <v>33</v>
      </c>
    </row>
    <row r="35" spans="1:13" x14ac:dyDescent="0.15">
      <c r="A35" s="20">
        <f>dig!A35</f>
        <v>2</v>
      </c>
      <c r="B35" s="20">
        <f>dig!B35</f>
        <v>202</v>
      </c>
      <c r="C35" s="20">
        <f>B35*100+COUNTIF(B$2:B35,B35)</f>
        <v>20204</v>
      </c>
      <c r="D35" s="20">
        <f t="shared" si="0"/>
        <v>10</v>
      </c>
      <c r="E35" s="20">
        <v>1</v>
      </c>
      <c r="H35" s="20" t="str">
        <f>VLOOKUP(C35,[1]!moster1,10,FALSE)</f>
        <v/>
      </c>
      <c r="J35" s="20">
        <f t="shared" ref="J35:J98" si="2">J34+5</f>
        <v>166</v>
      </c>
      <c r="M35" s="20">
        <v>34</v>
      </c>
    </row>
    <row r="36" spans="1:13" x14ac:dyDescent="0.15">
      <c r="A36" s="20">
        <f>dig!A36</f>
        <v>2</v>
      </c>
      <c r="B36" s="20">
        <f>dig!B36</f>
        <v>202</v>
      </c>
      <c r="C36" s="20">
        <f>B36*100+COUNTIF(B$2:B36,B36)</f>
        <v>20205</v>
      </c>
      <c r="D36" s="20">
        <f t="shared" si="0"/>
        <v>10</v>
      </c>
      <c r="E36" s="20">
        <v>1</v>
      </c>
      <c r="H36" s="20" t="str">
        <f>VLOOKUP(C36,[1]!moster1,10,FALSE)</f>
        <v/>
      </c>
      <c r="J36" s="20">
        <f t="shared" si="2"/>
        <v>171</v>
      </c>
      <c r="M36" s="20">
        <v>35</v>
      </c>
    </row>
    <row r="37" spans="1:13" x14ac:dyDescent="0.15">
      <c r="A37" s="20">
        <f>dig!A37</f>
        <v>2</v>
      </c>
      <c r="B37" s="20">
        <f>dig!B37</f>
        <v>203</v>
      </c>
      <c r="C37" s="20">
        <f>B37*100+COUNTIF(B$2:B37,B37)</f>
        <v>20301</v>
      </c>
      <c r="D37" s="20">
        <f t="shared" si="0"/>
        <v>30</v>
      </c>
      <c r="E37" s="20">
        <v>1</v>
      </c>
      <c r="H37" s="20" t="str">
        <f>VLOOKUP(C37,[1]!moster1,10,FALSE)</f>
        <v/>
      </c>
      <c r="J37" s="20">
        <f t="shared" si="2"/>
        <v>176</v>
      </c>
      <c r="M37" s="20">
        <v>36</v>
      </c>
    </row>
    <row r="38" spans="1:13" x14ac:dyDescent="0.15">
      <c r="A38" s="20">
        <f>dig!A38</f>
        <v>2</v>
      </c>
      <c r="B38" s="20">
        <f>dig!B38</f>
        <v>203</v>
      </c>
      <c r="C38" s="20">
        <f>B38*100+COUNTIF(B$2:B38,B38)</f>
        <v>20302</v>
      </c>
      <c r="D38" s="20">
        <f t="shared" si="0"/>
        <v>30</v>
      </c>
      <c r="E38" s="20">
        <v>1</v>
      </c>
      <c r="H38" s="20" t="str">
        <f>VLOOKUP(C38,[1]!moster1,10,FALSE)</f>
        <v/>
      </c>
      <c r="J38" s="20">
        <f t="shared" si="2"/>
        <v>181</v>
      </c>
      <c r="M38" s="20">
        <v>37</v>
      </c>
    </row>
    <row r="39" spans="1:13" x14ac:dyDescent="0.15">
      <c r="A39" s="20">
        <f>dig!A39</f>
        <v>2</v>
      </c>
      <c r="B39" s="20">
        <f>dig!B39</f>
        <v>203</v>
      </c>
      <c r="C39" s="20">
        <f>B39*100+COUNTIF(B$2:B39,B39)</f>
        <v>20303</v>
      </c>
      <c r="D39" s="20">
        <f t="shared" si="0"/>
        <v>30</v>
      </c>
      <c r="E39" s="20">
        <v>1</v>
      </c>
      <c r="H39" s="20" t="str">
        <f>VLOOKUP(C39,[1]!moster1,10,FALSE)</f>
        <v/>
      </c>
      <c r="J39" s="20">
        <f t="shared" si="2"/>
        <v>186</v>
      </c>
      <c r="M39" s="20">
        <v>38</v>
      </c>
    </row>
    <row r="40" spans="1:13" x14ac:dyDescent="0.15">
      <c r="A40" s="20">
        <f>dig!A40</f>
        <v>2</v>
      </c>
      <c r="B40" s="20">
        <f>dig!B40</f>
        <v>203</v>
      </c>
      <c r="C40" s="20">
        <f>B40*100+COUNTIF(B$2:B40,B40)</f>
        <v>20304</v>
      </c>
      <c r="D40" s="20">
        <f t="shared" si="0"/>
        <v>10</v>
      </c>
      <c r="E40" s="20">
        <v>1</v>
      </c>
      <c r="H40" s="20" t="str">
        <f>VLOOKUP(C40,[1]!moster1,10,FALSE)</f>
        <v/>
      </c>
      <c r="J40" s="20">
        <f t="shared" si="2"/>
        <v>191</v>
      </c>
      <c r="M40" s="20">
        <v>39</v>
      </c>
    </row>
    <row r="41" spans="1:13" x14ac:dyDescent="0.15">
      <c r="A41" s="20">
        <f>dig!A41</f>
        <v>2</v>
      </c>
      <c r="B41" s="20">
        <f>dig!B41</f>
        <v>203</v>
      </c>
      <c r="C41" s="20">
        <f>B41*100+COUNTIF(B$2:B41,B41)</f>
        <v>20305</v>
      </c>
      <c r="D41" s="20">
        <f t="shared" si="0"/>
        <v>10</v>
      </c>
      <c r="E41" s="20">
        <v>1</v>
      </c>
      <c r="H41" s="20" t="str">
        <f>VLOOKUP(C41,[1]!moster1,10,FALSE)</f>
        <v/>
      </c>
      <c r="J41" s="20">
        <f t="shared" si="2"/>
        <v>196</v>
      </c>
      <c r="M41" s="20">
        <v>40</v>
      </c>
    </row>
    <row r="42" spans="1:13" x14ac:dyDescent="0.15">
      <c r="A42" s="20">
        <f>dig!A42</f>
        <v>2</v>
      </c>
      <c r="B42" s="20">
        <f>dig!B42</f>
        <v>204</v>
      </c>
      <c r="C42" s="20">
        <f>B42*100+COUNTIF(B$2:B42,B42)</f>
        <v>20401</v>
      </c>
      <c r="D42" s="20">
        <f t="shared" si="0"/>
        <v>30</v>
      </c>
      <c r="E42" s="20">
        <v>1</v>
      </c>
      <c r="H42" s="20" t="str">
        <f>VLOOKUP(C42,[1]!moster1,10,FALSE)</f>
        <v/>
      </c>
      <c r="J42" s="20">
        <f t="shared" si="2"/>
        <v>201</v>
      </c>
      <c r="M42" s="20">
        <v>41</v>
      </c>
    </row>
    <row r="43" spans="1:13" x14ac:dyDescent="0.15">
      <c r="A43" s="20">
        <f>dig!A43</f>
        <v>2</v>
      </c>
      <c r="B43" s="20">
        <f>dig!B43</f>
        <v>204</v>
      </c>
      <c r="C43" s="20">
        <f>B43*100+COUNTIF(B$2:B43,B43)</f>
        <v>20402</v>
      </c>
      <c r="D43" s="20">
        <f t="shared" si="0"/>
        <v>30</v>
      </c>
      <c r="E43" s="20">
        <v>1</v>
      </c>
      <c r="H43" s="20" t="str">
        <f>VLOOKUP(C43,[1]!moster1,10,FALSE)</f>
        <v/>
      </c>
      <c r="J43" s="20">
        <f t="shared" si="2"/>
        <v>206</v>
      </c>
      <c r="M43" s="20">
        <v>42</v>
      </c>
    </row>
    <row r="44" spans="1:13" x14ac:dyDescent="0.15">
      <c r="A44" s="20">
        <f>dig!A44</f>
        <v>2</v>
      </c>
      <c r="B44" s="20">
        <f>dig!B44</f>
        <v>204</v>
      </c>
      <c r="C44" s="20">
        <f>B44*100+COUNTIF(B$2:B44,B44)</f>
        <v>20403</v>
      </c>
      <c r="D44" s="20">
        <f t="shared" si="0"/>
        <v>30</v>
      </c>
      <c r="E44" s="20">
        <v>1</v>
      </c>
      <c r="H44" s="20" t="str">
        <f>VLOOKUP(C44,[1]!moster1,10,FALSE)</f>
        <v/>
      </c>
      <c r="J44" s="20">
        <f t="shared" si="2"/>
        <v>211</v>
      </c>
      <c r="M44" s="20">
        <v>43</v>
      </c>
    </row>
    <row r="45" spans="1:13" x14ac:dyDescent="0.15">
      <c r="A45" s="20">
        <f>dig!A45</f>
        <v>2</v>
      </c>
      <c r="B45" s="20">
        <f>dig!B45</f>
        <v>204</v>
      </c>
      <c r="C45" s="20">
        <f>B45*100+COUNTIF(B$2:B45,B45)</f>
        <v>20404</v>
      </c>
      <c r="D45" s="20">
        <f t="shared" si="0"/>
        <v>10</v>
      </c>
      <c r="E45" s="20">
        <v>1</v>
      </c>
      <c r="H45" s="20" t="str">
        <f>VLOOKUP(C45,[1]!moster1,10,FALSE)</f>
        <v/>
      </c>
      <c r="J45" s="20">
        <f t="shared" si="2"/>
        <v>216</v>
      </c>
      <c r="M45" s="20">
        <v>44</v>
      </c>
    </row>
    <row r="46" spans="1:13" x14ac:dyDescent="0.15">
      <c r="A46" s="20">
        <f>dig!A46</f>
        <v>2</v>
      </c>
      <c r="B46" s="20">
        <f>dig!B46</f>
        <v>204</v>
      </c>
      <c r="C46" s="20">
        <f>B46*100+COUNTIF(B$2:B46,B46)</f>
        <v>20405</v>
      </c>
      <c r="D46" s="20">
        <f t="shared" si="0"/>
        <v>10</v>
      </c>
      <c r="E46" s="20">
        <v>1</v>
      </c>
      <c r="H46" s="20" t="str">
        <f>VLOOKUP(C46,[1]!moster1,10,FALSE)</f>
        <v/>
      </c>
      <c r="J46" s="20">
        <f t="shared" si="2"/>
        <v>221</v>
      </c>
      <c r="M46" s="20">
        <v>45</v>
      </c>
    </row>
    <row r="47" spans="1:13" x14ac:dyDescent="0.15">
      <c r="A47" s="20">
        <f>dig!A47</f>
        <v>2</v>
      </c>
      <c r="B47" s="20">
        <f>dig!B47</f>
        <v>205</v>
      </c>
      <c r="C47" s="20">
        <f>B47*100+COUNTIF(B$2:B47,B47)</f>
        <v>20501</v>
      </c>
      <c r="D47" s="20">
        <f t="shared" si="0"/>
        <v>30</v>
      </c>
      <c r="E47" s="20">
        <v>1</v>
      </c>
      <c r="H47" s="20" t="str">
        <f>VLOOKUP(C47,[1]!moster1,10,FALSE)</f>
        <v/>
      </c>
      <c r="J47" s="20">
        <f t="shared" si="2"/>
        <v>226</v>
      </c>
      <c r="M47" s="20">
        <v>46</v>
      </c>
    </row>
    <row r="48" spans="1:13" x14ac:dyDescent="0.15">
      <c r="A48" s="20">
        <f>dig!A48</f>
        <v>2</v>
      </c>
      <c r="B48" s="20">
        <f>dig!B48</f>
        <v>205</v>
      </c>
      <c r="C48" s="20">
        <f>B48*100+COUNTIF(B$2:B48,B48)</f>
        <v>20502</v>
      </c>
      <c r="D48" s="20">
        <f t="shared" si="0"/>
        <v>30</v>
      </c>
      <c r="E48" s="20">
        <v>1</v>
      </c>
      <c r="H48" s="20" t="str">
        <f>VLOOKUP(C48,[1]!moster1,10,FALSE)</f>
        <v/>
      </c>
      <c r="J48" s="20">
        <f t="shared" si="2"/>
        <v>231</v>
      </c>
      <c r="M48" s="20">
        <v>47</v>
      </c>
    </row>
    <row r="49" spans="1:13" x14ac:dyDescent="0.15">
      <c r="A49" s="20">
        <f>dig!A49</f>
        <v>2</v>
      </c>
      <c r="B49" s="20">
        <f>dig!B49</f>
        <v>205</v>
      </c>
      <c r="C49" s="20">
        <f>B49*100+COUNTIF(B$2:B49,B49)</f>
        <v>20503</v>
      </c>
      <c r="D49" s="20">
        <f t="shared" si="0"/>
        <v>30</v>
      </c>
      <c r="E49" s="20">
        <v>1</v>
      </c>
      <c r="H49" s="20" t="str">
        <f>VLOOKUP(C49,[1]!moster1,10,FALSE)</f>
        <v/>
      </c>
      <c r="J49" s="20">
        <f t="shared" si="2"/>
        <v>236</v>
      </c>
      <c r="M49" s="20">
        <v>48</v>
      </c>
    </row>
    <row r="50" spans="1:13" x14ac:dyDescent="0.15">
      <c r="A50" s="20">
        <f>dig!A50</f>
        <v>2</v>
      </c>
      <c r="B50" s="20">
        <f>dig!B50</f>
        <v>205</v>
      </c>
      <c r="C50" s="20">
        <f>B50*100+COUNTIF(B$2:B50,B50)</f>
        <v>20504</v>
      </c>
      <c r="D50" s="20">
        <f t="shared" si="0"/>
        <v>10</v>
      </c>
      <c r="E50" s="20">
        <v>1</v>
      </c>
      <c r="H50" s="20" t="str">
        <f>VLOOKUP(C50,[1]!moster1,10,FALSE)</f>
        <v/>
      </c>
      <c r="J50" s="20">
        <f t="shared" si="2"/>
        <v>241</v>
      </c>
      <c r="M50" s="20">
        <v>49</v>
      </c>
    </row>
    <row r="51" spans="1:13" x14ac:dyDescent="0.15">
      <c r="A51" s="20">
        <f>dig!A51</f>
        <v>2</v>
      </c>
      <c r="B51" s="20">
        <f>dig!B51</f>
        <v>205</v>
      </c>
      <c r="C51" s="20">
        <f>B51*100+COUNTIF(B$2:B51,B51)</f>
        <v>20505</v>
      </c>
      <c r="D51" s="20">
        <f t="shared" si="0"/>
        <v>10</v>
      </c>
      <c r="E51" s="20">
        <v>1</v>
      </c>
      <c r="H51" s="20" t="str">
        <f>VLOOKUP(C51,[1]!moster1,10,FALSE)</f>
        <v/>
      </c>
      <c r="J51" s="20">
        <f t="shared" si="2"/>
        <v>246</v>
      </c>
      <c r="M51" s="20">
        <v>50</v>
      </c>
    </row>
    <row r="52" spans="1:13" x14ac:dyDescent="0.15">
      <c r="A52" s="20">
        <f>dig!A52</f>
        <v>3</v>
      </c>
      <c r="B52" s="20">
        <f>dig!B52</f>
        <v>301</v>
      </c>
      <c r="C52" s="20">
        <f>B52*100+COUNTIF(B$2:B52,B52)</f>
        <v>30101</v>
      </c>
      <c r="D52" s="20">
        <f t="shared" si="0"/>
        <v>30</v>
      </c>
      <c r="E52" s="20">
        <v>1</v>
      </c>
      <c r="H52" s="20" t="str">
        <f>VLOOKUP(C52,[1]!moster1,10,FALSE)</f>
        <v/>
      </c>
      <c r="J52" s="20">
        <f t="shared" si="2"/>
        <v>251</v>
      </c>
      <c r="M52" s="20">
        <v>51</v>
      </c>
    </row>
    <row r="53" spans="1:13" x14ac:dyDescent="0.15">
      <c r="A53" s="20">
        <f>dig!A53</f>
        <v>3</v>
      </c>
      <c r="B53" s="20">
        <f>dig!B53</f>
        <v>301</v>
      </c>
      <c r="C53" s="20">
        <f>B53*100+COUNTIF(B$2:B53,B53)</f>
        <v>30102</v>
      </c>
      <c r="D53" s="20">
        <f t="shared" si="0"/>
        <v>30</v>
      </c>
      <c r="E53" s="20">
        <v>1</v>
      </c>
      <c r="H53" s="20" t="str">
        <f>VLOOKUP(C53,[1]!moster1,10,FALSE)</f>
        <v/>
      </c>
      <c r="J53" s="20">
        <f t="shared" si="2"/>
        <v>256</v>
      </c>
      <c r="M53" s="20">
        <v>52</v>
      </c>
    </row>
    <row r="54" spans="1:13" x14ac:dyDescent="0.15">
      <c r="A54" s="20">
        <f>dig!A54</f>
        <v>3</v>
      </c>
      <c r="B54" s="20">
        <f>dig!B54</f>
        <v>301</v>
      </c>
      <c r="C54" s="20">
        <f>B54*100+COUNTIF(B$2:B54,B54)</f>
        <v>30103</v>
      </c>
      <c r="D54" s="20">
        <f t="shared" si="0"/>
        <v>30</v>
      </c>
      <c r="E54" s="20">
        <v>1</v>
      </c>
      <c r="H54" s="20" t="str">
        <f>VLOOKUP(C54,[1]!moster1,10,FALSE)</f>
        <v/>
      </c>
      <c r="J54" s="20">
        <f t="shared" si="2"/>
        <v>261</v>
      </c>
      <c r="M54" s="20">
        <v>53</v>
      </c>
    </row>
    <row r="55" spans="1:13" x14ac:dyDescent="0.15">
      <c r="A55" s="20">
        <f>dig!A55</f>
        <v>3</v>
      </c>
      <c r="B55" s="20">
        <f>dig!B55</f>
        <v>301</v>
      </c>
      <c r="C55" s="20">
        <f>B55*100+COUNTIF(B$2:B55,B55)</f>
        <v>30104</v>
      </c>
      <c r="D55" s="20">
        <f t="shared" si="0"/>
        <v>10</v>
      </c>
      <c r="E55" s="20">
        <v>1</v>
      </c>
      <c r="H55" s="20" t="str">
        <f>VLOOKUP(C55,[1]!moster1,10,FALSE)</f>
        <v/>
      </c>
      <c r="J55" s="20">
        <f t="shared" si="2"/>
        <v>266</v>
      </c>
      <c r="M55" s="20">
        <v>54</v>
      </c>
    </row>
    <row r="56" spans="1:13" x14ac:dyDescent="0.15">
      <c r="A56" s="20">
        <f>dig!A56</f>
        <v>3</v>
      </c>
      <c r="B56" s="20">
        <f>dig!B56</f>
        <v>301</v>
      </c>
      <c r="C56" s="20">
        <f>B56*100+COUNTIF(B$2:B56,B56)</f>
        <v>30105</v>
      </c>
      <c r="D56" s="20">
        <f t="shared" si="0"/>
        <v>10</v>
      </c>
      <c r="E56" s="20">
        <v>1</v>
      </c>
      <c r="H56" s="20" t="str">
        <f>VLOOKUP(C56,[1]!moster1,10,FALSE)</f>
        <v/>
      </c>
      <c r="J56" s="20">
        <f t="shared" si="2"/>
        <v>271</v>
      </c>
      <c r="M56" s="20">
        <v>55</v>
      </c>
    </row>
    <row r="57" spans="1:13" x14ac:dyDescent="0.15">
      <c r="A57" s="20">
        <f>dig!A57</f>
        <v>3</v>
      </c>
      <c r="B57" s="20">
        <f>dig!B57</f>
        <v>302</v>
      </c>
      <c r="C57" s="20">
        <f>B57*100+COUNTIF(B$2:B57,B57)</f>
        <v>30201</v>
      </c>
      <c r="D57" s="20">
        <f t="shared" si="0"/>
        <v>30</v>
      </c>
      <c r="E57" s="20">
        <v>1</v>
      </c>
      <c r="H57" s="20" t="str">
        <f>VLOOKUP(C57,[1]!moster1,10,FALSE)</f>
        <v/>
      </c>
      <c r="J57" s="20">
        <f t="shared" si="2"/>
        <v>276</v>
      </c>
      <c r="M57" s="20">
        <v>56</v>
      </c>
    </row>
    <row r="58" spans="1:13" x14ac:dyDescent="0.15">
      <c r="A58" s="20">
        <f>dig!A58</f>
        <v>3</v>
      </c>
      <c r="B58" s="20">
        <f>dig!B58</f>
        <v>302</v>
      </c>
      <c r="C58" s="20">
        <f>B58*100+COUNTIF(B$2:B58,B58)</f>
        <v>30202</v>
      </c>
      <c r="D58" s="20">
        <f t="shared" si="0"/>
        <v>30</v>
      </c>
      <c r="E58" s="20">
        <v>1</v>
      </c>
      <c r="H58" s="20" t="str">
        <f>VLOOKUP(C58,[1]!moster1,10,FALSE)</f>
        <v/>
      </c>
      <c r="J58" s="20">
        <f t="shared" si="2"/>
        <v>281</v>
      </c>
      <c r="M58" s="20">
        <v>57</v>
      </c>
    </row>
    <row r="59" spans="1:13" x14ac:dyDescent="0.15">
      <c r="A59" s="20">
        <f>dig!A59</f>
        <v>3</v>
      </c>
      <c r="B59" s="20">
        <f>dig!B59</f>
        <v>302</v>
      </c>
      <c r="C59" s="20">
        <f>B59*100+COUNTIF(B$2:B59,B59)</f>
        <v>30203</v>
      </c>
      <c r="D59" s="20">
        <f t="shared" si="0"/>
        <v>30</v>
      </c>
      <c r="E59" s="20">
        <v>1</v>
      </c>
      <c r="H59" s="20" t="str">
        <f>VLOOKUP(C59,[1]!moster1,10,FALSE)</f>
        <v/>
      </c>
      <c r="J59" s="20">
        <f t="shared" si="2"/>
        <v>286</v>
      </c>
      <c r="M59" s="20">
        <v>58</v>
      </c>
    </row>
    <row r="60" spans="1:13" x14ac:dyDescent="0.15">
      <c r="A60" s="20">
        <f>dig!A60</f>
        <v>3</v>
      </c>
      <c r="B60" s="20">
        <f>dig!B60</f>
        <v>302</v>
      </c>
      <c r="C60" s="20">
        <f>B60*100+COUNTIF(B$2:B60,B60)</f>
        <v>30204</v>
      </c>
      <c r="D60" s="20">
        <f t="shared" si="0"/>
        <v>10</v>
      </c>
      <c r="E60" s="20">
        <v>1</v>
      </c>
      <c r="H60" s="20" t="str">
        <f>VLOOKUP(C60,[1]!moster1,10,FALSE)</f>
        <v/>
      </c>
      <c r="J60" s="20">
        <f t="shared" si="2"/>
        <v>291</v>
      </c>
      <c r="M60" s="20">
        <v>59</v>
      </c>
    </row>
    <row r="61" spans="1:13" x14ac:dyDescent="0.15">
      <c r="A61" s="20">
        <f>dig!A61</f>
        <v>3</v>
      </c>
      <c r="B61" s="20">
        <f>dig!B61</f>
        <v>302</v>
      </c>
      <c r="C61" s="20">
        <f>B61*100+COUNTIF(B$2:B61,B61)</f>
        <v>30205</v>
      </c>
      <c r="D61" s="20">
        <f t="shared" si="0"/>
        <v>10</v>
      </c>
      <c r="E61" s="20">
        <v>1</v>
      </c>
      <c r="H61" s="20" t="str">
        <f>VLOOKUP(C61,[1]!moster1,10,FALSE)</f>
        <v/>
      </c>
      <c r="J61" s="20">
        <f t="shared" si="2"/>
        <v>296</v>
      </c>
      <c r="M61" s="20">
        <v>60</v>
      </c>
    </row>
    <row r="62" spans="1:13" x14ac:dyDescent="0.15">
      <c r="A62" s="20">
        <f>dig!A62</f>
        <v>3</v>
      </c>
      <c r="B62" s="20">
        <f>dig!B62</f>
        <v>303</v>
      </c>
      <c r="C62" s="20">
        <f>B62*100+COUNTIF(B$2:B62,B62)</f>
        <v>30301</v>
      </c>
      <c r="D62" s="20">
        <f t="shared" si="0"/>
        <v>30</v>
      </c>
      <c r="E62" s="20">
        <v>1</v>
      </c>
      <c r="H62" s="20" t="str">
        <f>VLOOKUP(C62,[1]!moster1,10,FALSE)</f>
        <v/>
      </c>
      <c r="J62" s="20">
        <f t="shared" si="2"/>
        <v>301</v>
      </c>
      <c r="M62" s="20">
        <v>61</v>
      </c>
    </row>
    <row r="63" spans="1:13" x14ac:dyDescent="0.15">
      <c r="A63" s="20">
        <f>dig!A63</f>
        <v>3</v>
      </c>
      <c r="B63" s="20">
        <f>dig!B63</f>
        <v>303</v>
      </c>
      <c r="C63" s="20">
        <f>B63*100+COUNTIF(B$2:B63,B63)</f>
        <v>30302</v>
      </c>
      <c r="D63" s="20">
        <f t="shared" si="0"/>
        <v>30</v>
      </c>
      <c r="E63" s="20">
        <v>1</v>
      </c>
      <c r="H63" s="20" t="str">
        <f>VLOOKUP(C63,[1]!moster1,10,FALSE)</f>
        <v/>
      </c>
      <c r="J63" s="20">
        <f t="shared" si="2"/>
        <v>306</v>
      </c>
      <c r="M63" s="20">
        <v>62</v>
      </c>
    </row>
    <row r="64" spans="1:13" x14ac:dyDescent="0.15">
      <c r="A64" s="20">
        <f>dig!A64</f>
        <v>3</v>
      </c>
      <c r="B64" s="20">
        <f>dig!B64</f>
        <v>303</v>
      </c>
      <c r="C64" s="20">
        <f>B64*100+COUNTIF(B$2:B64,B64)</f>
        <v>30303</v>
      </c>
      <c r="D64" s="20">
        <f t="shared" si="0"/>
        <v>30</v>
      </c>
      <c r="E64" s="20">
        <v>1</v>
      </c>
      <c r="H64" s="20" t="str">
        <f>VLOOKUP(C64,[1]!moster1,10,FALSE)</f>
        <v/>
      </c>
      <c r="J64" s="20">
        <f t="shared" si="2"/>
        <v>311</v>
      </c>
      <c r="M64" s="20">
        <v>63</v>
      </c>
    </row>
    <row r="65" spans="1:13" x14ac:dyDescent="0.15">
      <c r="A65" s="20">
        <f>dig!A65</f>
        <v>3</v>
      </c>
      <c r="B65" s="20">
        <f>dig!B65</f>
        <v>303</v>
      </c>
      <c r="C65" s="20">
        <f>B65*100+COUNTIF(B$2:B65,B65)</f>
        <v>30304</v>
      </c>
      <c r="D65" s="20">
        <f t="shared" si="0"/>
        <v>10</v>
      </c>
      <c r="E65" s="20">
        <v>1</v>
      </c>
      <c r="H65" s="20" t="str">
        <f>VLOOKUP(C65,[1]!moster1,10,FALSE)</f>
        <v/>
      </c>
      <c r="J65" s="20">
        <f t="shared" si="2"/>
        <v>316</v>
      </c>
      <c r="M65" s="20">
        <v>64</v>
      </c>
    </row>
    <row r="66" spans="1:13" x14ac:dyDescent="0.15">
      <c r="A66" s="20">
        <f>dig!A66</f>
        <v>3</v>
      </c>
      <c r="B66" s="20">
        <f>dig!B66</f>
        <v>303</v>
      </c>
      <c r="C66" s="20">
        <f>B66*100+COUNTIF(B$2:B66,B66)</f>
        <v>30305</v>
      </c>
      <c r="D66" s="20">
        <f t="shared" si="0"/>
        <v>10</v>
      </c>
      <c r="E66" s="20">
        <v>1</v>
      </c>
      <c r="H66" s="20" t="str">
        <f>VLOOKUP(C66,[1]!moster1,10,FALSE)</f>
        <v/>
      </c>
      <c r="J66" s="20">
        <f t="shared" si="2"/>
        <v>321</v>
      </c>
      <c r="M66" s="20">
        <v>65</v>
      </c>
    </row>
    <row r="67" spans="1:13" x14ac:dyDescent="0.15">
      <c r="A67" s="20">
        <f>dig!A67</f>
        <v>3</v>
      </c>
      <c r="B67" s="20">
        <f>dig!B67</f>
        <v>304</v>
      </c>
      <c r="C67" s="20">
        <f>B67*100+COUNTIF(B$2:B67,B67)</f>
        <v>30401</v>
      </c>
      <c r="D67" s="20">
        <f t="shared" ref="D67:D130" si="3">IF(OR(RIGHT(C67,1)="5",RIGHT(C67,1)="4"),10,30)</f>
        <v>30</v>
      </c>
      <c r="E67" s="20">
        <v>1</v>
      </c>
      <c r="H67" s="20" t="str">
        <f>VLOOKUP(C67,[1]!moster1,10,FALSE)</f>
        <v/>
      </c>
      <c r="J67" s="20">
        <f t="shared" si="2"/>
        <v>326</v>
      </c>
      <c r="M67" s="20">
        <v>66</v>
      </c>
    </row>
    <row r="68" spans="1:13" x14ac:dyDescent="0.15">
      <c r="A68" s="20">
        <f>dig!A68</f>
        <v>3</v>
      </c>
      <c r="B68" s="20">
        <f>dig!B68</f>
        <v>304</v>
      </c>
      <c r="C68" s="20">
        <f>B68*100+COUNTIF(B$2:B68,B68)</f>
        <v>30402</v>
      </c>
      <c r="D68" s="20">
        <f t="shared" si="3"/>
        <v>30</v>
      </c>
      <c r="E68" s="20">
        <v>1</v>
      </c>
      <c r="H68" s="20" t="str">
        <f>VLOOKUP(C68,[1]!moster1,10,FALSE)</f>
        <v/>
      </c>
      <c r="J68" s="20">
        <f t="shared" si="2"/>
        <v>331</v>
      </c>
      <c r="M68" s="20">
        <v>67</v>
      </c>
    </row>
    <row r="69" spans="1:13" x14ac:dyDescent="0.15">
      <c r="A69" s="20">
        <f>dig!A69</f>
        <v>3</v>
      </c>
      <c r="B69" s="20">
        <f>dig!B69</f>
        <v>304</v>
      </c>
      <c r="C69" s="20">
        <f>B69*100+COUNTIF(B$2:B69,B69)</f>
        <v>30403</v>
      </c>
      <c r="D69" s="20">
        <f t="shared" si="3"/>
        <v>30</v>
      </c>
      <c r="E69" s="20">
        <v>1</v>
      </c>
      <c r="H69" s="20" t="str">
        <f>VLOOKUP(C69,[1]!moster1,10,FALSE)</f>
        <v/>
      </c>
      <c r="J69" s="20">
        <f t="shared" si="2"/>
        <v>336</v>
      </c>
      <c r="M69" s="20">
        <v>68</v>
      </c>
    </row>
    <row r="70" spans="1:13" x14ac:dyDescent="0.15">
      <c r="A70" s="20">
        <f>dig!A70</f>
        <v>3</v>
      </c>
      <c r="B70" s="20">
        <f>dig!B70</f>
        <v>304</v>
      </c>
      <c r="C70" s="20">
        <f>B70*100+COUNTIF(B$2:B70,B70)</f>
        <v>30404</v>
      </c>
      <c r="D70" s="20">
        <f t="shared" si="3"/>
        <v>10</v>
      </c>
      <c r="E70" s="20">
        <v>1</v>
      </c>
      <c r="H70" s="20" t="str">
        <f>VLOOKUP(C70,[1]!moster1,10,FALSE)</f>
        <v/>
      </c>
      <c r="J70" s="20">
        <f t="shared" si="2"/>
        <v>341</v>
      </c>
      <c r="M70" s="20">
        <v>69</v>
      </c>
    </row>
    <row r="71" spans="1:13" x14ac:dyDescent="0.15">
      <c r="A71" s="20">
        <f>dig!A71</f>
        <v>3</v>
      </c>
      <c r="B71" s="20">
        <f>dig!B71</f>
        <v>304</v>
      </c>
      <c r="C71" s="20">
        <f>B71*100+COUNTIF(B$2:B71,B71)</f>
        <v>30405</v>
      </c>
      <c r="D71" s="20">
        <f t="shared" si="3"/>
        <v>10</v>
      </c>
      <c r="E71" s="20">
        <v>1</v>
      </c>
      <c r="H71" s="20" t="str">
        <f>VLOOKUP(C71,[1]!moster1,10,FALSE)</f>
        <v/>
      </c>
      <c r="J71" s="20">
        <f t="shared" si="2"/>
        <v>346</v>
      </c>
      <c r="M71" s="20">
        <v>70</v>
      </c>
    </row>
    <row r="72" spans="1:13" x14ac:dyDescent="0.15">
      <c r="A72" s="20">
        <f>dig!A72</f>
        <v>3</v>
      </c>
      <c r="B72" s="20">
        <f>dig!B72</f>
        <v>305</v>
      </c>
      <c r="C72" s="20">
        <f>B72*100+COUNTIF(B$2:B72,B72)</f>
        <v>30501</v>
      </c>
      <c r="D72" s="20">
        <f t="shared" si="3"/>
        <v>30</v>
      </c>
      <c r="E72" s="20">
        <v>1</v>
      </c>
      <c r="H72" s="20" t="str">
        <f>VLOOKUP(C72,[1]!moster1,10,FALSE)</f>
        <v/>
      </c>
      <c r="J72" s="20">
        <f t="shared" si="2"/>
        <v>351</v>
      </c>
      <c r="M72" s="20">
        <v>71</v>
      </c>
    </row>
    <row r="73" spans="1:13" x14ac:dyDescent="0.15">
      <c r="A73" s="20">
        <f>dig!A73</f>
        <v>3</v>
      </c>
      <c r="B73" s="20">
        <f>dig!B73</f>
        <v>305</v>
      </c>
      <c r="C73" s="20">
        <f>B73*100+COUNTIF(B$2:B73,B73)</f>
        <v>30502</v>
      </c>
      <c r="D73" s="20">
        <f t="shared" si="3"/>
        <v>30</v>
      </c>
      <c r="E73" s="20">
        <v>1</v>
      </c>
      <c r="H73" s="20" t="str">
        <f>VLOOKUP(C73,[1]!moster1,10,FALSE)</f>
        <v/>
      </c>
      <c r="J73" s="20">
        <f t="shared" si="2"/>
        <v>356</v>
      </c>
      <c r="M73" s="20">
        <v>72</v>
      </c>
    </row>
    <row r="74" spans="1:13" x14ac:dyDescent="0.15">
      <c r="A74" s="20">
        <f>dig!A74</f>
        <v>3</v>
      </c>
      <c r="B74" s="20">
        <f>dig!B74</f>
        <v>305</v>
      </c>
      <c r="C74" s="20">
        <f>B74*100+COUNTIF(B$2:B74,B74)</f>
        <v>30503</v>
      </c>
      <c r="D74" s="20">
        <f t="shared" si="3"/>
        <v>30</v>
      </c>
      <c r="E74" s="20">
        <v>1</v>
      </c>
      <c r="H74" s="20" t="str">
        <f>VLOOKUP(C74,[1]!moster1,10,FALSE)</f>
        <v/>
      </c>
      <c r="J74" s="20">
        <f t="shared" si="2"/>
        <v>361</v>
      </c>
      <c r="M74" s="20">
        <v>73</v>
      </c>
    </row>
    <row r="75" spans="1:13" x14ac:dyDescent="0.15">
      <c r="A75" s="20">
        <f>dig!A75</f>
        <v>3</v>
      </c>
      <c r="B75" s="20">
        <f>dig!B75</f>
        <v>305</v>
      </c>
      <c r="C75" s="20">
        <f>B75*100+COUNTIF(B$2:B75,B75)</f>
        <v>30504</v>
      </c>
      <c r="D75" s="20">
        <f t="shared" si="3"/>
        <v>10</v>
      </c>
      <c r="E75" s="20">
        <v>1</v>
      </c>
      <c r="H75" s="20" t="str">
        <f>VLOOKUP(C75,[1]!moster1,10,FALSE)</f>
        <v/>
      </c>
      <c r="J75" s="20">
        <f t="shared" si="2"/>
        <v>366</v>
      </c>
      <c r="M75" s="20">
        <v>74</v>
      </c>
    </row>
    <row r="76" spans="1:13" x14ac:dyDescent="0.15">
      <c r="A76" s="20">
        <f>dig!A76</f>
        <v>3</v>
      </c>
      <c r="B76" s="20">
        <f>dig!B76</f>
        <v>305</v>
      </c>
      <c r="C76" s="20">
        <f>B76*100+COUNTIF(B$2:B76,B76)</f>
        <v>30505</v>
      </c>
      <c r="D76" s="20">
        <f t="shared" si="3"/>
        <v>10</v>
      </c>
      <c r="E76" s="20">
        <v>1</v>
      </c>
      <c r="H76" s="20" t="str">
        <f>VLOOKUP(C76,[1]!moster1,10,FALSE)</f>
        <v/>
      </c>
      <c r="J76" s="20">
        <f t="shared" si="2"/>
        <v>371</v>
      </c>
      <c r="M76" s="20">
        <v>75</v>
      </c>
    </row>
    <row r="77" spans="1:13" x14ac:dyDescent="0.15">
      <c r="A77" s="20">
        <f>dig!A77</f>
        <v>4</v>
      </c>
      <c r="B77" s="20">
        <f>dig!B77</f>
        <v>401</v>
      </c>
      <c r="C77" s="20">
        <f>B77*100+COUNTIF(B$2:B77,B77)</f>
        <v>40101</v>
      </c>
      <c r="D77" s="20">
        <f t="shared" si="3"/>
        <v>30</v>
      </c>
      <c r="E77" s="20">
        <v>1</v>
      </c>
      <c r="H77" s="20" t="str">
        <f>VLOOKUP(C77,[1]!moster1,10,FALSE)</f>
        <v/>
      </c>
      <c r="J77" s="20">
        <f t="shared" si="2"/>
        <v>376</v>
      </c>
      <c r="M77" s="20">
        <v>76</v>
      </c>
    </row>
    <row r="78" spans="1:13" x14ac:dyDescent="0.15">
      <c r="A78" s="20">
        <f>dig!A78</f>
        <v>4</v>
      </c>
      <c r="B78" s="20">
        <f>dig!B78</f>
        <v>401</v>
      </c>
      <c r="C78" s="20">
        <f>B78*100+COUNTIF(B$2:B78,B78)</f>
        <v>40102</v>
      </c>
      <c r="D78" s="20">
        <f t="shared" si="3"/>
        <v>30</v>
      </c>
      <c r="E78" s="20">
        <v>1</v>
      </c>
      <c r="H78" s="20" t="str">
        <f>VLOOKUP(C78,[1]!moster1,10,FALSE)</f>
        <v/>
      </c>
      <c r="J78" s="20">
        <f t="shared" si="2"/>
        <v>381</v>
      </c>
      <c r="M78" s="20">
        <v>77</v>
      </c>
    </row>
    <row r="79" spans="1:13" x14ac:dyDescent="0.15">
      <c r="A79" s="20">
        <f>dig!A79</f>
        <v>4</v>
      </c>
      <c r="B79" s="20">
        <f>dig!B79</f>
        <v>401</v>
      </c>
      <c r="C79" s="20">
        <f>B79*100+COUNTIF(B$2:B79,B79)</f>
        <v>40103</v>
      </c>
      <c r="D79" s="20">
        <f t="shared" si="3"/>
        <v>30</v>
      </c>
      <c r="E79" s="20">
        <v>1</v>
      </c>
      <c r="H79" s="20" t="str">
        <f>VLOOKUP(C79,[1]!moster1,10,FALSE)</f>
        <v/>
      </c>
      <c r="J79" s="20">
        <f t="shared" si="2"/>
        <v>386</v>
      </c>
      <c r="M79" s="20">
        <v>78</v>
      </c>
    </row>
    <row r="80" spans="1:13" x14ac:dyDescent="0.15">
      <c r="A80" s="20">
        <f>dig!A80</f>
        <v>4</v>
      </c>
      <c r="B80" s="20">
        <f>dig!B80</f>
        <v>401</v>
      </c>
      <c r="C80" s="20">
        <f>B80*100+COUNTIF(B$2:B80,B80)</f>
        <v>40104</v>
      </c>
      <c r="D80" s="20">
        <f t="shared" si="3"/>
        <v>10</v>
      </c>
      <c r="E80" s="20">
        <v>1</v>
      </c>
      <c r="H80" s="20" t="str">
        <f>VLOOKUP(C80,[1]!moster1,10,FALSE)</f>
        <v/>
      </c>
      <c r="J80" s="20">
        <f t="shared" si="2"/>
        <v>391</v>
      </c>
      <c r="M80" s="20">
        <v>79</v>
      </c>
    </row>
    <row r="81" spans="1:13" x14ac:dyDescent="0.15">
      <c r="A81" s="20">
        <f>dig!A81</f>
        <v>4</v>
      </c>
      <c r="B81" s="20">
        <f>dig!B81</f>
        <v>401</v>
      </c>
      <c r="C81" s="20">
        <f>B81*100+COUNTIF(B$2:B81,B81)</f>
        <v>40105</v>
      </c>
      <c r="D81" s="20">
        <f t="shared" si="3"/>
        <v>10</v>
      </c>
      <c r="E81" s="20">
        <v>1</v>
      </c>
      <c r="H81" s="20" t="str">
        <f>VLOOKUP(C81,[1]!moster1,10,FALSE)</f>
        <v/>
      </c>
      <c r="J81" s="20">
        <f t="shared" si="2"/>
        <v>396</v>
      </c>
      <c r="M81" s="20">
        <v>80</v>
      </c>
    </row>
    <row r="82" spans="1:13" x14ac:dyDescent="0.15">
      <c r="A82" s="20">
        <f>dig!A82</f>
        <v>4</v>
      </c>
      <c r="B82" s="20">
        <f>dig!B82</f>
        <v>402</v>
      </c>
      <c r="C82" s="20">
        <f>B82*100+COUNTIF(B$2:B82,B82)</f>
        <v>40201</v>
      </c>
      <c r="D82" s="20">
        <f t="shared" si="3"/>
        <v>30</v>
      </c>
      <c r="E82" s="20">
        <v>1</v>
      </c>
      <c r="H82" s="20" t="str">
        <f>VLOOKUP(C82,[1]!moster1,10,FALSE)</f>
        <v/>
      </c>
      <c r="J82" s="20">
        <f t="shared" si="2"/>
        <v>401</v>
      </c>
      <c r="M82" s="20">
        <v>81</v>
      </c>
    </row>
    <row r="83" spans="1:13" x14ac:dyDescent="0.15">
      <c r="A83" s="20">
        <f>dig!A83</f>
        <v>4</v>
      </c>
      <c r="B83" s="20">
        <f>dig!B83</f>
        <v>402</v>
      </c>
      <c r="C83" s="20">
        <f>B83*100+COUNTIF(B$2:B83,B83)</f>
        <v>40202</v>
      </c>
      <c r="D83" s="20">
        <f t="shared" si="3"/>
        <v>30</v>
      </c>
      <c r="E83" s="20">
        <v>1</v>
      </c>
      <c r="H83" s="20" t="str">
        <f>VLOOKUP(C83,[1]!moster1,10,FALSE)</f>
        <v/>
      </c>
      <c r="J83" s="20">
        <f t="shared" si="2"/>
        <v>406</v>
      </c>
      <c r="M83" s="20">
        <v>82</v>
      </c>
    </row>
    <row r="84" spans="1:13" x14ac:dyDescent="0.15">
      <c r="A84" s="20">
        <f>dig!A84</f>
        <v>4</v>
      </c>
      <c r="B84" s="20">
        <f>dig!B84</f>
        <v>402</v>
      </c>
      <c r="C84" s="20">
        <f>B84*100+COUNTIF(B$2:B84,B84)</f>
        <v>40203</v>
      </c>
      <c r="D84" s="20">
        <f t="shared" si="3"/>
        <v>30</v>
      </c>
      <c r="E84" s="20">
        <v>1</v>
      </c>
      <c r="H84" s="20" t="str">
        <f>VLOOKUP(C84,[1]!moster1,10,FALSE)</f>
        <v/>
      </c>
      <c r="J84" s="20">
        <f t="shared" si="2"/>
        <v>411</v>
      </c>
      <c r="M84" s="20">
        <v>83</v>
      </c>
    </row>
    <row r="85" spans="1:13" x14ac:dyDescent="0.15">
      <c r="A85" s="20">
        <f>dig!A85</f>
        <v>4</v>
      </c>
      <c r="B85" s="20">
        <f>dig!B85</f>
        <v>402</v>
      </c>
      <c r="C85" s="20">
        <f>B85*100+COUNTIF(B$2:B85,B85)</f>
        <v>40204</v>
      </c>
      <c r="D85" s="20">
        <f t="shared" si="3"/>
        <v>10</v>
      </c>
      <c r="E85" s="20">
        <v>1</v>
      </c>
      <c r="H85" s="20" t="str">
        <f>VLOOKUP(C85,[1]!moster1,10,FALSE)</f>
        <v/>
      </c>
      <c r="J85" s="20">
        <f t="shared" si="2"/>
        <v>416</v>
      </c>
      <c r="M85" s="20">
        <v>84</v>
      </c>
    </row>
    <row r="86" spans="1:13" x14ac:dyDescent="0.15">
      <c r="A86" s="20">
        <f>dig!A86</f>
        <v>4</v>
      </c>
      <c r="B86" s="20">
        <f>dig!B86</f>
        <v>402</v>
      </c>
      <c r="C86" s="20">
        <f>B86*100+COUNTIF(B$2:B86,B86)</f>
        <v>40205</v>
      </c>
      <c r="D86" s="20">
        <f t="shared" si="3"/>
        <v>10</v>
      </c>
      <c r="E86" s="20">
        <v>1</v>
      </c>
      <c r="H86" s="20" t="str">
        <f>VLOOKUP(C86,[1]!moster1,10,FALSE)</f>
        <v/>
      </c>
      <c r="J86" s="20">
        <f t="shared" si="2"/>
        <v>421</v>
      </c>
      <c r="M86" s="20">
        <v>85</v>
      </c>
    </row>
    <row r="87" spans="1:13" x14ac:dyDescent="0.15">
      <c r="A87" s="20">
        <f>dig!A87</f>
        <v>4</v>
      </c>
      <c r="B87" s="20">
        <f>dig!B87</f>
        <v>403</v>
      </c>
      <c r="C87" s="20">
        <f>B87*100+COUNTIF(B$2:B87,B87)</f>
        <v>40301</v>
      </c>
      <c r="D87" s="20">
        <f t="shared" si="3"/>
        <v>30</v>
      </c>
      <c r="E87" s="20">
        <v>1</v>
      </c>
      <c r="H87" s="20" t="str">
        <f>VLOOKUP(C87,[1]!moster1,10,FALSE)</f>
        <v/>
      </c>
      <c r="J87" s="20">
        <f t="shared" si="2"/>
        <v>426</v>
      </c>
      <c r="M87" s="20">
        <v>86</v>
      </c>
    </row>
    <row r="88" spans="1:13" x14ac:dyDescent="0.15">
      <c r="A88" s="20">
        <f>dig!A88</f>
        <v>4</v>
      </c>
      <c r="B88" s="20">
        <f>dig!B88</f>
        <v>403</v>
      </c>
      <c r="C88" s="20">
        <f>B88*100+COUNTIF(B$2:B88,B88)</f>
        <v>40302</v>
      </c>
      <c r="D88" s="20">
        <f t="shared" si="3"/>
        <v>30</v>
      </c>
      <c r="E88" s="20">
        <v>1</v>
      </c>
      <c r="H88" s="20" t="str">
        <f>VLOOKUP(C88,[1]!moster1,10,FALSE)</f>
        <v/>
      </c>
      <c r="J88" s="20">
        <f t="shared" si="2"/>
        <v>431</v>
      </c>
      <c r="M88" s="20">
        <v>87</v>
      </c>
    </row>
    <row r="89" spans="1:13" x14ac:dyDescent="0.15">
      <c r="A89" s="20">
        <f>dig!A89</f>
        <v>4</v>
      </c>
      <c r="B89" s="20">
        <f>dig!B89</f>
        <v>403</v>
      </c>
      <c r="C89" s="20">
        <f>B89*100+COUNTIF(B$2:B89,B89)</f>
        <v>40303</v>
      </c>
      <c r="D89" s="20">
        <f t="shared" si="3"/>
        <v>30</v>
      </c>
      <c r="E89" s="20">
        <v>1</v>
      </c>
      <c r="H89" s="20" t="str">
        <f>VLOOKUP(C89,[1]!moster1,10,FALSE)</f>
        <v/>
      </c>
      <c r="J89" s="20">
        <f t="shared" si="2"/>
        <v>436</v>
      </c>
      <c r="M89" s="20">
        <v>88</v>
      </c>
    </row>
    <row r="90" spans="1:13" x14ac:dyDescent="0.15">
      <c r="A90" s="20">
        <f>dig!A90</f>
        <v>4</v>
      </c>
      <c r="B90" s="20">
        <f>dig!B90</f>
        <v>403</v>
      </c>
      <c r="C90" s="20">
        <f>B90*100+COUNTIF(B$2:B90,B90)</f>
        <v>40304</v>
      </c>
      <c r="D90" s="20">
        <f t="shared" si="3"/>
        <v>10</v>
      </c>
      <c r="E90" s="20">
        <v>1</v>
      </c>
      <c r="H90" s="20" t="str">
        <f>VLOOKUP(C90,[1]!moster1,10,FALSE)</f>
        <v/>
      </c>
      <c r="J90" s="20">
        <f t="shared" si="2"/>
        <v>441</v>
      </c>
      <c r="M90" s="20">
        <v>89</v>
      </c>
    </row>
    <row r="91" spans="1:13" x14ac:dyDescent="0.15">
      <c r="A91" s="20">
        <f>dig!A91</f>
        <v>4</v>
      </c>
      <c r="B91" s="20">
        <f>dig!B91</f>
        <v>403</v>
      </c>
      <c r="C91" s="20">
        <f>B91*100+COUNTIF(B$2:B91,B91)</f>
        <v>40305</v>
      </c>
      <c r="D91" s="20">
        <f t="shared" si="3"/>
        <v>10</v>
      </c>
      <c r="E91" s="20">
        <v>1</v>
      </c>
      <c r="H91" s="20" t="str">
        <f>VLOOKUP(C91,[1]!moster1,10,FALSE)</f>
        <v/>
      </c>
      <c r="J91" s="20">
        <f t="shared" si="2"/>
        <v>446</v>
      </c>
      <c r="M91" s="20">
        <v>90</v>
      </c>
    </row>
    <row r="92" spans="1:13" x14ac:dyDescent="0.15">
      <c r="A92" s="20">
        <f>dig!A92</f>
        <v>4</v>
      </c>
      <c r="B92" s="20">
        <f>dig!B92</f>
        <v>404</v>
      </c>
      <c r="C92" s="20">
        <f>B92*100+COUNTIF(B$2:B92,B92)</f>
        <v>40401</v>
      </c>
      <c r="D92" s="20">
        <f t="shared" si="3"/>
        <v>30</v>
      </c>
      <c r="E92" s="20">
        <v>1</v>
      </c>
      <c r="H92" s="20" t="str">
        <f>VLOOKUP(C92,[1]!moster1,10,FALSE)</f>
        <v/>
      </c>
      <c r="J92" s="20">
        <f t="shared" si="2"/>
        <v>451</v>
      </c>
      <c r="M92" s="20">
        <v>91</v>
      </c>
    </row>
    <row r="93" spans="1:13" x14ac:dyDescent="0.15">
      <c r="A93" s="20">
        <f>dig!A93</f>
        <v>4</v>
      </c>
      <c r="B93" s="20">
        <f>dig!B93</f>
        <v>404</v>
      </c>
      <c r="C93" s="20">
        <f>B93*100+COUNTIF(B$2:B93,B93)</f>
        <v>40402</v>
      </c>
      <c r="D93" s="20">
        <f t="shared" si="3"/>
        <v>30</v>
      </c>
      <c r="E93" s="20">
        <v>1</v>
      </c>
      <c r="H93" s="20" t="str">
        <f>VLOOKUP(C93,[1]!moster1,10,FALSE)</f>
        <v/>
      </c>
      <c r="J93" s="20">
        <f t="shared" si="2"/>
        <v>456</v>
      </c>
      <c r="M93" s="20">
        <v>92</v>
      </c>
    </row>
    <row r="94" spans="1:13" x14ac:dyDescent="0.15">
      <c r="A94" s="20">
        <f>dig!A94</f>
        <v>4</v>
      </c>
      <c r="B94" s="20">
        <f>dig!B94</f>
        <v>404</v>
      </c>
      <c r="C94" s="20">
        <f>B94*100+COUNTIF(B$2:B94,B94)</f>
        <v>40403</v>
      </c>
      <c r="D94" s="20">
        <f t="shared" si="3"/>
        <v>30</v>
      </c>
      <c r="E94" s="20">
        <v>1</v>
      </c>
      <c r="H94" s="20" t="str">
        <f>VLOOKUP(C94,[1]!moster1,10,FALSE)</f>
        <v/>
      </c>
      <c r="J94" s="20">
        <f t="shared" si="2"/>
        <v>461</v>
      </c>
      <c r="M94" s="20">
        <v>93</v>
      </c>
    </row>
    <row r="95" spans="1:13" x14ac:dyDescent="0.15">
      <c r="A95" s="20">
        <f>dig!A95</f>
        <v>4</v>
      </c>
      <c r="B95" s="20">
        <f>dig!B95</f>
        <v>404</v>
      </c>
      <c r="C95" s="20">
        <f>B95*100+COUNTIF(B$2:B95,B95)</f>
        <v>40404</v>
      </c>
      <c r="D95" s="20">
        <f t="shared" si="3"/>
        <v>10</v>
      </c>
      <c r="E95" s="20">
        <v>1</v>
      </c>
      <c r="H95" s="20" t="str">
        <f>VLOOKUP(C95,[1]!moster1,10,FALSE)</f>
        <v/>
      </c>
      <c r="J95" s="20">
        <f t="shared" si="2"/>
        <v>466</v>
      </c>
      <c r="M95" s="20">
        <v>94</v>
      </c>
    </row>
    <row r="96" spans="1:13" x14ac:dyDescent="0.15">
      <c r="A96" s="20">
        <f>dig!A96</f>
        <v>4</v>
      </c>
      <c r="B96" s="20">
        <f>dig!B96</f>
        <v>404</v>
      </c>
      <c r="C96" s="20">
        <f>B96*100+COUNTIF(B$2:B96,B96)</f>
        <v>40405</v>
      </c>
      <c r="D96" s="20">
        <f t="shared" si="3"/>
        <v>10</v>
      </c>
      <c r="E96" s="20">
        <v>1</v>
      </c>
      <c r="H96" s="20" t="str">
        <f>VLOOKUP(C96,[1]!moster1,10,FALSE)</f>
        <v/>
      </c>
      <c r="J96" s="20">
        <f t="shared" si="2"/>
        <v>471</v>
      </c>
      <c r="M96" s="20">
        <v>95</v>
      </c>
    </row>
    <row r="97" spans="1:13" x14ac:dyDescent="0.15">
      <c r="A97" s="20">
        <f>dig!A97</f>
        <v>4</v>
      </c>
      <c r="B97" s="20">
        <f>dig!B97</f>
        <v>405</v>
      </c>
      <c r="C97" s="20">
        <f>B97*100+COUNTIF(B$2:B97,B97)</f>
        <v>40501</v>
      </c>
      <c r="D97" s="20">
        <f t="shared" si="3"/>
        <v>30</v>
      </c>
      <c r="E97" s="20">
        <v>1</v>
      </c>
      <c r="H97" s="20" t="str">
        <f>VLOOKUP(C97,[1]!moster1,10,FALSE)</f>
        <v/>
      </c>
      <c r="J97" s="20">
        <f t="shared" si="2"/>
        <v>476</v>
      </c>
      <c r="M97" s="20">
        <v>96</v>
      </c>
    </row>
    <row r="98" spans="1:13" x14ac:dyDescent="0.15">
      <c r="A98" s="20">
        <f>dig!A98</f>
        <v>4</v>
      </c>
      <c r="B98" s="20">
        <f>dig!B98</f>
        <v>405</v>
      </c>
      <c r="C98" s="20">
        <f>B98*100+COUNTIF(B$2:B98,B98)</f>
        <v>40502</v>
      </c>
      <c r="D98" s="20">
        <f t="shared" si="3"/>
        <v>30</v>
      </c>
      <c r="E98" s="20">
        <v>1</v>
      </c>
      <c r="H98" s="20" t="str">
        <f>VLOOKUP(C98,[1]!moster1,10,FALSE)</f>
        <v/>
      </c>
      <c r="J98" s="20">
        <f t="shared" si="2"/>
        <v>481</v>
      </c>
      <c r="M98" s="20">
        <v>97</v>
      </c>
    </row>
    <row r="99" spans="1:13" x14ac:dyDescent="0.15">
      <c r="A99" s="20">
        <f>dig!A99</f>
        <v>4</v>
      </c>
      <c r="B99" s="20">
        <f>dig!B99</f>
        <v>405</v>
      </c>
      <c r="C99" s="20">
        <f>B99*100+COUNTIF(B$2:B99,B99)</f>
        <v>40503</v>
      </c>
      <c r="D99" s="20">
        <f t="shared" si="3"/>
        <v>30</v>
      </c>
      <c r="E99" s="20">
        <v>1</v>
      </c>
      <c r="H99" s="20" t="str">
        <f>VLOOKUP(C99,[1]!moster1,10,FALSE)</f>
        <v/>
      </c>
      <c r="J99" s="20">
        <f t="shared" ref="J99:J141" si="4">J98+5</f>
        <v>486</v>
      </c>
      <c r="M99" s="20">
        <v>98</v>
      </c>
    </row>
    <row r="100" spans="1:13" x14ac:dyDescent="0.15">
      <c r="A100" s="20">
        <f>dig!A100</f>
        <v>4</v>
      </c>
      <c r="B100" s="20">
        <f>dig!B100</f>
        <v>405</v>
      </c>
      <c r="C100" s="20">
        <f>B100*100+COUNTIF(B$2:B100,B100)</f>
        <v>40504</v>
      </c>
      <c r="D100" s="20">
        <f t="shared" si="3"/>
        <v>10</v>
      </c>
      <c r="E100" s="20">
        <v>1</v>
      </c>
      <c r="H100" s="20" t="str">
        <f>VLOOKUP(C100,[1]!moster1,10,FALSE)</f>
        <v/>
      </c>
      <c r="J100" s="20">
        <f t="shared" si="4"/>
        <v>491</v>
      </c>
      <c r="M100" s="20">
        <v>99</v>
      </c>
    </row>
    <row r="101" spans="1:13" x14ac:dyDescent="0.15">
      <c r="A101" s="20">
        <f>dig!A101</f>
        <v>4</v>
      </c>
      <c r="B101" s="20">
        <f>dig!B101</f>
        <v>405</v>
      </c>
      <c r="C101" s="20">
        <f>B101*100+COUNTIF(B$2:B101,B101)</f>
        <v>40505</v>
      </c>
      <c r="D101" s="20">
        <f t="shared" si="3"/>
        <v>10</v>
      </c>
      <c r="E101" s="20">
        <v>1</v>
      </c>
      <c r="H101" s="20" t="str">
        <f>VLOOKUP(C101,[1]!moster1,10,FALSE)</f>
        <v/>
      </c>
      <c r="J101" s="20">
        <f t="shared" si="4"/>
        <v>496</v>
      </c>
      <c r="M101" s="20">
        <v>100</v>
      </c>
    </row>
    <row r="102" spans="1:13" x14ac:dyDescent="0.15">
      <c r="A102" s="20">
        <f>dig!A102</f>
        <v>5</v>
      </c>
      <c r="B102" s="20">
        <f>dig!B102</f>
        <v>501</v>
      </c>
      <c r="C102" s="20">
        <f>B102*100+COUNTIF(B$2:B102,B102)</f>
        <v>50101</v>
      </c>
      <c r="D102" s="20">
        <f t="shared" si="3"/>
        <v>30</v>
      </c>
      <c r="E102" s="20">
        <v>1</v>
      </c>
      <c r="H102" s="20" t="str">
        <f>VLOOKUP(C102,[1]!moster1,10,FALSE)</f>
        <v/>
      </c>
      <c r="J102" s="20">
        <f t="shared" si="4"/>
        <v>501</v>
      </c>
      <c r="M102" s="20">
        <v>101</v>
      </c>
    </row>
    <row r="103" spans="1:13" x14ac:dyDescent="0.15">
      <c r="A103" s="20">
        <f>dig!A103</f>
        <v>5</v>
      </c>
      <c r="B103" s="20">
        <f>dig!B103</f>
        <v>501</v>
      </c>
      <c r="C103" s="20">
        <f>B103*100+COUNTIF(B$2:B103,B103)</f>
        <v>50102</v>
      </c>
      <c r="D103" s="20">
        <f t="shared" si="3"/>
        <v>30</v>
      </c>
      <c r="E103" s="20">
        <v>1</v>
      </c>
      <c r="H103" s="20" t="str">
        <f>VLOOKUP(C103,[1]!moster1,10,FALSE)</f>
        <v/>
      </c>
      <c r="J103" s="20">
        <f t="shared" si="4"/>
        <v>506</v>
      </c>
      <c r="M103" s="20">
        <v>102</v>
      </c>
    </row>
    <row r="104" spans="1:13" x14ac:dyDescent="0.15">
      <c r="A104" s="20">
        <f>dig!A104</f>
        <v>5</v>
      </c>
      <c r="B104" s="20">
        <f>dig!B104</f>
        <v>501</v>
      </c>
      <c r="C104" s="20">
        <f>B104*100+COUNTIF(B$2:B104,B104)</f>
        <v>50103</v>
      </c>
      <c r="D104" s="20">
        <f t="shared" si="3"/>
        <v>30</v>
      </c>
      <c r="E104" s="20">
        <v>1</v>
      </c>
      <c r="H104" s="20" t="str">
        <f>VLOOKUP(C104,[1]!moster1,10,FALSE)</f>
        <v/>
      </c>
      <c r="J104" s="20">
        <f t="shared" si="4"/>
        <v>511</v>
      </c>
      <c r="M104" s="20">
        <v>103</v>
      </c>
    </row>
    <row r="105" spans="1:13" x14ac:dyDescent="0.15">
      <c r="A105" s="20">
        <f>dig!A105</f>
        <v>5</v>
      </c>
      <c r="B105" s="20">
        <f>dig!B105</f>
        <v>501</v>
      </c>
      <c r="C105" s="20">
        <f>B105*100+COUNTIF(B$2:B105,B105)</f>
        <v>50104</v>
      </c>
      <c r="D105" s="20">
        <f t="shared" si="3"/>
        <v>10</v>
      </c>
      <c r="E105" s="20">
        <v>1</v>
      </c>
      <c r="H105" s="20" t="str">
        <f>VLOOKUP(C105,[1]!moster1,10,FALSE)</f>
        <v/>
      </c>
      <c r="J105" s="20">
        <f t="shared" si="4"/>
        <v>516</v>
      </c>
      <c r="M105" s="20">
        <v>104</v>
      </c>
    </row>
    <row r="106" spans="1:13" x14ac:dyDescent="0.15">
      <c r="A106" s="20">
        <f>dig!A106</f>
        <v>5</v>
      </c>
      <c r="B106" s="20">
        <f>dig!B106</f>
        <v>501</v>
      </c>
      <c r="C106" s="20">
        <f>B106*100+COUNTIF(B$2:B106,B106)</f>
        <v>50105</v>
      </c>
      <c r="D106" s="20">
        <f t="shared" si="3"/>
        <v>10</v>
      </c>
      <c r="E106" s="20">
        <v>1</v>
      </c>
      <c r="H106" s="20" t="str">
        <f>VLOOKUP(C106,[1]!moster1,10,FALSE)</f>
        <v/>
      </c>
      <c r="J106" s="20">
        <f t="shared" si="4"/>
        <v>521</v>
      </c>
      <c r="M106" s="20">
        <v>105</v>
      </c>
    </row>
    <row r="107" spans="1:13" x14ac:dyDescent="0.15">
      <c r="A107" s="20">
        <f>dig!A107</f>
        <v>5</v>
      </c>
      <c r="B107" s="20">
        <f>dig!B107</f>
        <v>502</v>
      </c>
      <c r="C107" s="20">
        <f>B107*100+COUNTIF(B$2:B107,B107)</f>
        <v>50201</v>
      </c>
      <c r="D107" s="20">
        <f t="shared" si="3"/>
        <v>30</v>
      </c>
      <c r="E107" s="20">
        <v>1</v>
      </c>
      <c r="H107" s="20" t="str">
        <f>VLOOKUP(C107,[1]!moster1,10,FALSE)</f>
        <v/>
      </c>
      <c r="J107" s="20">
        <f t="shared" si="4"/>
        <v>526</v>
      </c>
      <c r="M107" s="20">
        <v>106</v>
      </c>
    </row>
    <row r="108" spans="1:13" x14ac:dyDescent="0.15">
      <c r="A108" s="20">
        <f>dig!A108</f>
        <v>5</v>
      </c>
      <c r="B108" s="20">
        <f>dig!B108</f>
        <v>502</v>
      </c>
      <c r="C108" s="20">
        <f>B108*100+COUNTIF(B$2:B108,B108)</f>
        <v>50202</v>
      </c>
      <c r="D108" s="20">
        <f t="shared" si="3"/>
        <v>30</v>
      </c>
      <c r="E108" s="20">
        <v>1</v>
      </c>
      <c r="H108" s="20" t="str">
        <f>VLOOKUP(C108,[1]!moster1,10,FALSE)</f>
        <v/>
      </c>
      <c r="J108" s="20">
        <f t="shared" si="4"/>
        <v>531</v>
      </c>
      <c r="M108" s="20">
        <v>107</v>
      </c>
    </row>
    <row r="109" spans="1:13" x14ac:dyDescent="0.15">
      <c r="A109" s="20">
        <f>dig!A109</f>
        <v>5</v>
      </c>
      <c r="B109" s="20">
        <f>dig!B109</f>
        <v>502</v>
      </c>
      <c r="C109" s="20">
        <f>B109*100+COUNTIF(B$2:B109,B109)</f>
        <v>50203</v>
      </c>
      <c r="D109" s="20">
        <f t="shared" si="3"/>
        <v>30</v>
      </c>
      <c r="E109" s="20">
        <v>1</v>
      </c>
      <c r="H109" s="20" t="str">
        <f>VLOOKUP(C109,[1]!moster1,10,FALSE)</f>
        <v/>
      </c>
      <c r="J109" s="20">
        <f t="shared" si="4"/>
        <v>536</v>
      </c>
      <c r="M109" s="20">
        <v>108</v>
      </c>
    </row>
    <row r="110" spans="1:13" x14ac:dyDescent="0.15">
      <c r="A110" s="20">
        <f>dig!A110</f>
        <v>5</v>
      </c>
      <c r="B110" s="20">
        <f>dig!B110</f>
        <v>502</v>
      </c>
      <c r="C110" s="20">
        <f>B110*100+COUNTIF(B$2:B110,B110)</f>
        <v>50204</v>
      </c>
      <c r="D110" s="20">
        <f t="shared" si="3"/>
        <v>10</v>
      </c>
      <c r="E110" s="20">
        <v>1</v>
      </c>
      <c r="H110" s="20" t="str">
        <f>VLOOKUP(C110,[1]!moster1,10,FALSE)</f>
        <v/>
      </c>
      <c r="J110" s="20">
        <f t="shared" si="4"/>
        <v>541</v>
      </c>
      <c r="M110" s="20">
        <v>109</v>
      </c>
    </row>
    <row r="111" spans="1:13" x14ac:dyDescent="0.15">
      <c r="A111" s="20">
        <f>dig!A111</f>
        <v>5</v>
      </c>
      <c r="B111" s="20">
        <f>dig!B111</f>
        <v>502</v>
      </c>
      <c r="C111" s="20">
        <f>B111*100+COUNTIF(B$2:B111,B111)</f>
        <v>50205</v>
      </c>
      <c r="D111" s="20">
        <f t="shared" si="3"/>
        <v>10</v>
      </c>
      <c r="E111" s="20">
        <v>1</v>
      </c>
      <c r="H111" s="20" t="str">
        <f>VLOOKUP(C111,[1]!moster1,10,FALSE)</f>
        <v/>
      </c>
      <c r="J111" s="20">
        <f t="shared" si="4"/>
        <v>546</v>
      </c>
      <c r="M111" s="20">
        <v>110</v>
      </c>
    </row>
    <row r="112" spans="1:13" x14ac:dyDescent="0.15">
      <c r="A112" s="20">
        <f>dig!A112</f>
        <v>5</v>
      </c>
      <c r="B112" s="20">
        <f>dig!B112</f>
        <v>503</v>
      </c>
      <c r="C112" s="20">
        <f>B112*100+COUNTIF(B$2:B112,B112)</f>
        <v>50301</v>
      </c>
      <c r="D112" s="20">
        <f t="shared" si="3"/>
        <v>30</v>
      </c>
      <c r="E112" s="20">
        <v>1</v>
      </c>
      <c r="H112" s="20" t="str">
        <f>VLOOKUP(C112,[1]!moster1,10,FALSE)</f>
        <v/>
      </c>
      <c r="J112" s="20">
        <f t="shared" si="4"/>
        <v>551</v>
      </c>
      <c r="M112" s="20">
        <v>111</v>
      </c>
    </row>
    <row r="113" spans="1:13" x14ac:dyDescent="0.15">
      <c r="A113" s="20">
        <f>dig!A113</f>
        <v>5</v>
      </c>
      <c r="B113" s="20">
        <f>dig!B113</f>
        <v>503</v>
      </c>
      <c r="C113" s="20">
        <f>B113*100+COUNTIF(B$2:B113,B113)</f>
        <v>50302</v>
      </c>
      <c r="D113" s="20">
        <f t="shared" si="3"/>
        <v>30</v>
      </c>
      <c r="E113" s="20">
        <v>1</v>
      </c>
      <c r="H113" s="20" t="str">
        <f>VLOOKUP(C113,[1]!moster1,10,FALSE)</f>
        <v/>
      </c>
      <c r="J113" s="20">
        <f t="shared" si="4"/>
        <v>556</v>
      </c>
      <c r="M113" s="20">
        <v>112</v>
      </c>
    </row>
    <row r="114" spans="1:13" x14ac:dyDescent="0.15">
      <c r="A114" s="20">
        <f>dig!A114</f>
        <v>5</v>
      </c>
      <c r="B114" s="20">
        <f>dig!B114</f>
        <v>503</v>
      </c>
      <c r="C114" s="20">
        <f>B114*100+COUNTIF(B$2:B114,B114)</f>
        <v>50303</v>
      </c>
      <c r="D114" s="20">
        <f t="shared" si="3"/>
        <v>30</v>
      </c>
      <c r="E114" s="20">
        <v>1</v>
      </c>
      <c r="H114" s="20" t="str">
        <f>VLOOKUP(C114,[1]!moster1,10,FALSE)</f>
        <v/>
      </c>
      <c r="J114" s="20">
        <f t="shared" si="4"/>
        <v>561</v>
      </c>
      <c r="M114" s="20">
        <v>113</v>
      </c>
    </row>
    <row r="115" spans="1:13" x14ac:dyDescent="0.15">
      <c r="A115" s="20">
        <f>dig!A115</f>
        <v>5</v>
      </c>
      <c r="B115" s="20">
        <f>dig!B115</f>
        <v>503</v>
      </c>
      <c r="C115" s="20">
        <f>B115*100+COUNTIF(B$2:B115,B115)</f>
        <v>50304</v>
      </c>
      <c r="D115" s="20">
        <f t="shared" si="3"/>
        <v>10</v>
      </c>
      <c r="E115" s="20">
        <v>1</v>
      </c>
      <c r="H115" s="20" t="str">
        <f>VLOOKUP(C115,[1]!moster1,10,FALSE)</f>
        <v/>
      </c>
      <c r="J115" s="20">
        <f t="shared" si="4"/>
        <v>566</v>
      </c>
      <c r="M115" s="20">
        <v>114</v>
      </c>
    </row>
    <row r="116" spans="1:13" x14ac:dyDescent="0.15">
      <c r="A116" s="20">
        <f>dig!A116</f>
        <v>5</v>
      </c>
      <c r="B116" s="20">
        <f>dig!B116</f>
        <v>503</v>
      </c>
      <c r="C116" s="20">
        <f>B116*100+COUNTIF(B$2:B116,B116)</f>
        <v>50305</v>
      </c>
      <c r="D116" s="20">
        <f t="shared" si="3"/>
        <v>10</v>
      </c>
      <c r="E116" s="20">
        <v>1</v>
      </c>
      <c r="H116" s="20" t="str">
        <f>VLOOKUP(C116,[1]!moster1,10,FALSE)</f>
        <v/>
      </c>
      <c r="J116" s="20">
        <f t="shared" si="4"/>
        <v>571</v>
      </c>
      <c r="M116" s="20">
        <v>115</v>
      </c>
    </row>
    <row r="117" spans="1:13" x14ac:dyDescent="0.15">
      <c r="A117" s="20">
        <f>dig!A117</f>
        <v>5</v>
      </c>
      <c r="B117" s="20">
        <f>dig!B117</f>
        <v>504</v>
      </c>
      <c r="C117" s="20">
        <f>B117*100+COUNTIF(B$2:B117,B117)</f>
        <v>50401</v>
      </c>
      <c r="D117" s="20">
        <f t="shared" si="3"/>
        <v>30</v>
      </c>
      <c r="E117" s="20">
        <v>1</v>
      </c>
      <c r="H117" s="20" t="str">
        <f>VLOOKUP(C117,[1]!moster1,10,FALSE)</f>
        <v/>
      </c>
      <c r="J117" s="20">
        <f t="shared" si="4"/>
        <v>576</v>
      </c>
      <c r="M117" s="20">
        <v>116</v>
      </c>
    </row>
    <row r="118" spans="1:13" x14ac:dyDescent="0.15">
      <c r="A118" s="20">
        <f>dig!A118</f>
        <v>5</v>
      </c>
      <c r="B118" s="20">
        <f>dig!B118</f>
        <v>504</v>
      </c>
      <c r="C118" s="20">
        <f>B118*100+COUNTIF(B$2:B118,B118)</f>
        <v>50402</v>
      </c>
      <c r="D118" s="20">
        <f t="shared" si="3"/>
        <v>30</v>
      </c>
      <c r="E118" s="20">
        <v>1</v>
      </c>
      <c r="H118" s="20" t="str">
        <f>VLOOKUP(C118,[1]!moster1,10,FALSE)</f>
        <v/>
      </c>
      <c r="J118" s="20">
        <f t="shared" si="4"/>
        <v>581</v>
      </c>
      <c r="M118" s="20">
        <v>117</v>
      </c>
    </row>
    <row r="119" spans="1:13" x14ac:dyDescent="0.15">
      <c r="A119" s="20">
        <f>dig!A119</f>
        <v>5</v>
      </c>
      <c r="B119" s="20">
        <f>dig!B119</f>
        <v>504</v>
      </c>
      <c r="C119" s="20">
        <f>B119*100+COUNTIF(B$2:B119,B119)</f>
        <v>50403</v>
      </c>
      <c r="D119" s="20">
        <f t="shared" si="3"/>
        <v>30</v>
      </c>
      <c r="E119" s="20">
        <v>1</v>
      </c>
      <c r="H119" s="20" t="str">
        <f>VLOOKUP(C119,[1]!moster1,10,FALSE)</f>
        <v/>
      </c>
      <c r="J119" s="20">
        <f t="shared" si="4"/>
        <v>586</v>
      </c>
      <c r="M119" s="20">
        <v>118</v>
      </c>
    </row>
    <row r="120" spans="1:13" x14ac:dyDescent="0.15">
      <c r="A120" s="20">
        <f>dig!A120</f>
        <v>5</v>
      </c>
      <c r="B120" s="20">
        <f>dig!B120</f>
        <v>504</v>
      </c>
      <c r="C120" s="20">
        <f>B120*100+COUNTIF(B$2:B120,B120)</f>
        <v>50404</v>
      </c>
      <c r="D120" s="20">
        <f t="shared" si="3"/>
        <v>10</v>
      </c>
      <c r="E120" s="20">
        <v>1</v>
      </c>
      <c r="H120" s="20" t="str">
        <f>VLOOKUP(C120,[1]!moster1,10,FALSE)</f>
        <v/>
      </c>
      <c r="J120" s="20">
        <f t="shared" si="4"/>
        <v>591</v>
      </c>
      <c r="M120" s="20">
        <v>119</v>
      </c>
    </row>
    <row r="121" spans="1:13" x14ac:dyDescent="0.15">
      <c r="A121" s="20">
        <f>dig!A121</f>
        <v>5</v>
      </c>
      <c r="B121" s="20">
        <f>dig!B121</f>
        <v>504</v>
      </c>
      <c r="C121" s="20">
        <f>B121*100+COUNTIF(B$2:B121,B121)</f>
        <v>50405</v>
      </c>
      <c r="D121" s="20">
        <f t="shared" si="3"/>
        <v>10</v>
      </c>
      <c r="E121" s="20">
        <v>1</v>
      </c>
      <c r="H121" s="20" t="str">
        <f>VLOOKUP(C121,[1]!moster1,10,FALSE)</f>
        <v/>
      </c>
      <c r="J121" s="20">
        <f t="shared" si="4"/>
        <v>596</v>
      </c>
      <c r="M121" s="20">
        <v>120</v>
      </c>
    </row>
    <row r="122" spans="1:13" x14ac:dyDescent="0.15">
      <c r="A122" s="20">
        <f>dig!A122</f>
        <v>5</v>
      </c>
      <c r="B122" s="20">
        <f>dig!B122</f>
        <v>505</v>
      </c>
      <c r="C122" s="20">
        <f>B122*100+COUNTIF(B$2:B122,B122)</f>
        <v>50501</v>
      </c>
      <c r="D122" s="20">
        <f t="shared" si="3"/>
        <v>30</v>
      </c>
      <c r="E122" s="20">
        <v>1</v>
      </c>
      <c r="H122" s="20" t="str">
        <f>VLOOKUP(C122,[1]!moster1,10,FALSE)</f>
        <v/>
      </c>
      <c r="J122" s="20">
        <f t="shared" si="4"/>
        <v>601</v>
      </c>
      <c r="M122" s="20">
        <v>121</v>
      </c>
    </row>
    <row r="123" spans="1:13" x14ac:dyDescent="0.15">
      <c r="A123" s="20">
        <f>dig!A123</f>
        <v>5</v>
      </c>
      <c r="B123" s="20">
        <f>dig!B123</f>
        <v>505</v>
      </c>
      <c r="C123" s="20">
        <f>B123*100+COUNTIF(B$2:B123,B123)</f>
        <v>50502</v>
      </c>
      <c r="D123" s="20">
        <f t="shared" si="3"/>
        <v>30</v>
      </c>
      <c r="E123" s="20">
        <v>1</v>
      </c>
      <c r="H123" s="20" t="str">
        <f>VLOOKUP(C123,[1]!moster1,10,FALSE)</f>
        <v/>
      </c>
      <c r="J123" s="20">
        <f t="shared" si="4"/>
        <v>606</v>
      </c>
      <c r="M123" s="20">
        <v>122</v>
      </c>
    </row>
    <row r="124" spans="1:13" x14ac:dyDescent="0.15">
      <c r="A124" s="20">
        <f>dig!A124</f>
        <v>5</v>
      </c>
      <c r="B124" s="20">
        <f>dig!B124</f>
        <v>505</v>
      </c>
      <c r="C124" s="20">
        <f>B124*100+COUNTIF(B$2:B124,B124)</f>
        <v>50503</v>
      </c>
      <c r="D124" s="20">
        <f t="shared" si="3"/>
        <v>30</v>
      </c>
      <c r="E124" s="20">
        <v>1</v>
      </c>
      <c r="H124" s="20" t="str">
        <f>VLOOKUP(C124,[1]!moster1,10,FALSE)</f>
        <v/>
      </c>
      <c r="J124" s="20">
        <f t="shared" si="4"/>
        <v>611</v>
      </c>
      <c r="M124" s="20">
        <v>123</v>
      </c>
    </row>
    <row r="125" spans="1:13" x14ac:dyDescent="0.15">
      <c r="A125" s="20">
        <f>dig!A125</f>
        <v>5</v>
      </c>
      <c r="B125" s="20">
        <f>dig!B125</f>
        <v>505</v>
      </c>
      <c r="C125" s="20">
        <f>B125*100+COUNTIF(B$2:B125,B125)</f>
        <v>50504</v>
      </c>
      <c r="D125" s="20">
        <f t="shared" si="3"/>
        <v>10</v>
      </c>
      <c r="E125" s="20">
        <v>1</v>
      </c>
      <c r="H125" s="20" t="str">
        <f>VLOOKUP(C125,[1]!moster1,10,FALSE)</f>
        <v/>
      </c>
      <c r="J125" s="20">
        <f t="shared" si="4"/>
        <v>616</v>
      </c>
      <c r="M125" s="20">
        <v>124</v>
      </c>
    </row>
    <row r="126" spans="1:13" x14ac:dyDescent="0.15">
      <c r="A126" s="20">
        <f>dig!A126</f>
        <v>5</v>
      </c>
      <c r="B126" s="20">
        <f>dig!B126</f>
        <v>505</v>
      </c>
      <c r="C126" s="20">
        <f>B126*100+COUNTIF(B$2:B126,B126)</f>
        <v>50505</v>
      </c>
      <c r="D126" s="20">
        <f t="shared" si="3"/>
        <v>10</v>
      </c>
      <c r="E126" s="20">
        <v>1</v>
      </c>
      <c r="H126" s="20" t="str">
        <f>VLOOKUP(C126,[1]!moster1,10,FALSE)</f>
        <v/>
      </c>
      <c r="J126" s="20">
        <f t="shared" si="4"/>
        <v>621</v>
      </c>
      <c r="M126" s="20">
        <v>125</v>
      </c>
    </row>
    <row r="127" spans="1:13" x14ac:dyDescent="0.15">
      <c r="A127" s="20">
        <f>dig!A127</f>
        <v>6</v>
      </c>
      <c r="B127" s="20">
        <f>dig!B127</f>
        <v>601</v>
      </c>
      <c r="C127" s="20">
        <f>B127*100+COUNTIF(B$2:B127,B127)</f>
        <v>60101</v>
      </c>
      <c r="D127" s="20">
        <f t="shared" si="3"/>
        <v>30</v>
      </c>
      <c r="E127" s="20">
        <v>1</v>
      </c>
      <c r="H127" s="20" t="str">
        <f>VLOOKUP(C127,[1]!moster1,10,FALSE)</f>
        <v/>
      </c>
      <c r="J127" s="20">
        <f t="shared" si="4"/>
        <v>626</v>
      </c>
      <c r="M127" s="20">
        <v>126</v>
      </c>
    </row>
    <row r="128" spans="1:13" x14ac:dyDescent="0.15">
      <c r="A128" s="20">
        <f>dig!A128</f>
        <v>6</v>
      </c>
      <c r="B128" s="20">
        <f>dig!B128</f>
        <v>601</v>
      </c>
      <c r="C128" s="20">
        <f>B128*100+COUNTIF(B$2:B128,B128)</f>
        <v>60102</v>
      </c>
      <c r="D128" s="20">
        <f t="shared" si="3"/>
        <v>30</v>
      </c>
      <c r="E128" s="20">
        <v>1</v>
      </c>
      <c r="H128" s="20" t="str">
        <f>VLOOKUP(C128,[1]!moster1,10,FALSE)</f>
        <v/>
      </c>
      <c r="J128" s="20">
        <f t="shared" si="4"/>
        <v>631</v>
      </c>
      <c r="M128" s="20">
        <v>127</v>
      </c>
    </row>
    <row r="129" spans="1:13" x14ac:dyDescent="0.15">
      <c r="A129" s="20">
        <f>dig!A129</f>
        <v>6</v>
      </c>
      <c r="B129" s="20">
        <f>dig!B129</f>
        <v>601</v>
      </c>
      <c r="C129" s="20">
        <f>B129*100+COUNTIF(B$2:B129,B129)</f>
        <v>60103</v>
      </c>
      <c r="D129" s="20">
        <f t="shared" si="3"/>
        <v>30</v>
      </c>
      <c r="E129" s="20">
        <v>1</v>
      </c>
      <c r="H129" s="20" t="str">
        <f>VLOOKUP(C129,[1]!moster1,10,FALSE)</f>
        <v/>
      </c>
      <c r="J129" s="20">
        <f t="shared" si="4"/>
        <v>636</v>
      </c>
      <c r="M129" s="20">
        <v>128</v>
      </c>
    </row>
    <row r="130" spans="1:13" x14ac:dyDescent="0.15">
      <c r="A130" s="20">
        <f>dig!A130</f>
        <v>6</v>
      </c>
      <c r="B130" s="20">
        <f>dig!B130</f>
        <v>601</v>
      </c>
      <c r="C130" s="20">
        <f>B130*100+COUNTIF(B$2:B130,B130)</f>
        <v>60104</v>
      </c>
      <c r="D130" s="20">
        <f t="shared" si="3"/>
        <v>10</v>
      </c>
      <c r="E130" s="20">
        <v>1</v>
      </c>
      <c r="H130" s="20" t="str">
        <f>VLOOKUP(C130,[1]!moster1,10,FALSE)</f>
        <v/>
      </c>
      <c r="J130" s="20">
        <f t="shared" si="4"/>
        <v>641</v>
      </c>
      <c r="M130" s="20">
        <v>129</v>
      </c>
    </row>
    <row r="131" spans="1:13" x14ac:dyDescent="0.15">
      <c r="A131" s="20">
        <f>dig!A131</f>
        <v>6</v>
      </c>
      <c r="B131" s="20">
        <f>dig!B131</f>
        <v>601</v>
      </c>
      <c r="C131" s="20">
        <f>B131*100+COUNTIF(B$2:B131,B131)</f>
        <v>60105</v>
      </c>
      <c r="D131" s="20">
        <f t="shared" ref="D131:D194" si="5">IF(OR(RIGHT(C131,1)="5",RIGHT(C131,1)="4"),10,30)</f>
        <v>10</v>
      </c>
      <c r="E131" s="20">
        <v>1</v>
      </c>
      <c r="H131" s="20" t="str">
        <f>VLOOKUP(C131,[1]!moster1,10,FALSE)</f>
        <v/>
      </c>
      <c r="J131" s="20">
        <f t="shared" si="4"/>
        <v>646</v>
      </c>
      <c r="M131" s="20">
        <v>130</v>
      </c>
    </row>
    <row r="132" spans="1:13" x14ac:dyDescent="0.15">
      <c r="A132" s="20">
        <f>dig!A132</f>
        <v>6</v>
      </c>
      <c r="B132" s="20">
        <f>dig!B132</f>
        <v>602</v>
      </c>
      <c r="C132" s="20">
        <f>B132*100+COUNTIF(B$2:B132,B132)</f>
        <v>60201</v>
      </c>
      <c r="D132" s="20">
        <f t="shared" si="5"/>
        <v>30</v>
      </c>
      <c r="E132" s="20">
        <v>1</v>
      </c>
      <c r="H132" s="20" t="str">
        <f>VLOOKUP(C132,[1]!moster1,10,FALSE)</f>
        <v/>
      </c>
      <c r="J132" s="20">
        <f t="shared" si="4"/>
        <v>651</v>
      </c>
      <c r="M132" s="20">
        <v>131</v>
      </c>
    </row>
    <row r="133" spans="1:13" x14ac:dyDescent="0.15">
      <c r="A133" s="20">
        <f>dig!A133</f>
        <v>6</v>
      </c>
      <c r="B133" s="20">
        <f>dig!B133</f>
        <v>602</v>
      </c>
      <c r="C133" s="20">
        <f>B133*100+COUNTIF(B$2:B133,B133)</f>
        <v>60202</v>
      </c>
      <c r="D133" s="20">
        <f t="shared" si="5"/>
        <v>30</v>
      </c>
      <c r="E133" s="20">
        <v>1</v>
      </c>
      <c r="H133" s="20" t="str">
        <f>VLOOKUP(C133,[1]!moster1,10,FALSE)</f>
        <v/>
      </c>
      <c r="J133" s="20">
        <f t="shared" si="4"/>
        <v>656</v>
      </c>
      <c r="M133" s="20">
        <v>132</v>
      </c>
    </row>
    <row r="134" spans="1:13" x14ac:dyDescent="0.15">
      <c r="A134" s="20">
        <f>dig!A134</f>
        <v>6</v>
      </c>
      <c r="B134" s="20">
        <f>dig!B134</f>
        <v>602</v>
      </c>
      <c r="C134" s="20">
        <f>B134*100+COUNTIF(B$2:B134,B134)</f>
        <v>60203</v>
      </c>
      <c r="D134" s="20">
        <f t="shared" si="5"/>
        <v>30</v>
      </c>
      <c r="E134" s="20">
        <v>1</v>
      </c>
      <c r="H134" s="20" t="str">
        <f>VLOOKUP(C134,[1]!moster1,10,FALSE)</f>
        <v/>
      </c>
      <c r="J134" s="20">
        <f t="shared" si="4"/>
        <v>661</v>
      </c>
      <c r="M134" s="20">
        <v>133</v>
      </c>
    </row>
    <row r="135" spans="1:13" x14ac:dyDescent="0.15">
      <c r="A135" s="20">
        <f>dig!A135</f>
        <v>6</v>
      </c>
      <c r="B135" s="20">
        <f>dig!B135</f>
        <v>602</v>
      </c>
      <c r="C135" s="20">
        <f>B135*100+COUNTIF(B$2:B135,B135)</f>
        <v>60204</v>
      </c>
      <c r="D135" s="20">
        <f t="shared" si="5"/>
        <v>10</v>
      </c>
      <c r="E135" s="20">
        <v>1</v>
      </c>
      <c r="H135" s="20" t="str">
        <f>VLOOKUP(C135,[1]!moster1,10,FALSE)</f>
        <v/>
      </c>
      <c r="J135" s="20">
        <f t="shared" si="4"/>
        <v>666</v>
      </c>
      <c r="M135" s="20">
        <v>134</v>
      </c>
    </row>
    <row r="136" spans="1:13" x14ac:dyDescent="0.15">
      <c r="A136" s="20">
        <f>dig!A136</f>
        <v>6</v>
      </c>
      <c r="B136" s="20">
        <f>dig!B136</f>
        <v>602</v>
      </c>
      <c r="C136" s="20">
        <f>B136*100+COUNTIF(B$2:B136,B136)</f>
        <v>60205</v>
      </c>
      <c r="D136" s="20">
        <f t="shared" si="5"/>
        <v>10</v>
      </c>
      <c r="E136" s="20">
        <v>1</v>
      </c>
      <c r="H136" s="20" t="str">
        <f>VLOOKUP(C136,[1]!moster1,10,FALSE)</f>
        <v/>
      </c>
      <c r="J136" s="20">
        <f t="shared" si="4"/>
        <v>671</v>
      </c>
      <c r="M136" s="20">
        <v>135</v>
      </c>
    </row>
    <row r="137" spans="1:13" x14ac:dyDescent="0.15">
      <c r="A137" s="20">
        <f>dig!A137</f>
        <v>6</v>
      </c>
      <c r="B137" s="20">
        <f>dig!B137</f>
        <v>603</v>
      </c>
      <c r="C137" s="20">
        <f>B137*100+COUNTIF(B$2:B137,B137)</f>
        <v>60301</v>
      </c>
      <c r="D137" s="20">
        <f t="shared" si="5"/>
        <v>30</v>
      </c>
      <c r="E137" s="20">
        <v>1</v>
      </c>
      <c r="H137" s="20" t="str">
        <f>VLOOKUP(C137,[1]!moster1,10,FALSE)</f>
        <v/>
      </c>
      <c r="J137" s="20">
        <f t="shared" si="4"/>
        <v>676</v>
      </c>
      <c r="M137" s="20">
        <v>136</v>
      </c>
    </row>
    <row r="138" spans="1:13" x14ac:dyDescent="0.15">
      <c r="A138" s="20">
        <f>dig!A138</f>
        <v>6</v>
      </c>
      <c r="B138" s="20">
        <f>dig!B138</f>
        <v>603</v>
      </c>
      <c r="C138" s="20">
        <f>B138*100+COUNTIF(B$2:B138,B138)</f>
        <v>60302</v>
      </c>
      <c r="D138" s="20">
        <f t="shared" si="5"/>
        <v>30</v>
      </c>
      <c r="E138" s="20">
        <v>1</v>
      </c>
      <c r="H138" s="20" t="str">
        <f>VLOOKUP(C138,[1]!moster1,10,FALSE)</f>
        <v/>
      </c>
      <c r="J138" s="20">
        <f t="shared" si="4"/>
        <v>681</v>
      </c>
      <c r="M138" s="20">
        <v>137</v>
      </c>
    </row>
    <row r="139" spans="1:13" x14ac:dyDescent="0.15">
      <c r="A139" s="20">
        <f>dig!A139</f>
        <v>6</v>
      </c>
      <c r="B139" s="20">
        <f>dig!B139</f>
        <v>603</v>
      </c>
      <c r="C139" s="20">
        <f>B139*100+COUNTIF(B$2:B139,B139)</f>
        <v>60303</v>
      </c>
      <c r="D139" s="20">
        <f t="shared" si="5"/>
        <v>30</v>
      </c>
      <c r="E139" s="20">
        <v>1</v>
      </c>
      <c r="H139" s="20" t="str">
        <f>VLOOKUP(C139,[1]!moster1,10,FALSE)</f>
        <v/>
      </c>
      <c r="J139" s="20">
        <f t="shared" si="4"/>
        <v>686</v>
      </c>
      <c r="M139" s="20">
        <v>138</v>
      </c>
    </row>
    <row r="140" spans="1:13" x14ac:dyDescent="0.15">
      <c r="A140" s="20">
        <f>dig!A140</f>
        <v>6</v>
      </c>
      <c r="B140" s="20">
        <f>dig!B140</f>
        <v>603</v>
      </c>
      <c r="C140" s="20">
        <f>B140*100+COUNTIF(B$2:B140,B140)</f>
        <v>60304</v>
      </c>
      <c r="D140" s="20">
        <f t="shared" si="5"/>
        <v>10</v>
      </c>
      <c r="E140" s="20">
        <v>1</v>
      </c>
      <c r="H140" s="20" t="str">
        <f>VLOOKUP(C140,[1]!moster1,10,FALSE)</f>
        <v/>
      </c>
      <c r="J140" s="20">
        <f t="shared" si="4"/>
        <v>691</v>
      </c>
      <c r="M140" s="20">
        <v>139</v>
      </c>
    </row>
    <row r="141" spans="1:13" x14ac:dyDescent="0.15">
      <c r="A141" s="20">
        <f>dig!A141</f>
        <v>6</v>
      </c>
      <c r="B141" s="20">
        <f>dig!B141</f>
        <v>603</v>
      </c>
      <c r="C141" s="20">
        <f>B141*100+COUNTIF(B$2:B141,B141)</f>
        <v>60305</v>
      </c>
      <c r="D141" s="20">
        <f t="shared" si="5"/>
        <v>10</v>
      </c>
      <c r="E141" s="20">
        <v>1</v>
      </c>
      <c r="H141" s="20" t="str">
        <f>VLOOKUP(C141,[1]!moster1,10,FALSE)</f>
        <v/>
      </c>
      <c r="J141" s="20">
        <f t="shared" si="4"/>
        <v>696</v>
      </c>
      <c r="M141" s="20">
        <v>140</v>
      </c>
    </row>
    <row r="142" spans="1:13" x14ac:dyDescent="0.15">
      <c r="A142" s="20">
        <f>dig!A142</f>
        <v>6</v>
      </c>
      <c r="B142" s="20">
        <f>dig!B142</f>
        <v>604</v>
      </c>
      <c r="C142" s="20">
        <f>B142*100+COUNTIF(B$2:B142,B142)</f>
        <v>60401</v>
      </c>
      <c r="D142" s="20">
        <f t="shared" si="5"/>
        <v>30</v>
      </c>
      <c r="E142" s="20">
        <v>1</v>
      </c>
      <c r="H142" s="20" t="str">
        <f>VLOOKUP(C142,[1]!moster1,10,FALSE)</f>
        <v/>
      </c>
      <c r="M142" s="20">
        <v>141</v>
      </c>
    </row>
    <row r="143" spans="1:13" x14ac:dyDescent="0.15">
      <c r="A143" s="20">
        <f>dig!A143</f>
        <v>6</v>
      </c>
      <c r="B143" s="20">
        <f>dig!B143</f>
        <v>604</v>
      </c>
      <c r="C143" s="20">
        <f>B143*100+COUNTIF(B$2:B143,B143)</f>
        <v>60402</v>
      </c>
      <c r="D143" s="20">
        <f t="shared" si="5"/>
        <v>30</v>
      </c>
      <c r="E143" s="20">
        <v>1</v>
      </c>
      <c r="H143" s="20" t="str">
        <f>VLOOKUP(C143,[1]!moster1,10,FALSE)</f>
        <v/>
      </c>
      <c r="M143" s="20">
        <v>142</v>
      </c>
    </row>
    <row r="144" spans="1:13" x14ac:dyDescent="0.15">
      <c r="A144" s="20">
        <f>dig!A144</f>
        <v>6</v>
      </c>
      <c r="B144" s="20">
        <f>dig!B144</f>
        <v>604</v>
      </c>
      <c r="C144" s="20">
        <f>B144*100+COUNTIF(B$2:B144,B144)</f>
        <v>60403</v>
      </c>
      <c r="D144" s="20">
        <f t="shared" si="5"/>
        <v>30</v>
      </c>
      <c r="E144" s="20">
        <v>1</v>
      </c>
      <c r="H144" s="20" t="str">
        <f>VLOOKUP(C144,[1]!moster1,10,FALSE)</f>
        <v/>
      </c>
      <c r="M144" s="20">
        <v>143</v>
      </c>
    </row>
    <row r="145" spans="1:13" x14ac:dyDescent="0.15">
      <c r="A145" s="20">
        <f>dig!A145</f>
        <v>6</v>
      </c>
      <c r="B145" s="20">
        <f>dig!B145</f>
        <v>604</v>
      </c>
      <c r="C145" s="20">
        <f>B145*100+COUNTIF(B$2:B145,B145)</f>
        <v>60404</v>
      </c>
      <c r="D145" s="20">
        <f t="shared" si="5"/>
        <v>10</v>
      </c>
      <c r="E145" s="20">
        <v>1</v>
      </c>
      <c r="H145" s="20" t="str">
        <f>VLOOKUP(C145,[1]!moster1,10,FALSE)</f>
        <v/>
      </c>
      <c r="M145" s="20">
        <v>144</v>
      </c>
    </row>
    <row r="146" spans="1:13" x14ac:dyDescent="0.15">
      <c r="A146" s="20">
        <f>dig!A146</f>
        <v>6</v>
      </c>
      <c r="B146" s="20">
        <f>dig!B146</f>
        <v>604</v>
      </c>
      <c r="C146" s="20">
        <f>B146*100+COUNTIF(B$2:B146,B146)</f>
        <v>60405</v>
      </c>
      <c r="D146" s="20">
        <f t="shared" si="5"/>
        <v>10</v>
      </c>
      <c r="E146" s="20">
        <v>1</v>
      </c>
      <c r="H146" s="20" t="str">
        <f>VLOOKUP(C146,[1]!moster1,10,FALSE)</f>
        <v/>
      </c>
      <c r="M146" s="20">
        <v>145</v>
      </c>
    </row>
    <row r="147" spans="1:13" x14ac:dyDescent="0.15">
      <c r="A147" s="20">
        <f>dig!A147</f>
        <v>6</v>
      </c>
      <c r="B147" s="20">
        <f>dig!B147</f>
        <v>605</v>
      </c>
      <c r="C147" s="20">
        <f>B147*100+COUNTIF(B$2:B147,B147)</f>
        <v>60501</v>
      </c>
      <c r="D147" s="20">
        <f t="shared" si="5"/>
        <v>30</v>
      </c>
      <c r="E147" s="20">
        <v>1</v>
      </c>
      <c r="H147" s="20" t="str">
        <f>VLOOKUP(C147,[1]!moster1,10,FALSE)</f>
        <v/>
      </c>
      <c r="M147" s="20">
        <v>146</v>
      </c>
    </row>
    <row r="148" spans="1:13" x14ac:dyDescent="0.15">
      <c r="A148" s="20">
        <f>dig!A148</f>
        <v>6</v>
      </c>
      <c r="B148" s="20">
        <f>dig!B148</f>
        <v>605</v>
      </c>
      <c r="C148" s="20">
        <f>B148*100+COUNTIF(B$2:B148,B148)</f>
        <v>60502</v>
      </c>
      <c r="D148" s="20">
        <f t="shared" si="5"/>
        <v>30</v>
      </c>
      <c r="E148" s="20">
        <v>1</v>
      </c>
      <c r="H148" s="20" t="str">
        <f>VLOOKUP(C148,[1]!moster1,10,FALSE)</f>
        <v/>
      </c>
      <c r="M148" s="20">
        <v>147</v>
      </c>
    </row>
    <row r="149" spans="1:13" x14ac:dyDescent="0.15">
      <c r="A149" s="20">
        <f>dig!A149</f>
        <v>6</v>
      </c>
      <c r="B149" s="20">
        <f>dig!B149</f>
        <v>605</v>
      </c>
      <c r="C149" s="20">
        <f>B149*100+COUNTIF(B$2:B149,B149)</f>
        <v>60503</v>
      </c>
      <c r="D149" s="20">
        <f t="shared" si="5"/>
        <v>30</v>
      </c>
      <c r="E149" s="20">
        <v>1</v>
      </c>
      <c r="H149" s="20" t="str">
        <f>VLOOKUP(C149,[1]!moster1,10,FALSE)</f>
        <v/>
      </c>
      <c r="M149" s="20">
        <v>148</v>
      </c>
    </row>
    <row r="150" spans="1:13" x14ac:dyDescent="0.15">
      <c r="A150" s="20">
        <f>dig!A150</f>
        <v>6</v>
      </c>
      <c r="B150" s="20">
        <f>dig!B150</f>
        <v>605</v>
      </c>
      <c r="C150" s="20">
        <f>B150*100+COUNTIF(B$2:B150,B150)</f>
        <v>60504</v>
      </c>
      <c r="D150" s="20">
        <f t="shared" si="5"/>
        <v>10</v>
      </c>
      <c r="E150" s="20">
        <v>1</v>
      </c>
      <c r="H150" s="20" t="str">
        <f>VLOOKUP(C150,[1]!moster1,10,FALSE)</f>
        <v/>
      </c>
      <c r="M150" s="20">
        <v>149</v>
      </c>
    </row>
    <row r="151" spans="1:13" x14ac:dyDescent="0.15">
      <c r="A151" s="20">
        <f>dig!A151</f>
        <v>6</v>
      </c>
      <c r="B151" s="20">
        <f>dig!B151</f>
        <v>605</v>
      </c>
      <c r="C151" s="20">
        <f>B151*100+COUNTIF(B$2:B151,B151)</f>
        <v>60505</v>
      </c>
      <c r="D151" s="20">
        <f t="shared" si="5"/>
        <v>10</v>
      </c>
      <c r="E151" s="20">
        <v>1</v>
      </c>
      <c r="H151" s="20" t="str">
        <f>VLOOKUP(C151,[1]!moster1,10,FALSE)</f>
        <v/>
      </c>
      <c r="M151" s="20">
        <v>150</v>
      </c>
    </row>
    <row r="152" spans="1:13" x14ac:dyDescent="0.15">
      <c r="A152" s="20">
        <f>dig!A152</f>
        <v>7</v>
      </c>
      <c r="B152" s="20">
        <f>dig!B152</f>
        <v>701</v>
      </c>
      <c r="C152" s="20">
        <f>B152*100+COUNTIF(B$2:B152,B152)</f>
        <v>70101</v>
      </c>
      <c r="D152" s="20">
        <f t="shared" si="5"/>
        <v>30</v>
      </c>
      <c r="E152" s="20">
        <v>1</v>
      </c>
      <c r="H152" s="20" t="str">
        <f>VLOOKUP(C152,[1]!moster1,10,FALSE)</f>
        <v/>
      </c>
      <c r="M152" s="20">
        <v>151</v>
      </c>
    </row>
    <row r="153" spans="1:13" x14ac:dyDescent="0.15">
      <c r="A153" s="20">
        <f>dig!A153</f>
        <v>7</v>
      </c>
      <c r="B153" s="20">
        <f>dig!B153</f>
        <v>701</v>
      </c>
      <c r="C153" s="20">
        <f>B153*100+COUNTIF(B$2:B153,B153)</f>
        <v>70102</v>
      </c>
      <c r="D153" s="20">
        <f t="shared" si="5"/>
        <v>30</v>
      </c>
      <c r="E153" s="20">
        <v>1</v>
      </c>
      <c r="H153" s="20" t="str">
        <f>VLOOKUP(C153,[1]!moster1,10,FALSE)</f>
        <v/>
      </c>
      <c r="M153" s="20">
        <v>152</v>
      </c>
    </row>
    <row r="154" spans="1:13" x14ac:dyDescent="0.15">
      <c r="A154" s="20">
        <f>dig!A154</f>
        <v>7</v>
      </c>
      <c r="B154" s="20">
        <f>dig!B154</f>
        <v>701</v>
      </c>
      <c r="C154" s="20">
        <f>B154*100+COUNTIF(B$2:B154,B154)</f>
        <v>70103</v>
      </c>
      <c r="D154" s="20">
        <f t="shared" si="5"/>
        <v>30</v>
      </c>
      <c r="E154" s="20">
        <v>1</v>
      </c>
      <c r="H154" s="20" t="str">
        <f>VLOOKUP(C154,[1]!moster1,10,FALSE)</f>
        <v/>
      </c>
      <c r="M154" s="20">
        <v>153</v>
      </c>
    </row>
    <row r="155" spans="1:13" x14ac:dyDescent="0.15">
      <c r="A155" s="20">
        <f>dig!A155</f>
        <v>7</v>
      </c>
      <c r="B155" s="20">
        <f>dig!B155</f>
        <v>701</v>
      </c>
      <c r="C155" s="20">
        <f>B155*100+COUNTIF(B$2:B155,B155)</f>
        <v>70104</v>
      </c>
      <c r="D155" s="20">
        <f t="shared" si="5"/>
        <v>10</v>
      </c>
      <c r="E155" s="20">
        <v>1</v>
      </c>
      <c r="H155" s="20" t="str">
        <f>VLOOKUP(C155,[1]!moster1,10,FALSE)</f>
        <v/>
      </c>
      <c r="M155" s="20">
        <v>154</v>
      </c>
    </row>
    <row r="156" spans="1:13" x14ac:dyDescent="0.15">
      <c r="A156" s="20">
        <f>dig!A156</f>
        <v>7</v>
      </c>
      <c r="B156" s="20">
        <f>dig!B156</f>
        <v>701</v>
      </c>
      <c r="C156" s="20">
        <f>B156*100+COUNTIF(B$2:B156,B156)</f>
        <v>70105</v>
      </c>
      <c r="D156" s="20">
        <f t="shared" si="5"/>
        <v>10</v>
      </c>
      <c r="E156" s="20">
        <v>1</v>
      </c>
      <c r="H156" s="20" t="str">
        <f>VLOOKUP(C156,[1]!moster1,10,FALSE)</f>
        <v/>
      </c>
      <c r="M156" s="20">
        <v>155</v>
      </c>
    </row>
    <row r="157" spans="1:13" x14ac:dyDescent="0.15">
      <c r="A157" s="20">
        <f>dig!A157</f>
        <v>7</v>
      </c>
      <c r="B157" s="20">
        <f>dig!B157</f>
        <v>702</v>
      </c>
      <c r="C157" s="20">
        <f>B157*100+COUNTIF(B$2:B157,B157)</f>
        <v>70201</v>
      </c>
      <c r="D157" s="20">
        <f t="shared" si="5"/>
        <v>30</v>
      </c>
      <c r="E157" s="20">
        <v>1</v>
      </c>
      <c r="H157" s="20" t="str">
        <f>VLOOKUP(C157,[1]!moster1,10,FALSE)</f>
        <v/>
      </c>
      <c r="M157" s="20">
        <v>156</v>
      </c>
    </row>
    <row r="158" spans="1:13" x14ac:dyDescent="0.15">
      <c r="A158" s="20">
        <f>dig!A158</f>
        <v>7</v>
      </c>
      <c r="B158" s="20">
        <f>dig!B158</f>
        <v>702</v>
      </c>
      <c r="C158" s="20">
        <f>B158*100+COUNTIF(B$2:B158,B158)</f>
        <v>70202</v>
      </c>
      <c r="D158" s="20">
        <f t="shared" si="5"/>
        <v>30</v>
      </c>
      <c r="E158" s="20">
        <v>1</v>
      </c>
      <c r="H158" s="20" t="str">
        <f>VLOOKUP(C158,[1]!moster1,10,FALSE)</f>
        <v/>
      </c>
      <c r="M158" s="20">
        <v>157</v>
      </c>
    </row>
    <row r="159" spans="1:13" x14ac:dyDescent="0.15">
      <c r="A159" s="20">
        <f>dig!A159</f>
        <v>7</v>
      </c>
      <c r="B159" s="20">
        <f>dig!B159</f>
        <v>702</v>
      </c>
      <c r="C159" s="20">
        <f>B159*100+COUNTIF(B$2:B159,B159)</f>
        <v>70203</v>
      </c>
      <c r="D159" s="20">
        <f t="shared" si="5"/>
        <v>30</v>
      </c>
      <c r="E159" s="20">
        <v>1</v>
      </c>
      <c r="H159" s="20" t="str">
        <f>VLOOKUP(C159,[1]!moster1,10,FALSE)</f>
        <v/>
      </c>
      <c r="M159" s="20">
        <v>158</v>
      </c>
    </row>
    <row r="160" spans="1:13" x14ac:dyDescent="0.15">
      <c r="A160" s="20">
        <f>dig!A160</f>
        <v>7</v>
      </c>
      <c r="B160" s="20">
        <f>dig!B160</f>
        <v>702</v>
      </c>
      <c r="C160" s="20">
        <f>B160*100+COUNTIF(B$2:B160,B160)</f>
        <v>70204</v>
      </c>
      <c r="D160" s="20">
        <f t="shared" si="5"/>
        <v>10</v>
      </c>
      <c r="E160" s="20">
        <v>1</v>
      </c>
      <c r="H160" s="20" t="str">
        <f>VLOOKUP(C160,[1]!moster1,10,FALSE)</f>
        <v/>
      </c>
      <c r="M160" s="20">
        <v>159</v>
      </c>
    </row>
    <row r="161" spans="1:13" x14ac:dyDescent="0.15">
      <c r="A161" s="20">
        <f>dig!A161</f>
        <v>7</v>
      </c>
      <c r="B161" s="20">
        <f>dig!B161</f>
        <v>702</v>
      </c>
      <c r="C161" s="20">
        <f>B161*100+COUNTIF(B$2:B161,B161)</f>
        <v>70205</v>
      </c>
      <c r="D161" s="20">
        <f t="shared" si="5"/>
        <v>10</v>
      </c>
      <c r="E161" s="20">
        <v>1</v>
      </c>
      <c r="H161" s="20" t="str">
        <f>VLOOKUP(C161,[1]!moster1,10,FALSE)</f>
        <v/>
      </c>
      <c r="M161" s="20">
        <v>160</v>
      </c>
    </row>
    <row r="162" spans="1:13" x14ac:dyDescent="0.15">
      <c r="A162" s="20">
        <f>dig!A162</f>
        <v>7</v>
      </c>
      <c r="B162" s="20">
        <f>dig!B162</f>
        <v>703</v>
      </c>
      <c r="C162" s="20">
        <f>B162*100+COUNTIF(B$2:B162,B162)</f>
        <v>70301</v>
      </c>
      <c r="D162" s="20">
        <f t="shared" si="5"/>
        <v>30</v>
      </c>
      <c r="E162" s="20">
        <v>1</v>
      </c>
      <c r="H162" s="20" t="str">
        <f>VLOOKUP(C162,[1]!moster1,10,FALSE)</f>
        <v/>
      </c>
      <c r="M162" s="20">
        <v>161</v>
      </c>
    </row>
    <row r="163" spans="1:13" x14ac:dyDescent="0.15">
      <c r="A163" s="20">
        <f>dig!A163</f>
        <v>7</v>
      </c>
      <c r="B163" s="20">
        <f>dig!B163</f>
        <v>703</v>
      </c>
      <c r="C163" s="20">
        <f>B163*100+COUNTIF(B$2:B163,B163)</f>
        <v>70302</v>
      </c>
      <c r="D163" s="20">
        <f t="shared" si="5"/>
        <v>30</v>
      </c>
      <c r="E163" s="20">
        <v>1</v>
      </c>
      <c r="H163" s="20" t="str">
        <f>VLOOKUP(C163,[1]!moster1,10,FALSE)</f>
        <v/>
      </c>
      <c r="M163" s="20">
        <v>162</v>
      </c>
    </row>
    <row r="164" spans="1:13" x14ac:dyDescent="0.15">
      <c r="A164" s="20">
        <f>dig!A164</f>
        <v>7</v>
      </c>
      <c r="B164" s="20">
        <f>dig!B164</f>
        <v>703</v>
      </c>
      <c r="C164" s="20">
        <f>B164*100+COUNTIF(B$2:B164,B164)</f>
        <v>70303</v>
      </c>
      <c r="D164" s="20">
        <f t="shared" si="5"/>
        <v>30</v>
      </c>
      <c r="E164" s="20">
        <v>1</v>
      </c>
      <c r="H164" s="20" t="str">
        <f>VLOOKUP(C164,[1]!moster1,10,FALSE)</f>
        <v/>
      </c>
      <c r="M164" s="20">
        <v>163</v>
      </c>
    </row>
    <row r="165" spans="1:13" x14ac:dyDescent="0.15">
      <c r="A165" s="20">
        <f>dig!A165</f>
        <v>7</v>
      </c>
      <c r="B165" s="20">
        <f>dig!B165</f>
        <v>703</v>
      </c>
      <c r="C165" s="20">
        <f>B165*100+COUNTIF(B$2:B165,B165)</f>
        <v>70304</v>
      </c>
      <c r="D165" s="20">
        <f t="shared" si="5"/>
        <v>10</v>
      </c>
      <c r="E165" s="20">
        <v>1</v>
      </c>
      <c r="H165" s="20" t="str">
        <f>VLOOKUP(C165,[1]!moster1,10,FALSE)</f>
        <v/>
      </c>
      <c r="M165" s="20">
        <v>164</v>
      </c>
    </row>
    <row r="166" spans="1:13" x14ac:dyDescent="0.15">
      <c r="A166" s="20">
        <f>dig!A166</f>
        <v>7</v>
      </c>
      <c r="B166" s="20">
        <f>dig!B166</f>
        <v>703</v>
      </c>
      <c r="C166" s="20">
        <f>B166*100+COUNTIF(B$2:B166,B166)</f>
        <v>70305</v>
      </c>
      <c r="D166" s="20">
        <f t="shared" si="5"/>
        <v>10</v>
      </c>
      <c r="E166" s="20">
        <v>1</v>
      </c>
      <c r="H166" s="20" t="str">
        <f>VLOOKUP(C166,[1]!moster1,10,FALSE)</f>
        <v/>
      </c>
      <c r="M166" s="20">
        <v>165</v>
      </c>
    </row>
    <row r="167" spans="1:13" x14ac:dyDescent="0.15">
      <c r="A167" s="20">
        <f>dig!A167</f>
        <v>7</v>
      </c>
      <c r="B167" s="20">
        <f>dig!B167</f>
        <v>704</v>
      </c>
      <c r="C167" s="20">
        <f>B167*100+COUNTIF(B$2:B167,B167)</f>
        <v>70401</v>
      </c>
      <c r="D167" s="20">
        <f t="shared" si="5"/>
        <v>30</v>
      </c>
      <c r="E167" s="20">
        <v>1</v>
      </c>
      <c r="H167" s="20" t="str">
        <f>VLOOKUP(C167,[1]!moster1,10,FALSE)</f>
        <v/>
      </c>
      <c r="M167" s="20">
        <v>166</v>
      </c>
    </row>
    <row r="168" spans="1:13" x14ac:dyDescent="0.15">
      <c r="A168" s="20">
        <f>dig!A168</f>
        <v>7</v>
      </c>
      <c r="B168" s="20">
        <f>dig!B168</f>
        <v>704</v>
      </c>
      <c r="C168" s="20">
        <f>B168*100+COUNTIF(B$2:B168,B168)</f>
        <v>70402</v>
      </c>
      <c r="D168" s="20">
        <f t="shared" si="5"/>
        <v>30</v>
      </c>
      <c r="E168" s="20">
        <v>1</v>
      </c>
      <c r="H168" s="20" t="str">
        <f>VLOOKUP(C168,[1]!moster1,10,FALSE)</f>
        <v/>
      </c>
      <c r="M168" s="20">
        <v>167</v>
      </c>
    </row>
    <row r="169" spans="1:13" x14ac:dyDescent="0.15">
      <c r="A169" s="20">
        <f>dig!A169</f>
        <v>7</v>
      </c>
      <c r="B169" s="20">
        <f>dig!B169</f>
        <v>704</v>
      </c>
      <c r="C169" s="20">
        <f>B169*100+COUNTIF(B$2:B169,B169)</f>
        <v>70403</v>
      </c>
      <c r="D169" s="20">
        <f t="shared" si="5"/>
        <v>30</v>
      </c>
      <c r="E169" s="20">
        <v>1</v>
      </c>
      <c r="H169" s="20" t="str">
        <f>VLOOKUP(C169,[1]!moster1,10,FALSE)</f>
        <v/>
      </c>
      <c r="M169" s="20">
        <v>168</v>
      </c>
    </row>
    <row r="170" spans="1:13" x14ac:dyDescent="0.15">
      <c r="A170" s="20">
        <f>dig!A170</f>
        <v>7</v>
      </c>
      <c r="B170" s="20">
        <f>dig!B170</f>
        <v>704</v>
      </c>
      <c r="C170" s="20">
        <f>B170*100+COUNTIF(B$2:B170,B170)</f>
        <v>70404</v>
      </c>
      <c r="D170" s="20">
        <f t="shared" si="5"/>
        <v>10</v>
      </c>
      <c r="E170" s="20">
        <v>1</v>
      </c>
      <c r="H170" s="20" t="str">
        <f>VLOOKUP(C170,[1]!moster1,10,FALSE)</f>
        <v/>
      </c>
      <c r="M170" s="20">
        <v>169</v>
      </c>
    </row>
    <row r="171" spans="1:13" x14ac:dyDescent="0.15">
      <c r="A171" s="20">
        <f>dig!A171</f>
        <v>7</v>
      </c>
      <c r="B171" s="20">
        <f>dig!B171</f>
        <v>704</v>
      </c>
      <c r="C171" s="20">
        <f>B171*100+COUNTIF(B$2:B171,B171)</f>
        <v>70405</v>
      </c>
      <c r="D171" s="20">
        <f t="shared" si="5"/>
        <v>10</v>
      </c>
      <c r="E171" s="20">
        <v>1</v>
      </c>
      <c r="H171" s="20" t="str">
        <f>VLOOKUP(C171,[1]!moster1,10,FALSE)</f>
        <v/>
      </c>
      <c r="M171" s="20">
        <v>170</v>
      </c>
    </row>
    <row r="172" spans="1:13" x14ac:dyDescent="0.15">
      <c r="A172" s="20">
        <f>dig!A172</f>
        <v>7</v>
      </c>
      <c r="B172" s="20">
        <f>dig!B172</f>
        <v>705</v>
      </c>
      <c r="C172" s="20">
        <f>B172*100+COUNTIF(B$2:B172,B172)</f>
        <v>70501</v>
      </c>
      <c r="D172" s="20">
        <f t="shared" si="5"/>
        <v>30</v>
      </c>
      <c r="E172" s="20">
        <v>1</v>
      </c>
      <c r="H172" s="20" t="str">
        <f>VLOOKUP(C172,[1]!moster1,10,FALSE)</f>
        <v/>
      </c>
      <c r="M172" s="20">
        <v>171</v>
      </c>
    </row>
    <row r="173" spans="1:13" x14ac:dyDescent="0.15">
      <c r="A173" s="20">
        <f>dig!A173</f>
        <v>7</v>
      </c>
      <c r="B173" s="20">
        <f>dig!B173</f>
        <v>705</v>
      </c>
      <c r="C173" s="20">
        <f>B173*100+COUNTIF(B$2:B173,B173)</f>
        <v>70502</v>
      </c>
      <c r="D173" s="20">
        <f t="shared" si="5"/>
        <v>30</v>
      </c>
      <c r="E173" s="20">
        <v>1</v>
      </c>
      <c r="H173" s="20" t="str">
        <f>VLOOKUP(C173,[1]!moster1,10,FALSE)</f>
        <v/>
      </c>
      <c r="M173" s="20">
        <v>172</v>
      </c>
    </row>
    <row r="174" spans="1:13" x14ac:dyDescent="0.15">
      <c r="A174" s="20">
        <f>dig!A174</f>
        <v>7</v>
      </c>
      <c r="B174" s="20">
        <f>dig!B174</f>
        <v>705</v>
      </c>
      <c r="C174" s="20">
        <f>B174*100+COUNTIF(B$2:B174,B174)</f>
        <v>70503</v>
      </c>
      <c r="D174" s="20">
        <f t="shared" si="5"/>
        <v>30</v>
      </c>
      <c r="E174" s="20">
        <v>1</v>
      </c>
      <c r="H174" s="20" t="str">
        <f>VLOOKUP(C174,[1]!moster1,10,FALSE)</f>
        <v/>
      </c>
      <c r="M174" s="20">
        <v>173</v>
      </c>
    </row>
    <row r="175" spans="1:13" x14ac:dyDescent="0.15">
      <c r="A175" s="20">
        <f>dig!A175</f>
        <v>7</v>
      </c>
      <c r="B175" s="20">
        <f>dig!B175</f>
        <v>705</v>
      </c>
      <c r="C175" s="20">
        <f>B175*100+COUNTIF(B$2:B175,B175)</f>
        <v>70504</v>
      </c>
      <c r="D175" s="20">
        <f t="shared" si="5"/>
        <v>10</v>
      </c>
      <c r="E175" s="20">
        <v>1</v>
      </c>
      <c r="H175" s="20" t="str">
        <f>VLOOKUP(C175,[1]!moster1,10,FALSE)</f>
        <v/>
      </c>
      <c r="M175" s="20">
        <v>174</v>
      </c>
    </row>
    <row r="176" spans="1:13" x14ac:dyDescent="0.15">
      <c r="A176" s="20">
        <f>dig!A176</f>
        <v>7</v>
      </c>
      <c r="B176" s="20">
        <f>dig!B176</f>
        <v>705</v>
      </c>
      <c r="C176" s="20">
        <f>B176*100+COUNTIF(B$2:B176,B176)</f>
        <v>70505</v>
      </c>
      <c r="D176" s="20">
        <f t="shared" si="5"/>
        <v>10</v>
      </c>
      <c r="E176" s="20">
        <v>1</v>
      </c>
      <c r="H176" s="20" t="str">
        <f>VLOOKUP(C176,[1]!moster1,10,FALSE)</f>
        <v/>
      </c>
      <c r="M176" s="20">
        <v>175</v>
      </c>
    </row>
    <row r="177" spans="1:13" x14ac:dyDescent="0.15">
      <c r="A177" s="20">
        <f>dig!A177</f>
        <v>8</v>
      </c>
      <c r="B177" s="20">
        <f>dig!B177</f>
        <v>801</v>
      </c>
      <c r="C177" s="20">
        <f>B177*100+COUNTIF(B$2:B177,B177)</f>
        <v>80101</v>
      </c>
      <c r="D177" s="20">
        <f t="shared" si="5"/>
        <v>30</v>
      </c>
      <c r="E177" s="20">
        <v>1</v>
      </c>
      <c r="H177" s="20" t="str">
        <f>VLOOKUP(C177,[1]!moster1,10,FALSE)</f>
        <v/>
      </c>
      <c r="M177" s="20">
        <v>176</v>
      </c>
    </row>
    <row r="178" spans="1:13" x14ac:dyDescent="0.15">
      <c r="A178" s="20">
        <f>dig!A178</f>
        <v>8</v>
      </c>
      <c r="B178" s="20">
        <f>dig!B178</f>
        <v>801</v>
      </c>
      <c r="C178" s="20">
        <f>B178*100+COUNTIF(B$2:B178,B178)</f>
        <v>80102</v>
      </c>
      <c r="D178" s="20">
        <f t="shared" si="5"/>
        <v>30</v>
      </c>
      <c r="E178" s="20">
        <v>1</v>
      </c>
      <c r="H178" s="20" t="str">
        <f>VLOOKUP(C178,[1]!moster1,10,FALSE)</f>
        <v/>
      </c>
      <c r="M178" s="20">
        <v>177</v>
      </c>
    </row>
    <row r="179" spans="1:13" x14ac:dyDescent="0.15">
      <c r="A179" s="20">
        <f>dig!A179</f>
        <v>8</v>
      </c>
      <c r="B179" s="20">
        <f>dig!B179</f>
        <v>801</v>
      </c>
      <c r="C179" s="20">
        <f>B179*100+COUNTIF(B$2:B179,B179)</f>
        <v>80103</v>
      </c>
      <c r="D179" s="20">
        <f t="shared" si="5"/>
        <v>30</v>
      </c>
      <c r="E179" s="20">
        <v>1</v>
      </c>
      <c r="H179" s="20" t="str">
        <f>VLOOKUP(C179,[1]!moster1,10,FALSE)</f>
        <v/>
      </c>
      <c r="M179" s="20">
        <v>178</v>
      </c>
    </row>
    <row r="180" spans="1:13" x14ac:dyDescent="0.15">
      <c r="A180" s="20">
        <f>dig!A180</f>
        <v>8</v>
      </c>
      <c r="B180" s="20">
        <f>dig!B180</f>
        <v>801</v>
      </c>
      <c r="C180" s="20">
        <f>B180*100+COUNTIF(B$2:B180,B180)</f>
        <v>80104</v>
      </c>
      <c r="D180" s="20">
        <f t="shared" si="5"/>
        <v>10</v>
      </c>
      <c r="E180" s="20">
        <v>1</v>
      </c>
      <c r="H180" s="20" t="str">
        <f>VLOOKUP(C180,[1]!moster1,10,FALSE)</f>
        <v/>
      </c>
      <c r="M180" s="20">
        <v>179</v>
      </c>
    </row>
    <row r="181" spans="1:13" x14ac:dyDescent="0.15">
      <c r="A181" s="20">
        <f>dig!A181</f>
        <v>8</v>
      </c>
      <c r="B181" s="20">
        <f>dig!B181</f>
        <v>801</v>
      </c>
      <c r="C181" s="20">
        <f>B181*100+COUNTIF(B$2:B181,B181)</f>
        <v>80105</v>
      </c>
      <c r="D181" s="20">
        <f t="shared" si="5"/>
        <v>10</v>
      </c>
      <c r="E181" s="20">
        <v>1</v>
      </c>
      <c r="H181" s="20" t="str">
        <f>VLOOKUP(C181,[1]!moster1,10,FALSE)</f>
        <v/>
      </c>
      <c r="M181" s="20">
        <v>180</v>
      </c>
    </row>
    <row r="182" spans="1:13" x14ac:dyDescent="0.15">
      <c r="A182" s="20">
        <f>dig!A182</f>
        <v>8</v>
      </c>
      <c r="B182" s="20">
        <f>dig!B182</f>
        <v>802</v>
      </c>
      <c r="C182" s="20">
        <f>B182*100+COUNTIF(B$2:B182,B182)</f>
        <v>80201</v>
      </c>
      <c r="D182" s="20">
        <f t="shared" si="5"/>
        <v>30</v>
      </c>
      <c r="E182" s="20">
        <v>1</v>
      </c>
      <c r="H182" s="20" t="str">
        <f>VLOOKUP(C182,[1]!moster1,10,FALSE)</f>
        <v/>
      </c>
      <c r="M182" s="20">
        <v>181</v>
      </c>
    </row>
    <row r="183" spans="1:13" x14ac:dyDescent="0.15">
      <c r="A183" s="20">
        <f>dig!A183</f>
        <v>8</v>
      </c>
      <c r="B183" s="20">
        <f>dig!B183</f>
        <v>802</v>
      </c>
      <c r="C183" s="20">
        <f>B183*100+COUNTIF(B$2:B183,B183)</f>
        <v>80202</v>
      </c>
      <c r="D183" s="20">
        <f t="shared" si="5"/>
        <v>30</v>
      </c>
      <c r="E183" s="20">
        <v>1</v>
      </c>
      <c r="H183" s="20" t="str">
        <f>VLOOKUP(C183,[1]!moster1,10,FALSE)</f>
        <v/>
      </c>
      <c r="M183" s="20">
        <v>182</v>
      </c>
    </row>
    <row r="184" spans="1:13" x14ac:dyDescent="0.15">
      <c r="A184" s="20">
        <f>dig!A184</f>
        <v>8</v>
      </c>
      <c r="B184" s="20">
        <f>dig!B184</f>
        <v>802</v>
      </c>
      <c r="C184" s="20">
        <f>B184*100+COUNTIF(B$2:B184,B184)</f>
        <v>80203</v>
      </c>
      <c r="D184" s="20">
        <f t="shared" si="5"/>
        <v>30</v>
      </c>
      <c r="E184" s="20">
        <v>1</v>
      </c>
      <c r="H184" s="20" t="str">
        <f>VLOOKUP(C184,[1]!moster1,10,FALSE)</f>
        <v/>
      </c>
      <c r="M184" s="20">
        <v>183</v>
      </c>
    </row>
    <row r="185" spans="1:13" x14ac:dyDescent="0.15">
      <c r="A185" s="20">
        <f>dig!A185</f>
        <v>8</v>
      </c>
      <c r="B185" s="20">
        <f>dig!B185</f>
        <v>802</v>
      </c>
      <c r="C185" s="20">
        <f>B185*100+COUNTIF(B$2:B185,B185)</f>
        <v>80204</v>
      </c>
      <c r="D185" s="20">
        <f t="shared" si="5"/>
        <v>10</v>
      </c>
      <c r="E185" s="20">
        <v>1</v>
      </c>
      <c r="H185" s="20" t="str">
        <f>VLOOKUP(C185,[1]!moster1,10,FALSE)</f>
        <v/>
      </c>
      <c r="M185" s="20">
        <v>184</v>
      </c>
    </row>
    <row r="186" spans="1:13" x14ac:dyDescent="0.15">
      <c r="A186" s="20">
        <f>dig!A186</f>
        <v>8</v>
      </c>
      <c r="B186" s="20">
        <f>dig!B186</f>
        <v>802</v>
      </c>
      <c r="C186" s="20">
        <f>B186*100+COUNTIF(B$2:B186,B186)</f>
        <v>80205</v>
      </c>
      <c r="D186" s="20">
        <f t="shared" si="5"/>
        <v>10</v>
      </c>
      <c r="E186" s="20">
        <v>1</v>
      </c>
      <c r="H186" s="20" t="str">
        <f>VLOOKUP(C186,[1]!moster1,10,FALSE)</f>
        <v/>
      </c>
      <c r="M186" s="20">
        <v>185</v>
      </c>
    </row>
    <row r="187" spans="1:13" x14ac:dyDescent="0.15">
      <c r="A187" s="20">
        <f>dig!A187</f>
        <v>8</v>
      </c>
      <c r="B187" s="20">
        <f>dig!B187</f>
        <v>803</v>
      </c>
      <c r="C187" s="20">
        <f>B187*100+COUNTIF(B$2:B187,B187)</f>
        <v>80301</v>
      </c>
      <c r="D187" s="20">
        <f t="shared" si="5"/>
        <v>30</v>
      </c>
      <c r="E187" s="20">
        <v>1</v>
      </c>
      <c r="H187" s="20" t="str">
        <f>VLOOKUP(C187,[1]!moster1,10,FALSE)</f>
        <v/>
      </c>
      <c r="M187" s="20">
        <v>186</v>
      </c>
    </row>
    <row r="188" spans="1:13" x14ac:dyDescent="0.15">
      <c r="A188" s="20">
        <f>dig!A188</f>
        <v>8</v>
      </c>
      <c r="B188" s="20">
        <f>dig!B188</f>
        <v>803</v>
      </c>
      <c r="C188" s="20">
        <f>B188*100+COUNTIF(B$2:B188,B188)</f>
        <v>80302</v>
      </c>
      <c r="D188" s="20">
        <f t="shared" si="5"/>
        <v>30</v>
      </c>
      <c r="E188" s="20">
        <v>1</v>
      </c>
      <c r="H188" s="20" t="str">
        <f>VLOOKUP(C188,[1]!moster1,10,FALSE)</f>
        <v/>
      </c>
      <c r="M188" s="20">
        <v>187</v>
      </c>
    </row>
    <row r="189" spans="1:13" x14ac:dyDescent="0.15">
      <c r="A189" s="20">
        <f>dig!A189</f>
        <v>8</v>
      </c>
      <c r="B189" s="20">
        <f>dig!B189</f>
        <v>803</v>
      </c>
      <c r="C189" s="20">
        <f>B189*100+COUNTIF(B$2:B189,B189)</f>
        <v>80303</v>
      </c>
      <c r="D189" s="20">
        <f t="shared" si="5"/>
        <v>30</v>
      </c>
      <c r="E189" s="20">
        <v>1</v>
      </c>
      <c r="H189" s="20" t="str">
        <f>VLOOKUP(C189,[1]!moster1,10,FALSE)</f>
        <v/>
      </c>
      <c r="M189" s="20">
        <v>188</v>
      </c>
    </row>
    <row r="190" spans="1:13" x14ac:dyDescent="0.15">
      <c r="A190" s="20">
        <f>dig!A190</f>
        <v>8</v>
      </c>
      <c r="B190" s="20">
        <f>dig!B190</f>
        <v>803</v>
      </c>
      <c r="C190" s="20">
        <f>B190*100+COUNTIF(B$2:B190,B190)</f>
        <v>80304</v>
      </c>
      <c r="D190" s="20">
        <f t="shared" si="5"/>
        <v>10</v>
      </c>
      <c r="E190" s="20">
        <v>1</v>
      </c>
      <c r="H190" s="20" t="str">
        <f>VLOOKUP(C190,[1]!moster1,10,FALSE)</f>
        <v/>
      </c>
      <c r="M190" s="20">
        <v>189</v>
      </c>
    </row>
    <row r="191" spans="1:13" x14ac:dyDescent="0.15">
      <c r="A191" s="20">
        <f>dig!A191</f>
        <v>8</v>
      </c>
      <c r="B191" s="20">
        <f>dig!B191</f>
        <v>803</v>
      </c>
      <c r="C191" s="20">
        <f>B191*100+COUNTIF(B$2:B191,B191)</f>
        <v>80305</v>
      </c>
      <c r="D191" s="20">
        <f t="shared" si="5"/>
        <v>10</v>
      </c>
      <c r="E191" s="20">
        <v>1</v>
      </c>
      <c r="H191" s="20" t="str">
        <f>VLOOKUP(C191,[1]!moster1,10,FALSE)</f>
        <v/>
      </c>
      <c r="M191" s="20">
        <v>190</v>
      </c>
    </row>
    <row r="192" spans="1:13" x14ac:dyDescent="0.15">
      <c r="A192" s="20">
        <f>dig!A192</f>
        <v>8</v>
      </c>
      <c r="B192" s="20">
        <f>dig!B192</f>
        <v>804</v>
      </c>
      <c r="C192" s="20">
        <f>B192*100+COUNTIF(B$2:B192,B192)</f>
        <v>80401</v>
      </c>
      <c r="D192" s="20">
        <f t="shared" si="5"/>
        <v>30</v>
      </c>
      <c r="E192" s="20">
        <v>1</v>
      </c>
      <c r="H192" s="20" t="str">
        <f>VLOOKUP(C192,[1]!moster1,10,FALSE)</f>
        <v/>
      </c>
      <c r="M192" s="20">
        <v>191</v>
      </c>
    </row>
    <row r="193" spans="1:13" x14ac:dyDescent="0.15">
      <c r="A193" s="20">
        <f>dig!A193</f>
        <v>8</v>
      </c>
      <c r="B193" s="20">
        <f>dig!B193</f>
        <v>804</v>
      </c>
      <c r="C193" s="20">
        <f>B193*100+COUNTIF(B$2:B193,B193)</f>
        <v>80402</v>
      </c>
      <c r="D193" s="20">
        <f t="shared" si="5"/>
        <v>30</v>
      </c>
      <c r="E193" s="20">
        <v>1</v>
      </c>
      <c r="H193" s="20" t="str">
        <f>VLOOKUP(C193,[1]!moster1,10,FALSE)</f>
        <v/>
      </c>
      <c r="M193" s="20">
        <v>192</v>
      </c>
    </row>
    <row r="194" spans="1:13" x14ac:dyDescent="0.15">
      <c r="A194" s="20">
        <f>dig!A194</f>
        <v>8</v>
      </c>
      <c r="B194" s="20">
        <f>dig!B194</f>
        <v>804</v>
      </c>
      <c r="C194" s="20">
        <f>B194*100+COUNTIF(B$2:B194,B194)</f>
        <v>80403</v>
      </c>
      <c r="D194" s="20">
        <f t="shared" si="5"/>
        <v>30</v>
      </c>
      <c r="E194" s="20">
        <v>1</v>
      </c>
      <c r="H194" s="20" t="str">
        <f>VLOOKUP(C194,[1]!moster1,10,FALSE)</f>
        <v/>
      </c>
      <c r="M194" s="20">
        <v>193</v>
      </c>
    </row>
    <row r="195" spans="1:13" x14ac:dyDescent="0.15">
      <c r="A195" s="20">
        <f>dig!A195</f>
        <v>8</v>
      </c>
      <c r="B195" s="20">
        <f>dig!B195</f>
        <v>804</v>
      </c>
      <c r="C195" s="20">
        <f>B195*100+COUNTIF(B$2:B195,B195)</f>
        <v>80404</v>
      </c>
      <c r="D195" s="20">
        <f t="shared" ref="D195:D258" si="6">IF(OR(RIGHT(C195,1)="5",RIGHT(C195,1)="4"),10,30)</f>
        <v>10</v>
      </c>
      <c r="E195" s="20">
        <v>1</v>
      </c>
      <c r="H195" s="20" t="str">
        <f>VLOOKUP(C195,[1]!moster1,10,FALSE)</f>
        <v/>
      </c>
      <c r="M195" s="20">
        <v>194</v>
      </c>
    </row>
    <row r="196" spans="1:13" x14ac:dyDescent="0.15">
      <c r="A196" s="20">
        <f>dig!A196</f>
        <v>8</v>
      </c>
      <c r="B196" s="20">
        <f>dig!B196</f>
        <v>804</v>
      </c>
      <c r="C196" s="20">
        <f>B196*100+COUNTIF(B$2:B196,B196)</f>
        <v>80405</v>
      </c>
      <c r="D196" s="20">
        <f t="shared" si="6"/>
        <v>10</v>
      </c>
      <c r="E196" s="20">
        <v>1</v>
      </c>
      <c r="H196" s="20" t="str">
        <f>VLOOKUP(C196,[1]!moster1,10,FALSE)</f>
        <v/>
      </c>
      <c r="M196" s="20">
        <v>195</v>
      </c>
    </row>
    <row r="197" spans="1:13" x14ac:dyDescent="0.15">
      <c r="A197" s="20">
        <f>dig!A197</f>
        <v>8</v>
      </c>
      <c r="B197" s="20">
        <f>dig!B197</f>
        <v>805</v>
      </c>
      <c r="C197" s="20">
        <f>B197*100+COUNTIF(B$2:B197,B197)</f>
        <v>80501</v>
      </c>
      <c r="D197" s="20">
        <f t="shared" si="6"/>
        <v>30</v>
      </c>
      <c r="E197" s="20">
        <v>1</v>
      </c>
      <c r="H197" s="20" t="str">
        <f>VLOOKUP(C197,[1]!moster1,10,FALSE)</f>
        <v/>
      </c>
      <c r="M197" s="20">
        <v>196</v>
      </c>
    </row>
    <row r="198" spans="1:13" x14ac:dyDescent="0.15">
      <c r="A198" s="20">
        <f>dig!A198</f>
        <v>8</v>
      </c>
      <c r="B198" s="20">
        <f>dig!B198</f>
        <v>805</v>
      </c>
      <c r="C198" s="20">
        <f>B198*100+COUNTIF(B$2:B198,B198)</f>
        <v>80502</v>
      </c>
      <c r="D198" s="20">
        <f t="shared" si="6"/>
        <v>30</v>
      </c>
      <c r="E198" s="20">
        <v>1</v>
      </c>
      <c r="H198" s="20" t="str">
        <f>VLOOKUP(C198,[1]!moster1,10,FALSE)</f>
        <v/>
      </c>
      <c r="M198" s="20">
        <v>197</v>
      </c>
    </row>
    <row r="199" spans="1:13" x14ac:dyDescent="0.15">
      <c r="A199" s="20">
        <f>dig!A199</f>
        <v>8</v>
      </c>
      <c r="B199" s="20">
        <f>dig!B199</f>
        <v>805</v>
      </c>
      <c r="C199" s="20">
        <f>B199*100+COUNTIF(B$2:B199,B199)</f>
        <v>80503</v>
      </c>
      <c r="D199" s="20">
        <f t="shared" si="6"/>
        <v>30</v>
      </c>
      <c r="E199" s="20">
        <v>1</v>
      </c>
      <c r="H199" s="20" t="str">
        <f>VLOOKUP(C199,[1]!moster1,10,FALSE)</f>
        <v/>
      </c>
      <c r="M199" s="20">
        <v>198</v>
      </c>
    </row>
    <row r="200" spans="1:13" x14ac:dyDescent="0.15">
      <c r="A200" s="20">
        <f>dig!A200</f>
        <v>8</v>
      </c>
      <c r="B200" s="20">
        <f>dig!B200</f>
        <v>805</v>
      </c>
      <c r="C200" s="20">
        <f>B200*100+COUNTIF(B$2:B200,B200)</f>
        <v>80504</v>
      </c>
      <c r="D200" s="20">
        <f t="shared" si="6"/>
        <v>10</v>
      </c>
      <c r="E200" s="20">
        <v>1</v>
      </c>
      <c r="H200" s="20" t="str">
        <f>VLOOKUP(C200,[1]!moster1,10,FALSE)</f>
        <v/>
      </c>
      <c r="M200" s="20">
        <v>199</v>
      </c>
    </row>
    <row r="201" spans="1:13" x14ac:dyDescent="0.15">
      <c r="A201" s="20">
        <f>dig!A201</f>
        <v>8</v>
      </c>
      <c r="B201" s="20">
        <f>dig!B201</f>
        <v>805</v>
      </c>
      <c r="C201" s="20">
        <f>B201*100+COUNTIF(B$2:B201,B201)</f>
        <v>80505</v>
      </c>
      <c r="D201" s="20">
        <f t="shared" si="6"/>
        <v>10</v>
      </c>
      <c r="E201" s="20">
        <v>1</v>
      </c>
      <c r="H201" s="20" t="str">
        <f>VLOOKUP(C201,[1]!moster1,10,FALSE)</f>
        <v/>
      </c>
      <c r="M201" s="20">
        <v>200</v>
      </c>
    </row>
    <row r="202" spans="1:13" x14ac:dyDescent="0.15">
      <c r="A202" s="20">
        <f>dig!A202</f>
        <v>9</v>
      </c>
      <c r="B202" s="20">
        <f>dig!B202</f>
        <v>901</v>
      </c>
      <c r="C202" s="20">
        <f>B202*100+COUNTIF(B$2:B202,B202)</f>
        <v>90101</v>
      </c>
      <c r="D202" s="20">
        <f t="shared" si="6"/>
        <v>30</v>
      </c>
      <c r="E202" s="20">
        <v>1</v>
      </c>
      <c r="H202" s="20" t="str">
        <f>VLOOKUP(C202,[1]!moster1,10,FALSE)</f>
        <v/>
      </c>
      <c r="M202" s="20">
        <v>201</v>
      </c>
    </row>
    <row r="203" spans="1:13" x14ac:dyDescent="0.15">
      <c r="A203" s="20">
        <f>dig!A203</f>
        <v>9</v>
      </c>
      <c r="B203" s="20">
        <f>dig!B203</f>
        <v>901</v>
      </c>
      <c r="C203" s="20">
        <f>B203*100+COUNTIF(B$2:B203,B203)</f>
        <v>90102</v>
      </c>
      <c r="D203" s="20">
        <f t="shared" si="6"/>
        <v>30</v>
      </c>
      <c r="E203" s="20">
        <v>1</v>
      </c>
      <c r="H203" s="20" t="str">
        <f>VLOOKUP(C203,[1]!moster1,10,FALSE)</f>
        <v/>
      </c>
      <c r="M203" s="20">
        <v>202</v>
      </c>
    </row>
    <row r="204" spans="1:13" x14ac:dyDescent="0.15">
      <c r="A204" s="20">
        <f>dig!A204</f>
        <v>9</v>
      </c>
      <c r="B204" s="20">
        <f>dig!B204</f>
        <v>901</v>
      </c>
      <c r="C204" s="20">
        <f>B204*100+COUNTIF(B$2:B204,B204)</f>
        <v>90103</v>
      </c>
      <c r="D204" s="20">
        <f t="shared" si="6"/>
        <v>30</v>
      </c>
      <c r="E204" s="20">
        <v>1</v>
      </c>
      <c r="H204" s="20" t="str">
        <f>VLOOKUP(C204,[1]!moster1,10,FALSE)</f>
        <v/>
      </c>
      <c r="M204" s="20">
        <v>203</v>
      </c>
    </row>
    <row r="205" spans="1:13" x14ac:dyDescent="0.15">
      <c r="A205" s="20">
        <f>dig!A205</f>
        <v>9</v>
      </c>
      <c r="B205" s="20">
        <f>dig!B205</f>
        <v>901</v>
      </c>
      <c r="C205" s="20">
        <f>B205*100+COUNTIF(B$2:B205,B205)</f>
        <v>90104</v>
      </c>
      <c r="D205" s="20">
        <f t="shared" si="6"/>
        <v>10</v>
      </c>
      <c r="E205" s="20">
        <v>1</v>
      </c>
      <c r="H205" s="20" t="str">
        <f>VLOOKUP(C205,[1]!moster1,10,FALSE)</f>
        <v/>
      </c>
      <c r="M205" s="20">
        <v>204</v>
      </c>
    </row>
    <row r="206" spans="1:13" x14ac:dyDescent="0.15">
      <c r="A206" s="20">
        <f>dig!A206</f>
        <v>9</v>
      </c>
      <c r="B206" s="20">
        <f>dig!B206</f>
        <v>901</v>
      </c>
      <c r="C206" s="20">
        <f>B206*100+COUNTIF(B$2:B206,B206)</f>
        <v>90105</v>
      </c>
      <c r="D206" s="20">
        <f t="shared" si="6"/>
        <v>10</v>
      </c>
      <c r="E206" s="20">
        <v>1</v>
      </c>
      <c r="H206" s="20" t="str">
        <f>VLOOKUP(C206,[1]!moster1,10,FALSE)</f>
        <v/>
      </c>
      <c r="M206" s="20">
        <v>205</v>
      </c>
    </row>
    <row r="207" spans="1:13" x14ac:dyDescent="0.15">
      <c r="A207" s="20">
        <f>dig!A207</f>
        <v>9</v>
      </c>
      <c r="B207" s="20">
        <f>dig!B207</f>
        <v>902</v>
      </c>
      <c r="C207" s="20">
        <f>B207*100+COUNTIF(B$2:B207,B207)</f>
        <v>90201</v>
      </c>
      <c r="D207" s="20">
        <f t="shared" si="6"/>
        <v>30</v>
      </c>
      <c r="E207" s="20">
        <v>1</v>
      </c>
      <c r="H207" s="20" t="str">
        <f>VLOOKUP(C207,[1]!moster1,10,FALSE)</f>
        <v/>
      </c>
      <c r="M207" s="20">
        <v>206</v>
      </c>
    </row>
    <row r="208" spans="1:13" x14ac:dyDescent="0.15">
      <c r="A208" s="20">
        <f>dig!A208</f>
        <v>9</v>
      </c>
      <c r="B208" s="20">
        <f>dig!B208</f>
        <v>902</v>
      </c>
      <c r="C208" s="20">
        <f>B208*100+COUNTIF(B$2:B208,B208)</f>
        <v>90202</v>
      </c>
      <c r="D208" s="20">
        <f t="shared" si="6"/>
        <v>30</v>
      </c>
      <c r="E208" s="20">
        <v>1</v>
      </c>
      <c r="H208" s="20" t="str">
        <f>VLOOKUP(C208,[1]!moster1,10,FALSE)</f>
        <v/>
      </c>
      <c r="M208" s="20">
        <v>207</v>
      </c>
    </row>
    <row r="209" spans="1:13" x14ac:dyDescent="0.15">
      <c r="A209" s="20">
        <f>dig!A209</f>
        <v>9</v>
      </c>
      <c r="B209" s="20">
        <f>dig!B209</f>
        <v>902</v>
      </c>
      <c r="C209" s="20">
        <f>B209*100+COUNTIF(B$2:B209,B209)</f>
        <v>90203</v>
      </c>
      <c r="D209" s="20">
        <f t="shared" si="6"/>
        <v>30</v>
      </c>
      <c r="E209" s="20">
        <v>1</v>
      </c>
      <c r="H209" s="20" t="str">
        <f>VLOOKUP(C209,[1]!moster1,10,FALSE)</f>
        <v/>
      </c>
      <c r="M209" s="20">
        <v>208</v>
      </c>
    </row>
    <row r="210" spans="1:13" x14ac:dyDescent="0.15">
      <c r="A210" s="20">
        <f>dig!A210</f>
        <v>9</v>
      </c>
      <c r="B210" s="20">
        <f>dig!B210</f>
        <v>902</v>
      </c>
      <c r="C210" s="20">
        <f>B210*100+COUNTIF(B$2:B210,B210)</f>
        <v>90204</v>
      </c>
      <c r="D210" s="20">
        <f t="shared" si="6"/>
        <v>10</v>
      </c>
      <c r="E210" s="20">
        <v>1</v>
      </c>
      <c r="H210" s="20" t="str">
        <f>VLOOKUP(C210,[1]!moster1,10,FALSE)</f>
        <v/>
      </c>
      <c r="M210" s="20">
        <v>209</v>
      </c>
    </row>
    <row r="211" spans="1:13" x14ac:dyDescent="0.15">
      <c r="A211" s="20">
        <f>dig!A211</f>
        <v>9</v>
      </c>
      <c r="B211" s="20">
        <f>dig!B211</f>
        <v>902</v>
      </c>
      <c r="C211" s="20">
        <f>B211*100+COUNTIF(B$2:B211,B211)</f>
        <v>90205</v>
      </c>
      <c r="D211" s="20">
        <f t="shared" si="6"/>
        <v>10</v>
      </c>
      <c r="E211" s="20">
        <v>1</v>
      </c>
      <c r="H211" s="20" t="str">
        <f>VLOOKUP(C211,[1]!moster1,10,FALSE)</f>
        <v/>
      </c>
      <c r="M211" s="20">
        <v>210</v>
      </c>
    </row>
    <row r="212" spans="1:13" x14ac:dyDescent="0.15">
      <c r="A212" s="20">
        <f>dig!A212</f>
        <v>9</v>
      </c>
      <c r="B212" s="20">
        <f>dig!B212</f>
        <v>903</v>
      </c>
      <c r="C212" s="20">
        <f>B212*100+COUNTIF(B$2:B212,B212)</f>
        <v>90301</v>
      </c>
      <c r="D212" s="20">
        <f t="shared" si="6"/>
        <v>30</v>
      </c>
      <c r="E212" s="20">
        <v>1</v>
      </c>
      <c r="H212" s="20" t="str">
        <f>VLOOKUP(C212,[1]!moster1,10,FALSE)</f>
        <v/>
      </c>
      <c r="M212" s="20">
        <v>211</v>
      </c>
    </row>
    <row r="213" spans="1:13" x14ac:dyDescent="0.15">
      <c r="A213" s="20">
        <f>dig!A213</f>
        <v>9</v>
      </c>
      <c r="B213" s="20">
        <f>dig!B213</f>
        <v>903</v>
      </c>
      <c r="C213" s="20">
        <f>B213*100+COUNTIF(B$2:B213,B213)</f>
        <v>90302</v>
      </c>
      <c r="D213" s="20">
        <f t="shared" si="6"/>
        <v>30</v>
      </c>
      <c r="E213" s="20">
        <v>1</v>
      </c>
      <c r="H213" s="20" t="str">
        <f>VLOOKUP(C213,[1]!moster1,10,FALSE)</f>
        <v/>
      </c>
      <c r="M213" s="20">
        <v>212</v>
      </c>
    </row>
    <row r="214" spans="1:13" x14ac:dyDescent="0.15">
      <c r="A214" s="20">
        <f>dig!A214</f>
        <v>9</v>
      </c>
      <c r="B214" s="20">
        <f>dig!B214</f>
        <v>903</v>
      </c>
      <c r="C214" s="20">
        <f>B214*100+COUNTIF(B$2:B214,B214)</f>
        <v>90303</v>
      </c>
      <c r="D214" s="20">
        <f t="shared" si="6"/>
        <v>30</v>
      </c>
      <c r="E214" s="20">
        <v>1</v>
      </c>
      <c r="H214" s="20" t="str">
        <f>VLOOKUP(C214,[1]!moster1,10,FALSE)</f>
        <v/>
      </c>
      <c r="M214" s="20">
        <v>213</v>
      </c>
    </row>
    <row r="215" spans="1:13" x14ac:dyDescent="0.15">
      <c r="A215" s="20">
        <f>dig!A215</f>
        <v>9</v>
      </c>
      <c r="B215" s="20">
        <f>dig!B215</f>
        <v>903</v>
      </c>
      <c r="C215" s="20">
        <f>B215*100+COUNTIF(B$2:B215,B215)</f>
        <v>90304</v>
      </c>
      <c r="D215" s="20">
        <f t="shared" si="6"/>
        <v>10</v>
      </c>
      <c r="E215" s="20">
        <v>1</v>
      </c>
      <c r="H215" s="20" t="str">
        <f>VLOOKUP(C215,[1]!moster1,10,FALSE)</f>
        <v/>
      </c>
      <c r="M215" s="20">
        <v>214</v>
      </c>
    </row>
    <row r="216" spans="1:13" x14ac:dyDescent="0.15">
      <c r="A216" s="20">
        <f>dig!A216</f>
        <v>9</v>
      </c>
      <c r="B216" s="20">
        <f>dig!B216</f>
        <v>903</v>
      </c>
      <c r="C216" s="20">
        <f>B216*100+COUNTIF(B$2:B216,B216)</f>
        <v>90305</v>
      </c>
      <c r="D216" s="20">
        <f t="shared" si="6"/>
        <v>10</v>
      </c>
      <c r="E216" s="20">
        <v>1</v>
      </c>
      <c r="H216" s="20" t="str">
        <f>VLOOKUP(C216,[1]!moster1,10,FALSE)</f>
        <v/>
      </c>
      <c r="M216" s="20">
        <v>215</v>
      </c>
    </row>
    <row r="217" spans="1:13" x14ac:dyDescent="0.15">
      <c r="A217" s="20">
        <f>dig!A217</f>
        <v>9</v>
      </c>
      <c r="B217" s="20">
        <f>dig!B217</f>
        <v>904</v>
      </c>
      <c r="C217" s="20">
        <f>B217*100+COUNTIF(B$2:B217,B217)</f>
        <v>90401</v>
      </c>
      <c r="D217" s="20">
        <f t="shared" si="6"/>
        <v>30</v>
      </c>
      <c r="E217" s="20">
        <v>1</v>
      </c>
      <c r="H217" s="20" t="str">
        <f>VLOOKUP(C217,[1]!moster1,10,FALSE)</f>
        <v/>
      </c>
      <c r="M217" s="20">
        <v>216</v>
      </c>
    </row>
    <row r="218" spans="1:13" x14ac:dyDescent="0.15">
      <c r="A218" s="20">
        <f>dig!A218</f>
        <v>9</v>
      </c>
      <c r="B218" s="20">
        <f>dig!B218</f>
        <v>904</v>
      </c>
      <c r="C218" s="20">
        <f>B218*100+COUNTIF(B$2:B218,B218)</f>
        <v>90402</v>
      </c>
      <c r="D218" s="20">
        <f t="shared" si="6"/>
        <v>30</v>
      </c>
      <c r="E218" s="20">
        <v>1</v>
      </c>
      <c r="H218" s="20" t="str">
        <f>VLOOKUP(C218,[1]!moster1,10,FALSE)</f>
        <v/>
      </c>
      <c r="M218" s="20">
        <v>217</v>
      </c>
    </row>
    <row r="219" spans="1:13" x14ac:dyDescent="0.15">
      <c r="A219" s="20">
        <f>dig!A219</f>
        <v>9</v>
      </c>
      <c r="B219" s="20">
        <f>dig!B219</f>
        <v>904</v>
      </c>
      <c r="C219" s="20">
        <f>B219*100+COUNTIF(B$2:B219,B219)</f>
        <v>90403</v>
      </c>
      <c r="D219" s="20">
        <f t="shared" si="6"/>
        <v>30</v>
      </c>
      <c r="E219" s="20">
        <v>1</v>
      </c>
      <c r="H219" s="20" t="str">
        <f>VLOOKUP(C219,[1]!moster1,10,FALSE)</f>
        <v/>
      </c>
      <c r="M219" s="20">
        <v>218</v>
      </c>
    </row>
    <row r="220" spans="1:13" x14ac:dyDescent="0.15">
      <c r="A220" s="20">
        <f>dig!A220</f>
        <v>9</v>
      </c>
      <c r="B220" s="20">
        <f>dig!B220</f>
        <v>904</v>
      </c>
      <c r="C220" s="20">
        <f>B220*100+COUNTIF(B$2:B220,B220)</f>
        <v>90404</v>
      </c>
      <c r="D220" s="20">
        <f t="shared" si="6"/>
        <v>10</v>
      </c>
      <c r="E220" s="20">
        <v>1</v>
      </c>
      <c r="H220" s="20" t="str">
        <f>VLOOKUP(C220,[1]!moster1,10,FALSE)</f>
        <v/>
      </c>
      <c r="M220" s="20">
        <v>219</v>
      </c>
    </row>
    <row r="221" spans="1:13" x14ac:dyDescent="0.15">
      <c r="A221" s="20">
        <f>dig!A221</f>
        <v>9</v>
      </c>
      <c r="B221" s="20">
        <f>dig!B221</f>
        <v>904</v>
      </c>
      <c r="C221" s="20">
        <f>B221*100+COUNTIF(B$2:B221,B221)</f>
        <v>90405</v>
      </c>
      <c r="D221" s="20">
        <f t="shared" si="6"/>
        <v>10</v>
      </c>
      <c r="E221" s="20">
        <v>1</v>
      </c>
      <c r="H221" s="20" t="str">
        <f>VLOOKUP(C221,[1]!moster1,10,FALSE)</f>
        <v/>
      </c>
      <c r="M221" s="20">
        <v>220</v>
      </c>
    </row>
    <row r="222" spans="1:13" x14ac:dyDescent="0.15">
      <c r="A222" s="20">
        <f>dig!A222</f>
        <v>9</v>
      </c>
      <c r="B222" s="20">
        <f>dig!B222</f>
        <v>905</v>
      </c>
      <c r="C222" s="20">
        <f>B222*100+COUNTIF(B$2:B222,B222)</f>
        <v>90501</v>
      </c>
      <c r="D222" s="20">
        <f t="shared" si="6"/>
        <v>30</v>
      </c>
      <c r="E222" s="20">
        <v>1</v>
      </c>
      <c r="H222" s="20" t="str">
        <f>VLOOKUP(C222,[1]!moster1,10,FALSE)</f>
        <v/>
      </c>
      <c r="M222" s="20">
        <v>221</v>
      </c>
    </row>
    <row r="223" spans="1:13" x14ac:dyDescent="0.15">
      <c r="A223" s="20">
        <f>dig!A223</f>
        <v>9</v>
      </c>
      <c r="B223" s="20">
        <f>dig!B223</f>
        <v>905</v>
      </c>
      <c r="C223" s="20">
        <f>B223*100+COUNTIF(B$2:B223,B223)</f>
        <v>90502</v>
      </c>
      <c r="D223" s="20">
        <f t="shared" si="6"/>
        <v>30</v>
      </c>
      <c r="E223" s="20">
        <v>1</v>
      </c>
      <c r="H223" s="20" t="str">
        <f>VLOOKUP(C223,[1]!moster1,10,FALSE)</f>
        <v/>
      </c>
      <c r="M223" s="20">
        <v>222</v>
      </c>
    </row>
    <row r="224" spans="1:13" x14ac:dyDescent="0.15">
      <c r="A224" s="20">
        <f>dig!A224</f>
        <v>9</v>
      </c>
      <c r="B224" s="20">
        <f>dig!B224</f>
        <v>905</v>
      </c>
      <c r="C224" s="20">
        <f>B224*100+COUNTIF(B$2:B224,B224)</f>
        <v>90503</v>
      </c>
      <c r="D224" s="20">
        <f t="shared" si="6"/>
        <v>30</v>
      </c>
      <c r="E224" s="20">
        <v>1</v>
      </c>
      <c r="H224" s="20" t="str">
        <f>VLOOKUP(C224,[1]!moster1,10,FALSE)</f>
        <v/>
      </c>
      <c r="M224" s="20">
        <v>223</v>
      </c>
    </row>
    <row r="225" spans="1:13" x14ac:dyDescent="0.15">
      <c r="A225" s="20">
        <f>dig!A225</f>
        <v>9</v>
      </c>
      <c r="B225" s="20">
        <f>dig!B225</f>
        <v>905</v>
      </c>
      <c r="C225" s="20">
        <f>B225*100+COUNTIF(B$2:B225,B225)</f>
        <v>90504</v>
      </c>
      <c r="D225" s="20">
        <f t="shared" si="6"/>
        <v>10</v>
      </c>
      <c r="E225" s="20">
        <v>1</v>
      </c>
      <c r="H225" s="20" t="str">
        <f>VLOOKUP(C225,[1]!moster1,10,FALSE)</f>
        <v/>
      </c>
      <c r="M225" s="20">
        <v>224</v>
      </c>
    </row>
    <row r="226" spans="1:13" x14ac:dyDescent="0.15">
      <c r="A226" s="20">
        <f>dig!A226</f>
        <v>9</v>
      </c>
      <c r="B226" s="20">
        <f>dig!B226</f>
        <v>905</v>
      </c>
      <c r="C226" s="20">
        <f>B226*100+COUNTIF(B$2:B226,B226)</f>
        <v>90505</v>
      </c>
      <c r="D226" s="20">
        <f t="shared" si="6"/>
        <v>10</v>
      </c>
      <c r="E226" s="20">
        <v>1</v>
      </c>
      <c r="H226" s="20" t="str">
        <f>VLOOKUP(C226,[1]!moster1,10,FALSE)</f>
        <v/>
      </c>
      <c r="M226" s="20">
        <v>225</v>
      </c>
    </row>
    <row r="227" spans="1:13" x14ac:dyDescent="0.15">
      <c r="A227" s="20">
        <f>dig!A227</f>
        <v>10</v>
      </c>
      <c r="B227" s="20">
        <f>dig!B227</f>
        <v>1001</v>
      </c>
      <c r="C227" s="20">
        <f>B227*100+COUNTIF(B$2:B227,B227)</f>
        <v>100101</v>
      </c>
      <c r="D227" s="20">
        <f t="shared" si="6"/>
        <v>30</v>
      </c>
      <c r="E227" s="20">
        <v>1</v>
      </c>
      <c r="H227" s="20" t="str">
        <f>VLOOKUP(C227,[1]!moster1,10,FALSE)</f>
        <v/>
      </c>
      <c r="M227" s="20">
        <v>226</v>
      </c>
    </row>
    <row r="228" spans="1:13" x14ac:dyDescent="0.15">
      <c r="A228" s="20">
        <f>dig!A228</f>
        <v>10</v>
      </c>
      <c r="B228" s="20">
        <f>dig!B228</f>
        <v>1001</v>
      </c>
      <c r="C228" s="20">
        <f>B228*100+COUNTIF(B$2:B228,B228)</f>
        <v>100102</v>
      </c>
      <c r="D228" s="20">
        <f t="shared" si="6"/>
        <v>30</v>
      </c>
      <c r="E228" s="20">
        <v>1</v>
      </c>
      <c r="H228" s="20" t="str">
        <f>VLOOKUP(C228,[1]!moster1,10,FALSE)</f>
        <v/>
      </c>
      <c r="M228" s="20">
        <v>227</v>
      </c>
    </row>
    <row r="229" spans="1:13" x14ac:dyDescent="0.15">
      <c r="A229" s="20">
        <f>dig!A229</f>
        <v>10</v>
      </c>
      <c r="B229" s="20">
        <f>dig!B229</f>
        <v>1001</v>
      </c>
      <c r="C229" s="20">
        <f>B229*100+COUNTIF(B$2:B229,B229)</f>
        <v>100103</v>
      </c>
      <c r="D229" s="20">
        <f t="shared" si="6"/>
        <v>30</v>
      </c>
      <c r="E229" s="20">
        <v>1</v>
      </c>
      <c r="H229" s="20" t="str">
        <f>VLOOKUP(C229,[1]!moster1,10,FALSE)</f>
        <v/>
      </c>
      <c r="M229" s="20">
        <v>228</v>
      </c>
    </row>
    <row r="230" spans="1:13" x14ac:dyDescent="0.15">
      <c r="A230" s="20">
        <f>dig!A230</f>
        <v>10</v>
      </c>
      <c r="B230" s="20">
        <f>dig!B230</f>
        <v>1001</v>
      </c>
      <c r="C230" s="20">
        <f>B230*100+COUNTIF(B$2:B230,B230)</f>
        <v>100104</v>
      </c>
      <c r="D230" s="20">
        <f t="shared" si="6"/>
        <v>10</v>
      </c>
      <c r="E230" s="20">
        <v>1</v>
      </c>
      <c r="H230" s="20" t="str">
        <f>VLOOKUP(C230,[1]!moster1,10,FALSE)</f>
        <v/>
      </c>
      <c r="M230" s="20">
        <v>229</v>
      </c>
    </row>
    <row r="231" spans="1:13" x14ac:dyDescent="0.15">
      <c r="A231" s="20">
        <f>dig!A231</f>
        <v>10</v>
      </c>
      <c r="B231" s="20">
        <f>dig!B231</f>
        <v>1001</v>
      </c>
      <c r="C231" s="20">
        <f>B231*100+COUNTIF(B$2:B231,B231)</f>
        <v>100105</v>
      </c>
      <c r="D231" s="20">
        <f t="shared" si="6"/>
        <v>10</v>
      </c>
      <c r="E231" s="20">
        <v>1</v>
      </c>
      <c r="H231" s="20" t="str">
        <f>VLOOKUP(C231,[1]!moster1,10,FALSE)</f>
        <v/>
      </c>
      <c r="M231" s="20">
        <v>230</v>
      </c>
    </row>
    <row r="232" spans="1:13" x14ac:dyDescent="0.15">
      <c r="A232" s="20">
        <f>dig!A232</f>
        <v>10</v>
      </c>
      <c r="B232" s="20">
        <f>dig!B232</f>
        <v>1002</v>
      </c>
      <c r="C232" s="20">
        <f>B232*100+COUNTIF(B$2:B232,B232)</f>
        <v>100201</v>
      </c>
      <c r="D232" s="20">
        <f t="shared" si="6"/>
        <v>30</v>
      </c>
      <c r="E232" s="20">
        <v>1</v>
      </c>
      <c r="H232" s="20" t="str">
        <f>VLOOKUP(C232,[1]!moster1,10,FALSE)</f>
        <v/>
      </c>
      <c r="M232" s="20">
        <v>231</v>
      </c>
    </row>
    <row r="233" spans="1:13" x14ac:dyDescent="0.15">
      <c r="A233" s="20">
        <f>dig!A233</f>
        <v>10</v>
      </c>
      <c r="B233" s="20">
        <f>dig!B233</f>
        <v>1002</v>
      </c>
      <c r="C233" s="20">
        <f>B233*100+COUNTIF(B$2:B233,B233)</f>
        <v>100202</v>
      </c>
      <c r="D233" s="20">
        <f t="shared" si="6"/>
        <v>30</v>
      </c>
      <c r="E233" s="20">
        <v>1</v>
      </c>
      <c r="H233" s="20" t="str">
        <f>VLOOKUP(C233,[1]!moster1,10,FALSE)</f>
        <v/>
      </c>
      <c r="M233" s="20">
        <v>232</v>
      </c>
    </row>
    <row r="234" spans="1:13" x14ac:dyDescent="0.15">
      <c r="A234" s="20">
        <f>dig!A234</f>
        <v>10</v>
      </c>
      <c r="B234" s="20">
        <f>dig!B234</f>
        <v>1002</v>
      </c>
      <c r="C234" s="20">
        <f>B234*100+COUNTIF(B$2:B234,B234)</f>
        <v>100203</v>
      </c>
      <c r="D234" s="20">
        <f t="shared" si="6"/>
        <v>30</v>
      </c>
      <c r="E234" s="20">
        <v>1</v>
      </c>
      <c r="H234" s="20" t="str">
        <f>VLOOKUP(C234,[1]!moster1,10,FALSE)</f>
        <v/>
      </c>
      <c r="M234" s="20">
        <v>233</v>
      </c>
    </row>
    <row r="235" spans="1:13" x14ac:dyDescent="0.15">
      <c r="A235" s="20">
        <f>dig!A235</f>
        <v>10</v>
      </c>
      <c r="B235" s="20">
        <f>dig!B235</f>
        <v>1002</v>
      </c>
      <c r="C235" s="20">
        <f>B235*100+COUNTIF(B$2:B235,B235)</f>
        <v>100204</v>
      </c>
      <c r="D235" s="20">
        <f t="shared" si="6"/>
        <v>10</v>
      </c>
      <c r="E235" s="20">
        <v>1</v>
      </c>
      <c r="H235" s="20" t="str">
        <f>VLOOKUP(C235,[1]!moster1,10,FALSE)</f>
        <v/>
      </c>
      <c r="M235" s="20">
        <v>234</v>
      </c>
    </row>
    <row r="236" spans="1:13" x14ac:dyDescent="0.15">
      <c r="A236" s="20">
        <f>dig!A236</f>
        <v>10</v>
      </c>
      <c r="B236" s="20">
        <f>dig!B236</f>
        <v>1002</v>
      </c>
      <c r="C236" s="20">
        <f>B236*100+COUNTIF(B$2:B236,B236)</f>
        <v>100205</v>
      </c>
      <c r="D236" s="20">
        <f t="shared" si="6"/>
        <v>10</v>
      </c>
      <c r="E236" s="20">
        <v>1</v>
      </c>
      <c r="H236" s="20" t="str">
        <f>VLOOKUP(C236,[1]!moster1,10,FALSE)</f>
        <v/>
      </c>
      <c r="M236" s="20">
        <v>235</v>
      </c>
    </row>
    <row r="237" spans="1:13" x14ac:dyDescent="0.15">
      <c r="A237" s="20">
        <f>dig!A237</f>
        <v>10</v>
      </c>
      <c r="B237" s="20">
        <f>dig!B237</f>
        <v>1003</v>
      </c>
      <c r="C237" s="20">
        <f>B237*100+COUNTIF(B$2:B237,B237)</f>
        <v>100301</v>
      </c>
      <c r="D237" s="20">
        <f t="shared" si="6"/>
        <v>30</v>
      </c>
      <c r="E237" s="20">
        <v>1</v>
      </c>
      <c r="H237" s="20" t="str">
        <f>VLOOKUP(C237,[1]!moster1,10,FALSE)</f>
        <v/>
      </c>
      <c r="M237" s="20">
        <v>236</v>
      </c>
    </row>
    <row r="238" spans="1:13" x14ac:dyDescent="0.15">
      <c r="A238" s="20">
        <f>dig!A238</f>
        <v>10</v>
      </c>
      <c r="B238" s="20">
        <f>dig!B238</f>
        <v>1003</v>
      </c>
      <c r="C238" s="20">
        <f>B238*100+COUNTIF(B$2:B238,B238)</f>
        <v>100302</v>
      </c>
      <c r="D238" s="20">
        <f t="shared" si="6"/>
        <v>30</v>
      </c>
      <c r="E238" s="20">
        <v>1</v>
      </c>
      <c r="H238" s="20" t="str">
        <f>VLOOKUP(C238,[1]!moster1,10,FALSE)</f>
        <v/>
      </c>
      <c r="M238" s="20">
        <v>237</v>
      </c>
    </row>
    <row r="239" spans="1:13" x14ac:dyDescent="0.15">
      <c r="A239" s="20">
        <f>dig!A239</f>
        <v>10</v>
      </c>
      <c r="B239" s="20">
        <f>dig!B239</f>
        <v>1003</v>
      </c>
      <c r="C239" s="20">
        <f>B239*100+COUNTIF(B$2:B239,B239)</f>
        <v>100303</v>
      </c>
      <c r="D239" s="20">
        <f t="shared" si="6"/>
        <v>30</v>
      </c>
      <c r="E239" s="20">
        <v>1</v>
      </c>
      <c r="H239" s="20" t="str">
        <f>VLOOKUP(C239,[1]!moster1,10,FALSE)</f>
        <v/>
      </c>
      <c r="M239" s="20">
        <v>238</v>
      </c>
    </row>
    <row r="240" spans="1:13" x14ac:dyDescent="0.15">
      <c r="A240" s="20">
        <f>dig!A240</f>
        <v>10</v>
      </c>
      <c r="B240" s="20">
        <f>dig!B240</f>
        <v>1003</v>
      </c>
      <c r="C240" s="20">
        <f>B240*100+COUNTIF(B$2:B240,B240)</f>
        <v>100304</v>
      </c>
      <c r="D240" s="20">
        <f t="shared" si="6"/>
        <v>10</v>
      </c>
      <c r="E240" s="20">
        <v>1</v>
      </c>
      <c r="H240" s="20" t="str">
        <f>VLOOKUP(C240,[1]!moster1,10,FALSE)</f>
        <v/>
      </c>
      <c r="M240" s="20">
        <v>239</v>
      </c>
    </row>
    <row r="241" spans="1:13" x14ac:dyDescent="0.15">
      <c r="A241" s="20">
        <f>dig!A241</f>
        <v>10</v>
      </c>
      <c r="B241" s="20">
        <f>dig!B241</f>
        <v>1003</v>
      </c>
      <c r="C241" s="20">
        <f>B241*100+COUNTIF(B$2:B241,B241)</f>
        <v>100305</v>
      </c>
      <c r="D241" s="20">
        <f t="shared" si="6"/>
        <v>10</v>
      </c>
      <c r="E241" s="20">
        <v>1</v>
      </c>
      <c r="H241" s="20" t="str">
        <f>VLOOKUP(C241,[1]!moster1,10,FALSE)</f>
        <v/>
      </c>
      <c r="M241" s="20">
        <v>240</v>
      </c>
    </row>
    <row r="242" spans="1:13" x14ac:dyDescent="0.15">
      <c r="A242" s="20">
        <f>dig!A242</f>
        <v>10</v>
      </c>
      <c r="B242" s="20">
        <f>dig!B242</f>
        <v>1004</v>
      </c>
      <c r="C242" s="20">
        <f>B242*100+COUNTIF(B$2:B242,B242)</f>
        <v>100401</v>
      </c>
      <c r="D242" s="20">
        <f t="shared" si="6"/>
        <v>30</v>
      </c>
      <c r="E242" s="20">
        <v>1</v>
      </c>
      <c r="H242" s="20" t="str">
        <f>VLOOKUP(C242,[1]!moster1,10,FALSE)</f>
        <v/>
      </c>
      <c r="M242" s="20">
        <v>241</v>
      </c>
    </row>
    <row r="243" spans="1:13" x14ac:dyDescent="0.15">
      <c r="A243" s="20">
        <f>dig!A243</f>
        <v>10</v>
      </c>
      <c r="B243" s="20">
        <f>dig!B243</f>
        <v>1004</v>
      </c>
      <c r="C243" s="20">
        <f>B243*100+COUNTIF(B$2:B243,B243)</f>
        <v>100402</v>
      </c>
      <c r="D243" s="20">
        <f t="shared" si="6"/>
        <v>30</v>
      </c>
      <c r="E243" s="20">
        <v>1</v>
      </c>
      <c r="H243" s="20" t="str">
        <f>VLOOKUP(C243,[1]!moster1,10,FALSE)</f>
        <v/>
      </c>
      <c r="M243" s="20">
        <v>242</v>
      </c>
    </row>
    <row r="244" spans="1:13" x14ac:dyDescent="0.15">
      <c r="A244" s="20">
        <f>dig!A244</f>
        <v>10</v>
      </c>
      <c r="B244" s="20">
        <f>dig!B244</f>
        <v>1004</v>
      </c>
      <c r="C244" s="20">
        <f>B244*100+COUNTIF(B$2:B244,B244)</f>
        <v>100403</v>
      </c>
      <c r="D244" s="20">
        <f t="shared" si="6"/>
        <v>30</v>
      </c>
      <c r="E244" s="20">
        <v>1</v>
      </c>
      <c r="H244" s="20" t="str">
        <f>VLOOKUP(C244,[1]!moster1,10,FALSE)</f>
        <v/>
      </c>
      <c r="M244" s="20">
        <v>243</v>
      </c>
    </row>
    <row r="245" spans="1:13" x14ac:dyDescent="0.15">
      <c r="A245" s="20">
        <f>dig!A245</f>
        <v>10</v>
      </c>
      <c r="B245" s="20">
        <f>dig!B245</f>
        <v>1004</v>
      </c>
      <c r="C245" s="20">
        <f>B245*100+COUNTIF(B$2:B245,B245)</f>
        <v>100404</v>
      </c>
      <c r="D245" s="20">
        <f t="shared" si="6"/>
        <v>10</v>
      </c>
      <c r="E245" s="20">
        <v>1</v>
      </c>
      <c r="H245" s="20" t="str">
        <f>VLOOKUP(C245,[1]!moster1,10,FALSE)</f>
        <v/>
      </c>
      <c r="M245" s="20">
        <v>244</v>
      </c>
    </row>
    <row r="246" spans="1:13" x14ac:dyDescent="0.15">
      <c r="A246" s="20">
        <f>dig!A246</f>
        <v>10</v>
      </c>
      <c r="B246" s="20">
        <f>dig!B246</f>
        <v>1004</v>
      </c>
      <c r="C246" s="20">
        <f>B246*100+COUNTIF(B$2:B246,B246)</f>
        <v>100405</v>
      </c>
      <c r="D246" s="20">
        <f t="shared" si="6"/>
        <v>10</v>
      </c>
      <c r="E246" s="20">
        <v>1</v>
      </c>
      <c r="H246" s="20" t="str">
        <f>VLOOKUP(C246,[1]!moster1,10,FALSE)</f>
        <v/>
      </c>
      <c r="M246" s="20">
        <v>245</v>
      </c>
    </row>
    <row r="247" spans="1:13" x14ac:dyDescent="0.15">
      <c r="A247" s="20">
        <f>dig!A247</f>
        <v>10</v>
      </c>
      <c r="B247" s="20">
        <f>dig!B247</f>
        <v>1005</v>
      </c>
      <c r="C247" s="20">
        <f>B247*100+COUNTIF(B$2:B247,B247)</f>
        <v>100501</v>
      </c>
      <c r="D247" s="20">
        <f t="shared" si="6"/>
        <v>30</v>
      </c>
      <c r="E247" s="20">
        <v>1</v>
      </c>
      <c r="H247" s="20" t="str">
        <f>VLOOKUP(C247,[1]!moster1,10,FALSE)</f>
        <v/>
      </c>
      <c r="M247" s="20">
        <v>246</v>
      </c>
    </row>
    <row r="248" spans="1:13" x14ac:dyDescent="0.15">
      <c r="A248" s="20">
        <f>dig!A248</f>
        <v>10</v>
      </c>
      <c r="B248" s="20">
        <f>dig!B248</f>
        <v>1005</v>
      </c>
      <c r="C248" s="20">
        <f>B248*100+COUNTIF(B$2:B248,B248)</f>
        <v>100502</v>
      </c>
      <c r="D248" s="20">
        <f t="shared" si="6"/>
        <v>30</v>
      </c>
      <c r="E248" s="20">
        <v>1</v>
      </c>
      <c r="H248" s="20" t="str">
        <f>VLOOKUP(C248,[1]!moster1,10,FALSE)</f>
        <v/>
      </c>
      <c r="M248" s="20">
        <v>247</v>
      </c>
    </row>
    <row r="249" spans="1:13" x14ac:dyDescent="0.15">
      <c r="A249" s="20">
        <f>dig!A249</f>
        <v>10</v>
      </c>
      <c r="B249" s="20">
        <f>dig!B249</f>
        <v>1005</v>
      </c>
      <c r="C249" s="20">
        <f>B249*100+COUNTIF(B$2:B249,B249)</f>
        <v>100503</v>
      </c>
      <c r="D249" s="20">
        <f t="shared" si="6"/>
        <v>30</v>
      </c>
      <c r="E249" s="20">
        <v>1</v>
      </c>
      <c r="H249" s="20" t="str">
        <f>VLOOKUP(C249,[1]!moster1,10,FALSE)</f>
        <v/>
      </c>
      <c r="M249" s="20">
        <v>248</v>
      </c>
    </row>
    <row r="250" spans="1:13" x14ac:dyDescent="0.15">
      <c r="A250" s="20">
        <f>dig!A250</f>
        <v>10</v>
      </c>
      <c r="B250" s="20">
        <f>dig!B250</f>
        <v>1005</v>
      </c>
      <c r="C250" s="20">
        <f>B250*100+COUNTIF(B$2:B250,B250)</f>
        <v>100504</v>
      </c>
      <c r="D250" s="20">
        <f t="shared" si="6"/>
        <v>10</v>
      </c>
      <c r="E250" s="20">
        <v>1</v>
      </c>
      <c r="H250" s="20" t="str">
        <f>VLOOKUP(C250,[1]!moster1,10,FALSE)</f>
        <v/>
      </c>
      <c r="M250" s="20">
        <v>249</v>
      </c>
    </row>
    <row r="251" spans="1:13" x14ac:dyDescent="0.15">
      <c r="A251" s="20">
        <f>dig!A251</f>
        <v>10</v>
      </c>
      <c r="B251" s="20">
        <f>dig!B251</f>
        <v>1005</v>
      </c>
      <c r="C251" s="20">
        <f>B251*100+COUNTIF(B$2:B251,B251)</f>
        <v>100505</v>
      </c>
      <c r="D251" s="20">
        <f t="shared" si="6"/>
        <v>10</v>
      </c>
      <c r="E251" s="20">
        <v>1</v>
      </c>
      <c r="H251" s="20" t="str">
        <f>VLOOKUP(C251,[1]!moster1,10,FALSE)</f>
        <v/>
      </c>
      <c r="M251" s="20">
        <v>250</v>
      </c>
    </row>
    <row r="252" spans="1:13" x14ac:dyDescent="0.15">
      <c r="A252" s="20">
        <f>dig!A252</f>
        <v>11</v>
      </c>
      <c r="B252" s="20">
        <f>dig!B252</f>
        <v>1101</v>
      </c>
      <c r="C252" s="20">
        <f>B252*100+COUNTIF(B$2:B252,B252)</f>
        <v>110101</v>
      </c>
      <c r="D252" s="20">
        <f t="shared" si="6"/>
        <v>30</v>
      </c>
      <c r="E252" s="20">
        <v>1</v>
      </c>
      <c r="H252" s="20" t="str">
        <f>VLOOKUP(C252,[1]!moster1,10,FALSE)</f>
        <v/>
      </c>
      <c r="M252" s="20">
        <v>251</v>
      </c>
    </row>
    <row r="253" spans="1:13" x14ac:dyDescent="0.15">
      <c r="A253" s="20">
        <f>dig!A253</f>
        <v>11</v>
      </c>
      <c r="B253" s="20">
        <f>dig!B253</f>
        <v>1101</v>
      </c>
      <c r="C253" s="20">
        <f>B253*100+COUNTIF(B$2:B253,B253)</f>
        <v>110102</v>
      </c>
      <c r="D253" s="20">
        <f t="shared" si="6"/>
        <v>30</v>
      </c>
      <c r="E253" s="20">
        <v>1</v>
      </c>
      <c r="H253" s="20" t="str">
        <f>VLOOKUP(C253,[1]!moster1,10,FALSE)</f>
        <v/>
      </c>
      <c r="M253" s="20">
        <v>252</v>
      </c>
    </row>
    <row r="254" spans="1:13" x14ac:dyDescent="0.15">
      <c r="A254" s="20">
        <f>dig!A254</f>
        <v>11</v>
      </c>
      <c r="B254" s="20">
        <f>dig!B254</f>
        <v>1101</v>
      </c>
      <c r="C254" s="20">
        <f>B254*100+COUNTIF(B$2:B254,B254)</f>
        <v>110103</v>
      </c>
      <c r="D254" s="20">
        <f t="shared" si="6"/>
        <v>30</v>
      </c>
      <c r="E254" s="20">
        <v>1</v>
      </c>
      <c r="H254" s="20" t="str">
        <f>VLOOKUP(C254,[1]!moster1,10,FALSE)</f>
        <v/>
      </c>
      <c r="M254" s="20">
        <v>253</v>
      </c>
    </row>
    <row r="255" spans="1:13" x14ac:dyDescent="0.15">
      <c r="A255" s="20">
        <f>dig!A255</f>
        <v>11</v>
      </c>
      <c r="B255" s="20">
        <f>dig!B255</f>
        <v>1101</v>
      </c>
      <c r="C255" s="20">
        <f>B255*100+COUNTIF(B$2:B255,B255)</f>
        <v>110104</v>
      </c>
      <c r="D255" s="20">
        <f t="shared" si="6"/>
        <v>10</v>
      </c>
      <c r="E255" s="20">
        <v>1</v>
      </c>
      <c r="H255" s="20" t="str">
        <f>VLOOKUP(C255,[1]!moster1,10,FALSE)</f>
        <v/>
      </c>
      <c r="M255" s="20">
        <v>254</v>
      </c>
    </row>
    <row r="256" spans="1:13" x14ac:dyDescent="0.15">
      <c r="A256" s="20">
        <f>dig!A256</f>
        <v>11</v>
      </c>
      <c r="B256" s="20">
        <f>dig!B256</f>
        <v>1101</v>
      </c>
      <c r="C256" s="20">
        <f>B256*100+COUNTIF(B$2:B256,B256)</f>
        <v>110105</v>
      </c>
      <c r="D256" s="20">
        <f t="shared" si="6"/>
        <v>10</v>
      </c>
      <c r="E256" s="20">
        <v>1</v>
      </c>
      <c r="H256" s="20" t="str">
        <f>VLOOKUP(C256,[1]!moster1,10,FALSE)</f>
        <v/>
      </c>
      <c r="M256" s="20">
        <v>255</v>
      </c>
    </row>
    <row r="257" spans="1:13" x14ac:dyDescent="0.15">
      <c r="A257" s="20">
        <f>dig!A257</f>
        <v>11</v>
      </c>
      <c r="B257" s="20">
        <f>dig!B257</f>
        <v>1102</v>
      </c>
      <c r="C257" s="20">
        <f>B257*100+COUNTIF(B$2:B257,B257)</f>
        <v>110201</v>
      </c>
      <c r="D257" s="20">
        <f t="shared" si="6"/>
        <v>30</v>
      </c>
      <c r="E257" s="20">
        <v>1</v>
      </c>
      <c r="H257" s="20" t="str">
        <f>VLOOKUP(C257,[1]!moster1,10,FALSE)</f>
        <v/>
      </c>
      <c r="M257" s="20">
        <v>256</v>
      </c>
    </row>
    <row r="258" spans="1:13" x14ac:dyDescent="0.15">
      <c r="A258" s="20">
        <f>dig!A258</f>
        <v>11</v>
      </c>
      <c r="B258" s="20">
        <f>dig!B258</f>
        <v>1102</v>
      </c>
      <c r="C258" s="20">
        <f>B258*100+COUNTIF(B$2:B258,B258)</f>
        <v>110202</v>
      </c>
      <c r="D258" s="20">
        <f t="shared" si="6"/>
        <v>30</v>
      </c>
      <c r="E258" s="20">
        <v>1</v>
      </c>
      <c r="H258" s="20" t="str">
        <f>VLOOKUP(C258,[1]!moster1,10,FALSE)</f>
        <v/>
      </c>
      <c r="M258" s="20">
        <v>257</v>
      </c>
    </row>
    <row r="259" spans="1:13" x14ac:dyDescent="0.15">
      <c r="A259" s="20">
        <f>dig!A259</f>
        <v>11</v>
      </c>
      <c r="B259" s="20">
        <f>dig!B259</f>
        <v>1102</v>
      </c>
      <c r="C259" s="20">
        <f>B259*100+COUNTIF(B$2:B259,B259)</f>
        <v>110203</v>
      </c>
      <c r="D259" s="20">
        <f t="shared" ref="D259:D322" si="7">IF(OR(RIGHT(C259,1)="5",RIGHT(C259,1)="4"),10,30)</f>
        <v>30</v>
      </c>
      <c r="E259" s="20">
        <v>1</v>
      </c>
      <c r="H259" s="20" t="str">
        <f>VLOOKUP(C259,[1]!moster1,10,FALSE)</f>
        <v/>
      </c>
      <c r="M259" s="20">
        <v>258</v>
      </c>
    </row>
    <row r="260" spans="1:13" x14ac:dyDescent="0.15">
      <c r="A260" s="20">
        <f>dig!A260</f>
        <v>11</v>
      </c>
      <c r="B260" s="20">
        <f>dig!B260</f>
        <v>1102</v>
      </c>
      <c r="C260" s="20">
        <f>B260*100+COUNTIF(B$2:B260,B260)</f>
        <v>110204</v>
      </c>
      <c r="D260" s="20">
        <f t="shared" si="7"/>
        <v>10</v>
      </c>
      <c r="E260" s="20">
        <v>1</v>
      </c>
      <c r="H260" s="20" t="str">
        <f>VLOOKUP(C260,[1]!moster1,10,FALSE)</f>
        <v/>
      </c>
      <c r="M260" s="20">
        <v>259</v>
      </c>
    </row>
    <row r="261" spans="1:13" x14ac:dyDescent="0.15">
      <c r="A261" s="20">
        <f>dig!A261</f>
        <v>11</v>
      </c>
      <c r="B261" s="20">
        <f>dig!B261</f>
        <v>1102</v>
      </c>
      <c r="C261" s="20">
        <f>B261*100+COUNTIF(B$2:B261,B261)</f>
        <v>110205</v>
      </c>
      <c r="D261" s="20">
        <f t="shared" si="7"/>
        <v>10</v>
      </c>
      <c r="E261" s="20">
        <v>1</v>
      </c>
      <c r="H261" s="20" t="str">
        <f>VLOOKUP(C261,[1]!moster1,10,FALSE)</f>
        <v/>
      </c>
      <c r="M261" s="20">
        <v>260</v>
      </c>
    </row>
    <row r="262" spans="1:13" x14ac:dyDescent="0.15">
      <c r="A262" s="20">
        <f>dig!A262</f>
        <v>11</v>
      </c>
      <c r="B262" s="20">
        <f>dig!B262</f>
        <v>1103</v>
      </c>
      <c r="C262" s="20">
        <f>B262*100+COUNTIF(B$2:B262,B262)</f>
        <v>110301</v>
      </c>
      <c r="D262" s="20">
        <f t="shared" si="7"/>
        <v>30</v>
      </c>
      <c r="E262" s="20">
        <v>1</v>
      </c>
      <c r="H262" s="20" t="str">
        <f>VLOOKUP(C262,[1]!moster1,10,FALSE)</f>
        <v/>
      </c>
      <c r="M262" s="20">
        <v>261</v>
      </c>
    </row>
    <row r="263" spans="1:13" x14ac:dyDescent="0.15">
      <c r="A263" s="20">
        <f>dig!A263</f>
        <v>11</v>
      </c>
      <c r="B263" s="20">
        <f>dig!B263</f>
        <v>1103</v>
      </c>
      <c r="C263" s="20">
        <f>B263*100+COUNTIF(B$2:B263,B263)</f>
        <v>110302</v>
      </c>
      <c r="D263" s="20">
        <f t="shared" si="7"/>
        <v>30</v>
      </c>
      <c r="E263" s="20">
        <v>1</v>
      </c>
      <c r="H263" s="20" t="str">
        <f>VLOOKUP(C263,[1]!moster1,10,FALSE)</f>
        <v/>
      </c>
      <c r="M263" s="20">
        <v>262</v>
      </c>
    </row>
    <row r="264" spans="1:13" x14ac:dyDescent="0.15">
      <c r="A264" s="20">
        <f>dig!A264</f>
        <v>11</v>
      </c>
      <c r="B264" s="20">
        <f>dig!B264</f>
        <v>1103</v>
      </c>
      <c r="C264" s="20">
        <f>B264*100+COUNTIF(B$2:B264,B264)</f>
        <v>110303</v>
      </c>
      <c r="D264" s="20">
        <f t="shared" si="7"/>
        <v>30</v>
      </c>
      <c r="E264" s="20">
        <v>1</v>
      </c>
      <c r="H264" s="20" t="str">
        <f>VLOOKUP(C264,[1]!moster1,10,FALSE)</f>
        <v/>
      </c>
      <c r="M264" s="20">
        <v>263</v>
      </c>
    </row>
    <row r="265" spans="1:13" x14ac:dyDescent="0.15">
      <c r="A265" s="20">
        <f>dig!A265</f>
        <v>11</v>
      </c>
      <c r="B265" s="20">
        <f>dig!B265</f>
        <v>1103</v>
      </c>
      <c r="C265" s="20">
        <f>B265*100+COUNTIF(B$2:B265,B265)</f>
        <v>110304</v>
      </c>
      <c r="D265" s="20">
        <f t="shared" si="7"/>
        <v>10</v>
      </c>
      <c r="E265" s="20">
        <v>1</v>
      </c>
      <c r="H265" s="20" t="str">
        <f>VLOOKUP(C265,[1]!moster1,10,FALSE)</f>
        <v/>
      </c>
      <c r="M265" s="20">
        <v>264</v>
      </c>
    </row>
    <row r="266" spans="1:13" x14ac:dyDescent="0.15">
      <c r="A266" s="20">
        <f>dig!A266</f>
        <v>11</v>
      </c>
      <c r="B266" s="20">
        <f>dig!B266</f>
        <v>1103</v>
      </c>
      <c r="C266" s="20">
        <f>B266*100+COUNTIF(B$2:B266,B266)</f>
        <v>110305</v>
      </c>
      <c r="D266" s="20">
        <f t="shared" si="7"/>
        <v>10</v>
      </c>
      <c r="E266" s="20">
        <v>1</v>
      </c>
      <c r="H266" s="20" t="str">
        <f>VLOOKUP(C266,[1]!moster1,10,FALSE)</f>
        <v/>
      </c>
      <c r="M266" s="20">
        <v>265</v>
      </c>
    </row>
    <row r="267" spans="1:13" x14ac:dyDescent="0.15">
      <c r="A267" s="20">
        <f>dig!A267</f>
        <v>11</v>
      </c>
      <c r="B267" s="20">
        <f>dig!B267</f>
        <v>1104</v>
      </c>
      <c r="C267" s="20">
        <f>B267*100+COUNTIF(B$2:B267,B267)</f>
        <v>110401</v>
      </c>
      <c r="D267" s="20">
        <f t="shared" si="7"/>
        <v>30</v>
      </c>
      <c r="E267" s="20">
        <v>1</v>
      </c>
      <c r="H267" s="20" t="str">
        <f>VLOOKUP(C267,[1]!moster1,10,FALSE)</f>
        <v/>
      </c>
      <c r="M267" s="20">
        <v>266</v>
      </c>
    </row>
    <row r="268" spans="1:13" x14ac:dyDescent="0.15">
      <c r="A268" s="20">
        <f>dig!A268</f>
        <v>11</v>
      </c>
      <c r="B268" s="20">
        <f>dig!B268</f>
        <v>1104</v>
      </c>
      <c r="C268" s="20">
        <f>B268*100+COUNTIF(B$2:B268,B268)</f>
        <v>110402</v>
      </c>
      <c r="D268" s="20">
        <f t="shared" si="7"/>
        <v>30</v>
      </c>
      <c r="E268" s="20">
        <v>1</v>
      </c>
      <c r="H268" s="20" t="str">
        <f>VLOOKUP(C268,[1]!moster1,10,FALSE)</f>
        <v/>
      </c>
      <c r="M268" s="20">
        <v>267</v>
      </c>
    </row>
    <row r="269" spans="1:13" x14ac:dyDescent="0.15">
      <c r="A269" s="20">
        <f>dig!A269</f>
        <v>11</v>
      </c>
      <c r="B269" s="20">
        <f>dig!B269</f>
        <v>1104</v>
      </c>
      <c r="C269" s="20">
        <f>B269*100+COUNTIF(B$2:B269,B269)</f>
        <v>110403</v>
      </c>
      <c r="D269" s="20">
        <f t="shared" si="7"/>
        <v>30</v>
      </c>
      <c r="E269" s="20">
        <v>1</v>
      </c>
      <c r="H269" s="20" t="str">
        <f>VLOOKUP(C269,[1]!moster1,10,FALSE)</f>
        <v/>
      </c>
      <c r="M269" s="20">
        <v>268</v>
      </c>
    </row>
    <row r="270" spans="1:13" x14ac:dyDescent="0.15">
      <c r="A270" s="20">
        <f>dig!A270</f>
        <v>11</v>
      </c>
      <c r="B270" s="20">
        <f>dig!B270</f>
        <v>1104</v>
      </c>
      <c r="C270" s="20">
        <f>B270*100+COUNTIF(B$2:B270,B270)</f>
        <v>110404</v>
      </c>
      <c r="D270" s="20">
        <f t="shared" si="7"/>
        <v>10</v>
      </c>
      <c r="E270" s="20">
        <v>1</v>
      </c>
      <c r="H270" s="20" t="str">
        <f>VLOOKUP(C270,[1]!moster1,10,FALSE)</f>
        <v/>
      </c>
      <c r="M270" s="20">
        <v>269</v>
      </c>
    </row>
    <row r="271" spans="1:13" x14ac:dyDescent="0.15">
      <c r="A271" s="20">
        <f>dig!A271</f>
        <v>11</v>
      </c>
      <c r="B271" s="20">
        <f>dig!B271</f>
        <v>1104</v>
      </c>
      <c r="C271" s="20">
        <f>B271*100+COUNTIF(B$2:B271,B271)</f>
        <v>110405</v>
      </c>
      <c r="D271" s="20">
        <f t="shared" si="7"/>
        <v>10</v>
      </c>
      <c r="E271" s="20">
        <v>1</v>
      </c>
      <c r="H271" s="20" t="str">
        <f>VLOOKUP(C271,[1]!moster1,10,FALSE)</f>
        <v/>
      </c>
      <c r="M271" s="20">
        <v>270</v>
      </c>
    </row>
    <row r="272" spans="1:13" x14ac:dyDescent="0.15">
      <c r="A272" s="20">
        <f>dig!A272</f>
        <v>11</v>
      </c>
      <c r="B272" s="20">
        <f>dig!B272</f>
        <v>1105</v>
      </c>
      <c r="C272" s="20">
        <f>B272*100+COUNTIF(B$2:B272,B272)</f>
        <v>110501</v>
      </c>
      <c r="D272" s="20">
        <f t="shared" si="7"/>
        <v>30</v>
      </c>
      <c r="E272" s="20">
        <v>1</v>
      </c>
      <c r="H272" s="20" t="str">
        <f>VLOOKUP(C272,[1]!moster1,10,FALSE)</f>
        <v/>
      </c>
      <c r="M272" s="20">
        <v>271</v>
      </c>
    </row>
    <row r="273" spans="1:13" x14ac:dyDescent="0.15">
      <c r="A273" s="20">
        <f>dig!A273</f>
        <v>11</v>
      </c>
      <c r="B273" s="20">
        <f>dig!B273</f>
        <v>1105</v>
      </c>
      <c r="C273" s="20">
        <f>B273*100+COUNTIF(B$2:B273,B273)</f>
        <v>110502</v>
      </c>
      <c r="D273" s="20">
        <f t="shared" si="7"/>
        <v>30</v>
      </c>
      <c r="E273" s="20">
        <v>1</v>
      </c>
      <c r="H273" s="20" t="str">
        <f>VLOOKUP(C273,[1]!moster1,10,FALSE)</f>
        <v/>
      </c>
      <c r="M273" s="20">
        <v>272</v>
      </c>
    </row>
    <row r="274" spans="1:13" x14ac:dyDescent="0.15">
      <c r="A274" s="20">
        <f>dig!A274</f>
        <v>11</v>
      </c>
      <c r="B274" s="20">
        <f>dig!B274</f>
        <v>1105</v>
      </c>
      <c r="C274" s="20">
        <f>B274*100+COUNTIF(B$2:B274,B274)</f>
        <v>110503</v>
      </c>
      <c r="D274" s="20">
        <f t="shared" si="7"/>
        <v>30</v>
      </c>
      <c r="E274" s="20">
        <v>1</v>
      </c>
      <c r="H274" s="20" t="str">
        <f>VLOOKUP(C274,[1]!moster1,10,FALSE)</f>
        <v/>
      </c>
      <c r="M274" s="20">
        <v>273</v>
      </c>
    </row>
    <row r="275" spans="1:13" x14ac:dyDescent="0.15">
      <c r="A275" s="20">
        <f>dig!A275</f>
        <v>11</v>
      </c>
      <c r="B275" s="20">
        <f>dig!B275</f>
        <v>1105</v>
      </c>
      <c r="C275" s="20">
        <f>B275*100+COUNTIF(B$2:B275,B275)</f>
        <v>110504</v>
      </c>
      <c r="D275" s="20">
        <f t="shared" si="7"/>
        <v>10</v>
      </c>
      <c r="E275" s="20">
        <v>1</v>
      </c>
      <c r="H275" s="20" t="str">
        <f>VLOOKUP(C275,[1]!moster1,10,FALSE)</f>
        <v/>
      </c>
      <c r="M275" s="20">
        <v>274</v>
      </c>
    </row>
    <row r="276" spans="1:13" x14ac:dyDescent="0.15">
      <c r="A276" s="20">
        <f>dig!A276</f>
        <v>11</v>
      </c>
      <c r="B276" s="20">
        <f>dig!B276</f>
        <v>1105</v>
      </c>
      <c r="C276" s="20">
        <f>B276*100+COUNTIF(B$2:B276,B276)</f>
        <v>110505</v>
      </c>
      <c r="D276" s="20">
        <f t="shared" si="7"/>
        <v>10</v>
      </c>
      <c r="E276" s="20">
        <v>1</v>
      </c>
      <c r="H276" s="20" t="str">
        <f>VLOOKUP(C276,[1]!moster1,10,FALSE)</f>
        <v/>
      </c>
      <c r="M276" s="20">
        <v>275</v>
      </c>
    </row>
    <row r="277" spans="1:13" x14ac:dyDescent="0.15">
      <c r="A277" s="20">
        <f>dig!A277</f>
        <v>12</v>
      </c>
      <c r="B277" s="20">
        <f>dig!B277</f>
        <v>1201</v>
      </c>
      <c r="C277" s="20">
        <f>B277*100+COUNTIF(B$2:B277,B277)</f>
        <v>120101</v>
      </c>
      <c r="D277" s="20">
        <f t="shared" si="7"/>
        <v>30</v>
      </c>
      <c r="E277" s="20">
        <v>1</v>
      </c>
      <c r="H277" s="20" t="str">
        <f>VLOOKUP(C277,[1]!moster1,10,FALSE)</f>
        <v/>
      </c>
      <c r="M277" s="20">
        <v>276</v>
      </c>
    </row>
    <row r="278" spans="1:13" x14ac:dyDescent="0.15">
      <c r="A278" s="20">
        <f>dig!A278</f>
        <v>12</v>
      </c>
      <c r="B278" s="20">
        <f>dig!B278</f>
        <v>1201</v>
      </c>
      <c r="C278" s="20">
        <f>B278*100+COUNTIF(B$2:B278,B278)</f>
        <v>120102</v>
      </c>
      <c r="D278" s="20">
        <f t="shared" si="7"/>
        <v>30</v>
      </c>
      <c r="E278" s="20">
        <v>1</v>
      </c>
      <c r="H278" s="20" t="str">
        <f>VLOOKUP(C278,[1]!moster1,10,FALSE)</f>
        <v/>
      </c>
      <c r="M278" s="20">
        <v>277</v>
      </c>
    </row>
    <row r="279" spans="1:13" x14ac:dyDescent="0.15">
      <c r="A279" s="20">
        <f>dig!A279</f>
        <v>12</v>
      </c>
      <c r="B279" s="20">
        <f>dig!B279</f>
        <v>1201</v>
      </c>
      <c r="C279" s="20">
        <f>B279*100+COUNTIF(B$2:B279,B279)</f>
        <v>120103</v>
      </c>
      <c r="D279" s="20">
        <f t="shared" si="7"/>
        <v>30</v>
      </c>
      <c r="E279" s="20">
        <v>1</v>
      </c>
      <c r="H279" s="20" t="str">
        <f>VLOOKUP(C279,[1]!moster1,10,FALSE)</f>
        <v/>
      </c>
      <c r="M279" s="20">
        <v>278</v>
      </c>
    </row>
    <row r="280" spans="1:13" x14ac:dyDescent="0.15">
      <c r="A280" s="20">
        <f>dig!A280</f>
        <v>12</v>
      </c>
      <c r="B280" s="20">
        <f>dig!B280</f>
        <v>1201</v>
      </c>
      <c r="C280" s="20">
        <f>B280*100+COUNTIF(B$2:B280,B280)</f>
        <v>120104</v>
      </c>
      <c r="D280" s="20">
        <f t="shared" si="7"/>
        <v>10</v>
      </c>
      <c r="E280" s="20">
        <v>1</v>
      </c>
      <c r="H280" s="20" t="str">
        <f>VLOOKUP(C280,[1]!moster1,10,FALSE)</f>
        <v/>
      </c>
      <c r="M280" s="20">
        <v>279</v>
      </c>
    </row>
    <row r="281" spans="1:13" x14ac:dyDescent="0.15">
      <c r="A281" s="20">
        <f>dig!A281</f>
        <v>12</v>
      </c>
      <c r="B281" s="20">
        <f>dig!B281</f>
        <v>1201</v>
      </c>
      <c r="C281" s="20">
        <f>B281*100+COUNTIF(B$2:B281,B281)</f>
        <v>120105</v>
      </c>
      <c r="D281" s="20">
        <f t="shared" si="7"/>
        <v>10</v>
      </c>
      <c r="E281" s="20">
        <v>1</v>
      </c>
      <c r="H281" s="20" t="str">
        <f>VLOOKUP(C281,[1]!moster1,10,FALSE)</f>
        <v/>
      </c>
      <c r="M281" s="20">
        <v>280</v>
      </c>
    </row>
    <row r="282" spans="1:13" x14ac:dyDescent="0.15">
      <c r="A282" s="20">
        <f>dig!A282</f>
        <v>12</v>
      </c>
      <c r="B282" s="20">
        <f>dig!B282</f>
        <v>1202</v>
      </c>
      <c r="C282" s="20">
        <f>B282*100+COUNTIF(B$2:B282,B282)</f>
        <v>120201</v>
      </c>
      <c r="D282" s="20">
        <f t="shared" si="7"/>
        <v>30</v>
      </c>
      <c r="E282" s="20">
        <v>1</v>
      </c>
      <c r="H282" s="20" t="str">
        <f>VLOOKUP(C282,[1]!moster1,10,FALSE)</f>
        <v/>
      </c>
      <c r="M282" s="20">
        <v>281</v>
      </c>
    </row>
    <row r="283" spans="1:13" x14ac:dyDescent="0.15">
      <c r="A283" s="20">
        <f>dig!A283</f>
        <v>12</v>
      </c>
      <c r="B283" s="20">
        <f>dig!B283</f>
        <v>1202</v>
      </c>
      <c r="C283" s="20">
        <f>B283*100+COUNTIF(B$2:B283,B283)</f>
        <v>120202</v>
      </c>
      <c r="D283" s="20">
        <f t="shared" si="7"/>
        <v>30</v>
      </c>
      <c r="E283" s="20">
        <v>1</v>
      </c>
      <c r="H283" s="20" t="str">
        <f>VLOOKUP(C283,[1]!moster1,10,FALSE)</f>
        <v/>
      </c>
      <c r="M283" s="20">
        <v>282</v>
      </c>
    </row>
    <row r="284" spans="1:13" x14ac:dyDescent="0.15">
      <c r="A284" s="20">
        <f>dig!A284</f>
        <v>12</v>
      </c>
      <c r="B284" s="20">
        <f>dig!B284</f>
        <v>1202</v>
      </c>
      <c r="C284" s="20">
        <f>B284*100+COUNTIF(B$2:B284,B284)</f>
        <v>120203</v>
      </c>
      <c r="D284" s="20">
        <f t="shared" si="7"/>
        <v>30</v>
      </c>
      <c r="E284" s="20">
        <v>1</v>
      </c>
      <c r="H284" s="20" t="str">
        <f>VLOOKUP(C284,[1]!moster1,10,FALSE)</f>
        <v/>
      </c>
      <c r="M284" s="20">
        <v>283</v>
      </c>
    </row>
    <row r="285" spans="1:13" x14ac:dyDescent="0.15">
      <c r="A285" s="20">
        <f>dig!A285</f>
        <v>12</v>
      </c>
      <c r="B285" s="20">
        <f>dig!B285</f>
        <v>1202</v>
      </c>
      <c r="C285" s="20">
        <f>B285*100+COUNTIF(B$2:B285,B285)</f>
        <v>120204</v>
      </c>
      <c r="D285" s="20">
        <f t="shared" si="7"/>
        <v>10</v>
      </c>
      <c r="E285" s="20">
        <v>1</v>
      </c>
      <c r="H285" s="20" t="str">
        <f>VLOOKUP(C285,[1]!moster1,10,FALSE)</f>
        <v/>
      </c>
      <c r="M285" s="20">
        <v>284</v>
      </c>
    </row>
    <row r="286" spans="1:13" x14ac:dyDescent="0.15">
      <c r="A286" s="20">
        <f>dig!A286</f>
        <v>12</v>
      </c>
      <c r="B286" s="20">
        <f>dig!B286</f>
        <v>1202</v>
      </c>
      <c r="C286" s="20">
        <f>B286*100+COUNTIF(B$2:B286,B286)</f>
        <v>120205</v>
      </c>
      <c r="D286" s="20">
        <f t="shared" si="7"/>
        <v>10</v>
      </c>
      <c r="E286" s="20">
        <v>1</v>
      </c>
      <c r="H286" s="20" t="str">
        <f>VLOOKUP(C286,[1]!moster1,10,FALSE)</f>
        <v/>
      </c>
      <c r="M286" s="20">
        <v>285</v>
      </c>
    </row>
    <row r="287" spans="1:13" x14ac:dyDescent="0.15">
      <c r="A287" s="20">
        <f>dig!A287</f>
        <v>12</v>
      </c>
      <c r="B287" s="20">
        <f>dig!B287</f>
        <v>1203</v>
      </c>
      <c r="C287" s="20">
        <f>B287*100+COUNTIF(B$2:B287,B287)</f>
        <v>120301</v>
      </c>
      <c r="D287" s="20">
        <f t="shared" si="7"/>
        <v>30</v>
      </c>
      <c r="E287" s="20">
        <v>1</v>
      </c>
      <c r="H287" s="20" t="str">
        <f>VLOOKUP(C287,[1]!moster1,10,FALSE)</f>
        <v/>
      </c>
      <c r="M287" s="20">
        <v>286</v>
      </c>
    </row>
    <row r="288" spans="1:13" x14ac:dyDescent="0.15">
      <c r="A288" s="20">
        <f>dig!A288</f>
        <v>12</v>
      </c>
      <c r="B288" s="20">
        <f>dig!B288</f>
        <v>1203</v>
      </c>
      <c r="C288" s="20">
        <f>B288*100+COUNTIF(B$2:B288,B288)</f>
        <v>120302</v>
      </c>
      <c r="D288" s="20">
        <f t="shared" si="7"/>
        <v>30</v>
      </c>
      <c r="E288" s="20">
        <v>1</v>
      </c>
      <c r="H288" s="20" t="str">
        <f>VLOOKUP(C288,[1]!moster1,10,FALSE)</f>
        <v/>
      </c>
      <c r="M288" s="20">
        <v>287</v>
      </c>
    </row>
    <row r="289" spans="1:13" x14ac:dyDescent="0.15">
      <c r="A289" s="20">
        <f>dig!A289</f>
        <v>12</v>
      </c>
      <c r="B289" s="20">
        <f>dig!B289</f>
        <v>1203</v>
      </c>
      <c r="C289" s="20">
        <f>B289*100+COUNTIF(B$2:B289,B289)</f>
        <v>120303</v>
      </c>
      <c r="D289" s="20">
        <f t="shared" si="7"/>
        <v>30</v>
      </c>
      <c r="E289" s="20">
        <v>1</v>
      </c>
      <c r="H289" s="20" t="str">
        <f>VLOOKUP(C289,[1]!moster1,10,FALSE)</f>
        <v/>
      </c>
      <c r="M289" s="20">
        <v>288</v>
      </c>
    </row>
    <row r="290" spans="1:13" x14ac:dyDescent="0.15">
      <c r="A290" s="20">
        <f>dig!A290</f>
        <v>12</v>
      </c>
      <c r="B290" s="20">
        <f>dig!B290</f>
        <v>1203</v>
      </c>
      <c r="C290" s="20">
        <f>B290*100+COUNTIF(B$2:B290,B290)</f>
        <v>120304</v>
      </c>
      <c r="D290" s="20">
        <f t="shared" si="7"/>
        <v>10</v>
      </c>
      <c r="E290" s="20">
        <v>1</v>
      </c>
      <c r="H290" s="20" t="str">
        <f>VLOOKUP(C290,[1]!moster1,10,FALSE)</f>
        <v/>
      </c>
      <c r="M290" s="20">
        <v>289</v>
      </c>
    </row>
    <row r="291" spans="1:13" x14ac:dyDescent="0.15">
      <c r="A291" s="20">
        <f>dig!A291</f>
        <v>12</v>
      </c>
      <c r="B291" s="20">
        <f>dig!B291</f>
        <v>1203</v>
      </c>
      <c r="C291" s="20">
        <f>B291*100+COUNTIF(B$2:B291,B291)</f>
        <v>120305</v>
      </c>
      <c r="D291" s="20">
        <f t="shared" si="7"/>
        <v>10</v>
      </c>
      <c r="E291" s="20">
        <v>1</v>
      </c>
      <c r="H291" s="20" t="str">
        <f>VLOOKUP(C291,[1]!moster1,10,FALSE)</f>
        <v/>
      </c>
      <c r="M291" s="20">
        <v>290</v>
      </c>
    </row>
    <row r="292" spans="1:13" x14ac:dyDescent="0.15">
      <c r="A292" s="20">
        <f>dig!A292</f>
        <v>12</v>
      </c>
      <c r="B292" s="20">
        <f>dig!B292</f>
        <v>1204</v>
      </c>
      <c r="C292" s="20">
        <f>B292*100+COUNTIF(B$2:B292,B292)</f>
        <v>120401</v>
      </c>
      <c r="D292" s="20">
        <f t="shared" si="7"/>
        <v>30</v>
      </c>
      <c r="E292" s="20">
        <v>1</v>
      </c>
      <c r="H292" s="20" t="str">
        <f>VLOOKUP(C292,[1]!moster1,10,FALSE)</f>
        <v/>
      </c>
      <c r="M292" s="20">
        <v>291</v>
      </c>
    </row>
    <row r="293" spans="1:13" x14ac:dyDescent="0.15">
      <c r="A293" s="20">
        <f>dig!A293</f>
        <v>12</v>
      </c>
      <c r="B293" s="20">
        <f>dig!B293</f>
        <v>1204</v>
      </c>
      <c r="C293" s="20">
        <f>B293*100+COUNTIF(B$2:B293,B293)</f>
        <v>120402</v>
      </c>
      <c r="D293" s="20">
        <f t="shared" si="7"/>
        <v>30</v>
      </c>
      <c r="E293" s="20">
        <v>1</v>
      </c>
      <c r="H293" s="20" t="str">
        <f>VLOOKUP(C293,[1]!moster1,10,FALSE)</f>
        <v/>
      </c>
      <c r="M293" s="20">
        <v>292</v>
      </c>
    </row>
    <row r="294" spans="1:13" x14ac:dyDescent="0.15">
      <c r="A294" s="20">
        <f>dig!A294</f>
        <v>12</v>
      </c>
      <c r="B294" s="20">
        <f>dig!B294</f>
        <v>1204</v>
      </c>
      <c r="C294" s="20">
        <f>B294*100+COUNTIF(B$2:B294,B294)</f>
        <v>120403</v>
      </c>
      <c r="D294" s="20">
        <f t="shared" si="7"/>
        <v>30</v>
      </c>
      <c r="E294" s="20">
        <v>1</v>
      </c>
      <c r="H294" s="20" t="str">
        <f>VLOOKUP(C294,[1]!moster1,10,FALSE)</f>
        <v/>
      </c>
      <c r="M294" s="20">
        <v>293</v>
      </c>
    </row>
    <row r="295" spans="1:13" x14ac:dyDescent="0.15">
      <c r="A295" s="20">
        <f>dig!A295</f>
        <v>12</v>
      </c>
      <c r="B295" s="20">
        <f>dig!B295</f>
        <v>1204</v>
      </c>
      <c r="C295" s="20">
        <f>B295*100+COUNTIF(B$2:B295,B295)</f>
        <v>120404</v>
      </c>
      <c r="D295" s="20">
        <f t="shared" si="7"/>
        <v>10</v>
      </c>
      <c r="E295" s="20">
        <v>1</v>
      </c>
      <c r="H295" s="20" t="str">
        <f>VLOOKUP(C295,[1]!moster1,10,FALSE)</f>
        <v/>
      </c>
      <c r="M295" s="20">
        <v>294</v>
      </c>
    </row>
    <row r="296" spans="1:13" x14ac:dyDescent="0.15">
      <c r="A296" s="20">
        <f>dig!A296</f>
        <v>12</v>
      </c>
      <c r="B296" s="20">
        <f>dig!B296</f>
        <v>1204</v>
      </c>
      <c r="C296" s="20">
        <f>B296*100+COUNTIF(B$2:B296,B296)</f>
        <v>120405</v>
      </c>
      <c r="D296" s="20">
        <f t="shared" si="7"/>
        <v>10</v>
      </c>
      <c r="E296" s="20">
        <v>1</v>
      </c>
      <c r="H296" s="20" t="str">
        <f>VLOOKUP(C296,[1]!moster1,10,FALSE)</f>
        <v/>
      </c>
      <c r="M296" s="20">
        <v>295</v>
      </c>
    </row>
    <row r="297" spans="1:13" x14ac:dyDescent="0.15">
      <c r="A297" s="20">
        <f>dig!A297</f>
        <v>12</v>
      </c>
      <c r="B297" s="20">
        <f>dig!B297</f>
        <v>1205</v>
      </c>
      <c r="C297" s="20">
        <f>B297*100+COUNTIF(B$2:B297,B297)</f>
        <v>120501</v>
      </c>
      <c r="D297" s="20">
        <f t="shared" si="7"/>
        <v>30</v>
      </c>
      <c r="E297" s="20">
        <v>1</v>
      </c>
      <c r="H297" s="20" t="str">
        <f>VLOOKUP(C297,[1]!moster1,10,FALSE)</f>
        <v/>
      </c>
      <c r="M297" s="20">
        <v>296</v>
      </c>
    </row>
    <row r="298" spans="1:13" x14ac:dyDescent="0.15">
      <c r="A298" s="20">
        <f>dig!A298</f>
        <v>12</v>
      </c>
      <c r="B298" s="20">
        <f>dig!B298</f>
        <v>1205</v>
      </c>
      <c r="C298" s="20">
        <f>B298*100+COUNTIF(B$2:B298,B298)</f>
        <v>120502</v>
      </c>
      <c r="D298" s="20">
        <f t="shared" si="7"/>
        <v>30</v>
      </c>
      <c r="E298" s="20">
        <v>1</v>
      </c>
      <c r="H298" s="20" t="str">
        <f>VLOOKUP(C298,[1]!moster1,10,FALSE)</f>
        <v/>
      </c>
      <c r="M298" s="20">
        <v>297</v>
      </c>
    </row>
    <row r="299" spans="1:13" x14ac:dyDescent="0.15">
      <c r="A299" s="20">
        <f>dig!A299</f>
        <v>12</v>
      </c>
      <c r="B299" s="20">
        <f>dig!B299</f>
        <v>1205</v>
      </c>
      <c r="C299" s="20">
        <f>B299*100+COUNTIF(B$2:B299,B299)</f>
        <v>120503</v>
      </c>
      <c r="D299" s="20">
        <f t="shared" si="7"/>
        <v>30</v>
      </c>
      <c r="E299" s="20">
        <v>1</v>
      </c>
      <c r="H299" s="20" t="str">
        <f>VLOOKUP(C299,[1]!moster1,10,FALSE)</f>
        <v/>
      </c>
      <c r="M299" s="20">
        <v>298</v>
      </c>
    </row>
    <row r="300" spans="1:13" x14ac:dyDescent="0.15">
      <c r="A300" s="20">
        <f>dig!A300</f>
        <v>12</v>
      </c>
      <c r="B300" s="20">
        <f>dig!B300</f>
        <v>1205</v>
      </c>
      <c r="C300" s="20">
        <f>B300*100+COUNTIF(B$2:B300,B300)</f>
        <v>120504</v>
      </c>
      <c r="D300" s="20">
        <f t="shared" si="7"/>
        <v>10</v>
      </c>
      <c r="E300" s="20">
        <v>1</v>
      </c>
      <c r="H300" s="20" t="str">
        <f>VLOOKUP(C300,[1]!moster1,10,FALSE)</f>
        <v/>
      </c>
      <c r="M300" s="20">
        <v>299</v>
      </c>
    </row>
    <row r="301" spans="1:13" x14ac:dyDescent="0.15">
      <c r="A301" s="20">
        <f>dig!A301</f>
        <v>12</v>
      </c>
      <c r="B301" s="20">
        <f>dig!B301</f>
        <v>1205</v>
      </c>
      <c r="C301" s="20">
        <f>B301*100+COUNTIF(B$2:B301,B301)</f>
        <v>120505</v>
      </c>
      <c r="D301" s="20">
        <f t="shared" si="7"/>
        <v>10</v>
      </c>
      <c r="E301" s="20">
        <v>1</v>
      </c>
      <c r="H301" s="20" t="str">
        <f>VLOOKUP(C301,[1]!moster1,10,FALSE)</f>
        <v/>
      </c>
      <c r="M301" s="20">
        <v>300</v>
      </c>
    </row>
    <row r="302" spans="1:13" x14ac:dyDescent="0.15">
      <c r="A302" s="20">
        <f>dig!A302</f>
        <v>13</v>
      </c>
      <c r="B302" s="20">
        <f>dig!B302</f>
        <v>1301</v>
      </c>
      <c r="C302" s="20">
        <f>B302*100+COUNTIF(B$2:B302,B302)</f>
        <v>130101</v>
      </c>
      <c r="D302" s="20">
        <f t="shared" si="7"/>
        <v>30</v>
      </c>
      <c r="E302" s="20">
        <v>1</v>
      </c>
      <c r="H302" s="20" t="str">
        <f>VLOOKUP(C302,[1]!moster1,10,FALSE)</f>
        <v/>
      </c>
      <c r="M302" s="20">
        <v>301</v>
      </c>
    </row>
    <row r="303" spans="1:13" x14ac:dyDescent="0.15">
      <c r="A303" s="20">
        <f>dig!A303</f>
        <v>13</v>
      </c>
      <c r="B303" s="20">
        <f>dig!B303</f>
        <v>1301</v>
      </c>
      <c r="C303" s="20">
        <f>B303*100+COUNTIF(B$2:B303,B303)</f>
        <v>130102</v>
      </c>
      <c r="D303" s="20">
        <f t="shared" si="7"/>
        <v>30</v>
      </c>
      <c r="E303" s="20">
        <v>1</v>
      </c>
      <c r="H303" s="20" t="str">
        <f>VLOOKUP(C303,[1]!moster1,10,FALSE)</f>
        <v/>
      </c>
      <c r="M303" s="20">
        <v>302</v>
      </c>
    </row>
    <row r="304" spans="1:13" x14ac:dyDescent="0.15">
      <c r="A304" s="20">
        <f>dig!A304</f>
        <v>13</v>
      </c>
      <c r="B304" s="20">
        <f>dig!B304</f>
        <v>1301</v>
      </c>
      <c r="C304" s="20">
        <f>B304*100+COUNTIF(B$2:B304,B304)</f>
        <v>130103</v>
      </c>
      <c r="D304" s="20">
        <f t="shared" si="7"/>
        <v>30</v>
      </c>
      <c r="E304" s="20">
        <v>1</v>
      </c>
      <c r="H304" s="20" t="str">
        <f>VLOOKUP(C304,[1]!moster1,10,FALSE)</f>
        <v/>
      </c>
      <c r="M304" s="20">
        <v>303</v>
      </c>
    </row>
    <row r="305" spans="1:13" x14ac:dyDescent="0.15">
      <c r="A305" s="20">
        <f>dig!A305</f>
        <v>13</v>
      </c>
      <c r="B305" s="20">
        <f>dig!B305</f>
        <v>1301</v>
      </c>
      <c r="C305" s="20">
        <f>B305*100+COUNTIF(B$2:B305,B305)</f>
        <v>130104</v>
      </c>
      <c r="D305" s="20">
        <f t="shared" si="7"/>
        <v>10</v>
      </c>
      <c r="E305" s="20">
        <v>1</v>
      </c>
      <c r="H305" s="20" t="str">
        <f>VLOOKUP(C305,[1]!moster1,10,FALSE)</f>
        <v/>
      </c>
      <c r="M305" s="20">
        <v>304</v>
      </c>
    </row>
    <row r="306" spans="1:13" x14ac:dyDescent="0.15">
      <c r="A306" s="20">
        <f>dig!A306</f>
        <v>13</v>
      </c>
      <c r="B306" s="20">
        <f>dig!B306</f>
        <v>1301</v>
      </c>
      <c r="C306" s="20">
        <f>B306*100+COUNTIF(B$2:B306,B306)</f>
        <v>130105</v>
      </c>
      <c r="D306" s="20">
        <f t="shared" si="7"/>
        <v>10</v>
      </c>
      <c r="E306" s="20">
        <v>1</v>
      </c>
      <c r="H306" s="20" t="str">
        <f>VLOOKUP(C306,[1]!moster1,10,FALSE)</f>
        <v/>
      </c>
      <c r="M306" s="20">
        <v>305</v>
      </c>
    </row>
    <row r="307" spans="1:13" x14ac:dyDescent="0.15">
      <c r="A307" s="20">
        <f>dig!A307</f>
        <v>13</v>
      </c>
      <c r="B307" s="20">
        <f>dig!B307</f>
        <v>1302</v>
      </c>
      <c r="C307" s="20">
        <f>B307*100+COUNTIF(B$2:B307,B307)</f>
        <v>130201</v>
      </c>
      <c r="D307" s="20">
        <f t="shared" si="7"/>
        <v>30</v>
      </c>
      <c r="E307" s="20">
        <v>1</v>
      </c>
      <c r="H307" s="20" t="str">
        <f>VLOOKUP(C307,[1]!moster1,10,FALSE)</f>
        <v/>
      </c>
      <c r="M307" s="20">
        <v>306</v>
      </c>
    </row>
    <row r="308" spans="1:13" x14ac:dyDescent="0.15">
      <c r="A308" s="20">
        <f>dig!A308</f>
        <v>13</v>
      </c>
      <c r="B308" s="20">
        <f>dig!B308</f>
        <v>1302</v>
      </c>
      <c r="C308" s="20">
        <f>B308*100+COUNTIF(B$2:B308,B308)</f>
        <v>130202</v>
      </c>
      <c r="D308" s="20">
        <f t="shared" si="7"/>
        <v>30</v>
      </c>
      <c r="E308" s="20">
        <v>1</v>
      </c>
      <c r="H308" s="20" t="str">
        <f>VLOOKUP(C308,[1]!moster1,10,FALSE)</f>
        <v/>
      </c>
      <c r="M308" s="20">
        <v>307</v>
      </c>
    </row>
    <row r="309" spans="1:13" x14ac:dyDescent="0.15">
      <c r="A309" s="20">
        <f>dig!A309</f>
        <v>13</v>
      </c>
      <c r="B309" s="20">
        <f>dig!B309</f>
        <v>1302</v>
      </c>
      <c r="C309" s="20">
        <f>B309*100+COUNTIF(B$2:B309,B309)</f>
        <v>130203</v>
      </c>
      <c r="D309" s="20">
        <f t="shared" si="7"/>
        <v>30</v>
      </c>
      <c r="E309" s="20">
        <v>1</v>
      </c>
      <c r="H309" s="20" t="str">
        <f>VLOOKUP(C309,[1]!moster1,10,FALSE)</f>
        <v/>
      </c>
      <c r="M309" s="20">
        <v>308</v>
      </c>
    </row>
    <row r="310" spans="1:13" x14ac:dyDescent="0.15">
      <c r="A310" s="20">
        <f>dig!A310</f>
        <v>13</v>
      </c>
      <c r="B310" s="20">
        <f>dig!B310</f>
        <v>1302</v>
      </c>
      <c r="C310" s="20">
        <f>B310*100+COUNTIF(B$2:B310,B310)</f>
        <v>130204</v>
      </c>
      <c r="D310" s="20">
        <f t="shared" si="7"/>
        <v>10</v>
      </c>
      <c r="E310" s="20">
        <v>1</v>
      </c>
      <c r="H310" s="20" t="str">
        <f>VLOOKUP(C310,[1]!moster1,10,FALSE)</f>
        <v/>
      </c>
      <c r="M310" s="20">
        <v>309</v>
      </c>
    </row>
    <row r="311" spans="1:13" x14ac:dyDescent="0.15">
      <c r="A311" s="20">
        <f>dig!A311</f>
        <v>13</v>
      </c>
      <c r="B311" s="20">
        <f>dig!B311</f>
        <v>1302</v>
      </c>
      <c r="C311" s="20">
        <f>B311*100+COUNTIF(B$2:B311,B311)</f>
        <v>130205</v>
      </c>
      <c r="D311" s="20">
        <f t="shared" si="7"/>
        <v>10</v>
      </c>
      <c r="E311" s="20">
        <v>1</v>
      </c>
      <c r="H311" s="20" t="str">
        <f>VLOOKUP(C311,[1]!moster1,10,FALSE)</f>
        <v/>
      </c>
      <c r="M311" s="20">
        <v>310</v>
      </c>
    </row>
    <row r="312" spans="1:13" x14ac:dyDescent="0.15">
      <c r="A312" s="20">
        <f>dig!A312</f>
        <v>13</v>
      </c>
      <c r="B312" s="20">
        <f>dig!B312</f>
        <v>1303</v>
      </c>
      <c r="C312" s="20">
        <f>B312*100+COUNTIF(B$2:B312,B312)</f>
        <v>130301</v>
      </c>
      <c r="D312" s="20">
        <f t="shared" si="7"/>
        <v>30</v>
      </c>
      <c r="E312" s="20">
        <v>1</v>
      </c>
      <c r="H312" s="20" t="str">
        <f>VLOOKUP(C312,[1]!moster1,10,FALSE)</f>
        <v/>
      </c>
      <c r="M312" s="20">
        <v>311</v>
      </c>
    </row>
    <row r="313" spans="1:13" x14ac:dyDescent="0.15">
      <c r="A313" s="20">
        <f>dig!A313</f>
        <v>13</v>
      </c>
      <c r="B313" s="20">
        <f>dig!B313</f>
        <v>1303</v>
      </c>
      <c r="C313" s="20">
        <f>B313*100+COUNTIF(B$2:B313,B313)</f>
        <v>130302</v>
      </c>
      <c r="D313" s="20">
        <f t="shared" si="7"/>
        <v>30</v>
      </c>
      <c r="E313" s="20">
        <v>1</v>
      </c>
      <c r="H313" s="20" t="str">
        <f>VLOOKUP(C313,[1]!moster1,10,FALSE)</f>
        <v/>
      </c>
      <c r="M313" s="20">
        <v>312</v>
      </c>
    </row>
    <row r="314" spans="1:13" x14ac:dyDescent="0.15">
      <c r="A314" s="20">
        <f>dig!A314</f>
        <v>13</v>
      </c>
      <c r="B314" s="20">
        <f>dig!B314</f>
        <v>1303</v>
      </c>
      <c r="C314" s="20">
        <f>B314*100+COUNTIF(B$2:B314,B314)</f>
        <v>130303</v>
      </c>
      <c r="D314" s="20">
        <f t="shared" si="7"/>
        <v>30</v>
      </c>
      <c r="E314" s="20">
        <v>1</v>
      </c>
      <c r="H314" s="20" t="str">
        <f>VLOOKUP(C314,[1]!moster1,10,FALSE)</f>
        <v/>
      </c>
      <c r="M314" s="20">
        <v>313</v>
      </c>
    </row>
    <row r="315" spans="1:13" x14ac:dyDescent="0.15">
      <c r="A315" s="20">
        <f>dig!A315</f>
        <v>13</v>
      </c>
      <c r="B315" s="20">
        <f>dig!B315</f>
        <v>1303</v>
      </c>
      <c r="C315" s="20">
        <f>B315*100+COUNTIF(B$2:B315,B315)</f>
        <v>130304</v>
      </c>
      <c r="D315" s="20">
        <f t="shared" si="7"/>
        <v>10</v>
      </c>
      <c r="E315" s="20">
        <v>1</v>
      </c>
      <c r="H315" s="20" t="str">
        <f>VLOOKUP(C315,[1]!moster1,10,FALSE)</f>
        <v/>
      </c>
      <c r="M315" s="20">
        <v>314</v>
      </c>
    </row>
    <row r="316" spans="1:13" x14ac:dyDescent="0.15">
      <c r="A316" s="20">
        <f>dig!A316</f>
        <v>13</v>
      </c>
      <c r="B316" s="20">
        <f>dig!B316</f>
        <v>1303</v>
      </c>
      <c r="C316" s="20">
        <f>B316*100+COUNTIF(B$2:B316,B316)</f>
        <v>130305</v>
      </c>
      <c r="D316" s="20">
        <f t="shared" si="7"/>
        <v>10</v>
      </c>
      <c r="E316" s="20">
        <v>1</v>
      </c>
      <c r="H316" s="20" t="str">
        <f>VLOOKUP(C316,[1]!moster1,10,FALSE)</f>
        <v/>
      </c>
      <c r="M316" s="20">
        <v>315</v>
      </c>
    </row>
    <row r="317" spans="1:13" x14ac:dyDescent="0.15">
      <c r="A317" s="20">
        <f>dig!A317</f>
        <v>13</v>
      </c>
      <c r="B317" s="20">
        <f>dig!B317</f>
        <v>1304</v>
      </c>
      <c r="C317" s="20">
        <f>B317*100+COUNTIF(B$2:B317,B317)</f>
        <v>130401</v>
      </c>
      <c r="D317" s="20">
        <f t="shared" si="7"/>
        <v>30</v>
      </c>
      <c r="E317" s="20">
        <v>1</v>
      </c>
      <c r="H317" s="20" t="str">
        <f>VLOOKUP(C317,[1]!moster1,10,FALSE)</f>
        <v/>
      </c>
      <c r="M317" s="20">
        <v>316</v>
      </c>
    </row>
    <row r="318" spans="1:13" x14ac:dyDescent="0.15">
      <c r="A318" s="20">
        <f>dig!A318</f>
        <v>13</v>
      </c>
      <c r="B318" s="20">
        <f>dig!B318</f>
        <v>1304</v>
      </c>
      <c r="C318" s="20">
        <f>B318*100+COUNTIF(B$2:B318,B318)</f>
        <v>130402</v>
      </c>
      <c r="D318" s="20">
        <f t="shared" si="7"/>
        <v>30</v>
      </c>
      <c r="E318" s="20">
        <v>1</v>
      </c>
      <c r="H318" s="20" t="str">
        <f>VLOOKUP(C318,[1]!moster1,10,FALSE)</f>
        <v/>
      </c>
      <c r="M318" s="20">
        <v>317</v>
      </c>
    </row>
    <row r="319" spans="1:13" x14ac:dyDescent="0.15">
      <c r="A319" s="20">
        <f>dig!A319</f>
        <v>13</v>
      </c>
      <c r="B319" s="20">
        <f>dig!B319</f>
        <v>1304</v>
      </c>
      <c r="C319" s="20">
        <f>B319*100+COUNTIF(B$2:B319,B319)</f>
        <v>130403</v>
      </c>
      <c r="D319" s="20">
        <f t="shared" si="7"/>
        <v>30</v>
      </c>
      <c r="E319" s="20">
        <v>1</v>
      </c>
      <c r="H319" s="20" t="str">
        <f>VLOOKUP(C319,[1]!moster1,10,FALSE)</f>
        <v/>
      </c>
      <c r="M319" s="20">
        <v>318</v>
      </c>
    </row>
    <row r="320" spans="1:13" x14ac:dyDescent="0.15">
      <c r="A320" s="20">
        <f>dig!A320</f>
        <v>13</v>
      </c>
      <c r="B320" s="20">
        <f>dig!B320</f>
        <v>1304</v>
      </c>
      <c r="C320" s="20">
        <f>B320*100+COUNTIF(B$2:B320,B320)</f>
        <v>130404</v>
      </c>
      <c r="D320" s="20">
        <f t="shared" si="7"/>
        <v>10</v>
      </c>
      <c r="E320" s="20">
        <v>1</v>
      </c>
      <c r="H320" s="20" t="str">
        <f>VLOOKUP(C320,[1]!moster1,10,FALSE)</f>
        <v/>
      </c>
      <c r="M320" s="20">
        <v>319</v>
      </c>
    </row>
    <row r="321" spans="1:13" x14ac:dyDescent="0.15">
      <c r="A321" s="20">
        <f>dig!A321</f>
        <v>13</v>
      </c>
      <c r="B321" s="20">
        <f>dig!B321</f>
        <v>1304</v>
      </c>
      <c r="C321" s="20">
        <f>B321*100+COUNTIF(B$2:B321,B321)</f>
        <v>130405</v>
      </c>
      <c r="D321" s="20">
        <f t="shared" si="7"/>
        <v>10</v>
      </c>
      <c r="E321" s="20">
        <v>1</v>
      </c>
      <c r="H321" s="20" t="str">
        <f>VLOOKUP(C321,[1]!moster1,10,FALSE)</f>
        <v/>
      </c>
      <c r="M321" s="20">
        <v>320</v>
      </c>
    </row>
    <row r="322" spans="1:13" x14ac:dyDescent="0.15">
      <c r="A322" s="20">
        <f>dig!A322</f>
        <v>13</v>
      </c>
      <c r="B322" s="20">
        <f>dig!B322</f>
        <v>1305</v>
      </c>
      <c r="C322" s="20">
        <f>B322*100+COUNTIF(B$2:B322,B322)</f>
        <v>130501</v>
      </c>
      <c r="D322" s="20">
        <f t="shared" si="7"/>
        <v>30</v>
      </c>
      <c r="E322" s="20">
        <v>1</v>
      </c>
      <c r="H322" s="20" t="str">
        <f>VLOOKUP(C322,[1]!moster1,10,FALSE)</f>
        <v/>
      </c>
      <c r="M322" s="20">
        <v>321</v>
      </c>
    </row>
    <row r="323" spans="1:13" x14ac:dyDescent="0.15">
      <c r="A323" s="20">
        <f>dig!A323</f>
        <v>13</v>
      </c>
      <c r="B323" s="20">
        <f>dig!B323</f>
        <v>1305</v>
      </c>
      <c r="C323" s="20">
        <f>B323*100+COUNTIF(B$2:B323,B323)</f>
        <v>130502</v>
      </c>
      <c r="D323" s="20">
        <f t="shared" ref="D323:D386" si="8">IF(OR(RIGHT(C323,1)="5",RIGHT(C323,1)="4"),10,30)</f>
        <v>30</v>
      </c>
      <c r="E323" s="20">
        <v>1</v>
      </c>
      <c r="H323" s="20" t="str">
        <f>VLOOKUP(C323,[1]!moster1,10,FALSE)</f>
        <v/>
      </c>
      <c r="M323" s="20">
        <v>322</v>
      </c>
    </row>
    <row r="324" spans="1:13" x14ac:dyDescent="0.15">
      <c r="A324" s="20">
        <f>dig!A324</f>
        <v>13</v>
      </c>
      <c r="B324" s="20">
        <f>dig!B324</f>
        <v>1305</v>
      </c>
      <c r="C324" s="20">
        <f>B324*100+COUNTIF(B$2:B324,B324)</f>
        <v>130503</v>
      </c>
      <c r="D324" s="20">
        <f t="shared" si="8"/>
        <v>30</v>
      </c>
      <c r="E324" s="20">
        <v>1</v>
      </c>
      <c r="H324" s="20" t="str">
        <f>VLOOKUP(C324,[1]!moster1,10,FALSE)</f>
        <v/>
      </c>
      <c r="M324" s="20">
        <v>323</v>
      </c>
    </row>
    <row r="325" spans="1:13" x14ac:dyDescent="0.15">
      <c r="A325" s="20">
        <f>dig!A325</f>
        <v>13</v>
      </c>
      <c r="B325" s="20">
        <f>dig!B325</f>
        <v>1305</v>
      </c>
      <c r="C325" s="20">
        <f>B325*100+COUNTIF(B$2:B325,B325)</f>
        <v>130504</v>
      </c>
      <c r="D325" s="20">
        <f t="shared" si="8"/>
        <v>10</v>
      </c>
      <c r="E325" s="20">
        <v>1</v>
      </c>
      <c r="H325" s="20" t="str">
        <f>VLOOKUP(C325,[1]!moster1,10,FALSE)</f>
        <v/>
      </c>
      <c r="M325" s="20">
        <v>324</v>
      </c>
    </row>
    <row r="326" spans="1:13" x14ac:dyDescent="0.15">
      <c r="A326" s="20">
        <f>dig!A326</f>
        <v>13</v>
      </c>
      <c r="B326" s="20">
        <f>dig!B326</f>
        <v>1305</v>
      </c>
      <c r="C326" s="20">
        <f>B326*100+COUNTIF(B$2:B326,B326)</f>
        <v>130505</v>
      </c>
      <c r="D326" s="20">
        <f t="shared" si="8"/>
        <v>10</v>
      </c>
      <c r="E326" s="20">
        <v>1</v>
      </c>
      <c r="H326" s="20" t="str">
        <f>VLOOKUP(C326,[1]!moster1,10,FALSE)</f>
        <v/>
      </c>
      <c r="M326" s="20">
        <v>325</v>
      </c>
    </row>
    <row r="327" spans="1:13" x14ac:dyDescent="0.15">
      <c r="A327" s="20">
        <f>dig!A327</f>
        <v>14</v>
      </c>
      <c r="B327" s="20">
        <f>dig!B327</f>
        <v>1401</v>
      </c>
      <c r="C327" s="20">
        <f>B327*100+COUNTIF(B$2:B327,B327)</f>
        <v>140101</v>
      </c>
      <c r="D327" s="20">
        <f t="shared" si="8"/>
        <v>30</v>
      </c>
      <c r="E327" s="20">
        <v>1</v>
      </c>
      <c r="H327" s="20" t="str">
        <f>VLOOKUP(C327,[1]!moster1,10,FALSE)</f>
        <v/>
      </c>
      <c r="M327" s="20">
        <v>326</v>
      </c>
    </row>
    <row r="328" spans="1:13" x14ac:dyDescent="0.15">
      <c r="A328" s="20">
        <f>dig!A328</f>
        <v>14</v>
      </c>
      <c r="B328" s="20">
        <f>dig!B328</f>
        <v>1401</v>
      </c>
      <c r="C328" s="20">
        <f>B328*100+COUNTIF(B$2:B328,B328)</f>
        <v>140102</v>
      </c>
      <c r="D328" s="20">
        <f t="shared" si="8"/>
        <v>30</v>
      </c>
      <c r="E328" s="20">
        <v>1</v>
      </c>
      <c r="H328" s="20" t="str">
        <f>VLOOKUP(C328,[1]!moster1,10,FALSE)</f>
        <v/>
      </c>
      <c r="M328" s="20">
        <v>327</v>
      </c>
    </row>
    <row r="329" spans="1:13" x14ac:dyDescent="0.15">
      <c r="A329" s="20">
        <f>dig!A329</f>
        <v>14</v>
      </c>
      <c r="B329" s="20">
        <f>dig!B329</f>
        <v>1401</v>
      </c>
      <c r="C329" s="20">
        <f>B329*100+COUNTIF(B$2:B329,B329)</f>
        <v>140103</v>
      </c>
      <c r="D329" s="20">
        <f t="shared" si="8"/>
        <v>30</v>
      </c>
      <c r="E329" s="20">
        <v>1</v>
      </c>
      <c r="H329" s="20" t="str">
        <f>VLOOKUP(C329,[1]!moster1,10,FALSE)</f>
        <v/>
      </c>
      <c r="M329" s="20">
        <v>328</v>
      </c>
    </row>
    <row r="330" spans="1:13" x14ac:dyDescent="0.15">
      <c r="A330" s="20">
        <f>dig!A330</f>
        <v>14</v>
      </c>
      <c r="B330" s="20">
        <f>dig!B330</f>
        <v>1401</v>
      </c>
      <c r="C330" s="20">
        <f>B330*100+COUNTIF(B$2:B330,B330)</f>
        <v>140104</v>
      </c>
      <c r="D330" s="20">
        <f t="shared" si="8"/>
        <v>10</v>
      </c>
      <c r="E330" s="20">
        <v>1</v>
      </c>
      <c r="H330" s="20" t="str">
        <f>VLOOKUP(C330,[1]!moster1,10,FALSE)</f>
        <v/>
      </c>
      <c r="M330" s="20">
        <v>329</v>
      </c>
    </row>
    <row r="331" spans="1:13" x14ac:dyDescent="0.15">
      <c r="A331" s="20">
        <f>dig!A331</f>
        <v>14</v>
      </c>
      <c r="B331" s="20">
        <f>dig!B331</f>
        <v>1401</v>
      </c>
      <c r="C331" s="20">
        <f>B331*100+COUNTIF(B$2:B331,B331)</f>
        <v>140105</v>
      </c>
      <c r="D331" s="20">
        <f t="shared" si="8"/>
        <v>10</v>
      </c>
      <c r="E331" s="20">
        <v>1</v>
      </c>
      <c r="H331" s="20" t="str">
        <f>VLOOKUP(C331,[1]!moster1,10,FALSE)</f>
        <v/>
      </c>
      <c r="M331" s="20">
        <v>330</v>
      </c>
    </row>
    <row r="332" spans="1:13" x14ac:dyDescent="0.15">
      <c r="A332" s="20">
        <f>dig!A332</f>
        <v>14</v>
      </c>
      <c r="B332" s="20">
        <f>dig!B332</f>
        <v>1402</v>
      </c>
      <c r="C332" s="20">
        <f>B332*100+COUNTIF(B$2:B332,B332)</f>
        <v>140201</v>
      </c>
      <c r="D332" s="20">
        <f t="shared" si="8"/>
        <v>30</v>
      </c>
      <c r="E332" s="20">
        <v>1</v>
      </c>
      <c r="H332" s="20" t="str">
        <f>VLOOKUP(C332,[1]!moster1,10,FALSE)</f>
        <v/>
      </c>
      <c r="M332" s="20">
        <v>331</v>
      </c>
    </row>
    <row r="333" spans="1:13" x14ac:dyDescent="0.15">
      <c r="A333" s="20">
        <f>dig!A333</f>
        <v>14</v>
      </c>
      <c r="B333" s="20">
        <f>dig!B333</f>
        <v>1402</v>
      </c>
      <c r="C333" s="20">
        <f>B333*100+COUNTIF(B$2:B333,B333)</f>
        <v>140202</v>
      </c>
      <c r="D333" s="20">
        <f t="shared" si="8"/>
        <v>30</v>
      </c>
      <c r="E333" s="20">
        <v>1</v>
      </c>
      <c r="H333" s="20" t="str">
        <f>VLOOKUP(C333,[1]!moster1,10,FALSE)</f>
        <v/>
      </c>
      <c r="M333" s="20">
        <v>332</v>
      </c>
    </row>
    <row r="334" spans="1:13" x14ac:dyDescent="0.15">
      <c r="A334" s="20">
        <f>dig!A334</f>
        <v>14</v>
      </c>
      <c r="B334" s="20">
        <f>dig!B334</f>
        <v>1402</v>
      </c>
      <c r="C334" s="20">
        <f>B334*100+COUNTIF(B$2:B334,B334)</f>
        <v>140203</v>
      </c>
      <c r="D334" s="20">
        <f t="shared" si="8"/>
        <v>30</v>
      </c>
      <c r="E334" s="20">
        <v>1</v>
      </c>
      <c r="H334" s="20" t="str">
        <f>VLOOKUP(C334,[1]!moster1,10,FALSE)</f>
        <v/>
      </c>
      <c r="M334" s="20">
        <v>333</v>
      </c>
    </row>
    <row r="335" spans="1:13" x14ac:dyDescent="0.15">
      <c r="A335" s="20">
        <f>dig!A335</f>
        <v>14</v>
      </c>
      <c r="B335" s="20">
        <f>dig!B335</f>
        <v>1402</v>
      </c>
      <c r="C335" s="20">
        <f>B335*100+COUNTIF(B$2:B335,B335)</f>
        <v>140204</v>
      </c>
      <c r="D335" s="20">
        <f t="shared" si="8"/>
        <v>10</v>
      </c>
      <c r="E335" s="20">
        <v>1</v>
      </c>
      <c r="H335" s="20" t="str">
        <f>VLOOKUP(C335,[1]!moster1,10,FALSE)</f>
        <v/>
      </c>
      <c r="M335" s="20">
        <v>334</v>
      </c>
    </row>
    <row r="336" spans="1:13" x14ac:dyDescent="0.15">
      <c r="A336" s="20">
        <f>dig!A336</f>
        <v>14</v>
      </c>
      <c r="B336" s="20">
        <f>dig!B336</f>
        <v>1402</v>
      </c>
      <c r="C336" s="20">
        <f>B336*100+COUNTIF(B$2:B336,B336)</f>
        <v>140205</v>
      </c>
      <c r="D336" s="20">
        <f t="shared" si="8"/>
        <v>10</v>
      </c>
      <c r="E336" s="20">
        <v>1</v>
      </c>
      <c r="H336" s="20" t="str">
        <f>VLOOKUP(C336,[1]!moster1,10,FALSE)</f>
        <v/>
      </c>
      <c r="M336" s="20">
        <v>335</v>
      </c>
    </row>
    <row r="337" spans="1:13" x14ac:dyDescent="0.15">
      <c r="A337" s="20">
        <f>dig!A337</f>
        <v>14</v>
      </c>
      <c r="B337" s="20">
        <f>dig!B337</f>
        <v>1403</v>
      </c>
      <c r="C337" s="20">
        <f>B337*100+COUNTIF(B$2:B337,B337)</f>
        <v>140301</v>
      </c>
      <c r="D337" s="20">
        <f t="shared" si="8"/>
        <v>30</v>
      </c>
      <c r="E337" s="20">
        <v>1</v>
      </c>
      <c r="H337" s="20" t="str">
        <f>VLOOKUP(C337,[1]!moster1,10,FALSE)</f>
        <v/>
      </c>
      <c r="M337" s="20">
        <v>336</v>
      </c>
    </row>
    <row r="338" spans="1:13" x14ac:dyDescent="0.15">
      <c r="A338" s="20">
        <f>dig!A338</f>
        <v>14</v>
      </c>
      <c r="B338" s="20">
        <f>dig!B338</f>
        <v>1403</v>
      </c>
      <c r="C338" s="20">
        <f>B338*100+COUNTIF(B$2:B338,B338)</f>
        <v>140302</v>
      </c>
      <c r="D338" s="20">
        <f t="shared" si="8"/>
        <v>30</v>
      </c>
      <c r="E338" s="20">
        <v>1</v>
      </c>
      <c r="H338" s="20" t="str">
        <f>VLOOKUP(C338,[1]!moster1,10,FALSE)</f>
        <v/>
      </c>
      <c r="M338" s="20">
        <v>337</v>
      </c>
    </row>
    <row r="339" spans="1:13" x14ac:dyDescent="0.15">
      <c r="A339" s="20">
        <f>dig!A339</f>
        <v>14</v>
      </c>
      <c r="B339" s="20">
        <f>dig!B339</f>
        <v>1403</v>
      </c>
      <c r="C339" s="20">
        <f>B339*100+COUNTIF(B$2:B339,B339)</f>
        <v>140303</v>
      </c>
      <c r="D339" s="20">
        <f t="shared" si="8"/>
        <v>30</v>
      </c>
      <c r="E339" s="20">
        <v>1</v>
      </c>
      <c r="H339" s="20" t="str">
        <f>VLOOKUP(C339,[1]!moster1,10,FALSE)</f>
        <v/>
      </c>
      <c r="M339" s="20">
        <v>338</v>
      </c>
    </row>
    <row r="340" spans="1:13" x14ac:dyDescent="0.15">
      <c r="A340" s="20">
        <f>dig!A340</f>
        <v>14</v>
      </c>
      <c r="B340" s="20">
        <f>dig!B340</f>
        <v>1403</v>
      </c>
      <c r="C340" s="20">
        <f>B340*100+COUNTIF(B$2:B340,B340)</f>
        <v>140304</v>
      </c>
      <c r="D340" s="20">
        <f t="shared" si="8"/>
        <v>10</v>
      </c>
      <c r="E340" s="20">
        <v>1</v>
      </c>
      <c r="H340" s="20" t="str">
        <f>VLOOKUP(C340,[1]!moster1,10,FALSE)</f>
        <v/>
      </c>
      <c r="M340" s="20">
        <v>339</v>
      </c>
    </row>
    <row r="341" spans="1:13" x14ac:dyDescent="0.15">
      <c r="A341" s="20">
        <f>dig!A341</f>
        <v>14</v>
      </c>
      <c r="B341" s="20">
        <f>dig!B341</f>
        <v>1403</v>
      </c>
      <c r="C341" s="20">
        <f>B341*100+COUNTIF(B$2:B341,B341)</f>
        <v>140305</v>
      </c>
      <c r="D341" s="20">
        <f t="shared" si="8"/>
        <v>10</v>
      </c>
      <c r="E341" s="20">
        <v>1</v>
      </c>
      <c r="H341" s="20" t="str">
        <f>VLOOKUP(C341,[1]!moster1,10,FALSE)</f>
        <v/>
      </c>
      <c r="M341" s="20">
        <v>340</v>
      </c>
    </row>
    <row r="342" spans="1:13" x14ac:dyDescent="0.15">
      <c r="A342" s="20">
        <f>dig!A342</f>
        <v>14</v>
      </c>
      <c r="B342" s="20">
        <f>dig!B342</f>
        <v>1404</v>
      </c>
      <c r="C342" s="20">
        <f>B342*100+COUNTIF(B$2:B342,B342)</f>
        <v>140401</v>
      </c>
      <c r="D342" s="20">
        <f t="shared" si="8"/>
        <v>30</v>
      </c>
      <c r="E342" s="20">
        <v>1</v>
      </c>
      <c r="H342" s="20" t="str">
        <f>VLOOKUP(C342,[1]!moster1,10,FALSE)</f>
        <v/>
      </c>
      <c r="M342" s="20">
        <v>341</v>
      </c>
    </row>
    <row r="343" spans="1:13" x14ac:dyDescent="0.15">
      <c r="A343" s="20">
        <f>dig!A343</f>
        <v>14</v>
      </c>
      <c r="B343" s="20">
        <f>dig!B343</f>
        <v>1404</v>
      </c>
      <c r="C343" s="20">
        <f>B343*100+COUNTIF(B$2:B343,B343)</f>
        <v>140402</v>
      </c>
      <c r="D343" s="20">
        <f t="shared" si="8"/>
        <v>30</v>
      </c>
      <c r="E343" s="20">
        <v>1</v>
      </c>
      <c r="H343" s="20" t="str">
        <f>VLOOKUP(C343,[1]!moster1,10,FALSE)</f>
        <v/>
      </c>
      <c r="M343" s="20">
        <v>342</v>
      </c>
    </row>
    <row r="344" spans="1:13" x14ac:dyDescent="0.15">
      <c r="A344" s="20">
        <f>dig!A344</f>
        <v>14</v>
      </c>
      <c r="B344" s="20">
        <f>dig!B344</f>
        <v>1404</v>
      </c>
      <c r="C344" s="20">
        <f>B344*100+COUNTIF(B$2:B344,B344)</f>
        <v>140403</v>
      </c>
      <c r="D344" s="20">
        <f t="shared" si="8"/>
        <v>30</v>
      </c>
      <c r="E344" s="20">
        <v>1</v>
      </c>
      <c r="H344" s="20" t="str">
        <f>VLOOKUP(C344,[1]!moster1,10,FALSE)</f>
        <v/>
      </c>
      <c r="M344" s="20">
        <v>343</v>
      </c>
    </row>
    <row r="345" spans="1:13" x14ac:dyDescent="0.15">
      <c r="A345" s="20">
        <f>dig!A345</f>
        <v>14</v>
      </c>
      <c r="B345" s="20">
        <f>dig!B345</f>
        <v>1404</v>
      </c>
      <c r="C345" s="20">
        <f>B345*100+COUNTIF(B$2:B345,B345)</f>
        <v>140404</v>
      </c>
      <c r="D345" s="20">
        <f t="shared" si="8"/>
        <v>10</v>
      </c>
      <c r="E345" s="20">
        <v>1</v>
      </c>
      <c r="H345" s="20" t="str">
        <f>VLOOKUP(C345,[1]!moster1,10,FALSE)</f>
        <v/>
      </c>
      <c r="M345" s="20">
        <v>344</v>
      </c>
    </row>
    <row r="346" spans="1:13" x14ac:dyDescent="0.15">
      <c r="A346" s="20">
        <f>dig!A346</f>
        <v>14</v>
      </c>
      <c r="B346" s="20">
        <f>dig!B346</f>
        <v>1404</v>
      </c>
      <c r="C346" s="20">
        <f>B346*100+COUNTIF(B$2:B346,B346)</f>
        <v>140405</v>
      </c>
      <c r="D346" s="20">
        <f t="shared" si="8"/>
        <v>10</v>
      </c>
      <c r="E346" s="20">
        <v>1</v>
      </c>
      <c r="H346" s="20" t="str">
        <f>VLOOKUP(C346,[1]!moster1,10,FALSE)</f>
        <v/>
      </c>
      <c r="M346" s="20">
        <v>345</v>
      </c>
    </row>
    <row r="347" spans="1:13" x14ac:dyDescent="0.15">
      <c r="A347" s="20">
        <f>dig!A347</f>
        <v>14</v>
      </c>
      <c r="B347" s="20">
        <f>dig!B347</f>
        <v>1405</v>
      </c>
      <c r="C347" s="20">
        <f>B347*100+COUNTIF(B$2:B347,B347)</f>
        <v>140501</v>
      </c>
      <c r="D347" s="20">
        <f t="shared" si="8"/>
        <v>30</v>
      </c>
      <c r="E347" s="20">
        <v>1</v>
      </c>
      <c r="H347" s="20" t="str">
        <f>VLOOKUP(C347,[1]!moster1,10,FALSE)</f>
        <v/>
      </c>
      <c r="M347" s="20">
        <v>346</v>
      </c>
    </row>
    <row r="348" spans="1:13" x14ac:dyDescent="0.15">
      <c r="A348" s="20">
        <f>dig!A348</f>
        <v>14</v>
      </c>
      <c r="B348" s="20">
        <f>dig!B348</f>
        <v>1405</v>
      </c>
      <c r="C348" s="20">
        <f>B348*100+COUNTIF(B$2:B348,B348)</f>
        <v>140502</v>
      </c>
      <c r="D348" s="20">
        <f t="shared" si="8"/>
        <v>30</v>
      </c>
      <c r="E348" s="20">
        <v>1</v>
      </c>
      <c r="H348" s="20" t="str">
        <f>VLOOKUP(C348,[1]!moster1,10,FALSE)</f>
        <v/>
      </c>
      <c r="M348" s="20">
        <v>347</v>
      </c>
    </row>
    <row r="349" spans="1:13" x14ac:dyDescent="0.15">
      <c r="A349" s="20">
        <f>dig!A349</f>
        <v>14</v>
      </c>
      <c r="B349" s="20">
        <f>dig!B349</f>
        <v>1405</v>
      </c>
      <c r="C349" s="20">
        <f>B349*100+COUNTIF(B$2:B349,B349)</f>
        <v>140503</v>
      </c>
      <c r="D349" s="20">
        <f t="shared" si="8"/>
        <v>30</v>
      </c>
      <c r="E349" s="20">
        <v>1</v>
      </c>
      <c r="H349" s="20" t="str">
        <f>VLOOKUP(C349,[1]!moster1,10,FALSE)</f>
        <v/>
      </c>
      <c r="M349" s="20">
        <v>348</v>
      </c>
    </row>
    <row r="350" spans="1:13" x14ac:dyDescent="0.15">
      <c r="A350" s="20">
        <f>dig!A350</f>
        <v>14</v>
      </c>
      <c r="B350" s="20">
        <f>dig!B350</f>
        <v>1405</v>
      </c>
      <c r="C350" s="20">
        <f>B350*100+COUNTIF(B$2:B350,B350)</f>
        <v>140504</v>
      </c>
      <c r="D350" s="20">
        <f t="shared" si="8"/>
        <v>10</v>
      </c>
      <c r="E350" s="20">
        <v>1</v>
      </c>
      <c r="H350" s="20" t="str">
        <f>VLOOKUP(C350,[1]!moster1,10,FALSE)</f>
        <v/>
      </c>
      <c r="M350" s="20">
        <v>349</v>
      </c>
    </row>
    <row r="351" spans="1:13" x14ac:dyDescent="0.15">
      <c r="A351" s="20">
        <f>dig!A351</f>
        <v>14</v>
      </c>
      <c r="B351" s="20">
        <f>dig!B351</f>
        <v>1405</v>
      </c>
      <c r="C351" s="20">
        <f>B351*100+COUNTIF(B$2:B351,B351)</f>
        <v>140505</v>
      </c>
      <c r="D351" s="20">
        <f t="shared" si="8"/>
        <v>10</v>
      </c>
      <c r="E351" s="20">
        <v>1</v>
      </c>
      <c r="H351" s="20" t="str">
        <f>VLOOKUP(C351,[1]!moster1,10,FALSE)</f>
        <v/>
      </c>
      <c r="M351" s="20">
        <v>350</v>
      </c>
    </row>
    <row r="352" spans="1:13" x14ac:dyDescent="0.15">
      <c r="A352" s="20">
        <f>dig!A352</f>
        <v>15</v>
      </c>
      <c r="B352" s="20">
        <f>dig!B352</f>
        <v>1501</v>
      </c>
      <c r="C352" s="20">
        <f>B352*100+COUNTIF(B$2:B352,B352)</f>
        <v>150101</v>
      </c>
      <c r="D352" s="20">
        <f t="shared" si="8"/>
        <v>30</v>
      </c>
      <c r="E352" s="20">
        <v>1</v>
      </c>
      <c r="H352" s="20" t="str">
        <f>VLOOKUP(C352,[1]!moster1,10,FALSE)</f>
        <v/>
      </c>
      <c r="M352" s="20">
        <v>351</v>
      </c>
    </row>
    <row r="353" spans="1:13" x14ac:dyDescent="0.15">
      <c r="A353" s="20">
        <f>dig!A353</f>
        <v>15</v>
      </c>
      <c r="B353" s="20">
        <f>dig!B353</f>
        <v>1501</v>
      </c>
      <c r="C353" s="20">
        <f>B353*100+COUNTIF(B$2:B353,B353)</f>
        <v>150102</v>
      </c>
      <c r="D353" s="20">
        <f t="shared" si="8"/>
        <v>30</v>
      </c>
      <c r="E353" s="20">
        <v>1</v>
      </c>
      <c r="H353" s="20" t="str">
        <f>VLOOKUP(C353,[1]!moster1,10,FALSE)</f>
        <v/>
      </c>
      <c r="M353" s="20">
        <v>352</v>
      </c>
    </row>
    <row r="354" spans="1:13" x14ac:dyDescent="0.15">
      <c r="A354" s="20">
        <f>dig!A354</f>
        <v>15</v>
      </c>
      <c r="B354" s="20">
        <f>dig!B354</f>
        <v>1501</v>
      </c>
      <c r="C354" s="20">
        <f>B354*100+COUNTIF(B$2:B354,B354)</f>
        <v>150103</v>
      </c>
      <c r="D354" s="20">
        <f t="shared" si="8"/>
        <v>30</v>
      </c>
      <c r="E354" s="20">
        <v>1</v>
      </c>
      <c r="H354" s="20" t="str">
        <f>VLOOKUP(C354,[1]!moster1,10,FALSE)</f>
        <v/>
      </c>
      <c r="M354" s="20">
        <v>353</v>
      </c>
    </row>
    <row r="355" spans="1:13" x14ac:dyDescent="0.15">
      <c r="A355" s="20">
        <f>dig!A355</f>
        <v>15</v>
      </c>
      <c r="B355" s="20">
        <f>dig!B355</f>
        <v>1501</v>
      </c>
      <c r="C355" s="20">
        <f>B355*100+COUNTIF(B$2:B355,B355)</f>
        <v>150104</v>
      </c>
      <c r="D355" s="20">
        <f t="shared" si="8"/>
        <v>10</v>
      </c>
      <c r="E355" s="20">
        <v>1</v>
      </c>
      <c r="H355" s="20" t="str">
        <f>VLOOKUP(C355,[1]!moster1,10,FALSE)</f>
        <v/>
      </c>
      <c r="M355" s="20">
        <v>354</v>
      </c>
    </row>
    <row r="356" spans="1:13" x14ac:dyDescent="0.15">
      <c r="A356" s="20">
        <f>dig!A356</f>
        <v>15</v>
      </c>
      <c r="B356" s="20">
        <f>dig!B356</f>
        <v>1501</v>
      </c>
      <c r="C356" s="20">
        <f>B356*100+COUNTIF(B$2:B356,B356)</f>
        <v>150105</v>
      </c>
      <c r="D356" s="20">
        <f t="shared" si="8"/>
        <v>10</v>
      </c>
      <c r="E356" s="20">
        <v>1</v>
      </c>
      <c r="H356" s="20" t="str">
        <f>VLOOKUP(C356,[1]!moster1,10,FALSE)</f>
        <v/>
      </c>
      <c r="M356" s="20">
        <v>355</v>
      </c>
    </row>
    <row r="357" spans="1:13" x14ac:dyDescent="0.15">
      <c r="A357" s="20">
        <f>dig!A357</f>
        <v>15</v>
      </c>
      <c r="B357" s="20">
        <f>dig!B357</f>
        <v>1502</v>
      </c>
      <c r="C357" s="20">
        <f>B357*100+COUNTIF(B$2:B357,B357)</f>
        <v>150201</v>
      </c>
      <c r="D357" s="20">
        <f t="shared" si="8"/>
        <v>30</v>
      </c>
      <c r="E357" s="20">
        <v>1</v>
      </c>
      <c r="H357" s="20" t="str">
        <f>VLOOKUP(C357,[1]!moster1,10,FALSE)</f>
        <v/>
      </c>
      <c r="M357" s="20">
        <v>356</v>
      </c>
    </row>
    <row r="358" spans="1:13" x14ac:dyDescent="0.15">
      <c r="A358" s="20">
        <f>dig!A358</f>
        <v>15</v>
      </c>
      <c r="B358" s="20">
        <f>dig!B358</f>
        <v>1502</v>
      </c>
      <c r="C358" s="20">
        <f>B358*100+COUNTIF(B$2:B358,B358)</f>
        <v>150202</v>
      </c>
      <c r="D358" s="20">
        <f t="shared" si="8"/>
        <v>30</v>
      </c>
      <c r="E358" s="20">
        <v>1</v>
      </c>
      <c r="H358" s="20" t="str">
        <f>VLOOKUP(C358,[1]!moster1,10,FALSE)</f>
        <v/>
      </c>
      <c r="M358" s="20">
        <v>357</v>
      </c>
    </row>
    <row r="359" spans="1:13" x14ac:dyDescent="0.15">
      <c r="A359" s="20">
        <f>dig!A359</f>
        <v>15</v>
      </c>
      <c r="B359" s="20">
        <f>dig!B359</f>
        <v>1502</v>
      </c>
      <c r="C359" s="20">
        <f>B359*100+COUNTIF(B$2:B359,B359)</f>
        <v>150203</v>
      </c>
      <c r="D359" s="20">
        <f t="shared" si="8"/>
        <v>30</v>
      </c>
      <c r="E359" s="20">
        <v>1</v>
      </c>
      <c r="H359" s="20" t="str">
        <f>VLOOKUP(C359,[1]!moster1,10,FALSE)</f>
        <v/>
      </c>
      <c r="M359" s="20">
        <v>358</v>
      </c>
    </row>
    <row r="360" spans="1:13" x14ac:dyDescent="0.15">
      <c r="A360" s="20">
        <f>dig!A360</f>
        <v>15</v>
      </c>
      <c r="B360" s="20">
        <f>dig!B360</f>
        <v>1502</v>
      </c>
      <c r="C360" s="20">
        <f>B360*100+COUNTIF(B$2:B360,B360)</f>
        <v>150204</v>
      </c>
      <c r="D360" s="20">
        <f t="shared" si="8"/>
        <v>10</v>
      </c>
      <c r="E360" s="20">
        <v>1</v>
      </c>
      <c r="H360" s="20" t="str">
        <f>VLOOKUP(C360,[1]!moster1,10,FALSE)</f>
        <v/>
      </c>
      <c r="M360" s="20">
        <v>359</v>
      </c>
    </row>
    <row r="361" spans="1:13" x14ac:dyDescent="0.15">
      <c r="A361" s="20">
        <f>dig!A361</f>
        <v>15</v>
      </c>
      <c r="B361" s="20">
        <f>dig!B361</f>
        <v>1502</v>
      </c>
      <c r="C361" s="20">
        <f>B361*100+COUNTIF(B$2:B361,B361)</f>
        <v>150205</v>
      </c>
      <c r="D361" s="20">
        <f t="shared" si="8"/>
        <v>10</v>
      </c>
      <c r="E361" s="20">
        <v>1</v>
      </c>
      <c r="H361" s="20" t="str">
        <f>VLOOKUP(C361,[1]!moster1,10,FALSE)</f>
        <v/>
      </c>
      <c r="M361" s="20">
        <v>360</v>
      </c>
    </row>
    <row r="362" spans="1:13" x14ac:dyDescent="0.15">
      <c r="A362" s="20">
        <f>dig!A362</f>
        <v>15</v>
      </c>
      <c r="B362" s="20">
        <f>dig!B362</f>
        <v>1503</v>
      </c>
      <c r="C362" s="20">
        <f>B362*100+COUNTIF(B$2:B362,B362)</f>
        <v>150301</v>
      </c>
      <c r="D362" s="20">
        <f t="shared" si="8"/>
        <v>30</v>
      </c>
      <c r="E362" s="20">
        <v>1</v>
      </c>
      <c r="H362" s="20" t="str">
        <f>VLOOKUP(C362,[1]!moster1,10,FALSE)</f>
        <v/>
      </c>
      <c r="M362" s="20">
        <v>361</v>
      </c>
    </row>
    <row r="363" spans="1:13" x14ac:dyDescent="0.15">
      <c r="A363" s="20">
        <f>dig!A363</f>
        <v>15</v>
      </c>
      <c r="B363" s="20">
        <f>dig!B363</f>
        <v>1503</v>
      </c>
      <c r="C363" s="20">
        <f>B363*100+COUNTIF(B$2:B363,B363)</f>
        <v>150302</v>
      </c>
      <c r="D363" s="20">
        <f t="shared" si="8"/>
        <v>30</v>
      </c>
      <c r="E363" s="20">
        <v>1</v>
      </c>
      <c r="H363" s="20" t="str">
        <f>VLOOKUP(C363,[1]!moster1,10,FALSE)</f>
        <v/>
      </c>
      <c r="M363" s="20">
        <v>362</v>
      </c>
    </row>
    <row r="364" spans="1:13" x14ac:dyDescent="0.15">
      <c r="A364" s="20">
        <f>dig!A364</f>
        <v>15</v>
      </c>
      <c r="B364" s="20">
        <f>dig!B364</f>
        <v>1503</v>
      </c>
      <c r="C364" s="20">
        <f>B364*100+COUNTIF(B$2:B364,B364)</f>
        <v>150303</v>
      </c>
      <c r="D364" s="20">
        <f t="shared" si="8"/>
        <v>30</v>
      </c>
      <c r="E364" s="20">
        <v>1</v>
      </c>
      <c r="H364" s="20" t="str">
        <f>VLOOKUP(C364,[1]!moster1,10,FALSE)</f>
        <v/>
      </c>
      <c r="M364" s="20">
        <v>363</v>
      </c>
    </row>
    <row r="365" spans="1:13" x14ac:dyDescent="0.15">
      <c r="A365" s="20">
        <f>dig!A365</f>
        <v>15</v>
      </c>
      <c r="B365" s="20">
        <f>dig!B365</f>
        <v>1503</v>
      </c>
      <c r="C365" s="20">
        <f>B365*100+COUNTIF(B$2:B365,B365)</f>
        <v>150304</v>
      </c>
      <c r="D365" s="20">
        <f t="shared" si="8"/>
        <v>10</v>
      </c>
      <c r="E365" s="20">
        <v>1</v>
      </c>
      <c r="H365" s="20" t="str">
        <f>VLOOKUP(C365,[1]!moster1,10,FALSE)</f>
        <v/>
      </c>
      <c r="M365" s="20">
        <v>364</v>
      </c>
    </row>
    <row r="366" spans="1:13" x14ac:dyDescent="0.15">
      <c r="A366" s="20">
        <f>dig!A366</f>
        <v>15</v>
      </c>
      <c r="B366" s="20">
        <f>dig!B366</f>
        <v>1503</v>
      </c>
      <c r="C366" s="20">
        <f>B366*100+COUNTIF(B$2:B366,B366)</f>
        <v>150305</v>
      </c>
      <c r="D366" s="20">
        <f t="shared" si="8"/>
        <v>10</v>
      </c>
      <c r="E366" s="20">
        <v>1</v>
      </c>
      <c r="H366" s="20" t="str">
        <f>VLOOKUP(C366,[1]!moster1,10,FALSE)</f>
        <v/>
      </c>
      <c r="M366" s="20">
        <v>365</v>
      </c>
    </row>
    <row r="367" spans="1:13" x14ac:dyDescent="0.15">
      <c r="A367" s="20">
        <f>dig!A367</f>
        <v>15</v>
      </c>
      <c r="B367" s="20">
        <f>dig!B367</f>
        <v>1504</v>
      </c>
      <c r="C367" s="20">
        <f>B367*100+COUNTIF(B$2:B367,B367)</f>
        <v>150401</v>
      </c>
      <c r="D367" s="20">
        <f t="shared" si="8"/>
        <v>30</v>
      </c>
      <c r="E367" s="20">
        <v>1</v>
      </c>
      <c r="H367" s="20" t="str">
        <f>VLOOKUP(C367,[1]!moster1,10,FALSE)</f>
        <v/>
      </c>
      <c r="M367" s="20">
        <v>366</v>
      </c>
    </row>
    <row r="368" spans="1:13" x14ac:dyDescent="0.15">
      <c r="A368" s="20">
        <f>dig!A368</f>
        <v>15</v>
      </c>
      <c r="B368" s="20">
        <f>dig!B368</f>
        <v>1504</v>
      </c>
      <c r="C368" s="20">
        <f>B368*100+COUNTIF(B$2:B368,B368)</f>
        <v>150402</v>
      </c>
      <c r="D368" s="20">
        <f t="shared" si="8"/>
        <v>30</v>
      </c>
      <c r="E368" s="20">
        <v>1</v>
      </c>
      <c r="H368" s="20" t="str">
        <f>VLOOKUP(C368,[1]!moster1,10,FALSE)</f>
        <v/>
      </c>
      <c r="M368" s="20">
        <v>367</v>
      </c>
    </row>
    <row r="369" spans="1:13" x14ac:dyDescent="0.15">
      <c r="A369" s="20">
        <f>dig!A369</f>
        <v>15</v>
      </c>
      <c r="B369" s="20">
        <f>dig!B369</f>
        <v>1504</v>
      </c>
      <c r="C369" s="20">
        <f>B369*100+COUNTIF(B$2:B369,B369)</f>
        <v>150403</v>
      </c>
      <c r="D369" s="20">
        <f t="shared" si="8"/>
        <v>30</v>
      </c>
      <c r="E369" s="20">
        <v>1</v>
      </c>
      <c r="H369" s="20" t="str">
        <f>VLOOKUP(C369,[1]!moster1,10,FALSE)</f>
        <v/>
      </c>
      <c r="M369" s="20">
        <v>368</v>
      </c>
    </row>
    <row r="370" spans="1:13" x14ac:dyDescent="0.15">
      <c r="A370" s="20">
        <f>dig!A370</f>
        <v>15</v>
      </c>
      <c r="B370" s="20">
        <f>dig!B370</f>
        <v>1504</v>
      </c>
      <c r="C370" s="20">
        <f>B370*100+COUNTIF(B$2:B370,B370)</f>
        <v>150404</v>
      </c>
      <c r="D370" s="20">
        <f t="shared" si="8"/>
        <v>10</v>
      </c>
      <c r="E370" s="20">
        <v>1</v>
      </c>
      <c r="H370" s="20" t="str">
        <f>VLOOKUP(C370,[1]!moster1,10,FALSE)</f>
        <v/>
      </c>
      <c r="M370" s="20">
        <v>369</v>
      </c>
    </row>
    <row r="371" spans="1:13" x14ac:dyDescent="0.15">
      <c r="A371" s="20">
        <f>dig!A371</f>
        <v>15</v>
      </c>
      <c r="B371" s="20">
        <f>dig!B371</f>
        <v>1504</v>
      </c>
      <c r="C371" s="20">
        <f>B371*100+COUNTIF(B$2:B371,B371)</f>
        <v>150405</v>
      </c>
      <c r="D371" s="20">
        <f t="shared" si="8"/>
        <v>10</v>
      </c>
      <c r="E371" s="20">
        <v>1</v>
      </c>
      <c r="H371" s="20" t="str">
        <f>VLOOKUP(C371,[1]!moster1,10,FALSE)</f>
        <v/>
      </c>
      <c r="M371" s="20">
        <v>370</v>
      </c>
    </row>
    <row r="372" spans="1:13" x14ac:dyDescent="0.15">
      <c r="A372" s="20">
        <f>dig!A372</f>
        <v>15</v>
      </c>
      <c r="B372" s="20">
        <f>dig!B372</f>
        <v>1505</v>
      </c>
      <c r="C372" s="20">
        <f>B372*100+COUNTIF(B$2:B372,B372)</f>
        <v>150501</v>
      </c>
      <c r="D372" s="20">
        <f t="shared" si="8"/>
        <v>30</v>
      </c>
      <c r="E372" s="20">
        <v>1</v>
      </c>
      <c r="H372" s="20" t="str">
        <f>VLOOKUP(C372,[1]!moster1,10,FALSE)</f>
        <v/>
      </c>
      <c r="M372" s="20">
        <v>371</v>
      </c>
    </row>
    <row r="373" spans="1:13" x14ac:dyDescent="0.15">
      <c r="A373" s="20">
        <f>dig!A373</f>
        <v>15</v>
      </c>
      <c r="B373" s="20">
        <f>dig!B373</f>
        <v>1505</v>
      </c>
      <c r="C373" s="20">
        <f>B373*100+COUNTIF(B$2:B373,B373)</f>
        <v>150502</v>
      </c>
      <c r="D373" s="20">
        <f t="shared" si="8"/>
        <v>30</v>
      </c>
      <c r="E373" s="20">
        <v>1</v>
      </c>
      <c r="H373" s="20" t="str">
        <f>VLOOKUP(C373,[1]!moster1,10,FALSE)</f>
        <v/>
      </c>
      <c r="M373" s="20">
        <v>372</v>
      </c>
    </row>
    <row r="374" spans="1:13" x14ac:dyDescent="0.15">
      <c r="A374" s="20">
        <f>dig!A374</f>
        <v>15</v>
      </c>
      <c r="B374" s="20">
        <f>dig!B374</f>
        <v>1505</v>
      </c>
      <c r="C374" s="20">
        <f>B374*100+COUNTIF(B$2:B374,B374)</f>
        <v>150503</v>
      </c>
      <c r="D374" s="20">
        <f t="shared" si="8"/>
        <v>30</v>
      </c>
      <c r="E374" s="20">
        <v>1</v>
      </c>
      <c r="H374" s="20" t="str">
        <f>VLOOKUP(C374,[1]!moster1,10,FALSE)</f>
        <v/>
      </c>
      <c r="M374" s="20">
        <v>373</v>
      </c>
    </row>
    <row r="375" spans="1:13" x14ac:dyDescent="0.15">
      <c r="A375" s="20">
        <f>dig!A375</f>
        <v>15</v>
      </c>
      <c r="B375" s="20">
        <f>dig!B375</f>
        <v>1505</v>
      </c>
      <c r="C375" s="20">
        <f>B375*100+COUNTIF(B$2:B375,B375)</f>
        <v>150504</v>
      </c>
      <c r="D375" s="20">
        <f t="shared" si="8"/>
        <v>10</v>
      </c>
      <c r="E375" s="20">
        <v>1</v>
      </c>
      <c r="H375" s="20" t="str">
        <f>VLOOKUP(C375,[1]!moster1,10,FALSE)</f>
        <v/>
      </c>
      <c r="M375" s="20">
        <v>374</v>
      </c>
    </row>
    <row r="376" spans="1:13" x14ac:dyDescent="0.15">
      <c r="A376" s="20">
        <f>dig!A376</f>
        <v>15</v>
      </c>
      <c r="B376" s="20">
        <f>dig!B376</f>
        <v>1505</v>
      </c>
      <c r="C376" s="20">
        <f>B376*100+COUNTIF(B$2:B376,B376)</f>
        <v>150505</v>
      </c>
      <c r="D376" s="20">
        <f t="shared" si="8"/>
        <v>10</v>
      </c>
      <c r="E376" s="20">
        <v>1</v>
      </c>
      <c r="H376" s="20" t="str">
        <f>VLOOKUP(C376,[1]!moster1,10,FALSE)</f>
        <v/>
      </c>
      <c r="M376" s="20">
        <v>375</v>
      </c>
    </row>
    <row r="377" spans="1:13" x14ac:dyDescent="0.15">
      <c r="A377" s="20">
        <f>dig!A377</f>
        <v>16</v>
      </c>
      <c r="B377" s="20">
        <f>dig!B377</f>
        <v>1601</v>
      </c>
      <c r="C377" s="20">
        <f>B377*100+COUNTIF(B$2:B377,B377)</f>
        <v>160101</v>
      </c>
      <c r="D377" s="20">
        <f t="shared" si="8"/>
        <v>30</v>
      </c>
      <c r="E377" s="20">
        <v>1</v>
      </c>
      <c r="H377" s="20" t="str">
        <f>VLOOKUP(C377,[1]!moster1,10,FALSE)</f>
        <v/>
      </c>
      <c r="M377" s="20">
        <v>376</v>
      </c>
    </row>
    <row r="378" spans="1:13" x14ac:dyDescent="0.15">
      <c r="A378" s="20">
        <f>dig!A378</f>
        <v>16</v>
      </c>
      <c r="B378" s="20">
        <f>dig!B378</f>
        <v>1601</v>
      </c>
      <c r="C378" s="20">
        <f>B378*100+COUNTIF(B$2:B378,B378)</f>
        <v>160102</v>
      </c>
      <c r="D378" s="20">
        <f t="shared" si="8"/>
        <v>30</v>
      </c>
      <c r="E378" s="20">
        <v>1</v>
      </c>
      <c r="H378" s="20" t="str">
        <f>VLOOKUP(C378,[1]!moster1,10,FALSE)</f>
        <v/>
      </c>
      <c r="M378" s="20">
        <v>377</v>
      </c>
    </row>
    <row r="379" spans="1:13" x14ac:dyDescent="0.15">
      <c r="A379" s="20">
        <f>dig!A379</f>
        <v>16</v>
      </c>
      <c r="B379" s="20">
        <f>dig!B379</f>
        <v>1601</v>
      </c>
      <c r="C379" s="20">
        <f>B379*100+COUNTIF(B$2:B379,B379)</f>
        <v>160103</v>
      </c>
      <c r="D379" s="20">
        <f t="shared" si="8"/>
        <v>30</v>
      </c>
      <c r="E379" s="20">
        <v>1</v>
      </c>
      <c r="H379" s="20" t="str">
        <f>VLOOKUP(C379,[1]!moster1,10,FALSE)</f>
        <v/>
      </c>
      <c r="M379" s="20">
        <v>378</v>
      </c>
    </row>
    <row r="380" spans="1:13" x14ac:dyDescent="0.15">
      <c r="A380" s="20">
        <f>dig!A380</f>
        <v>16</v>
      </c>
      <c r="B380" s="20">
        <f>dig!B380</f>
        <v>1601</v>
      </c>
      <c r="C380" s="20">
        <f>B380*100+COUNTIF(B$2:B380,B380)</f>
        <v>160104</v>
      </c>
      <c r="D380" s="20">
        <f t="shared" si="8"/>
        <v>10</v>
      </c>
      <c r="E380" s="20">
        <v>1</v>
      </c>
      <c r="H380" s="20" t="str">
        <f>VLOOKUP(C380,[1]!moster1,10,FALSE)</f>
        <v/>
      </c>
      <c r="M380" s="20">
        <v>379</v>
      </c>
    </row>
    <row r="381" spans="1:13" x14ac:dyDescent="0.15">
      <c r="A381" s="20">
        <f>dig!A381</f>
        <v>16</v>
      </c>
      <c r="B381" s="20">
        <f>dig!B381</f>
        <v>1601</v>
      </c>
      <c r="C381" s="20">
        <f>B381*100+COUNTIF(B$2:B381,B381)</f>
        <v>160105</v>
      </c>
      <c r="D381" s="20">
        <f t="shared" si="8"/>
        <v>10</v>
      </c>
      <c r="E381" s="20">
        <v>1</v>
      </c>
      <c r="H381" s="20" t="str">
        <f>VLOOKUP(C381,[1]!moster1,10,FALSE)</f>
        <v/>
      </c>
      <c r="M381" s="20">
        <v>380</v>
      </c>
    </row>
    <row r="382" spans="1:13" x14ac:dyDescent="0.15">
      <c r="A382" s="20">
        <f>dig!A382</f>
        <v>16</v>
      </c>
      <c r="B382" s="20">
        <f>dig!B382</f>
        <v>1602</v>
      </c>
      <c r="C382" s="20">
        <f>B382*100+COUNTIF(B$2:B382,B382)</f>
        <v>160201</v>
      </c>
      <c r="D382" s="20">
        <f t="shared" si="8"/>
        <v>30</v>
      </c>
      <c r="E382" s="20">
        <v>1</v>
      </c>
      <c r="H382" s="20" t="str">
        <f>VLOOKUP(C382,[1]!moster1,10,FALSE)</f>
        <v/>
      </c>
      <c r="M382" s="20">
        <v>381</v>
      </c>
    </row>
    <row r="383" spans="1:13" x14ac:dyDescent="0.15">
      <c r="A383" s="20">
        <f>dig!A383</f>
        <v>16</v>
      </c>
      <c r="B383" s="20">
        <f>dig!B383</f>
        <v>1602</v>
      </c>
      <c r="C383" s="20">
        <f>B383*100+COUNTIF(B$2:B383,B383)</f>
        <v>160202</v>
      </c>
      <c r="D383" s="20">
        <f t="shared" si="8"/>
        <v>30</v>
      </c>
      <c r="E383" s="20">
        <v>1</v>
      </c>
      <c r="H383" s="20" t="str">
        <f>VLOOKUP(C383,[1]!moster1,10,FALSE)</f>
        <v/>
      </c>
      <c r="M383" s="20">
        <v>382</v>
      </c>
    </row>
    <row r="384" spans="1:13" x14ac:dyDescent="0.15">
      <c r="A384" s="20">
        <f>dig!A384</f>
        <v>16</v>
      </c>
      <c r="B384" s="20">
        <f>dig!B384</f>
        <v>1602</v>
      </c>
      <c r="C384" s="20">
        <f>B384*100+COUNTIF(B$2:B384,B384)</f>
        <v>160203</v>
      </c>
      <c r="D384" s="20">
        <f t="shared" si="8"/>
        <v>30</v>
      </c>
      <c r="E384" s="20">
        <v>1</v>
      </c>
      <c r="H384" s="20" t="str">
        <f>VLOOKUP(C384,[1]!moster1,10,FALSE)</f>
        <v/>
      </c>
      <c r="M384" s="20">
        <v>383</v>
      </c>
    </row>
    <row r="385" spans="1:13" x14ac:dyDescent="0.15">
      <c r="A385" s="20">
        <f>dig!A385</f>
        <v>16</v>
      </c>
      <c r="B385" s="20">
        <f>dig!B385</f>
        <v>1602</v>
      </c>
      <c r="C385" s="20">
        <f>B385*100+COUNTIF(B$2:B385,B385)</f>
        <v>160204</v>
      </c>
      <c r="D385" s="20">
        <f t="shared" si="8"/>
        <v>10</v>
      </c>
      <c r="E385" s="20">
        <v>1</v>
      </c>
      <c r="H385" s="20" t="str">
        <f>VLOOKUP(C385,[1]!moster1,10,FALSE)</f>
        <v/>
      </c>
      <c r="M385" s="20">
        <v>384</v>
      </c>
    </row>
    <row r="386" spans="1:13" x14ac:dyDescent="0.15">
      <c r="A386" s="20">
        <f>dig!A386</f>
        <v>16</v>
      </c>
      <c r="B386" s="20">
        <f>dig!B386</f>
        <v>1602</v>
      </c>
      <c r="C386" s="20">
        <f>B386*100+COUNTIF(B$2:B386,B386)</f>
        <v>160205</v>
      </c>
      <c r="D386" s="20">
        <f t="shared" si="8"/>
        <v>10</v>
      </c>
      <c r="E386" s="20">
        <v>1</v>
      </c>
      <c r="H386" s="20" t="str">
        <f>VLOOKUP(C386,[1]!moster1,10,FALSE)</f>
        <v/>
      </c>
      <c r="M386" s="20">
        <v>385</v>
      </c>
    </row>
    <row r="387" spans="1:13" x14ac:dyDescent="0.15">
      <c r="A387" s="20">
        <f>dig!A387</f>
        <v>16</v>
      </c>
      <c r="B387" s="20">
        <f>dig!B387</f>
        <v>1603</v>
      </c>
      <c r="C387" s="20">
        <f>B387*100+COUNTIF(B$2:B387,B387)</f>
        <v>160301</v>
      </c>
      <c r="D387" s="20">
        <f t="shared" ref="D387:D450" si="9">IF(OR(RIGHT(C387,1)="5",RIGHT(C387,1)="4"),10,30)</f>
        <v>30</v>
      </c>
      <c r="E387" s="20">
        <v>1</v>
      </c>
      <c r="H387" s="20" t="str">
        <f>VLOOKUP(C387,[1]!moster1,10,FALSE)</f>
        <v/>
      </c>
      <c r="M387" s="20">
        <v>386</v>
      </c>
    </row>
    <row r="388" spans="1:13" x14ac:dyDescent="0.15">
      <c r="A388" s="20">
        <f>dig!A388</f>
        <v>16</v>
      </c>
      <c r="B388" s="20">
        <f>dig!B388</f>
        <v>1603</v>
      </c>
      <c r="C388" s="20">
        <f>B388*100+COUNTIF(B$2:B388,B388)</f>
        <v>160302</v>
      </c>
      <c r="D388" s="20">
        <f t="shared" si="9"/>
        <v>30</v>
      </c>
      <c r="E388" s="20">
        <v>1</v>
      </c>
      <c r="H388" s="20" t="str">
        <f>VLOOKUP(C388,[1]!moster1,10,FALSE)</f>
        <v/>
      </c>
      <c r="M388" s="20">
        <v>387</v>
      </c>
    </row>
    <row r="389" spans="1:13" x14ac:dyDescent="0.15">
      <c r="A389" s="20">
        <f>dig!A389</f>
        <v>16</v>
      </c>
      <c r="B389" s="20">
        <f>dig!B389</f>
        <v>1603</v>
      </c>
      <c r="C389" s="20">
        <f>B389*100+COUNTIF(B$2:B389,B389)</f>
        <v>160303</v>
      </c>
      <c r="D389" s="20">
        <f t="shared" si="9"/>
        <v>30</v>
      </c>
      <c r="E389" s="20">
        <v>1</v>
      </c>
      <c r="H389" s="20" t="str">
        <f>VLOOKUP(C389,[1]!moster1,10,FALSE)</f>
        <v/>
      </c>
      <c r="M389" s="20">
        <v>388</v>
      </c>
    </row>
    <row r="390" spans="1:13" x14ac:dyDescent="0.15">
      <c r="A390" s="20">
        <f>dig!A390</f>
        <v>16</v>
      </c>
      <c r="B390" s="20">
        <f>dig!B390</f>
        <v>1603</v>
      </c>
      <c r="C390" s="20">
        <f>B390*100+COUNTIF(B$2:B390,B390)</f>
        <v>160304</v>
      </c>
      <c r="D390" s="20">
        <f t="shared" si="9"/>
        <v>10</v>
      </c>
      <c r="E390" s="20">
        <v>1</v>
      </c>
      <c r="H390" s="20" t="str">
        <f>VLOOKUP(C390,[1]!moster1,10,FALSE)</f>
        <v/>
      </c>
      <c r="M390" s="20">
        <v>389</v>
      </c>
    </row>
    <row r="391" spans="1:13" x14ac:dyDescent="0.15">
      <c r="A391" s="20">
        <f>dig!A391</f>
        <v>16</v>
      </c>
      <c r="B391" s="20">
        <f>dig!B391</f>
        <v>1603</v>
      </c>
      <c r="C391" s="20">
        <f>B391*100+COUNTIF(B$2:B391,B391)</f>
        <v>160305</v>
      </c>
      <c r="D391" s="20">
        <f t="shared" si="9"/>
        <v>10</v>
      </c>
      <c r="E391" s="20">
        <v>1</v>
      </c>
      <c r="H391" s="20" t="str">
        <f>VLOOKUP(C391,[1]!moster1,10,FALSE)</f>
        <v/>
      </c>
      <c r="M391" s="20">
        <v>390</v>
      </c>
    </row>
    <row r="392" spans="1:13" x14ac:dyDescent="0.15">
      <c r="A392" s="20">
        <f>dig!A392</f>
        <v>16</v>
      </c>
      <c r="B392" s="20">
        <f>dig!B392</f>
        <v>1604</v>
      </c>
      <c r="C392" s="20">
        <f>B392*100+COUNTIF(B$2:B392,B392)</f>
        <v>160401</v>
      </c>
      <c r="D392" s="20">
        <f t="shared" si="9"/>
        <v>30</v>
      </c>
      <c r="E392" s="20">
        <v>1</v>
      </c>
      <c r="H392" s="20" t="str">
        <f>VLOOKUP(C392,[1]!moster1,10,FALSE)</f>
        <v/>
      </c>
      <c r="M392" s="20">
        <v>391</v>
      </c>
    </row>
    <row r="393" spans="1:13" x14ac:dyDescent="0.15">
      <c r="A393" s="20">
        <f>dig!A393</f>
        <v>16</v>
      </c>
      <c r="B393" s="20">
        <f>dig!B393</f>
        <v>1604</v>
      </c>
      <c r="C393" s="20">
        <f>B393*100+COUNTIF(B$2:B393,B393)</f>
        <v>160402</v>
      </c>
      <c r="D393" s="20">
        <f t="shared" si="9"/>
        <v>30</v>
      </c>
      <c r="E393" s="20">
        <v>1</v>
      </c>
      <c r="H393" s="20" t="str">
        <f>VLOOKUP(C393,[1]!moster1,10,FALSE)</f>
        <v/>
      </c>
      <c r="M393" s="20">
        <v>392</v>
      </c>
    </row>
    <row r="394" spans="1:13" x14ac:dyDescent="0.15">
      <c r="A394" s="20">
        <f>dig!A394</f>
        <v>16</v>
      </c>
      <c r="B394" s="20">
        <f>dig!B394</f>
        <v>1604</v>
      </c>
      <c r="C394" s="20">
        <f>B394*100+COUNTIF(B$2:B394,B394)</f>
        <v>160403</v>
      </c>
      <c r="D394" s="20">
        <f t="shared" si="9"/>
        <v>30</v>
      </c>
      <c r="E394" s="20">
        <v>1</v>
      </c>
      <c r="H394" s="20" t="str">
        <f>VLOOKUP(C394,[1]!moster1,10,FALSE)</f>
        <v/>
      </c>
      <c r="M394" s="20">
        <v>393</v>
      </c>
    </row>
    <row r="395" spans="1:13" x14ac:dyDescent="0.15">
      <c r="A395" s="20">
        <f>dig!A395</f>
        <v>16</v>
      </c>
      <c r="B395" s="20">
        <f>dig!B395</f>
        <v>1604</v>
      </c>
      <c r="C395" s="20">
        <f>B395*100+COUNTIF(B$2:B395,B395)</f>
        <v>160404</v>
      </c>
      <c r="D395" s="20">
        <f t="shared" si="9"/>
        <v>10</v>
      </c>
      <c r="E395" s="20">
        <v>1</v>
      </c>
      <c r="H395" s="20" t="str">
        <f>VLOOKUP(C395,[1]!moster1,10,FALSE)</f>
        <v/>
      </c>
      <c r="M395" s="20">
        <v>394</v>
      </c>
    </row>
    <row r="396" spans="1:13" x14ac:dyDescent="0.15">
      <c r="A396" s="20">
        <f>dig!A396</f>
        <v>16</v>
      </c>
      <c r="B396" s="20">
        <f>dig!B396</f>
        <v>1604</v>
      </c>
      <c r="C396" s="20">
        <f>B396*100+COUNTIF(B$2:B396,B396)</f>
        <v>160405</v>
      </c>
      <c r="D396" s="20">
        <f t="shared" si="9"/>
        <v>10</v>
      </c>
      <c r="E396" s="20">
        <v>1</v>
      </c>
      <c r="H396" s="20" t="str">
        <f>VLOOKUP(C396,[1]!moster1,10,FALSE)</f>
        <v/>
      </c>
      <c r="M396" s="20">
        <v>395</v>
      </c>
    </row>
    <row r="397" spans="1:13" x14ac:dyDescent="0.15">
      <c r="A397" s="20">
        <f>dig!A397</f>
        <v>16</v>
      </c>
      <c r="B397" s="20">
        <f>dig!B397</f>
        <v>1605</v>
      </c>
      <c r="C397" s="20">
        <f>B397*100+COUNTIF(B$2:B397,B397)</f>
        <v>160501</v>
      </c>
      <c r="D397" s="20">
        <f t="shared" si="9"/>
        <v>30</v>
      </c>
      <c r="E397" s="20">
        <v>1</v>
      </c>
      <c r="H397" s="20" t="str">
        <f>VLOOKUP(C397,[1]!moster1,10,FALSE)</f>
        <v/>
      </c>
      <c r="M397" s="20">
        <v>396</v>
      </c>
    </row>
    <row r="398" spans="1:13" x14ac:dyDescent="0.15">
      <c r="A398" s="20">
        <f>dig!A398</f>
        <v>16</v>
      </c>
      <c r="B398" s="20">
        <f>dig!B398</f>
        <v>1605</v>
      </c>
      <c r="C398" s="20">
        <f>B398*100+COUNTIF(B$2:B398,B398)</f>
        <v>160502</v>
      </c>
      <c r="D398" s="20">
        <f t="shared" si="9"/>
        <v>30</v>
      </c>
      <c r="E398" s="20">
        <v>1</v>
      </c>
      <c r="H398" s="20" t="str">
        <f>VLOOKUP(C398,[1]!moster1,10,FALSE)</f>
        <v/>
      </c>
      <c r="M398" s="20">
        <v>397</v>
      </c>
    </row>
    <row r="399" spans="1:13" x14ac:dyDescent="0.15">
      <c r="A399" s="20">
        <f>dig!A399</f>
        <v>16</v>
      </c>
      <c r="B399" s="20">
        <f>dig!B399</f>
        <v>1605</v>
      </c>
      <c r="C399" s="20">
        <f>B399*100+COUNTIF(B$2:B399,B399)</f>
        <v>160503</v>
      </c>
      <c r="D399" s="20">
        <f t="shared" si="9"/>
        <v>30</v>
      </c>
      <c r="E399" s="20">
        <v>1</v>
      </c>
      <c r="H399" s="20" t="str">
        <f>VLOOKUP(C399,[1]!moster1,10,FALSE)</f>
        <v/>
      </c>
      <c r="M399" s="20">
        <v>398</v>
      </c>
    </row>
    <row r="400" spans="1:13" x14ac:dyDescent="0.15">
      <c r="A400" s="20">
        <f>dig!A400</f>
        <v>16</v>
      </c>
      <c r="B400" s="20">
        <f>dig!B400</f>
        <v>1605</v>
      </c>
      <c r="C400" s="20">
        <f>B400*100+COUNTIF(B$2:B400,B400)</f>
        <v>160504</v>
      </c>
      <c r="D400" s="20">
        <f t="shared" si="9"/>
        <v>10</v>
      </c>
      <c r="E400" s="20">
        <v>1</v>
      </c>
      <c r="H400" s="20" t="str">
        <f>VLOOKUP(C400,[1]!moster1,10,FALSE)</f>
        <v/>
      </c>
      <c r="M400" s="20">
        <v>399</v>
      </c>
    </row>
    <row r="401" spans="1:13" x14ac:dyDescent="0.15">
      <c r="A401" s="20">
        <f>dig!A401</f>
        <v>16</v>
      </c>
      <c r="B401" s="20">
        <f>dig!B401</f>
        <v>1605</v>
      </c>
      <c r="C401" s="20">
        <f>B401*100+COUNTIF(B$2:B401,B401)</f>
        <v>160505</v>
      </c>
      <c r="D401" s="20">
        <f t="shared" si="9"/>
        <v>10</v>
      </c>
      <c r="E401" s="20">
        <v>1</v>
      </c>
      <c r="H401" s="20" t="str">
        <f>VLOOKUP(C401,[1]!moster1,10,FALSE)</f>
        <v/>
      </c>
      <c r="M401" s="20">
        <v>400</v>
      </c>
    </row>
    <row r="402" spans="1:13" x14ac:dyDescent="0.15">
      <c r="A402" s="20">
        <f>dig!A402</f>
        <v>17</v>
      </c>
      <c r="B402" s="20">
        <f>dig!B402</f>
        <v>1701</v>
      </c>
      <c r="C402" s="20">
        <f>B402*100+COUNTIF(B$2:B402,B402)</f>
        <v>170101</v>
      </c>
      <c r="D402" s="20">
        <f t="shared" si="9"/>
        <v>30</v>
      </c>
      <c r="E402" s="20">
        <v>1</v>
      </c>
      <c r="H402" s="20" t="str">
        <f>VLOOKUP(C402,[1]!moster1,10,FALSE)</f>
        <v/>
      </c>
      <c r="M402" s="20">
        <v>401</v>
      </c>
    </row>
    <row r="403" spans="1:13" x14ac:dyDescent="0.15">
      <c r="A403" s="20">
        <f>dig!A403</f>
        <v>17</v>
      </c>
      <c r="B403" s="20">
        <f>dig!B403</f>
        <v>1701</v>
      </c>
      <c r="C403" s="20">
        <f>B403*100+COUNTIF(B$2:B403,B403)</f>
        <v>170102</v>
      </c>
      <c r="D403" s="20">
        <f t="shared" si="9"/>
        <v>30</v>
      </c>
      <c r="E403" s="20">
        <v>1</v>
      </c>
      <c r="H403" s="20" t="str">
        <f>VLOOKUP(C403,[1]!moster1,10,FALSE)</f>
        <v/>
      </c>
      <c r="M403" s="20">
        <v>402</v>
      </c>
    </row>
    <row r="404" spans="1:13" x14ac:dyDescent="0.15">
      <c r="A404" s="20">
        <f>dig!A404</f>
        <v>17</v>
      </c>
      <c r="B404" s="20">
        <f>dig!B404</f>
        <v>1701</v>
      </c>
      <c r="C404" s="20">
        <f>B404*100+COUNTIF(B$2:B404,B404)</f>
        <v>170103</v>
      </c>
      <c r="D404" s="20">
        <f t="shared" si="9"/>
        <v>30</v>
      </c>
      <c r="E404" s="20">
        <v>1</v>
      </c>
      <c r="H404" s="20" t="str">
        <f>VLOOKUP(C404,[1]!moster1,10,FALSE)</f>
        <v/>
      </c>
      <c r="M404" s="20">
        <v>403</v>
      </c>
    </row>
    <row r="405" spans="1:13" x14ac:dyDescent="0.15">
      <c r="A405" s="20">
        <f>dig!A405</f>
        <v>17</v>
      </c>
      <c r="B405" s="20">
        <f>dig!B405</f>
        <v>1701</v>
      </c>
      <c r="C405" s="20">
        <f>B405*100+COUNTIF(B$2:B405,B405)</f>
        <v>170104</v>
      </c>
      <c r="D405" s="20">
        <f t="shared" si="9"/>
        <v>10</v>
      </c>
      <c r="E405" s="20">
        <v>1</v>
      </c>
      <c r="H405" s="20" t="str">
        <f>VLOOKUP(C405,[1]!moster1,10,FALSE)</f>
        <v/>
      </c>
      <c r="M405" s="20">
        <v>404</v>
      </c>
    </row>
    <row r="406" spans="1:13" x14ac:dyDescent="0.15">
      <c r="A406" s="20">
        <f>dig!A406</f>
        <v>17</v>
      </c>
      <c r="B406" s="20">
        <f>dig!B406</f>
        <v>1701</v>
      </c>
      <c r="C406" s="20">
        <f>B406*100+COUNTIF(B$2:B406,B406)</f>
        <v>170105</v>
      </c>
      <c r="D406" s="20">
        <f t="shared" si="9"/>
        <v>10</v>
      </c>
      <c r="E406" s="20">
        <v>1</v>
      </c>
      <c r="H406" s="20" t="str">
        <f>VLOOKUP(C406,[1]!moster1,10,FALSE)</f>
        <v/>
      </c>
      <c r="M406" s="20">
        <v>405</v>
      </c>
    </row>
    <row r="407" spans="1:13" x14ac:dyDescent="0.15">
      <c r="A407" s="20">
        <f>dig!A407</f>
        <v>17</v>
      </c>
      <c r="B407" s="20">
        <f>dig!B407</f>
        <v>1702</v>
      </c>
      <c r="C407" s="20">
        <f>B407*100+COUNTIF(B$2:B407,B407)</f>
        <v>170201</v>
      </c>
      <c r="D407" s="20">
        <f t="shared" si="9"/>
        <v>30</v>
      </c>
      <c r="E407" s="20">
        <v>1</v>
      </c>
      <c r="H407" s="20" t="str">
        <f>VLOOKUP(C407,[1]!moster1,10,FALSE)</f>
        <v/>
      </c>
      <c r="M407" s="20">
        <v>406</v>
      </c>
    </row>
    <row r="408" spans="1:13" x14ac:dyDescent="0.15">
      <c r="A408" s="20">
        <f>dig!A408</f>
        <v>17</v>
      </c>
      <c r="B408" s="20">
        <f>dig!B408</f>
        <v>1702</v>
      </c>
      <c r="C408" s="20">
        <f>B408*100+COUNTIF(B$2:B408,B408)</f>
        <v>170202</v>
      </c>
      <c r="D408" s="20">
        <f t="shared" si="9"/>
        <v>30</v>
      </c>
      <c r="E408" s="20">
        <v>1</v>
      </c>
      <c r="H408" s="20" t="str">
        <f>VLOOKUP(C408,[1]!moster1,10,FALSE)</f>
        <v/>
      </c>
      <c r="M408" s="20">
        <v>407</v>
      </c>
    </row>
    <row r="409" spans="1:13" x14ac:dyDescent="0.15">
      <c r="A409" s="20">
        <f>dig!A409</f>
        <v>17</v>
      </c>
      <c r="B409" s="20">
        <f>dig!B409</f>
        <v>1702</v>
      </c>
      <c r="C409" s="20">
        <f>B409*100+COUNTIF(B$2:B409,B409)</f>
        <v>170203</v>
      </c>
      <c r="D409" s="20">
        <f t="shared" si="9"/>
        <v>30</v>
      </c>
      <c r="E409" s="20">
        <v>1</v>
      </c>
      <c r="H409" s="20" t="str">
        <f>VLOOKUP(C409,[1]!moster1,10,FALSE)</f>
        <v/>
      </c>
      <c r="M409" s="20">
        <v>408</v>
      </c>
    </row>
    <row r="410" spans="1:13" x14ac:dyDescent="0.15">
      <c r="A410" s="20">
        <f>dig!A410</f>
        <v>17</v>
      </c>
      <c r="B410" s="20">
        <f>dig!B410</f>
        <v>1702</v>
      </c>
      <c r="C410" s="20">
        <f>B410*100+COUNTIF(B$2:B410,B410)</f>
        <v>170204</v>
      </c>
      <c r="D410" s="20">
        <f t="shared" si="9"/>
        <v>10</v>
      </c>
      <c r="E410" s="20">
        <v>1</v>
      </c>
      <c r="H410" s="20" t="str">
        <f>VLOOKUP(C410,[1]!moster1,10,FALSE)</f>
        <v/>
      </c>
      <c r="M410" s="20">
        <v>409</v>
      </c>
    </row>
    <row r="411" spans="1:13" x14ac:dyDescent="0.15">
      <c r="A411" s="20">
        <f>dig!A411</f>
        <v>17</v>
      </c>
      <c r="B411" s="20">
        <f>dig!B411</f>
        <v>1702</v>
      </c>
      <c r="C411" s="20">
        <f>B411*100+COUNTIF(B$2:B411,B411)</f>
        <v>170205</v>
      </c>
      <c r="D411" s="20">
        <f t="shared" si="9"/>
        <v>10</v>
      </c>
      <c r="E411" s="20">
        <v>1</v>
      </c>
      <c r="H411" s="20" t="str">
        <f>VLOOKUP(C411,[1]!moster1,10,FALSE)</f>
        <v/>
      </c>
      <c r="M411" s="20">
        <v>410</v>
      </c>
    </row>
    <row r="412" spans="1:13" x14ac:dyDescent="0.15">
      <c r="A412" s="20">
        <f>dig!A412</f>
        <v>17</v>
      </c>
      <c r="B412" s="20">
        <f>dig!B412</f>
        <v>1703</v>
      </c>
      <c r="C412" s="20">
        <f>B412*100+COUNTIF(B$2:B412,B412)</f>
        <v>170301</v>
      </c>
      <c r="D412" s="20">
        <f t="shared" si="9"/>
        <v>30</v>
      </c>
      <c r="E412" s="20">
        <v>1</v>
      </c>
      <c r="H412" s="20" t="str">
        <f>VLOOKUP(C412,[1]!moster1,10,FALSE)</f>
        <v/>
      </c>
      <c r="M412" s="20">
        <v>411</v>
      </c>
    </row>
    <row r="413" spans="1:13" x14ac:dyDescent="0.15">
      <c r="A413" s="20">
        <f>dig!A413</f>
        <v>17</v>
      </c>
      <c r="B413" s="20">
        <f>dig!B413</f>
        <v>1703</v>
      </c>
      <c r="C413" s="20">
        <f>B413*100+COUNTIF(B$2:B413,B413)</f>
        <v>170302</v>
      </c>
      <c r="D413" s="20">
        <f t="shared" si="9"/>
        <v>30</v>
      </c>
      <c r="E413" s="20">
        <v>1</v>
      </c>
      <c r="H413" s="20" t="str">
        <f>VLOOKUP(C413,[1]!moster1,10,FALSE)</f>
        <v/>
      </c>
      <c r="M413" s="20">
        <v>412</v>
      </c>
    </row>
    <row r="414" spans="1:13" x14ac:dyDescent="0.15">
      <c r="A414" s="20">
        <f>dig!A414</f>
        <v>17</v>
      </c>
      <c r="B414" s="20">
        <f>dig!B414</f>
        <v>1703</v>
      </c>
      <c r="C414" s="20">
        <f>B414*100+COUNTIF(B$2:B414,B414)</f>
        <v>170303</v>
      </c>
      <c r="D414" s="20">
        <f t="shared" si="9"/>
        <v>30</v>
      </c>
      <c r="E414" s="20">
        <v>1</v>
      </c>
      <c r="H414" s="20" t="str">
        <f>VLOOKUP(C414,[1]!moster1,10,FALSE)</f>
        <v/>
      </c>
      <c r="M414" s="20">
        <v>413</v>
      </c>
    </row>
    <row r="415" spans="1:13" x14ac:dyDescent="0.15">
      <c r="A415" s="20">
        <f>dig!A415</f>
        <v>17</v>
      </c>
      <c r="B415" s="20">
        <f>dig!B415</f>
        <v>1703</v>
      </c>
      <c r="C415" s="20">
        <f>B415*100+COUNTIF(B$2:B415,B415)</f>
        <v>170304</v>
      </c>
      <c r="D415" s="20">
        <f t="shared" si="9"/>
        <v>10</v>
      </c>
      <c r="E415" s="20">
        <v>1</v>
      </c>
      <c r="H415" s="20" t="str">
        <f>VLOOKUP(C415,[1]!moster1,10,FALSE)</f>
        <v/>
      </c>
      <c r="M415" s="20">
        <v>414</v>
      </c>
    </row>
    <row r="416" spans="1:13" x14ac:dyDescent="0.15">
      <c r="A416" s="20">
        <f>dig!A416</f>
        <v>17</v>
      </c>
      <c r="B416" s="20">
        <f>dig!B416</f>
        <v>1703</v>
      </c>
      <c r="C416" s="20">
        <f>B416*100+COUNTIF(B$2:B416,B416)</f>
        <v>170305</v>
      </c>
      <c r="D416" s="20">
        <f t="shared" si="9"/>
        <v>10</v>
      </c>
      <c r="E416" s="20">
        <v>1</v>
      </c>
      <c r="H416" s="20" t="str">
        <f>VLOOKUP(C416,[1]!moster1,10,FALSE)</f>
        <v/>
      </c>
      <c r="M416" s="20">
        <v>415</v>
      </c>
    </row>
    <row r="417" spans="1:13" x14ac:dyDescent="0.15">
      <c r="A417" s="20">
        <f>dig!A417</f>
        <v>17</v>
      </c>
      <c r="B417" s="20">
        <f>dig!B417</f>
        <v>1704</v>
      </c>
      <c r="C417" s="20">
        <f>B417*100+COUNTIF(B$2:B417,B417)</f>
        <v>170401</v>
      </c>
      <c r="D417" s="20">
        <f t="shared" si="9"/>
        <v>30</v>
      </c>
      <c r="E417" s="20">
        <v>1</v>
      </c>
      <c r="H417" s="20" t="str">
        <f>VLOOKUP(C417,[1]!moster1,10,FALSE)</f>
        <v/>
      </c>
      <c r="M417" s="20">
        <v>416</v>
      </c>
    </row>
    <row r="418" spans="1:13" x14ac:dyDescent="0.15">
      <c r="A418" s="20">
        <f>dig!A418</f>
        <v>17</v>
      </c>
      <c r="B418" s="20">
        <f>dig!B418</f>
        <v>1704</v>
      </c>
      <c r="C418" s="20">
        <f>B418*100+COUNTIF(B$2:B418,B418)</f>
        <v>170402</v>
      </c>
      <c r="D418" s="20">
        <f t="shared" si="9"/>
        <v>30</v>
      </c>
      <c r="E418" s="20">
        <v>1</v>
      </c>
      <c r="H418" s="20" t="str">
        <f>VLOOKUP(C418,[1]!moster1,10,FALSE)</f>
        <v/>
      </c>
      <c r="M418" s="20">
        <v>417</v>
      </c>
    </row>
    <row r="419" spans="1:13" x14ac:dyDescent="0.15">
      <c r="A419" s="20">
        <f>dig!A419</f>
        <v>17</v>
      </c>
      <c r="B419" s="20">
        <f>dig!B419</f>
        <v>1704</v>
      </c>
      <c r="C419" s="20">
        <f>B419*100+COUNTIF(B$2:B419,B419)</f>
        <v>170403</v>
      </c>
      <c r="D419" s="20">
        <f t="shared" si="9"/>
        <v>30</v>
      </c>
      <c r="E419" s="20">
        <v>1</v>
      </c>
      <c r="H419" s="20" t="str">
        <f>VLOOKUP(C419,[1]!moster1,10,FALSE)</f>
        <v/>
      </c>
      <c r="M419" s="20">
        <v>418</v>
      </c>
    </row>
    <row r="420" spans="1:13" x14ac:dyDescent="0.15">
      <c r="A420" s="20">
        <f>dig!A420</f>
        <v>17</v>
      </c>
      <c r="B420" s="20">
        <f>dig!B420</f>
        <v>1704</v>
      </c>
      <c r="C420" s="20">
        <f>B420*100+COUNTIF(B$2:B420,B420)</f>
        <v>170404</v>
      </c>
      <c r="D420" s="20">
        <f t="shared" si="9"/>
        <v>10</v>
      </c>
      <c r="E420" s="20">
        <v>1</v>
      </c>
      <c r="H420" s="20" t="str">
        <f>VLOOKUP(C420,[1]!moster1,10,FALSE)</f>
        <v/>
      </c>
      <c r="M420" s="20">
        <v>419</v>
      </c>
    </row>
    <row r="421" spans="1:13" x14ac:dyDescent="0.15">
      <c r="A421" s="20">
        <f>dig!A421</f>
        <v>17</v>
      </c>
      <c r="B421" s="20">
        <f>dig!B421</f>
        <v>1704</v>
      </c>
      <c r="C421" s="20">
        <f>B421*100+COUNTIF(B$2:B421,B421)</f>
        <v>170405</v>
      </c>
      <c r="D421" s="20">
        <f t="shared" si="9"/>
        <v>10</v>
      </c>
      <c r="E421" s="20">
        <v>1</v>
      </c>
      <c r="H421" s="20" t="str">
        <f>VLOOKUP(C421,[1]!moster1,10,FALSE)</f>
        <v/>
      </c>
      <c r="M421" s="20">
        <v>420</v>
      </c>
    </row>
    <row r="422" spans="1:13" x14ac:dyDescent="0.15">
      <c r="A422" s="20">
        <f>dig!A422</f>
        <v>17</v>
      </c>
      <c r="B422" s="20">
        <f>dig!B422</f>
        <v>1705</v>
      </c>
      <c r="C422" s="20">
        <f>B422*100+COUNTIF(B$2:B422,B422)</f>
        <v>170501</v>
      </c>
      <c r="D422" s="20">
        <f t="shared" si="9"/>
        <v>30</v>
      </c>
      <c r="E422" s="20">
        <v>1</v>
      </c>
      <c r="H422" s="20" t="str">
        <f>VLOOKUP(C422,[1]!moster1,10,FALSE)</f>
        <v/>
      </c>
      <c r="M422" s="20">
        <v>421</v>
      </c>
    </row>
    <row r="423" spans="1:13" x14ac:dyDescent="0.15">
      <c r="A423" s="20">
        <f>dig!A423</f>
        <v>17</v>
      </c>
      <c r="B423" s="20">
        <f>dig!B423</f>
        <v>1705</v>
      </c>
      <c r="C423" s="20">
        <f>B423*100+COUNTIF(B$2:B423,B423)</f>
        <v>170502</v>
      </c>
      <c r="D423" s="20">
        <f t="shared" si="9"/>
        <v>30</v>
      </c>
      <c r="E423" s="20">
        <v>1</v>
      </c>
      <c r="H423" s="20" t="str">
        <f>VLOOKUP(C423,[1]!moster1,10,FALSE)</f>
        <v/>
      </c>
      <c r="M423" s="20">
        <v>422</v>
      </c>
    </row>
    <row r="424" spans="1:13" x14ac:dyDescent="0.15">
      <c r="A424" s="20">
        <f>dig!A424</f>
        <v>17</v>
      </c>
      <c r="B424" s="20">
        <f>dig!B424</f>
        <v>1705</v>
      </c>
      <c r="C424" s="20">
        <f>B424*100+COUNTIF(B$2:B424,B424)</f>
        <v>170503</v>
      </c>
      <c r="D424" s="20">
        <f t="shared" si="9"/>
        <v>30</v>
      </c>
      <c r="E424" s="20">
        <v>1</v>
      </c>
      <c r="H424" s="20" t="str">
        <f>VLOOKUP(C424,[1]!moster1,10,FALSE)</f>
        <v/>
      </c>
      <c r="M424" s="20">
        <v>423</v>
      </c>
    </row>
    <row r="425" spans="1:13" x14ac:dyDescent="0.15">
      <c r="A425" s="20">
        <f>dig!A425</f>
        <v>17</v>
      </c>
      <c r="B425" s="20">
        <f>dig!B425</f>
        <v>1705</v>
      </c>
      <c r="C425" s="20">
        <f>B425*100+COUNTIF(B$2:B425,B425)</f>
        <v>170504</v>
      </c>
      <c r="D425" s="20">
        <f t="shared" si="9"/>
        <v>10</v>
      </c>
      <c r="E425" s="20">
        <v>1</v>
      </c>
      <c r="H425" s="20" t="str">
        <f>VLOOKUP(C425,[1]!moster1,10,FALSE)</f>
        <v/>
      </c>
      <c r="M425" s="20">
        <v>424</v>
      </c>
    </row>
    <row r="426" spans="1:13" x14ac:dyDescent="0.15">
      <c r="A426" s="20">
        <f>dig!A426</f>
        <v>17</v>
      </c>
      <c r="B426" s="20">
        <f>dig!B426</f>
        <v>1705</v>
      </c>
      <c r="C426" s="20">
        <f>B426*100+COUNTIF(B$2:B426,B426)</f>
        <v>170505</v>
      </c>
      <c r="D426" s="20">
        <f t="shared" si="9"/>
        <v>10</v>
      </c>
      <c r="E426" s="20">
        <v>1</v>
      </c>
      <c r="H426" s="20" t="str">
        <f>VLOOKUP(C426,[1]!moster1,10,FALSE)</f>
        <v/>
      </c>
      <c r="M426" s="20">
        <v>425</v>
      </c>
    </row>
    <row r="427" spans="1:13" x14ac:dyDescent="0.15">
      <c r="A427" s="20">
        <f>dig!A427</f>
        <v>18</v>
      </c>
      <c r="B427" s="20">
        <f>dig!B427</f>
        <v>1801</v>
      </c>
      <c r="C427" s="20">
        <f>B427*100+COUNTIF(B$2:B427,B427)</f>
        <v>180101</v>
      </c>
      <c r="D427" s="20">
        <f t="shared" si="9"/>
        <v>30</v>
      </c>
      <c r="E427" s="20">
        <v>1</v>
      </c>
      <c r="H427" s="20" t="str">
        <f>VLOOKUP(C427,[1]!moster1,10,FALSE)</f>
        <v/>
      </c>
      <c r="M427" s="20">
        <v>426</v>
      </c>
    </row>
    <row r="428" spans="1:13" x14ac:dyDescent="0.15">
      <c r="A428" s="20">
        <f>dig!A428</f>
        <v>18</v>
      </c>
      <c r="B428" s="20">
        <f>dig!B428</f>
        <v>1801</v>
      </c>
      <c r="C428" s="20">
        <f>B428*100+COUNTIF(B$2:B428,B428)</f>
        <v>180102</v>
      </c>
      <c r="D428" s="20">
        <f t="shared" si="9"/>
        <v>30</v>
      </c>
      <c r="E428" s="20">
        <v>1</v>
      </c>
      <c r="H428" s="20" t="str">
        <f>VLOOKUP(C428,[1]!moster1,10,FALSE)</f>
        <v/>
      </c>
      <c r="M428" s="20">
        <v>427</v>
      </c>
    </row>
    <row r="429" spans="1:13" x14ac:dyDescent="0.15">
      <c r="A429" s="20">
        <f>dig!A429</f>
        <v>18</v>
      </c>
      <c r="B429" s="20">
        <f>dig!B429</f>
        <v>1801</v>
      </c>
      <c r="C429" s="20">
        <f>B429*100+COUNTIF(B$2:B429,B429)</f>
        <v>180103</v>
      </c>
      <c r="D429" s="20">
        <f t="shared" si="9"/>
        <v>30</v>
      </c>
      <c r="E429" s="20">
        <v>1</v>
      </c>
      <c r="H429" s="20" t="str">
        <f>VLOOKUP(C429,[1]!moster1,10,FALSE)</f>
        <v/>
      </c>
      <c r="M429" s="20">
        <v>428</v>
      </c>
    </row>
    <row r="430" spans="1:13" x14ac:dyDescent="0.15">
      <c r="A430" s="20">
        <f>dig!A430</f>
        <v>18</v>
      </c>
      <c r="B430" s="20">
        <f>dig!B430</f>
        <v>1801</v>
      </c>
      <c r="C430" s="20">
        <f>B430*100+COUNTIF(B$2:B430,B430)</f>
        <v>180104</v>
      </c>
      <c r="D430" s="20">
        <f t="shared" si="9"/>
        <v>10</v>
      </c>
      <c r="E430" s="20">
        <v>1</v>
      </c>
      <c r="H430" s="20" t="str">
        <f>VLOOKUP(C430,[1]!moster1,10,FALSE)</f>
        <v/>
      </c>
      <c r="M430" s="20">
        <v>429</v>
      </c>
    </row>
    <row r="431" spans="1:13" x14ac:dyDescent="0.15">
      <c r="A431" s="20">
        <f>dig!A431</f>
        <v>18</v>
      </c>
      <c r="B431" s="20">
        <f>dig!B431</f>
        <v>1801</v>
      </c>
      <c r="C431" s="20">
        <f>B431*100+COUNTIF(B$2:B431,B431)</f>
        <v>180105</v>
      </c>
      <c r="D431" s="20">
        <f t="shared" si="9"/>
        <v>10</v>
      </c>
      <c r="E431" s="20">
        <v>1</v>
      </c>
      <c r="H431" s="20" t="str">
        <f>VLOOKUP(C431,[1]!moster1,10,FALSE)</f>
        <v/>
      </c>
      <c r="M431" s="20">
        <v>430</v>
      </c>
    </row>
    <row r="432" spans="1:13" x14ac:dyDescent="0.15">
      <c r="A432" s="20">
        <f>dig!A432</f>
        <v>18</v>
      </c>
      <c r="B432" s="20">
        <f>dig!B432</f>
        <v>1802</v>
      </c>
      <c r="C432" s="20">
        <f>B432*100+COUNTIF(B$2:B432,B432)</f>
        <v>180201</v>
      </c>
      <c r="D432" s="20">
        <f t="shared" si="9"/>
        <v>30</v>
      </c>
      <c r="E432" s="20">
        <v>1</v>
      </c>
      <c r="H432" s="20" t="str">
        <f>VLOOKUP(C432,[1]!moster1,10,FALSE)</f>
        <v/>
      </c>
      <c r="M432" s="20">
        <v>431</v>
      </c>
    </row>
    <row r="433" spans="1:13" x14ac:dyDescent="0.15">
      <c r="A433" s="20">
        <f>dig!A433</f>
        <v>18</v>
      </c>
      <c r="B433" s="20">
        <f>dig!B433</f>
        <v>1802</v>
      </c>
      <c r="C433" s="20">
        <f>B433*100+COUNTIF(B$2:B433,B433)</f>
        <v>180202</v>
      </c>
      <c r="D433" s="20">
        <f t="shared" si="9"/>
        <v>30</v>
      </c>
      <c r="E433" s="20">
        <v>1</v>
      </c>
      <c r="H433" s="20" t="str">
        <f>VLOOKUP(C433,[1]!moster1,10,FALSE)</f>
        <v/>
      </c>
      <c r="M433" s="20">
        <v>432</v>
      </c>
    </row>
    <row r="434" spans="1:13" x14ac:dyDescent="0.15">
      <c r="A434" s="20">
        <f>dig!A434</f>
        <v>18</v>
      </c>
      <c r="B434" s="20">
        <f>dig!B434</f>
        <v>1802</v>
      </c>
      <c r="C434" s="20">
        <f>B434*100+COUNTIF(B$2:B434,B434)</f>
        <v>180203</v>
      </c>
      <c r="D434" s="20">
        <f t="shared" si="9"/>
        <v>30</v>
      </c>
      <c r="E434" s="20">
        <v>1</v>
      </c>
      <c r="H434" s="20" t="str">
        <f>VLOOKUP(C434,[1]!moster1,10,FALSE)</f>
        <v/>
      </c>
      <c r="M434" s="20">
        <v>433</v>
      </c>
    </row>
    <row r="435" spans="1:13" x14ac:dyDescent="0.15">
      <c r="A435" s="20">
        <f>dig!A435</f>
        <v>18</v>
      </c>
      <c r="B435" s="20">
        <f>dig!B435</f>
        <v>1802</v>
      </c>
      <c r="C435" s="20">
        <f>B435*100+COUNTIF(B$2:B435,B435)</f>
        <v>180204</v>
      </c>
      <c r="D435" s="20">
        <f t="shared" si="9"/>
        <v>10</v>
      </c>
      <c r="E435" s="20">
        <v>1</v>
      </c>
      <c r="H435" s="20" t="str">
        <f>VLOOKUP(C435,[1]!moster1,10,FALSE)</f>
        <v/>
      </c>
      <c r="M435" s="20">
        <v>434</v>
      </c>
    </row>
    <row r="436" spans="1:13" x14ac:dyDescent="0.15">
      <c r="A436" s="20">
        <f>dig!A436</f>
        <v>18</v>
      </c>
      <c r="B436" s="20">
        <f>dig!B436</f>
        <v>1802</v>
      </c>
      <c r="C436" s="20">
        <f>B436*100+COUNTIF(B$2:B436,B436)</f>
        <v>180205</v>
      </c>
      <c r="D436" s="20">
        <f t="shared" si="9"/>
        <v>10</v>
      </c>
      <c r="E436" s="20">
        <v>1</v>
      </c>
      <c r="H436" s="20" t="str">
        <f>VLOOKUP(C436,[1]!moster1,10,FALSE)</f>
        <v/>
      </c>
      <c r="M436" s="20">
        <v>435</v>
      </c>
    </row>
    <row r="437" spans="1:13" x14ac:dyDescent="0.15">
      <c r="A437" s="20">
        <f>dig!A437</f>
        <v>18</v>
      </c>
      <c r="B437" s="20">
        <f>dig!B437</f>
        <v>1803</v>
      </c>
      <c r="C437" s="20">
        <f>B437*100+COUNTIF(B$2:B437,B437)</f>
        <v>180301</v>
      </c>
      <c r="D437" s="20">
        <f t="shared" si="9"/>
        <v>30</v>
      </c>
      <c r="E437" s="20">
        <v>1</v>
      </c>
      <c r="H437" s="20" t="str">
        <f>VLOOKUP(C437,[1]!moster1,10,FALSE)</f>
        <v/>
      </c>
      <c r="M437" s="20">
        <v>436</v>
      </c>
    </row>
    <row r="438" spans="1:13" x14ac:dyDescent="0.15">
      <c r="A438" s="20">
        <f>dig!A438</f>
        <v>18</v>
      </c>
      <c r="B438" s="20">
        <f>dig!B438</f>
        <v>1803</v>
      </c>
      <c r="C438" s="20">
        <f>B438*100+COUNTIF(B$2:B438,B438)</f>
        <v>180302</v>
      </c>
      <c r="D438" s="20">
        <f t="shared" si="9"/>
        <v>30</v>
      </c>
      <c r="E438" s="20">
        <v>1</v>
      </c>
      <c r="H438" s="20" t="str">
        <f>VLOOKUP(C438,[1]!moster1,10,FALSE)</f>
        <v/>
      </c>
      <c r="M438" s="20">
        <v>437</v>
      </c>
    </row>
    <row r="439" spans="1:13" x14ac:dyDescent="0.15">
      <c r="A439" s="20">
        <f>dig!A439</f>
        <v>18</v>
      </c>
      <c r="B439" s="20">
        <f>dig!B439</f>
        <v>1803</v>
      </c>
      <c r="C439" s="20">
        <f>B439*100+COUNTIF(B$2:B439,B439)</f>
        <v>180303</v>
      </c>
      <c r="D439" s="20">
        <f t="shared" si="9"/>
        <v>30</v>
      </c>
      <c r="E439" s="20">
        <v>1</v>
      </c>
      <c r="H439" s="20" t="str">
        <f>VLOOKUP(C439,[1]!moster1,10,FALSE)</f>
        <v/>
      </c>
      <c r="M439" s="20">
        <v>438</v>
      </c>
    </row>
    <row r="440" spans="1:13" x14ac:dyDescent="0.15">
      <c r="A440" s="20">
        <f>dig!A440</f>
        <v>18</v>
      </c>
      <c r="B440" s="20">
        <f>dig!B440</f>
        <v>1803</v>
      </c>
      <c r="C440" s="20">
        <f>B440*100+COUNTIF(B$2:B440,B440)</f>
        <v>180304</v>
      </c>
      <c r="D440" s="20">
        <f t="shared" si="9"/>
        <v>10</v>
      </c>
      <c r="E440" s="20">
        <v>1</v>
      </c>
      <c r="H440" s="20" t="str">
        <f>VLOOKUP(C440,[1]!moster1,10,FALSE)</f>
        <v/>
      </c>
      <c r="M440" s="20">
        <v>439</v>
      </c>
    </row>
    <row r="441" spans="1:13" x14ac:dyDescent="0.15">
      <c r="A441" s="20">
        <f>dig!A441</f>
        <v>18</v>
      </c>
      <c r="B441" s="20">
        <f>dig!B441</f>
        <v>1803</v>
      </c>
      <c r="C441" s="20">
        <f>B441*100+COUNTIF(B$2:B441,B441)</f>
        <v>180305</v>
      </c>
      <c r="D441" s="20">
        <f t="shared" si="9"/>
        <v>10</v>
      </c>
      <c r="E441" s="20">
        <v>1</v>
      </c>
      <c r="H441" s="20" t="str">
        <f>VLOOKUP(C441,[1]!moster1,10,FALSE)</f>
        <v/>
      </c>
      <c r="M441" s="20">
        <v>440</v>
      </c>
    </row>
    <row r="442" spans="1:13" x14ac:dyDescent="0.15">
      <c r="A442" s="20">
        <f>dig!A442</f>
        <v>18</v>
      </c>
      <c r="B442" s="20">
        <f>dig!B442</f>
        <v>1804</v>
      </c>
      <c r="C442" s="20">
        <f>B442*100+COUNTIF(B$2:B442,B442)</f>
        <v>180401</v>
      </c>
      <c r="D442" s="20">
        <f t="shared" si="9"/>
        <v>30</v>
      </c>
      <c r="E442" s="20">
        <v>1</v>
      </c>
      <c r="H442" s="20" t="str">
        <f>VLOOKUP(C442,[1]!moster1,10,FALSE)</f>
        <v/>
      </c>
      <c r="M442" s="20">
        <v>441</v>
      </c>
    </row>
    <row r="443" spans="1:13" x14ac:dyDescent="0.15">
      <c r="A443" s="20">
        <f>dig!A443</f>
        <v>18</v>
      </c>
      <c r="B443" s="20">
        <f>dig!B443</f>
        <v>1804</v>
      </c>
      <c r="C443" s="20">
        <f>B443*100+COUNTIF(B$2:B443,B443)</f>
        <v>180402</v>
      </c>
      <c r="D443" s="20">
        <f t="shared" si="9"/>
        <v>30</v>
      </c>
      <c r="E443" s="20">
        <v>1</v>
      </c>
      <c r="H443" s="20" t="str">
        <f>VLOOKUP(C443,[1]!moster1,10,FALSE)</f>
        <v/>
      </c>
      <c r="M443" s="20">
        <v>442</v>
      </c>
    </row>
    <row r="444" spans="1:13" x14ac:dyDescent="0.15">
      <c r="A444" s="20">
        <f>dig!A444</f>
        <v>18</v>
      </c>
      <c r="B444" s="20">
        <f>dig!B444</f>
        <v>1804</v>
      </c>
      <c r="C444" s="20">
        <f>B444*100+COUNTIF(B$2:B444,B444)</f>
        <v>180403</v>
      </c>
      <c r="D444" s="20">
        <f t="shared" si="9"/>
        <v>30</v>
      </c>
      <c r="E444" s="20">
        <v>1</v>
      </c>
      <c r="H444" s="20" t="str">
        <f>VLOOKUP(C444,[1]!moster1,10,FALSE)</f>
        <v/>
      </c>
      <c r="M444" s="20">
        <v>443</v>
      </c>
    </row>
    <row r="445" spans="1:13" x14ac:dyDescent="0.15">
      <c r="A445" s="20">
        <f>dig!A445</f>
        <v>18</v>
      </c>
      <c r="B445" s="20">
        <f>dig!B445</f>
        <v>1804</v>
      </c>
      <c r="C445" s="20">
        <f>B445*100+COUNTIF(B$2:B445,B445)</f>
        <v>180404</v>
      </c>
      <c r="D445" s="20">
        <f t="shared" si="9"/>
        <v>10</v>
      </c>
      <c r="E445" s="20">
        <v>1</v>
      </c>
      <c r="H445" s="20" t="str">
        <f>VLOOKUP(C445,[1]!moster1,10,FALSE)</f>
        <v/>
      </c>
      <c r="M445" s="20">
        <v>444</v>
      </c>
    </row>
    <row r="446" spans="1:13" x14ac:dyDescent="0.15">
      <c r="A446" s="20">
        <f>dig!A446</f>
        <v>18</v>
      </c>
      <c r="B446" s="20">
        <f>dig!B446</f>
        <v>1804</v>
      </c>
      <c r="C446" s="20">
        <f>B446*100+COUNTIF(B$2:B446,B446)</f>
        <v>180405</v>
      </c>
      <c r="D446" s="20">
        <f t="shared" si="9"/>
        <v>10</v>
      </c>
      <c r="E446" s="20">
        <v>1</v>
      </c>
      <c r="H446" s="20" t="str">
        <f>VLOOKUP(C446,[1]!moster1,10,FALSE)</f>
        <v/>
      </c>
      <c r="M446" s="20">
        <v>445</v>
      </c>
    </row>
    <row r="447" spans="1:13" x14ac:dyDescent="0.15">
      <c r="A447" s="20">
        <f>dig!A447</f>
        <v>18</v>
      </c>
      <c r="B447" s="20">
        <f>dig!B447</f>
        <v>1805</v>
      </c>
      <c r="C447" s="20">
        <f>B447*100+COUNTIF(B$2:B447,B447)</f>
        <v>180501</v>
      </c>
      <c r="D447" s="20">
        <f t="shared" si="9"/>
        <v>30</v>
      </c>
      <c r="E447" s="20">
        <v>1</v>
      </c>
      <c r="H447" s="20" t="str">
        <f>VLOOKUP(C447,[1]!moster1,10,FALSE)</f>
        <v/>
      </c>
      <c r="M447" s="20">
        <v>446</v>
      </c>
    </row>
    <row r="448" spans="1:13" x14ac:dyDescent="0.15">
      <c r="A448" s="20">
        <f>dig!A448</f>
        <v>18</v>
      </c>
      <c r="B448" s="20">
        <f>dig!B448</f>
        <v>1805</v>
      </c>
      <c r="C448" s="20">
        <f>B448*100+COUNTIF(B$2:B448,B448)</f>
        <v>180502</v>
      </c>
      <c r="D448" s="20">
        <f t="shared" si="9"/>
        <v>30</v>
      </c>
      <c r="E448" s="20">
        <v>1</v>
      </c>
      <c r="H448" s="20" t="str">
        <f>VLOOKUP(C448,[1]!moster1,10,FALSE)</f>
        <v/>
      </c>
      <c r="M448" s="20">
        <v>447</v>
      </c>
    </row>
    <row r="449" spans="1:13" x14ac:dyDescent="0.15">
      <c r="A449" s="20">
        <f>dig!A449</f>
        <v>18</v>
      </c>
      <c r="B449" s="20">
        <f>dig!B449</f>
        <v>1805</v>
      </c>
      <c r="C449" s="20">
        <f>B449*100+COUNTIF(B$2:B449,B449)</f>
        <v>180503</v>
      </c>
      <c r="D449" s="20">
        <f t="shared" si="9"/>
        <v>30</v>
      </c>
      <c r="E449" s="20">
        <v>1</v>
      </c>
      <c r="H449" s="20" t="str">
        <f>VLOOKUP(C449,[1]!moster1,10,FALSE)</f>
        <v/>
      </c>
      <c r="M449" s="20">
        <v>448</v>
      </c>
    </row>
    <row r="450" spans="1:13" x14ac:dyDescent="0.15">
      <c r="A450" s="20">
        <f>dig!A450</f>
        <v>18</v>
      </c>
      <c r="B450" s="20">
        <f>dig!B450</f>
        <v>1805</v>
      </c>
      <c r="C450" s="20">
        <f>B450*100+COUNTIF(B$2:B450,B450)</f>
        <v>180504</v>
      </c>
      <c r="D450" s="20">
        <f t="shared" si="9"/>
        <v>10</v>
      </c>
      <c r="E450" s="20">
        <v>1</v>
      </c>
      <c r="H450" s="20" t="str">
        <f>VLOOKUP(C450,[1]!moster1,10,FALSE)</f>
        <v/>
      </c>
      <c r="M450" s="20">
        <v>449</v>
      </c>
    </row>
    <row r="451" spans="1:13" x14ac:dyDescent="0.15">
      <c r="A451" s="20">
        <f>dig!A451</f>
        <v>18</v>
      </c>
      <c r="B451" s="20">
        <f>dig!B451</f>
        <v>1805</v>
      </c>
      <c r="C451" s="20">
        <f>B451*100+COUNTIF(B$2:B451,B451)</f>
        <v>180505</v>
      </c>
      <c r="D451" s="20">
        <f t="shared" ref="D451:D514" si="10">IF(OR(RIGHT(C451,1)="5",RIGHT(C451,1)="4"),10,30)</f>
        <v>10</v>
      </c>
      <c r="E451" s="20">
        <v>1</v>
      </c>
      <c r="H451" s="20" t="str">
        <f>VLOOKUP(C451,[1]!moster1,10,FALSE)</f>
        <v/>
      </c>
      <c r="M451" s="20">
        <v>450</v>
      </c>
    </row>
    <row r="452" spans="1:13" x14ac:dyDescent="0.15">
      <c r="A452" s="20">
        <f>dig!A452</f>
        <v>19</v>
      </c>
      <c r="B452" s="20">
        <f>dig!B452</f>
        <v>1901</v>
      </c>
      <c r="C452" s="20">
        <f>B452*100+COUNTIF(B$2:B452,B452)</f>
        <v>190101</v>
      </c>
      <c r="D452" s="20">
        <f t="shared" si="10"/>
        <v>30</v>
      </c>
      <c r="E452" s="20">
        <v>1</v>
      </c>
      <c r="H452" s="20" t="str">
        <f>VLOOKUP(C452,[1]!moster1,10,FALSE)</f>
        <v/>
      </c>
      <c r="M452" s="20">
        <v>451</v>
      </c>
    </row>
    <row r="453" spans="1:13" x14ac:dyDescent="0.15">
      <c r="A453" s="20">
        <f>dig!A453</f>
        <v>19</v>
      </c>
      <c r="B453" s="20">
        <f>dig!B453</f>
        <v>1901</v>
      </c>
      <c r="C453" s="20">
        <f>B453*100+COUNTIF(B$2:B453,B453)</f>
        <v>190102</v>
      </c>
      <c r="D453" s="20">
        <f t="shared" si="10"/>
        <v>30</v>
      </c>
      <c r="E453" s="20">
        <v>1</v>
      </c>
      <c r="H453" s="20" t="str">
        <f>VLOOKUP(C453,[1]!moster1,10,FALSE)</f>
        <v/>
      </c>
      <c r="M453" s="20">
        <v>452</v>
      </c>
    </row>
    <row r="454" spans="1:13" x14ac:dyDescent="0.15">
      <c r="A454" s="20">
        <f>dig!A454</f>
        <v>19</v>
      </c>
      <c r="B454" s="20">
        <f>dig!B454</f>
        <v>1901</v>
      </c>
      <c r="C454" s="20">
        <f>B454*100+COUNTIF(B$2:B454,B454)</f>
        <v>190103</v>
      </c>
      <c r="D454" s="20">
        <f t="shared" si="10"/>
        <v>30</v>
      </c>
      <c r="E454" s="20">
        <v>1</v>
      </c>
      <c r="H454" s="20" t="str">
        <f>VLOOKUP(C454,[1]!moster1,10,FALSE)</f>
        <v/>
      </c>
      <c r="M454" s="20">
        <v>453</v>
      </c>
    </row>
    <row r="455" spans="1:13" x14ac:dyDescent="0.15">
      <c r="A455" s="20">
        <f>dig!A455</f>
        <v>19</v>
      </c>
      <c r="B455" s="20">
        <f>dig!B455</f>
        <v>1901</v>
      </c>
      <c r="C455" s="20">
        <f>B455*100+COUNTIF(B$2:B455,B455)</f>
        <v>190104</v>
      </c>
      <c r="D455" s="20">
        <f t="shared" si="10"/>
        <v>10</v>
      </c>
      <c r="E455" s="20">
        <v>1</v>
      </c>
      <c r="H455" s="20" t="str">
        <f>VLOOKUP(C455,[1]!moster1,10,FALSE)</f>
        <v/>
      </c>
      <c r="M455" s="20">
        <v>454</v>
      </c>
    </row>
    <row r="456" spans="1:13" x14ac:dyDescent="0.15">
      <c r="A456" s="20">
        <f>dig!A456</f>
        <v>19</v>
      </c>
      <c r="B456" s="20">
        <f>dig!B456</f>
        <v>1901</v>
      </c>
      <c r="C456" s="20">
        <f>B456*100+COUNTIF(B$2:B456,B456)</f>
        <v>190105</v>
      </c>
      <c r="D456" s="20">
        <f t="shared" si="10"/>
        <v>10</v>
      </c>
      <c r="E456" s="20">
        <v>1</v>
      </c>
      <c r="H456" s="20" t="str">
        <f>VLOOKUP(C456,[1]!moster1,10,FALSE)</f>
        <v/>
      </c>
      <c r="M456" s="20">
        <v>455</v>
      </c>
    </row>
    <row r="457" spans="1:13" x14ac:dyDescent="0.15">
      <c r="A457" s="20">
        <f>dig!A457</f>
        <v>19</v>
      </c>
      <c r="B457" s="20">
        <f>dig!B457</f>
        <v>1902</v>
      </c>
      <c r="C457" s="20">
        <f>B457*100+COUNTIF(B$2:B457,B457)</f>
        <v>190201</v>
      </c>
      <c r="D457" s="20">
        <f t="shared" si="10"/>
        <v>30</v>
      </c>
      <c r="E457" s="20">
        <v>1</v>
      </c>
      <c r="H457" s="20" t="str">
        <f>VLOOKUP(C457,[1]!moster1,10,FALSE)</f>
        <v/>
      </c>
      <c r="M457" s="20">
        <v>456</v>
      </c>
    </row>
    <row r="458" spans="1:13" x14ac:dyDescent="0.15">
      <c r="A458" s="20">
        <f>dig!A458</f>
        <v>19</v>
      </c>
      <c r="B458" s="20">
        <f>dig!B458</f>
        <v>1902</v>
      </c>
      <c r="C458" s="20">
        <f>B458*100+COUNTIF(B$2:B458,B458)</f>
        <v>190202</v>
      </c>
      <c r="D458" s="20">
        <f t="shared" si="10"/>
        <v>30</v>
      </c>
      <c r="E458" s="20">
        <v>1</v>
      </c>
      <c r="H458" s="20" t="str">
        <f>VLOOKUP(C458,[1]!moster1,10,FALSE)</f>
        <v/>
      </c>
      <c r="M458" s="20">
        <v>457</v>
      </c>
    </row>
    <row r="459" spans="1:13" x14ac:dyDescent="0.15">
      <c r="A459" s="20">
        <f>dig!A459</f>
        <v>19</v>
      </c>
      <c r="B459" s="20">
        <f>dig!B459</f>
        <v>1902</v>
      </c>
      <c r="C459" s="20">
        <f>B459*100+COUNTIF(B$2:B459,B459)</f>
        <v>190203</v>
      </c>
      <c r="D459" s="20">
        <f t="shared" si="10"/>
        <v>30</v>
      </c>
      <c r="E459" s="20">
        <v>1</v>
      </c>
      <c r="H459" s="20" t="str">
        <f>VLOOKUP(C459,[1]!moster1,10,FALSE)</f>
        <v/>
      </c>
      <c r="M459" s="20">
        <v>458</v>
      </c>
    </row>
    <row r="460" spans="1:13" x14ac:dyDescent="0.15">
      <c r="A460" s="20">
        <f>dig!A460</f>
        <v>19</v>
      </c>
      <c r="B460" s="20">
        <f>dig!B460</f>
        <v>1902</v>
      </c>
      <c r="C460" s="20">
        <f>B460*100+COUNTIF(B$2:B460,B460)</f>
        <v>190204</v>
      </c>
      <c r="D460" s="20">
        <f t="shared" si="10"/>
        <v>10</v>
      </c>
      <c r="E460" s="20">
        <v>1</v>
      </c>
      <c r="H460" s="20" t="str">
        <f>VLOOKUP(C460,[1]!moster1,10,FALSE)</f>
        <v/>
      </c>
      <c r="M460" s="20">
        <v>459</v>
      </c>
    </row>
    <row r="461" spans="1:13" x14ac:dyDescent="0.15">
      <c r="A461" s="20">
        <f>dig!A461</f>
        <v>19</v>
      </c>
      <c r="B461" s="20">
        <f>dig!B461</f>
        <v>1902</v>
      </c>
      <c r="C461" s="20">
        <f>B461*100+COUNTIF(B$2:B461,B461)</f>
        <v>190205</v>
      </c>
      <c r="D461" s="20">
        <f t="shared" si="10"/>
        <v>10</v>
      </c>
      <c r="E461" s="20">
        <v>1</v>
      </c>
      <c r="H461" s="20" t="str">
        <f>VLOOKUP(C461,[1]!moster1,10,FALSE)</f>
        <v/>
      </c>
      <c r="M461" s="20">
        <v>460</v>
      </c>
    </row>
    <row r="462" spans="1:13" x14ac:dyDescent="0.15">
      <c r="A462" s="20">
        <f>dig!A462</f>
        <v>19</v>
      </c>
      <c r="B462" s="20">
        <f>dig!B462</f>
        <v>1903</v>
      </c>
      <c r="C462" s="20">
        <f>B462*100+COUNTIF(B$2:B462,B462)</f>
        <v>190301</v>
      </c>
      <c r="D462" s="20">
        <f t="shared" si="10"/>
        <v>30</v>
      </c>
      <c r="E462" s="20">
        <v>1</v>
      </c>
      <c r="H462" s="20" t="str">
        <f>VLOOKUP(C462,[1]!moster1,10,FALSE)</f>
        <v/>
      </c>
      <c r="M462" s="20">
        <v>461</v>
      </c>
    </row>
    <row r="463" spans="1:13" x14ac:dyDescent="0.15">
      <c r="A463" s="20">
        <f>dig!A463</f>
        <v>19</v>
      </c>
      <c r="B463" s="20">
        <f>dig!B463</f>
        <v>1903</v>
      </c>
      <c r="C463" s="20">
        <f>B463*100+COUNTIF(B$2:B463,B463)</f>
        <v>190302</v>
      </c>
      <c r="D463" s="20">
        <f t="shared" si="10"/>
        <v>30</v>
      </c>
      <c r="E463" s="20">
        <v>1</v>
      </c>
      <c r="H463" s="20" t="str">
        <f>VLOOKUP(C463,[1]!moster1,10,FALSE)</f>
        <v/>
      </c>
      <c r="M463" s="20">
        <v>462</v>
      </c>
    </row>
    <row r="464" spans="1:13" x14ac:dyDescent="0.15">
      <c r="A464" s="20">
        <f>dig!A464</f>
        <v>19</v>
      </c>
      <c r="B464" s="20">
        <f>dig!B464</f>
        <v>1903</v>
      </c>
      <c r="C464" s="20">
        <f>B464*100+COUNTIF(B$2:B464,B464)</f>
        <v>190303</v>
      </c>
      <c r="D464" s="20">
        <f t="shared" si="10"/>
        <v>30</v>
      </c>
      <c r="E464" s="20">
        <v>1</v>
      </c>
      <c r="H464" s="20" t="str">
        <f>VLOOKUP(C464,[1]!moster1,10,FALSE)</f>
        <v/>
      </c>
      <c r="M464" s="20">
        <v>463</v>
      </c>
    </row>
    <row r="465" spans="1:13" x14ac:dyDescent="0.15">
      <c r="A465" s="20">
        <f>dig!A465</f>
        <v>19</v>
      </c>
      <c r="B465" s="20">
        <f>dig!B465</f>
        <v>1903</v>
      </c>
      <c r="C465" s="20">
        <f>B465*100+COUNTIF(B$2:B465,B465)</f>
        <v>190304</v>
      </c>
      <c r="D465" s="20">
        <f t="shared" si="10"/>
        <v>10</v>
      </c>
      <c r="E465" s="20">
        <v>1</v>
      </c>
      <c r="H465" s="20" t="str">
        <f>VLOOKUP(C465,[1]!moster1,10,FALSE)</f>
        <v/>
      </c>
      <c r="M465" s="20">
        <v>464</v>
      </c>
    </row>
    <row r="466" spans="1:13" x14ac:dyDescent="0.15">
      <c r="A466" s="20">
        <f>dig!A466</f>
        <v>19</v>
      </c>
      <c r="B466" s="20">
        <f>dig!B466</f>
        <v>1903</v>
      </c>
      <c r="C466" s="20">
        <f>B466*100+COUNTIF(B$2:B466,B466)</f>
        <v>190305</v>
      </c>
      <c r="D466" s="20">
        <f t="shared" si="10"/>
        <v>10</v>
      </c>
      <c r="E466" s="20">
        <v>1</v>
      </c>
      <c r="H466" s="20" t="str">
        <f>VLOOKUP(C466,[1]!moster1,10,FALSE)</f>
        <v/>
      </c>
      <c r="M466" s="20">
        <v>465</v>
      </c>
    </row>
    <row r="467" spans="1:13" x14ac:dyDescent="0.15">
      <c r="A467" s="20">
        <f>dig!A467</f>
        <v>19</v>
      </c>
      <c r="B467" s="20">
        <f>dig!B467</f>
        <v>1904</v>
      </c>
      <c r="C467" s="20">
        <f>B467*100+COUNTIF(B$2:B467,B467)</f>
        <v>190401</v>
      </c>
      <c r="D467" s="20">
        <f t="shared" si="10"/>
        <v>30</v>
      </c>
      <c r="E467" s="20">
        <v>1</v>
      </c>
      <c r="H467" s="20" t="str">
        <f>VLOOKUP(C467,[1]!moster1,10,FALSE)</f>
        <v/>
      </c>
      <c r="M467" s="20">
        <v>466</v>
      </c>
    </row>
    <row r="468" spans="1:13" x14ac:dyDescent="0.15">
      <c r="A468" s="20">
        <f>dig!A468</f>
        <v>19</v>
      </c>
      <c r="B468" s="20">
        <f>dig!B468</f>
        <v>1904</v>
      </c>
      <c r="C468" s="20">
        <f>B468*100+COUNTIF(B$2:B468,B468)</f>
        <v>190402</v>
      </c>
      <c r="D468" s="20">
        <f t="shared" si="10"/>
        <v>30</v>
      </c>
      <c r="E468" s="20">
        <v>1</v>
      </c>
      <c r="H468" s="20" t="str">
        <f>VLOOKUP(C468,[1]!moster1,10,FALSE)</f>
        <v/>
      </c>
      <c r="M468" s="20">
        <v>467</v>
      </c>
    </row>
    <row r="469" spans="1:13" x14ac:dyDescent="0.15">
      <c r="A469" s="20">
        <f>dig!A469</f>
        <v>19</v>
      </c>
      <c r="B469" s="20">
        <f>dig!B469</f>
        <v>1904</v>
      </c>
      <c r="C469" s="20">
        <f>B469*100+COUNTIF(B$2:B469,B469)</f>
        <v>190403</v>
      </c>
      <c r="D469" s="20">
        <f t="shared" si="10"/>
        <v>30</v>
      </c>
      <c r="E469" s="20">
        <v>1</v>
      </c>
      <c r="H469" s="20" t="str">
        <f>VLOOKUP(C469,[1]!moster1,10,FALSE)</f>
        <v/>
      </c>
      <c r="M469" s="20">
        <v>468</v>
      </c>
    </row>
    <row r="470" spans="1:13" x14ac:dyDescent="0.15">
      <c r="A470" s="20">
        <f>dig!A470</f>
        <v>19</v>
      </c>
      <c r="B470" s="20">
        <f>dig!B470</f>
        <v>1904</v>
      </c>
      <c r="C470" s="20">
        <f>B470*100+COUNTIF(B$2:B470,B470)</f>
        <v>190404</v>
      </c>
      <c r="D470" s="20">
        <f t="shared" si="10"/>
        <v>10</v>
      </c>
      <c r="E470" s="20">
        <v>1</v>
      </c>
      <c r="H470" s="20" t="str">
        <f>VLOOKUP(C470,[1]!moster1,10,FALSE)</f>
        <v/>
      </c>
      <c r="M470" s="20">
        <v>469</v>
      </c>
    </row>
    <row r="471" spans="1:13" x14ac:dyDescent="0.15">
      <c r="A471" s="20">
        <f>dig!A471</f>
        <v>19</v>
      </c>
      <c r="B471" s="20">
        <f>dig!B471</f>
        <v>1904</v>
      </c>
      <c r="C471" s="20">
        <f>B471*100+COUNTIF(B$2:B471,B471)</f>
        <v>190405</v>
      </c>
      <c r="D471" s="20">
        <f t="shared" si="10"/>
        <v>10</v>
      </c>
      <c r="E471" s="20">
        <v>1</v>
      </c>
      <c r="H471" s="20" t="str">
        <f>VLOOKUP(C471,[1]!moster1,10,FALSE)</f>
        <v/>
      </c>
      <c r="M471" s="20">
        <v>470</v>
      </c>
    </row>
    <row r="472" spans="1:13" x14ac:dyDescent="0.15">
      <c r="A472" s="20">
        <f>dig!A472</f>
        <v>19</v>
      </c>
      <c r="B472" s="20">
        <f>dig!B472</f>
        <v>1905</v>
      </c>
      <c r="C472" s="20">
        <f>B472*100+COUNTIF(B$2:B472,B472)</f>
        <v>190501</v>
      </c>
      <c r="D472" s="20">
        <f t="shared" si="10"/>
        <v>30</v>
      </c>
      <c r="E472" s="20">
        <v>1</v>
      </c>
      <c r="H472" s="20" t="str">
        <f>VLOOKUP(C472,[1]!moster1,10,FALSE)</f>
        <v/>
      </c>
      <c r="M472" s="20">
        <v>471</v>
      </c>
    </row>
    <row r="473" spans="1:13" x14ac:dyDescent="0.15">
      <c r="A473" s="20">
        <f>dig!A473</f>
        <v>19</v>
      </c>
      <c r="B473" s="20">
        <f>dig!B473</f>
        <v>1905</v>
      </c>
      <c r="C473" s="20">
        <f>B473*100+COUNTIF(B$2:B473,B473)</f>
        <v>190502</v>
      </c>
      <c r="D473" s="20">
        <f t="shared" si="10"/>
        <v>30</v>
      </c>
      <c r="E473" s="20">
        <v>1</v>
      </c>
      <c r="H473" s="20" t="str">
        <f>VLOOKUP(C473,[1]!moster1,10,FALSE)</f>
        <v/>
      </c>
      <c r="M473" s="20">
        <v>472</v>
      </c>
    </row>
    <row r="474" spans="1:13" x14ac:dyDescent="0.15">
      <c r="A474" s="20">
        <f>dig!A474</f>
        <v>19</v>
      </c>
      <c r="B474" s="20">
        <f>dig!B474</f>
        <v>1905</v>
      </c>
      <c r="C474" s="20">
        <f>B474*100+COUNTIF(B$2:B474,B474)</f>
        <v>190503</v>
      </c>
      <c r="D474" s="20">
        <f t="shared" si="10"/>
        <v>30</v>
      </c>
      <c r="E474" s="20">
        <v>1</v>
      </c>
      <c r="H474" s="20" t="str">
        <f>VLOOKUP(C474,[1]!moster1,10,FALSE)</f>
        <v/>
      </c>
      <c r="M474" s="20">
        <v>473</v>
      </c>
    </row>
    <row r="475" spans="1:13" x14ac:dyDescent="0.15">
      <c r="A475" s="20">
        <f>dig!A475</f>
        <v>19</v>
      </c>
      <c r="B475" s="20">
        <f>dig!B475</f>
        <v>1905</v>
      </c>
      <c r="C475" s="20">
        <f>B475*100+COUNTIF(B$2:B475,B475)</f>
        <v>190504</v>
      </c>
      <c r="D475" s="20">
        <f t="shared" si="10"/>
        <v>10</v>
      </c>
      <c r="E475" s="20">
        <v>1</v>
      </c>
      <c r="H475" s="20" t="str">
        <f>VLOOKUP(C475,[1]!moster1,10,FALSE)</f>
        <v/>
      </c>
      <c r="M475" s="20">
        <v>474</v>
      </c>
    </row>
    <row r="476" spans="1:13" x14ac:dyDescent="0.15">
      <c r="A476" s="20">
        <f>dig!A476</f>
        <v>19</v>
      </c>
      <c r="B476" s="20">
        <f>dig!B476</f>
        <v>1905</v>
      </c>
      <c r="C476" s="20">
        <f>B476*100+COUNTIF(B$2:B476,B476)</f>
        <v>190505</v>
      </c>
      <c r="D476" s="20">
        <f t="shared" si="10"/>
        <v>10</v>
      </c>
      <c r="E476" s="20">
        <v>1</v>
      </c>
      <c r="H476" s="20" t="str">
        <f>VLOOKUP(C476,[1]!moster1,10,FALSE)</f>
        <v/>
      </c>
      <c r="M476" s="20">
        <v>475</v>
      </c>
    </row>
    <row r="477" spans="1:13" x14ac:dyDescent="0.15">
      <c r="A477" s="20">
        <f>dig!A477</f>
        <v>20</v>
      </c>
      <c r="B477" s="20">
        <f>dig!B477</f>
        <v>2001</v>
      </c>
      <c r="C477" s="20">
        <f>B477*100+COUNTIF(B$2:B477,B477)</f>
        <v>200101</v>
      </c>
      <c r="D477" s="20">
        <f t="shared" si="10"/>
        <v>30</v>
      </c>
      <c r="E477" s="20">
        <v>1</v>
      </c>
      <c r="H477" s="20" t="str">
        <f>VLOOKUP(C477,[1]!moster1,10,FALSE)</f>
        <v/>
      </c>
      <c r="M477" s="20">
        <v>476</v>
      </c>
    </row>
    <row r="478" spans="1:13" x14ac:dyDescent="0.15">
      <c r="A478" s="20">
        <f>dig!A478</f>
        <v>20</v>
      </c>
      <c r="B478" s="20">
        <f>dig!B478</f>
        <v>2001</v>
      </c>
      <c r="C478" s="20">
        <f>B478*100+COUNTIF(B$2:B478,B478)</f>
        <v>200102</v>
      </c>
      <c r="D478" s="20">
        <f t="shared" si="10"/>
        <v>30</v>
      </c>
      <c r="E478" s="20">
        <v>1</v>
      </c>
      <c r="H478" s="20" t="str">
        <f>VLOOKUP(C478,[1]!moster1,10,FALSE)</f>
        <v/>
      </c>
      <c r="M478" s="20">
        <v>477</v>
      </c>
    </row>
    <row r="479" spans="1:13" x14ac:dyDescent="0.15">
      <c r="A479" s="20">
        <f>dig!A479</f>
        <v>20</v>
      </c>
      <c r="B479" s="20">
        <f>dig!B479</f>
        <v>2001</v>
      </c>
      <c r="C479" s="20">
        <f>B479*100+COUNTIF(B$2:B479,B479)</f>
        <v>200103</v>
      </c>
      <c r="D479" s="20">
        <f t="shared" si="10"/>
        <v>30</v>
      </c>
      <c r="E479" s="20">
        <v>1</v>
      </c>
      <c r="H479" s="20" t="str">
        <f>VLOOKUP(C479,[1]!moster1,10,FALSE)</f>
        <v/>
      </c>
      <c r="M479" s="20">
        <v>478</v>
      </c>
    </row>
    <row r="480" spans="1:13" x14ac:dyDescent="0.15">
      <c r="A480" s="20">
        <f>dig!A480</f>
        <v>20</v>
      </c>
      <c r="B480" s="20">
        <f>dig!B480</f>
        <v>2001</v>
      </c>
      <c r="C480" s="20">
        <f>B480*100+COUNTIF(B$2:B480,B480)</f>
        <v>200104</v>
      </c>
      <c r="D480" s="20">
        <f t="shared" si="10"/>
        <v>10</v>
      </c>
      <c r="E480" s="20">
        <v>1</v>
      </c>
      <c r="H480" s="20" t="str">
        <f>VLOOKUP(C480,[1]!moster1,10,FALSE)</f>
        <v/>
      </c>
      <c r="M480" s="20">
        <v>479</v>
      </c>
    </row>
    <row r="481" spans="1:13" x14ac:dyDescent="0.15">
      <c r="A481" s="20">
        <f>dig!A481</f>
        <v>20</v>
      </c>
      <c r="B481" s="20">
        <f>dig!B481</f>
        <v>2001</v>
      </c>
      <c r="C481" s="20">
        <f>B481*100+COUNTIF(B$2:B481,B481)</f>
        <v>200105</v>
      </c>
      <c r="D481" s="20">
        <f t="shared" si="10"/>
        <v>10</v>
      </c>
      <c r="E481" s="20">
        <v>1</v>
      </c>
      <c r="H481" s="20" t="str">
        <f>VLOOKUP(C481,[1]!moster1,10,FALSE)</f>
        <v/>
      </c>
      <c r="M481" s="20">
        <v>480</v>
      </c>
    </row>
    <row r="482" spans="1:13" x14ac:dyDescent="0.15">
      <c r="A482" s="20">
        <f>dig!A482</f>
        <v>20</v>
      </c>
      <c r="B482" s="20">
        <f>dig!B482</f>
        <v>2002</v>
      </c>
      <c r="C482" s="20">
        <f>B482*100+COUNTIF(B$2:B482,B482)</f>
        <v>200201</v>
      </c>
      <c r="D482" s="20">
        <f t="shared" si="10"/>
        <v>30</v>
      </c>
      <c r="E482" s="20">
        <v>1</v>
      </c>
      <c r="H482" s="20" t="str">
        <f>VLOOKUP(C482,[1]!moster1,10,FALSE)</f>
        <v/>
      </c>
      <c r="M482" s="20">
        <v>481</v>
      </c>
    </row>
    <row r="483" spans="1:13" x14ac:dyDescent="0.15">
      <c r="A483" s="20">
        <f>dig!A483</f>
        <v>20</v>
      </c>
      <c r="B483" s="20">
        <f>dig!B483</f>
        <v>2002</v>
      </c>
      <c r="C483" s="20">
        <f>B483*100+COUNTIF(B$2:B483,B483)</f>
        <v>200202</v>
      </c>
      <c r="D483" s="20">
        <f t="shared" si="10"/>
        <v>30</v>
      </c>
      <c r="E483" s="20">
        <v>1</v>
      </c>
      <c r="H483" s="20" t="str">
        <f>VLOOKUP(C483,[1]!moster1,10,FALSE)</f>
        <v/>
      </c>
      <c r="M483" s="20">
        <v>482</v>
      </c>
    </row>
    <row r="484" spans="1:13" x14ac:dyDescent="0.15">
      <c r="A484" s="20">
        <f>dig!A484</f>
        <v>20</v>
      </c>
      <c r="B484" s="20">
        <f>dig!B484</f>
        <v>2002</v>
      </c>
      <c r="C484" s="20">
        <f>B484*100+COUNTIF(B$2:B484,B484)</f>
        <v>200203</v>
      </c>
      <c r="D484" s="20">
        <f t="shared" si="10"/>
        <v>30</v>
      </c>
      <c r="E484" s="20">
        <v>1</v>
      </c>
      <c r="H484" s="20" t="str">
        <f>VLOOKUP(C484,[1]!moster1,10,FALSE)</f>
        <v/>
      </c>
      <c r="M484" s="20">
        <v>483</v>
      </c>
    </row>
    <row r="485" spans="1:13" x14ac:dyDescent="0.15">
      <c r="A485" s="20">
        <f>dig!A485</f>
        <v>20</v>
      </c>
      <c r="B485" s="20">
        <f>dig!B485</f>
        <v>2002</v>
      </c>
      <c r="C485" s="20">
        <f>B485*100+COUNTIF(B$2:B485,B485)</f>
        <v>200204</v>
      </c>
      <c r="D485" s="20">
        <f t="shared" si="10"/>
        <v>10</v>
      </c>
      <c r="E485" s="20">
        <v>1</v>
      </c>
      <c r="H485" s="20" t="str">
        <f>VLOOKUP(C485,[1]!moster1,10,FALSE)</f>
        <v/>
      </c>
      <c r="M485" s="20">
        <v>484</v>
      </c>
    </row>
    <row r="486" spans="1:13" x14ac:dyDescent="0.15">
      <c r="A486" s="20">
        <f>dig!A486</f>
        <v>20</v>
      </c>
      <c r="B486" s="20">
        <f>dig!B486</f>
        <v>2002</v>
      </c>
      <c r="C486" s="20">
        <f>B486*100+COUNTIF(B$2:B486,B486)</f>
        <v>200205</v>
      </c>
      <c r="D486" s="20">
        <f t="shared" si="10"/>
        <v>10</v>
      </c>
      <c r="E486" s="20">
        <v>1</v>
      </c>
      <c r="H486" s="20" t="str">
        <f>VLOOKUP(C486,[1]!moster1,10,FALSE)</f>
        <v/>
      </c>
      <c r="M486" s="20">
        <v>485</v>
      </c>
    </row>
    <row r="487" spans="1:13" x14ac:dyDescent="0.15">
      <c r="A487" s="20">
        <f>dig!A487</f>
        <v>20</v>
      </c>
      <c r="B487" s="20">
        <f>dig!B487</f>
        <v>2003</v>
      </c>
      <c r="C487" s="20">
        <f>B487*100+COUNTIF(B$2:B487,B487)</f>
        <v>200301</v>
      </c>
      <c r="D487" s="20">
        <f t="shared" si="10"/>
        <v>30</v>
      </c>
      <c r="E487" s="20">
        <v>1</v>
      </c>
      <c r="H487" s="20" t="str">
        <f>VLOOKUP(C487,[1]!moster1,10,FALSE)</f>
        <v/>
      </c>
      <c r="M487" s="20">
        <v>486</v>
      </c>
    </row>
    <row r="488" spans="1:13" x14ac:dyDescent="0.15">
      <c r="A488" s="20">
        <f>dig!A488</f>
        <v>20</v>
      </c>
      <c r="B488" s="20">
        <f>dig!B488</f>
        <v>2003</v>
      </c>
      <c r="C488" s="20">
        <f>B488*100+COUNTIF(B$2:B488,B488)</f>
        <v>200302</v>
      </c>
      <c r="D488" s="20">
        <f t="shared" si="10"/>
        <v>30</v>
      </c>
      <c r="E488" s="20">
        <v>1</v>
      </c>
      <c r="H488" s="20" t="str">
        <f>VLOOKUP(C488,[1]!moster1,10,FALSE)</f>
        <v/>
      </c>
      <c r="M488" s="20">
        <v>487</v>
      </c>
    </row>
    <row r="489" spans="1:13" x14ac:dyDescent="0.15">
      <c r="A489" s="20">
        <f>dig!A489</f>
        <v>20</v>
      </c>
      <c r="B489" s="20">
        <f>dig!B489</f>
        <v>2003</v>
      </c>
      <c r="C489" s="20">
        <f>B489*100+COUNTIF(B$2:B489,B489)</f>
        <v>200303</v>
      </c>
      <c r="D489" s="20">
        <f t="shared" si="10"/>
        <v>30</v>
      </c>
      <c r="E489" s="20">
        <v>1</v>
      </c>
      <c r="H489" s="20" t="str">
        <f>VLOOKUP(C489,[1]!moster1,10,FALSE)</f>
        <v/>
      </c>
      <c r="M489" s="20">
        <v>488</v>
      </c>
    </row>
    <row r="490" spans="1:13" x14ac:dyDescent="0.15">
      <c r="A490" s="20">
        <f>dig!A490</f>
        <v>20</v>
      </c>
      <c r="B490" s="20">
        <f>dig!B490</f>
        <v>2003</v>
      </c>
      <c r="C490" s="20">
        <f>B490*100+COUNTIF(B$2:B490,B490)</f>
        <v>200304</v>
      </c>
      <c r="D490" s="20">
        <f t="shared" si="10"/>
        <v>10</v>
      </c>
      <c r="E490" s="20">
        <v>1</v>
      </c>
      <c r="H490" s="20" t="str">
        <f>VLOOKUP(C490,[1]!moster1,10,FALSE)</f>
        <v/>
      </c>
      <c r="M490" s="20">
        <v>489</v>
      </c>
    </row>
    <row r="491" spans="1:13" x14ac:dyDescent="0.15">
      <c r="A491" s="20">
        <f>dig!A491</f>
        <v>20</v>
      </c>
      <c r="B491" s="20">
        <f>dig!B491</f>
        <v>2003</v>
      </c>
      <c r="C491" s="20">
        <f>B491*100+COUNTIF(B$2:B491,B491)</f>
        <v>200305</v>
      </c>
      <c r="D491" s="20">
        <f t="shared" si="10"/>
        <v>10</v>
      </c>
      <c r="E491" s="20">
        <v>1</v>
      </c>
      <c r="H491" s="20" t="str">
        <f>VLOOKUP(C491,[1]!moster1,10,FALSE)</f>
        <v/>
      </c>
      <c r="M491" s="20">
        <v>490</v>
      </c>
    </row>
    <row r="492" spans="1:13" x14ac:dyDescent="0.15">
      <c r="A492" s="20">
        <f>dig!A492</f>
        <v>20</v>
      </c>
      <c r="B492" s="20">
        <f>dig!B492</f>
        <v>2004</v>
      </c>
      <c r="C492" s="20">
        <f>B492*100+COUNTIF(B$2:B492,B492)</f>
        <v>200401</v>
      </c>
      <c r="D492" s="20">
        <f t="shared" si="10"/>
        <v>30</v>
      </c>
      <c r="E492" s="20">
        <v>1</v>
      </c>
      <c r="H492" s="20" t="str">
        <f>VLOOKUP(C492,[1]!moster1,10,FALSE)</f>
        <v/>
      </c>
      <c r="M492" s="20">
        <v>491</v>
      </c>
    </row>
    <row r="493" spans="1:13" x14ac:dyDescent="0.15">
      <c r="A493" s="20">
        <f>dig!A493</f>
        <v>20</v>
      </c>
      <c r="B493" s="20">
        <f>dig!B493</f>
        <v>2004</v>
      </c>
      <c r="C493" s="20">
        <f>B493*100+COUNTIF(B$2:B493,B493)</f>
        <v>200402</v>
      </c>
      <c r="D493" s="20">
        <f t="shared" si="10"/>
        <v>30</v>
      </c>
      <c r="E493" s="20">
        <v>1</v>
      </c>
      <c r="H493" s="20" t="str">
        <f>VLOOKUP(C493,[1]!moster1,10,FALSE)</f>
        <v/>
      </c>
      <c r="M493" s="20">
        <v>492</v>
      </c>
    </row>
    <row r="494" spans="1:13" x14ac:dyDescent="0.15">
      <c r="A494" s="20">
        <f>dig!A494</f>
        <v>20</v>
      </c>
      <c r="B494" s="20">
        <f>dig!B494</f>
        <v>2004</v>
      </c>
      <c r="C494" s="20">
        <f>B494*100+COUNTIF(B$2:B494,B494)</f>
        <v>200403</v>
      </c>
      <c r="D494" s="20">
        <f t="shared" si="10"/>
        <v>30</v>
      </c>
      <c r="E494" s="20">
        <v>1</v>
      </c>
      <c r="H494" s="20" t="str">
        <f>VLOOKUP(C494,[1]!moster1,10,FALSE)</f>
        <v/>
      </c>
      <c r="M494" s="20">
        <v>493</v>
      </c>
    </row>
    <row r="495" spans="1:13" x14ac:dyDescent="0.15">
      <c r="A495" s="20">
        <f>dig!A495</f>
        <v>20</v>
      </c>
      <c r="B495" s="20">
        <f>dig!B495</f>
        <v>2004</v>
      </c>
      <c r="C495" s="20">
        <f>B495*100+COUNTIF(B$2:B495,B495)</f>
        <v>200404</v>
      </c>
      <c r="D495" s="20">
        <f t="shared" si="10"/>
        <v>10</v>
      </c>
      <c r="E495" s="20">
        <v>1</v>
      </c>
      <c r="H495" s="20" t="str">
        <f>VLOOKUP(C495,[1]!moster1,10,FALSE)</f>
        <v/>
      </c>
      <c r="M495" s="20">
        <v>494</v>
      </c>
    </row>
    <row r="496" spans="1:13" x14ac:dyDescent="0.15">
      <c r="A496" s="20">
        <f>dig!A496</f>
        <v>20</v>
      </c>
      <c r="B496" s="20">
        <f>dig!B496</f>
        <v>2004</v>
      </c>
      <c r="C496" s="20">
        <f>B496*100+COUNTIF(B$2:B496,B496)</f>
        <v>200405</v>
      </c>
      <c r="D496" s="20">
        <f t="shared" si="10"/>
        <v>10</v>
      </c>
      <c r="E496" s="20">
        <v>1</v>
      </c>
      <c r="H496" s="20" t="str">
        <f>VLOOKUP(C496,[1]!moster1,10,FALSE)</f>
        <v/>
      </c>
      <c r="M496" s="20">
        <v>495</v>
      </c>
    </row>
    <row r="497" spans="1:13" x14ac:dyDescent="0.15">
      <c r="A497" s="20">
        <f>dig!A497</f>
        <v>20</v>
      </c>
      <c r="B497" s="20">
        <f>dig!B497</f>
        <v>2005</v>
      </c>
      <c r="C497" s="20">
        <f>B497*100+COUNTIF(B$2:B497,B497)</f>
        <v>200501</v>
      </c>
      <c r="D497" s="20">
        <f t="shared" si="10"/>
        <v>30</v>
      </c>
      <c r="E497" s="20">
        <v>1</v>
      </c>
      <c r="H497" s="20" t="str">
        <f>VLOOKUP(C497,[1]!moster1,10,FALSE)</f>
        <v/>
      </c>
      <c r="M497" s="20">
        <v>496</v>
      </c>
    </row>
    <row r="498" spans="1:13" x14ac:dyDescent="0.15">
      <c r="A498" s="20">
        <f>dig!A498</f>
        <v>20</v>
      </c>
      <c r="B498" s="20">
        <f>dig!B498</f>
        <v>2005</v>
      </c>
      <c r="C498" s="20">
        <f>B498*100+COUNTIF(B$2:B498,B498)</f>
        <v>200502</v>
      </c>
      <c r="D498" s="20">
        <f t="shared" si="10"/>
        <v>30</v>
      </c>
      <c r="E498" s="20">
        <v>1</v>
      </c>
      <c r="H498" s="20" t="str">
        <f>VLOOKUP(C498,[1]!moster1,10,FALSE)</f>
        <v/>
      </c>
      <c r="M498" s="20">
        <v>497</v>
      </c>
    </row>
    <row r="499" spans="1:13" x14ac:dyDescent="0.15">
      <c r="A499" s="20">
        <f>dig!A499</f>
        <v>20</v>
      </c>
      <c r="B499" s="20">
        <f>dig!B499</f>
        <v>2005</v>
      </c>
      <c r="C499" s="20">
        <f>B499*100+COUNTIF(B$2:B499,B499)</f>
        <v>200503</v>
      </c>
      <c r="D499" s="20">
        <f t="shared" si="10"/>
        <v>30</v>
      </c>
      <c r="E499" s="20">
        <v>1</v>
      </c>
      <c r="H499" s="20" t="str">
        <f>VLOOKUP(C499,[1]!moster1,10,FALSE)</f>
        <v/>
      </c>
      <c r="M499" s="20">
        <v>498</v>
      </c>
    </row>
    <row r="500" spans="1:13" x14ac:dyDescent="0.15">
      <c r="A500" s="20">
        <f>dig!A500</f>
        <v>20</v>
      </c>
      <c r="B500" s="20">
        <f>dig!B500</f>
        <v>2005</v>
      </c>
      <c r="C500" s="20">
        <f>B500*100+COUNTIF(B$2:B500,B500)</f>
        <v>200504</v>
      </c>
      <c r="D500" s="20">
        <f t="shared" si="10"/>
        <v>10</v>
      </c>
      <c r="E500" s="20">
        <v>1</v>
      </c>
      <c r="H500" s="20" t="str">
        <f>VLOOKUP(C500,[1]!moster1,10,FALSE)</f>
        <v/>
      </c>
      <c r="M500" s="20">
        <v>499</v>
      </c>
    </row>
    <row r="501" spans="1:13" x14ac:dyDescent="0.15">
      <c r="A501" s="20">
        <f>dig!A501</f>
        <v>20</v>
      </c>
      <c r="B501" s="20">
        <f>dig!B501</f>
        <v>2005</v>
      </c>
      <c r="C501" s="20">
        <f>B501*100+COUNTIF(B$2:B501,B501)</f>
        <v>200505</v>
      </c>
      <c r="D501" s="20">
        <f t="shared" si="10"/>
        <v>10</v>
      </c>
      <c r="E501" s="20">
        <v>1</v>
      </c>
      <c r="H501" s="20" t="str">
        <f>VLOOKUP(C501,[1]!moster1,10,FALSE)</f>
        <v/>
      </c>
      <c r="M501" s="20">
        <v>500</v>
      </c>
    </row>
    <row r="502" spans="1:13" x14ac:dyDescent="0.15">
      <c r="A502" s="20">
        <f>dig!A502</f>
        <v>21</v>
      </c>
      <c r="B502" s="20">
        <f>dig!B502</f>
        <v>2101</v>
      </c>
      <c r="C502" s="20">
        <f>B502*100+COUNTIF(B$2:B502,B502)</f>
        <v>210101</v>
      </c>
      <c r="D502" s="20">
        <f t="shared" si="10"/>
        <v>30</v>
      </c>
      <c r="E502" s="20">
        <v>1</v>
      </c>
      <c r="H502" s="20" t="str">
        <f>VLOOKUP(C502,[1]!moster1,10,FALSE)</f>
        <v/>
      </c>
      <c r="M502" s="20">
        <v>501</v>
      </c>
    </row>
    <row r="503" spans="1:13" x14ac:dyDescent="0.15">
      <c r="A503" s="20">
        <f>dig!A503</f>
        <v>21</v>
      </c>
      <c r="B503" s="20">
        <f>dig!B503</f>
        <v>2101</v>
      </c>
      <c r="C503" s="20">
        <f>B503*100+COUNTIF(B$2:B503,B503)</f>
        <v>210102</v>
      </c>
      <c r="D503" s="20">
        <f t="shared" si="10"/>
        <v>30</v>
      </c>
      <c r="E503" s="20">
        <v>1</v>
      </c>
      <c r="H503" s="20" t="str">
        <f>VLOOKUP(C503,[1]!moster1,10,FALSE)</f>
        <v/>
      </c>
      <c r="M503" s="20">
        <v>502</v>
      </c>
    </row>
    <row r="504" spans="1:13" x14ac:dyDescent="0.15">
      <c r="A504" s="20">
        <f>dig!A504</f>
        <v>21</v>
      </c>
      <c r="B504" s="20">
        <f>dig!B504</f>
        <v>2101</v>
      </c>
      <c r="C504" s="20">
        <f>B504*100+COUNTIF(B$2:B504,B504)</f>
        <v>210103</v>
      </c>
      <c r="D504" s="20">
        <f t="shared" si="10"/>
        <v>30</v>
      </c>
      <c r="E504" s="20">
        <v>1</v>
      </c>
      <c r="H504" s="20" t="str">
        <f>VLOOKUP(C504,[1]!moster1,10,FALSE)</f>
        <v/>
      </c>
      <c r="M504" s="20">
        <v>503</v>
      </c>
    </row>
    <row r="505" spans="1:13" x14ac:dyDescent="0.15">
      <c r="A505" s="20">
        <f>dig!A505</f>
        <v>21</v>
      </c>
      <c r="B505" s="20">
        <f>dig!B505</f>
        <v>2101</v>
      </c>
      <c r="C505" s="20">
        <f>B505*100+COUNTIF(B$2:B505,B505)</f>
        <v>210104</v>
      </c>
      <c r="D505" s="20">
        <f t="shared" si="10"/>
        <v>10</v>
      </c>
      <c r="E505" s="20">
        <v>1</v>
      </c>
      <c r="H505" s="20" t="str">
        <f>VLOOKUP(C505,[1]!moster1,10,FALSE)</f>
        <v/>
      </c>
      <c r="M505" s="20">
        <v>504</v>
      </c>
    </row>
    <row r="506" spans="1:13" x14ac:dyDescent="0.15">
      <c r="A506" s="20">
        <f>dig!A506</f>
        <v>21</v>
      </c>
      <c r="B506" s="20">
        <f>dig!B506</f>
        <v>2101</v>
      </c>
      <c r="C506" s="20">
        <f>B506*100+COUNTIF(B$2:B506,B506)</f>
        <v>210105</v>
      </c>
      <c r="D506" s="20">
        <f t="shared" si="10"/>
        <v>10</v>
      </c>
      <c r="E506" s="20">
        <v>1</v>
      </c>
      <c r="H506" s="20" t="str">
        <f>VLOOKUP(C506,[1]!moster1,10,FALSE)</f>
        <v/>
      </c>
      <c r="M506" s="20">
        <v>505</v>
      </c>
    </row>
    <row r="507" spans="1:13" x14ac:dyDescent="0.15">
      <c r="A507" s="20">
        <f>dig!A507</f>
        <v>21</v>
      </c>
      <c r="B507" s="20">
        <f>dig!B507</f>
        <v>2102</v>
      </c>
      <c r="C507" s="20">
        <f>B507*100+COUNTIF(B$2:B507,B507)</f>
        <v>210201</v>
      </c>
      <c r="D507" s="20">
        <f t="shared" si="10"/>
        <v>30</v>
      </c>
      <c r="E507" s="20">
        <v>1</v>
      </c>
      <c r="H507" s="20" t="str">
        <f>VLOOKUP(C507,[1]!moster1,10,FALSE)</f>
        <v/>
      </c>
      <c r="M507" s="20">
        <v>506</v>
      </c>
    </row>
    <row r="508" spans="1:13" x14ac:dyDescent="0.15">
      <c r="A508" s="20">
        <f>dig!A508</f>
        <v>21</v>
      </c>
      <c r="B508" s="20">
        <f>dig!B508</f>
        <v>2102</v>
      </c>
      <c r="C508" s="20">
        <f>B508*100+COUNTIF(B$2:B508,B508)</f>
        <v>210202</v>
      </c>
      <c r="D508" s="20">
        <f t="shared" si="10"/>
        <v>30</v>
      </c>
      <c r="E508" s="20">
        <v>1</v>
      </c>
      <c r="H508" s="20" t="str">
        <f>VLOOKUP(C508,[1]!moster1,10,FALSE)</f>
        <v/>
      </c>
      <c r="M508" s="20">
        <v>507</v>
      </c>
    </row>
    <row r="509" spans="1:13" x14ac:dyDescent="0.15">
      <c r="A509" s="20">
        <f>dig!A509</f>
        <v>21</v>
      </c>
      <c r="B509" s="20">
        <f>dig!B509</f>
        <v>2102</v>
      </c>
      <c r="C509" s="20">
        <f>B509*100+COUNTIF(B$2:B509,B509)</f>
        <v>210203</v>
      </c>
      <c r="D509" s="20">
        <f t="shared" si="10"/>
        <v>30</v>
      </c>
      <c r="E509" s="20">
        <v>1</v>
      </c>
      <c r="H509" s="20" t="str">
        <f>VLOOKUP(C509,[1]!moster1,10,FALSE)</f>
        <v/>
      </c>
      <c r="M509" s="20">
        <v>508</v>
      </c>
    </row>
    <row r="510" spans="1:13" x14ac:dyDescent="0.15">
      <c r="A510" s="20">
        <f>dig!A510</f>
        <v>21</v>
      </c>
      <c r="B510" s="20">
        <f>dig!B510</f>
        <v>2102</v>
      </c>
      <c r="C510" s="20">
        <f>B510*100+COUNTIF(B$2:B510,B510)</f>
        <v>210204</v>
      </c>
      <c r="D510" s="20">
        <f t="shared" si="10"/>
        <v>10</v>
      </c>
      <c r="E510" s="20">
        <v>1</v>
      </c>
      <c r="H510" s="20" t="str">
        <f>VLOOKUP(C510,[1]!moster1,10,FALSE)</f>
        <v/>
      </c>
      <c r="M510" s="20">
        <v>509</v>
      </c>
    </row>
    <row r="511" spans="1:13" x14ac:dyDescent="0.15">
      <c r="A511" s="20">
        <f>dig!A511</f>
        <v>21</v>
      </c>
      <c r="B511" s="20">
        <f>dig!B511</f>
        <v>2102</v>
      </c>
      <c r="C511" s="20">
        <f>B511*100+COUNTIF(B$2:B511,B511)</f>
        <v>210205</v>
      </c>
      <c r="D511" s="20">
        <f t="shared" si="10"/>
        <v>10</v>
      </c>
      <c r="E511" s="20">
        <v>1</v>
      </c>
      <c r="H511" s="20" t="str">
        <f>VLOOKUP(C511,[1]!moster1,10,FALSE)</f>
        <v/>
      </c>
      <c r="M511" s="20">
        <v>510</v>
      </c>
    </row>
    <row r="512" spans="1:13" x14ac:dyDescent="0.15">
      <c r="A512" s="20">
        <f>dig!A512</f>
        <v>21</v>
      </c>
      <c r="B512" s="20">
        <f>dig!B512</f>
        <v>2103</v>
      </c>
      <c r="C512" s="20">
        <f>B512*100+COUNTIF(B$2:B512,B512)</f>
        <v>210301</v>
      </c>
      <c r="D512" s="20">
        <f t="shared" si="10"/>
        <v>30</v>
      </c>
      <c r="E512" s="20">
        <v>1</v>
      </c>
      <c r="H512" s="20" t="str">
        <f>VLOOKUP(C512,[1]!moster1,10,FALSE)</f>
        <v/>
      </c>
      <c r="M512" s="20">
        <v>511</v>
      </c>
    </row>
    <row r="513" spans="1:13" x14ac:dyDescent="0.15">
      <c r="A513" s="20">
        <f>dig!A513</f>
        <v>21</v>
      </c>
      <c r="B513" s="20">
        <f>dig!B513</f>
        <v>2103</v>
      </c>
      <c r="C513" s="20">
        <f>B513*100+COUNTIF(B$2:B513,B513)</f>
        <v>210302</v>
      </c>
      <c r="D513" s="20">
        <f t="shared" si="10"/>
        <v>30</v>
      </c>
      <c r="E513" s="20">
        <v>1</v>
      </c>
      <c r="H513" s="20" t="str">
        <f>VLOOKUP(C513,[1]!moster1,10,FALSE)</f>
        <v/>
      </c>
      <c r="M513" s="20">
        <v>512</v>
      </c>
    </row>
    <row r="514" spans="1:13" x14ac:dyDescent="0.15">
      <c r="A514" s="20">
        <f>dig!A514</f>
        <v>21</v>
      </c>
      <c r="B514" s="20">
        <f>dig!B514</f>
        <v>2103</v>
      </c>
      <c r="C514" s="20">
        <f>B514*100+COUNTIF(B$2:B514,B514)</f>
        <v>210303</v>
      </c>
      <c r="D514" s="20">
        <f t="shared" si="10"/>
        <v>30</v>
      </c>
      <c r="E514" s="20">
        <v>1</v>
      </c>
      <c r="H514" s="20" t="str">
        <f>VLOOKUP(C514,[1]!moster1,10,FALSE)</f>
        <v/>
      </c>
      <c r="M514" s="20">
        <v>513</v>
      </c>
    </row>
    <row r="515" spans="1:13" x14ac:dyDescent="0.15">
      <c r="A515" s="20">
        <f>dig!A515</f>
        <v>21</v>
      </c>
      <c r="B515" s="20">
        <f>dig!B515</f>
        <v>2103</v>
      </c>
      <c r="C515" s="20">
        <f>B515*100+COUNTIF(B$2:B515,B515)</f>
        <v>210304</v>
      </c>
      <c r="D515" s="20">
        <f t="shared" ref="D515:D578" si="11">IF(OR(RIGHT(C515,1)="5",RIGHT(C515,1)="4"),10,30)</f>
        <v>10</v>
      </c>
      <c r="E515" s="20">
        <v>1</v>
      </c>
      <c r="H515" s="20" t="str">
        <f>VLOOKUP(C515,[1]!moster1,10,FALSE)</f>
        <v/>
      </c>
      <c r="M515" s="20">
        <v>514</v>
      </c>
    </row>
    <row r="516" spans="1:13" x14ac:dyDescent="0.15">
      <c r="A516" s="20">
        <f>dig!A516</f>
        <v>21</v>
      </c>
      <c r="B516" s="20">
        <f>dig!B516</f>
        <v>2103</v>
      </c>
      <c r="C516" s="20">
        <f>B516*100+COUNTIF(B$2:B516,B516)</f>
        <v>210305</v>
      </c>
      <c r="D516" s="20">
        <f t="shared" si="11"/>
        <v>10</v>
      </c>
      <c r="E516" s="20">
        <v>1</v>
      </c>
      <c r="H516" s="20" t="str">
        <f>VLOOKUP(C516,[1]!moster1,10,FALSE)</f>
        <v/>
      </c>
      <c r="M516" s="20">
        <v>515</v>
      </c>
    </row>
    <row r="517" spans="1:13" x14ac:dyDescent="0.15">
      <c r="A517" s="20">
        <f>dig!A517</f>
        <v>21</v>
      </c>
      <c r="B517" s="20">
        <f>dig!B517</f>
        <v>2104</v>
      </c>
      <c r="C517" s="20">
        <f>B517*100+COUNTIF(B$2:B517,B517)</f>
        <v>210401</v>
      </c>
      <c r="D517" s="20">
        <f t="shared" si="11"/>
        <v>30</v>
      </c>
      <c r="E517" s="20">
        <v>1</v>
      </c>
      <c r="H517" s="20" t="str">
        <f>VLOOKUP(C517,[1]!moster1,10,FALSE)</f>
        <v/>
      </c>
      <c r="M517" s="20">
        <v>516</v>
      </c>
    </row>
    <row r="518" spans="1:13" x14ac:dyDescent="0.15">
      <c r="A518" s="20">
        <f>dig!A518</f>
        <v>21</v>
      </c>
      <c r="B518" s="20">
        <f>dig!B518</f>
        <v>2104</v>
      </c>
      <c r="C518" s="20">
        <f>B518*100+COUNTIF(B$2:B518,B518)</f>
        <v>210402</v>
      </c>
      <c r="D518" s="20">
        <f t="shared" si="11"/>
        <v>30</v>
      </c>
      <c r="E518" s="20">
        <v>1</v>
      </c>
      <c r="H518" s="20" t="str">
        <f>VLOOKUP(C518,[1]!moster1,10,FALSE)</f>
        <v/>
      </c>
      <c r="M518" s="20">
        <v>517</v>
      </c>
    </row>
    <row r="519" spans="1:13" x14ac:dyDescent="0.15">
      <c r="A519" s="20">
        <f>dig!A519</f>
        <v>21</v>
      </c>
      <c r="B519" s="20">
        <f>dig!B519</f>
        <v>2104</v>
      </c>
      <c r="C519" s="20">
        <f>B519*100+COUNTIF(B$2:B519,B519)</f>
        <v>210403</v>
      </c>
      <c r="D519" s="20">
        <f t="shared" si="11"/>
        <v>30</v>
      </c>
      <c r="E519" s="20">
        <v>1</v>
      </c>
      <c r="H519" s="20" t="str">
        <f>VLOOKUP(C519,[1]!moster1,10,FALSE)</f>
        <v/>
      </c>
      <c r="M519" s="20">
        <v>518</v>
      </c>
    </row>
    <row r="520" spans="1:13" x14ac:dyDescent="0.15">
      <c r="A520" s="20">
        <f>dig!A520</f>
        <v>21</v>
      </c>
      <c r="B520" s="20">
        <f>dig!B520</f>
        <v>2104</v>
      </c>
      <c r="C520" s="20">
        <f>B520*100+COUNTIF(B$2:B520,B520)</f>
        <v>210404</v>
      </c>
      <c r="D520" s="20">
        <f t="shared" si="11"/>
        <v>10</v>
      </c>
      <c r="E520" s="20">
        <v>1</v>
      </c>
      <c r="H520" s="20" t="str">
        <f>VLOOKUP(C520,[1]!moster1,10,FALSE)</f>
        <v/>
      </c>
      <c r="M520" s="20">
        <v>519</v>
      </c>
    </row>
    <row r="521" spans="1:13" x14ac:dyDescent="0.15">
      <c r="A521" s="20">
        <f>dig!A521</f>
        <v>21</v>
      </c>
      <c r="B521" s="20">
        <f>dig!B521</f>
        <v>2104</v>
      </c>
      <c r="C521" s="20">
        <f>B521*100+COUNTIF(B$2:B521,B521)</f>
        <v>210405</v>
      </c>
      <c r="D521" s="20">
        <f t="shared" si="11"/>
        <v>10</v>
      </c>
      <c r="E521" s="20">
        <v>1</v>
      </c>
      <c r="H521" s="20" t="str">
        <f>VLOOKUP(C521,[1]!moster1,10,FALSE)</f>
        <v/>
      </c>
      <c r="M521" s="20">
        <v>520</v>
      </c>
    </row>
    <row r="522" spans="1:13" x14ac:dyDescent="0.15">
      <c r="A522" s="20">
        <f>dig!A522</f>
        <v>21</v>
      </c>
      <c r="B522" s="20">
        <f>dig!B522</f>
        <v>2105</v>
      </c>
      <c r="C522" s="20">
        <f>B522*100+COUNTIF(B$2:B522,B522)</f>
        <v>210501</v>
      </c>
      <c r="D522" s="20">
        <f t="shared" si="11"/>
        <v>30</v>
      </c>
      <c r="E522" s="20">
        <v>1</v>
      </c>
      <c r="H522" s="20" t="str">
        <f>VLOOKUP(C522,[1]!moster1,10,FALSE)</f>
        <v/>
      </c>
      <c r="M522" s="20">
        <v>521</v>
      </c>
    </row>
    <row r="523" spans="1:13" x14ac:dyDescent="0.15">
      <c r="A523" s="20">
        <f>dig!A523</f>
        <v>21</v>
      </c>
      <c r="B523" s="20">
        <f>dig!B523</f>
        <v>2105</v>
      </c>
      <c r="C523" s="20">
        <f>B523*100+COUNTIF(B$2:B523,B523)</f>
        <v>210502</v>
      </c>
      <c r="D523" s="20">
        <f t="shared" si="11"/>
        <v>30</v>
      </c>
      <c r="E523" s="20">
        <v>1</v>
      </c>
      <c r="H523" s="20" t="str">
        <f>VLOOKUP(C523,[1]!moster1,10,FALSE)</f>
        <v/>
      </c>
      <c r="M523" s="20">
        <v>522</v>
      </c>
    </row>
    <row r="524" spans="1:13" x14ac:dyDescent="0.15">
      <c r="A524" s="20">
        <f>dig!A524</f>
        <v>21</v>
      </c>
      <c r="B524" s="20">
        <f>dig!B524</f>
        <v>2105</v>
      </c>
      <c r="C524" s="20">
        <f>B524*100+COUNTIF(B$2:B524,B524)</f>
        <v>210503</v>
      </c>
      <c r="D524" s="20">
        <f t="shared" si="11"/>
        <v>30</v>
      </c>
      <c r="E524" s="20">
        <v>1</v>
      </c>
      <c r="H524" s="20" t="str">
        <f>VLOOKUP(C524,[1]!moster1,10,FALSE)</f>
        <v/>
      </c>
      <c r="M524" s="20">
        <v>523</v>
      </c>
    </row>
    <row r="525" spans="1:13" x14ac:dyDescent="0.15">
      <c r="A525" s="20">
        <f>dig!A525</f>
        <v>21</v>
      </c>
      <c r="B525" s="20">
        <f>dig!B525</f>
        <v>2105</v>
      </c>
      <c r="C525" s="20">
        <f>B525*100+COUNTIF(B$2:B525,B525)</f>
        <v>210504</v>
      </c>
      <c r="D525" s="20">
        <f t="shared" si="11"/>
        <v>10</v>
      </c>
      <c r="E525" s="20">
        <v>1</v>
      </c>
      <c r="H525" s="20" t="str">
        <f>VLOOKUP(C525,[1]!moster1,10,FALSE)</f>
        <v/>
      </c>
      <c r="M525" s="20">
        <v>524</v>
      </c>
    </row>
    <row r="526" spans="1:13" x14ac:dyDescent="0.15">
      <c r="A526" s="20">
        <f>dig!A526</f>
        <v>21</v>
      </c>
      <c r="B526" s="20">
        <f>dig!B526</f>
        <v>2105</v>
      </c>
      <c r="C526" s="20">
        <f>B526*100+COUNTIF(B$2:B526,B526)</f>
        <v>210505</v>
      </c>
      <c r="D526" s="20">
        <f t="shared" si="11"/>
        <v>10</v>
      </c>
      <c r="E526" s="20">
        <v>1</v>
      </c>
      <c r="H526" s="20" t="str">
        <f>VLOOKUP(C526,[1]!moster1,10,FALSE)</f>
        <v/>
      </c>
      <c r="M526" s="20">
        <v>525</v>
      </c>
    </row>
    <row r="527" spans="1:13" x14ac:dyDescent="0.15">
      <c r="A527" s="20">
        <f>dig!A527</f>
        <v>22</v>
      </c>
      <c r="B527" s="20">
        <f>dig!B527</f>
        <v>2201</v>
      </c>
      <c r="C527" s="20">
        <f>B527*100+COUNTIF(B$2:B527,B527)</f>
        <v>220101</v>
      </c>
      <c r="D527" s="20">
        <f t="shared" si="11"/>
        <v>30</v>
      </c>
      <c r="E527" s="20">
        <v>1</v>
      </c>
      <c r="H527" s="20" t="str">
        <f>VLOOKUP(C527,[1]!moster1,10,FALSE)</f>
        <v/>
      </c>
      <c r="M527" s="20">
        <v>526</v>
      </c>
    </row>
    <row r="528" spans="1:13" x14ac:dyDescent="0.15">
      <c r="A528" s="20">
        <f>dig!A528</f>
        <v>22</v>
      </c>
      <c r="B528" s="20">
        <f>dig!B528</f>
        <v>2201</v>
      </c>
      <c r="C528" s="20">
        <f>B528*100+COUNTIF(B$2:B528,B528)</f>
        <v>220102</v>
      </c>
      <c r="D528" s="20">
        <f t="shared" si="11"/>
        <v>30</v>
      </c>
      <c r="E528" s="20">
        <v>1</v>
      </c>
      <c r="H528" s="20" t="str">
        <f>VLOOKUP(C528,[1]!moster1,10,FALSE)</f>
        <v/>
      </c>
      <c r="M528" s="20">
        <v>527</v>
      </c>
    </row>
    <row r="529" spans="1:13" x14ac:dyDescent="0.15">
      <c r="A529" s="20">
        <f>dig!A529</f>
        <v>22</v>
      </c>
      <c r="B529" s="20">
        <f>dig!B529</f>
        <v>2201</v>
      </c>
      <c r="C529" s="20">
        <f>B529*100+COUNTIF(B$2:B529,B529)</f>
        <v>220103</v>
      </c>
      <c r="D529" s="20">
        <f t="shared" si="11"/>
        <v>30</v>
      </c>
      <c r="E529" s="20">
        <v>1</v>
      </c>
      <c r="H529" s="20" t="str">
        <f>VLOOKUP(C529,[1]!moster1,10,FALSE)</f>
        <v/>
      </c>
      <c r="M529" s="20">
        <v>528</v>
      </c>
    </row>
    <row r="530" spans="1:13" x14ac:dyDescent="0.15">
      <c r="A530" s="20">
        <f>dig!A530</f>
        <v>22</v>
      </c>
      <c r="B530" s="20">
        <f>dig!B530</f>
        <v>2201</v>
      </c>
      <c r="C530" s="20">
        <f>B530*100+COUNTIF(B$2:B530,B530)</f>
        <v>220104</v>
      </c>
      <c r="D530" s="20">
        <f t="shared" si="11"/>
        <v>10</v>
      </c>
      <c r="E530" s="20">
        <v>1</v>
      </c>
      <c r="H530" s="20" t="str">
        <f>VLOOKUP(C530,[1]!moster1,10,FALSE)</f>
        <v/>
      </c>
      <c r="M530" s="20">
        <v>529</v>
      </c>
    </row>
    <row r="531" spans="1:13" x14ac:dyDescent="0.15">
      <c r="A531" s="20">
        <f>dig!A531</f>
        <v>22</v>
      </c>
      <c r="B531" s="20">
        <f>dig!B531</f>
        <v>2201</v>
      </c>
      <c r="C531" s="20">
        <f>B531*100+COUNTIF(B$2:B531,B531)</f>
        <v>220105</v>
      </c>
      <c r="D531" s="20">
        <f t="shared" si="11"/>
        <v>10</v>
      </c>
      <c r="E531" s="20">
        <v>1</v>
      </c>
      <c r="H531" s="20" t="str">
        <f>VLOOKUP(C531,[1]!moster1,10,FALSE)</f>
        <v/>
      </c>
      <c r="M531" s="20">
        <v>530</v>
      </c>
    </row>
    <row r="532" spans="1:13" x14ac:dyDescent="0.15">
      <c r="A532" s="20">
        <f>dig!A532</f>
        <v>22</v>
      </c>
      <c r="B532" s="20">
        <f>dig!B532</f>
        <v>2202</v>
      </c>
      <c r="C532" s="20">
        <f>B532*100+COUNTIF(B$2:B532,B532)</f>
        <v>220201</v>
      </c>
      <c r="D532" s="20">
        <f t="shared" si="11"/>
        <v>30</v>
      </c>
      <c r="E532" s="20">
        <v>1</v>
      </c>
      <c r="H532" s="20" t="str">
        <f>VLOOKUP(C532,[1]!moster1,10,FALSE)</f>
        <v/>
      </c>
      <c r="M532" s="20">
        <v>531</v>
      </c>
    </row>
    <row r="533" spans="1:13" x14ac:dyDescent="0.15">
      <c r="A533" s="20">
        <f>dig!A533</f>
        <v>22</v>
      </c>
      <c r="B533" s="20">
        <f>dig!B533</f>
        <v>2202</v>
      </c>
      <c r="C533" s="20">
        <f>B533*100+COUNTIF(B$2:B533,B533)</f>
        <v>220202</v>
      </c>
      <c r="D533" s="20">
        <f t="shared" si="11"/>
        <v>30</v>
      </c>
      <c r="E533" s="20">
        <v>1</v>
      </c>
      <c r="H533" s="20" t="str">
        <f>VLOOKUP(C533,[1]!moster1,10,FALSE)</f>
        <v/>
      </c>
      <c r="M533" s="20">
        <v>532</v>
      </c>
    </row>
    <row r="534" spans="1:13" x14ac:dyDescent="0.15">
      <c r="A534" s="20">
        <f>dig!A534</f>
        <v>22</v>
      </c>
      <c r="B534" s="20">
        <f>dig!B534</f>
        <v>2202</v>
      </c>
      <c r="C534" s="20">
        <f>B534*100+COUNTIF(B$2:B534,B534)</f>
        <v>220203</v>
      </c>
      <c r="D534" s="20">
        <f t="shared" si="11"/>
        <v>30</v>
      </c>
      <c r="E534" s="20">
        <v>1</v>
      </c>
      <c r="H534" s="20" t="str">
        <f>VLOOKUP(C534,[1]!moster1,10,FALSE)</f>
        <v/>
      </c>
      <c r="M534" s="20">
        <v>533</v>
      </c>
    </row>
    <row r="535" spans="1:13" x14ac:dyDescent="0.15">
      <c r="A535" s="20">
        <f>dig!A535</f>
        <v>22</v>
      </c>
      <c r="B535" s="20">
        <f>dig!B535</f>
        <v>2202</v>
      </c>
      <c r="C535" s="20">
        <f>B535*100+COUNTIF(B$2:B535,B535)</f>
        <v>220204</v>
      </c>
      <c r="D535" s="20">
        <f t="shared" si="11"/>
        <v>10</v>
      </c>
      <c r="E535" s="20">
        <v>1</v>
      </c>
      <c r="H535" s="20" t="str">
        <f>VLOOKUP(C535,[1]!moster1,10,FALSE)</f>
        <v/>
      </c>
      <c r="M535" s="20">
        <v>534</v>
      </c>
    </row>
    <row r="536" spans="1:13" x14ac:dyDescent="0.15">
      <c r="A536" s="20">
        <f>dig!A536</f>
        <v>22</v>
      </c>
      <c r="B536" s="20">
        <f>dig!B536</f>
        <v>2202</v>
      </c>
      <c r="C536" s="20">
        <f>B536*100+COUNTIF(B$2:B536,B536)</f>
        <v>220205</v>
      </c>
      <c r="D536" s="20">
        <f t="shared" si="11"/>
        <v>10</v>
      </c>
      <c r="E536" s="20">
        <v>1</v>
      </c>
      <c r="H536" s="20" t="str">
        <f>VLOOKUP(C536,[1]!moster1,10,FALSE)</f>
        <v/>
      </c>
      <c r="M536" s="20">
        <v>535</v>
      </c>
    </row>
    <row r="537" spans="1:13" x14ac:dyDescent="0.15">
      <c r="A537" s="20">
        <f>dig!A537</f>
        <v>22</v>
      </c>
      <c r="B537" s="20">
        <f>dig!B537</f>
        <v>2203</v>
      </c>
      <c r="C537" s="20">
        <f>B537*100+COUNTIF(B$2:B537,B537)</f>
        <v>220301</v>
      </c>
      <c r="D537" s="20">
        <f t="shared" si="11"/>
        <v>30</v>
      </c>
      <c r="E537" s="20">
        <v>1</v>
      </c>
      <c r="H537" s="20" t="str">
        <f>VLOOKUP(C537,[1]!moster1,10,FALSE)</f>
        <v/>
      </c>
      <c r="M537" s="20">
        <v>536</v>
      </c>
    </row>
    <row r="538" spans="1:13" x14ac:dyDescent="0.15">
      <c r="A538" s="20">
        <f>dig!A538</f>
        <v>22</v>
      </c>
      <c r="B538" s="20">
        <f>dig!B538</f>
        <v>2203</v>
      </c>
      <c r="C538" s="20">
        <f>B538*100+COUNTIF(B$2:B538,B538)</f>
        <v>220302</v>
      </c>
      <c r="D538" s="20">
        <f t="shared" si="11"/>
        <v>30</v>
      </c>
      <c r="E538" s="20">
        <v>1</v>
      </c>
      <c r="H538" s="20" t="str">
        <f>VLOOKUP(C538,[1]!moster1,10,FALSE)</f>
        <v/>
      </c>
      <c r="M538" s="20">
        <v>537</v>
      </c>
    </row>
    <row r="539" spans="1:13" x14ac:dyDescent="0.15">
      <c r="A539" s="20">
        <f>dig!A539</f>
        <v>22</v>
      </c>
      <c r="B539" s="20">
        <f>dig!B539</f>
        <v>2203</v>
      </c>
      <c r="C539" s="20">
        <f>B539*100+COUNTIF(B$2:B539,B539)</f>
        <v>220303</v>
      </c>
      <c r="D539" s="20">
        <f t="shared" si="11"/>
        <v>30</v>
      </c>
      <c r="E539" s="20">
        <v>1</v>
      </c>
      <c r="H539" s="20" t="str">
        <f>VLOOKUP(C539,[1]!moster1,10,FALSE)</f>
        <v/>
      </c>
      <c r="M539" s="20">
        <v>538</v>
      </c>
    </row>
    <row r="540" spans="1:13" x14ac:dyDescent="0.15">
      <c r="A540" s="20">
        <f>dig!A540</f>
        <v>22</v>
      </c>
      <c r="B540" s="20">
        <f>dig!B540</f>
        <v>2203</v>
      </c>
      <c r="C540" s="20">
        <f>B540*100+COUNTIF(B$2:B540,B540)</f>
        <v>220304</v>
      </c>
      <c r="D540" s="20">
        <f t="shared" si="11"/>
        <v>10</v>
      </c>
      <c r="E540" s="20">
        <v>1</v>
      </c>
      <c r="H540" s="20" t="str">
        <f>VLOOKUP(C540,[1]!moster1,10,FALSE)</f>
        <v/>
      </c>
      <c r="M540" s="20">
        <v>539</v>
      </c>
    </row>
    <row r="541" spans="1:13" x14ac:dyDescent="0.15">
      <c r="A541" s="20">
        <f>dig!A541</f>
        <v>22</v>
      </c>
      <c r="B541" s="20">
        <f>dig!B541</f>
        <v>2203</v>
      </c>
      <c r="C541" s="20">
        <f>B541*100+COUNTIF(B$2:B541,B541)</f>
        <v>220305</v>
      </c>
      <c r="D541" s="20">
        <f t="shared" si="11"/>
        <v>10</v>
      </c>
      <c r="E541" s="20">
        <v>1</v>
      </c>
      <c r="H541" s="20" t="str">
        <f>VLOOKUP(C541,[1]!moster1,10,FALSE)</f>
        <v/>
      </c>
      <c r="M541" s="20">
        <v>540</v>
      </c>
    </row>
    <row r="542" spans="1:13" x14ac:dyDescent="0.15">
      <c r="A542" s="20">
        <f>dig!A542</f>
        <v>22</v>
      </c>
      <c r="B542" s="20">
        <f>dig!B542</f>
        <v>2204</v>
      </c>
      <c r="C542" s="20">
        <f>B542*100+COUNTIF(B$2:B542,B542)</f>
        <v>220401</v>
      </c>
      <c r="D542" s="20">
        <f t="shared" si="11"/>
        <v>30</v>
      </c>
      <c r="E542" s="20">
        <v>1</v>
      </c>
      <c r="H542" s="20" t="str">
        <f>VLOOKUP(C542,[1]!moster1,10,FALSE)</f>
        <v/>
      </c>
      <c r="M542" s="20">
        <v>541</v>
      </c>
    </row>
    <row r="543" spans="1:13" x14ac:dyDescent="0.15">
      <c r="A543" s="20">
        <f>dig!A543</f>
        <v>22</v>
      </c>
      <c r="B543" s="20">
        <f>dig!B543</f>
        <v>2204</v>
      </c>
      <c r="C543" s="20">
        <f>B543*100+COUNTIF(B$2:B543,B543)</f>
        <v>220402</v>
      </c>
      <c r="D543" s="20">
        <f t="shared" si="11"/>
        <v>30</v>
      </c>
      <c r="E543" s="20">
        <v>1</v>
      </c>
      <c r="H543" s="20" t="str">
        <f>VLOOKUP(C543,[1]!moster1,10,FALSE)</f>
        <v/>
      </c>
      <c r="M543" s="20">
        <v>542</v>
      </c>
    </row>
    <row r="544" spans="1:13" x14ac:dyDescent="0.15">
      <c r="A544" s="20">
        <f>dig!A544</f>
        <v>22</v>
      </c>
      <c r="B544" s="20">
        <f>dig!B544</f>
        <v>2204</v>
      </c>
      <c r="C544" s="20">
        <f>B544*100+COUNTIF(B$2:B544,B544)</f>
        <v>220403</v>
      </c>
      <c r="D544" s="20">
        <f t="shared" si="11"/>
        <v>30</v>
      </c>
      <c r="E544" s="20">
        <v>1</v>
      </c>
      <c r="H544" s="20" t="str">
        <f>VLOOKUP(C544,[1]!moster1,10,FALSE)</f>
        <v/>
      </c>
      <c r="M544" s="20">
        <v>543</v>
      </c>
    </row>
    <row r="545" spans="1:13" x14ac:dyDescent="0.15">
      <c r="A545" s="20">
        <f>dig!A545</f>
        <v>22</v>
      </c>
      <c r="B545" s="20">
        <f>dig!B545</f>
        <v>2204</v>
      </c>
      <c r="C545" s="20">
        <f>B545*100+COUNTIF(B$2:B545,B545)</f>
        <v>220404</v>
      </c>
      <c r="D545" s="20">
        <f t="shared" si="11"/>
        <v>10</v>
      </c>
      <c r="E545" s="20">
        <v>1</v>
      </c>
      <c r="H545" s="20" t="str">
        <f>VLOOKUP(C545,[1]!moster1,10,FALSE)</f>
        <v/>
      </c>
      <c r="M545" s="20">
        <v>544</v>
      </c>
    </row>
    <row r="546" spans="1:13" x14ac:dyDescent="0.15">
      <c r="A546" s="20">
        <f>dig!A546</f>
        <v>22</v>
      </c>
      <c r="B546" s="20">
        <f>dig!B546</f>
        <v>2204</v>
      </c>
      <c r="C546" s="20">
        <f>B546*100+COUNTIF(B$2:B546,B546)</f>
        <v>220405</v>
      </c>
      <c r="D546" s="20">
        <f t="shared" si="11"/>
        <v>10</v>
      </c>
      <c r="E546" s="20">
        <v>1</v>
      </c>
      <c r="H546" s="20" t="str">
        <f>VLOOKUP(C546,[1]!moster1,10,FALSE)</f>
        <v/>
      </c>
      <c r="M546" s="20">
        <v>545</v>
      </c>
    </row>
    <row r="547" spans="1:13" x14ac:dyDescent="0.15">
      <c r="A547" s="20">
        <f>dig!A547</f>
        <v>22</v>
      </c>
      <c r="B547" s="20">
        <f>dig!B547</f>
        <v>2205</v>
      </c>
      <c r="C547" s="20">
        <f>B547*100+COUNTIF(B$2:B547,B547)</f>
        <v>220501</v>
      </c>
      <c r="D547" s="20">
        <f t="shared" si="11"/>
        <v>30</v>
      </c>
      <c r="E547" s="20">
        <v>1</v>
      </c>
      <c r="H547" s="20" t="str">
        <f>VLOOKUP(C547,[1]!moster1,10,FALSE)</f>
        <v/>
      </c>
      <c r="M547" s="20">
        <v>546</v>
      </c>
    </row>
    <row r="548" spans="1:13" x14ac:dyDescent="0.15">
      <c r="A548" s="20">
        <f>dig!A548</f>
        <v>22</v>
      </c>
      <c r="B548" s="20">
        <f>dig!B548</f>
        <v>2205</v>
      </c>
      <c r="C548" s="20">
        <f>B548*100+COUNTIF(B$2:B548,B548)</f>
        <v>220502</v>
      </c>
      <c r="D548" s="20">
        <f t="shared" si="11"/>
        <v>30</v>
      </c>
      <c r="E548" s="20">
        <v>1</v>
      </c>
      <c r="H548" s="20" t="str">
        <f>VLOOKUP(C548,[1]!moster1,10,FALSE)</f>
        <v/>
      </c>
      <c r="M548" s="20">
        <v>547</v>
      </c>
    </row>
    <row r="549" spans="1:13" x14ac:dyDescent="0.15">
      <c r="A549" s="20">
        <f>dig!A549</f>
        <v>22</v>
      </c>
      <c r="B549" s="20">
        <f>dig!B549</f>
        <v>2205</v>
      </c>
      <c r="C549" s="20">
        <f>B549*100+COUNTIF(B$2:B549,B549)</f>
        <v>220503</v>
      </c>
      <c r="D549" s="20">
        <f t="shared" si="11"/>
        <v>30</v>
      </c>
      <c r="E549" s="20">
        <v>1</v>
      </c>
      <c r="H549" s="20" t="str">
        <f>VLOOKUP(C549,[1]!moster1,10,FALSE)</f>
        <v/>
      </c>
      <c r="M549" s="20">
        <v>548</v>
      </c>
    </row>
    <row r="550" spans="1:13" x14ac:dyDescent="0.15">
      <c r="A550" s="20">
        <f>dig!A550</f>
        <v>22</v>
      </c>
      <c r="B550" s="20">
        <f>dig!B550</f>
        <v>2205</v>
      </c>
      <c r="C550" s="20">
        <f>B550*100+COUNTIF(B$2:B550,B550)</f>
        <v>220504</v>
      </c>
      <c r="D550" s="20">
        <f t="shared" si="11"/>
        <v>10</v>
      </c>
      <c r="E550" s="20">
        <v>1</v>
      </c>
      <c r="H550" s="20" t="str">
        <f>VLOOKUP(C550,[1]!moster1,10,FALSE)</f>
        <v/>
      </c>
      <c r="M550" s="20">
        <v>549</v>
      </c>
    </row>
    <row r="551" spans="1:13" x14ac:dyDescent="0.15">
      <c r="A551" s="20">
        <f>dig!A551</f>
        <v>22</v>
      </c>
      <c r="B551" s="20">
        <f>dig!B551</f>
        <v>2205</v>
      </c>
      <c r="C551" s="20">
        <f>B551*100+COUNTIF(B$2:B551,B551)</f>
        <v>220505</v>
      </c>
      <c r="D551" s="20">
        <f t="shared" si="11"/>
        <v>10</v>
      </c>
      <c r="E551" s="20">
        <v>1</v>
      </c>
      <c r="H551" s="20" t="str">
        <f>VLOOKUP(C551,[1]!moster1,10,FALSE)</f>
        <v/>
      </c>
      <c r="M551" s="20">
        <v>550</v>
      </c>
    </row>
    <row r="552" spans="1:13" x14ac:dyDescent="0.15">
      <c r="A552" s="20">
        <f>dig!A552</f>
        <v>23</v>
      </c>
      <c r="B552" s="20">
        <f>dig!B552</f>
        <v>2301</v>
      </c>
      <c r="C552" s="20">
        <f>B552*100+COUNTIF(B$2:B552,B552)</f>
        <v>230101</v>
      </c>
      <c r="D552" s="20">
        <f t="shared" si="11"/>
        <v>30</v>
      </c>
      <c r="E552" s="20">
        <v>1</v>
      </c>
      <c r="H552" s="20" t="str">
        <f>VLOOKUP(C552,[1]!moster1,10,FALSE)</f>
        <v/>
      </c>
      <c r="M552" s="20">
        <v>551</v>
      </c>
    </row>
    <row r="553" spans="1:13" x14ac:dyDescent="0.15">
      <c r="A553" s="20">
        <f>dig!A553</f>
        <v>23</v>
      </c>
      <c r="B553" s="20">
        <f>dig!B553</f>
        <v>2301</v>
      </c>
      <c r="C553" s="20">
        <f>B553*100+COUNTIF(B$2:B553,B553)</f>
        <v>230102</v>
      </c>
      <c r="D553" s="20">
        <f t="shared" si="11"/>
        <v>30</v>
      </c>
      <c r="E553" s="20">
        <v>1</v>
      </c>
      <c r="H553" s="20" t="str">
        <f>VLOOKUP(C553,[1]!moster1,10,FALSE)</f>
        <v/>
      </c>
      <c r="M553" s="20">
        <v>552</v>
      </c>
    </row>
    <row r="554" spans="1:13" x14ac:dyDescent="0.15">
      <c r="A554" s="20">
        <f>dig!A554</f>
        <v>23</v>
      </c>
      <c r="B554" s="20">
        <f>dig!B554</f>
        <v>2301</v>
      </c>
      <c r="C554" s="20">
        <f>B554*100+COUNTIF(B$2:B554,B554)</f>
        <v>230103</v>
      </c>
      <c r="D554" s="20">
        <f t="shared" si="11"/>
        <v>30</v>
      </c>
      <c r="E554" s="20">
        <v>1</v>
      </c>
      <c r="H554" s="20" t="str">
        <f>VLOOKUP(C554,[1]!moster1,10,FALSE)</f>
        <v/>
      </c>
      <c r="M554" s="20">
        <v>553</v>
      </c>
    </row>
    <row r="555" spans="1:13" x14ac:dyDescent="0.15">
      <c r="A555" s="20">
        <f>dig!A555</f>
        <v>23</v>
      </c>
      <c r="B555" s="20">
        <f>dig!B555</f>
        <v>2301</v>
      </c>
      <c r="C555" s="20">
        <f>B555*100+COUNTIF(B$2:B555,B555)</f>
        <v>230104</v>
      </c>
      <c r="D555" s="20">
        <f t="shared" si="11"/>
        <v>10</v>
      </c>
      <c r="E555" s="20">
        <v>1</v>
      </c>
      <c r="H555" s="20" t="str">
        <f>VLOOKUP(C555,[1]!moster1,10,FALSE)</f>
        <v/>
      </c>
      <c r="M555" s="20">
        <v>554</v>
      </c>
    </row>
    <row r="556" spans="1:13" x14ac:dyDescent="0.15">
      <c r="A556" s="20">
        <f>dig!A556</f>
        <v>23</v>
      </c>
      <c r="B556" s="20">
        <f>dig!B556</f>
        <v>2301</v>
      </c>
      <c r="C556" s="20">
        <f>B556*100+COUNTIF(B$2:B556,B556)</f>
        <v>230105</v>
      </c>
      <c r="D556" s="20">
        <f t="shared" si="11"/>
        <v>10</v>
      </c>
      <c r="E556" s="20">
        <v>1</v>
      </c>
      <c r="H556" s="20" t="str">
        <f>VLOOKUP(C556,[1]!moster1,10,FALSE)</f>
        <v/>
      </c>
      <c r="M556" s="20">
        <v>555</v>
      </c>
    </row>
    <row r="557" spans="1:13" x14ac:dyDescent="0.15">
      <c r="A557" s="20">
        <f>dig!A557</f>
        <v>23</v>
      </c>
      <c r="B557" s="20">
        <f>dig!B557</f>
        <v>2302</v>
      </c>
      <c r="C557" s="20">
        <f>B557*100+COUNTIF(B$2:B557,B557)</f>
        <v>230201</v>
      </c>
      <c r="D557" s="20">
        <f t="shared" si="11"/>
        <v>30</v>
      </c>
      <c r="E557" s="20">
        <v>1</v>
      </c>
      <c r="H557" s="20" t="str">
        <f>VLOOKUP(C557,[1]!moster1,10,FALSE)</f>
        <v/>
      </c>
      <c r="M557" s="20">
        <v>556</v>
      </c>
    </row>
    <row r="558" spans="1:13" x14ac:dyDescent="0.15">
      <c r="A558" s="20">
        <f>dig!A558</f>
        <v>23</v>
      </c>
      <c r="B558" s="20">
        <f>dig!B558</f>
        <v>2302</v>
      </c>
      <c r="C558" s="20">
        <f>B558*100+COUNTIF(B$2:B558,B558)</f>
        <v>230202</v>
      </c>
      <c r="D558" s="20">
        <f t="shared" si="11"/>
        <v>30</v>
      </c>
      <c r="E558" s="20">
        <v>1</v>
      </c>
      <c r="H558" s="20" t="str">
        <f>VLOOKUP(C558,[1]!moster1,10,FALSE)</f>
        <v/>
      </c>
      <c r="M558" s="20">
        <v>557</v>
      </c>
    </row>
    <row r="559" spans="1:13" x14ac:dyDescent="0.15">
      <c r="A559" s="20">
        <f>dig!A559</f>
        <v>23</v>
      </c>
      <c r="B559" s="20">
        <f>dig!B559</f>
        <v>2302</v>
      </c>
      <c r="C559" s="20">
        <f>B559*100+COUNTIF(B$2:B559,B559)</f>
        <v>230203</v>
      </c>
      <c r="D559" s="20">
        <f t="shared" si="11"/>
        <v>30</v>
      </c>
      <c r="E559" s="20">
        <v>1</v>
      </c>
      <c r="H559" s="20" t="str">
        <f>VLOOKUP(C559,[1]!moster1,10,FALSE)</f>
        <v/>
      </c>
      <c r="M559" s="20">
        <v>558</v>
      </c>
    </row>
    <row r="560" spans="1:13" x14ac:dyDescent="0.15">
      <c r="A560" s="20">
        <f>dig!A560</f>
        <v>23</v>
      </c>
      <c r="B560" s="20">
        <f>dig!B560</f>
        <v>2302</v>
      </c>
      <c r="C560" s="20">
        <f>B560*100+COUNTIF(B$2:B560,B560)</f>
        <v>230204</v>
      </c>
      <c r="D560" s="20">
        <f t="shared" si="11"/>
        <v>10</v>
      </c>
      <c r="E560" s="20">
        <v>1</v>
      </c>
      <c r="H560" s="20" t="str">
        <f>VLOOKUP(C560,[1]!moster1,10,FALSE)</f>
        <v/>
      </c>
      <c r="M560" s="20">
        <v>559</v>
      </c>
    </row>
    <row r="561" spans="1:13" x14ac:dyDescent="0.15">
      <c r="A561" s="20">
        <f>dig!A561</f>
        <v>23</v>
      </c>
      <c r="B561" s="20">
        <f>dig!B561</f>
        <v>2302</v>
      </c>
      <c r="C561" s="20">
        <f>B561*100+COUNTIF(B$2:B561,B561)</f>
        <v>230205</v>
      </c>
      <c r="D561" s="20">
        <f t="shared" si="11"/>
        <v>10</v>
      </c>
      <c r="E561" s="20">
        <v>1</v>
      </c>
      <c r="H561" s="20" t="str">
        <f>VLOOKUP(C561,[1]!moster1,10,FALSE)</f>
        <v/>
      </c>
      <c r="M561" s="20">
        <v>560</v>
      </c>
    </row>
    <row r="562" spans="1:13" x14ac:dyDescent="0.15">
      <c r="A562" s="20">
        <f>dig!A562</f>
        <v>23</v>
      </c>
      <c r="B562" s="20">
        <f>dig!B562</f>
        <v>2303</v>
      </c>
      <c r="C562" s="20">
        <f>B562*100+COUNTIF(B$2:B562,B562)</f>
        <v>230301</v>
      </c>
      <c r="D562" s="20">
        <f t="shared" si="11"/>
        <v>30</v>
      </c>
      <c r="E562" s="20">
        <v>1</v>
      </c>
      <c r="H562" s="20" t="str">
        <f>VLOOKUP(C562,[1]!moster1,10,FALSE)</f>
        <v/>
      </c>
      <c r="M562" s="20">
        <v>561</v>
      </c>
    </row>
    <row r="563" spans="1:13" x14ac:dyDescent="0.15">
      <c r="A563" s="20">
        <f>dig!A563</f>
        <v>23</v>
      </c>
      <c r="B563" s="20">
        <f>dig!B563</f>
        <v>2303</v>
      </c>
      <c r="C563" s="20">
        <f>B563*100+COUNTIF(B$2:B563,B563)</f>
        <v>230302</v>
      </c>
      <c r="D563" s="20">
        <f t="shared" si="11"/>
        <v>30</v>
      </c>
      <c r="E563" s="20">
        <v>1</v>
      </c>
      <c r="H563" s="20" t="str">
        <f>VLOOKUP(C563,[1]!moster1,10,FALSE)</f>
        <v/>
      </c>
      <c r="M563" s="20">
        <v>562</v>
      </c>
    </row>
    <row r="564" spans="1:13" x14ac:dyDescent="0.15">
      <c r="A564" s="20">
        <f>dig!A564</f>
        <v>23</v>
      </c>
      <c r="B564" s="20">
        <f>dig!B564</f>
        <v>2303</v>
      </c>
      <c r="C564" s="20">
        <f>B564*100+COUNTIF(B$2:B564,B564)</f>
        <v>230303</v>
      </c>
      <c r="D564" s="20">
        <f t="shared" si="11"/>
        <v>30</v>
      </c>
      <c r="E564" s="20">
        <v>1</v>
      </c>
      <c r="H564" s="20" t="str">
        <f>VLOOKUP(C564,[1]!moster1,10,FALSE)</f>
        <v/>
      </c>
      <c r="M564" s="20">
        <v>563</v>
      </c>
    </row>
    <row r="565" spans="1:13" x14ac:dyDescent="0.15">
      <c r="A565" s="20">
        <f>dig!A565</f>
        <v>23</v>
      </c>
      <c r="B565" s="20">
        <f>dig!B565</f>
        <v>2303</v>
      </c>
      <c r="C565" s="20">
        <f>B565*100+COUNTIF(B$2:B565,B565)</f>
        <v>230304</v>
      </c>
      <c r="D565" s="20">
        <f t="shared" si="11"/>
        <v>10</v>
      </c>
      <c r="E565" s="20">
        <v>1</v>
      </c>
      <c r="H565" s="20" t="str">
        <f>VLOOKUP(C565,[1]!moster1,10,FALSE)</f>
        <v/>
      </c>
      <c r="M565" s="20">
        <v>564</v>
      </c>
    </row>
    <row r="566" spans="1:13" x14ac:dyDescent="0.15">
      <c r="A566" s="20">
        <f>dig!A566</f>
        <v>23</v>
      </c>
      <c r="B566" s="20">
        <f>dig!B566</f>
        <v>2303</v>
      </c>
      <c r="C566" s="20">
        <f>B566*100+COUNTIF(B$2:B566,B566)</f>
        <v>230305</v>
      </c>
      <c r="D566" s="20">
        <f t="shared" si="11"/>
        <v>10</v>
      </c>
      <c r="E566" s="20">
        <v>1</v>
      </c>
      <c r="H566" s="20" t="str">
        <f>VLOOKUP(C566,[1]!moster1,10,FALSE)</f>
        <v/>
      </c>
      <c r="M566" s="20">
        <v>565</v>
      </c>
    </row>
    <row r="567" spans="1:13" x14ac:dyDescent="0.15">
      <c r="A567" s="20">
        <f>dig!A567</f>
        <v>23</v>
      </c>
      <c r="B567" s="20">
        <f>dig!B567</f>
        <v>2304</v>
      </c>
      <c r="C567" s="20">
        <f>B567*100+COUNTIF(B$2:B567,B567)</f>
        <v>230401</v>
      </c>
      <c r="D567" s="20">
        <f t="shared" si="11"/>
        <v>30</v>
      </c>
      <c r="E567" s="20">
        <v>1</v>
      </c>
      <c r="H567" s="20" t="str">
        <f>VLOOKUP(C567,[1]!moster1,10,FALSE)</f>
        <v/>
      </c>
      <c r="M567" s="20">
        <v>566</v>
      </c>
    </row>
    <row r="568" spans="1:13" x14ac:dyDescent="0.15">
      <c r="A568" s="20">
        <f>dig!A568</f>
        <v>23</v>
      </c>
      <c r="B568" s="20">
        <f>dig!B568</f>
        <v>2304</v>
      </c>
      <c r="C568" s="20">
        <f>B568*100+COUNTIF(B$2:B568,B568)</f>
        <v>230402</v>
      </c>
      <c r="D568" s="20">
        <f t="shared" si="11"/>
        <v>30</v>
      </c>
      <c r="E568" s="20">
        <v>1</v>
      </c>
      <c r="H568" s="20" t="str">
        <f>VLOOKUP(C568,[1]!moster1,10,FALSE)</f>
        <v/>
      </c>
      <c r="M568" s="20">
        <v>567</v>
      </c>
    </row>
    <row r="569" spans="1:13" x14ac:dyDescent="0.15">
      <c r="A569" s="20">
        <f>dig!A569</f>
        <v>23</v>
      </c>
      <c r="B569" s="20">
        <f>dig!B569</f>
        <v>2304</v>
      </c>
      <c r="C569" s="20">
        <f>B569*100+COUNTIF(B$2:B569,B569)</f>
        <v>230403</v>
      </c>
      <c r="D569" s="20">
        <f t="shared" si="11"/>
        <v>30</v>
      </c>
      <c r="E569" s="20">
        <v>1</v>
      </c>
      <c r="H569" s="20" t="str">
        <f>VLOOKUP(C569,[1]!moster1,10,FALSE)</f>
        <v/>
      </c>
      <c r="M569" s="20">
        <v>568</v>
      </c>
    </row>
    <row r="570" spans="1:13" x14ac:dyDescent="0.15">
      <c r="A570" s="20">
        <f>dig!A570</f>
        <v>23</v>
      </c>
      <c r="B570" s="20">
        <f>dig!B570</f>
        <v>2304</v>
      </c>
      <c r="C570" s="20">
        <f>B570*100+COUNTIF(B$2:B570,B570)</f>
        <v>230404</v>
      </c>
      <c r="D570" s="20">
        <f t="shared" si="11"/>
        <v>10</v>
      </c>
      <c r="E570" s="20">
        <v>1</v>
      </c>
      <c r="H570" s="20" t="str">
        <f>VLOOKUP(C570,[1]!moster1,10,FALSE)</f>
        <v/>
      </c>
      <c r="M570" s="20">
        <v>569</v>
      </c>
    </row>
    <row r="571" spans="1:13" x14ac:dyDescent="0.15">
      <c r="A571" s="20">
        <f>dig!A571</f>
        <v>23</v>
      </c>
      <c r="B571" s="20">
        <f>dig!B571</f>
        <v>2304</v>
      </c>
      <c r="C571" s="20">
        <f>B571*100+COUNTIF(B$2:B571,B571)</f>
        <v>230405</v>
      </c>
      <c r="D571" s="20">
        <f t="shared" si="11"/>
        <v>10</v>
      </c>
      <c r="E571" s="20">
        <v>1</v>
      </c>
      <c r="H571" s="20" t="str">
        <f>VLOOKUP(C571,[1]!moster1,10,FALSE)</f>
        <v/>
      </c>
      <c r="M571" s="20">
        <v>570</v>
      </c>
    </row>
    <row r="572" spans="1:13" x14ac:dyDescent="0.15">
      <c r="A572" s="20">
        <f>dig!A572</f>
        <v>23</v>
      </c>
      <c r="B572" s="20">
        <f>dig!B572</f>
        <v>2305</v>
      </c>
      <c r="C572" s="20">
        <f>B572*100+COUNTIF(B$2:B572,B572)</f>
        <v>230501</v>
      </c>
      <c r="D572" s="20">
        <f t="shared" si="11"/>
        <v>30</v>
      </c>
      <c r="E572" s="20">
        <v>1</v>
      </c>
      <c r="H572" s="20" t="str">
        <f>VLOOKUP(C572,[1]!moster1,10,FALSE)</f>
        <v/>
      </c>
      <c r="M572" s="20">
        <v>571</v>
      </c>
    </row>
    <row r="573" spans="1:13" x14ac:dyDescent="0.15">
      <c r="A573" s="20">
        <f>dig!A573</f>
        <v>23</v>
      </c>
      <c r="B573" s="20">
        <f>dig!B573</f>
        <v>2305</v>
      </c>
      <c r="C573" s="20">
        <f>B573*100+COUNTIF(B$2:B573,B573)</f>
        <v>230502</v>
      </c>
      <c r="D573" s="20">
        <f t="shared" si="11"/>
        <v>30</v>
      </c>
      <c r="E573" s="20">
        <v>1</v>
      </c>
      <c r="H573" s="20" t="str">
        <f>VLOOKUP(C573,[1]!moster1,10,FALSE)</f>
        <v/>
      </c>
      <c r="M573" s="20">
        <v>572</v>
      </c>
    </row>
    <row r="574" spans="1:13" x14ac:dyDescent="0.15">
      <c r="A574" s="20">
        <f>dig!A574</f>
        <v>23</v>
      </c>
      <c r="B574" s="20">
        <f>dig!B574</f>
        <v>2305</v>
      </c>
      <c r="C574" s="20">
        <f>B574*100+COUNTIF(B$2:B574,B574)</f>
        <v>230503</v>
      </c>
      <c r="D574" s="20">
        <f t="shared" si="11"/>
        <v>30</v>
      </c>
      <c r="E574" s="20">
        <v>1</v>
      </c>
      <c r="H574" s="20" t="str">
        <f>VLOOKUP(C574,[1]!moster1,10,FALSE)</f>
        <v/>
      </c>
      <c r="M574" s="20">
        <v>573</v>
      </c>
    </row>
    <row r="575" spans="1:13" x14ac:dyDescent="0.15">
      <c r="A575" s="20">
        <f>dig!A575</f>
        <v>23</v>
      </c>
      <c r="B575" s="20">
        <f>dig!B575</f>
        <v>2305</v>
      </c>
      <c r="C575" s="20">
        <f>B575*100+COUNTIF(B$2:B575,B575)</f>
        <v>230504</v>
      </c>
      <c r="D575" s="20">
        <f t="shared" si="11"/>
        <v>10</v>
      </c>
      <c r="E575" s="20">
        <v>1</v>
      </c>
      <c r="H575" s="20" t="str">
        <f>VLOOKUP(C575,[1]!moster1,10,FALSE)</f>
        <v/>
      </c>
      <c r="M575" s="20">
        <v>574</v>
      </c>
    </row>
    <row r="576" spans="1:13" x14ac:dyDescent="0.15">
      <c r="A576" s="20">
        <f>dig!A576</f>
        <v>23</v>
      </c>
      <c r="B576" s="20">
        <f>dig!B576</f>
        <v>2305</v>
      </c>
      <c r="C576" s="20">
        <f>B576*100+COUNTIF(B$2:B576,B576)</f>
        <v>230505</v>
      </c>
      <c r="D576" s="20">
        <f t="shared" si="11"/>
        <v>10</v>
      </c>
      <c r="E576" s="20">
        <v>1</v>
      </c>
      <c r="H576" s="20" t="str">
        <f>VLOOKUP(C576,[1]!moster1,10,FALSE)</f>
        <v/>
      </c>
      <c r="M576" s="20">
        <v>575</v>
      </c>
    </row>
    <row r="577" spans="1:13" x14ac:dyDescent="0.15">
      <c r="A577" s="20">
        <f>dig!A577</f>
        <v>24</v>
      </c>
      <c r="B577" s="20">
        <f>dig!B577</f>
        <v>2401</v>
      </c>
      <c r="C577" s="20">
        <f>B577*100+COUNTIF(B$2:B577,B577)</f>
        <v>240101</v>
      </c>
      <c r="D577" s="20">
        <f t="shared" si="11"/>
        <v>30</v>
      </c>
      <c r="E577" s="20">
        <v>1</v>
      </c>
      <c r="H577" s="20" t="str">
        <f>VLOOKUP(C577,[1]!moster1,10,FALSE)</f>
        <v/>
      </c>
      <c r="M577" s="20">
        <v>576</v>
      </c>
    </row>
    <row r="578" spans="1:13" x14ac:dyDescent="0.15">
      <c r="A578" s="20">
        <f>dig!A578</f>
        <v>24</v>
      </c>
      <c r="B578" s="20">
        <f>dig!B578</f>
        <v>2401</v>
      </c>
      <c r="C578" s="20">
        <f>B578*100+COUNTIF(B$2:B578,B578)</f>
        <v>240102</v>
      </c>
      <c r="D578" s="20">
        <f t="shared" si="11"/>
        <v>30</v>
      </c>
      <c r="E578" s="20">
        <v>1</v>
      </c>
      <c r="H578" s="20" t="str">
        <f>VLOOKUP(C578,[1]!moster1,10,FALSE)</f>
        <v/>
      </c>
      <c r="M578" s="20">
        <v>577</v>
      </c>
    </row>
    <row r="579" spans="1:13" x14ac:dyDescent="0.15">
      <c r="A579" s="20">
        <f>dig!A579</f>
        <v>24</v>
      </c>
      <c r="B579" s="20">
        <f>dig!B579</f>
        <v>2401</v>
      </c>
      <c r="C579" s="20">
        <f>B579*100+COUNTIF(B$2:B579,B579)</f>
        <v>240103</v>
      </c>
      <c r="D579" s="20">
        <f t="shared" ref="D579:D642" si="12">IF(OR(RIGHT(C579,1)="5",RIGHT(C579,1)="4"),10,30)</f>
        <v>30</v>
      </c>
      <c r="E579" s="20">
        <v>1</v>
      </c>
      <c r="H579" s="20" t="str">
        <f>VLOOKUP(C579,[1]!moster1,10,FALSE)</f>
        <v/>
      </c>
      <c r="M579" s="20">
        <v>578</v>
      </c>
    </row>
    <row r="580" spans="1:13" x14ac:dyDescent="0.15">
      <c r="A580" s="20">
        <f>dig!A580</f>
        <v>24</v>
      </c>
      <c r="B580" s="20">
        <f>dig!B580</f>
        <v>2401</v>
      </c>
      <c r="C580" s="20">
        <f>B580*100+COUNTIF(B$2:B580,B580)</f>
        <v>240104</v>
      </c>
      <c r="D580" s="20">
        <f t="shared" si="12"/>
        <v>10</v>
      </c>
      <c r="E580" s="20">
        <v>1</v>
      </c>
      <c r="H580" s="20" t="str">
        <f>VLOOKUP(C580,[1]!moster1,10,FALSE)</f>
        <v/>
      </c>
      <c r="M580" s="20">
        <v>579</v>
      </c>
    </row>
    <row r="581" spans="1:13" x14ac:dyDescent="0.15">
      <c r="A581" s="20">
        <f>dig!A581</f>
        <v>24</v>
      </c>
      <c r="B581" s="20">
        <f>dig!B581</f>
        <v>2401</v>
      </c>
      <c r="C581" s="20">
        <f>B581*100+COUNTIF(B$2:B581,B581)</f>
        <v>240105</v>
      </c>
      <c r="D581" s="20">
        <f t="shared" si="12"/>
        <v>10</v>
      </c>
      <c r="E581" s="20">
        <v>1</v>
      </c>
      <c r="H581" s="20" t="str">
        <f>VLOOKUP(C581,[1]!moster1,10,FALSE)</f>
        <v/>
      </c>
      <c r="M581" s="20">
        <v>580</v>
      </c>
    </row>
    <row r="582" spans="1:13" x14ac:dyDescent="0.15">
      <c r="A582" s="20">
        <f>dig!A582</f>
        <v>24</v>
      </c>
      <c r="B582" s="20">
        <f>dig!B582</f>
        <v>2402</v>
      </c>
      <c r="C582" s="20">
        <f>B582*100+COUNTIF(B$2:B582,B582)</f>
        <v>240201</v>
      </c>
      <c r="D582" s="20">
        <f t="shared" si="12"/>
        <v>30</v>
      </c>
      <c r="E582" s="20">
        <v>1</v>
      </c>
      <c r="H582" s="20" t="str">
        <f>VLOOKUP(C582,[1]!moster1,10,FALSE)</f>
        <v/>
      </c>
      <c r="M582" s="20">
        <v>581</v>
      </c>
    </row>
    <row r="583" spans="1:13" x14ac:dyDescent="0.15">
      <c r="A583" s="20">
        <f>dig!A583</f>
        <v>24</v>
      </c>
      <c r="B583" s="20">
        <f>dig!B583</f>
        <v>2402</v>
      </c>
      <c r="C583" s="20">
        <f>B583*100+COUNTIF(B$2:B583,B583)</f>
        <v>240202</v>
      </c>
      <c r="D583" s="20">
        <f t="shared" si="12"/>
        <v>30</v>
      </c>
      <c r="E583" s="20">
        <v>1</v>
      </c>
      <c r="H583" s="20" t="str">
        <f>VLOOKUP(C583,[1]!moster1,10,FALSE)</f>
        <v/>
      </c>
      <c r="M583" s="20">
        <v>582</v>
      </c>
    </row>
    <row r="584" spans="1:13" x14ac:dyDescent="0.15">
      <c r="A584" s="20">
        <f>dig!A584</f>
        <v>24</v>
      </c>
      <c r="B584" s="20">
        <f>dig!B584</f>
        <v>2402</v>
      </c>
      <c r="C584" s="20">
        <f>B584*100+COUNTIF(B$2:B584,B584)</f>
        <v>240203</v>
      </c>
      <c r="D584" s="20">
        <f t="shared" si="12"/>
        <v>30</v>
      </c>
      <c r="E584" s="20">
        <v>1</v>
      </c>
      <c r="H584" s="20" t="str">
        <f>VLOOKUP(C584,[1]!moster1,10,FALSE)</f>
        <v/>
      </c>
      <c r="M584" s="20">
        <v>583</v>
      </c>
    </row>
    <row r="585" spans="1:13" x14ac:dyDescent="0.15">
      <c r="A585" s="20">
        <f>dig!A585</f>
        <v>24</v>
      </c>
      <c r="B585" s="20">
        <f>dig!B585</f>
        <v>2402</v>
      </c>
      <c r="C585" s="20">
        <f>B585*100+COUNTIF(B$2:B585,B585)</f>
        <v>240204</v>
      </c>
      <c r="D585" s="20">
        <f t="shared" si="12"/>
        <v>10</v>
      </c>
      <c r="E585" s="20">
        <v>1</v>
      </c>
      <c r="H585" s="20" t="str">
        <f>VLOOKUP(C585,[1]!moster1,10,FALSE)</f>
        <v/>
      </c>
      <c r="M585" s="20">
        <v>584</v>
      </c>
    </row>
    <row r="586" spans="1:13" x14ac:dyDescent="0.15">
      <c r="A586" s="20">
        <f>dig!A586</f>
        <v>24</v>
      </c>
      <c r="B586" s="20">
        <f>dig!B586</f>
        <v>2402</v>
      </c>
      <c r="C586" s="20">
        <f>B586*100+COUNTIF(B$2:B586,B586)</f>
        <v>240205</v>
      </c>
      <c r="D586" s="20">
        <f t="shared" si="12"/>
        <v>10</v>
      </c>
      <c r="E586" s="20">
        <v>1</v>
      </c>
      <c r="H586" s="20" t="str">
        <f>VLOOKUP(C586,[1]!moster1,10,FALSE)</f>
        <v/>
      </c>
      <c r="M586" s="20">
        <v>585</v>
      </c>
    </row>
    <row r="587" spans="1:13" x14ac:dyDescent="0.15">
      <c r="A587" s="20">
        <f>dig!A587</f>
        <v>24</v>
      </c>
      <c r="B587" s="20">
        <f>dig!B587</f>
        <v>2403</v>
      </c>
      <c r="C587" s="20">
        <f>B587*100+COUNTIF(B$2:B587,B587)</f>
        <v>240301</v>
      </c>
      <c r="D587" s="20">
        <f t="shared" si="12"/>
        <v>30</v>
      </c>
      <c r="E587" s="20">
        <v>1</v>
      </c>
      <c r="H587" s="20" t="str">
        <f>VLOOKUP(C587,[1]!moster1,10,FALSE)</f>
        <v/>
      </c>
      <c r="M587" s="20">
        <v>586</v>
      </c>
    </row>
    <row r="588" spans="1:13" x14ac:dyDescent="0.15">
      <c r="A588" s="20">
        <f>dig!A588</f>
        <v>24</v>
      </c>
      <c r="B588" s="20">
        <f>dig!B588</f>
        <v>2403</v>
      </c>
      <c r="C588" s="20">
        <f>B588*100+COUNTIF(B$2:B588,B588)</f>
        <v>240302</v>
      </c>
      <c r="D588" s="20">
        <f t="shared" si="12"/>
        <v>30</v>
      </c>
      <c r="E588" s="20">
        <v>1</v>
      </c>
      <c r="H588" s="20" t="str">
        <f>VLOOKUP(C588,[1]!moster1,10,FALSE)</f>
        <v/>
      </c>
      <c r="M588" s="20">
        <v>587</v>
      </c>
    </row>
    <row r="589" spans="1:13" x14ac:dyDescent="0.15">
      <c r="A589" s="20">
        <f>dig!A589</f>
        <v>24</v>
      </c>
      <c r="B589" s="20">
        <f>dig!B589</f>
        <v>2403</v>
      </c>
      <c r="C589" s="20">
        <f>B589*100+COUNTIF(B$2:B589,B589)</f>
        <v>240303</v>
      </c>
      <c r="D589" s="20">
        <f t="shared" si="12"/>
        <v>30</v>
      </c>
      <c r="E589" s="20">
        <v>1</v>
      </c>
      <c r="H589" s="20" t="str">
        <f>VLOOKUP(C589,[1]!moster1,10,FALSE)</f>
        <v/>
      </c>
      <c r="M589" s="20">
        <v>588</v>
      </c>
    </row>
    <row r="590" spans="1:13" x14ac:dyDescent="0.15">
      <c r="A590" s="20">
        <f>dig!A590</f>
        <v>24</v>
      </c>
      <c r="B590" s="20">
        <f>dig!B590</f>
        <v>2403</v>
      </c>
      <c r="C590" s="20">
        <f>B590*100+COUNTIF(B$2:B590,B590)</f>
        <v>240304</v>
      </c>
      <c r="D590" s="20">
        <f t="shared" si="12"/>
        <v>10</v>
      </c>
      <c r="E590" s="20">
        <v>1</v>
      </c>
      <c r="H590" s="20" t="str">
        <f>VLOOKUP(C590,[1]!moster1,10,FALSE)</f>
        <v/>
      </c>
      <c r="M590" s="20">
        <v>589</v>
      </c>
    </row>
    <row r="591" spans="1:13" x14ac:dyDescent="0.15">
      <c r="A591" s="20">
        <f>dig!A591</f>
        <v>24</v>
      </c>
      <c r="B591" s="20">
        <f>dig!B591</f>
        <v>2403</v>
      </c>
      <c r="C591" s="20">
        <f>B591*100+COUNTIF(B$2:B591,B591)</f>
        <v>240305</v>
      </c>
      <c r="D591" s="20">
        <f t="shared" si="12"/>
        <v>10</v>
      </c>
      <c r="E591" s="20">
        <v>1</v>
      </c>
      <c r="H591" s="20" t="str">
        <f>VLOOKUP(C591,[1]!moster1,10,FALSE)</f>
        <v/>
      </c>
      <c r="M591" s="20">
        <v>590</v>
      </c>
    </row>
    <row r="592" spans="1:13" x14ac:dyDescent="0.15">
      <c r="A592" s="20">
        <f>dig!A592</f>
        <v>24</v>
      </c>
      <c r="B592" s="20">
        <f>dig!B592</f>
        <v>2404</v>
      </c>
      <c r="C592" s="20">
        <f>B592*100+COUNTIF(B$2:B592,B592)</f>
        <v>240401</v>
      </c>
      <c r="D592" s="20">
        <f t="shared" si="12"/>
        <v>30</v>
      </c>
      <c r="E592" s="20">
        <v>1</v>
      </c>
      <c r="H592" s="20" t="str">
        <f>VLOOKUP(C592,[1]!moster1,10,FALSE)</f>
        <v/>
      </c>
      <c r="M592" s="20">
        <v>591</v>
      </c>
    </row>
    <row r="593" spans="1:13" x14ac:dyDescent="0.15">
      <c r="A593" s="20">
        <f>dig!A593</f>
        <v>24</v>
      </c>
      <c r="B593" s="20">
        <f>dig!B593</f>
        <v>2404</v>
      </c>
      <c r="C593" s="20">
        <f>B593*100+COUNTIF(B$2:B593,B593)</f>
        <v>240402</v>
      </c>
      <c r="D593" s="20">
        <f t="shared" si="12"/>
        <v>30</v>
      </c>
      <c r="E593" s="20">
        <v>1</v>
      </c>
      <c r="H593" s="20" t="str">
        <f>VLOOKUP(C593,[1]!moster1,10,FALSE)</f>
        <v/>
      </c>
      <c r="M593" s="20">
        <v>592</v>
      </c>
    </row>
    <row r="594" spans="1:13" x14ac:dyDescent="0.15">
      <c r="A594" s="20">
        <f>dig!A594</f>
        <v>24</v>
      </c>
      <c r="B594" s="20">
        <f>dig!B594</f>
        <v>2404</v>
      </c>
      <c r="C594" s="20">
        <f>B594*100+COUNTIF(B$2:B594,B594)</f>
        <v>240403</v>
      </c>
      <c r="D594" s="20">
        <f t="shared" si="12"/>
        <v>30</v>
      </c>
      <c r="E594" s="20">
        <v>1</v>
      </c>
      <c r="H594" s="20" t="str">
        <f>VLOOKUP(C594,[1]!moster1,10,FALSE)</f>
        <v/>
      </c>
      <c r="M594" s="20">
        <v>593</v>
      </c>
    </row>
    <row r="595" spans="1:13" x14ac:dyDescent="0.15">
      <c r="A595" s="20">
        <f>dig!A595</f>
        <v>24</v>
      </c>
      <c r="B595" s="20">
        <f>dig!B595</f>
        <v>2404</v>
      </c>
      <c r="C595" s="20">
        <f>B595*100+COUNTIF(B$2:B595,B595)</f>
        <v>240404</v>
      </c>
      <c r="D595" s="20">
        <f t="shared" si="12"/>
        <v>10</v>
      </c>
      <c r="E595" s="20">
        <v>1</v>
      </c>
      <c r="H595" s="20" t="str">
        <f>VLOOKUP(C595,[1]!moster1,10,FALSE)</f>
        <v/>
      </c>
      <c r="M595" s="20">
        <v>594</v>
      </c>
    </row>
    <row r="596" spans="1:13" x14ac:dyDescent="0.15">
      <c r="A596" s="20">
        <f>dig!A596</f>
        <v>24</v>
      </c>
      <c r="B596" s="20">
        <f>dig!B596</f>
        <v>2404</v>
      </c>
      <c r="C596" s="20">
        <f>B596*100+COUNTIF(B$2:B596,B596)</f>
        <v>240405</v>
      </c>
      <c r="D596" s="20">
        <f t="shared" si="12"/>
        <v>10</v>
      </c>
      <c r="E596" s="20">
        <v>1</v>
      </c>
      <c r="H596" s="20" t="str">
        <f>VLOOKUP(C596,[1]!moster1,10,FALSE)</f>
        <v/>
      </c>
      <c r="M596" s="20">
        <v>595</v>
      </c>
    </row>
    <row r="597" spans="1:13" x14ac:dyDescent="0.15">
      <c r="A597" s="20">
        <f>dig!A597</f>
        <v>24</v>
      </c>
      <c r="B597" s="20">
        <f>dig!B597</f>
        <v>2405</v>
      </c>
      <c r="C597" s="20">
        <f>B597*100+COUNTIF(B$2:B597,B597)</f>
        <v>240501</v>
      </c>
      <c r="D597" s="20">
        <f t="shared" si="12"/>
        <v>30</v>
      </c>
      <c r="E597" s="20">
        <v>1</v>
      </c>
      <c r="H597" s="20" t="str">
        <f>VLOOKUP(C597,[1]!moster1,10,FALSE)</f>
        <v/>
      </c>
      <c r="M597" s="20">
        <v>596</v>
      </c>
    </row>
    <row r="598" spans="1:13" x14ac:dyDescent="0.15">
      <c r="A598" s="20">
        <f>dig!A598</f>
        <v>24</v>
      </c>
      <c r="B598" s="20">
        <f>dig!B598</f>
        <v>2405</v>
      </c>
      <c r="C598" s="20">
        <f>B598*100+COUNTIF(B$2:B598,B598)</f>
        <v>240502</v>
      </c>
      <c r="D598" s="20">
        <f t="shared" si="12"/>
        <v>30</v>
      </c>
      <c r="E598" s="20">
        <v>1</v>
      </c>
      <c r="H598" s="20" t="str">
        <f>VLOOKUP(C598,[1]!moster1,10,FALSE)</f>
        <v/>
      </c>
      <c r="M598" s="20">
        <v>597</v>
      </c>
    </row>
    <row r="599" spans="1:13" x14ac:dyDescent="0.15">
      <c r="A599" s="20">
        <f>dig!A599</f>
        <v>24</v>
      </c>
      <c r="B599" s="20">
        <f>dig!B599</f>
        <v>2405</v>
      </c>
      <c r="C599" s="20">
        <f>B599*100+COUNTIF(B$2:B599,B599)</f>
        <v>240503</v>
      </c>
      <c r="D599" s="20">
        <f t="shared" si="12"/>
        <v>30</v>
      </c>
      <c r="E599" s="20">
        <v>1</v>
      </c>
      <c r="H599" s="20" t="str">
        <f>VLOOKUP(C599,[1]!moster1,10,FALSE)</f>
        <v/>
      </c>
      <c r="M599" s="20">
        <v>598</v>
      </c>
    </row>
    <row r="600" spans="1:13" x14ac:dyDescent="0.15">
      <c r="A600" s="20">
        <f>dig!A600</f>
        <v>24</v>
      </c>
      <c r="B600" s="20">
        <f>dig!B600</f>
        <v>2405</v>
      </c>
      <c r="C600" s="20">
        <f>B600*100+COUNTIF(B$2:B600,B600)</f>
        <v>240504</v>
      </c>
      <c r="D600" s="20">
        <f t="shared" si="12"/>
        <v>10</v>
      </c>
      <c r="E600" s="20">
        <v>1</v>
      </c>
      <c r="H600" s="20" t="str">
        <f>VLOOKUP(C600,[1]!moster1,10,FALSE)</f>
        <v/>
      </c>
      <c r="M600" s="20">
        <v>599</v>
      </c>
    </row>
    <row r="601" spans="1:13" x14ac:dyDescent="0.15">
      <c r="A601" s="20">
        <f>dig!A601</f>
        <v>24</v>
      </c>
      <c r="B601" s="20">
        <f>dig!B601</f>
        <v>2405</v>
      </c>
      <c r="C601" s="20">
        <f>B601*100+COUNTIF(B$2:B601,B601)</f>
        <v>240505</v>
      </c>
      <c r="D601" s="20">
        <f t="shared" si="12"/>
        <v>10</v>
      </c>
      <c r="E601" s="20">
        <v>1</v>
      </c>
      <c r="H601" s="20" t="str">
        <f>VLOOKUP(C601,[1]!moster1,10,FALSE)</f>
        <v/>
      </c>
      <c r="M601" s="20">
        <v>600</v>
      </c>
    </row>
    <row r="602" spans="1:13" x14ac:dyDescent="0.15">
      <c r="A602" s="20">
        <f>dig!A602</f>
        <v>25</v>
      </c>
      <c r="B602" s="20">
        <f>dig!B602</f>
        <v>2501</v>
      </c>
      <c r="C602" s="20">
        <f>B602*100+COUNTIF(B$2:B602,B602)</f>
        <v>250101</v>
      </c>
      <c r="D602" s="20">
        <f t="shared" si="12"/>
        <v>30</v>
      </c>
      <c r="E602" s="20">
        <v>1</v>
      </c>
      <c r="H602" s="20" t="str">
        <f>VLOOKUP(C602,[1]!moster1,10,FALSE)</f>
        <v/>
      </c>
      <c r="M602" s="20">
        <v>601</v>
      </c>
    </row>
    <row r="603" spans="1:13" x14ac:dyDescent="0.15">
      <c r="A603" s="20">
        <f>dig!A603</f>
        <v>25</v>
      </c>
      <c r="B603" s="20">
        <f>dig!B603</f>
        <v>2501</v>
      </c>
      <c r="C603" s="20">
        <f>B603*100+COUNTIF(B$2:B603,B603)</f>
        <v>250102</v>
      </c>
      <c r="D603" s="20">
        <f t="shared" si="12"/>
        <v>30</v>
      </c>
      <c r="E603" s="20">
        <v>1</v>
      </c>
      <c r="H603" s="20" t="str">
        <f>VLOOKUP(C603,[1]!moster1,10,FALSE)</f>
        <v/>
      </c>
      <c r="M603" s="20">
        <v>602</v>
      </c>
    </row>
    <row r="604" spans="1:13" x14ac:dyDescent="0.15">
      <c r="A604" s="20">
        <f>dig!A604</f>
        <v>25</v>
      </c>
      <c r="B604" s="20">
        <f>dig!B604</f>
        <v>2501</v>
      </c>
      <c r="C604" s="20">
        <f>B604*100+COUNTIF(B$2:B604,B604)</f>
        <v>250103</v>
      </c>
      <c r="D604" s="20">
        <f t="shared" si="12"/>
        <v>30</v>
      </c>
      <c r="E604" s="20">
        <v>1</v>
      </c>
      <c r="H604" s="20" t="str">
        <f>VLOOKUP(C604,[1]!moster1,10,FALSE)</f>
        <v/>
      </c>
      <c r="M604" s="20">
        <v>603</v>
      </c>
    </row>
    <row r="605" spans="1:13" x14ac:dyDescent="0.15">
      <c r="A605" s="20">
        <f>dig!A605</f>
        <v>25</v>
      </c>
      <c r="B605" s="20">
        <f>dig!B605</f>
        <v>2501</v>
      </c>
      <c r="C605" s="20">
        <f>B605*100+COUNTIF(B$2:B605,B605)</f>
        <v>250104</v>
      </c>
      <c r="D605" s="20">
        <f t="shared" si="12"/>
        <v>10</v>
      </c>
      <c r="E605" s="20">
        <v>1</v>
      </c>
      <c r="H605" s="20" t="str">
        <f>VLOOKUP(C605,[1]!moster1,10,FALSE)</f>
        <v/>
      </c>
      <c r="M605" s="20">
        <v>604</v>
      </c>
    </row>
    <row r="606" spans="1:13" x14ac:dyDescent="0.15">
      <c r="A606" s="20">
        <f>dig!A606</f>
        <v>25</v>
      </c>
      <c r="B606" s="20">
        <f>dig!B606</f>
        <v>2501</v>
      </c>
      <c r="C606" s="20">
        <f>B606*100+COUNTIF(B$2:B606,B606)</f>
        <v>250105</v>
      </c>
      <c r="D606" s="20">
        <f t="shared" si="12"/>
        <v>10</v>
      </c>
      <c r="E606" s="20">
        <v>1</v>
      </c>
      <c r="H606" s="20" t="str">
        <f>VLOOKUP(C606,[1]!moster1,10,FALSE)</f>
        <v/>
      </c>
      <c r="M606" s="20">
        <v>605</v>
      </c>
    </row>
    <row r="607" spans="1:13" x14ac:dyDescent="0.15">
      <c r="A607" s="20">
        <f>dig!A607</f>
        <v>25</v>
      </c>
      <c r="B607" s="20">
        <f>dig!B607</f>
        <v>2502</v>
      </c>
      <c r="C607" s="20">
        <f>B607*100+COUNTIF(B$2:B607,B607)</f>
        <v>250201</v>
      </c>
      <c r="D607" s="20">
        <f t="shared" si="12"/>
        <v>30</v>
      </c>
      <c r="E607" s="20">
        <v>1</v>
      </c>
      <c r="H607" s="20" t="str">
        <f>VLOOKUP(C607,[1]!moster1,10,FALSE)</f>
        <v/>
      </c>
      <c r="M607" s="20">
        <v>606</v>
      </c>
    </row>
    <row r="608" spans="1:13" x14ac:dyDescent="0.15">
      <c r="A608" s="20">
        <f>dig!A608</f>
        <v>25</v>
      </c>
      <c r="B608" s="20">
        <f>dig!B608</f>
        <v>2502</v>
      </c>
      <c r="C608" s="20">
        <f>B608*100+COUNTIF(B$2:B608,B608)</f>
        <v>250202</v>
      </c>
      <c r="D608" s="20">
        <f t="shared" si="12"/>
        <v>30</v>
      </c>
      <c r="E608" s="20">
        <v>1</v>
      </c>
      <c r="H608" s="20" t="str">
        <f>VLOOKUP(C608,[1]!moster1,10,FALSE)</f>
        <v/>
      </c>
      <c r="M608" s="20">
        <v>607</v>
      </c>
    </row>
    <row r="609" spans="1:13" x14ac:dyDescent="0.15">
      <c r="A609" s="20">
        <f>dig!A609</f>
        <v>25</v>
      </c>
      <c r="B609" s="20">
        <f>dig!B609</f>
        <v>2502</v>
      </c>
      <c r="C609" s="20">
        <f>B609*100+COUNTIF(B$2:B609,B609)</f>
        <v>250203</v>
      </c>
      <c r="D609" s="20">
        <f t="shared" si="12"/>
        <v>30</v>
      </c>
      <c r="E609" s="20">
        <v>1</v>
      </c>
      <c r="H609" s="20" t="str">
        <f>VLOOKUP(C609,[1]!moster1,10,FALSE)</f>
        <v/>
      </c>
      <c r="M609" s="20">
        <v>608</v>
      </c>
    </row>
    <row r="610" spans="1:13" x14ac:dyDescent="0.15">
      <c r="A610" s="20">
        <f>dig!A610</f>
        <v>25</v>
      </c>
      <c r="B610" s="20">
        <f>dig!B610</f>
        <v>2502</v>
      </c>
      <c r="C610" s="20">
        <f>B610*100+COUNTIF(B$2:B610,B610)</f>
        <v>250204</v>
      </c>
      <c r="D610" s="20">
        <f t="shared" si="12"/>
        <v>10</v>
      </c>
      <c r="E610" s="20">
        <v>1</v>
      </c>
      <c r="H610" s="20" t="str">
        <f>VLOOKUP(C610,[1]!moster1,10,FALSE)</f>
        <v/>
      </c>
      <c r="M610" s="20">
        <v>609</v>
      </c>
    </row>
    <row r="611" spans="1:13" x14ac:dyDescent="0.15">
      <c r="A611" s="20">
        <f>dig!A611</f>
        <v>25</v>
      </c>
      <c r="B611" s="20">
        <f>dig!B611</f>
        <v>2502</v>
      </c>
      <c r="C611" s="20">
        <f>B611*100+COUNTIF(B$2:B611,B611)</f>
        <v>250205</v>
      </c>
      <c r="D611" s="20">
        <f t="shared" si="12"/>
        <v>10</v>
      </c>
      <c r="E611" s="20">
        <v>1</v>
      </c>
      <c r="H611" s="20" t="str">
        <f>VLOOKUP(C611,[1]!moster1,10,FALSE)</f>
        <v/>
      </c>
      <c r="M611" s="20">
        <v>610</v>
      </c>
    </row>
    <row r="612" spans="1:13" x14ac:dyDescent="0.15">
      <c r="A612" s="20">
        <f>dig!A612</f>
        <v>25</v>
      </c>
      <c r="B612" s="20">
        <f>dig!B612</f>
        <v>2503</v>
      </c>
      <c r="C612" s="20">
        <f>B612*100+COUNTIF(B$2:B612,B612)</f>
        <v>250301</v>
      </c>
      <c r="D612" s="20">
        <f t="shared" si="12"/>
        <v>30</v>
      </c>
      <c r="E612" s="20">
        <v>1</v>
      </c>
      <c r="H612" s="20" t="str">
        <f>VLOOKUP(C612,[1]!moster1,10,FALSE)</f>
        <v/>
      </c>
      <c r="M612" s="20">
        <v>611</v>
      </c>
    </row>
    <row r="613" spans="1:13" x14ac:dyDescent="0.15">
      <c r="A613" s="20">
        <f>dig!A613</f>
        <v>25</v>
      </c>
      <c r="B613" s="20">
        <f>dig!B613</f>
        <v>2503</v>
      </c>
      <c r="C613" s="20">
        <f>B613*100+COUNTIF(B$2:B613,B613)</f>
        <v>250302</v>
      </c>
      <c r="D613" s="20">
        <f t="shared" si="12"/>
        <v>30</v>
      </c>
      <c r="E613" s="20">
        <v>1</v>
      </c>
      <c r="H613" s="20" t="str">
        <f>VLOOKUP(C613,[1]!moster1,10,FALSE)</f>
        <v/>
      </c>
      <c r="M613" s="20">
        <v>612</v>
      </c>
    </row>
    <row r="614" spans="1:13" x14ac:dyDescent="0.15">
      <c r="A614" s="20">
        <f>dig!A614</f>
        <v>25</v>
      </c>
      <c r="B614" s="20">
        <f>dig!B614</f>
        <v>2503</v>
      </c>
      <c r="C614" s="20">
        <f>B614*100+COUNTIF(B$2:B614,B614)</f>
        <v>250303</v>
      </c>
      <c r="D614" s="20">
        <f t="shared" si="12"/>
        <v>30</v>
      </c>
      <c r="E614" s="20">
        <v>1</v>
      </c>
      <c r="H614" s="20" t="str">
        <f>VLOOKUP(C614,[1]!moster1,10,FALSE)</f>
        <v/>
      </c>
      <c r="M614" s="20">
        <v>613</v>
      </c>
    </row>
    <row r="615" spans="1:13" x14ac:dyDescent="0.15">
      <c r="A615" s="20">
        <f>dig!A615</f>
        <v>25</v>
      </c>
      <c r="B615" s="20">
        <f>dig!B615</f>
        <v>2503</v>
      </c>
      <c r="C615" s="20">
        <f>B615*100+COUNTIF(B$2:B615,B615)</f>
        <v>250304</v>
      </c>
      <c r="D615" s="20">
        <f t="shared" si="12"/>
        <v>10</v>
      </c>
      <c r="E615" s="20">
        <v>1</v>
      </c>
      <c r="H615" s="20" t="str">
        <f>VLOOKUP(C615,[1]!moster1,10,FALSE)</f>
        <v/>
      </c>
      <c r="M615" s="20">
        <v>614</v>
      </c>
    </row>
    <row r="616" spans="1:13" x14ac:dyDescent="0.15">
      <c r="A616" s="20">
        <f>dig!A616</f>
        <v>25</v>
      </c>
      <c r="B616" s="20">
        <f>dig!B616</f>
        <v>2503</v>
      </c>
      <c r="C616" s="20">
        <f>B616*100+COUNTIF(B$2:B616,B616)</f>
        <v>250305</v>
      </c>
      <c r="D616" s="20">
        <f t="shared" si="12"/>
        <v>10</v>
      </c>
      <c r="E616" s="20">
        <v>1</v>
      </c>
      <c r="H616" s="20" t="str">
        <f>VLOOKUP(C616,[1]!moster1,10,FALSE)</f>
        <v/>
      </c>
      <c r="M616" s="20">
        <v>615</v>
      </c>
    </row>
    <row r="617" spans="1:13" x14ac:dyDescent="0.15">
      <c r="A617" s="20">
        <f>dig!A617</f>
        <v>25</v>
      </c>
      <c r="B617" s="20">
        <f>dig!B617</f>
        <v>2504</v>
      </c>
      <c r="C617" s="20">
        <f>B617*100+COUNTIF(B$2:B617,B617)</f>
        <v>250401</v>
      </c>
      <c r="D617" s="20">
        <f t="shared" si="12"/>
        <v>30</v>
      </c>
      <c r="E617" s="20">
        <v>1</v>
      </c>
      <c r="H617" s="20" t="str">
        <f>VLOOKUP(C617,[1]!moster1,10,FALSE)</f>
        <v/>
      </c>
      <c r="M617" s="20">
        <v>616</v>
      </c>
    </row>
    <row r="618" spans="1:13" x14ac:dyDescent="0.15">
      <c r="A618" s="20">
        <f>dig!A618</f>
        <v>25</v>
      </c>
      <c r="B618" s="20">
        <f>dig!B618</f>
        <v>2504</v>
      </c>
      <c r="C618" s="20">
        <f>B618*100+COUNTIF(B$2:B618,B618)</f>
        <v>250402</v>
      </c>
      <c r="D618" s="20">
        <f t="shared" si="12"/>
        <v>30</v>
      </c>
      <c r="E618" s="20">
        <v>1</v>
      </c>
      <c r="H618" s="20" t="str">
        <f>VLOOKUP(C618,[1]!moster1,10,FALSE)</f>
        <v/>
      </c>
      <c r="M618" s="20">
        <v>617</v>
      </c>
    </row>
    <row r="619" spans="1:13" x14ac:dyDescent="0.15">
      <c r="A619" s="20">
        <f>dig!A619</f>
        <v>25</v>
      </c>
      <c r="B619" s="20">
        <f>dig!B619</f>
        <v>2504</v>
      </c>
      <c r="C619" s="20">
        <f>B619*100+COUNTIF(B$2:B619,B619)</f>
        <v>250403</v>
      </c>
      <c r="D619" s="20">
        <f t="shared" si="12"/>
        <v>30</v>
      </c>
      <c r="E619" s="20">
        <v>1</v>
      </c>
      <c r="H619" s="20" t="str">
        <f>VLOOKUP(C619,[1]!moster1,10,FALSE)</f>
        <v/>
      </c>
      <c r="M619" s="20">
        <v>618</v>
      </c>
    </row>
    <row r="620" spans="1:13" x14ac:dyDescent="0.15">
      <c r="A620" s="20">
        <f>dig!A620</f>
        <v>25</v>
      </c>
      <c r="B620" s="20">
        <f>dig!B620</f>
        <v>2504</v>
      </c>
      <c r="C620" s="20">
        <f>B620*100+COUNTIF(B$2:B620,B620)</f>
        <v>250404</v>
      </c>
      <c r="D620" s="20">
        <f t="shared" si="12"/>
        <v>10</v>
      </c>
      <c r="E620" s="20">
        <v>1</v>
      </c>
      <c r="H620" s="20" t="str">
        <f>VLOOKUP(C620,[1]!moster1,10,FALSE)</f>
        <v/>
      </c>
      <c r="M620" s="20">
        <v>619</v>
      </c>
    </row>
    <row r="621" spans="1:13" x14ac:dyDescent="0.15">
      <c r="A621" s="20">
        <f>dig!A621</f>
        <v>25</v>
      </c>
      <c r="B621" s="20">
        <f>dig!B621</f>
        <v>2504</v>
      </c>
      <c r="C621" s="20">
        <f>B621*100+COUNTIF(B$2:B621,B621)</f>
        <v>250405</v>
      </c>
      <c r="D621" s="20">
        <f t="shared" si="12"/>
        <v>10</v>
      </c>
      <c r="E621" s="20">
        <v>1</v>
      </c>
      <c r="H621" s="20" t="str">
        <f>VLOOKUP(C621,[1]!moster1,10,FALSE)</f>
        <v/>
      </c>
      <c r="M621" s="20">
        <v>620</v>
      </c>
    </row>
    <row r="622" spans="1:13" x14ac:dyDescent="0.15">
      <c r="A622" s="20">
        <f>dig!A622</f>
        <v>25</v>
      </c>
      <c r="B622" s="20">
        <f>dig!B622</f>
        <v>2505</v>
      </c>
      <c r="C622" s="20">
        <f>B622*100+COUNTIF(B$2:B622,B622)</f>
        <v>250501</v>
      </c>
      <c r="D622" s="20">
        <f t="shared" si="12"/>
        <v>30</v>
      </c>
      <c r="E622" s="20">
        <v>1</v>
      </c>
      <c r="H622" s="20" t="str">
        <f>VLOOKUP(C622,[1]!moster1,10,FALSE)</f>
        <v/>
      </c>
      <c r="M622" s="20">
        <v>621</v>
      </c>
    </row>
    <row r="623" spans="1:13" x14ac:dyDescent="0.15">
      <c r="A623" s="20">
        <f>dig!A623</f>
        <v>25</v>
      </c>
      <c r="B623" s="20">
        <f>dig!B623</f>
        <v>2505</v>
      </c>
      <c r="C623" s="20">
        <f>B623*100+COUNTIF(B$2:B623,B623)</f>
        <v>250502</v>
      </c>
      <c r="D623" s="20">
        <f t="shared" si="12"/>
        <v>30</v>
      </c>
      <c r="E623" s="20">
        <v>1</v>
      </c>
      <c r="H623" s="20" t="str">
        <f>VLOOKUP(C623,[1]!moster1,10,FALSE)</f>
        <v/>
      </c>
      <c r="M623" s="20">
        <v>622</v>
      </c>
    </row>
    <row r="624" spans="1:13" x14ac:dyDescent="0.15">
      <c r="A624" s="20">
        <f>dig!A624</f>
        <v>25</v>
      </c>
      <c r="B624" s="20">
        <f>dig!B624</f>
        <v>2505</v>
      </c>
      <c r="C624" s="20">
        <f>B624*100+COUNTIF(B$2:B624,B624)</f>
        <v>250503</v>
      </c>
      <c r="D624" s="20">
        <f t="shared" si="12"/>
        <v>30</v>
      </c>
      <c r="E624" s="20">
        <v>1</v>
      </c>
      <c r="H624" s="20" t="str">
        <f>VLOOKUP(C624,[1]!moster1,10,FALSE)</f>
        <v/>
      </c>
      <c r="M624" s="20">
        <v>623</v>
      </c>
    </row>
    <row r="625" spans="1:13" x14ac:dyDescent="0.15">
      <c r="A625" s="20">
        <f>dig!A625</f>
        <v>25</v>
      </c>
      <c r="B625" s="20">
        <f>dig!B625</f>
        <v>2505</v>
      </c>
      <c r="C625" s="20">
        <f>B625*100+COUNTIF(B$2:B625,B625)</f>
        <v>250504</v>
      </c>
      <c r="D625" s="20">
        <f t="shared" si="12"/>
        <v>10</v>
      </c>
      <c r="E625" s="20">
        <v>1</v>
      </c>
      <c r="H625" s="20" t="str">
        <f>VLOOKUP(C625,[1]!moster1,10,FALSE)</f>
        <v/>
      </c>
      <c r="M625" s="20">
        <v>624</v>
      </c>
    </row>
    <row r="626" spans="1:13" x14ac:dyDescent="0.15">
      <c r="A626" s="20">
        <f>dig!A626</f>
        <v>25</v>
      </c>
      <c r="B626" s="20">
        <f>dig!B626</f>
        <v>2505</v>
      </c>
      <c r="C626" s="20">
        <f>B626*100+COUNTIF(B$2:B626,B626)</f>
        <v>250505</v>
      </c>
      <c r="D626" s="20">
        <f t="shared" si="12"/>
        <v>10</v>
      </c>
      <c r="E626" s="20">
        <v>1</v>
      </c>
      <c r="H626" s="20" t="str">
        <f>VLOOKUP(C626,[1]!moster1,10,FALSE)</f>
        <v/>
      </c>
      <c r="M626" s="20">
        <v>625</v>
      </c>
    </row>
    <row r="627" spans="1:13" x14ac:dyDescent="0.15">
      <c r="A627" s="20">
        <f>dig!A627</f>
        <v>26</v>
      </c>
      <c r="B627" s="20">
        <f>dig!B627</f>
        <v>2601</v>
      </c>
      <c r="C627" s="20">
        <f>B627*100+COUNTIF(B$2:B627,B627)</f>
        <v>260101</v>
      </c>
      <c r="D627" s="20">
        <f t="shared" si="12"/>
        <v>30</v>
      </c>
      <c r="E627" s="20">
        <v>1</v>
      </c>
      <c r="H627" s="20" t="str">
        <f>VLOOKUP(C627,[1]!moster1,10,FALSE)</f>
        <v/>
      </c>
      <c r="M627" s="20">
        <v>626</v>
      </c>
    </row>
    <row r="628" spans="1:13" x14ac:dyDescent="0.15">
      <c r="A628" s="20">
        <f>dig!A628</f>
        <v>26</v>
      </c>
      <c r="B628" s="20">
        <f>dig!B628</f>
        <v>2601</v>
      </c>
      <c r="C628" s="20">
        <f>B628*100+COUNTIF(B$2:B628,B628)</f>
        <v>260102</v>
      </c>
      <c r="D628" s="20">
        <f t="shared" si="12"/>
        <v>30</v>
      </c>
      <c r="E628" s="20">
        <v>1</v>
      </c>
      <c r="H628" s="20" t="str">
        <f>VLOOKUP(C628,[1]!moster1,10,FALSE)</f>
        <v/>
      </c>
      <c r="M628" s="20">
        <v>627</v>
      </c>
    </row>
    <row r="629" spans="1:13" x14ac:dyDescent="0.15">
      <c r="A629" s="20">
        <f>dig!A629</f>
        <v>26</v>
      </c>
      <c r="B629" s="20">
        <f>dig!B629</f>
        <v>2601</v>
      </c>
      <c r="C629" s="20">
        <f>B629*100+COUNTIF(B$2:B629,B629)</f>
        <v>260103</v>
      </c>
      <c r="D629" s="20">
        <f t="shared" si="12"/>
        <v>30</v>
      </c>
      <c r="E629" s="20">
        <v>1</v>
      </c>
      <c r="H629" s="20" t="str">
        <f>VLOOKUP(C629,[1]!moster1,10,FALSE)</f>
        <v/>
      </c>
      <c r="M629" s="20">
        <v>628</v>
      </c>
    </row>
    <row r="630" spans="1:13" x14ac:dyDescent="0.15">
      <c r="A630" s="20">
        <f>dig!A630</f>
        <v>26</v>
      </c>
      <c r="B630" s="20">
        <f>dig!B630</f>
        <v>2601</v>
      </c>
      <c r="C630" s="20">
        <f>B630*100+COUNTIF(B$2:B630,B630)</f>
        <v>260104</v>
      </c>
      <c r="D630" s="20">
        <f t="shared" si="12"/>
        <v>10</v>
      </c>
      <c r="E630" s="20">
        <v>1</v>
      </c>
      <c r="H630" s="20" t="str">
        <f>VLOOKUP(C630,[1]!moster1,10,FALSE)</f>
        <v/>
      </c>
      <c r="M630" s="20">
        <v>629</v>
      </c>
    </row>
    <row r="631" spans="1:13" x14ac:dyDescent="0.15">
      <c r="A631" s="20">
        <f>dig!A631</f>
        <v>26</v>
      </c>
      <c r="B631" s="20">
        <f>dig!B631</f>
        <v>2601</v>
      </c>
      <c r="C631" s="20">
        <f>B631*100+COUNTIF(B$2:B631,B631)</f>
        <v>260105</v>
      </c>
      <c r="D631" s="20">
        <f t="shared" si="12"/>
        <v>10</v>
      </c>
      <c r="E631" s="20">
        <v>1</v>
      </c>
      <c r="H631" s="20" t="str">
        <f>VLOOKUP(C631,[1]!moster1,10,FALSE)</f>
        <v/>
      </c>
      <c r="M631" s="20">
        <v>630</v>
      </c>
    </row>
    <row r="632" spans="1:13" x14ac:dyDescent="0.15">
      <c r="A632" s="20">
        <f>dig!A632</f>
        <v>26</v>
      </c>
      <c r="B632" s="20">
        <f>dig!B632</f>
        <v>2602</v>
      </c>
      <c r="C632" s="20">
        <f>B632*100+COUNTIF(B$2:B632,B632)</f>
        <v>260201</v>
      </c>
      <c r="D632" s="20">
        <f t="shared" si="12"/>
        <v>30</v>
      </c>
      <c r="E632" s="20">
        <v>1</v>
      </c>
      <c r="H632" s="20" t="str">
        <f>VLOOKUP(C632,[1]!moster1,10,FALSE)</f>
        <v/>
      </c>
      <c r="M632" s="20">
        <v>631</v>
      </c>
    </row>
    <row r="633" spans="1:13" x14ac:dyDescent="0.15">
      <c r="A633" s="20">
        <f>dig!A633</f>
        <v>26</v>
      </c>
      <c r="B633" s="20">
        <f>dig!B633</f>
        <v>2602</v>
      </c>
      <c r="C633" s="20">
        <f>B633*100+COUNTIF(B$2:B633,B633)</f>
        <v>260202</v>
      </c>
      <c r="D633" s="20">
        <f t="shared" si="12"/>
        <v>30</v>
      </c>
      <c r="E633" s="20">
        <v>1</v>
      </c>
      <c r="H633" s="20" t="str">
        <f>VLOOKUP(C633,[1]!moster1,10,FALSE)</f>
        <v/>
      </c>
      <c r="M633" s="20">
        <v>632</v>
      </c>
    </row>
    <row r="634" spans="1:13" x14ac:dyDescent="0.15">
      <c r="A634" s="20">
        <f>dig!A634</f>
        <v>26</v>
      </c>
      <c r="B634" s="20">
        <f>dig!B634</f>
        <v>2602</v>
      </c>
      <c r="C634" s="20">
        <f>B634*100+COUNTIF(B$2:B634,B634)</f>
        <v>260203</v>
      </c>
      <c r="D634" s="20">
        <f t="shared" si="12"/>
        <v>30</v>
      </c>
      <c r="E634" s="20">
        <v>1</v>
      </c>
      <c r="H634" s="20" t="str">
        <f>VLOOKUP(C634,[1]!moster1,10,FALSE)</f>
        <v/>
      </c>
      <c r="M634" s="20">
        <v>633</v>
      </c>
    </row>
    <row r="635" spans="1:13" x14ac:dyDescent="0.15">
      <c r="A635" s="20">
        <f>dig!A635</f>
        <v>26</v>
      </c>
      <c r="B635" s="20">
        <f>dig!B635</f>
        <v>2602</v>
      </c>
      <c r="C635" s="20">
        <f>B635*100+COUNTIF(B$2:B635,B635)</f>
        <v>260204</v>
      </c>
      <c r="D635" s="20">
        <f t="shared" si="12"/>
        <v>10</v>
      </c>
      <c r="E635" s="20">
        <v>1</v>
      </c>
      <c r="H635" s="20" t="str">
        <f>VLOOKUP(C635,[1]!moster1,10,FALSE)</f>
        <v/>
      </c>
      <c r="M635" s="20">
        <v>634</v>
      </c>
    </row>
    <row r="636" spans="1:13" x14ac:dyDescent="0.15">
      <c r="A636" s="20">
        <f>dig!A636</f>
        <v>26</v>
      </c>
      <c r="B636" s="20">
        <f>dig!B636</f>
        <v>2602</v>
      </c>
      <c r="C636" s="20">
        <f>B636*100+COUNTIF(B$2:B636,B636)</f>
        <v>260205</v>
      </c>
      <c r="D636" s="20">
        <f t="shared" si="12"/>
        <v>10</v>
      </c>
      <c r="E636" s="20">
        <v>1</v>
      </c>
      <c r="H636" s="20" t="str">
        <f>VLOOKUP(C636,[1]!moster1,10,FALSE)</f>
        <v/>
      </c>
      <c r="M636" s="20">
        <v>635</v>
      </c>
    </row>
    <row r="637" spans="1:13" x14ac:dyDescent="0.15">
      <c r="A637" s="20">
        <f>dig!A637</f>
        <v>26</v>
      </c>
      <c r="B637" s="20">
        <f>dig!B637</f>
        <v>2603</v>
      </c>
      <c r="C637" s="20">
        <f>B637*100+COUNTIF(B$2:B637,B637)</f>
        <v>260301</v>
      </c>
      <c r="D637" s="20">
        <f t="shared" si="12"/>
        <v>30</v>
      </c>
      <c r="E637" s="20">
        <v>1</v>
      </c>
      <c r="H637" s="20" t="str">
        <f>VLOOKUP(C637,[1]!moster1,10,FALSE)</f>
        <v/>
      </c>
      <c r="M637" s="20">
        <v>636</v>
      </c>
    </row>
    <row r="638" spans="1:13" x14ac:dyDescent="0.15">
      <c r="A638" s="20">
        <f>dig!A638</f>
        <v>26</v>
      </c>
      <c r="B638" s="20">
        <f>dig!B638</f>
        <v>2603</v>
      </c>
      <c r="C638" s="20">
        <f>B638*100+COUNTIF(B$2:B638,B638)</f>
        <v>260302</v>
      </c>
      <c r="D638" s="20">
        <f t="shared" si="12"/>
        <v>30</v>
      </c>
      <c r="E638" s="20">
        <v>1</v>
      </c>
      <c r="H638" s="20" t="str">
        <f>VLOOKUP(C638,[1]!moster1,10,FALSE)</f>
        <v/>
      </c>
      <c r="M638" s="20">
        <v>637</v>
      </c>
    </row>
    <row r="639" spans="1:13" x14ac:dyDescent="0.15">
      <c r="A639" s="20">
        <f>dig!A639</f>
        <v>26</v>
      </c>
      <c r="B639" s="20">
        <f>dig!B639</f>
        <v>2603</v>
      </c>
      <c r="C639" s="20">
        <f>B639*100+COUNTIF(B$2:B639,B639)</f>
        <v>260303</v>
      </c>
      <c r="D639" s="20">
        <f t="shared" si="12"/>
        <v>30</v>
      </c>
      <c r="E639" s="20">
        <v>1</v>
      </c>
      <c r="H639" s="20" t="str">
        <f>VLOOKUP(C639,[1]!moster1,10,FALSE)</f>
        <v/>
      </c>
      <c r="M639" s="20">
        <v>638</v>
      </c>
    </row>
    <row r="640" spans="1:13" x14ac:dyDescent="0.15">
      <c r="A640" s="20">
        <f>dig!A640</f>
        <v>26</v>
      </c>
      <c r="B640" s="20">
        <f>dig!B640</f>
        <v>2603</v>
      </c>
      <c r="C640" s="20">
        <f>B640*100+COUNTIF(B$2:B640,B640)</f>
        <v>260304</v>
      </c>
      <c r="D640" s="20">
        <f t="shared" si="12"/>
        <v>10</v>
      </c>
      <c r="E640" s="20">
        <v>1</v>
      </c>
      <c r="H640" s="20" t="str">
        <f>VLOOKUP(C640,[1]!moster1,10,FALSE)</f>
        <v/>
      </c>
      <c r="M640" s="20">
        <v>639</v>
      </c>
    </row>
    <row r="641" spans="1:13" x14ac:dyDescent="0.15">
      <c r="A641" s="20">
        <f>dig!A641</f>
        <v>26</v>
      </c>
      <c r="B641" s="20">
        <f>dig!B641</f>
        <v>2603</v>
      </c>
      <c r="C641" s="20">
        <f>B641*100+COUNTIF(B$2:B641,B641)</f>
        <v>260305</v>
      </c>
      <c r="D641" s="20">
        <f t="shared" si="12"/>
        <v>10</v>
      </c>
      <c r="E641" s="20">
        <v>1</v>
      </c>
      <c r="H641" s="20" t="str">
        <f>VLOOKUP(C641,[1]!moster1,10,FALSE)</f>
        <v/>
      </c>
      <c r="M641" s="20">
        <v>640</v>
      </c>
    </row>
    <row r="642" spans="1:13" x14ac:dyDescent="0.15">
      <c r="A642" s="20">
        <f>dig!A642</f>
        <v>26</v>
      </c>
      <c r="B642" s="20">
        <f>dig!B642</f>
        <v>2604</v>
      </c>
      <c r="C642" s="20">
        <f>B642*100+COUNTIF(B$2:B642,B642)</f>
        <v>260401</v>
      </c>
      <c r="D642" s="20">
        <f t="shared" si="12"/>
        <v>30</v>
      </c>
      <c r="E642" s="20">
        <v>1</v>
      </c>
      <c r="H642" s="20" t="str">
        <f>VLOOKUP(C642,[1]!moster1,10,FALSE)</f>
        <v/>
      </c>
      <c r="M642" s="20">
        <v>641</v>
      </c>
    </row>
    <row r="643" spans="1:13" x14ac:dyDescent="0.15">
      <c r="A643" s="20">
        <f>dig!A643</f>
        <v>26</v>
      </c>
      <c r="B643" s="20">
        <f>dig!B643</f>
        <v>2604</v>
      </c>
      <c r="C643" s="20">
        <f>B643*100+COUNTIF(B$2:B643,B643)</f>
        <v>260402</v>
      </c>
      <c r="D643" s="20">
        <f t="shared" ref="D643:D701" si="13">IF(OR(RIGHT(C643,1)="5",RIGHT(C643,1)="4"),10,30)</f>
        <v>30</v>
      </c>
      <c r="E643" s="20">
        <v>1</v>
      </c>
      <c r="H643" s="20" t="str">
        <f>VLOOKUP(C643,[1]!moster1,10,FALSE)</f>
        <v/>
      </c>
      <c r="M643" s="20">
        <v>642</v>
      </c>
    </row>
    <row r="644" spans="1:13" x14ac:dyDescent="0.15">
      <c r="A644" s="20">
        <f>dig!A644</f>
        <v>26</v>
      </c>
      <c r="B644" s="20">
        <f>dig!B644</f>
        <v>2604</v>
      </c>
      <c r="C644" s="20">
        <f>B644*100+COUNTIF(B$2:B644,B644)</f>
        <v>260403</v>
      </c>
      <c r="D644" s="20">
        <f t="shared" si="13"/>
        <v>30</v>
      </c>
      <c r="E644" s="20">
        <v>1</v>
      </c>
      <c r="H644" s="20" t="str">
        <f>VLOOKUP(C644,[1]!moster1,10,FALSE)</f>
        <v/>
      </c>
      <c r="M644" s="20">
        <v>643</v>
      </c>
    </row>
    <row r="645" spans="1:13" x14ac:dyDescent="0.15">
      <c r="A645" s="20">
        <f>dig!A645</f>
        <v>26</v>
      </c>
      <c r="B645" s="20">
        <f>dig!B645</f>
        <v>2604</v>
      </c>
      <c r="C645" s="20">
        <f>B645*100+COUNTIF(B$2:B645,B645)</f>
        <v>260404</v>
      </c>
      <c r="D645" s="20">
        <f t="shared" si="13"/>
        <v>10</v>
      </c>
      <c r="E645" s="20">
        <v>1</v>
      </c>
      <c r="H645" s="20" t="str">
        <f>VLOOKUP(C645,[1]!moster1,10,FALSE)</f>
        <v/>
      </c>
      <c r="M645" s="20">
        <v>644</v>
      </c>
    </row>
    <row r="646" spans="1:13" x14ac:dyDescent="0.15">
      <c r="A646" s="20">
        <f>dig!A646</f>
        <v>26</v>
      </c>
      <c r="B646" s="20">
        <f>dig!B646</f>
        <v>2604</v>
      </c>
      <c r="C646" s="20">
        <f>B646*100+COUNTIF(B$2:B646,B646)</f>
        <v>260405</v>
      </c>
      <c r="D646" s="20">
        <f t="shared" si="13"/>
        <v>10</v>
      </c>
      <c r="E646" s="20">
        <v>1</v>
      </c>
      <c r="H646" s="20" t="str">
        <f>VLOOKUP(C646,[1]!moster1,10,FALSE)</f>
        <v/>
      </c>
      <c r="M646" s="20">
        <v>645</v>
      </c>
    </row>
    <row r="647" spans="1:13" x14ac:dyDescent="0.15">
      <c r="A647" s="20">
        <f>dig!A647</f>
        <v>26</v>
      </c>
      <c r="B647" s="20">
        <f>dig!B647</f>
        <v>2605</v>
      </c>
      <c r="C647" s="20">
        <f>B647*100+COUNTIF(B$2:B647,B647)</f>
        <v>260501</v>
      </c>
      <c r="D647" s="20">
        <f t="shared" si="13"/>
        <v>30</v>
      </c>
      <c r="E647" s="20">
        <v>1</v>
      </c>
      <c r="H647" s="20" t="str">
        <f>VLOOKUP(C647,[1]!moster1,10,FALSE)</f>
        <v/>
      </c>
      <c r="M647" s="20">
        <v>646</v>
      </c>
    </row>
    <row r="648" spans="1:13" x14ac:dyDescent="0.15">
      <c r="A648" s="20">
        <f>dig!A648</f>
        <v>26</v>
      </c>
      <c r="B648" s="20">
        <f>dig!B648</f>
        <v>2605</v>
      </c>
      <c r="C648" s="20">
        <f>B648*100+COUNTIF(B$2:B648,B648)</f>
        <v>260502</v>
      </c>
      <c r="D648" s="20">
        <f t="shared" si="13"/>
        <v>30</v>
      </c>
      <c r="E648" s="20">
        <v>1</v>
      </c>
      <c r="H648" s="20" t="str">
        <f>VLOOKUP(C648,[1]!moster1,10,FALSE)</f>
        <v/>
      </c>
      <c r="M648" s="20">
        <v>647</v>
      </c>
    </row>
    <row r="649" spans="1:13" x14ac:dyDescent="0.15">
      <c r="A649" s="20">
        <f>dig!A649</f>
        <v>26</v>
      </c>
      <c r="B649" s="20">
        <f>dig!B649</f>
        <v>2605</v>
      </c>
      <c r="C649" s="20">
        <f>B649*100+COUNTIF(B$2:B649,B649)</f>
        <v>260503</v>
      </c>
      <c r="D649" s="20">
        <f t="shared" si="13"/>
        <v>30</v>
      </c>
      <c r="E649" s="20">
        <v>1</v>
      </c>
      <c r="H649" s="20" t="str">
        <f>VLOOKUP(C649,[1]!moster1,10,FALSE)</f>
        <v/>
      </c>
      <c r="M649" s="20">
        <v>648</v>
      </c>
    </row>
    <row r="650" spans="1:13" x14ac:dyDescent="0.15">
      <c r="A650" s="20">
        <f>dig!A650</f>
        <v>26</v>
      </c>
      <c r="B650" s="20">
        <f>dig!B650</f>
        <v>2605</v>
      </c>
      <c r="C650" s="20">
        <f>B650*100+COUNTIF(B$2:B650,B650)</f>
        <v>260504</v>
      </c>
      <c r="D650" s="20">
        <f t="shared" si="13"/>
        <v>10</v>
      </c>
      <c r="E650" s="20">
        <v>1</v>
      </c>
      <c r="H650" s="20" t="str">
        <f>VLOOKUP(C650,[1]!moster1,10,FALSE)</f>
        <v/>
      </c>
      <c r="M650" s="20">
        <v>649</v>
      </c>
    </row>
    <row r="651" spans="1:13" x14ac:dyDescent="0.15">
      <c r="A651" s="20">
        <f>dig!A651</f>
        <v>26</v>
      </c>
      <c r="B651" s="20">
        <f>dig!B651</f>
        <v>2605</v>
      </c>
      <c r="C651" s="20">
        <f>B651*100+COUNTIF(B$2:B651,B651)</f>
        <v>260505</v>
      </c>
      <c r="D651" s="20">
        <f t="shared" si="13"/>
        <v>10</v>
      </c>
      <c r="E651" s="20">
        <v>1</v>
      </c>
      <c r="H651" s="20" t="str">
        <f>VLOOKUP(C651,[1]!moster1,10,FALSE)</f>
        <v/>
      </c>
      <c r="M651" s="20">
        <v>650</v>
      </c>
    </row>
    <row r="652" spans="1:13" x14ac:dyDescent="0.15">
      <c r="A652" s="20">
        <f>dig!A652</f>
        <v>27</v>
      </c>
      <c r="B652" s="20">
        <f>dig!B652</f>
        <v>2701</v>
      </c>
      <c r="C652" s="20">
        <f>B652*100+COUNTIF(B$2:B652,B652)</f>
        <v>270101</v>
      </c>
      <c r="D652" s="20">
        <f t="shared" si="13"/>
        <v>30</v>
      </c>
      <c r="E652" s="20">
        <v>1</v>
      </c>
      <c r="H652" s="20" t="str">
        <f>VLOOKUP(C652,[1]!moster1,10,FALSE)</f>
        <v/>
      </c>
      <c r="M652" s="20">
        <v>651</v>
      </c>
    </row>
    <row r="653" spans="1:13" x14ac:dyDescent="0.15">
      <c r="A653" s="20">
        <f>dig!A653</f>
        <v>27</v>
      </c>
      <c r="B653" s="20">
        <f>dig!B653</f>
        <v>2701</v>
      </c>
      <c r="C653" s="20">
        <f>B653*100+COUNTIF(B$2:B653,B653)</f>
        <v>270102</v>
      </c>
      <c r="D653" s="20">
        <f t="shared" si="13"/>
        <v>30</v>
      </c>
      <c r="E653" s="20">
        <v>1</v>
      </c>
      <c r="H653" s="20" t="str">
        <f>VLOOKUP(C653,[1]!moster1,10,FALSE)</f>
        <v/>
      </c>
      <c r="M653" s="20">
        <v>652</v>
      </c>
    </row>
    <row r="654" spans="1:13" x14ac:dyDescent="0.15">
      <c r="A654" s="20">
        <f>dig!A654</f>
        <v>27</v>
      </c>
      <c r="B654" s="20">
        <f>dig!B654</f>
        <v>2701</v>
      </c>
      <c r="C654" s="20">
        <f>B654*100+COUNTIF(B$2:B654,B654)</f>
        <v>270103</v>
      </c>
      <c r="D654" s="20">
        <f t="shared" si="13"/>
        <v>30</v>
      </c>
      <c r="E654" s="20">
        <v>1</v>
      </c>
      <c r="H654" s="20" t="str">
        <f>VLOOKUP(C654,[1]!moster1,10,FALSE)</f>
        <v/>
      </c>
      <c r="M654" s="20">
        <v>653</v>
      </c>
    </row>
    <row r="655" spans="1:13" x14ac:dyDescent="0.15">
      <c r="A655" s="20">
        <f>dig!A655</f>
        <v>27</v>
      </c>
      <c r="B655" s="20">
        <f>dig!B655</f>
        <v>2701</v>
      </c>
      <c r="C655" s="20">
        <f>B655*100+COUNTIF(B$2:B655,B655)</f>
        <v>270104</v>
      </c>
      <c r="D655" s="20">
        <f t="shared" si="13"/>
        <v>10</v>
      </c>
      <c r="E655" s="20">
        <v>1</v>
      </c>
      <c r="H655" s="20" t="str">
        <f>VLOOKUP(C655,[1]!moster1,10,FALSE)</f>
        <v/>
      </c>
      <c r="M655" s="20">
        <v>654</v>
      </c>
    </row>
    <row r="656" spans="1:13" x14ac:dyDescent="0.15">
      <c r="A656" s="20">
        <f>dig!A656</f>
        <v>27</v>
      </c>
      <c r="B656" s="20">
        <f>dig!B656</f>
        <v>2701</v>
      </c>
      <c r="C656" s="20">
        <f>B656*100+COUNTIF(B$2:B656,B656)</f>
        <v>270105</v>
      </c>
      <c r="D656" s="20">
        <f t="shared" si="13"/>
        <v>10</v>
      </c>
      <c r="E656" s="20">
        <v>1</v>
      </c>
      <c r="H656" s="20" t="str">
        <f>VLOOKUP(C656,[1]!moster1,10,FALSE)</f>
        <v/>
      </c>
      <c r="M656" s="20">
        <v>655</v>
      </c>
    </row>
    <row r="657" spans="1:13" x14ac:dyDescent="0.15">
      <c r="A657" s="20">
        <f>dig!A657</f>
        <v>27</v>
      </c>
      <c r="B657" s="20">
        <f>dig!B657</f>
        <v>2702</v>
      </c>
      <c r="C657" s="20">
        <f>B657*100+COUNTIF(B$2:B657,B657)</f>
        <v>270201</v>
      </c>
      <c r="D657" s="20">
        <f t="shared" si="13"/>
        <v>30</v>
      </c>
      <c r="E657" s="20">
        <v>1</v>
      </c>
      <c r="H657" s="20" t="str">
        <f>VLOOKUP(C657,[1]!moster1,10,FALSE)</f>
        <v/>
      </c>
      <c r="M657" s="20">
        <v>656</v>
      </c>
    </row>
    <row r="658" spans="1:13" x14ac:dyDescent="0.15">
      <c r="A658" s="20">
        <f>dig!A658</f>
        <v>27</v>
      </c>
      <c r="B658" s="20">
        <f>dig!B658</f>
        <v>2702</v>
      </c>
      <c r="C658" s="20">
        <f>B658*100+COUNTIF(B$2:B658,B658)</f>
        <v>270202</v>
      </c>
      <c r="D658" s="20">
        <f t="shared" si="13"/>
        <v>30</v>
      </c>
      <c r="E658" s="20">
        <v>1</v>
      </c>
      <c r="H658" s="20" t="str">
        <f>VLOOKUP(C658,[1]!moster1,10,FALSE)</f>
        <v/>
      </c>
      <c r="M658" s="20">
        <v>657</v>
      </c>
    </row>
    <row r="659" spans="1:13" x14ac:dyDescent="0.15">
      <c r="A659" s="20">
        <f>dig!A659</f>
        <v>27</v>
      </c>
      <c r="B659" s="20">
        <f>dig!B659</f>
        <v>2702</v>
      </c>
      <c r="C659" s="20">
        <f>B659*100+COUNTIF(B$2:B659,B659)</f>
        <v>270203</v>
      </c>
      <c r="D659" s="20">
        <f t="shared" si="13"/>
        <v>30</v>
      </c>
      <c r="E659" s="20">
        <v>1</v>
      </c>
      <c r="H659" s="20" t="str">
        <f>VLOOKUP(C659,[1]!moster1,10,FALSE)</f>
        <v/>
      </c>
      <c r="M659" s="20">
        <v>658</v>
      </c>
    </row>
    <row r="660" spans="1:13" x14ac:dyDescent="0.15">
      <c r="A660" s="20">
        <f>dig!A660</f>
        <v>27</v>
      </c>
      <c r="B660" s="20">
        <f>dig!B660</f>
        <v>2702</v>
      </c>
      <c r="C660" s="20">
        <f>B660*100+COUNTIF(B$2:B660,B660)</f>
        <v>270204</v>
      </c>
      <c r="D660" s="20">
        <f t="shared" si="13"/>
        <v>10</v>
      </c>
      <c r="E660" s="20">
        <v>1</v>
      </c>
      <c r="H660" s="20" t="str">
        <f>VLOOKUP(C660,[1]!moster1,10,FALSE)</f>
        <v/>
      </c>
      <c r="M660" s="20">
        <v>659</v>
      </c>
    </row>
    <row r="661" spans="1:13" x14ac:dyDescent="0.15">
      <c r="A661" s="20">
        <f>dig!A661</f>
        <v>27</v>
      </c>
      <c r="B661" s="20">
        <f>dig!B661</f>
        <v>2702</v>
      </c>
      <c r="C661" s="20">
        <f>B661*100+COUNTIF(B$2:B661,B661)</f>
        <v>270205</v>
      </c>
      <c r="D661" s="20">
        <f t="shared" si="13"/>
        <v>10</v>
      </c>
      <c r="E661" s="20">
        <v>1</v>
      </c>
      <c r="H661" s="20" t="str">
        <f>VLOOKUP(C661,[1]!moster1,10,FALSE)</f>
        <v/>
      </c>
      <c r="M661" s="20">
        <v>660</v>
      </c>
    </row>
    <row r="662" spans="1:13" x14ac:dyDescent="0.15">
      <c r="A662" s="20">
        <f>dig!A662</f>
        <v>27</v>
      </c>
      <c r="B662" s="20">
        <f>dig!B662</f>
        <v>2703</v>
      </c>
      <c r="C662" s="20">
        <f>B662*100+COUNTIF(B$2:B662,B662)</f>
        <v>270301</v>
      </c>
      <c r="D662" s="20">
        <f t="shared" si="13"/>
        <v>30</v>
      </c>
      <c r="E662" s="20">
        <v>1</v>
      </c>
      <c r="H662" s="20" t="str">
        <f>VLOOKUP(C662,[1]!moster1,10,FALSE)</f>
        <v/>
      </c>
      <c r="M662" s="20">
        <v>661</v>
      </c>
    </row>
    <row r="663" spans="1:13" x14ac:dyDescent="0.15">
      <c r="A663" s="20">
        <f>dig!A663</f>
        <v>27</v>
      </c>
      <c r="B663" s="20">
        <f>dig!B663</f>
        <v>2703</v>
      </c>
      <c r="C663" s="20">
        <f>B663*100+COUNTIF(B$2:B663,B663)</f>
        <v>270302</v>
      </c>
      <c r="D663" s="20">
        <f t="shared" si="13"/>
        <v>30</v>
      </c>
      <c r="E663" s="20">
        <v>1</v>
      </c>
      <c r="H663" s="20" t="str">
        <f>VLOOKUP(C663,[1]!moster1,10,FALSE)</f>
        <v/>
      </c>
      <c r="M663" s="20">
        <v>662</v>
      </c>
    </row>
    <row r="664" spans="1:13" x14ac:dyDescent="0.15">
      <c r="A664" s="20">
        <f>dig!A664</f>
        <v>27</v>
      </c>
      <c r="B664" s="20">
        <f>dig!B664</f>
        <v>2703</v>
      </c>
      <c r="C664" s="20">
        <f>B664*100+COUNTIF(B$2:B664,B664)</f>
        <v>270303</v>
      </c>
      <c r="D664" s="20">
        <f t="shared" si="13"/>
        <v>30</v>
      </c>
      <c r="E664" s="20">
        <v>1</v>
      </c>
      <c r="H664" s="20" t="str">
        <f>VLOOKUP(C664,[1]!moster1,10,FALSE)</f>
        <v/>
      </c>
      <c r="M664" s="20">
        <v>663</v>
      </c>
    </row>
    <row r="665" spans="1:13" x14ac:dyDescent="0.15">
      <c r="A665" s="20">
        <f>dig!A665</f>
        <v>27</v>
      </c>
      <c r="B665" s="20">
        <f>dig!B665</f>
        <v>2703</v>
      </c>
      <c r="C665" s="20">
        <f>B665*100+COUNTIF(B$2:B665,B665)</f>
        <v>270304</v>
      </c>
      <c r="D665" s="20">
        <f t="shared" si="13"/>
        <v>10</v>
      </c>
      <c r="E665" s="20">
        <v>1</v>
      </c>
      <c r="H665" s="20" t="str">
        <f>VLOOKUP(C665,[1]!moster1,10,FALSE)</f>
        <v/>
      </c>
      <c r="M665" s="20">
        <v>664</v>
      </c>
    </row>
    <row r="666" spans="1:13" x14ac:dyDescent="0.15">
      <c r="A666" s="20">
        <f>dig!A666</f>
        <v>27</v>
      </c>
      <c r="B666" s="20">
        <f>dig!B666</f>
        <v>2703</v>
      </c>
      <c r="C666" s="20">
        <f>B666*100+COUNTIF(B$2:B666,B666)</f>
        <v>270305</v>
      </c>
      <c r="D666" s="20">
        <f t="shared" si="13"/>
        <v>10</v>
      </c>
      <c r="E666" s="20">
        <v>1</v>
      </c>
      <c r="H666" s="20" t="str">
        <f>VLOOKUP(C666,[1]!moster1,10,FALSE)</f>
        <v/>
      </c>
      <c r="M666" s="20">
        <v>665</v>
      </c>
    </row>
    <row r="667" spans="1:13" x14ac:dyDescent="0.15">
      <c r="A667" s="20">
        <f>dig!A667</f>
        <v>27</v>
      </c>
      <c r="B667" s="20">
        <f>dig!B667</f>
        <v>2704</v>
      </c>
      <c r="C667" s="20">
        <f>B667*100+COUNTIF(B$2:B667,B667)</f>
        <v>270401</v>
      </c>
      <c r="D667" s="20">
        <f t="shared" si="13"/>
        <v>30</v>
      </c>
      <c r="E667" s="20">
        <v>1</v>
      </c>
      <c r="H667" s="20" t="str">
        <f>VLOOKUP(C667,[1]!moster1,10,FALSE)</f>
        <v/>
      </c>
      <c r="M667" s="20">
        <v>666</v>
      </c>
    </row>
    <row r="668" spans="1:13" x14ac:dyDescent="0.15">
      <c r="A668" s="20">
        <f>dig!A668</f>
        <v>27</v>
      </c>
      <c r="B668" s="20">
        <f>dig!B668</f>
        <v>2704</v>
      </c>
      <c r="C668" s="20">
        <f>B668*100+COUNTIF(B$2:B668,B668)</f>
        <v>270402</v>
      </c>
      <c r="D668" s="20">
        <f t="shared" si="13"/>
        <v>30</v>
      </c>
      <c r="E668" s="20">
        <v>1</v>
      </c>
      <c r="H668" s="20" t="str">
        <f>VLOOKUP(C668,[1]!moster1,10,FALSE)</f>
        <v/>
      </c>
      <c r="M668" s="20">
        <v>667</v>
      </c>
    </row>
    <row r="669" spans="1:13" x14ac:dyDescent="0.15">
      <c r="A669" s="20">
        <f>dig!A669</f>
        <v>27</v>
      </c>
      <c r="B669" s="20">
        <f>dig!B669</f>
        <v>2704</v>
      </c>
      <c r="C669" s="20">
        <f>B669*100+COUNTIF(B$2:B669,B669)</f>
        <v>270403</v>
      </c>
      <c r="D669" s="20">
        <f t="shared" si="13"/>
        <v>30</v>
      </c>
      <c r="E669" s="20">
        <v>1</v>
      </c>
      <c r="H669" s="20" t="str">
        <f>VLOOKUP(C669,[1]!moster1,10,FALSE)</f>
        <v/>
      </c>
      <c r="M669" s="20">
        <v>668</v>
      </c>
    </row>
    <row r="670" spans="1:13" x14ac:dyDescent="0.15">
      <c r="A670" s="20">
        <f>dig!A670</f>
        <v>27</v>
      </c>
      <c r="B670" s="20">
        <f>dig!B670</f>
        <v>2704</v>
      </c>
      <c r="C670" s="20">
        <f>B670*100+COUNTIF(B$2:B670,B670)</f>
        <v>270404</v>
      </c>
      <c r="D670" s="20">
        <f t="shared" si="13"/>
        <v>10</v>
      </c>
      <c r="E670" s="20">
        <v>1</v>
      </c>
      <c r="H670" s="20" t="str">
        <f>VLOOKUP(C670,[1]!moster1,10,FALSE)</f>
        <v/>
      </c>
      <c r="M670" s="20">
        <v>669</v>
      </c>
    </row>
    <row r="671" spans="1:13" x14ac:dyDescent="0.15">
      <c r="A671" s="20">
        <f>dig!A671</f>
        <v>27</v>
      </c>
      <c r="B671" s="20">
        <f>dig!B671</f>
        <v>2704</v>
      </c>
      <c r="C671" s="20">
        <f>B671*100+COUNTIF(B$2:B671,B671)</f>
        <v>270405</v>
      </c>
      <c r="D671" s="20">
        <f t="shared" si="13"/>
        <v>10</v>
      </c>
      <c r="E671" s="20">
        <v>1</v>
      </c>
      <c r="H671" s="20" t="str">
        <f>VLOOKUP(C671,[1]!moster1,10,FALSE)</f>
        <v/>
      </c>
      <c r="M671" s="20">
        <v>670</v>
      </c>
    </row>
    <row r="672" spans="1:13" x14ac:dyDescent="0.15">
      <c r="A672" s="20">
        <f>dig!A672</f>
        <v>27</v>
      </c>
      <c r="B672" s="20">
        <f>dig!B672</f>
        <v>2705</v>
      </c>
      <c r="C672" s="20">
        <f>B672*100+COUNTIF(B$2:B672,B672)</f>
        <v>270501</v>
      </c>
      <c r="D672" s="20">
        <f t="shared" si="13"/>
        <v>30</v>
      </c>
      <c r="E672" s="20">
        <v>1</v>
      </c>
      <c r="H672" s="20" t="str">
        <f>VLOOKUP(C672,[1]!moster1,10,FALSE)</f>
        <v/>
      </c>
      <c r="M672" s="20">
        <v>671</v>
      </c>
    </row>
    <row r="673" spans="1:13" x14ac:dyDescent="0.15">
      <c r="A673" s="20">
        <f>dig!A673</f>
        <v>27</v>
      </c>
      <c r="B673" s="20">
        <f>dig!B673</f>
        <v>2705</v>
      </c>
      <c r="C673" s="20">
        <f>B673*100+COUNTIF(B$2:B673,B673)</f>
        <v>270502</v>
      </c>
      <c r="D673" s="20">
        <f t="shared" si="13"/>
        <v>30</v>
      </c>
      <c r="E673" s="20">
        <v>1</v>
      </c>
      <c r="H673" s="20" t="str">
        <f>VLOOKUP(C673,[1]!moster1,10,FALSE)</f>
        <v/>
      </c>
      <c r="M673" s="20">
        <v>672</v>
      </c>
    </row>
    <row r="674" spans="1:13" x14ac:dyDescent="0.15">
      <c r="A674" s="20">
        <f>dig!A674</f>
        <v>27</v>
      </c>
      <c r="B674" s="20">
        <f>dig!B674</f>
        <v>2705</v>
      </c>
      <c r="C674" s="20">
        <f>B674*100+COUNTIF(B$2:B674,B674)</f>
        <v>270503</v>
      </c>
      <c r="D674" s="20">
        <f t="shared" si="13"/>
        <v>30</v>
      </c>
      <c r="E674" s="20">
        <v>1</v>
      </c>
      <c r="H674" s="20" t="str">
        <f>VLOOKUP(C674,[1]!moster1,10,FALSE)</f>
        <v/>
      </c>
      <c r="M674" s="20">
        <v>673</v>
      </c>
    </row>
    <row r="675" spans="1:13" x14ac:dyDescent="0.15">
      <c r="A675" s="20">
        <f>dig!A675</f>
        <v>27</v>
      </c>
      <c r="B675" s="20">
        <f>dig!B675</f>
        <v>2705</v>
      </c>
      <c r="C675" s="20">
        <f>B675*100+COUNTIF(B$2:B675,B675)</f>
        <v>270504</v>
      </c>
      <c r="D675" s="20">
        <f t="shared" si="13"/>
        <v>10</v>
      </c>
      <c r="E675" s="20">
        <v>1</v>
      </c>
      <c r="H675" s="20" t="str">
        <f>VLOOKUP(C675,[1]!moster1,10,FALSE)</f>
        <v/>
      </c>
      <c r="M675" s="20">
        <v>674</v>
      </c>
    </row>
    <row r="676" spans="1:13" x14ac:dyDescent="0.15">
      <c r="A676" s="20">
        <f>dig!A676</f>
        <v>27</v>
      </c>
      <c r="B676" s="20">
        <f>dig!B676</f>
        <v>2705</v>
      </c>
      <c r="C676" s="20">
        <f>B676*100+COUNTIF(B$2:B676,B676)</f>
        <v>270505</v>
      </c>
      <c r="D676" s="20">
        <f t="shared" si="13"/>
        <v>10</v>
      </c>
      <c r="E676" s="20">
        <v>1</v>
      </c>
      <c r="H676" s="20" t="str">
        <f>VLOOKUP(C676,[1]!moster1,10,FALSE)</f>
        <v/>
      </c>
      <c r="M676" s="20">
        <v>675</v>
      </c>
    </row>
    <row r="677" spans="1:13" x14ac:dyDescent="0.15">
      <c r="A677" s="20">
        <f>dig!A677</f>
        <v>28</v>
      </c>
      <c r="B677" s="20">
        <f>dig!B677</f>
        <v>2801</v>
      </c>
      <c r="C677" s="20">
        <f>B677*100+COUNTIF(B$2:B677,B677)</f>
        <v>280101</v>
      </c>
      <c r="D677" s="20">
        <f t="shared" si="13"/>
        <v>30</v>
      </c>
      <c r="E677" s="20">
        <v>1</v>
      </c>
      <c r="H677" s="20" t="str">
        <f>VLOOKUP(C677,[1]!moster1,10,FALSE)</f>
        <v/>
      </c>
      <c r="M677" s="20">
        <v>676</v>
      </c>
    </row>
    <row r="678" spans="1:13" x14ac:dyDescent="0.15">
      <c r="A678" s="20">
        <f>dig!A678</f>
        <v>28</v>
      </c>
      <c r="B678" s="20">
        <f>dig!B678</f>
        <v>2801</v>
      </c>
      <c r="C678" s="20">
        <f>B678*100+COUNTIF(B$2:B678,B678)</f>
        <v>280102</v>
      </c>
      <c r="D678" s="20">
        <f t="shared" si="13"/>
        <v>30</v>
      </c>
      <c r="E678" s="20">
        <v>1</v>
      </c>
      <c r="H678" s="20" t="str">
        <f>VLOOKUP(C678,[1]!moster1,10,FALSE)</f>
        <v/>
      </c>
      <c r="M678" s="20">
        <v>677</v>
      </c>
    </row>
    <row r="679" spans="1:13" x14ac:dyDescent="0.15">
      <c r="A679" s="20">
        <f>dig!A679</f>
        <v>28</v>
      </c>
      <c r="B679" s="20">
        <f>dig!B679</f>
        <v>2801</v>
      </c>
      <c r="C679" s="20">
        <f>B679*100+COUNTIF(B$2:B679,B679)</f>
        <v>280103</v>
      </c>
      <c r="D679" s="20">
        <f t="shared" si="13"/>
        <v>30</v>
      </c>
      <c r="E679" s="20">
        <v>1</v>
      </c>
      <c r="H679" s="20" t="str">
        <f>VLOOKUP(C679,[1]!moster1,10,FALSE)</f>
        <v/>
      </c>
      <c r="M679" s="20">
        <v>678</v>
      </c>
    </row>
    <row r="680" spans="1:13" x14ac:dyDescent="0.15">
      <c r="A680" s="20">
        <f>dig!A680</f>
        <v>28</v>
      </c>
      <c r="B680" s="20">
        <f>dig!B680</f>
        <v>2801</v>
      </c>
      <c r="C680" s="20">
        <f>B680*100+COUNTIF(B$2:B680,B680)</f>
        <v>280104</v>
      </c>
      <c r="D680" s="20">
        <f t="shared" si="13"/>
        <v>10</v>
      </c>
      <c r="E680" s="20">
        <v>1</v>
      </c>
      <c r="H680" s="20" t="str">
        <f>VLOOKUP(C680,[1]!moster1,10,FALSE)</f>
        <v/>
      </c>
      <c r="M680" s="20">
        <v>679</v>
      </c>
    </row>
    <row r="681" spans="1:13" x14ac:dyDescent="0.15">
      <c r="A681" s="20">
        <f>dig!A681</f>
        <v>28</v>
      </c>
      <c r="B681" s="20">
        <f>dig!B681</f>
        <v>2801</v>
      </c>
      <c r="C681" s="20">
        <f>B681*100+COUNTIF(B$2:B681,B681)</f>
        <v>280105</v>
      </c>
      <c r="D681" s="20">
        <f t="shared" si="13"/>
        <v>10</v>
      </c>
      <c r="E681" s="20">
        <v>1</v>
      </c>
      <c r="H681" s="20" t="str">
        <f>VLOOKUP(C681,[1]!moster1,10,FALSE)</f>
        <v/>
      </c>
      <c r="M681" s="20">
        <v>680</v>
      </c>
    </row>
    <row r="682" spans="1:13" x14ac:dyDescent="0.15">
      <c r="A682" s="20">
        <f>dig!A682</f>
        <v>28</v>
      </c>
      <c r="B682" s="20">
        <f>dig!B682</f>
        <v>2802</v>
      </c>
      <c r="C682" s="20">
        <f>B682*100+COUNTIF(B$2:B682,B682)</f>
        <v>280201</v>
      </c>
      <c r="D682" s="20">
        <f t="shared" si="13"/>
        <v>30</v>
      </c>
      <c r="E682" s="20">
        <v>1</v>
      </c>
      <c r="H682" s="20" t="str">
        <f>VLOOKUP(C682,[1]!moster1,10,FALSE)</f>
        <v/>
      </c>
      <c r="M682" s="20">
        <v>681</v>
      </c>
    </row>
    <row r="683" spans="1:13" x14ac:dyDescent="0.15">
      <c r="A683" s="20">
        <f>dig!A683</f>
        <v>28</v>
      </c>
      <c r="B683" s="20">
        <f>dig!B683</f>
        <v>2802</v>
      </c>
      <c r="C683" s="20">
        <f>B683*100+COUNTIF(B$2:B683,B683)</f>
        <v>280202</v>
      </c>
      <c r="D683" s="20">
        <f t="shared" si="13"/>
        <v>30</v>
      </c>
      <c r="E683" s="20">
        <v>1</v>
      </c>
      <c r="H683" s="20" t="str">
        <f>VLOOKUP(C683,[1]!moster1,10,FALSE)</f>
        <v/>
      </c>
      <c r="M683" s="20">
        <v>682</v>
      </c>
    </row>
    <row r="684" spans="1:13" x14ac:dyDescent="0.15">
      <c r="A684" s="20">
        <f>dig!A684</f>
        <v>28</v>
      </c>
      <c r="B684" s="20">
        <f>dig!B684</f>
        <v>2802</v>
      </c>
      <c r="C684" s="20">
        <f>B684*100+COUNTIF(B$2:B684,B684)</f>
        <v>280203</v>
      </c>
      <c r="D684" s="20">
        <f t="shared" si="13"/>
        <v>30</v>
      </c>
      <c r="E684" s="20">
        <v>1</v>
      </c>
      <c r="H684" s="20" t="str">
        <f>VLOOKUP(C684,[1]!moster1,10,FALSE)</f>
        <v/>
      </c>
      <c r="M684" s="20">
        <v>683</v>
      </c>
    </row>
    <row r="685" spans="1:13" x14ac:dyDescent="0.15">
      <c r="A685" s="20">
        <f>dig!A685</f>
        <v>28</v>
      </c>
      <c r="B685" s="20">
        <f>dig!B685</f>
        <v>2802</v>
      </c>
      <c r="C685" s="20">
        <f>B685*100+COUNTIF(B$2:B685,B685)</f>
        <v>280204</v>
      </c>
      <c r="D685" s="20">
        <f t="shared" si="13"/>
        <v>10</v>
      </c>
      <c r="E685" s="20">
        <v>1</v>
      </c>
      <c r="H685" s="20" t="str">
        <f>VLOOKUP(C685,[1]!moster1,10,FALSE)</f>
        <v/>
      </c>
      <c r="M685" s="20">
        <v>684</v>
      </c>
    </row>
    <row r="686" spans="1:13" x14ac:dyDescent="0.15">
      <c r="A686" s="20">
        <f>dig!A686</f>
        <v>28</v>
      </c>
      <c r="B686" s="20">
        <f>dig!B686</f>
        <v>2802</v>
      </c>
      <c r="C686" s="20">
        <f>B686*100+COUNTIF(B$2:B686,B686)</f>
        <v>280205</v>
      </c>
      <c r="D686" s="20">
        <f t="shared" si="13"/>
        <v>10</v>
      </c>
      <c r="E686" s="20">
        <v>1</v>
      </c>
      <c r="H686" s="20" t="str">
        <f>VLOOKUP(C686,[1]!moster1,10,FALSE)</f>
        <v/>
      </c>
      <c r="M686" s="20">
        <v>685</v>
      </c>
    </row>
    <row r="687" spans="1:13" x14ac:dyDescent="0.15">
      <c r="A687" s="20">
        <f>dig!A687</f>
        <v>28</v>
      </c>
      <c r="B687" s="20">
        <f>dig!B687</f>
        <v>2803</v>
      </c>
      <c r="C687" s="20">
        <f>B687*100+COUNTIF(B$2:B687,B687)</f>
        <v>280301</v>
      </c>
      <c r="D687" s="20">
        <f t="shared" si="13"/>
        <v>30</v>
      </c>
      <c r="E687" s="20">
        <v>1</v>
      </c>
      <c r="H687" s="20" t="str">
        <f>VLOOKUP(C687,[1]!moster1,10,FALSE)</f>
        <v/>
      </c>
      <c r="M687" s="20">
        <v>686</v>
      </c>
    </row>
    <row r="688" spans="1:13" x14ac:dyDescent="0.15">
      <c r="A688" s="20">
        <f>dig!A688</f>
        <v>28</v>
      </c>
      <c r="B688" s="20">
        <f>dig!B688</f>
        <v>2803</v>
      </c>
      <c r="C688" s="20">
        <f>B688*100+COUNTIF(B$2:B688,B688)</f>
        <v>280302</v>
      </c>
      <c r="D688" s="20">
        <f t="shared" si="13"/>
        <v>30</v>
      </c>
      <c r="E688" s="20">
        <v>1</v>
      </c>
      <c r="H688" s="20" t="str">
        <f>VLOOKUP(C688,[1]!moster1,10,FALSE)</f>
        <v/>
      </c>
      <c r="M688" s="20">
        <v>687</v>
      </c>
    </row>
    <row r="689" spans="1:13" x14ac:dyDescent="0.15">
      <c r="A689" s="20">
        <f>dig!A689</f>
        <v>28</v>
      </c>
      <c r="B689" s="20">
        <f>dig!B689</f>
        <v>2803</v>
      </c>
      <c r="C689" s="20">
        <f>B689*100+COUNTIF(B$2:B689,B689)</f>
        <v>280303</v>
      </c>
      <c r="D689" s="20">
        <f t="shared" si="13"/>
        <v>30</v>
      </c>
      <c r="E689" s="20">
        <v>1</v>
      </c>
      <c r="H689" s="20" t="str">
        <f>VLOOKUP(C689,[1]!moster1,10,FALSE)</f>
        <v/>
      </c>
      <c r="M689" s="20">
        <v>688</v>
      </c>
    </row>
    <row r="690" spans="1:13" x14ac:dyDescent="0.15">
      <c r="A690" s="20">
        <f>dig!A690</f>
        <v>28</v>
      </c>
      <c r="B690" s="20">
        <f>dig!B690</f>
        <v>2803</v>
      </c>
      <c r="C690" s="20">
        <f>B690*100+COUNTIF(B$2:B690,B690)</f>
        <v>280304</v>
      </c>
      <c r="D690" s="20">
        <f t="shared" si="13"/>
        <v>10</v>
      </c>
      <c r="E690" s="20">
        <v>1</v>
      </c>
      <c r="H690" s="20" t="str">
        <f>VLOOKUP(C690,[1]!moster1,10,FALSE)</f>
        <v/>
      </c>
      <c r="M690" s="20">
        <v>689</v>
      </c>
    </row>
    <row r="691" spans="1:13" x14ac:dyDescent="0.15">
      <c r="A691" s="20">
        <f>dig!A691</f>
        <v>28</v>
      </c>
      <c r="B691" s="20">
        <f>dig!B691</f>
        <v>2803</v>
      </c>
      <c r="C691" s="20">
        <f>B691*100+COUNTIF(B$2:B691,B691)</f>
        <v>280305</v>
      </c>
      <c r="D691" s="20">
        <f t="shared" si="13"/>
        <v>10</v>
      </c>
      <c r="E691" s="20">
        <v>1</v>
      </c>
      <c r="H691" s="20" t="str">
        <f>VLOOKUP(C691,[1]!moster1,10,FALSE)</f>
        <v/>
      </c>
      <c r="M691" s="20">
        <v>690</v>
      </c>
    </row>
    <row r="692" spans="1:13" x14ac:dyDescent="0.15">
      <c r="A692" s="20">
        <f>dig!A692</f>
        <v>28</v>
      </c>
      <c r="B692" s="20">
        <f>dig!B692</f>
        <v>2804</v>
      </c>
      <c r="C692" s="20">
        <f>B692*100+COUNTIF(B$2:B692,B692)</f>
        <v>280401</v>
      </c>
      <c r="D692" s="20">
        <f t="shared" si="13"/>
        <v>30</v>
      </c>
      <c r="E692" s="20">
        <v>1</v>
      </c>
      <c r="H692" s="20" t="str">
        <f>VLOOKUP(C692,[1]!moster1,10,FALSE)</f>
        <v/>
      </c>
      <c r="M692" s="20">
        <v>691</v>
      </c>
    </row>
    <row r="693" spans="1:13" x14ac:dyDescent="0.15">
      <c r="A693" s="20">
        <f>dig!A693</f>
        <v>28</v>
      </c>
      <c r="B693" s="20">
        <f>dig!B693</f>
        <v>2804</v>
      </c>
      <c r="C693" s="20">
        <f>B693*100+COUNTIF(B$2:B693,B693)</f>
        <v>280402</v>
      </c>
      <c r="D693" s="20">
        <f t="shared" si="13"/>
        <v>30</v>
      </c>
      <c r="E693" s="20">
        <v>1</v>
      </c>
      <c r="H693" s="20" t="str">
        <f>VLOOKUP(C693,[1]!moster1,10,FALSE)</f>
        <v/>
      </c>
      <c r="M693" s="20">
        <v>692</v>
      </c>
    </row>
    <row r="694" spans="1:13" x14ac:dyDescent="0.15">
      <c r="A694" s="20">
        <f>dig!A694</f>
        <v>28</v>
      </c>
      <c r="B694" s="20">
        <f>dig!B694</f>
        <v>2804</v>
      </c>
      <c r="C694" s="20">
        <f>B694*100+COUNTIF(B$2:B694,B694)</f>
        <v>280403</v>
      </c>
      <c r="D694" s="20">
        <f t="shared" si="13"/>
        <v>30</v>
      </c>
      <c r="E694" s="20">
        <v>1</v>
      </c>
      <c r="H694" s="20" t="str">
        <f>VLOOKUP(C694,[1]!moster1,10,FALSE)</f>
        <v/>
      </c>
      <c r="M694" s="20">
        <v>693</v>
      </c>
    </row>
    <row r="695" spans="1:13" x14ac:dyDescent="0.15">
      <c r="A695" s="20">
        <f>dig!A695</f>
        <v>28</v>
      </c>
      <c r="B695" s="20">
        <f>dig!B695</f>
        <v>2804</v>
      </c>
      <c r="C695" s="20">
        <f>B695*100+COUNTIF(B$2:B695,B695)</f>
        <v>280404</v>
      </c>
      <c r="D695" s="20">
        <f t="shared" si="13"/>
        <v>10</v>
      </c>
      <c r="E695" s="20">
        <v>1</v>
      </c>
      <c r="H695" s="20" t="str">
        <f>VLOOKUP(C695,[1]!moster1,10,FALSE)</f>
        <v/>
      </c>
      <c r="M695" s="20">
        <v>694</v>
      </c>
    </row>
    <row r="696" spans="1:13" x14ac:dyDescent="0.15">
      <c r="A696" s="20">
        <f>dig!A696</f>
        <v>28</v>
      </c>
      <c r="B696" s="20">
        <f>dig!B696</f>
        <v>2804</v>
      </c>
      <c r="C696" s="20">
        <f>B696*100+COUNTIF(B$2:B696,B696)</f>
        <v>280405</v>
      </c>
      <c r="D696" s="20">
        <f t="shared" si="13"/>
        <v>10</v>
      </c>
      <c r="E696" s="20">
        <v>1</v>
      </c>
      <c r="H696" s="20" t="str">
        <f>VLOOKUP(C696,[1]!moster1,10,FALSE)</f>
        <v/>
      </c>
      <c r="M696" s="20">
        <v>695</v>
      </c>
    </row>
    <row r="697" spans="1:13" x14ac:dyDescent="0.15">
      <c r="A697" s="20">
        <f>dig!A697</f>
        <v>28</v>
      </c>
      <c r="B697" s="20">
        <f>dig!B697</f>
        <v>2805</v>
      </c>
      <c r="C697" s="20">
        <f>B697*100+COUNTIF(B$2:B697,B697)</f>
        <v>280501</v>
      </c>
      <c r="D697" s="20">
        <f t="shared" si="13"/>
        <v>30</v>
      </c>
      <c r="E697" s="20">
        <v>1</v>
      </c>
      <c r="H697" s="20" t="str">
        <f>VLOOKUP(C697,[1]!moster1,10,FALSE)</f>
        <v/>
      </c>
      <c r="M697" s="20">
        <v>696</v>
      </c>
    </row>
    <row r="698" spans="1:13" x14ac:dyDescent="0.15">
      <c r="A698" s="20">
        <f>dig!A698</f>
        <v>28</v>
      </c>
      <c r="B698" s="20">
        <f>dig!B698</f>
        <v>2805</v>
      </c>
      <c r="C698" s="20">
        <f>B698*100+COUNTIF(B$2:B698,B698)</f>
        <v>280502</v>
      </c>
      <c r="D698" s="20">
        <f t="shared" si="13"/>
        <v>30</v>
      </c>
      <c r="E698" s="20">
        <v>1</v>
      </c>
      <c r="H698" s="20" t="str">
        <f>VLOOKUP(C698,[1]!moster1,10,FALSE)</f>
        <v/>
      </c>
      <c r="M698" s="20">
        <v>697</v>
      </c>
    </row>
    <row r="699" spans="1:13" x14ac:dyDescent="0.15">
      <c r="A699" s="20">
        <f>dig!A699</f>
        <v>28</v>
      </c>
      <c r="B699" s="20">
        <f>dig!B699</f>
        <v>2805</v>
      </c>
      <c r="C699" s="20">
        <f>B699*100+COUNTIF(B$2:B699,B699)</f>
        <v>280503</v>
      </c>
      <c r="D699" s="20">
        <f t="shared" si="13"/>
        <v>30</v>
      </c>
      <c r="E699" s="20">
        <v>1</v>
      </c>
      <c r="H699" s="20" t="str">
        <f>VLOOKUP(C699,[1]!moster1,10,FALSE)</f>
        <v/>
      </c>
      <c r="M699" s="20">
        <v>698</v>
      </c>
    </row>
    <row r="700" spans="1:13" x14ac:dyDescent="0.15">
      <c r="A700" s="20">
        <f>dig!A700</f>
        <v>28</v>
      </c>
      <c r="B700" s="20">
        <f>dig!B700</f>
        <v>2805</v>
      </c>
      <c r="C700" s="20">
        <f>B700*100+COUNTIF(B$2:B700,B700)</f>
        <v>280504</v>
      </c>
      <c r="D700" s="20">
        <f t="shared" si="13"/>
        <v>10</v>
      </c>
      <c r="E700" s="20">
        <v>1</v>
      </c>
      <c r="H700" s="20" t="str">
        <f>VLOOKUP(C700,[1]!moster1,10,FALSE)</f>
        <v/>
      </c>
      <c r="M700" s="20">
        <v>699</v>
      </c>
    </row>
    <row r="701" spans="1:13" x14ac:dyDescent="0.15">
      <c r="A701" s="20">
        <f>dig!A701</f>
        <v>28</v>
      </c>
      <c r="B701" s="20">
        <f>dig!B701</f>
        <v>2805</v>
      </c>
      <c r="C701" s="20">
        <f>B701*100+COUNTIF(B$2:B701,B701)</f>
        <v>280505</v>
      </c>
      <c r="D701" s="20">
        <f t="shared" si="13"/>
        <v>10</v>
      </c>
      <c r="E701" s="20">
        <v>1</v>
      </c>
      <c r="H701" s="20" t="str">
        <f>VLOOKUP(C701,[1]!moster1,10,FALSE)</f>
        <v/>
      </c>
      <c r="M701" s="20">
        <v>700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41"/>
  <sheetViews>
    <sheetView workbookViewId="0">
      <selection activeCell="G2" sqref="G2"/>
    </sheetView>
  </sheetViews>
  <sheetFormatPr defaultRowHeight="12.75" x14ac:dyDescent="0.15"/>
  <cols>
    <col min="1" max="16384" width="9" style="20"/>
  </cols>
  <sheetData>
    <row r="1" spans="1:13" x14ac:dyDescent="0.15">
      <c r="A1" s="20" t="s">
        <v>904</v>
      </c>
      <c r="B1" s="20" t="s">
        <v>905</v>
      </c>
      <c r="C1" s="20" t="s">
        <v>880</v>
      </c>
      <c r="D1" s="20" t="s">
        <v>906</v>
      </c>
      <c r="E1" s="20" t="s">
        <v>907</v>
      </c>
      <c r="G1" s="23" t="s">
        <v>1258</v>
      </c>
      <c r="M1" s="20" t="s">
        <v>903</v>
      </c>
    </row>
    <row r="2" spans="1:13" x14ac:dyDescent="0.15">
      <c r="A2" s="20">
        <f>s!A2</f>
        <v>1</v>
      </c>
      <c r="B2" s="20">
        <f>s!B2</f>
        <v>101</v>
      </c>
      <c r="C2" s="20">
        <f>B2*100+8</f>
        <v>10108</v>
      </c>
      <c r="D2" s="20">
        <v>10</v>
      </c>
      <c r="E2" s="20">
        <v>1</v>
      </c>
      <c r="G2" s="20">
        <f>VLOOKUP(C2,[1]!moster1,10,FALSE)</f>
        <v>10017</v>
      </c>
      <c r="M2" s="20">
        <v>1</v>
      </c>
    </row>
    <row r="3" spans="1:13" x14ac:dyDescent="0.15">
      <c r="A3" s="20">
        <f>s!A3</f>
        <v>1</v>
      </c>
      <c r="B3" s="20">
        <f>s!B3</f>
        <v>102</v>
      </c>
      <c r="C3" s="20">
        <f t="shared" ref="C3:C66" si="0">B3*100+8</f>
        <v>10208</v>
      </c>
      <c r="D3" s="20">
        <v>10</v>
      </c>
      <c r="E3" s="20">
        <v>1</v>
      </c>
      <c r="G3" s="20">
        <f>VLOOKUP(C3,[1]!moster1,10,FALSE)</f>
        <v>10049</v>
      </c>
      <c r="M3" s="20">
        <v>2</v>
      </c>
    </row>
    <row r="4" spans="1:13" x14ac:dyDescent="0.15">
      <c r="A4" s="20">
        <f>s!A4</f>
        <v>1</v>
      </c>
      <c r="B4" s="20">
        <f>s!B4</f>
        <v>103</v>
      </c>
      <c r="C4" s="20">
        <f t="shared" si="0"/>
        <v>10308</v>
      </c>
      <c r="D4" s="20">
        <v>10</v>
      </c>
      <c r="E4" s="20">
        <v>1</v>
      </c>
      <c r="G4" s="20">
        <f>VLOOKUP(C4,[1]!moster1,10,FALSE)</f>
        <v>10081</v>
      </c>
      <c r="M4" s="20">
        <v>3</v>
      </c>
    </row>
    <row r="5" spans="1:13" x14ac:dyDescent="0.15">
      <c r="A5" s="20">
        <f>s!A5</f>
        <v>1</v>
      </c>
      <c r="B5" s="20">
        <f>s!B5</f>
        <v>104</v>
      </c>
      <c r="C5" s="20">
        <f t="shared" si="0"/>
        <v>10408</v>
      </c>
      <c r="D5" s="20">
        <v>10</v>
      </c>
      <c r="E5" s="20">
        <v>1</v>
      </c>
      <c r="G5" s="20">
        <f>VLOOKUP(C5,[1]!moster1,10,FALSE)</f>
        <v>10113</v>
      </c>
      <c r="M5" s="20">
        <v>4</v>
      </c>
    </row>
    <row r="6" spans="1:13" x14ac:dyDescent="0.15">
      <c r="A6" s="20">
        <f>s!A6</f>
        <v>1</v>
      </c>
      <c r="B6" s="20">
        <f>s!B6</f>
        <v>105</v>
      </c>
      <c r="C6" s="20">
        <f t="shared" si="0"/>
        <v>10508</v>
      </c>
      <c r="D6" s="20">
        <v>10</v>
      </c>
      <c r="E6" s="20">
        <v>1</v>
      </c>
      <c r="G6" s="20">
        <f>VLOOKUP(C6,[1]!moster1,10,FALSE)</f>
        <v>10145</v>
      </c>
      <c r="M6" s="20">
        <v>5</v>
      </c>
    </row>
    <row r="7" spans="1:13" x14ac:dyDescent="0.15">
      <c r="A7" s="20">
        <f>s!A7</f>
        <v>2</v>
      </c>
      <c r="B7" s="20">
        <f>s!B7</f>
        <v>201</v>
      </c>
      <c r="C7" s="20">
        <f t="shared" si="0"/>
        <v>20108</v>
      </c>
      <c r="D7" s="20">
        <v>10</v>
      </c>
      <c r="E7" s="20">
        <v>1</v>
      </c>
      <c r="G7" s="20">
        <f>VLOOKUP(C7,[1]!moster1,10,FALSE)</f>
        <v>10177</v>
      </c>
      <c r="M7" s="20">
        <v>6</v>
      </c>
    </row>
    <row r="8" spans="1:13" x14ac:dyDescent="0.15">
      <c r="A8" s="20">
        <f>s!A8</f>
        <v>2</v>
      </c>
      <c r="B8" s="20">
        <f>s!B8</f>
        <v>202</v>
      </c>
      <c r="C8" s="20">
        <f t="shared" si="0"/>
        <v>20208</v>
      </c>
      <c r="D8" s="20">
        <v>10</v>
      </c>
      <c r="E8" s="20">
        <v>1</v>
      </c>
      <c r="G8" s="20">
        <f>VLOOKUP(C8,[1]!moster1,10,FALSE)</f>
        <v>10209</v>
      </c>
      <c r="M8" s="20">
        <v>7</v>
      </c>
    </row>
    <row r="9" spans="1:13" x14ac:dyDescent="0.15">
      <c r="A9" s="20">
        <f>s!A9</f>
        <v>2</v>
      </c>
      <c r="B9" s="20">
        <f>s!B9</f>
        <v>203</v>
      </c>
      <c r="C9" s="20">
        <f t="shared" si="0"/>
        <v>20308</v>
      </c>
      <c r="D9" s="20">
        <v>10</v>
      </c>
      <c r="E9" s="20">
        <v>1</v>
      </c>
      <c r="G9" s="20">
        <f>VLOOKUP(C9,[1]!moster1,10,FALSE)</f>
        <v>10241</v>
      </c>
      <c r="M9" s="20">
        <v>8</v>
      </c>
    </row>
    <row r="10" spans="1:13" x14ac:dyDescent="0.15">
      <c r="A10" s="20">
        <f>s!A10</f>
        <v>2</v>
      </c>
      <c r="B10" s="20">
        <f>s!B10</f>
        <v>204</v>
      </c>
      <c r="C10" s="20">
        <f t="shared" si="0"/>
        <v>20408</v>
      </c>
      <c r="D10" s="20">
        <v>10</v>
      </c>
      <c r="E10" s="20">
        <v>1</v>
      </c>
      <c r="G10" s="20">
        <f>VLOOKUP(C10,[1]!moster1,10,FALSE)</f>
        <v>10273</v>
      </c>
      <c r="M10" s="20">
        <v>9</v>
      </c>
    </row>
    <row r="11" spans="1:13" x14ac:dyDescent="0.15">
      <c r="A11" s="20">
        <f>s!A11</f>
        <v>2</v>
      </c>
      <c r="B11" s="20">
        <f>s!B11</f>
        <v>205</v>
      </c>
      <c r="C11" s="20">
        <f t="shared" si="0"/>
        <v>20508</v>
      </c>
      <c r="D11" s="20">
        <v>10</v>
      </c>
      <c r="E11" s="20">
        <v>1</v>
      </c>
      <c r="G11" s="20">
        <f>VLOOKUP(C11,[1]!moster1,10,FALSE)</f>
        <v>10305</v>
      </c>
      <c r="M11" s="20">
        <v>10</v>
      </c>
    </row>
    <row r="12" spans="1:13" x14ac:dyDescent="0.15">
      <c r="A12" s="20">
        <f>s!A12</f>
        <v>3</v>
      </c>
      <c r="B12" s="20">
        <f>s!B12</f>
        <v>301</v>
      </c>
      <c r="C12" s="20">
        <f t="shared" si="0"/>
        <v>30108</v>
      </c>
      <c r="D12" s="20">
        <v>10</v>
      </c>
      <c r="E12" s="20">
        <v>1</v>
      </c>
      <c r="G12" s="20">
        <f>VLOOKUP(C12,[1]!moster1,10,FALSE)</f>
        <v>10337</v>
      </c>
      <c r="M12" s="20">
        <v>11</v>
      </c>
    </row>
    <row r="13" spans="1:13" x14ac:dyDescent="0.15">
      <c r="A13" s="20">
        <f>s!A13</f>
        <v>3</v>
      </c>
      <c r="B13" s="20">
        <f>s!B13</f>
        <v>302</v>
      </c>
      <c r="C13" s="20">
        <f t="shared" si="0"/>
        <v>30208</v>
      </c>
      <c r="D13" s="20">
        <v>10</v>
      </c>
      <c r="E13" s="20">
        <v>1</v>
      </c>
      <c r="G13" s="20">
        <f>VLOOKUP(C13,[1]!moster1,10,FALSE)</f>
        <v>10369</v>
      </c>
      <c r="M13" s="20">
        <v>12</v>
      </c>
    </row>
    <row r="14" spans="1:13" x14ac:dyDescent="0.15">
      <c r="A14" s="20">
        <f>s!A14</f>
        <v>3</v>
      </c>
      <c r="B14" s="20">
        <f>s!B14</f>
        <v>303</v>
      </c>
      <c r="C14" s="20">
        <f t="shared" si="0"/>
        <v>30308</v>
      </c>
      <c r="D14" s="20">
        <v>10</v>
      </c>
      <c r="E14" s="20">
        <v>1</v>
      </c>
      <c r="G14" s="20">
        <f>VLOOKUP(C14,[1]!moster1,10,FALSE)</f>
        <v>10401</v>
      </c>
      <c r="M14" s="20">
        <v>13</v>
      </c>
    </row>
    <row r="15" spans="1:13" x14ac:dyDescent="0.15">
      <c r="A15" s="20">
        <f>s!A15</f>
        <v>3</v>
      </c>
      <c r="B15" s="20">
        <f>s!B15</f>
        <v>304</v>
      </c>
      <c r="C15" s="20">
        <f t="shared" si="0"/>
        <v>30408</v>
      </c>
      <c r="D15" s="20">
        <v>10</v>
      </c>
      <c r="E15" s="20">
        <v>1</v>
      </c>
      <c r="G15" s="20">
        <f>VLOOKUP(C15,[1]!moster1,10,FALSE)</f>
        <v>10433</v>
      </c>
      <c r="M15" s="20">
        <v>14</v>
      </c>
    </row>
    <row r="16" spans="1:13" x14ac:dyDescent="0.15">
      <c r="A16" s="20">
        <f>s!A16</f>
        <v>3</v>
      </c>
      <c r="B16" s="20">
        <f>s!B16</f>
        <v>305</v>
      </c>
      <c r="C16" s="20">
        <f t="shared" si="0"/>
        <v>30508</v>
      </c>
      <c r="D16" s="20">
        <v>10</v>
      </c>
      <c r="E16" s="20">
        <v>1</v>
      </c>
      <c r="G16" s="20">
        <f>VLOOKUP(C16,[1]!moster1,10,FALSE)</f>
        <v>10465</v>
      </c>
      <c r="M16" s="20">
        <v>15</v>
      </c>
    </row>
    <row r="17" spans="1:13" x14ac:dyDescent="0.15">
      <c r="A17" s="20">
        <f>s!A17</f>
        <v>4</v>
      </c>
      <c r="B17" s="20">
        <f>s!B17</f>
        <v>401</v>
      </c>
      <c r="C17" s="20">
        <f t="shared" si="0"/>
        <v>40108</v>
      </c>
      <c r="D17" s="20">
        <v>10</v>
      </c>
      <c r="E17" s="20">
        <v>1</v>
      </c>
      <c r="G17" s="20">
        <f>VLOOKUP(C17,[1]!moster1,10,FALSE)</f>
        <v>10497</v>
      </c>
      <c r="M17" s="20">
        <v>16</v>
      </c>
    </row>
    <row r="18" spans="1:13" x14ac:dyDescent="0.15">
      <c r="A18" s="20">
        <f>s!A18</f>
        <v>4</v>
      </c>
      <c r="B18" s="20">
        <f>s!B18</f>
        <v>402</v>
      </c>
      <c r="C18" s="20">
        <f t="shared" si="0"/>
        <v>40208</v>
      </c>
      <c r="D18" s="20">
        <v>10</v>
      </c>
      <c r="E18" s="20">
        <v>1</v>
      </c>
      <c r="G18" s="20">
        <f>VLOOKUP(C18,[1]!moster1,10,FALSE)</f>
        <v>10529</v>
      </c>
      <c r="M18" s="20">
        <v>17</v>
      </c>
    </row>
    <row r="19" spans="1:13" x14ac:dyDescent="0.15">
      <c r="A19" s="20">
        <f>s!A19</f>
        <v>4</v>
      </c>
      <c r="B19" s="20">
        <f>s!B19</f>
        <v>403</v>
      </c>
      <c r="C19" s="20">
        <f t="shared" si="0"/>
        <v>40308</v>
      </c>
      <c r="D19" s="20">
        <v>10</v>
      </c>
      <c r="E19" s="20">
        <v>1</v>
      </c>
      <c r="G19" s="20">
        <f>VLOOKUP(C19,[1]!moster1,10,FALSE)</f>
        <v>10561</v>
      </c>
      <c r="M19" s="20">
        <v>18</v>
      </c>
    </row>
    <row r="20" spans="1:13" x14ac:dyDescent="0.15">
      <c r="A20" s="20">
        <f>s!A20</f>
        <v>4</v>
      </c>
      <c r="B20" s="20">
        <f>s!B20</f>
        <v>404</v>
      </c>
      <c r="C20" s="20">
        <f t="shared" si="0"/>
        <v>40408</v>
      </c>
      <c r="D20" s="20">
        <v>10</v>
      </c>
      <c r="E20" s="20">
        <v>1</v>
      </c>
      <c r="G20" s="20">
        <f>VLOOKUP(C20,[1]!moster1,10,FALSE)</f>
        <v>10593</v>
      </c>
      <c r="M20" s="20">
        <v>19</v>
      </c>
    </row>
    <row r="21" spans="1:13" x14ac:dyDescent="0.15">
      <c r="A21" s="20">
        <f>s!A21</f>
        <v>4</v>
      </c>
      <c r="B21" s="20">
        <f>s!B21</f>
        <v>405</v>
      </c>
      <c r="C21" s="20">
        <f t="shared" si="0"/>
        <v>40508</v>
      </c>
      <c r="D21" s="20">
        <v>10</v>
      </c>
      <c r="E21" s="20">
        <v>1</v>
      </c>
      <c r="G21" s="20">
        <f>VLOOKUP(C21,[1]!moster1,10,FALSE)</f>
        <v>10625</v>
      </c>
      <c r="M21" s="20">
        <v>20</v>
      </c>
    </row>
    <row r="22" spans="1:13" x14ac:dyDescent="0.15">
      <c r="A22" s="20">
        <f>s!A22</f>
        <v>5</v>
      </c>
      <c r="B22" s="20">
        <f>s!B22</f>
        <v>501</v>
      </c>
      <c r="C22" s="20">
        <f t="shared" si="0"/>
        <v>50108</v>
      </c>
      <c r="D22" s="20">
        <v>10</v>
      </c>
      <c r="E22" s="20">
        <v>1</v>
      </c>
      <c r="G22" s="20">
        <f>VLOOKUP(C22,[1]!moster1,10,FALSE)</f>
        <v>10018</v>
      </c>
      <c r="M22" s="20">
        <v>21</v>
      </c>
    </row>
    <row r="23" spans="1:13" x14ac:dyDescent="0.15">
      <c r="A23" s="20">
        <f>s!A23</f>
        <v>5</v>
      </c>
      <c r="B23" s="20">
        <f>s!B23</f>
        <v>502</v>
      </c>
      <c r="C23" s="20">
        <f t="shared" si="0"/>
        <v>50208</v>
      </c>
      <c r="D23" s="20">
        <v>10</v>
      </c>
      <c r="E23" s="20">
        <v>1</v>
      </c>
      <c r="G23" s="20">
        <f>VLOOKUP(C23,[1]!moster1,10,FALSE)</f>
        <v>10050</v>
      </c>
      <c r="M23" s="20">
        <v>22</v>
      </c>
    </row>
    <row r="24" spans="1:13" x14ac:dyDescent="0.15">
      <c r="A24" s="20">
        <f>s!A24</f>
        <v>5</v>
      </c>
      <c r="B24" s="20">
        <f>s!B24</f>
        <v>503</v>
      </c>
      <c r="C24" s="20">
        <f t="shared" si="0"/>
        <v>50308</v>
      </c>
      <c r="D24" s="20">
        <v>10</v>
      </c>
      <c r="E24" s="20">
        <v>1</v>
      </c>
      <c r="G24" s="20">
        <f>VLOOKUP(C24,[1]!moster1,10,FALSE)</f>
        <v>10082</v>
      </c>
      <c r="M24" s="20">
        <v>23</v>
      </c>
    </row>
    <row r="25" spans="1:13" x14ac:dyDescent="0.15">
      <c r="A25" s="20">
        <f>s!A25</f>
        <v>5</v>
      </c>
      <c r="B25" s="20">
        <f>s!B25</f>
        <v>504</v>
      </c>
      <c r="C25" s="20">
        <f t="shared" si="0"/>
        <v>50408</v>
      </c>
      <c r="D25" s="20">
        <v>10</v>
      </c>
      <c r="E25" s="20">
        <v>1</v>
      </c>
      <c r="G25" s="20">
        <f>VLOOKUP(C25,[1]!moster1,10,FALSE)</f>
        <v>10114</v>
      </c>
      <c r="M25" s="20">
        <v>24</v>
      </c>
    </row>
    <row r="26" spans="1:13" x14ac:dyDescent="0.15">
      <c r="A26" s="20">
        <f>s!A26</f>
        <v>5</v>
      </c>
      <c r="B26" s="20">
        <f>s!B26</f>
        <v>505</v>
      </c>
      <c r="C26" s="20">
        <f t="shared" si="0"/>
        <v>50508</v>
      </c>
      <c r="D26" s="20">
        <v>10</v>
      </c>
      <c r="E26" s="20">
        <v>1</v>
      </c>
      <c r="G26" s="20">
        <f>VLOOKUP(C26,[1]!moster1,10,FALSE)</f>
        <v>10146</v>
      </c>
      <c r="M26" s="20">
        <v>25</v>
      </c>
    </row>
    <row r="27" spans="1:13" x14ac:dyDescent="0.15">
      <c r="A27" s="20">
        <f>s!A27</f>
        <v>6</v>
      </c>
      <c r="B27" s="20">
        <f>s!B27</f>
        <v>601</v>
      </c>
      <c r="C27" s="20">
        <f t="shared" si="0"/>
        <v>60108</v>
      </c>
      <c r="D27" s="20">
        <v>10</v>
      </c>
      <c r="E27" s="20">
        <v>1</v>
      </c>
      <c r="G27" s="20">
        <f>VLOOKUP(C27,[1]!moster1,10,FALSE)</f>
        <v>10178</v>
      </c>
      <c r="M27" s="20">
        <v>26</v>
      </c>
    </row>
    <row r="28" spans="1:13" x14ac:dyDescent="0.15">
      <c r="A28" s="20">
        <f>s!A28</f>
        <v>6</v>
      </c>
      <c r="B28" s="20">
        <f>s!B28</f>
        <v>602</v>
      </c>
      <c r="C28" s="20">
        <f t="shared" si="0"/>
        <v>60208</v>
      </c>
      <c r="D28" s="20">
        <v>10</v>
      </c>
      <c r="E28" s="20">
        <v>1</v>
      </c>
      <c r="G28" s="20">
        <f>VLOOKUP(C28,[1]!moster1,10,FALSE)</f>
        <v>10210</v>
      </c>
      <c r="M28" s="20">
        <v>27</v>
      </c>
    </row>
    <row r="29" spans="1:13" x14ac:dyDescent="0.15">
      <c r="A29" s="20">
        <f>s!A29</f>
        <v>6</v>
      </c>
      <c r="B29" s="20">
        <f>s!B29</f>
        <v>603</v>
      </c>
      <c r="C29" s="20">
        <f t="shared" si="0"/>
        <v>60308</v>
      </c>
      <c r="D29" s="20">
        <v>10</v>
      </c>
      <c r="E29" s="20">
        <v>1</v>
      </c>
      <c r="G29" s="20">
        <f>VLOOKUP(C29,[1]!moster1,10,FALSE)</f>
        <v>10242</v>
      </c>
      <c r="M29" s="20">
        <v>28</v>
      </c>
    </row>
    <row r="30" spans="1:13" x14ac:dyDescent="0.15">
      <c r="A30" s="20">
        <f>s!A30</f>
        <v>6</v>
      </c>
      <c r="B30" s="20">
        <f>s!B30</f>
        <v>604</v>
      </c>
      <c r="C30" s="20">
        <f t="shared" si="0"/>
        <v>60408</v>
      </c>
      <c r="D30" s="20">
        <v>10</v>
      </c>
      <c r="E30" s="20">
        <v>1</v>
      </c>
      <c r="G30" s="20">
        <f>VLOOKUP(C30,[1]!moster1,10,FALSE)</f>
        <v>10274</v>
      </c>
      <c r="M30" s="20">
        <v>29</v>
      </c>
    </row>
    <row r="31" spans="1:13" x14ac:dyDescent="0.15">
      <c r="A31" s="20">
        <f>s!A31</f>
        <v>6</v>
      </c>
      <c r="B31" s="20">
        <f>s!B31</f>
        <v>605</v>
      </c>
      <c r="C31" s="20">
        <f t="shared" si="0"/>
        <v>60508</v>
      </c>
      <c r="D31" s="20">
        <v>10</v>
      </c>
      <c r="E31" s="20">
        <v>1</v>
      </c>
      <c r="G31" s="20">
        <f>VLOOKUP(C31,[1]!moster1,10,FALSE)</f>
        <v>10306</v>
      </c>
      <c r="M31" s="20">
        <v>30</v>
      </c>
    </row>
    <row r="32" spans="1:13" x14ac:dyDescent="0.15">
      <c r="A32" s="20">
        <f>s!A32</f>
        <v>7</v>
      </c>
      <c r="B32" s="20">
        <f>s!B32</f>
        <v>701</v>
      </c>
      <c r="C32" s="20">
        <f t="shared" si="0"/>
        <v>70108</v>
      </c>
      <c r="D32" s="20">
        <v>10</v>
      </c>
      <c r="E32" s="20">
        <v>1</v>
      </c>
      <c r="G32" s="20">
        <f>VLOOKUP(C32,[1]!moster1,10,FALSE)</f>
        <v>10338</v>
      </c>
      <c r="M32" s="20">
        <v>31</v>
      </c>
    </row>
    <row r="33" spans="1:13" x14ac:dyDescent="0.15">
      <c r="A33" s="20">
        <f>s!A33</f>
        <v>7</v>
      </c>
      <c r="B33" s="20">
        <f>s!B33</f>
        <v>702</v>
      </c>
      <c r="C33" s="20">
        <f t="shared" si="0"/>
        <v>70208</v>
      </c>
      <c r="D33" s="20">
        <v>10</v>
      </c>
      <c r="E33" s="20">
        <v>1</v>
      </c>
      <c r="G33" s="20">
        <f>VLOOKUP(C33,[1]!moster1,10,FALSE)</f>
        <v>10370</v>
      </c>
      <c r="M33" s="20">
        <v>32</v>
      </c>
    </row>
    <row r="34" spans="1:13" x14ac:dyDescent="0.15">
      <c r="A34" s="20">
        <f>s!A34</f>
        <v>7</v>
      </c>
      <c r="B34" s="20">
        <f>s!B34</f>
        <v>703</v>
      </c>
      <c r="C34" s="20">
        <f t="shared" si="0"/>
        <v>70308</v>
      </c>
      <c r="D34" s="20">
        <v>10</v>
      </c>
      <c r="E34" s="20">
        <v>1</v>
      </c>
      <c r="G34" s="20">
        <f>VLOOKUP(C34,[1]!moster1,10,FALSE)</f>
        <v>10402</v>
      </c>
      <c r="M34" s="20">
        <v>33</v>
      </c>
    </row>
    <row r="35" spans="1:13" x14ac:dyDescent="0.15">
      <c r="A35" s="20">
        <f>s!A35</f>
        <v>7</v>
      </c>
      <c r="B35" s="20">
        <f>s!B35</f>
        <v>704</v>
      </c>
      <c r="C35" s="20">
        <f t="shared" si="0"/>
        <v>70408</v>
      </c>
      <c r="D35" s="20">
        <v>10</v>
      </c>
      <c r="E35" s="20">
        <v>1</v>
      </c>
      <c r="G35" s="20">
        <f>VLOOKUP(C35,[1]!moster1,10,FALSE)</f>
        <v>10434</v>
      </c>
      <c r="M35" s="20">
        <v>34</v>
      </c>
    </row>
    <row r="36" spans="1:13" x14ac:dyDescent="0.15">
      <c r="A36" s="20">
        <f>s!A36</f>
        <v>7</v>
      </c>
      <c r="B36" s="20">
        <f>s!B36</f>
        <v>705</v>
      </c>
      <c r="C36" s="20">
        <f t="shared" si="0"/>
        <v>70508</v>
      </c>
      <c r="D36" s="20">
        <v>10</v>
      </c>
      <c r="E36" s="20">
        <v>1</v>
      </c>
      <c r="G36" s="20">
        <f>VLOOKUP(C36,[1]!moster1,10,FALSE)</f>
        <v>10466</v>
      </c>
      <c r="M36" s="20">
        <v>35</v>
      </c>
    </row>
    <row r="37" spans="1:13" x14ac:dyDescent="0.15">
      <c r="A37" s="20">
        <f>s!A37</f>
        <v>8</v>
      </c>
      <c r="B37" s="20">
        <f>s!B37</f>
        <v>801</v>
      </c>
      <c r="C37" s="20">
        <f t="shared" si="0"/>
        <v>80108</v>
      </c>
      <c r="D37" s="20">
        <v>10</v>
      </c>
      <c r="E37" s="20">
        <v>1</v>
      </c>
      <c r="G37" s="20">
        <f>VLOOKUP(C37,[1]!moster1,10,FALSE)</f>
        <v>10498</v>
      </c>
      <c r="M37" s="20">
        <v>36</v>
      </c>
    </row>
    <row r="38" spans="1:13" x14ac:dyDescent="0.15">
      <c r="A38" s="20">
        <f>s!A38</f>
        <v>8</v>
      </c>
      <c r="B38" s="20">
        <f>s!B38</f>
        <v>802</v>
      </c>
      <c r="C38" s="20">
        <f t="shared" si="0"/>
        <v>80208</v>
      </c>
      <c r="D38" s="20">
        <v>10</v>
      </c>
      <c r="E38" s="20">
        <v>1</v>
      </c>
      <c r="G38" s="20">
        <f>VLOOKUP(C38,[1]!moster1,10,FALSE)</f>
        <v>10530</v>
      </c>
      <c r="M38" s="20">
        <v>37</v>
      </c>
    </row>
    <row r="39" spans="1:13" x14ac:dyDescent="0.15">
      <c r="A39" s="20">
        <f>s!A39</f>
        <v>8</v>
      </c>
      <c r="B39" s="20">
        <f>s!B39</f>
        <v>803</v>
      </c>
      <c r="C39" s="20">
        <f t="shared" si="0"/>
        <v>80308</v>
      </c>
      <c r="D39" s="20">
        <v>10</v>
      </c>
      <c r="E39" s="20">
        <v>1</v>
      </c>
      <c r="G39" s="20">
        <f>VLOOKUP(C39,[1]!moster1,10,FALSE)</f>
        <v>10562</v>
      </c>
      <c r="M39" s="20">
        <v>38</v>
      </c>
    </row>
    <row r="40" spans="1:13" x14ac:dyDescent="0.15">
      <c r="A40" s="20">
        <f>s!A40</f>
        <v>8</v>
      </c>
      <c r="B40" s="20">
        <f>s!B40</f>
        <v>804</v>
      </c>
      <c r="C40" s="20">
        <f t="shared" si="0"/>
        <v>80408</v>
      </c>
      <c r="D40" s="20">
        <v>10</v>
      </c>
      <c r="E40" s="20">
        <v>1</v>
      </c>
      <c r="G40" s="20">
        <f>VLOOKUP(C40,[1]!moster1,10,FALSE)</f>
        <v>10594</v>
      </c>
      <c r="M40" s="20">
        <v>39</v>
      </c>
    </row>
    <row r="41" spans="1:13" x14ac:dyDescent="0.15">
      <c r="A41" s="20">
        <f>s!A41</f>
        <v>8</v>
      </c>
      <c r="B41" s="20">
        <f>s!B41</f>
        <v>805</v>
      </c>
      <c r="C41" s="20">
        <f t="shared" si="0"/>
        <v>80508</v>
      </c>
      <c r="D41" s="20">
        <v>10</v>
      </c>
      <c r="E41" s="20">
        <v>1</v>
      </c>
      <c r="G41" s="20">
        <f>VLOOKUP(C41,[1]!moster1,10,FALSE)</f>
        <v>10626</v>
      </c>
      <c r="M41" s="20">
        <v>40</v>
      </c>
    </row>
    <row r="42" spans="1:13" x14ac:dyDescent="0.15">
      <c r="A42" s="20">
        <f>s!A42</f>
        <v>9</v>
      </c>
      <c r="B42" s="20">
        <f>s!B42</f>
        <v>901</v>
      </c>
      <c r="C42" s="20">
        <f t="shared" si="0"/>
        <v>90108</v>
      </c>
      <c r="D42" s="20">
        <v>10</v>
      </c>
      <c r="E42" s="20">
        <v>1</v>
      </c>
      <c r="G42" s="20">
        <f>VLOOKUP(C42,[1]!moster1,10,FALSE)</f>
        <v>10019</v>
      </c>
      <c r="M42" s="20">
        <v>41</v>
      </c>
    </row>
    <row r="43" spans="1:13" x14ac:dyDescent="0.15">
      <c r="A43" s="20">
        <f>s!A43</f>
        <v>9</v>
      </c>
      <c r="B43" s="20">
        <f>s!B43</f>
        <v>902</v>
      </c>
      <c r="C43" s="20">
        <f t="shared" si="0"/>
        <v>90208</v>
      </c>
      <c r="D43" s="20">
        <v>10</v>
      </c>
      <c r="E43" s="20">
        <v>1</v>
      </c>
      <c r="G43" s="20">
        <f>VLOOKUP(C43,[1]!moster1,10,FALSE)</f>
        <v>10051</v>
      </c>
      <c r="M43" s="20">
        <v>42</v>
      </c>
    </row>
    <row r="44" spans="1:13" x14ac:dyDescent="0.15">
      <c r="A44" s="20">
        <f>s!A44</f>
        <v>9</v>
      </c>
      <c r="B44" s="20">
        <f>s!B44</f>
        <v>903</v>
      </c>
      <c r="C44" s="20">
        <f t="shared" si="0"/>
        <v>90308</v>
      </c>
      <c r="D44" s="20">
        <v>10</v>
      </c>
      <c r="E44" s="20">
        <v>1</v>
      </c>
      <c r="G44" s="20">
        <f>VLOOKUP(C44,[1]!moster1,10,FALSE)</f>
        <v>10083</v>
      </c>
      <c r="M44" s="20">
        <v>43</v>
      </c>
    </row>
    <row r="45" spans="1:13" x14ac:dyDescent="0.15">
      <c r="A45" s="20">
        <f>s!A45</f>
        <v>9</v>
      </c>
      <c r="B45" s="20">
        <f>s!B45</f>
        <v>904</v>
      </c>
      <c r="C45" s="20">
        <f t="shared" si="0"/>
        <v>90408</v>
      </c>
      <c r="D45" s="20">
        <v>10</v>
      </c>
      <c r="E45" s="20">
        <v>1</v>
      </c>
      <c r="G45" s="20">
        <f>VLOOKUP(C45,[1]!moster1,10,FALSE)</f>
        <v>10115</v>
      </c>
      <c r="M45" s="20">
        <v>44</v>
      </c>
    </row>
    <row r="46" spans="1:13" x14ac:dyDescent="0.15">
      <c r="A46" s="20">
        <f>s!A46</f>
        <v>9</v>
      </c>
      <c r="B46" s="20">
        <f>s!B46</f>
        <v>905</v>
      </c>
      <c r="C46" s="20">
        <f t="shared" si="0"/>
        <v>90508</v>
      </c>
      <c r="D46" s="20">
        <v>10</v>
      </c>
      <c r="E46" s="20">
        <v>1</v>
      </c>
      <c r="G46" s="20">
        <f>VLOOKUP(C46,[1]!moster1,10,FALSE)</f>
        <v>10147</v>
      </c>
      <c r="M46" s="20">
        <v>45</v>
      </c>
    </row>
    <row r="47" spans="1:13" x14ac:dyDescent="0.15">
      <c r="A47" s="20">
        <f>s!A47</f>
        <v>10</v>
      </c>
      <c r="B47" s="20">
        <f>s!B47</f>
        <v>1001</v>
      </c>
      <c r="C47" s="20">
        <f t="shared" si="0"/>
        <v>100108</v>
      </c>
      <c r="D47" s="20">
        <v>10</v>
      </c>
      <c r="E47" s="20">
        <v>1</v>
      </c>
      <c r="G47" s="20">
        <f>VLOOKUP(C47,[1]!moster1,10,FALSE)</f>
        <v>10179</v>
      </c>
      <c r="M47" s="20">
        <v>46</v>
      </c>
    </row>
    <row r="48" spans="1:13" x14ac:dyDescent="0.15">
      <c r="A48" s="20">
        <f>s!A48</f>
        <v>10</v>
      </c>
      <c r="B48" s="20">
        <f>s!B48</f>
        <v>1002</v>
      </c>
      <c r="C48" s="20">
        <f t="shared" si="0"/>
        <v>100208</v>
      </c>
      <c r="D48" s="20">
        <v>10</v>
      </c>
      <c r="E48" s="20">
        <v>1</v>
      </c>
      <c r="G48" s="20">
        <f>VLOOKUP(C48,[1]!moster1,10,FALSE)</f>
        <v>10211</v>
      </c>
      <c r="M48" s="20">
        <v>47</v>
      </c>
    </row>
    <row r="49" spans="1:13" x14ac:dyDescent="0.15">
      <c r="A49" s="20">
        <f>s!A49</f>
        <v>10</v>
      </c>
      <c r="B49" s="20">
        <f>s!B49</f>
        <v>1003</v>
      </c>
      <c r="C49" s="20">
        <f t="shared" si="0"/>
        <v>100308</v>
      </c>
      <c r="D49" s="20">
        <v>10</v>
      </c>
      <c r="E49" s="20">
        <v>1</v>
      </c>
      <c r="G49" s="20">
        <f>VLOOKUP(C49,[1]!moster1,10,FALSE)</f>
        <v>10243</v>
      </c>
      <c r="M49" s="20">
        <v>48</v>
      </c>
    </row>
    <row r="50" spans="1:13" x14ac:dyDescent="0.15">
      <c r="A50" s="20">
        <f>s!A50</f>
        <v>10</v>
      </c>
      <c r="B50" s="20">
        <f>s!B50</f>
        <v>1004</v>
      </c>
      <c r="C50" s="20">
        <f t="shared" si="0"/>
        <v>100408</v>
      </c>
      <c r="D50" s="20">
        <v>10</v>
      </c>
      <c r="E50" s="20">
        <v>1</v>
      </c>
      <c r="G50" s="20">
        <f>VLOOKUP(C50,[1]!moster1,10,FALSE)</f>
        <v>10275</v>
      </c>
      <c r="M50" s="20">
        <v>49</v>
      </c>
    </row>
    <row r="51" spans="1:13" x14ac:dyDescent="0.15">
      <c r="A51" s="20">
        <f>s!A51</f>
        <v>10</v>
      </c>
      <c r="B51" s="20">
        <f>s!B51</f>
        <v>1005</v>
      </c>
      <c r="C51" s="20">
        <f t="shared" si="0"/>
        <v>100508</v>
      </c>
      <c r="D51" s="20">
        <v>10</v>
      </c>
      <c r="E51" s="20">
        <v>1</v>
      </c>
      <c r="G51" s="20">
        <f>VLOOKUP(C51,[1]!moster1,10,FALSE)</f>
        <v>10307</v>
      </c>
      <c r="M51" s="20">
        <v>50</v>
      </c>
    </row>
    <row r="52" spans="1:13" x14ac:dyDescent="0.15">
      <c r="A52" s="20">
        <f>s!A52</f>
        <v>11</v>
      </c>
      <c r="B52" s="20">
        <f>s!B52</f>
        <v>1101</v>
      </c>
      <c r="C52" s="20">
        <f t="shared" si="0"/>
        <v>110108</v>
      </c>
      <c r="D52" s="20">
        <v>10</v>
      </c>
      <c r="E52" s="20">
        <v>1</v>
      </c>
      <c r="G52" s="20">
        <f>VLOOKUP(C52,[1]!moster1,10,FALSE)</f>
        <v>10339</v>
      </c>
      <c r="M52" s="20">
        <v>51</v>
      </c>
    </row>
    <row r="53" spans="1:13" x14ac:dyDescent="0.15">
      <c r="A53" s="20">
        <f>s!A53</f>
        <v>11</v>
      </c>
      <c r="B53" s="20">
        <f>s!B53</f>
        <v>1102</v>
      </c>
      <c r="C53" s="20">
        <f t="shared" si="0"/>
        <v>110208</v>
      </c>
      <c r="D53" s="20">
        <v>10</v>
      </c>
      <c r="E53" s="20">
        <v>1</v>
      </c>
      <c r="G53" s="20">
        <f>VLOOKUP(C53,[1]!moster1,10,FALSE)</f>
        <v>10371</v>
      </c>
      <c r="M53" s="20">
        <v>52</v>
      </c>
    </row>
    <row r="54" spans="1:13" x14ac:dyDescent="0.15">
      <c r="A54" s="20">
        <f>s!A54</f>
        <v>11</v>
      </c>
      <c r="B54" s="20">
        <f>s!B54</f>
        <v>1103</v>
      </c>
      <c r="C54" s="20">
        <f t="shared" si="0"/>
        <v>110308</v>
      </c>
      <c r="D54" s="20">
        <v>10</v>
      </c>
      <c r="E54" s="20">
        <v>1</v>
      </c>
      <c r="G54" s="20">
        <f>VLOOKUP(C54,[1]!moster1,10,FALSE)</f>
        <v>10403</v>
      </c>
      <c r="M54" s="20">
        <v>53</v>
      </c>
    </row>
    <row r="55" spans="1:13" x14ac:dyDescent="0.15">
      <c r="A55" s="20">
        <f>s!A55</f>
        <v>11</v>
      </c>
      <c r="B55" s="20">
        <f>s!B55</f>
        <v>1104</v>
      </c>
      <c r="C55" s="20">
        <f t="shared" si="0"/>
        <v>110408</v>
      </c>
      <c r="D55" s="20">
        <v>10</v>
      </c>
      <c r="E55" s="20">
        <v>1</v>
      </c>
      <c r="G55" s="20">
        <f>VLOOKUP(C55,[1]!moster1,10,FALSE)</f>
        <v>10435</v>
      </c>
      <c r="M55" s="20">
        <v>54</v>
      </c>
    </row>
    <row r="56" spans="1:13" x14ac:dyDescent="0.15">
      <c r="A56" s="20">
        <f>s!A56</f>
        <v>11</v>
      </c>
      <c r="B56" s="20">
        <f>s!B56</f>
        <v>1105</v>
      </c>
      <c r="C56" s="20">
        <f t="shared" si="0"/>
        <v>110508</v>
      </c>
      <c r="D56" s="20">
        <v>10</v>
      </c>
      <c r="E56" s="20">
        <v>1</v>
      </c>
      <c r="G56" s="20">
        <f>VLOOKUP(C56,[1]!moster1,10,FALSE)</f>
        <v>10467</v>
      </c>
      <c r="M56" s="20">
        <v>55</v>
      </c>
    </row>
    <row r="57" spans="1:13" x14ac:dyDescent="0.15">
      <c r="A57" s="20">
        <f>s!A57</f>
        <v>12</v>
      </c>
      <c r="B57" s="20">
        <f>s!B57</f>
        <v>1201</v>
      </c>
      <c r="C57" s="20">
        <f t="shared" si="0"/>
        <v>120108</v>
      </c>
      <c r="D57" s="20">
        <v>10</v>
      </c>
      <c r="E57" s="20">
        <v>1</v>
      </c>
      <c r="G57" s="20">
        <f>VLOOKUP(C57,[1]!moster1,10,FALSE)</f>
        <v>10499</v>
      </c>
      <c r="M57" s="20">
        <v>56</v>
      </c>
    </row>
    <row r="58" spans="1:13" x14ac:dyDescent="0.15">
      <c r="A58" s="20">
        <f>s!A58</f>
        <v>12</v>
      </c>
      <c r="B58" s="20">
        <f>s!B58</f>
        <v>1202</v>
      </c>
      <c r="C58" s="20">
        <f t="shared" si="0"/>
        <v>120208</v>
      </c>
      <c r="D58" s="20">
        <v>10</v>
      </c>
      <c r="E58" s="20">
        <v>1</v>
      </c>
      <c r="G58" s="20">
        <f>VLOOKUP(C58,[1]!moster1,10,FALSE)</f>
        <v>10531</v>
      </c>
      <c r="M58" s="20">
        <v>57</v>
      </c>
    </row>
    <row r="59" spans="1:13" x14ac:dyDescent="0.15">
      <c r="A59" s="20">
        <f>s!A59</f>
        <v>12</v>
      </c>
      <c r="B59" s="20">
        <f>s!B59</f>
        <v>1203</v>
      </c>
      <c r="C59" s="20">
        <f t="shared" si="0"/>
        <v>120308</v>
      </c>
      <c r="D59" s="20">
        <v>10</v>
      </c>
      <c r="E59" s="20">
        <v>1</v>
      </c>
      <c r="G59" s="20">
        <f>VLOOKUP(C59,[1]!moster1,10,FALSE)</f>
        <v>10563</v>
      </c>
      <c r="M59" s="20">
        <v>58</v>
      </c>
    </row>
    <row r="60" spans="1:13" x14ac:dyDescent="0.15">
      <c r="A60" s="20">
        <f>s!A60</f>
        <v>12</v>
      </c>
      <c r="B60" s="20">
        <f>s!B60</f>
        <v>1204</v>
      </c>
      <c r="C60" s="20">
        <f t="shared" si="0"/>
        <v>120408</v>
      </c>
      <c r="D60" s="20">
        <v>10</v>
      </c>
      <c r="E60" s="20">
        <v>1</v>
      </c>
      <c r="G60" s="20">
        <f>VLOOKUP(C60,[1]!moster1,10,FALSE)</f>
        <v>10595</v>
      </c>
      <c r="M60" s="20">
        <v>59</v>
      </c>
    </row>
    <row r="61" spans="1:13" x14ac:dyDescent="0.15">
      <c r="A61" s="20">
        <f>s!A61</f>
        <v>12</v>
      </c>
      <c r="B61" s="20">
        <f>s!B61</f>
        <v>1205</v>
      </c>
      <c r="C61" s="20">
        <f t="shared" si="0"/>
        <v>120508</v>
      </c>
      <c r="D61" s="20">
        <v>10</v>
      </c>
      <c r="E61" s="20">
        <v>1</v>
      </c>
      <c r="G61" s="20">
        <f>VLOOKUP(C61,[1]!moster1,10,FALSE)</f>
        <v>10627</v>
      </c>
      <c r="M61" s="20">
        <v>60</v>
      </c>
    </row>
    <row r="62" spans="1:13" x14ac:dyDescent="0.15">
      <c r="A62" s="20">
        <f>s!A62</f>
        <v>13</v>
      </c>
      <c r="B62" s="20">
        <f>s!B62</f>
        <v>1301</v>
      </c>
      <c r="C62" s="20">
        <f t="shared" si="0"/>
        <v>130108</v>
      </c>
      <c r="D62" s="20">
        <v>10</v>
      </c>
      <c r="E62" s="20">
        <v>1</v>
      </c>
      <c r="G62" s="20">
        <f>VLOOKUP(C62,[1]!moster1,10,FALSE)</f>
        <v>10020</v>
      </c>
      <c r="M62" s="20">
        <v>61</v>
      </c>
    </row>
    <row r="63" spans="1:13" x14ac:dyDescent="0.15">
      <c r="A63" s="20">
        <f>s!A63</f>
        <v>13</v>
      </c>
      <c r="B63" s="20">
        <f>s!B63</f>
        <v>1302</v>
      </c>
      <c r="C63" s="20">
        <f t="shared" si="0"/>
        <v>130208</v>
      </c>
      <c r="D63" s="20">
        <v>10</v>
      </c>
      <c r="E63" s="20">
        <v>1</v>
      </c>
      <c r="G63" s="20">
        <f>VLOOKUP(C63,[1]!moster1,10,FALSE)</f>
        <v>10052</v>
      </c>
      <c r="M63" s="20">
        <v>62</v>
      </c>
    </row>
    <row r="64" spans="1:13" x14ac:dyDescent="0.15">
      <c r="A64" s="20">
        <f>s!A64</f>
        <v>13</v>
      </c>
      <c r="B64" s="20">
        <f>s!B64</f>
        <v>1303</v>
      </c>
      <c r="C64" s="20">
        <f t="shared" si="0"/>
        <v>130308</v>
      </c>
      <c r="D64" s="20">
        <v>10</v>
      </c>
      <c r="E64" s="20">
        <v>1</v>
      </c>
      <c r="G64" s="20">
        <f>VLOOKUP(C64,[1]!moster1,10,FALSE)</f>
        <v>10084</v>
      </c>
      <c r="M64" s="20">
        <v>63</v>
      </c>
    </row>
    <row r="65" spans="1:13" x14ac:dyDescent="0.15">
      <c r="A65" s="20">
        <f>s!A65</f>
        <v>13</v>
      </c>
      <c r="B65" s="20">
        <f>s!B65</f>
        <v>1304</v>
      </c>
      <c r="C65" s="20">
        <f t="shared" si="0"/>
        <v>130408</v>
      </c>
      <c r="D65" s="20">
        <v>10</v>
      </c>
      <c r="E65" s="20">
        <v>1</v>
      </c>
      <c r="G65" s="20">
        <f>VLOOKUP(C65,[1]!moster1,10,FALSE)</f>
        <v>10116</v>
      </c>
      <c r="M65" s="20">
        <v>64</v>
      </c>
    </row>
    <row r="66" spans="1:13" x14ac:dyDescent="0.15">
      <c r="A66" s="20">
        <f>s!A66</f>
        <v>13</v>
      </c>
      <c r="B66" s="20">
        <f>s!B66</f>
        <v>1305</v>
      </c>
      <c r="C66" s="20">
        <f t="shared" si="0"/>
        <v>130508</v>
      </c>
      <c r="D66" s="20">
        <v>10</v>
      </c>
      <c r="E66" s="20">
        <v>1</v>
      </c>
      <c r="G66" s="20">
        <f>VLOOKUP(C66,[1]!moster1,10,FALSE)</f>
        <v>10148</v>
      </c>
      <c r="M66" s="20">
        <v>65</v>
      </c>
    </row>
    <row r="67" spans="1:13" x14ac:dyDescent="0.15">
      <c r="A67" s="20">
        <f>s!A67</f>
        <v>14</v>
      </c>
      <c r="B67" s="20">
        <f>s!B67</f>
        <v>1401</v>
      </c>
      <c r="C67" s="20">
        <f t="shared" ref="C67:C130" si="1">B67*100+8</f>
        <v>140108</v>
      </c>
      <c r="D67" s="20">
        <v>10</v>
      </c>
      <c r="E67" s="20">
        <v>1</v>
      </c>
      <c r="G67" s="20">
        <f>VLOOKUP(C67,[1]!moster1,10,FALSE)</f>
        <v>10180</v>
      </c>
      <c r="M67" s="20">
        <v>66</v>
      </c>
    </row>
    <row r="68" spans="1:13" x14ac:dyDescent="0.15">
      <c r="A68" s="20">
        <f>s!A68</f>
        <v>14</v>
      </c>
      <c r="B68" s="20">
        <f>s!B68</f>
        <v>1402</v>
      </c>
      <c r="C68" s="20">
        <f t="shared" si="1"/>
        <v>140208</v>
      </c>
      <c r="D68" s="20">
        <v>10</v>
      </c>
      <c r="E68" s="20">
        <v>1</v>
      </c>
      <c r="G68" s="20">
        <f>VLOOKUP(C68,[1]!moster1,10,FALSE)</f>
        <v>10212</v>
      </c>
      <c r="M68" s="20">
        <v>67</v>
      </c>
    </row>
    <row r="69" spans="1:13" x14ac:dyDescent="0.15">
      <c r="A69" s="20">
        <f>s!A69</f>
        <v>14</v>
      </c>
      <c r="B69" s="20">
        <f>s!B69</f>
        <v>1403</v>
      </c>
      <c r="C69" s="20">
        <f t="shared" si="1"/>
        <v>140308</v>
      </c>
      <c r="D69" s="20">
        <v>10</v>
      </c>
      <c r="E69" s="20">
        <v>1</v>
      </c>
      <c r="G69" s="20">
        <f>VLOOKUP(C69,[1]!moster1,10,FALSE)</f>
        <v>10244</v>
      </c>
      <c r="M69" s="20">
        <v>68</v>
      </c>
    </row>
    <row r="70" spans="1:13" x14ac:dyDescent="0.15">
      <c r="A70" s="20">
        <f>s!A70</f>
        <v>14</v>
      </c>
      <c r="B70" s="20">
        <f>s!B70</f>
        <v>1404</v>
      </c>
      <c r="C70" s="20">
        <f t="shared" si="1"/>
        <v>140408</v>
      </c>
      <c r="D70" s="20">
        <v>10</v>
      </c>
      <c r="E70" s="20">
        <v>1</v>
      </c>
      <c r="G70" s="20">
        <f>VLOOKUP(C70,[1]!moster1,10,FALSE)</f>
        <v>10276</v>
      </c>
      <c r="M70" s="20">
        <v>69</v>
      </c>
    </row>
    <row r="71" spans="1:13" x14ac:dyDescent="0.15">
      <c r="A71" s="20">
        <f>s!A71</f>
        <v>14</v>
      </c>
      <c r="B71" s="20">
        <f>s!B71</f>
        <v>1405</v>
      </c>
      <c r="C71" s="20">
        <f t="shared" si="1"/>
        <v>140508</v>
      </c>
      <c r="D71" s="20">
        <v>10</v>
      </c>
      <c r="E71" s="20">
        <v>1</v>
      </c>
      <c r="G71" s="20">
        <f>VLOOKUP(C71,[1]!moster1,10,FALSE)</f>
        <v>10308</v>
      </c>
      <c r="M71" s="20">
        <v>70</v>
      </c>
    </row>
    <row r="72" spans="1:13" x14ac:dyDescent="0.15">
      <c r="A72" s="20">
        <f>s!A72</f>
        <v>15</v>
      </c>
      <c r="B72" s="20">
        <f>s!B72</f>
        <v>1501</v>
      </c>
      <c r="C72" s="20">
        <f t="shared" si="1"/>
        <v>150108</v>
      </c>
      <c r="D72" s="20">
        <v>10</v>
      </c>
      <c r="E72" s="20">
        <v>1</v>
      </c>
      <c r="G72" s="20">
        <f>VLOOKUP(C72,[1]!moster1,10,FALSE)</f>
        <v>10340</v>
      </c>
      <c r="M72" s="20">
        <v>71</v>
      </c>
    </row>
    <row r="73" spans="1:13" x14ac:dyDescent="0.15">
      <c r="A73" s="20">
        <f>s!A73</f>
        <v>15</v>
      </c>
      <c r="B73" s="20">
        <f>s!B73</f>
        <v>1502</v>
      </c>
      <c r="C73" s="20">
        <f t="shared" si="1"/>
        <v>150208</v>
      </c>
      <c r="D73" s="20">
        <v>10</v>
      </c>
      <c r="E73" s="20">
        <v>1</v>
      </c>
      <c r="G73" s="20">
        <f>VLOOKUP(C73,[1]!moster1,10,FALSE)</f>
        <v>10372</v>
      </c>
      <c r="M73" s="20">
        <v>72</v>
      </c>
    </row>
    <row r="74" spans="1:13" x14ac:dyDescent="0.15">
      <c r="A74" s="20">
        <f>s!A74</f>
        <v>15</v>
      </c>
      <c r="B74" s="20">
        <f>s!B74</f>
        <v>1503</v>
      </c>
      <c r="C74" s="20">
        <f t="shared" si="1"/>
        <v>150308</v>
      </c>
      <c r="D74" s="20">
        <v>10</v>
      </c>
      <c r="E74" s="20">
        <v>1</v>
      </c>
      <c r="G74" s="20">
        <f>VLOOKUP(C74,[1]!moster1,10,FALSE)</f>
        <v>10404</v>
      </c>
      <c r="M74" s="20">
        <v>73</v>
      </c>
    </row>
    <row r="75" spans="1:13" x14ac:dyDescent="0.15">
      <c r="A75" s="20">
        <f>s!A75</f>
        <v>15</v>
      </c>
      <c r="B75" s="20">
        <f>s!B75</f>
        <v>1504</v>
      </c>
      <c r="C75" s="20">
        <f t="shared" si="1"/>
        <v>150408</v>
      </c>
      <c r="D75" s="20">
        <v>10</v>
      </c>
      <c r="E75" s="20">
        <v>1</v>
      </c>
      <c r="G75" s="20">
        <f>VLOOKUP(C75,[1]!moster1,10,FALSE)</f>
        <v>10436</v>
      </c>
      <c r="M75" s="20">
        <v>74</v>
      </c>
    </row>
    <row r="76" spans="1:13" x14ac:dyDescent="0.15">
      <c r="A76" s="20">
        <f>s!A76</f>
        <v>15</v>
      </c>
      <c r="B76" s="20">
        <f>s!B76</f>
        <v>1505</v>
      </c>
      <c r="C76" s="20">
        <f t="shared" si="1"/>
        <v>150508</v>
      </c>
      <c r="D76" s="20">
        <v>10</v>
      </c>
      <c r="E76" s="20">
        <v>1</v>
      </c>
      <c r="G76" s="20">
        <f>VLOOKUP(C76,[1]!moster1,10,FALSE)</f>
        <v>10468</v>
      </c>
      <c r="M76" s="20">
        <v>75</v>
      </c>
    </row>
    <row r="77" spans="1:13" x14ac:dyDescent="0.15">
      <c r="A77" s="20">
        <f>s!A77</f>
        <v>16</v>
      </c>
      <c r="B77" s="20">
        <f>s!B77</f>
        <v>1601</v>
      </c>
      <c r="C77" s="20">
        <f t="shared" si="1"/>
        <v>160108</v>
      </c>
      <c r="D77" s="20">
        <v>10</v>
      </c>
      <c r="E77" s="20">
        <v>1</v>
      </c>
      <c r="G77" s="20">
        <f>VLOOKUP(C77,[1]!moster1,10,FALSE)</f>
        <v>10500</v>
      </c>
      <c r="M77" s="20">
        <v>76</v>
      </c>
    </row>
    <row r="78" spans="1:13" x14ac:dyDescent="0.15">
      <c r="A78" s="20">
        <f>s!A78</f>
        <v>16</v>
      </c>
      <c r="B78" s="20">
        <f>s!B78</f>
        <v>1602</v>
      </c>
      <c r="C78" s="20">
        <f t="shared" si="1"/>
        <v>160208</v>
      </c>
      <c r="D78" s="20">
        <v>10</v>
      </c>
      <c r="E78" s="20">
        <v>1</v>
      </c>
      <c r="G78" s="20">
        <f>VLOOKUP(C78,[1]!moster1,10,FALSE)</f>
        <v>10532</v>
      </c>
      <c r="M78" s="20">
        <v>77</v>
      </c>
    </row>
    <row r="79" spans="1:13" x14ac:dyDescent="0.15">
      <c r="A79" s="20">
        <f>s!A79</f>
        <v>16</v>
      </c>
      <c r="B79" s="20">
        <f>s!B79</f>
        <v>1603</v>
      </c>
      <c r="C79" s="20">
        <f t="shared" si="1"/>
        <v>160308</v>
      </c>
      <c r="D79" s="20">
        <v>10</v>
      </c>
      <c r="E79" s="20">
        <v>1</v>
      </c>
      <c r="G79" s="20">
        <f>VLOOKUP(C79,[1]!moster1,10,FALSE)</f>
        <v>10564</v>
      </c>
      <c r="M79" s="20">
        <v>78</v>
      </c>
    </row>
    <row r="80" spans="1:13" x14ac:dyDescent="0.15">
      <c r="A80" s="20">
        <f>s!A80</f>
        <v>16</v>
      </c>
      <c r="B80" s="20">
        <f>s!B80</f>
        <v>1604</v>
      </c>
      <c r="C80" s="20">
        <f t="shared" si="1"/>
        <v>160408</v>
      </c>
      <c r="D80" s="20">
        <v>10</v>
      </c>
      <c r="E80" s="20">
        <v>1</v>
      </c>
      <c r="G80" s="20">
        <f>VLOOKUP(C80,[1]!moster1,10,FALSE)</f>
        <v>10596</v>
      </c>
      <c r="M80" s="20">
        <v>79</v>
      </c>
    </row>
    <row r="81" spans="1:13" x14ac:dyDescent="0.15">
      <c r="A81" s="20">
        <f>s!A81</f>
        <v>16</v>
      </c>
      <c r="B81" s="20">
        <f>s!B81</f>
        <v>1605</v>
      </c>
      <c r="C81" s="20">
        <f t="shared" si="1"/>
        <v>160508</v>
      </c>
      <c r="D81" s="20">
        <v>10</v>
      </c>
      <c r="E81" s="20">
        <v>1</v>
      </c>
      <c r="G81" s="20">
        <f>VLOOKUP(C81,[1]!moster1,10,FALSE)</f>
        <v>10628</v>
      </c>
      <c r="M81" s="20">
        <v>80</v>
      </c>
    </row>
    <row r="82" spans="1:13" x14ac:dyDescent="0.15">
      <c r="A82" s="20">
        <f>s!A82</f>
        <v>17</v>
      </c>
      <c r="B82" s="20">
        <f>s!B82</f>
        <v>1701</v>
      </c>
      <c r="C82" s="20">
        <f t="shared" si="1"/>
        <v>170108</v>
      </c>
      <c r="D82" s="20">
        <v>10</v>
      </c>
      <c r="E82" s="20">
        <v>1</v>
      </c>
      <c r="G82" s="20">
        <f>VLOOKUP(C82,[1]!moster1,10,FALSE)</f>
        <v>10021</v>
      </c>
      <c r="M82" s="20">
        <v>81</v>
      </c>
    </row>
    <row r="83" spans="1:13" x14ac:dyDescent="0.15">
      <c r="A83" s="20">
        <f>s!A83</f>
        <v>17</v>
      </c>
      <c r="B83" s="20">
        <f>s!B83</f>
        <v>1702</v>
      </c>
      <c r="C83" s="20">
        <f t="shared" si="1"/>
        <v>170208</v>
      </c>
      <c r="D83" s="20">
        <v>10</v>
      </c>
      <c r="E83" s="20">
        <v>1</v>
      </c>
      <c r="G83" s="20">
        <f>VLOOKUP(C83,[1]!moster1,10,FALSE)</f>
        <v>10053</v>
      </c>
      <c r="M83" s="20">
        <v>82</v>
      </c>
    </row>
    <row r="84" spans="1:13" x14ac:dyDescent="0.15">
      <c r="A84" s="20">
        <f>s!A84</f>
        <v>17</v>
      </c>
      <c r="B84" s="20">
        <f>s!B84</f>
        <v>1703</v>
      </c>
      <c r="C84" s="20">
        <f t="shared" si="1"/>
        <v>170308</v>
      </c>
      <c r="D84" s="20">
        <v>10</v>
      </c>
      <c r="E84" s="20">
        <v>1</v>
      </c>
      <c r="G84" s="20">
        <f>VLOOKUP(C84,[1]!moster1,10,FALSE)</f>
        <v>10085</v>
      </c>
      <c r="M84" s="20">
        <v>83</v>
      </c>
    </row>
    <row r="85" spans="1:13" x14ac:dyDescent="0.15">
      <c r="A85" s="20">
        <f>s!A85</f>
        <v>17</v>
      </c>
      <c r="B85" s="20">
        <f>s!B85</f>
        <v>1704</v>
      </c>
      <c r="C85" s="20">
        <f t="shared" si="1"/>
        <v>170408</v>
      </c>
      <c r="D85" s="20">
        <v>10</v>
      </c>
      <c r="E85" s="20">
        <v>1</v>
      </c>
      <c r="G85" s="20">
        <f>VLOOKUP(C85,[1]!moster1,10,FALSE)</f>
        <v>10117</v>
      </c>
      <c r="M85" s="20">
        <v>84</v>
      </c>
    </row>
    <row r="86" spans="1:13" x14ac:dyDescent="0.15">
      <c r="A86" s="20">
        <f>s!A86</f>
        <v>17</v>
      </c>
      <c r="B86" s="20">
        <f>s!B86</f>
        <v>1705</v>
      </c>
      <c r="C86" s="20">
        <f t="shared" si="1"/>
        <v>170508</v>
      </c>
      <c r="D86" s="20">
        <v>10</v>
      </c>
      <c r="E86" s="20">
        <v>1</v>
      </c>
      <c r="G86" s="20">
        <f>VLOOKUP(C86,[1]!moster1,10,FALSE)</f>
        <v>10149</v>
      </c>
      <c r="M86" s="20">
        <v>85</v>
      </c>
    </row>
    <row r="87" spans="1:13" x14ac:dyDescent="0.15">
      <c r="A87" s="20">
        <f>s!A87</f>
        <v>18</v>
      </c>
      <c r="B87" s="20">
        <f>s!B87</f>
        <v>1801</v>
      </c>
      <c r="C87" s="20">
        <f t="shared" si="1"/>
        <v>180108</v>
      </c>
      <c r="D87" s="20">
        <v>10</v>
      </c>
      <c r="E87" s="20">
        <v>1</v>
      </c>
      <c r="G87" s="20">
        <f>VLOOKUP(C87,[1]!moster1,10,FALSE)</f>
        <v>10181</v>
      </c>
      <c r="M87" s="20">
        <v>86</v>
      </c>
    </row>
    <row r="88" spans="1:13" x14ac:dyDescent="0.15">
      <c r="A88" s="20">
        <f>s!A88</f>
        <v>18</v>
      </c>
      <c r="B88" s="20">
        <f>s!B88</f>
        <v>1802</v>
      </c>
      <c r="C88" s="20">
        <f t="shared" si="1"/>
        <v>180208</v>
      </c>
      <c r="D88" s="20">
        <v>10</v>
      </c>
      <c r="E88" s="20">
        <v>1</v>
      </c>
      <c r="G88" s="20">
        <f>VLOOKUP(C88,[1]!moster1,10,FALSE)</f>
        <v>10213</v>
      </c>
      <c r="M88" s="20">
        <v>87</v>
      </c>
    </row>
    <row r="89" spans="1:13" x14ac:dyDescent="0.15">
      <c r="A89" s="20">
        <f>s!A89</f>
        <v>18</v>
      </c>
      <c r="B89" s="20">
        <f>s!B89</f>
        <v>1803</v>
      </c>
      <c r="C89" s="20">
        <f t="shared" si="1"/>
        <v>180308</v>
      </c>
      <c r="D89" s="20">
        <v>10</v>
      </c>
      <c r="E89" s="20">
        <v>1</v>
      </c>
      <c r="G89" s="20">
        <f>VLOOKUP(C89,[1]!moster1,10,FALSE)</f>
        <v>10245</v>
      </c>
      <c r="M89" s="20">
        <v>88</v>
      </c>
    </row>
    <row r="90" spans="1:13" x14ac:dyDescent="0.15">
      <c r="A90" s="20">
        <f>s!A90</f>
        <v>18</v>
      </c>
      <c r="B90" s="20">
        <f>s!B90</f>
        <v>1804</v>
      </c>
      <c r="C90" s="20">
        <f t="shared" si="1"/>
        <v>180408</v>
      </c>
      <c r="D90" s="20">
        <v>10</v>
      </c>
      <c r="E90" s="20">
        <v>1</v>
      </c>
      <c r="G90" s="20">
        <f>VLOOKUP(C90,[1]!moster1,10,FALSE)</f>
        <v>10277</v>
      </c>
      <c r="M90" s="20">
        <v>89</v>
      </c>
    </row>
    <row r="91" spans="1:13" x14ac:dyDescent="0.15">
      <c r="A91" s="20">
        <f>s!A91</f>
        <v>18</v>
      </c>
      <c r="B91" s="20">
        <f>s!B91</f>
        <v>1805</v>
      </c>
      <c r="C91" s="20">
        <f t="shared" si="1"/>
        <v>180508</v>
      </c>
      <c r="D91" s="20">
        <v>10</v>
      </c>
      <c r="E91" s="20">
        <v>1</v>
      </c>
      <c r="G91" s="20">
        <f>VLOOKUP(C91,[1]!moster1,10,FALSE)</f>
        <v>10309</v>
      </c>
      <c r="M91" s="20">
        <v>90</v>
      </c>
    </row>
    <row r="92" spans="1:13" x14ac:dyDescent="0.15">
      <c r="A92" s="20">
        <f>s!A92</f>
        <v>19</v>
      </c>
      <c r="B92" s="20">
        <f>s!B92</f>
        <v>1901</v>
      </c>
      <c r="C92" s="20">
        <f t="shared" si="1"/>
        <v>190108</v>
      </c>
      <c r="D92" s="20">
        <v>10</v>
      </c>
      <c r="E92" s="20">
        <v>1</v>
      </c>
      <c r="G92" s="20">
        <f>VLOOKUP(C92,[1]!moster1,10,FALSE)</f>
        <v>10341</v>
      </c>
      <c r="M92" s="20">
        <v>91</v>
      </c>
    </row>
    <row r="93" spans="1:13" x14ac:dyDescent="0.15">
      <c r="A93" s="20">
        <f>s!A93</f>
        <v>19</v>
      </c>
      <c r="B93" s="20">
        <f>s!B93</f>
        <v>1902</v>
      </c>
      <c r="C93" s="20">
        <f t="shared" si="1"/>
        <v>190208</v>
      </c>
      <c r="D93" s="20">
        <v>10</v>
      </c>
      <c r="E93" s="20">
        <v>1</v>
      </c>
      <c r="G93" s="20">
        <f>VLOOKUP(C93,[1]!moster1,10,FALSE)</f>
        <v>10373</v>
      </c>
      <c r="M93" s="20">
        <v>92</v>
      </c>
    </row>
    <row r="94" spans="1:13" x14ac:dyDescent="0.15">
      <c r="A94" s="20">
        <f>s!A94</f>
        <v>19</v>
      </c>
      <c r="B94" s="20">
        <f>s!B94</f>
        <v>1903</v>
      </c>
      <c r="C94" s="20">
        <f t="shared" si="1"/>
        <v>190308</v>
      </c>
      <c r="D94" s="20">
        <v>10</v>
      </c>
      <c r="E94" s="20">
        <v>1</v>
      </c>
      <c r="G94" s="20">
        <f>VLOOKUP(C94,[1]!moster1,10,FALSE)</f>
        <v>10405</v>
      </c>
      <c r="M94" s="20">
        <v>93</v>
      </c>
    </row>
    <row r="95" spans="1:13" x14ac:dyDescent="0.15">
      <c r="A95" s="20">
        <f>s!A95</f>
        <v>19</v>
      </c>
      <c r="B95" s="20">
        <f>s!B95</f>
        <v>1904</v>
      </c>
      <c r="C95" s="20">
        <f t="shared" si="1"/>
        <v>190408</v>
      </c>
      <c r="D95" s="20">
        <v>10</v>
      </c>
      <c r="E95" s="20">
        <v>1</v>
      </c>
      <c r="G95" s="20">
        <f>VLOOKUP(C95,[1]!moster1,10,FALSE)</f>
        <v>10437</v>
      </c>
      <c r="M95" s="20">
        <v>94</v>
      </c>
    </row>
    <row r="96" spans="1:13" x14ac:dyDescent="0.15">
      <c r="A96" s="20">
        <f>s!A96</f>
        <v>19</v>
      </c>
      <c r="B96" s="20">
        <f>s!B96</f>
        <v>1905</v>
      </c>
      <c r="C96" s="20">
        <f t="shared" si="1"/>
        <v>190508</v>
      </c>
      <c r="D96" s="20">
        <v>10</v>
      </c>
      <c r="E96" s="20">
        <v>1</v>
      </c>
      <c r="G96" s="20">
        <f>VLOOKUP(C96,[1]!moster1,10,FALSE)</f>
        <v>10469</v>
      </c>
      <c r="M96" s="20">
        <v>95</v>
      </c>
    </row>
    <row r="97" spans="1:13" x14ac:dyDescent="0.15">
      <c r="A97" s="20">
        <f>s!A97</f>
        <v>20</v>
      </c>
      <c r="B97" s="20">
        <f>s!B97</f>
        <v>2001</v>
      </c>
      <c r="C97" s="20">
        <f t="shared" si="1"/>
        <v>200108</v>
      </c>
      <c r="D97" s="20">
        <v>10</v>
      </c>
      <c r="E97" s="20">
        <v>1</v>
      </c>
      <c r="G97" s="20">
        <f>VLOOKUP(C97,[1]!moster1,10,FALSE)</f>
        <v>10501</v>
      </c>
      <c r="M97" s="20">
        <v>96</v>
      </c>
    </row>
    <row r="98" spans="1:13" x14ac:dyDescent="0.15">
      <c r="A98" s="20">
        <f>s!A98</f>
        <v>20</v>
      </c>
      <c r="B98" s="20">
        <f>s!B98</f>
        <v>2002</v>
      </c>
      <c r="C98" s="20">
        <f t="shared" si="1"/>
        <v>200208</v>
      </c>
      <c r="D98" s="20">
        <v>10</v>
      </c>
      <c r="E98" s="20">
        <v>1</v>
      </c>
      <c r="G98" s="20">
        <f>VLOOKUP(C98,[1]!moster1,10,FALSE)</f>
        <v>10533</v>
      </c>
      <c r="M98" s="20">
        <v>97</v>
      </c>
    </row>
    <row r="99" spans="1:13" x14ac:dyDescent="0.15">
      <c r="A99" s="20">
        <f>s!A99</f>
        <v>20</v>
      </c>
      <c r="B99" s="20">
        <f>s!B99</f>
        <v>2003</v>
      </c>
      <c r="C99" s="20">
        <f t="shared" si="1"/>
        <v>200308</v>
      </c>
      <c r="D99" s="20">
        <v>10</v>
      </c>
      <c r="E99" s="20">
        <v>1</v>
      </c>
      <c r="G99" s="20">
        <f>VLOOKUP(C99,[1]!moster1,10,FALSE)</f>
        <v>10565</v>
      </c>
      <c r="M99" s="20">
        <v>98</v>
      </c>
    </row>
    <row r="100" spans="1:13" x14ac:dyDescent="0.15">
      <c r="A100" s="20">
        <f>s!A100</f>
        <v>20</v>
      </c>
      <c r="B100" s="20">
        <f>s!B100</f>
        <v>2004</v>
      </c>
      <c r="C100" s="20">
        <f t="shared" si="1"/>
        <v>200408</v>
      </c>
      <c r="D100" s="20">
        <v>10</v>
      </c>
      <c r="E100" s="20">
        <v>1</v>
      </c>
      <c r="G100" s="20">
        <f>VLOOKUP(C100,[1]!moster1,10,FALSE)</f>
        <v>10597</v>
      </c>
      <c r="M100" s="20">
        <v>99</v>
      </c>
    </row>
    <row r="101" spans="1:13" x14ac:dyDescent="0.15">
      <c r="A101" s="20">
        <f>s!A101</f>
        <v>20</v>
      </c>
      <c r="B101" s="20">
        <f>s!B101</f>
        <v>2005</v>
      </c>
      <c r="C101" s="20">
        <f t="shared" si="1"/>
        <v>200508</v>
      </c>
      <c r="D101" s="20">
        <v>10</v>
      </c>
      <c r="E101" s="20">
        <v>1</v>
      </c>
      <c r="G101" s="20">
        <f>VLOOKUP(C101,[1]!moster1,10,FALSE)</f>
        <v>10629</v>
      </c>
      <c r="M101" s="20">
        <v>100</v>
      </c>
    </row>
    <row r="102" spans="1:13" x14ac:dyDescent="0.15">
      <c r="A102" s="20">
        <f>s!A102</f>
        <v>21</v>
      </c>
      <c r="B102" s="20">
        <f>s!B102</f>
        <v>2101</v>
      </c>
      <c r="C102" s="20">
        <f t="shared" si="1"/>
        <v>210108</v>
      </c>
      <c r="D102" s="20">
        <v>10</v>
      </c>
      <c r="E102" s="20">
        <v>1</v>
      </c>
      <c r="G102" s="20">
        <f>VLOOKUP(C102,[1]!moster1,10,FALSE)</f>
        <v>10022</v>
      </c>
      <c r="M102" s="20">
        <v>101</v>
      </c>
    </row>
    <row r="103" spans="1:13" x14ac:dyDescent="0.15">
      <c r="A103" s="20">
        <f>s!A103</f>
        <v>21</v>
      </c>
      <c r="B103" s="20">
        <f>s!B103</f>
        <v>2102</v>
      </c>
      <c r="C103" s="20">
        <f t="shared" si="1"/>
        <v>210208</v>
      </c>
      <c r="D103" s="20">
        <v>10</v>
      </c>
      <c r="E103" s="20">
        <v>1</v>
      </c>
      <c r="G103" s="20">
        <f>VLOOKUP(C103,[1]!moster1,10,FALSE)</f>
        <v>10054</v>
      </c>
      <c r="M103" s="20">
        <v>102</v>
      </c>
    </row>
    <row r="104" spans="1:13" x14ac:dyDescent="0.15">
      <c r="A104" s="20">
        <f>s!A104</f>
        <v>21</v>
      </c>
      <c r="B104" s="20">
        <f>s!B104</f>
        <v>2103</v>
      </c>
      <c r="C104" s="20">
        <f t="shared" si="1"/>
        <v>210308</v>
      </c>
      <c r="D104" s="20">
        <v>10</v>
      </c>
      <c r="E104" s="20">
        <v>1</v>
      </c>
      <c r="G104" s="20">
        <f>VLOOKUP(C104,[1]!moster1,10,FALSE)</f>
        <v>10086</v>
      </c>
      <c r="M104" s="20">
        <v>103</v>
      </c>
    </row>
    <row r="105" spans="1:13" x14ac:dyDescent="0.15">
      <c r="A105" s="20">
        <f>s!A105</f>
        <v>21</v>
      </c>
      <c r="B105" s="20">
        <f>s!B105</f>
        <v>2104</v>
      </c>
      <c r="C105" s="20">
        <f t="shared" si="1"/>
        <v>210408</v>
      </c>
      <c r="D105" s="20">
        <v>10</v>
      </c>
      <c r="E105" s="20">
        <v>1</v>
      </c>
      <c r="G105" s="20">
        <f>VLOOKUP(C105,[1]!moster1,10,FALSE)</f>
        <v>10118</v>
      </c>
      <c r="M105" s="20">
        <v>104</v>
      </c>
    </row>
    <row r="106" spans="1:13" x14ac:dyDescent="0.15">
      <c r="A106" s="20">
        <f>s!A106</f>
        <v>21</v>
      </c>
      <c r="B106" s="20">
        <f>s!B106</f>
        <v>2105</v>
      </c>
      <c r="C106" s="20">
        <f t="shared" si="1"/>
        <v>210508</v>
      </c>
      <c r="D106" s="20">
        <v>10</v>
      </c>
      <c r="E106" s="20">
        <v>1</v>
      </c>
      <c r="G106" s="20">
        <f>VLOOKUP(C106,[1]!moster1,10,FALSE)</f>
        <v>10150</v>
      </c>
      <c r="M106" s="20">
        <v>105</v>
      </c>
    </row>
    <row r="107" spans="1:13" x14ac:dyDescent="0.15">
      <c r="A107" s="20">
        <f>s!A107</f>
        <v>22</v>
      </c>
      <c r="B107" s="20">
        <f>s!B107</f>
        <v>2201</v>
      </c>
      <c r="C107" s="20">
        <f t="shared" si="1"/>
        <v>220108</v>
      </c>
      <c r="D107" s="20">
        <v>10</v>
      </c>
      <c r="E107" s="20">
        <v>1</v>
      </c>
      <c r="G107" s="20">
        <f>VLOOKUP(C107,[1]!moster1,10,FALSE)</f>
        <v>10182</v>
      </c>
      <c r="M107" s="20">
        <v>106</v>
      </c>
    </row>
    <row r="108" spans="1:13" x14ac:dyDescent="0.15">
      <c r="A108" s="20">
        <f>s!A108</f>
        <v>22</v>
      </c>
      <c r="B108" s="20">
        <f>s!B108</f>
        <v>2202</v>
      </c>
      <c r="C108" s="20">
        <f t="shared" si="1"/>
        <v>220208</v>
      </c>
      <c r="D108" s="20">
        <v>10</v>
      </c>
      <c r="E108" s="20">
        <v>1</v>
      </c>
      <c r="G108" s="20">
        <f>VLOOKUP(C108,[1]!moster1,10,FALSE)</f>
        <v>10214</v>
      </c>
      <c r="M108" s="20">
        <v>107</v>
      </c>
    </row>
    <row r="109" spans="1:13" x14ac:dyDescent="0.15">
      <c r="A109" s="20">
        <f>s!A109</f>
        <v>22</v>
      </c>
      <c r="B109" s="20">
        <f>s!B109</f>
        <v>2203</v>
      </c>
      <c r="C109" s="20">
        <f t="shared" si="1"/>
        <v>220308</v>
      </c>
      <c r="D109" s="20">
        <v>10</v>
      </c>
      <c r="E109" s="20">
        <v>1</v>
      </c>
      <c r="G109" s="20">
        <f>VLOOKUP(C109,[1]!moster1,10,FALSE)</f>
        <v>10246</v>
      </c>
      <c r="M109" s="20">
        <v>108</v>
      </c>
    </row>
    <row r="110" spans="1:13" x14ac:dyDescent="0.15">
      <c r="A110" s="20">
        <f>s!A110</f>
        <v>22</v>
      </c>
      <c r="B110" s="20">
        <f>s!B110</f>
        <v>2204</v>
      </c>
      <c r="C110" s="20">
        <f t="shared" si="1"/>
        <v>220408</v>
      </c>
      <c r="D110" s="20">
        <v>10</v>
      </c>
      <c r="E110" s="20">
        <v>1</v>
      </c>
      <c r="G110" s="20">
        <f>VLOOKUP(C110,[1]!moster1,10,FALSE)</f>
        <v>10278</v>
      </c>
      <c r="M110" s="20">
        <v>109</v>
      </c>
    </row>
    <row r="111" spans="1:13" x14ac:dyDescent="0.15">
      <c r="A111" s="20">
        <f>s!A111</f>
        <v>22</v>
      </c>
      <c r="B111" s="20">
        <f>s!B111</f>
        <v>2205</v>
      </c>
      <c r="C111" s="20">
        <f t="shared" si="1"/>
        <v>220508</v>
      </c>
      <c r="D111" s="20">
        <v>10</v>
      </c>
      <c r="E111" s="20">
        <v>1</v>
      </c>
      <c r="G111" s="20">
        <f>VLOOKUP(C111,[1]!moster1,10,FALSE)</f>
        <v>10310</v>
      </c>
      <c r="M111" s="20">
        <v>110</v>
      </c>
    </row>
    <row r="112" spans="1:13" x14ac:dyDescent="0.15">
      <c r="A112" s="20">
        <f>s!A112</f>
        <v>23</v>
      </c>
      <c r="B112" s="20">
        <f>s!B112</f>
        <v>2301</v>
      </c>
      <c r="C112" s="20">
        <f t="shared" si="1"/>
        <v>230108</v>
      </c>
      <c r="D112" s="20">
        <v>10</v>
      </c>
      <c r="E112" s="20">
        <v>1</v>
      </c>
      <c r="G112" s="20">
        <f>VLOOKUP(C112,[1]!moster1,10,FALSE)</f>
        <v>10342</v>
      </c>
      <c r="M112" s="20">
        <v>111</v>
      </c>
    </row>
    <row r="113" spans="1:13" x14ac:dyDescent="0.15">
      <c r="A113" s="20">
        <f>s!A113</f>
        <v>23</v>
      </c>
      <c r="B113" s="20">
        <f>s!B113</f>
        <v>2302</v>
      </c>
      <c r="C113" s="20">
        <f t="shared" si="1"/>
        <v>230208</v>
      </c>
      <c r="D113" s="20">
        <v>10</v>
      </c>
      <c r="E113" s="20">
        <v>1</v>
      </c>
      <c r="G113" s="20">
        <f>VLOOKUP(C113,[1]!moster1,10,FALSE)</f>
        <v>10374</v>
      </c>
      <c r="M113" s="20">
        <v>112</v>
      </c>
    </row>
    <row r="114" spans="1:13" x14ac:dyDescent="0.15">
      <c r="A114" s="20">
        <f>s!A114</f>
        <v>23</v>
      </c>
      <c r="B114" s="20">
        <f>s!B114</f>
        <v>2303</v>
      </c>
      <c r="C114" s="20">
        <f t="shared" si="1"/>
        <v>230308</v>
      </c>
      <c r="D114" s="20">
        <v>10</v>
      </c>
      <c r="E114" s="20">
        <v>1</v>
      </c>
      <c r="G114" s="20">
        <f>VLOOKUP(C114,[1]!moster1,10,FALSE)</f>
        <v>10406</v>
      </c>
      <c r="M114" s="20">
        <v>113</v>
      </c>
    </row>
    <row r="115" spans="1:13" x14ac:dyDescent="0.15">
      <c r="A115" s="20">
        <f>s!A115</f>
        <v>23</v>
      </c>
      <c r="B115" s="20">
        <f>s!B115</f>
        <v>2304</v>
      </c>
      <c r="C115" s="20">
        <f t="shared" si="1"/>
        <v>230408</v>
      </c>
      <c r="D115" s="20">
        <v>10</v>
      </c>
      <c r="E115" s="20">
        <v>1</v>
      </c>
      <c r="G115" s="20">
        <f>VLOOKUP(C115,[1]!moster1,10,FALSE)</f>
        <v>10438</v>
      </c>
      <c r="M115" s="20">
        <v>114</v>
      </c>
    </row>
    <row r="116" spans="1:13" x14ac:dyDescent="0.15">
      <c r="A116" s="20">
        <f>s!A116</f>
        <v>23</v>
      </c>
      <c r="B116" s="20">
        <f>s!B116</f>
        <v>2305</v>
      </c>
      <c r="C116" s="20">
        <f t="shared" si="1"/>
        <v>230508</v>
      </c>
      <c r="D116" s="20">
        <v>10</v>
      </c>
      <c r="E116" s="20">
        <v>1</v>
      </c>
      <c r="G116" s="20">
        <f>VLOOKUP(C116,[1]!moster1,10,FALSE)</f>
        <v>10470</v>
      </c>
      <c r="M116" s="20">
        <v>115</v>
      </c>
    </row>
    <row r="117" spans="1:13" x14ac:dyDescent="0.15">
      <c r="A117" s="20">
        <f>s!A117</f>
        <v>24</v>
      </c>
      <c r="B117" s="20">
        <f>s!B117</f>
        <v>2401</v>
      </c>
      <c r="C117" s="20">
        <f t="shared" si="1"/>
        <v>240108</v>
      </c>
      <c r="D117" s="20">
        <v>10</v>
      </c>
      <c r="E117" s="20">
        <v>1</v>
      </c>
      <c r="G117" s="20">
        <f>VLOOKUP(C117,[1]!moster1,10,FALSE)</f>
        <v>10502</v>
      </c>
      <c r="M117" s="20">
        <v>116</v>
      </c>
    </row>
    <row r="118" spans="1:13" x14ac:dyDescent="0.15">
      <c r="A118" s="20">
        <f>s!A118</f>
        <v>24</v>
      </c>
      <c r="B118" s="20">
        <f>s!B118</f>
        <v>2402</v>
      </c>
      <c r="C118" s="20">
        <f t="shared" si="1"/>
        <v>240208</v>
      </c>
      <c r="D118" s="20">
        <v>10</v>
      </c>
      <c r="E118" s="20">
        <v>1</v>
      </c>
      <c r="G118" s="20">
        <f>VLOOKUP(C118,[1]!moster1,10,FALSE)</f>
        <v>10534</v>
      </c>
      <c r="M118" s="20">
        <v>117</v>
      </c>
    </row>
    <row r="119" spans="1:13" x14ac:dyDescent="0.15">
      <c r="A119" s="20">
        <f>s!A119</f>
        <v>24</v>
      </c>
      <c r="B119" s="20">
        <f>s!B119</f>
        <v>2403</v>
      </c>
      <c r="C119" s="20">
        <f t="shared" si="1"/>
        <v>240308</v>
      </c>
      <c r="D119" s="20">
        <v>10</v>
      </c>
      <c r="E119" s="20">
        <v>1</v>
      </c>
      <c r="G119" s="20">
        <f>VLOOKUP(C119,[1]!moster1,10,FALSE)</f>
        <v>10566</v>
      </c>
      <c r="M119" s="20">
        <v>118</v>
      </c>
    </row>
    <row r="120" spans="1:13" x14ac:dyDescent="0.15">
      <c r="A120" s="20">
        <f>s!A120</f>
        <v>24</v>
      </c>
      <c r="B120" s="20">
        <f>s!B120</f>
        <v>2404</v>
      </c>
      <c r="C120" s="20">
        <f t="shared" si="1"/>
        <v>240408</v>
      </c>
      <c r="D120" s="20">
        <v>10</v>
      </c>
      <c r="E120" s="20">
        <v>1</v>
      </c>
      <c r="G120" s="20">
        <f>VLOOKUP(C120,[1]!moster1,10,FALSE)</f>
        <v>10598</v>
      </c>
      <c r="M120" s="20">
        <v>119</v>
      </c>
    </row>
    <row r="121" spans="1:13" x14ac:dyDescent="0.15">
      <c r="A121" s="20">
        <f>s!A121</f>
        <v>24</v>
      </c>
      <c r="B121" s="20">
        <f>s!B121</f>
        <v>2405</v>
      </c>
      <c r="C121" s="20">
        <f t="shared" si="1"/>
        <v>240508</v>
      </c>
      <c r="D121" s="20">
        <v>10</v>
      </c>
      <c r="E121" s="20">
        <v>1</v>
      </c>
      <c r="G121" s="20">
        <f>VLOOKUP(C121,[1]!moster1,10,FALSE)</f>
        <v>10630</v>
      </c>
      <c r="M121" s="20">
        <v>120</v>
      </c>
    </row>
    <row r="122" spans="1:13" x14ac:dyDescent="0.15">
      <c r="A122" s="20">
        <f>s!A122</f>
        <v>25</v>
      </c>
      <c r="B122" s="20">
        <f>s!B122</f>
        <v>2501</v>
      </c>
      <c r="C122" s="20">
        <f t="shared" si="1"/>
        <v>250108</v>
      </c>
      <c r="D122" s="20">
        <v>10</v>
      </c>
      <c r="E122" s="20">
        <v>1</v>
      </c>
      <c r="G122" s="20">
        <f>VLOOKUP(C122,[1]!moster1,10,FALSE)</f>
        <v>10023</v>
      </c>
      <c r="M122" s="20">
        <v>121</v>
      </c>
    </row>
    <row r="123" spans="1:13" x14ac:dyDescent="0.15">
      <c r="A123" s="20">
        <f>s!A123</f>
        <v>25</v>
      </c>
      <c r="B123" s="20">
        <f>s!B123</f>
        <v>2502</v>
      </c>
      <c r="C123" s="20">
        <f t="shared" si="1"/>
        <v>250208</v>
      </c>
      <c r="D123" s="20">
        <v>10</v>
      </c>
      <c r="E123" s="20">
        <v>1</v>
      </c>
      <c r="G123" s="20">
        <f>VLOOKUP(C123,[1]!moster1,10,FALSE)</f>
        <v>10055</v>
      </c>
      <c r="M123" s="20">
        <v>122</v>
      </c>
    </row>
    <row r="124" spans="1:13" x14ac:dyDescent="0.15">
      <c r="A124" s="20">
        <f>s!A124</f>
        <v>25</v>
      </c>
      <c r="B124" s="20">
        <f>s!B124</f>
        <v>2503</v>
      </c>
      <c r="C124" s="20">
        <f t="shared" si="1"/>
        <v>250308</v>
      </c>
      <c r="D124" s="20">
        <v>10</v>
      </c>
      <c r="E124" s="20">
        <v>1</v>
      </c>
      <c r="G124" s="20">
        <f>VLOOKUP(C124,[1]!moster1,10,FALSE)</f>
        <v>10087</v>
      </c>
      <c r="M124" s="20">
        <v>123</v>
      </c>
    </row>
    <row r="125" spans="1:13" x14ac:dyDescent="0.15">
      <c r="A125" s="20">
        <f>s!A125</f>
        <v>25</v>
      </c>
      <c r="B125" s="20">
        <f>s!B125</f>
        <v>2504</v>
      </c>
      <c r="C125" s="20">
        <f t="shared" si="1"/>
        <v>250408</v>
      </c>
      <c r="D125" s="20">
        <v>10</v>
      </c>
      <c r="E125" s="20">
        <v>1</v>
      </c>
      <c r="G125" s="20">
        <f>VLOOKUP(C125,[1]!moster1,10,FALSE)</f>
        <v>10119</v>
      </c>
      <c r="M125" s="20">
        <v>124</v>
      </c>
    </row>
    <row r="126" spans="1:13" x14ac:dyDescent="0.15">
      <c r="A126" s="20">
        <f>s!A126</f>
        <v>25</v>
      </c>
      <c r="B126" s="20">
        <f>s!B126</f>
        <v>2505</v>
      </c>
      <c r="C126" s="20">
        <f t="shared" si="1"/>
        <v>250508</v>
      </c>
      <c r="D126" s="20">
        <v>10</v>
      </c>
      <c r="E126" s="20">
        <v>1</v>
      </c>
      <c r="G126" s="20">
        <f>VLOOKUP(C126,[1]!moster1,10,FALSE)</f>
        <v>10151</v>
      </c>
      <c r="M126" s="20">
        <v>125</v>
      </c>
    </row>
    <row r="127" spans="1:13" x14ac:dyDescent="0.15">
      <c r="A127" s="20">
        <f>s!A127</f>
        <v>26</v>
      </c>
      <c r="B127" s="20">
        <f>s!B127</f>
        <v>2601</v>
      </c>
      <c r="C127" s="20">
        <f t="shared" si="1"/>
        <v>260108</v>
      </c>
      <c r="D127" s="20">
        <v>10</v>
      </c>
      <c r="E127" s="20">
        <v>1</v>
      </c>
      <c r="G127" s="20">
        <f>VLOOKUP(C127,[1]!moster1,10,FALSE)</f>
        <v>10183</v>
      </c>
      <c r="M127" s="20">
        <v>126</v>
      </c>
    </row>
    <row r="128" spans="1:13" x14ac:dyDescent="0.15">
      <c r="A128" s="20">
        <f>s!A128</f>
        <v>26</v>
      </c>
      <c r="B128" s="20">
        <f>s!B128</f>
        <v>2602</v>
      </c>
      <c r="C128" s="20">
        <f t="shared" si="1"/>
        <v>260208</v>
      </c>
      <c r="D128" s="20">
        <v>10</v>
      </c>
      <c r="E128" s="20">
        <v>1</v>
      </c>
      <c r="G128" s="20">
        <f>VLOOKUP(C128,[1]!moster1,10,FALSE)</f>
        <v>10215</v>
      </c>
      <c r="M128" s="20">
        <v>127</v>
      </c>
    </row>
    <row r="129" spans="1:13" x14ac:dyDescent="0.15">
      <c r="A129" s="20">
        <f>s!A129</f>
        <v>26</v>
      </c>
      <c r="B129" s="20">
        <f>s!B129</f>
        <v>2603</v>
      </c>
      <c r="C129" s="20">
        <f t="shared" si="1"/>
        <v>260308</v>
      </c>
      <c r="D129" s="20">
        <v>10</v>
      </c>
      <c r="E129" s="20">
        <v>1</v>
      </c>
      <c r="G129" s="20">
        <f>VLOOKUP(C129,[1]!moster1,10,FALSE)</f>
        <v>10247</v>
      </c>
      <c r="M129" s="20">
        <v>128</v>
      </c>
    </row>
    <row r="130" spans="1:13" x14ac:dyDescent="0.15">
      <c r="A130" s="20">
        <f>s!A130</f>
        <v>26</v>
      </c>
      <c r="B130" s="20">
        <f>s!B130</f>
        <v>2604</v>
      </c>
      <c r="C130" s="20">
        <f t="shared" si="1"/>
        <v>260408</v>
      </c>
      <c r="D130" s="20">
        <v>10</v>
      </c>
      <c r="E130" s="20">
        <v>1</v>
      </c>
      <c r="G130" s="20">
        <f>VLOOKUP(C130,[1]!moster1,10,FALSE)</f>
        <v>10279</v>
      </c>
      <c r="M130" s="20">
        <v>129</v>
      </c>
    </row>
    <row r="131" spans="1:13" x14ac:dyDescent="0.15">
      <c r="A131" s="20">
        <f>s!A131</f>
        <v>26</v>
      </c>
      <c r="B131" s="20">
        <f>s!B131</f>
        <v>2605</v>
      </c>
      <c r="C131" s="20">
        <f t="shared" ref="C131:C141" si="2">B131*100+8</f>
        <v>260508</v>
      </c>
      <c r="D131" s="20">
        <v>10</v>
      </c>
      <c r="E131" s="20">
        <v>1</v>
      </c>
      <c r="G131" s="20">
        <f>VLOOKUP(C131,[1]!moster1,10,FALSE)</f>
        <v>10311</v>
      </c>
      <c r="M131" s="20">
        <v>130</v>
      </c>
    </row>
    <row r="132" spans="1:13" x14ac:dyDescent="0.15">
      <c r="A132" s="20">
        <f>s!A132</f>
        <v>27</v>
      </c>
      <c r="B132" s="20">
        <f>s!B132</f>
        <v>2701</v>
      </c>
      <c r="C132" s="20">
        <f t="shared" si="2"/>
        <v>270108</v>
      </c>
      <c r="D132" s="20">
        <v>10</v>
      </c>
      <c r="E132" s="20">
        <v>1</v>
      </c>
      <c r="G132" s="20">
        <f>VLOOKUP(C132,[1]!moster1,10,FALSE)</f>
        <v>10343</v>
      </c>
      <c r="M132" s="20">
        <v>131</v>
      </c>
    </row>
    <row r="133" spans="1:13" x14ac:dyDescent="0.15">
      <c r="A133" s="20">
        <f>s!A133</f>
        <v>27</v>
      </c>
      <c r="B133" s="20">
        <f>s!B133</f>
        <v>2702</v>
      </c>
      <c r="C133" s="20">
        <f t="shared" si="2"/>
        <v>270208</v>
      </c>
      <c r="D133" s="20">
        <v>10</v>
      </c>
      <c r="E133" s="20">
        <v>1</v>
      </c>
      <c r="G133" s="20">
        <f>VLOOKUP(C133,[1]!moster1,10,FALSE)</f>
        <v>10375</v>
      </c>
      <c r="M133" s="20">
        <v>132</v>
      </c>
    </row>
    <row r="134" spans="1:13" x14ac:dyDescent="0.15">
      <c r="A134" s="20">
        <f>s!A134</f>
        <v>27</v>
      </c>
      <c r="B134" s="20">
        <f>s!B134</f>
        <v>2703</v>
      </c>
      <c r="C134" s="20">
        <f t="shared" si="2"/>
        <v>270308</v>
      </c>
      <c r="D134" s="20">
        <v>10</v>
      </c>
      <c r="E134" s="20">
        <v>1</v>
      </c>
      <c r="G134" s="20">
        <f>VLOOKUP(C134,[1]!moster1,10,FALSE)</f>
        <v>10407</v>
      </c>
      <c r="M134" s="20">
        <v>133</v>
      </c>
    </row>
    <row r="135" spans="1:13" x14ac:dyDescent="0.15">
      <c r="A135" s="20">
        <f>s!A135</f>
        <v>27</v>
      </c>
      <c r="B135" s="20">
        <f>s!B135</f>
        <v>2704</v>
      </c>
      <c r="C135" s="20">
        <f t="shared" si="2"/>
        <v>270408</v>
      </c>
      <c r="D135" s="20">
        <v>10</v>
      </c>
      <c r="E135" s="20">
        <v>1</v>
      </c>
      <c r="G135" s="20">
        <f>VLOOKUP(C135,[1]!moster1,10,FALSE)</f>
        <v>10439</v>
      </c>
      <c r="M135" s="20">
        <v>134</v>
      </c>
    </row>
    <row r="136" spans="1:13" x14ac:dyDescent="0.15">
      <c r="A136" s="20">
        <f>s!A136</f>
        <v>27</v>
      </c>
      <c r="B136" s="20">
        <f>s!B136</f>
        <v>2705</v>
      </c>
      <c r="C136" s="20">
        <f t="shared" si="2"/>
        <v>270508</v>
      </c>
      <c r="D136" s="20">
        <v>10</v>
      </c>
      <c r="E136" s="20">
        <v>1</v>
      </c>
      <c r="G136" s="20">
        <f>VLOOKUP(C136,[1]!moster1,10,FALSE)</f>
        <v>10471</v>
      </c>
      <c r="M136" s="20">
        <v>135</v>
      </c>
    </row>
    <row r="137" spans="1:13" x14ac:dyDescent="0.15">
      <c r="A137" s="20">
        <f>s!A137</f>
        <v>28</v>
      </c>
      <c r="B137" s="20">
        <f>s!B137</f>
        <v>2801</v>
      </c>
      <c r="C137" s="20">
        <f t="shared" si="2"/>
        <v>280108</v>
      </c>
      <c r="D137" s="20">
        <v>10</v>
      </c>
      <c r="E137" s="20">
        <v>1</v>
      </c>
      <c r="G137" s="20">
        <f>VLOOKUP(C137,[1]!moster1,10,FALSE)</f>
        <v>10503</v>
      </c>
      <c r="M137" s="20">
        <v>136</v>
      </c>
    </row>
    <row r="138" spans="1:13" x14ac:dyDescent="0.15">
      <c r="A138" s="20">
        <f>s!A138</f>
        <v>28</v>
      </c>
      <c r="B138" s="20">
        <f>s!B138</f>
        <v>2802</v>
      </c>
      <c r="C138" s="20">
        <f t="shared" si="2"/>
        <v>280208</v>
      </c>
      <c r="D138" s="20">
        <v>10</v>
      </c>
      <c r="E138" s="20">
        <v>1</v>
      </c>
      <c r="G138" s="20">
        <f>VLOOKUP(C138,[1]!moster1,10,FALSE)</f>
        <v>10535</v>
      </c>
      <c r="M138" s="20">
        <v>137</v>
      </c>
    </row>
    <row r="139" spans="1:13" x14ac:dyDescent="0.15">
      <c r="A139" s="20">
        <f>s!A139</f>
        <v>28</v>
      </c>
      <c r="B139" s="20">
        <f>s!B139</f>
        <v>2803</v>
      </c>
      <c r="C139" s="20">
        <f t="shared" si="2"/>
        <v>280308</v>
      </c>
      <c r="D139" s="20">
        <v>10</v>
      </c>
      <c r="E139" s="20">
        <v>1</v>
      </c>
      <c r="G139" s="20">
        <f>VLOOKUP(C139,[1]!moster1,10,FALSE)</f>
        <v>10567</v>
      </c>
      <c r="M139" s="20">
        <v>138</v>
      </c>
    </row>
    <row r="140" spans="1:13" x14ac:dyDescent="0.15">
      <c r="A140" s="20">
        <f>s!A140</f>
        <v>28</v>
      </c>
      <c r="B140" s="20">
        <f>s!B140</f>
        <v>2804</v>
      </c>
      <c r="C140" s="20">
        <f t="shared" si="2"/>
        <v>280408</v>
      </c>
      <c r="D140" s="20">
        <v>10</v>
      </c>
      <c r="E140" s="20">
        <v>1</v>
      </c>
      <c r="G140" s="20">
        <f>VLOOKUP(C140,[1]!moster1,10,FALSE)</f>
        <v>10599</v>
      </c>
      <c r="M140" s="20">
        <v>139</v>
      </c>
    </row>
    <row r="141" spans="1:13" x14ac:dyDescent="0.15">
      <c r="A141" s="20">
        <f>s!A141</f>
        <v>28</v>
      </c>
      <c r="B141" s="20">
        <f>s!B141</f>
        <v>2805</v>
      </c>
      <c r="C141" s="20">
        <f t="shared" si="2"/>
        <v>280508</v>
      </c>
      <c r="D141" s="20">
        <v>10</v>
      </c>
      <c r="E141" s="20">
        <v>1</v>
      </c>
      <c r="G141" s="20">
        <f>VLOOKUP(C141,[1]!moster1,10,FALSE)</f>
        <v>10631</v>
      </c>
      <c r="M141" s="20">
        <v>140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141"/>
  <sheetViews>
    <sheetView workbookViewId="0">
      <selection activeCell="H18" sqref="H18"/>
    </sheetView>
  </sheetViews>
  <sheetFormatPr defaultRowHeight="13.5" x14ac:dyDescent="0.15"/>
  <sheetData>
    <row r="1" spans="1:13" x14ac:dyDescent="0.15">
      <c r="A1" s="20" t="s">
        <v>904</v>
      </c>
      <c r="B1" s="20" t="s">
        <v>905</v>
      </c>
      <c r="C1" s="20" t="s">
        <v>1257</v>
      </c>
      <c r="D1" s="20"/>
      <c r="E1" s="20"/>
      <c r="F1" s="20"/>
      <c r="G1" s="20"/>
      <c r="H1" s="20"/>
      <c r="I1" s="20"/>
      <c r="J1" s="20"/>
      <c r="K1" s="20"/>
      <c r="L1" s="20"/>
      <c r="M1" s="20" t="s">
        <v>903</v>
      </c>
    </row>
    <row r="2" spans="1:13" x14ac:dyDescent="0.15">
      <c r="A2">
        <f>s!A2</f>
        <v>1</v>
      </c>
      <c r="B2">
        <f>s!B2</f>
        <v>101</v>
      </c>
      <c r="C2">
        <v>231</v>
      </c>
      <c r="M2">
        <v>1</v>
      </c>
    </row>
    <row r="3" spans="1:13" x14ac:dyDescent="0.15">
      <c r="A3">
        <f>s!A3</f>
        <v>1</v>
      </c>
      <c r="B3">
        <f>s!B3</f>
        <v>102</v>
      </c>
      <c r="C3">
        <v>231</v>
      </c>
      <c r="M3">
        <v>2</v>
      </c>
    </row>
    <row r="4" spans="1:13" x14ac:dyDescent="0.15">
      <c r="A4">
        <f>s!A4</f>
        <v>1</v>
      </c>
      <c r="B4">
        <f>s!B4</f>
        <v>103</v>
      </c>
      <c r="C4">
        <v>231</v>
      </c>
      <c r="M4">
        <v>3</v>
      </c>
    </row>
    <row r="5" spans="1:13" x14ac:dyDescent="0.15">
      <c r="A5">
        <f>s!A5</f>
        <v>1</v>
      </c>
      <c r="B5">
        <f>s!B5</f>
        <v>104</v>
      </c>
      <c r="C5">
        <v>231</v>
      </c>
      <c r="M5">
        <v>4</v>
      </c>
    </row>
    <row r="6" spans="1:13" x14ac:dyDescent="0.15">
      <c r="A6">
        <f>s!A6</f>
        <v>1</v>
      </c>
      <c r="B6">
        <f>s!B6</f>
        <v>105</v>
      </c>
      <c r="C6">
        <v>231</v>
      </c>
      <c r="M6">
        <v>5</v>
      </c>
    </row>
    <row r="7" spans="1:13" x14ac:dyDescent="0.15">
      <c r="A7">
        <f>s!A7</f>
        <v>2</v>
      </c>
      <c r="B7">
        <f>s!B7</f>
        <v>201</v>
      </c>
      <c r="C7">
        <v>231</v>
      </c>
      <c r="M7">
        <v>6</v>
      </c>
    </row>
    <row r="8" spans="1:13" x14ac:dyDescent="0.15">
      <c r="A8">
        <f>s!A8</f>
        <v>2</v>
      </c>
      <c r="B8">
        <f>s!B8</f>
        <v>202</v>
      </c>
      <c r="C8">
        <v>231</v>
      </c>
      <c r="M8">
        <v>7</v>
      </c>
    </row>
    <row r="9" spans="1:13" x14ac:dyDescent="0.15">
      <c r="A9">
        <f>s!A9</f>
        <v>2</v>
      </c>
      <c r="B9">
        <f>s!B9</f>
        <v>203</v>
      </c>
      <c r="C9">
        <v>231</v>
      </c>
      <c r="M9">
        <v>8</v>
      </c>
    </row>
    <row r="10" spans="1:13" x14ac:dyDescent="0.15">
      <c r="A10">
        <f>s!A10</f>
        <v>2</v>
      </c>
      <c r="B10">
        <f>s!B10</f>
        <v>204</v>
      </c>
      <c r="C10">
        <v>231</v>
      </c>
      <c r="M10">
        <v>9</v>
      </c>
    </row>
    <row r="11" spans="1:13" x14ac:dyDescent="0.15">
      <c r="A11">
        <f>s!A11</f>
        <v>2</v>
      </c>
      <c r="B11">
        <f>s!B11</f>
        <v>205</v>
      </c>
      <c r="C11">
        <v>231</v>
      </c>
      <c r="M11">
        <v>10</v>
      </c>
    </row>
    <row r="12" spans="1:13" x14ac:dyDescent="0.15">
      <c r="A12">
        <f>s!A12</f>
        <v>3</v>
      </c>
      <c r="B12">
        <f>s!B12</f>
        <v>301</v>
      </c>
      <c r="C12">
        <v>231</v>
      </c>
      <c r="M12">
        <v>11</v>
      </c>
    </row>
    <row r="13" spans="1:13" x14ac:dyDescent="0.15">
      <c r="A13">
        <f>s!A13</f>
        <v>3</v>
      </c>
      <c r="B13">
        <f>s!B13</f>
        <v>302</v>
      </c>
      <c r="C13">
        <v>231</v>
      </c>
      <c r="M13">
        <v>12</v>
      </c>
    </row>
    <row r="14" spans="1:13" x14ac:dyDescent="0.15">
      <c r="A14">
        <f>s!A14</f>
        <v>3</v>
      </c>
      <c r="B14">
        <f>s!B14</f>
        <v>303</v>
      </c>
      <c r="C14">
        <v>231</v>
      </c>
      <c r="M14">
        <v>13</v>
      </c>
    </row>
    <row r="15" spans="1:13" x14ac:dyDescent="0.15">
      <c r="A15">
        <f>s!A15</f>
        <v>3</v>
      </c>
      <c r="B15">
        <f>s!B15</f>
        <v>304</v>
      </c>
      <c r="C15">
        <v>231</v>
      </c>
      <c r="M15">
        <v>14</v>
      </c>
    </row>
    <row r="16" spans="1:13" x14ac:dyDescent="0.15">
      <c r="A16">
        <f>s!A16</f>
        <v>3</v>
      </c>
      <c r="B16">
        <f>s!B16</f>
        <v>305</v>
      </c>
      <c r="C16">
        <v>231</v>
      </c>
      <c r="M16">
        <v>15</v>
      </c>
    </row>
    <row r="17" spans="1:13" x14ac:dyDescent="0.15">
      <c r="A17">
        <f>s!A17</f>
        <v>4</v>
      </c>
      <c r="B17">
        <f>s!B17</f>
        <v>401</v>
      </c>
      <c r="C17">
        <v>231</v>
      </c>
      <c r="M17">
        <v>16</v>
      </c>
    </row>
    <row r="18" spans="1:13" x14ac:dyDescent="0.15">
      <c r="A18">
        <f>s!A18</f>
        <v>4</v>
      </c>
      <c r="B18">
        <f>s!B18</f>
        <v>402</v>
      </c>
      <c r="C18">
        <v>231</v>
      </c>
      <c r="M18">
        <v>17</v>
      </c>
    </row>
    <row r="19" spans="1:13" x14ac:dyDescent="0.15">
      <c r="A19">
        <f>s!A19</f>
        <v>4</v>
      </c>
      <c r="B19">
        <f>s!B19</f>
        <v>403</v>
      </c>
      <c r="C19">
        <v>231</v>
      </c>
      <c r="M19">
        <v>18</v>
      </c>
    </row>
    <row r="20" spans="1:13" x14ac:dyDescent="0.15">
      <c r="A20">
        <f>s!A20</f>
        <v>4</v>
      </c>
      <c r="B20">
        <f>s!B20</f>
        <v>404</v>
      </c>
      <c r="C20">
        <v>231</v>
      </c>
      <c r="M20">
        <v>19</v>
      </c>
    </row>
    <row r="21" spans="1:13" x14ac:dyDescent="0.15">
      <c r="A21">
        <f>s!A21</f>
        <v>4</v>
      </c>
      <c r="B21">
        <f>s!B21</f>
        <v>405</v>
      </c>
      <c r="C21">
        <v>231</v>
      </c>
      <c r="M21">
        <v>20</v>
      </c>
    </row>
    <row r="22" spans="1:13" x14ac:dyDescent="0.15">
      <c r="A22">
        <f>s!A22</f>
        <v>5</v>
      </c>
      <c r="B22">
        <f>s!B22</f>
        <v>501</v>
      </c>
      <c r="C22">
        <v>231</v>
      </c>
      <c r="M22">
        <v>21</v>
      </c>
    </row>
    <row r="23" spans="1:13" x14ac:dyDescent="0.15">
      <c r="A23">
        <f>s!A23</f>
        <v>5</v>
      </c>
      <c r="B23">
        <f>s!B23</f>
        <v>502</v>
      </c>
      <c r="C23">
        <v>231</v>
      </c>
      <c r="M23">
        <v>22</v>
      </c>
    </row>
    <row r="24" spans="1:13" x14ac:dyDescent="0.15">
      <c r="A24">
        <f>s!A24</f>
        <v>5</v>
      </c>
      <c r="B24">
        <f>s!B24</f>
        <v>503</v>
      </c>
      <c r="C24">
        <v>231</v>
      </c>
      <c r="M24">
        <v>23</v>
      </c>
    </row>
    <row r="25" spans="1:13" x14ac:dyDescent="0.15">
      <c r="A25">
        <f>s!A25</f>
        <v>5</v>
      </c>
      <c r="B25">
        <f>s!B25</f>
        <v>504</v>
      </c>
      <c r="C25">
        <v>231</v>
      </c>
      <c r="M25">
        <v>24</v>
      </c>
    </row>
    <row r="26" spans="1:13" x14ac:dyDescent="0.15">
      <c r="A26">
        <f>s!A26</f>
        <v>5</v>
      </c>
      <c r="B26">
        <f>s!B26</f>
        <v>505</v>
      </c>
      <c r="C26">
        <v>231</v>
      </c>
      <c r="M26">
        <v>25</v>
      </c>
    </row>
    <row r="27" spans="1:13" x14ac:dyDescent="0.15">
      <c r="A27">
        <f>s!A27</f>
        <v>6</v>
      </c>
      <c r="B27">
        <f>s!B27</f>
        <v>601</v>
      </c>
      <c r="C27">
        <v>231</v>
      </c>
      <c r="M27">
        <v>26</v>
      </c>
    </row>
    <row r="28" spans="1:13" x14ac:dyDescent="0.15">
      <c r="A28">
        <f>s!A28</f>
        <v>6</v>
      </c>
      <c r="B28">
        <f>s!B28</f>
        <v>602</v>
      </c>
      <c r="C28">
        <v>231</v>
      </c>
      <c r="M28">
        <v>27</v>
      </c>
    </row>
    <row r="29" spans="1:13" x14ac:dyDescent="0.15">
      <c r="A29">
        <f>s!A29</f>
        <v>6</v>
      </c>
      <c r="B29">
        <f>s!B29</f>
        <v>603</v>
      </c>
      <c r="C29">
        <v>231</v>
      </c>
      <c r="M29">
        <v>28</v>
      </c>
    </row>
    <row r="30" spans="1:13" x14ac:dyDescent="0.15">
      <c r="A30">
        <f>s!A30</f>
        <v>6</v>
      </c>
      <c r="B30">
        <f>s!B30</f>
        <v>604</v>
      </c>
      <c r="C30">
        <v>231</v>
      </c>
      <c r="M30">
        <v>29</v>
      </c>
    </row>
    <row r="31" spans="1:13" x14ac:dyDescent="0.15">
      <c r="A31">
        <f>s!A31</f>
        <v>6</v>
      </c>
      <c r="B31">
        <f>s!B31</f>
        <v>605</v>
      </c>
      <c r="C31">
        <v>231</v>
      </c>
      <c r="M31">
        <v>30</v>
      </c>
    </row>
    <row r="32" spans="1:13" x14ac:dyDescent="0.15">
      <c r="A32">
        <f>s!A32</f>
        <v>7</v>
      </c>
      <c r="B32">
        <f>s!B32</f>
        <v>701</v>
      </c>
      <c r="C32">
        <v>231</v>
      </c>
      <c r="M32">
        <v>31</v>
      </c>
    </row>
    <row r="33" spans="1:13" x14ac:dyDescent="0.15">
      <c r="A33">
        <f>s!A33</f>
        <v>7</v>
      </c>
      <c r="B33">
        <f>s!B33</f>
        <v>702</v>
      </c>
      <c r="C33">
        <v>231</v>
      </c>
      <c r="M33">
        <v>32</v>
      </c>
    </row>
    <row r="34" spans="1:13" x14ac:dyDescent="0.15">
      <c r="A34">
        <f>s!A34</f>
        <v>7</v>
      </c>
      <c r="B34">
        <f>s!B34</f>
        <v>703</v>
      </c>
      <c r="C34">
        <v>231</v>
      </c>
      <c r="M34">
        <v>33</v>
      </c>
    </row>
    <row r="35" spans="1:13" x14ac:dyDescent="0.15">
      <c r="A35">
        <f>s!A35</f>
        <v>7</v>
      </c>
      <c r="B35">
        <f>s!B35</f>
        <v>704</v>
      </c>
      <c r="C35">
        <v>231</v>
      </c>
      <c r="M35">
        <v>34</v>
      </c>
    </row>
    <row r="36" spans="1:13" x14ac:dyDescent="0.15">
      <c r="A36">
        <f>s!A36</f>
        <v>7</v>
      </c>
      <c r="B36">
        <f>s!B36</f>
        <v>705</v>
      </c>
      <c r="C36">
        <v>231</v>
      </c>
      <c r="M36">
        <v>35</v>
      </c>
    </row>
    <row r="37" spans="1:13" x14ac:dyDescent="0.15">
      <c r="A37">
        <f>s!A37</f>
        <v>8</v>
      </c>
      <c r="B37">
        <f>s!B37</f>
        <v>801</v>
      </c>
      <c r="C37">
        <v>231</v>
      </c>
      <c r="M37">
        <v>36</v>
      </c>
    </row>
    <row r="38" spans="1:13" x14ac:dyDescent="0.15">
      <c r="A38">
        <f>s!A38</f>
        <v>8</v>
      </c>
      <c r="B38">
        <f>s!B38</f>
        <v>802</v>
      </c>
      <c r="C38">
        <v>231</v>
      </c>
      <c r="M38">
        <v>37</v>
      </c>
    </row>
    <row r="39" spans="1:13" x14ac:dyDescent="0.15">
      <c r="A39">
        <f>s!A39</f>
        <v>8</v>
      </c>
      <c r="B39">
        <f>s!B39</f>
        <v>803</v>
      </c>
      <c r="C39">
        <v>231</v>
      </c>
      <c r="M39">
        <v>38</v>
      </c>
    </row>
    <row r="40" spans="1:13" x14ac:dyDescent="0.15">
      <c r="A40">
        <f>s!A40</f>
        <v>8</v>
      </c>
      <c r="B40">
        <f>s!B40</f>
        <v>804</v>
      </c>
      <c r="C40">
        <v>231</v>
      </c>
      <c r="M40">
        <v>39</v>
      </c>
    </row>
    <row r="41" spans="1:13" x14ac:dyDescent="0.15">
      <c r="A41">
        <f>s!A41</f>
        <v>8</v>
      </c>
      <c r="B41">
        <f>s!B41</f>
        <v>805</v>
      </c>
      <c r="C41">
        <v>231</v>
      </c>
      <c r="M41">
        <v>40</v>
      </c>
    </row>
    <row r="42" spans="1:13" x14ac:dyDescent="0.15">
      <c r="A42">
        <f>s!A42</f>
        <v>9</v>
      </c>
      <c r="B42">
        <f>s!B42</f>
        <v>901</v>
      </c>
      <c r="C42">
        <v>231</v>
      </c>
      <c r="M42">
        <v>41</v>
      </c>
    </row>
    <row r="43" spans="1:13" x14ac:dyDescent="0.15">
      <c r="A43">
        <f>s!A43</f>
        <v>9</v>
      </c>
      <c r="B43">
        <f>s!B43</f>
        <v>902</v>
      </c>
      <c r="C43">
        <v>231</v>
      </c>
      <c r="M43">
        <v>42</v>
      </c>
    </row>
    <row r="44" spans="1:13" x14ac:dyDescent="0.15">
      <c r="A44">
        <f>s!A44</f>
        <v>9</v>
      </c>
      <c r="B44">
        <f>s!B44</f>
        <v>903</v>
      </c>
      <c r="C44">
        <v>231</v>
      </c>
      <c r="M44">
        <v>43</v>
      </c>
    </row>
    <row r="45" spans="1:13" x14ac:dyDescent="0.15">
      <c r="A45">
        <f>s!A45</f>
        <v>9</v>
      </c>
      <c r="B45">
        <f>s!B45</f>
        <v>904</v>
      </c>
      <c r="C45">
        <v>231</v>
      </c>
      <c r="M45">
        <v>44</v>
      </c>
    </row>
    <row r="46" spans="1:13" x14ac:dyDescent="0.15">
      <c r="A46">
        <f>s!A46</f>
        <v>9</v>
      </c>
      <c r="B46">
        <f>s!B46</f>
        <v>905</v>
      </c>
      <c r="C46">
        <v>231</v>
      </c>
      <c r="M46">
        <v>45</v>
      </c>
    </row>
    <row r="47" spans="1:13" x14ac:dyDescent="0.15">
      <c r="A47">
        <f>s!A47</f>
        <v>10</v>
      </c>
      <c r="B47">
        <f>s!B47</f>
        <v>1001</v>
      </c>
      <c r="C47">
        <v>231</v>
      </c>
      <c r="M47">
        <v>46</v>
      </c>
    </row>
    <row r="48" spans="1:13" x14ac:dyDescent="0.15">
      <c r="A48">
        <f>s!A48</f>
        <v>10</v>
      </c>
      <c r="B48">
        <f>s!B48</f>
        <v>1002</v>
      </c>
      <c r="C48">
        <v>231</v>
      </c>
      <c r="M48">
        <v>47</v>
      </c>
    </row>
    <row r="49" spans="1:13" x14ac:dyDescent="0.15">
      <c r="A49">
        <f>s!A49</f>
        <v>10</v>
      </c>
      <c r="B49">
        <f>s!B49</f>
        <v>1003</v>
      </c>
      <c r="C49">
        <v>231</v>
      </c>
      <c r="M49">
        <v>48</v>
      </c>
    </row>
    <row r="50" spans="1:13" x14ac:dyDescent="0.15">
      <c r="A50">
        <f>s!A50</f>
        <v>10</v>
      </c>
      <c r="B50">
        <f>s!B50</f>
        <v>1004</v>
      </c>
      <c r="C50">
        <v>231</v>
      </c>
      <c r="M50">
        <v>49</v>
      </c>
    </row>
    <row r="51" spans="1:13" x14ac:dyDescent="0.15">
      <c r="A51">
        <f>s!A51</f>
        <v>10</v>
      </c>
      <c r="B51">
        <f>s!B51</f>
        <v>1005</v>
      </c>
      <c r="C51">
        <v>231</v>
      </c>
      <c r="M51">
        <v>50</v>
      </c>
    </row>
    <row r="52" spans="1:13" x14ac:dyDescent="0.15">
      <c r="A52">
        <f>s!A52</f>
        <v>11</v>
      </c>
      <c r="B52">
        <f>s!B52</f>
        <v>1101</v>
      </c>
      <c r="C52">
        <v>231</v>
      </c>
      <c r="M52">
        <v>51</v>
      </c>
    </row>
    <row r="53" spans="1:13" x14ac:dyDescent="0.15">
      <c r="A53">
        <f>s!A53</f>
        <v>11</v>
      </c>
      <c r="B53">
        <f>s!B53</f>
        <v>1102</v>
      </c>
      <c r="C53">
        <v>231</v>
      </c>
      <c r="M53">
        <v>52</v>
      </c>
    </row>
    <row r="54" spans="1:13" x14ac:dyDescent="0.15">
      <c r="A54">
        <f>s!A54</f>
        <v>11</v>
      </c>
      <c r="B54">
        <f>s!B54</f>
        <v>1103</v>
      </c>
      <c r="C54">
        <v>231</v>
      </c>
      <c r="M54">
        <v>53</v>
      </c>
    </row>
    <row r="55" spans="1:13" x14ac:dyDescent="0.15">
      <c r="A55">
        <f>s!A55</f>
        <v>11</v>
      </c>
      <c r="B55">
        <f>s!B55</f>
        <v>1104</v>
      </c>
      <c r="C55">
        <v>231</v>
      </c>
      <c r="M55">
        <v>54</v>
      </c>
    </row>
    <row r="56" spans="1:13" x14ac:dyDescent="0.15">
      <c r="A56">
        <f>s!A56</f>
        <v>11</v>
      </c>
      <c r="B56">
        <f>s!B56</f>
        <v>1105</v>
      </c>
      <c r="C56">
        <v>231</v>
      </c>
      <c r="M56">
        <v>55</v>
      </c>
    </row>
    <row r="57" spans="1:13" x14ac:dyDescent="0.15">
      <c r="A57">
        <f>s!A57</f>
        <v>12</v>
      </c>
      <c r="B57">
        <f>s!B57</f>
        <v>1201</v>
      </c>
      <c r="C57">
        <v>231</v>
      </c>
      <c r="M57">
        <v>56</v>
      </c>
    </row>
    <row r="58" spans="1:13" x14ac:dyDescent="0.15">
      <c r="A58">
        <f>s!A58</f>
        <v>12</v>
      </c>
      <c r="B58">
        <f>s!B58</f>
        <v>1202</v>
      </c>
      <c r="C58">
        <v>231</v>
      </c>
      <c r="M58">
        <v>57</v>
      </c>
    </row>
    <row r="59" spans="1:13" x14ac:dyDescent="0.15">
      <c r="A59">
        <f>s!A59</f>
        <v>12</v>
      </c>
      <c r="B59">
        <f>s!B59</f>
        <v>1203</v>
      </c>
      <c r="C59">
        <v>231</v>
      </c>
      <c r="M59">
        <v>58</v>
      </c>
    </row>
    <row r="60" spans="1:13" x14ac:dyDescent="0.15">
      <c r="A60">
        <f>s!A60</f>
        <v>12</v>
      </c>
      <c r="B60">
        <f>s!B60</f>
        <v>1204</v>
      </c>
      <c r="C60">
        <v>231</v>
      </c>
      <c r="M60">
        <v>59</v>
      </c>
    </row>
    <row r="61" spans="1:13" x14ac:dyDescent="0.15">
      <c r="A61">
        <f>s!A61</f>
        <v>12</v>
      </c>
      <c r="B61">
        <f>s!B61</f>
        <v>1205</v>
      </c>
      <c r="C61">
        <v>231</v>
      </c>
      <c r="M61">
        <v>60</v>
      </c>
    </row>
    <row r="62" spans="1:13" x14ac:dyDescent="0.15">
      <c r="A62">
        <f>s!A62</f>
        <v>13</v>
      </c>
      <c r="B62">
        <f>s!B62</f>
        <v>1301</v>
      </c>
      <c r="C62">
        <v>231</v>
      </c>
      <c r="M62">
        <v>61</v>
      </c>
    </row>
    <row r="63" spans="1:13" x14ac:dyDescent="0.15">
      <c r="A63">
        <f>s!A63</f>
        <v>13</v>
      </c>
      <c r="B63">
        <f>s!B63</f>
        <v>1302</v>
      </c>
      <c r="C63">
        <v>231</v>
      </c>
      <c r="M63">
        <v>62</v>
      </c>
    </row>
    <row r="64" spans="1:13" x14ac:dyDescent="0.15">
      <c r="A64">
        <f>s!A64</f>
        <v>13</v>
      </c>
      <c r="B64">
        <f>s!B64</f>
        <v>1303</v>
      </c>
      <c r="C64">
        <v>231</v>
      </c>
      <c r="M64">
        <v>63</v>
      </c>
    </row>
    <row r="65" spans="1:13" x14ac:dyDescent="0.15">
      <c r="A65">
        <f>s!A65</f>
        <v>13</v>
      </c>
      <c r="B65">
        <f>s!B65</f>
        <v>1304</v>
      </c>
      <c r="C65">
        <v>231</v>
      </c>
      <c r="M65">
        <v>64</v>
      </c>
    </row>
    <row r="66" spans="1:13" x14ac:dyDescent="0.15">
      <c r="A66">
        <f>s!A66</f>
        <v>13</v>
      </c>
      <c r="B66">
        <f>s!B66</f>
        <v>1305</v>
      </c>
      <c r="C66">
        <v>231</v>
      </c>
      <c r="M66">
        <v>65</v>
      </c>
    </row>
    <row r="67" spans="1:13" x14ac:dyDescent="0.15">
      <c r="A67">
        <f>s!A67</f>
        <v>14</v>
      </c>
      <c r="B67">
        <f>s!B67</f>
        <v>1401</v>
      </c>
      <c r="C67">
        <v>231</v>
      </c>
      <c r="M67">
        <v>66</v>
      </c>
    </row>
    <row r="68" spans="1:13" x14ac:dyDescent="0.15">
      <c r="A68">
        <f>s!A68</f>
        <v>14</v>
      </c>
      <c r="B68">
        <f>s!B68</f>
        <v>1402</v>
      </c>
      <c r="C68">
        <v>231</v>
      </c>
      <c r="M68">
        <v>67</v>
      </c>
    </row>
    <row r="69" spans="1:13" x14ac:dyDescent="0.15">
      <c r="A69">
        <f>s!A69</f>
        <v>14</v>
      </c>
      <c r="B69">
        <f>s!B69</f>
        <v>1403</v>
      </c>
      <c r="C69">
        <v>231</v>
      </c>
      <c r="M69">
        <v>68</v>
      </c>
    </row>
    <row r="70" spans="1:13" x14ac:dyDescent="0.15">
      <c r="A70">
        <f>s!A70</f>
        <v>14</v>
      </c>
      <c r="B70">
        <f>s!B70</f>
        <v>1404</v>
      </c>
      <c r="C70">
        <v>231</v>
      </c>
      <c r="M70">
        <v>69</v>
      </c>
    </row>
    <row r="71" spans="1:13" x14ac:dyDescent="0.15">
      <c r="A71">
        <f>s!A71</f>
        <v>14</v>
      </c>
      <c r="B71">
        <f>s!B71</f>
        <v>1405</v>
      </c>
      <c r="C71">
        <v>231</v>
      </c>
      <c r="M71">
        <v>70</v>
      </c>
    </row>
    <row r="72" spans="1:13" x14ac:dyDescent="0.15">
      <c r="A72">
        <f>s!A72</f>
        <v>15</v>
      </c>
      <c r="B72">
        <f>s!B72</f>
        <v>1501</v>
      </c>
      <c r="C72">
        <v>231</v>
      </c>
      <c r="M72">
        <v>71</v>
      </c>
    </row>
    <row r="73" spans="1:13" x14ac:dyDescent="0.15">
      <c r="A73">
        <f>s!A73</f>
        <v>15</v>
      </c>
      <c r="B73">
        <f>s!B73</f>
        <v>1502</v>
      </c>
      <c r="C73">
        <v>231</v>
      </c>
      <c r="M73">
        <v>72</v>
      </c>
    </row>
    <row r="74" spans="1:13" x14ac:dyDescent="0.15">
      <c r="A74">
        <f>s!A74</f>
        <v>15</v>
      </c>
      <c r="B74">
        <f>s!B74</f>
        <v>1503</v>
      </c>
      <c r="C74">
        <v>231</v>
      </c>
      <c r="M74">
        <v>73</v>
      </c>
    </row>
    <row r="75" spans="1:13" x14ac:dyDescent="0.15">
      <c r="A75">
        <f>s!A75</f>
        <v>15</v>
      </c>
      <c r="B75">
        <f>s!B75</f>
        <v>1504</v>
      </c>
      <c r="C75">
        <v>231</v>
      </c>
      <c r="M75">
        <v>74</v>
      </c>
    </row>
    <row r="76" spans="1:13" x14ac:dyDescent="0.15">
      <c r="A76">
        <f>s!A76</f>
        <v>15</v>
      </c>
      <c r="B76">
        <f>s!B76</f>
        <v>1505</v>
      </c>
      <c r="C76">
        <v>231</v>
      </c>
      <c r="M76">
        <v>75</v>
      </c>
    </row>
    <row r="77" spans="1:13" x14ac:dyDescent="0.15">
      <c r="A77">
        <f>s!A77</f>
        <v>16</v>
      </c>
      <c r="B77">
        <f>s!B77</f>
        <v>1601</v>
      </c>
      <c r="C77">
        <v>231</v>
      </c>
      <c r="M77">
        <v>76</v>
      </c>
    </row>
    <row r="78" spans="1:13" x14ac:dyDescent="0.15">
      <c r="A78">
        <f>s!A78</f>
        <v>16</v>
      </c>
      <c r="B78">
        <f>s!B78</f>
        <v>1602</v>
      </c>
      <c r="C78">
        <v>231</v>
      </c>
      <c r="M78">
        <v>77</v>
      </c>
    </row>
    <row r="79" spans="1:13" x14ac:dyDescent="0.15">
      <c r="A79">
        <f>s!A79</f>
        <v>16</v>
      </c>
      <c r="B79">
        <f>s!B79</f>
        <v>1603</v>
      </c>
      <c r="C79">
        <v>231</v>
      </c>
      <c r="M79">
        <v>78</v>
      </c>
    </row>
    <row r="80" spans="1:13" x14ac:dyDescent="0.15">
      <c r="A80">
        <f>s!A80</f>
        <v>16</v>
      </c>
      <c r="B80">
        <f>s!B80</f>
        <v>1604</v>
      </c>
      <c r="C80">
        <v>231</v>
      </c>
      <c r="M80">
        <v>79</v>
      </c>
    </row>
    <row r="81" spans="1:13" x14ac:dyDescent="0.15">
      <c r="A81">
        <f>s!A81</f>
        <v>16</v>
      </c>
      <c r="B81">
        <f>s!B81</f>
        <v>1605</v>
      </c>
      <c r="C81">
        <v>231</v>
      </c>
      <c r="M81">
        <v>80</v>
      </c>
    </row>
    <row r="82" spans="1:13" x14ac:dyDescent="0.15">
      <c r="A82">
        <f>s!A82</f>
        <v>17</v>
      </c>
      <c r="B82">
        <f>s!B82</f>
        <v>1701</v>
      </c>
      <c r="C82">
        <v>231</v>
      </c>
      <c r="M82">
        <v>81</v>
      </c>
    </row>
    <row r="83" spans="1:13" x14ac:dyDescent="0.15">
      <c r="A83">
        <f>s!A83</f>
        <v>17</v>
      </c>
      <c r="B83">
        <f>s!B83</f>
        <v>1702</v>
      </c>
      <c r="C83">
        <v>231</v>
      </c>
      <c r="M83">
        <v>82</v>
      </c>
    </row>
    <row r="84" spans="1:13" x14ac:dyDescent="0.15">
      <c r="A84">
        <f>s!A84</f>
        <v>17</v>
      </c>
      <c r="B84">
        <f>s!B84</f>
        <v>1703</v>
      </c>
      <c r="C84">
        <v>231</v>
      </c>
      <c r="M84">
        <v>83</v>
      </c>
    </row>
    <row r="85" spans="1:13" x14ac:dyDescent="0.15">
      <c r="A85">
        <f>s!A85</f>
        <v>17</v>
      </c>
      <c r="B85">
        <f>s!B85</f>
        <v>1704</v>
      </c>
      <c r="C85">
        <v>231</v>
      </c>
      <c r="M85">
        <v>84</v>
      </c>
    </row>
    <row r="86" spans="1:13" x14ac:dyDescent="0.15">
      <c r="A86">
        <f>s!A86</f>
        <v>17</v>
      </c>
      <c r="B86">
        <f>s!B86</f>
        <v>1705</v>
      </c>
      <c r="C86">
        <v>231</v>
      </c>
      <c r="M86">
        <v>85</v>
      </c>
    </row>
    <row r="87" spans="1:13" x14ac:dyDescent="0.15">
      <c r="A87">
        <f>s!A87</f>
        <v>18</v>
      </c>
      <c r="B87">
        <f>s!B87</f>
        <v>1801</v>
      </c>
      <c r="C87">
        <v>231</v>
      </c>
      <c r="M87">
        <v>86</v>
      </c>
    </row>
    <row r="88" spans="1:13" x14ac:dyDescent="0.15">
      <c r="A88">
        <f>s!A88</f>
        <v>18</v>
      </c>
      <c r="B88">
        <f>s!B88</f>
        <v>1802</v>
      </c>
      <c r="C88">
        <v>231</v>
      </c>
      <c r="M88">
        <v>87</v>
      </c>
    </row>
    <row r="89" spans="1:13" x14ac:dyDescent="0.15">
      <c r="A89">
        <f>s!A89</f>
        <v>18</v>
      </c>
      <c r="B89">
        <f>s!B89</f>
        <v>1803</v>
      </c>
      <c r="C89">
        <v>231</v>
      </c>
      <c r="M89">
        <v>88</v>
      </c>
    </row>
    <row r="90" spans="1:13" x14ac:dyDescent="0.15">
      <c r="A90">
        <f>s!A90</f>
        <v>18</v>
      </c>
      <c r="B90">
        <f>s!B90</f>
        <v>1804</v>
      </c>
      <c r="C90">
        <v>231</v>
      </c>
      <c r="M90">
        <v>89</v>
      </c>
    </row>
    <row r="91" spans="1:13" x14ac:dyDescent="0.15">
      <c r="A91">
        <f>s!A91</f>
        <v>18</v>
      </c>
      <c r="B91">
        <f>s!B91</f>
        <v>1805</v>
      </c>
      <c r="C91">
        <v>231</v>
      </c>
      <c r="M91">
        <v>90</v>
      </c>
    </row>
    <row r="92" spans="1:13" x14ac:dyDescent="0.15">
      <c r="A92">
        <f>s!A92</f>
        <v>19</v>
      </c>
      <c r="B92">
        <f>s!B92</f>
        <v>1901</v>
      </c>
      <c r="C92">
        <v>231</v>
      </c>
      <c r="M92">
        <v>91</v>
      </c>
    </row>
    <row r="93" spans="1:13" x14ac:dyDescent="0.15">
      <c r="A93">
        <f>s!A93</f>
        <v>19</v>
      </c>
      <c r="B93">
        <f>s!B93</f>
        <v>1902</v>
      </c>
      <c r="C93">
        <v>231</v>
      </c>
      <c r="M93">
        <v>92</v>
      </c>
    </row>
    <row r="94" spans="1:13" x14ac:dyDescent="0.15">
      <c r="A94">
        <f>s!A94</f>
        <v>19</v>
      </c>
      <c r="B94">
        <f>s!B94</f>
        <v>1903</v>
      </c>
      <c r="C94">
        <v>231</v>
      </c>
      <c r="M94">
        <v>93</v>
      </c>
    </row>
    <row r="95" spans="1:13" x14ac:dyDescent="0.15">
      <c r="A95">
        <f>s!A95</f>
        <v>19</v>
      </c>
      <c r="B95">
        <f>s!B95</f>
        <v>1904</v>
      </c>
      <c r="C95">
        <v>231</v>
      </c>
      <c r="M95">
        <v>94</v>
      </c>
    </row>
    <row r="96" spans="1:13" x14ac:dyDescent="0.15">
      <c r="A96">
        <f>s!A96</f>
        <v>19</v>
      </c>
      <c r="B96">
        <f>s!B96</f>
        <v>1905</v>
      </c>
      <c r="C96">
        <v>231</v>
      </c>
      <c r="M96">
        <v>95</v>
      </c>
    </row>
    <row r="97" spans="1:13" x14ac:dyDescent="0.15">
      <c r="A97">
        <f>s!A97</f>
        <v>20</v>
      </c>
      <c r="B97">
        <f>s!B97</f>
        <v>2001</v>
      </c>
      <c r="C97">
        <v>231</v>
      </c>
      <c r="M97">
        <v>96</v>
      </c>
    </row>
    <row r="98" spans="1:13" x14ac:dyDescent="0.15">
      <c r="A98">
        <f>s!A98</f>
        <v>20</v>
      </c>
      <c r="B98">
        <f>s!B98</f>
        <v>2002</v>
      </c>
      <c r="C98">
        <v>231</v>
      </c>
      <c r="M98">
        <v>97</v>
      </c>
    </row>
    <row r="99" spans="1:13" x14ac:dyDescent="0.15">
      <c r="A99">
        <f>s!A99</f>
        <v>20</v>
      </c>
      <c r="B99">
        <f>s!B99</f>
        <v>2003</v>
      </c>
      <c r="C99">
        <v>231</v>
      </c>
      <c r="M99">
        <v>98</v>
      </c>
    </row>
    <row r="100" spans="1:13" x14ac:dyDescent="0.15">
      <c r="A100">
        <f>s!A100</f>
        <v>20</v>
      </c>
      <c r="B100">
        <f>s!B100</f>
        <v>2004</v>
      </c>
      <c r="C100">
        <v>231</v>
      </c>
      <c r="M100">
        <v>99</v>
      </c>
    </row>
    <row r="101" spans="1:13" x14ac:dyDescent="0.15">
      <c r="A101">
        <f>s!A101</f>
        <v>20</v>
      </c>
      <c r="B101">
        <f>s!B101</f>
        <v>2005</v>
      </c>
      <c r="C101">
        <v>231</v>
      </c>
      <c r="M101">
        <v>100</v>
      </c>
    </row>
    <row r="102" spans="1:13" x14ac:dyDescent="0.15">
      <c r="A102">
        <f>s!A102</f>
        <v>21</v>
      </c>
      <c r="B102">
        <f>s!B102</f>
        <v>2101</v>
      </c>
      <c r="C102">
        <v>231</v>
      </c>
      <c r="M102">
        <v>101</v>
      </c>
    </row>
    <row r="103" spans="1:13" x14ac:dyDescent="0.15">
      <c r="A103">
        <f>s!A103</f>
        <v>21</v>
      </c>
      <c r="B103">
        <f>s!B103</f>
        <v>2102</v>
      </c>
      <c r="C103">
        <v>231</v>
      </c>
      <c r="M103">
        <v>102</v>
      </c>
    </row>
    <row r="104" spans="1:13" x14ac:dyDescent="0.15">
      <c r="A104">
        <f>s!A104</f>
        <v>21</v>
      </c>
      <c r="B104">
        <f>s!B104</f>
        <v>2103</v>
      </c>
      <c r="C104">
        <v>231</v>
      </c>
      <c r="M104">
        <v>103</v>
      </c>
    </row>
    <row r="105" spans="1:13" x14ac:dyDescent="0.15">
      <c r="A105">
        <f>s!A105</f>
        <v>21</v>
      </c>
      <c r="B105">
        <f>s!B105</f>
        <v>2104</v>
      </c>
      <c r="C105">
        <v>231</v>
      </c>
      <c r="M105">
        <v>104</v>
      </c>
    </row>
    <row r="106" spans="1:13" x14ac:dyDescent="0.15">
      <c r="A106">
        <f>s!A106</f>
        <v>21</v>
      </c>
      <c r="B106">
        <f>s!B106</f>
        <v>2105</v>
      </c>
      <c r="C106">
        <v>231</v>
      </c>
      <c r="M106">
        <v>105</v>
      </c>
    </row>
    <row r="107" spans="1:13" x14ac:dyDescent="0.15">
      <c r="A107">
        <f>s!A107</f>
        <v>22</v>
      </c>
      <c r="B107">
        <f>s!B107</f>
        <v>2201</v>
      </c>
      <c r="C107">
        <v>231</v>
      </c>
      <c r="M107">
        <v>106</v>
      </c>
    </row>
    <row r="108" spans="1:13" x14ac:dyDescent="0.15">
      <c r="A108">
        <f>s!A108</f>
        <v>22</v>
      </c>
      <c r="B108">
        <f>s!B108</f>
        <v>2202</v>
      </c>
      <c r="C108">
        <v>231</v>
      </c>
      <c r="M108">
        <v>107</v>
      </c>
    </row>
    <row r="109" spans="1:13" x14ac:dyDescent="0.15">
      <c r="A109">
        <f>s!A109</f>
        <v>22</v>
      </c>
      <c r="B109">
        <f>s!B109</f>
        <v>2203</v>
      </c>
      <c r="C109">
        <v>231</v>
      </c>
      <c r="M109">
        <v>108</v>
      </c>
    </row>
    <row r="110" spans="1:13" x14ac:dyDescent="0.15">
      <c r="A110">
        <f>s!A110</f>
        <v>22</v>
      </c>
      <c r="B110">
        <f>s!B110</f>
        <v>2204</v>
      </c>
      <c r="C110">
        <v>231</v>
      </c>
      <c r="M110">
        <v>109</v>
      </c>
    </row>
    <row r="111" spans="1:13" x14ac:dyDescent="0.15">
      <c r="A111">
        <f>s!A111</f>
        <v>22</v>
      </c>
      <c r="B111">
        <f>s!B111</f>
        <v>2205</v>
      </c>
      <c r="C111">
        <v>231</v>
      </c>
      <c r="M111">
        <v>110</v>
      </c>
    </row>
    <row r="112" spans="1:13" x14ac:dyDescent="0.15">
      <c r="A112">
        <f>s!A112</f>
        <v>23</v>
      </c>
      <c r="B112">
        <f>s!B112</f>
        <v>2301</v>
      </c>
      <c r="C112">
        <v>231</v>
      </c>
      <c r="M112">
        <v>111</v>
      </c>
    </row>
    <row r="113" spans="1:13" x14ac:dyDescent="0.15">
      <c r="A113">
        <f>s!A113</f>
        <v>23</v>
      </c>
      <c r="B113">
        <f>s!B113</f>
        <v>2302</v>
      </c>
      <c r="C113">
        <v>231</v>
      </c>
      <c r="M113">
        <v>112</v>
      </c>
    </row>
    <row r="114" spans="1:13" x14ac:dyDescent="0.15">
      <c r="A114">
        <f>s!A114</f>
        <v>23</v>
      </c>
      <c r="B114">
        <f>s!B114</f>
        <v>2303</v>
      </c>
      <c r="C114">
        <v>231</v>
      </c>
      <c r="M114">
        <v>113</v>
      </c>
    </row>
    <row r="115" spans="1:13" x14ac:dyDescent="0.15">
      <c r="A115">
        <f>s!A115</f>
        <v>23</v>
      </c>
      <c r="B115">
        <f>s!B115</f>
        <v>2304</v>
      </c>
      <c r="C115">
        <v>231</v>
      </c>
      <c r="M115">
        <v>114</v>
      </c>
    </row>
    <row r="116" spans="1:13" x14ac:dyDescent="0.15">
      <c r="A116">
        <f>s!A116</f>
        <v>23</v>
      </c>
      <c r="B116">
        <f>s!B116</f>
        <v>2305</v>
      </c>
      <c r="C116">
        <v>231</v>
      </c>
      <c r="M116">
        <v>115</v>
      </c>
    </row>
    <row r="117" spans="1:13" x14ac:dyDescent="0.15">
      <c r="A117">
        <f>s!A117</f>
        <v>24</v>
      </c>
      <c r="B117">
        <f>s!B117</f>
        <v>2401</v>
      </c>
      <c r="C117">
        <v>231</v>
      </c>
      <c r="M117">
        <v>116</v>
      </c>
    </row>
    <row r="118" spans="1:13" x14ac:dyDescent="0.15">
      <c r="A118">
        <f>s!A118</f>
        <v>24</v>
      </c>
      <c r="B118">
        <f>s!B118</f>
        <v>2402</v>
      </c>
      <c r="C118">
        <v>231</v>
      </c>
      <c r="M118">
        <v>117</v>
      </c>
    </row>
    <row r="119" spans="1:13" x14ac:dyDescent="0.15">
      <c r="A119">
        <f>s!A119</f>
        <v>24</v>
      </c>
      <c r="B119">
        <f>s!B119</f>
        <v>2403</v>
      </c>
      <c r="C119">
        <v>231</v>
      </c>
      <c r="M119">
        <v>118</v>
      </c>
    </row>
    <row r="120" spans="1:13" x14ac:dyDescent="0.15">
      <c r="A120">
        <f>s!A120</f>
        <v>24</v>
      </c>
      <c r="B120">
        <f>s!B120</f>
        <v>2404</v>
      </c>
      <c r="C120">
        <v>231</v>
      </c>
      <c r="M120">
        <v>119</v>
      </c>
    </row>
    <row r="121" spans="1:13" x14ac:dyDescent="0.15">
      <c r="A121">
        <f>s!A121</f>
        <v>24</v>
      </c>
      <c r="B121">
        <f>s!B121</f>
        <v>2405</v>
      </c>
      <c r="C121">
        <v>231</v>
      </c>
      <c r="M121">
        <v>120</v>
      </c>
    </row>
    <row r="122" spans="1:13" x14ac:dyDescent="0.15">
      <c r="A122">
        <f>s!A122</f>
        <v>25</v>
      </c>
      <c r="B122">
        <f>s!B122</f>
        <v>2501</v>
      </c>
      <c r="C122">
        <v>231</v>
      </c>
      <c r="M122">
        <v>121</v>
      </c>
    </row>
    <row r="123" spans="1:13" x14ac:dyDescent="0.15">
      <c r="A123">
        <f>s!A123</f>
        <v>25</v>
      </c>
      <c r="B123">
        <f>s!B123</f>
        <v>2502</v>
      </c>
      <c r="C123">
        <v>231</v>
      </c>
      <c r="M123">
        <v>122</v>
      </c>
    </row>
    <row r="124" spans="1:13" x14ac:dyDescent="0.15">
      <c r="A124">
        <f>s!A124</f>
        <v>25</v>
      </c>
      <c r="B124">
        <f>s!B124</f>
        <v>2503</v>
      </c>
      <c r="C124">
        <v>231</v>
      </c>
      <c r="M124">
        <v>123</v>
      </c>
    </row>
    <row r="125" spans="1:13" x14ac:dyDescent="0.15">
      <c r="A125">
        <f>s!A125</f>
        <v>25</v>
      </c>
      <c r="B125">
        <f>s!B125</f>
        <v>2504</v>
      </c>
      <c r="C125">
        <v>231</v>
      </c>
      <c r="M125">
        <v>124</v>
      </c>
    </row>
    <row r="126" spans="1:13" x14ac:dyDescent="0.15">
      <c r="A126">
        <f>s!A126</f>
        <v>25</v>
      </c>
      <c r="B126">
        <f>s!B126</f>
        <v>2505</v>
      </c>
      <c r="C126">
        <v>231</v>
      </c>
      <c r="M126">
        <v>125</v>
      </c>
    </row>
    <row r="127" spans="1:13" x14ac:dyDescent="0.15">
      <c r="A127">
        <f>s!A127</f>
        <v>26</v>
      </c>
      <c r="B127">
        <f>s!B127</f>
        <v>2601</v>
      </c>
      <c r="C127">
        <v>231</v>
      </c>
      <c r="M127">
        <v>126</v>
      </c>
    </row>
    <row r="128" spans="1:13" x14ac:dyDescent="0.15">
      <c r="A128">
        <f>s!A128</f>
        <v>26</v>
      </c>
      <c r="B128">
        <f>s!B128</f>
        <v>2602</v>
      </c>
      <c r="C128">
        <v>231</v>
      </c>
      <c r="M128">
        <v>127</v>
      </c>
    </row>
    <row r="129" spans="1:13" x14ac:dyDescent="0.15">
      <c r="A129">
        <f>s!A129</f>
        <v>26</v>
      </c>
      <c r="B129">
        <f>s!B129</f>
        <v>2603</v>
      </c>
      <c r="C129">
        <v>231</v>
      </c>
      <c r="M129">
        <v>128</v>
      </c>
    </row>
    <row r="130" spans="1:13" x14ac:dyDescent="0.15">
      <c r="A130">
        <f>s!A130</f>
        <v>26</v>
      </c>
      <c r="B130">
        <f>s!B130</f>
        <v>2604</v>
      </c>
      <c r="C130">
        <v>231</v>
      </c>
      <c r="M130">
        <v>129</v>
      </c>
    </row>
    <row r="131" spans="1:13" x14ac:dyDescent="0.15">
      <c r="A131">
        <f>s!A131</f>
        <v>26</v>
      </c>
      <c r="B131">
        <f>s!B131</f>
        <v>2605</v>
      </c>
      <c r="C131">
        <v>231</v>
      </c>
      <c r="M131">
        <v>130</v>
      </c>
    </row>
    <row r="132" spans="1:13" x14ac:dyDescent="0.15">
      <c r="A132">
        <f>s!A132</f>
        <v>27</v>
      </c>
      <c r="B132">
        <f>s!B132</f>
        <v>2701</v>
      </c>
      <c r="C132">
        <v>231</v>
      </c>
      <c r="M132">
        <v>131</v>
      </c>
    </row>
    <row r="133" spans="1:13" x14ac:dyDescent="0.15">
      <c r="A133">
        <f>s!A133</f>
        <v>27</v>
      </c>
      <c r="B133">
        <f>s!B133</f>
        <v>2702</v>
      </c>
      <c r="C133">
        <v>231</v>
      </c>
      <c r="M133">
        <v>132</v>
      </c>
    </row>
    <row r="134" spans="1:13" x14ac:dyDescent="0.15">
      <c r="A134">
        <f>s!A134</f>
        <v>27</v>
      </c>
      <c r="B134">
        <f>s!B134</f>
        <v>2703</v>
      </c>
      <c r="C134">
        <v>231</v>
      </c>
      <c r="M134">
        <v>133</v>
      </c>
    </row>
    <row r="135" spans="1:13" x14ac:dyDescent="0.15">
      <c r="A135">
        <f>s!A135</f>
        <v>27</v>
      </c>
      <c r="B135">
        <f>s!B135</f>
        <v>2704</v>
      </c>
      <c r="C135">
        <v>231</v>
      </c>
      <c r="M135">
        <v>134</v>
      </c>
    </row>
    <row r="136" spans="1:13" x14ac:dyDescent="0.15">
      <c r="A136">
        <f>s!A136</f>
        <v>27</v>
      </c>
      <c r="B136">
        <f>s!B136</f>
        <v>2705</v>
      </c>
      <c r="C136">
        <v>231</v>
      </c>
      <c r="M136">
        <v>135</v>
      </c>
    </row>
    <row r="137" spans="1:13" x14ac:dyDescent="0.15">
      <c r="A137">
        <f>s!A137</f>
        <v>28</v>
      </c>
      <c r="B137">
        <f>s!B137</f>
        <v>2801</v>
      </c>
      <c r="C137">
        <v>231</v>
      </c>
      <c r="M137">
        <v>136</v>
      </c>
    </row>
    <row r="138" spans="1:13" x14ac:dyDescent="0.15">
      <c r="A138">
        <f>s!A138</f>
        <v>28</v>
      </c>
      <c r="B138">
        <f>s!B138</f>
        <v>2802</v>
      </c>
      <c r="C138">
        <v>231</v>
      </c>
      <c r="M138">
        <v>137</v>
      </c>
    </row>
    <row r="139" spans="1:13" x14ac:dyDescent="0.15">
      <c r="A139">
        <f>s!A139</f>
        <v>28</v>
      </c>
      <c r="B139">
        <f>s!B139</f>
        <v>2803</v>
      </c>
      <c r="C139">
        <v>231</v>
      </c>
      <c r="M139">
        <v>138</v>
      </c>
    </row>
    <row r="140" spans="1:13" x14ac:dyDescent="0.15">
      <c r="A140">
        <f>s!A140</f>
        <v>28</v>
      </c>
      <c r="B140">
        <f>s!B140</f>
        <v>2804</v>
      </c>
      <c r="C140">
        <v>231</v>
      </c>
      <c r="M140">
        <v>139</v>
      </c>
    </row>
    <row r="141" spans="1:13" x14ac:dyDescent="0.15">
      <c r="A141">
        <f>s!A141</f>
        <v>28</v>
      </c>
      <c r="B141">
        <f>s!B141</f>
        <v>2805</v>
      </c>
      <c r="C141">
        <v>231</v>
      </c>
      <c r="M141">
        <v>140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F6:Q203"/>
  <sheetViews>
    <sheetView topLeftCell="A6" workbookViewId="0">
      <selection activeCell="N7" sqref="N7"/>
    </sheetView>
  </sheetViews>
  <sheetFormatPr defaultRowHeight="13.5" x14ac:dyDescent="0.15"/>
  <cols>
    <col min="9" max="9" width="14.125" customWidth="1"/>
    <col min="17" max="17" width="15.75" customWidth="1"/>
  </cols>
  <sheetData>
    <row r="6" spans="6:17" ht="14.25" x14ac:dyDescent="0.2">
      <c r="F6" s="1"/>
      <c r="G6" s="2" t="s">
        <v>1</v>
      </c>
      <c r="H6" s="3" t="s">
        <v>2</v>
      </c>
      <c r="I6" s="3" t="s">
        <v>3</v>
      </c>
      <c r="J6" s="3" t="s">
        <v>4</v>
      </c>
      <c r="K6" s="3" t="s">
        <v>5</v>
      </c>
      <c r="L6" s="3" t="s">
        <v>6</v>
      </c>
      <c r="M6" s="3" t="s">
        <v>7</v>
      </c>
      <c r="N6" s="3" t="s">
        <v>8</v>
      </c>
      <c r="O6" s="3" t="s">
        <v>9</v>
      </c>
      <c r="P6" s="3" t="s">
        <v>10</v>
      </c>
      <c r="Q6" s="3" t="s">
        <v>3</v>
      </c>
    </row>
    <row r="7" spans="6:17" ht="14.25" x14ac:dyDescent="0.2">
      <c r="F7" s="1">
        <v>50001</v>
      </c>
      <c r="G7" s="4">
        <v>1</v>
      </c>
      <c r="H7" s="5" t="s">
        <v>11</v>
      </c>
      <c r="I7" s="5" t="s">
        <v>12</v>
      </c>
      <c r="J7" s="4" t="s">
        <v>13</v>
      </c>
      <c r="K7" s="5" t="s">
        <v>14</v>
      </c>
      <c r="L7" s="4">
        <v>1</v>
      </c>
      <c r="M7" s="4">
        <v>1</v>
      </c>
      <c r="N7" s="4">
        <f>INT((9-L7)^2.5)</f>
        <v>181</v>
      </c>
      <c r="O7" s="4">
        <f>L7^2*1.5</f>
        <v>1.5</v>
      </c>
      <c r="P7" s="5" t="s">
        <v>15</v>
      </c>
      <c r="Q7" s="4" t="s">
        <v>532</v>
      </c>
    </row>
    <row r="8" spans="6:17" ht="14.25" x14ac:dyDescent="0.2">
      <c r="F8" s="1">
        <v>50005</v>
      </c>
      <c r="G8" s="4">
        <v>5</v>
      </c>
      <c r="H8" s="5" t="s">
        <v>23</v>
      </c>
      <c r="I8" s="5" t="s">
        <v>24</v>
      </c>
      <c r="J8" s="4" t="s">
        <v>25</v>
      </c>
      <c r="K8" s="5" t="s">
        <v>26</v>
      </c>
      <c r="L8" s="4">
        <v>1</v>
      </c>
      <c r="M8" s="4">
        <v>1</v>
      </c>
      <c r="N8" s="4">
        <f t="shared" ref="N8:N71" si="0">INT((9-L8)^2.5)</f>
        <v>181</v>
      </c>
      <c r="O8" s="4">
        <v>1.5</v>
      </c>
      <c r="P8" s="5" t="s">
        <v>15</v>
      </c>
      <c r="Q8" s="4" t="s">
        <v>536</v>
      </c>
    </row>
    <row r="9" spans="6:17" ht="14.25" x14ac:dyDescent="0.2">
      <c r="F9" s="1">
        <v>50009</v>
      </c>
      <c r="G9" s="4">
        <v>9</v>
      </c>
      <c r="H9" s="5" t="s">
        <v>33</v>
      </c>
      <c r="I9" s="5" t="s">
        <v>34</v>
      </c>
      <c r="J9" s="4" t="s">
        <v>25</v>
      </c>
      <c r="K9" s="5" t="s">
        <v>35</v>
      </c>
      <c r="L9" s="4">
        <v>1</v>
      </c>
      <c r="M9" s="4">
        <v>1</v>
      </c>
      <c r="N9" s="4">
        <f t="shared" si="0"/>
        <v>181</v>
      </c>
      <c r="O9" s="4">
        <v>1.5</v>
      </c>
      <c r="P9" s="5" t="s">
        <v>15</v>
      </c>
      <c r="Q9" s="4" t="s">
        <v>540</v>
      </c>
    </row>
    <row r="10" spans="6:17" ht="14.25" x14ac:dyDescent="0.2">
      <c r="F10" s="1">
        <v>50013</v>
      </c>
      <c r="G10" s="4">
        <v>13</v>
      </c>
      <c r="H10" s="5" t="s">
        <v>42</v>
      </c>
      <c r="I10" s="5" t="s">
        <v>43</v>
      </c>
      <c r="J10" s="4" t="s">
        <v>44</v>
      </c>
      <c r="K10" s="5" t="s">
        <v>45</v>
      </c>
      <c r="L10" s="4">
        <v>1</v>
      </c>
      <c r="M10" s="4">
        <v>1</v>
      </c>
      <c r="N10" s="4">
        <f t="shared" si="0"/>
        <v>181</v>
      </c>
      <c r="O10" s="4">
        <v>1.5</v>
      </c>
      <c r="P10" s="5" t="s">
        <v>15</v>
      </c>
      <c r="Q10" s="4" t="s">
        <v>544</v>
      </c>
    </row>
    <row r="11" spans="6:17" ht="14.25" x14ac:dyDescent="0.2">
      <c r="F11" s="1">
        <v>50015</v>
      </c>
      <c r="G11" s="4">
        <v>15</v>
      </c>
      <c r="H11" s="5" t="s">
        <v>48</v>
      </c>
      <c r="I11" s="5" t="s">
        <v>49</v>
      </c>
      <c r="J11" s="4" t="s">
        <v>20</v>
      </c>
      <c r="K11" s="5" t="s">
        <v>45</v>
      </c>
      <c r="L11" s="4">
        <v>1</v>
      </c>
      <c r="M11" s="4">
        <v>1</v>
      </c>
      <c r="N11" s="4">
        <f t="shared" si="0"/>
        <v>181</v>
      </c>
      <c r="O11" s="4">
        <v>1.5</v>
      </c>
      <c r="P11" s="5" t="s">
        <v>15</v>
      </c>
      <c r="Q11" s="4" t="s">
        <v>546</v>
      </c>
    </row>
    <row r="12" spans="6:17" ht="14.25" x14ac:dyDescent="0.2">
      <c r="F12" s="1">
        <v>50031</v>
      </c>
      <c r="G12" s="4">
        <v>31</v>
      </c>
      <c r="H12" s="5" t="s">
        <v>102</v>
      </c>
      <c r="I12" s="5" t="s">
        <v>103</v>
      </c>
      <c r="J12" s="4" t="s">
        <v>104</v>
      </c>
      <c r="K12" s="5" t="s">
        <v>45</v>
      </c>
      <c r="L12" s="4">
        <v>1</v>
      </c>
      <c r="M12" s="4">
        <v>1</v>
      </c>
      <c r="N12" s="4">
        <f t="shared" si="0"/>
        <v>181</v>
      </c>
      <c r="O12" s="4">
        <v>1.5</v>
      </c>
      <c r="P12" s="5" t="s">
        <v>15</v>
      </c>
      <c r="Q12" s="4" t="s">
        <v>562</v>
      </c>
    </row>
    <row r="13" spans="6:17" ht="14.25" x14ac:dyDescent="0.2">
      <c r="F13" s="1">
        <v>50035</v>
      </c>
      <c r="G13" s="4">
        <v>35</v>
      </c>
      <c r="H13" s="5" t="s">
        <v>111</v>
      </c>
      <c r="I13" s="5" t="s">
        <v>112</v>
      </c>
      <c r="J13" s="4" t="s">
        <v>113</v>
      </c>
      <c r="K13" s="5" t="s">
        <v>45</v>
      </c>
      <c r="L13" s="4">
        <v>1</v>
      </c>
      <c r="M13" s="4">
        <v>1</v>
      </c>
      <c r="N13" s="4">
        <f t="shared" si="0"/>
        <v>181</v>
      </c>
      <c r="O13" s="4">
        <v>1.5</v>
      </c>
      <c r="P13" s="5" t="s">
        <v>15</v>
      </c>
      <c r="Q13" s="4" t="s">
        <v>566</v>
      </c>
    </row>
    <row r="14" spans="6:17" ht="14.25" hidden="1" x14ac:dyDescent="0.2">
      <c r="F14" s="1">
        <v>50041</v>
      </c>
      <c r="G14" s="4">
        <v>41</v>
      </c>
      <c r="H14" s="5" t="s">
        <v>124</v>
      </c>
      <c r="I14" s="5" t="s">
        <v>125</v>
      </c>
      <c r="J14" s="4" t="s">
        <v>126</v>
      </c>
      <c r="K14" s="5" t="s">
        <v>127</v>
      </c>
      <c r="L14" s="4">
        <v>1</v>
      </c>
      <c r="M14" s="4">
        <v>1</v>
      </c>
      <c r="N14" s="4">
        <f t="shared" si="0"/>
        <v>181</v>
      </c>
      <c r="O14" s="4">
        <v>1.5</v>
      </c>
      <c r="P14" s="5" t="s">
        <v>128</v>
      </c>
      <c r="Q14" s="4" t="s">
        <v>568</v>
      </c>
    </row>
    <row r="15" spans="6:17" ht="14.25" hidden="1" x14ac:dyDescent="0.2">
      <c r="F15" s="1">
        <v>50045</v>
      </c>
      <c r="G15" s="4">
        <v>45</v>
      </c>
      <c r="H15" s="5" t="s">
        <v>135</v>
      </c>
      <c r="I15" s="5" t="s">
        <v>135</v>
      </c>
      <c r="J15" s="4" t="s">
        <v>126</v>
      </c>
      <c r="K15" s="5" t="s">
        <v>45</v>
      </c>
      <c r="L15" s="4">
        <v>1</v>
      </c>
      <c r="M15" s="4">
        <v>1</v>
      </c>
      <c r="N15" s="4">
        <f t="shared" si="0"/>
        <v>181</v>
      </c>
      <c r="O15" s="4">
        <v>1.5</v>
      </c>
      <c r="P15" s="5" t="s">
        <v>128</v>
      </c>
      <c r="Q15" s="4" t="s">
        <v>572</v>
      </c>
    </row>
    <row r="16" spans="6:17" ht="14.25" hidden="1" x14ac:dyDescent="0.2">
      <c r="F16" s="1">
        <v>50047</v>
      </c>
      <c r="G16" s="4">
        <v>47</v>
      </c>
      <c r="H16" s="5" t="s">
        <v>138</v>
      </c>
      <c r="I16" s="5" t="s">
        <v>139</v>
      </c>
      <c r="J16" s="4" t="s">
        <v>126</v>
      </c>
      <c r="K16" s="5" t="s">
        <v>140</v>
      </c>
      <c r="L16" s="4">
        <v>1</v>
      </c>
      <c r="M16" s="4">
        <v>1</v>
      </c>
      <c r="N16" s="4">
        <f t="shared" si="0"/>
        <v>181</v>
      </c>
      <c r="O16" s="4">
        <v>1.5</v>
      </c>
      <c r="P16" s="5" t="s">
        <v>128</v>
      </c>
      <c r="Q16" s="4" t="s">
        <v>574</v>
      </c>
    </row>
    <row r="17" spans="6:17" ht="14.25" hidden="1" x14ac:dyDescent="0.2">
      <c r="F17" s="1">
        <v>50051</v>
      </c>
      <c r="G17" s="4">
        <v>51</v>
      </c>
      <c r="H17" s="5" t="s">
        <v>147</v>
      </c>
      <c r="I17" s="5" t="s">
        <v>148</v>
      </c>
      <c r="J17" s="4" t="s">
        <v>149</v>
      </c>
      <c r="K17" s="5" t="s">
        <v>150</v>
      </c>
      <c r="L17" s="4">
        <v>1</v>
      </c>
      <c r="M17" s="4">
        <v>1</v>
      </c>
      <c r="N17" s="4">
        <f t="shared" si="0"/>
        <v>181</v>
      </c>
      <c r="O17" s="4">
        <v>1.5</v>
      </c>
      <c r="P17" s="5" t="s">
        <v>128</v>
      </c>
      <c r="Q17" s="4" t="s">
        <v>578</v>
      </c>
    </row>
    <row r="18" spans="6:17" ht="14.25" hidden="1" x14ac:dyDescent="0.2">
      <c r="F18" s="1">
        <v>50052</v>
      </c>
      <c r="G18" s="4">
        <v>52</v>
      </c>
      <c r="H18" s="5" t="s">
        <v>151</v>
      </c>
      <c r="I18" s="5" t="s">
        <v>152</v>
      </c>
      <c r="J18" s="4" t="s">
        <v>149</v>
      </c>
      <c r="K18" s="5" t="s">
        <v>150</v>
      </c>
      <c r="L18" s="4">
        <v>1</v>
      </c>
      <c r="M18" s="4">
        <v>1</v>
      </c>
      <c r="N18" s="4">
        <f t="shared" si="0"/>
        <v>181</v>
      </c>
      <c r="O18" s="4">
        <v>1.5</v>
      </c>
      <c r="P18" s="5" t="s">
        <v>128</v>
      </c>
      <c r="Q18" s="4" t="s">
        <v>579</v>
      </c>
    </row>
    <row r="19" spans="6:17" ht="14.25" hidden="1" x14ac:dyDescent="0.2">
      <c r="F19" s="1">
        <v>50069</v>
      </c>
      <c r="G19" s="4">
        <v>69</v>
      </c>
      <c r="H19" s="5" t="s">
        <v>198</v>
      </c>
      <c r="I19" s="5" t="s">
        <v>199</v>
      </c>
      <c r="J19" s="4" t="s">
        <v>200</v>
      </c>
      <c r="K19" s="5" t="s">
        <v>150</v>
      </c>
      <c r="L19" s="4">
        <v>1</v>
      </c>
      <c r="M19" s="4">
        <v>1</v>
      </c>
      <c r="N19" s="4">
        <f t="shared" si="0"/>
        <v>181</v>
      </c>
      <c r="O19" s="4">
        <v>1.5</v>
      </c>
      <c r="P19" s="5" t="s">
        <v>128</v>
      </c>
      <c r="Q19" s="4" t="s">
        <v>596</v>
      </c>
    </row>
    <row r="20" spans="6:17" ht="14.25" hidden="1" x14ac:dyDescent="0.2">
      <c r="F20" s="1">
        <v>50119</v>
      </c>
      <c r="G20" s="4">
        <v>119</v>
      </c>
      <c r="H20" s="5" t="s">
        <v>334</v>
      </c>
      <c r="I20" s="5" t="s">
        <v>335</v>
      </c>
      <c r="J20" s="4" t="s">
        <v>336</v>
      </c>
      <c r="K20" s="5" t="s">
        <v>45</v>
      </c>
      <c r="L20" s="4">
        <v>1</v>
      </c>
      <c r="M20" s="4">
        <v>1</v>
      </c>
      <c r="N20" s="4">
        <f t="shared" si="0"/>
        <v>181</v>
      </c>
      <c r="O20" s="4">
        <v>1.5</v>
      </c>
      <c r="P20" s="5" t="s">
        <v>228</v>
      </c>
      <c r="Q20" s="4" t="s">
        <v>646</v>
      </c>
    </row>
    <row r="21" spans="6:17" ht="14.25" hidden="1" x14ac:dyDescent="0.2">
      <c r="F21" s="1">
        <v>50145</v>
      </c>
      <c r="G21" s="4">
        <v>145</v>
      </c>
      <c r="H21" s="5" t="s">
        <v>402</v>
      </c>
      <c r="I21" s="5" t="s">
        <v>403</v>
      </c>
      <c r="J21" s="4" t="s">
        <v>376</v>
      </c>
      <c r="K21" s="5" t="s">
        <v>45</v>
      </c>
      <c r="L21" s="4">
        <v>1</v>
      </c>
      <c r="M21" s="4">
        <v>1</v>
      </c>
      <c r="N21" s="4">
        <f t="shared" si="0"/>
        <v>181</v>
      </c>
      <c r="O21" s="4">
        <v>1.5</v>
      </c>
      <c r="P21" s="5" t="s">
        <v>228</v>
      </c>
      <c r="Q21" s="4" t="s">
        <v>669</v>
      </c>
    </row>
    <row r="22" spans="6:17" ht="14.25" hidden="1" x14ac:dyDescent="0.2">
      <c r="F22" s="1">
        <v>50157</v>
      </c>
      <c r="G22" s="4">
        <v>157</v>
      </c>
      <c r="H22" s="5" t="s">
        <v>434</v>
      </c>
      <c r="I22" s="5" t="s">
        <v>435</v>
      </c>
      <c r="J22" s="4" t="s">
        <v>409</v>
      </c>
      <c r="K22" s="5" t="s">
        <v>45</v>
      </c>
      <c r="L22" s="4">
        <v>1</v>
      </c>
      <c r="M22" s="4">
        <v>1</v>
      </c>
      <c r="N22" s="4">
        <f t="shared" si="0"/>
        <v>181</v>
      </c>
      <c r="O22" s="4">
        <v>1.5</v>
      </c>
      <c r="P22" s="5" t="s">
        <v>228</v>
      </c>
      <c r="Q22" s="4" t="s">
        <v>681</v>
      </c>
    </row>
    <row r="23" spans="6:17" ht="14.25" hidden="1" x14ac:dyDescent="0.2">
      <c r="F23" s="1">
        <v>50168</v>
      </c>
      <c r="G23" s="4">
        <v>168</v>
      </c>
      <c r="H23" s="5" t="s">
        <v>465</v>
      </c>
      <c r="I23" s="5" t="s">
        <v>466</v>
      </c>
      <c r="J23" s="4" t="s">
        <v>467</v>
      </c>
      <c r="K23" s="5" t="s">
        <v>45</v>
      </c>
      <c r="L23" s="4">
        <v>1</v>
      </c>
      <c r="M23" s="4">
        <v>1</v>
      </c>
      <c r="N23" s="4">
        <f t="shared" si="0"/>
        <v>181</v>
      </c>
      <c r="O23" s="4">
        <v>1.5</v>
      </c>
      <c r="P23" s="5" t="s">
        <v>128</v>
      </c>
      <c r="Q23" s="4" t="s">
        <v>692</v>
      </c>
    </row>
    <row r="24" spans="6:17" ht="14.25" hidden="1" x14ac:dyDescent="0.2">
      <c r="F24" s="1">
        <v>50189</v>
      </c>
      <c r="G24" s="4">
        <v>189</v>
      </c>
      <c r="H24" s="5" t="s">
        <v>526</v>
      </c>
      <c r="I24" s="5" t="s">
        <v>527</v>
      </c>
      <c r="J24" s="4" t="s">
        <v>528</v>
      </c>
      <c r="K24" s="5" t="s">
        <v>45</v>
      </c>
      <c r="L24" s="4">
        <v>1</v>
      </c>
      <c r="M24" s="4">
        <v>1</v>
      </c>
      <c r="N24" s="4">
        <f t="shared" si="0"/>
        <v>181</v>
      </c>
      <c r="O24" s="4">
        <v>1.5</v>
      </c>
      <c r="P24" s="5" t="s">
        <v>128</v>
      </c>
      <c r="Q24" s="4" t="s">
        <v>711</v>
      </c>
    </row>
    <row r="25" spans="6:17" ht="14.25" x14ac:dyDescent="0.2">
      <c r="F25" s="1">
        <v>50002</v>
      </c>
      <c r="G25" s="4">
        <v>2</v>
      </c>
      <c r="H25" s="5" t="s">
        <v>16</v>
      </c>
      <c r="I25" s="5" t="s">
        <v>17</v>
      </c>
      <c r="J25" s="4" t="s">
        <v>13</v>
      </c>
      <c r="K25" s="5" t="s">
        <v>14</v>
      </c>
      <c r="L25" s="4">
        <v>2</v>
      </c>
      <c r="M25" s="4">
        <v>2</v>
      </c>
      <c r="N25" s="4">
        <f t="shared" si="0"/>
        <v>129</v>
      </c>
      <c r="O25" s="4">
        <v>6</v>
      </c>
      <c r="P25" s="5" t="s">
        <v>15</v>
      </c>
      <c r="Q25" s="4" t="s">
        <v>533</v>
      </c>
    </row>
    <row r="26" spans="6:17" ht="14.25" x14ac:dyDescent="0.2">
      <c r="F26" s="1">
        <v>50006</v>
      </c>
      <c r="G26" s="4">
        <v>6</v>
      </c>
      <c r="H26" s="5" t="s">
        <v>27</v>
      </c>
      <c r="I26" s="5" t="s">
        <v>28</v>
      </c>
      <c r="J26" s="4" t="s">
        <v>25</v>
      </c>
      <c r="K26" s="5" t="s">
        <v>26</v>
      </c>
      <c r="L26" s="4">
        <v>2</v>
      </c>
      <c r="M26" s="4">
        <v>2</v>
      </c>
      <c r="N26" s="4">
        <f t="shared" si="0"/>
        <v>129</v>
      </c>
      <c r="O26" s="4">
        <v>6</v>
      </c>
      <c r="P26" s="5" t="s">
        <v>15</v>
      </c>
      <c r="Q26" s="4" t="s">
        <v>537</v>
      </c>
    </row>
    <row r="27" spans="6:17" ht="14.25" x14ac:dyDescent="0.2">
      <c r="F27" s="1">
        <v>50010</v>
      </c>
      <c r="G27" s="4">
        <v>10</v>
      </c>
      <c r="H27" s="5" t="s">
        <v>36</v>
      </c>
      <c r="I27" s="5" t="s">
        <v>37</v>
      </c>
      <c r="J27" s="4" t="s">
        <v>25</v>
      </c>
      <c r="K27" s="5" t="s">
        <v>35</v>
      </c>
      <c r="L27" s="4">
        <v>2</v>
      </c>
      <c r="M27" s="4">
        <v>2</v>
      </c>
      <c r="N27" s="4">
        <f t="shared" si="0"/>
        <v>129</v>
      </c>
      <c r="O27" s="4">
        <v>6</v>
      </c>
      <c r="P27" s="5" t="s">
        <v>15</v>
      </c>
      <c r="Q27" s="4" t="s">
        <v>541</v>
      </c>
    </row>
    <row r="28" spans="6:17" ht="14.25" hidden="1" x14ac:dyDescent="0.2">
      <c r="F28" s="1">
        <v>50042</v>
      </c>
      <c r="G28" s="4">
        <v>42</v>
      </c>
      <c r="H28" s="5" t="s">
        <v>129</v>
      </c>
      <c r="I28" s="5" t="s">
        <v>130</v>
      </c>
      <c r="J28" s="4" t="s">
        <v>126</v>
      </c>
      <c r="K28" s="5" t="s">
        <v>127</v>
      </c>
      <c r="L28" s="4">
        <v>2</v>
      </c>
      <c r="M28" s="4">
        <v>2</v>
      </c>
      <c r="N28" s="4">
        <f t="shared" si="0"/>
        <v>129</v>
      </c>
      <c r="O28" s="4">
        <v>6</v>
      </c>
      <c r="P28" s="5" t="s">
        <v>128</v>
      </c>
      <c r="Q28" s="4" t="s">
        <v>569</v>
      </c>
    </row>
    <row r="29" spans="6:17" ht="14.25" hidden="1" x14ac:dyDescent="0.2">
      <c r="F29" s="1">
        <v>50053</v>
      </c>
      <c r="G29" s="4">
        <v>53</v>
      </c>
      <c r="H29" s="5" t="s">
        <v>153</v>
      </c>
      <c r="I29" s="5" t="s">
        <v>154</v>
      </c>
      <c r="J29" s="4" t="s">
        <v>149</v>
      </c>
      <c r="K29" s="5" t="s">
        <v>150</v>
      </c>
      <c r="L29" s="4">
        <v>2</v>
      </c>
      <c r="M29" s="4">
        <v>2</v>
      </c>
      <c r="N29" s="4">
        <f t="shared" si="0"/>
        <v>129</v>
      </c>
      <c r="O29" s="4">
        <v>6</v>
      </c>
      <c r="P29" s="5" t="s">
        <v>128</v>
      </c>
      <c r="Q29" s="4" t="s">
        <v>580</v>
      </c>
    </row>
    <row r="30" spans="6:17" ht="14.25" hidden="1" x14ac:dyDescent="0.2">
      <c r="F30" s="1">
        <v>50054</v>
      </c>
      <c r="G30" s="4">
        <v>54</v>
      </c>
      <c r="H30" s="5" t="s">
        <v>155</v>
      </c>
      <c r="I30" s="5" t="s">
        <v>156</v>
      </c>
      <c r="J30" s="4" t="s">
        <v>157</v>
      </c>
      <c r="K30" s="5" t="s">
        <v>150</v>
      </c>
      <c r="L30" s="4">
        <v>2</v>
      </c>
      <c r="M30" s="4">
        <v>2</v>
      </c>
      <c r="N30" s="4">
        <f t="shared" si="0"/>
        <v>129</v>
      </c>
      <c r="O30" s="4">
        <v>6</v>
      </c>
      <c r="P30" s="5" t="s">
        <v>128</v>
      </c>
      <c r="Q30" s="4" t="s">
        <v>581</v>
      </c>
    </row>
    <row r="31" spans="6:17" ht="14.25" hidden="1" x14ac:dyDescent="0.2">
      <c r="F31" s="1">
        <v>50055</v>
      </c>
      <c r="G31" s="4">
        <v>55</v>
      </c>
      <c r="H31" s="5" t="s">
        <v>158</v>
      </c>
      <c r="I31" s="5" t="s">
        <v>159</v>
      </c>
      <c r="J31" s="4" t="s">
        <v>160</v>
      </c>
      <c r="K31" s="5" t="s">
        <v>150</v>
      </c>
      <c r="L31" s="4">
        <v>2</v>
      </c>
      <c r="M31" s="4">
        <v>2</v>
      </c>
      <c r="N31" s="4">
        <f t="shared" si="0"/>
        <v>129</v>
      </c>
      <c r="O31" s="4">
        <v>6</v>
      </c>
      <c r="P31" s="5" t="s">
        <v>128</v>
      </c>
      <c r="Q31" s="4" t="s">
        <v>582</v>
      </c>
    </row>
    <row r="32" spans="6:17" ht="14.25" hidden="1" x14ac:dyDescent="0.2">
      <c r="F32" s="1">
        <v>50056</v>
      </c>
      <c r="G32" s="4">
        <v>56</v>
      </c>
      <c r="H32" s="5" t="s">
        <v>161</v>
      </c>
      <c r="I32" s="5" t="s">
        <v>162</v>
      </c>
      <c r="J32" s="4" t="s">
        <v>163</v>
      </c>
      <c r="K32" s="5" t="s">
        <v>150</v>
      </c>
      <c r="L32" s="4">
        <v>2</v>
      </c>
      <c r="M32" s="4">
        <v>2</v>
      </c>
      <c r="N32" s="4">
        <f t="shared" si="0"/>
        <v>129</v>
      </c>
      <c r="O32" s="4">
        <v>6</v>
      </c>
      <c r="P32" s="5" t="s">
        <v>128</v>
      </c>
      <c r="Q32" s="4" t="s">
        <v>583</v>
      </c>
    </row>
    <row r="33" spans="6:17" ht="14.25" hidden="1" x14ac:dyDescent="0.2">
      <c r="F33" s="1">
        <v>50057</v>
      </c>
      <c r="G33" s="4">
        <v>57</v>
      </c>
      <c r="H33" s="5" t="s">
        <v>164</v>
      </c>
      <c r="I33" s="5" t="s">
        <v>165</v>
      </c>
      <c r="J33" s="4" t="s">
        <v>166</v>
      </c>
      <c r="K33" s="5" t="s">
        <v>150</v>
      </c>
      <c r="L33" s="4">
        <v>2</v>
      </c>
      <c r="M33" s="4">
        <v>2</v>
      </c>
      <c r="N33" s="4">
        <f t="shared" si="0"/>
        <v>129</v>
      </c>
      <c r="O33" s="4">
        <v>6</v>
      </c>
      <c r="P33" s="5" t="s">
        <v>128</v>
      </c>
      <c r="Q33" s="4" t="s">
        <v>584</v>
      </c>
    </row>
    <row r="34" spans="6:17" ht="14.25" hidden="1" x14ac:dyDescent="0.2">
      <c r="F34" s="1">
        <v>50063</v>
      </c>
      <c r="G34" s="4">
        <v>63</v>
      </c>
      <c r="H34" s="5" t="s">
        <v>181</v>
      </c>
      <c r="I34" s="5" t="s">
        <v>182</v>
      </c>
      <c r="J34" s="4" t="s">
        <v>183</v>
      </c>
      <c r="K34" s="5" t="s">
        <v>45</v>
      </c>
      <c r="L34" s="4">
        <v>2</v>
      </c>
      <c r="M34" s="4">
        <v>2</v>
      </c>
      <c r="N34" s="4">
        <f t="shared" si="0"/>
        <v>129</v>
      </c>
      <c r="O34" s="4">
        <v>6</v>
      </c>
      <c r="P34" s="5" t="s">
        <v>128</v>
      </c>
      <c r="Q34" s="4" t="s">
        <v>590</v>
      </c>
    </row>
    <row r="35" spans="6:17" ht="14.25" hidden="1" x14ac:dyDescent="0.2">
      <c r="F35" s="1">
        <v>50064</v>
      </c>
      <c r="G35" s="4">
        <v>64</v>
      </c>
      <c r="H35" s="5" t="s">
        <v>184</v>
      </c>
      <c r="I35" s="5" t="s">
        <v>185</v>
      </c>
      <c r="J35" s="4" t="s">
        <v>186</v>
      </c>
      <c r="K35" s="5" t="s">
        <v>45</v>
      </c>
      <c r="L35" s="4">
        <v>2</v>
      </c>
      <c r="M35" s="4">
        <v>2</v>
      </c>
      <c r="N35" s="4">
        <f t="shared" si="0"/>
        <v>129</v>
      </c>
      <c r="O35" s="4">
        <v>6</v>
      </c>
      <c r="P35" s="5" t="s">
        <v>128</v>
      </c>
      <c r="Q35" s="4" t="s">
        <v>591</v>
      </c>
    </row>
    <row r="36" spans="6:17" ht="14.25" hidden="1" x14ac:dyDescent="0.2">
      <c r="F36" s="1">
        <v>50065</v>
      </c>
      <c r="G36" s="4">
        <v>65</v>
      </c>
      <c r="H36" s="5" t="s">
        <v>187</v>
      </c>
      <c r="I36" s="5" t="s">
        <v>188</v>
      </c>
      <c r="J36" s="4" t="s">
        <v>166</v>
      </c>
      <c r="K36" s="5" t="s">
        <v>45</v>
      </c>
      <c r="L36" s="4">
        <v>2</v>
      </c>
      <c r="M36" s="4">
        <v>2</v>
      </c>
      <c r="N36" s="4">
        <f t="shared" si="0"/>
        <v>129</v>
      </c>
      <c r="O36" s="4">
        <v>6</v>
      </c>
      <c r="P36" s="5" t="s">
        <v>128</v>
      </c>
      <c r="Q36" s="4" t="s">
        <v>592</v>
      </c>
    </row>
    <row r="37" spans="6:17" ht="14.25" hidden="1" x14ac:dyDescent="0.2">
      <c r="F37" s="1">
        <v>50070</v>
      </c>
      <c r="G37" s="4">
        <v>70</v>
      </c>
      <c r="H37" s="5" t="s">
        <v>201</v>
      </c>
      <c r="I37" s="5" t="s">
        <v>202</v>
      </c>
      <c r="J37" s="4" t="s">
        <v>203</v>
      </c>
      <c r="K37" s="5" t="s">
        <v>45</v>
      </c>
      <c r="L37" s="4">
        <v>2</v>
      </c>
      <c r="M37" s="4">
        <v>2</v>
      </c>
      <c r="N37" s="4">
        <f t="shared" si="0"/>
        <v>129</v>
      </c>
      <c r="O37" s="4">
        <v>6</v>
      </c>
      <c r="P37" s="5" t="s">
        <v>128</v>
      </c>
      <c r="Q37" s="4" t="s">
        <v>597</v>
      </c>
    </row>
    <row r="38" spans="6:17" ht="14.25" hidden="1" x14ac:dyDescent="0.2">
      <c r="F38" s="1">
        <v>50078</v>
      </c>
      <c r="G38" s="4">
        <v>78</v>
      </c>
      <c r="H38" s="5" t="s">
        <v>225</v>
      </c>
      <c r="I38" s="5" t="s">
        <v>226</v>
      </c>
      <c r="J38" s="4" t="s">
        <v>227</v>
      </c>
      <c r="K38" s="5" t="s">
        <v>45</v>
      </c>
      <c r="L38" s="4">
        <v>2</v>
      </c>
      <c r="M38" s="4">
        <v>2</v>
      </c>
      <c r="N38" s="4">
        <f t="shared" si="0"/>
        <v>129</v>
      </c>
      <c r="O38" s="4">
        <v>6</v>
      </c>
      <c r="P38" s="5" t="s">
        <v>228</v>
      </c>
      <c r="Q38" s="4" t="s">
        <v>605</v>
      </c>
    </row>
    <row r="39" spans="6:17" ht="14.25" hidden="1" x14ac:dyDescent="0.2">
      <c r="F39" s="1">
        <v>50079</v>
      </c>
      <c r="G39" s="4">
        <v>79</v>
      </c>
      <c r="H39" s="5" t="s">
        <v>229</v>
      </c>
      <c r="I39" s="5" t="s">
        <v>230</v>
      </c>
      <c r="J39" s="4" t="s">
        <v>231</v>
      </c>
      <c r="K39" s="5" t="s">
        <v>45</v>
      </c>
      <c r="L39" s="4">
        <v>2</v>
      </c>
      <c r="M39" s="4">
        <v>2</v>
      </c>
      <c r="N39" s="4">
        <f t="shared" si="0"/>
        <v>129</v>
      </c>
      <c r="O39" s="4">
        <v>6</v>
      </c>
      <c r="P39" s="5" t="s">
        <v>228</v>
      </c>
      <c r="Q39" s="4" t="s">
        <v>606</v>
      </c>
    </row>
    <row r="40" spans="6:17" ht="14.25" x14ac:dyDescent="0.2">
      <c r="F40" s="1">
        <v>50087</v>
      </c>
      <c r="G40" s="4">
        <v>87</v>
      </c>
      <c r="H40" s="5" t="s">
        <v>252</v>
      </c>
      <c r="I40" s="5" t="s">
        <v>253</v>
      </c>
      <c r="J40" s="4" t="s">
        <v>254</v>
      </c>
      <c r="K40" s="5" t="s">
        <v>45</v>
      </c>
      <c r="L40" s="4">
        <v>2</v>
      </c>
      <c r="M40" s="4">
        <v>2</v>
      </c>
      <c r="N40" s="4">
        <f t="shared" si="0"/>
        <v>129</v>
      </c>
      <c r="O40" s="4">
        <v>6</v>
      </c>
      <c r="P40" s="5" t="s">
        <v>15</v>
      </c>
      <c r="Q40" s="4" t="s">
        <v>614</v>
      </c>
    </row>
    <row r="41" spans="6:17" ht="14.25" x14ac:dyDescent="0.2">
      <c r="F41" s="1">
        <v>50088</v>
      </c>
      <c r="G41" s="4">
        <v>88</v>
      </c>
      <c r="H41" s="5" t="s">
        <v>255</v>
      </c>
      <c r="I41" s="5" t="s">
        <v>256</v>
      </c>
      <c r="J41" s="4" t="s">
        <v>257</v>
      </c>
      <c r="K41" s="5" t="s">
        <v>45</v>
      </c>
      <c r="L41" s="4">
        <v>2</v>
      </c>
      <c r="M41" s="4">
        <v>2</v>
      </c>
      <c r="N41" s="4">
        <f t="shared" si="0"/>
        <v>129</v>
      </c>
      <c r="O41" s="4">
        <v>6</v>
      </c>
      <c r="P41" s="5" t="s">
        <v>15</v>
      </c>
      <c r="Q41" s="4" t="s">
        <v>615</v>
      </c>
    </row>
    <row r="42" spans="6:17" ht="14.25" hidden="1" x14ac:dyDescent="0.2">
      <c r="F42" s="1">
        <v>50090</v>
      </c>
      <c r="G42" s="4">
        <v>90</v>
      </c>
      <c r="H42" s="5" t="s">
        <v>261</v>
      </c>
      <c r="I42" s="5" t="s">
        <v>262</v>
      </c>
      <c r="J42" s="4" t="s">
        <v>263</v>
      </c>
      <c r="K42" s="5" t="s">
        <v>45</v>
      </c>
      <c r="L42" s="4">
        <v>2</v>
      </c>
      <c r="M42" s="4">
        <v>2</v>
      </c>
      <c r="N42" s="4">
        <f t="shared" si="0"/>
        <v>129</v>
      </c>
      <c r="O42" s="4">
        <v>6</v>
      </c>
      <c r="P42" s="5" t="s">
        <v>228</v>
      </c>
      <c r="Q42" s="4" t="s">
        <v>617</v>
      </c>
    </row>
    <row r="43" spans="6:17" ht="14.25" hidden="1" x14ac:dyDescent="0.2">
      <c r="F43" s="1">
        <v>50091</v>
      </c>
      <c r="G43" s="4">
        <v>91</v>
      </c>
      <c r="H43" s="5" t="s">
        <v>264</v>
      </c>
      <c r="I43" s="5" t="s">
        <v>265</v>
      </c>
      <c r="J43" s="4" t="s">
        <v>266</v>
      </c>
      <c r="K43" s="5" t="s">
        <v>45</v>
      </c>
      <c r="L43" s="4">
        <v>2</v>
      </c>
      <c r="M43" s="4">
        <v>2</v>
      </c>
      <c r="N43" s="4">
        <f t="shared" si="0"/>
        <v>129</v>
      </c>
      <c r="O43" s="4">
        <v>6</v>
      </c>
      <c r="P43" s="5" t="s">
        <v>228</v>
      </c>
      <c r="Q43" s="4" t="s">
        <v>618</v>
      </c>
    </row>
    <row r="44" spans="6:17" ht="14.25" hidden="1" x14ac:dyDescent="0.2">
      <c r="F44" s="1">
        <v>50092</v>
      </c>
      <c r="G44" s="4">
        <v>92</v>
      </c>
      <c r="H44" s="5" t="s">
        <v>267</v>
      </c>
      <c r="I44" s="5" t="s">
        <v>268</v>
      </c>
      <c r="J44" s="4" t="s">
        <v>269</v>
      </c>
      <c r="K44" s="5" t="s">
        <v>45</v>
      </c>
      <c r="L44" s="4">
        <v>2</v>
      </c>
      <c r="M44" s="4">
        <v>2</v>
      </c>
      <c r="N44" s="4">
        <f t="shared" si="0"/>
        <v>129</v>
      </c>
      <c r="O44" s="4">
        <v>6</v>
      </c>
      <c r="P44" s="5" t="s">
        <v>228</v>
      </c>
      <c r="Q44" s="4" t="s">
        <v>619</v>
      </c>
    </row>
    <row r="45" spans="6:17" ht="14.25" hidden="1" x14ac:dyDescent="0.2">
      <c r="F45" s="1">
        <v>50093</v>
      </c>
      <c r="G45" s="4">
        <v>93</v>
      </c>
      <c r="H45" s="5" t="s">
        <v>270</v>
      </c>
      <c r="I45" s="5" t="s">
        <v>271</v>
      </c>
      <c r="J45" s="4" t="s">
        <v>272</v>
      </c>
      <c r="K45" s="5" t="s">
        <v>45</v>
      </c>
      <c r="L45" s="4">
        <v>2</v>
      </c>
      <c r="M45" s="4">
        <v>2</v>
      </c>
      <c r="N45" s="4">
        <f t="shared" si="0"/>
        <v>129</v>
      </c>
      <c r="O45" s="4">
        <v>6</v>
      </c>
      <c r="P45" s="5" t="s">
        <v>228</v>
      </c>
      <c r="Q45" s="4" t="s">
        <v>620</v>
      </c>
    </row>
    <row r="46" spans="6:17" ht="14.25" hidden="1" x14ac:dyDescent="0.2">
      <c r="F46" s="1">
        <v>50094</v>
      </c>
      <c r="G46" s="4">
        <v>94</v>
      </c>
      <c r="H46" s="5" t="s">
        <v>273</v>
      </c>
      <c r="I46" s="5" t="s">
        <v>274</v>
      </c>
      <c r="J46" s="4" t="s">
        <v>275</v>
      </c>
      <c r="K46" s="5" t="s">
        <v>45</v>
      </c>
      <c r="L46" s="4">
        <v>2</v>
      </c>
      <c r="M46" s="4">
        <v>2</v>
      </c>
      <c r="N46" s="4">
        <f t="shared" si="0"/>
        <v>129</v>
      </c>
      <c r="O46" s="4">
        <v>6</v>
      </c>
      <c r="P46" s="5" t="s">
        <v>228</v>
      </c>
      <c r="Q46" s="4" t="s">
        <v>621</v>
      </c>
    </row>
    <row r="47" spans="6:17" ht="14.25" hidden="1" x14ac:dyDescent="0.2">
      <c r="F47" s="1">
        <v>50095</v>
      </c>
      <c r="G47" s="4">
        <v>95</v>
      </c>
      <c r="H47" s="5" t="s">
        <v>276</v>
      </c>
      <c r="I47" s="5" t="s">
        <v>277</v>
      </c>
      <c r="J47" s="4" t="s">
        <v>278</v>
      </c>
      <c r="K47" s="5" t="s">
        <v>45</v>
      </c>
      <c r="L47" s="4">
        <v>2</v>
      </c>
      <c r="M47" s="4">
        <v>2</v>
      </c>
      <c r="N47" s="4">
        <f t="shared" si="0"/>
        <v>129</v>
      </c>
      <c r="O47" s="4">
        <v>6</v>
      </c>
      <c r="P47" s="5" t="s">
        <v>228</v>
      </c>
      <c r="Q47" s="4" t="s">
        <v>622</v>
      </c>
    </row>
    <row r="48" spans="6:17" ht="14.25" hidden="1" x14ac:dyDescent="0.2">
      <c r="F48" s="1">
        <v>50096</v>
      </c>
      <c r="G48" s="4">
        <v>96</v>
      </c>
      <c r="H48" s="5" t="s">
        <v>279</v>
      </c>
      <c r="I48" s="5" t="s">
        <v>280</v>
      </c>
      <c r="J48" s="4" t="s">
        <v>281</v>
      </c>
      <c r="K48" s="5" t="s">
        <v>45</v>
      </c>
      <c r="L48" s="4">
        <v>2</v>
      </c>
      <c r="M48" s="4">
        <v>2</v>
      </c>
      <c r="N48" s="4">
        <f t="shared" si="0"/>
        <v>129</v>
      </c>
      <c r="O48" s="4">
        <v>6</v>
      </c>
      <c r="P48" s="5" t="s">
        <v>228</v>
      </c>
      <c r="Q48" s="4" t="s">
        <v>623</v>
      </c>
    </row>
    <row r="49" spans="6:17" ht="14.25" hidden="1" x14ac:dyDescent="0.2">
      <c r="F49" s="1">
        <v>50135</v>
      </c>
      <c r="G49" s="4">
        <v>135</v>
      </c>
      <c r="H49" s="5" t="s">
        <v>374</v>
      </c>
      <c r="I49" s="5" t="s">
        <v>375</v>
      </c>
      <c r="J49" s="4" t="s">
        <v>376</v>
      </c>
      <c r="K49" s="5" t="s">
        <v>45</v>
      </c>
      <c r="L49" s="4">
        <v>2</v>
      </c>
      <c r="M49" s="4">
        <v>2</v>
      </c>
      <c r="N49" s="4">
        <f t="shared" si="0"/>
        <v>129</v>
      </c>
      <c r="O49" s="4">
        <v>6</v>
      </c>
      <c r="P49" s="5" t="s">
        <v>228</v>
      </c>
      <c r="Q49" s="4" t="s">
        <v>659</v>
      </c>
    </row>
    <row r="50" spans="6:17" ht="14.25" hidden="1" x14ac:dyDescent="0.2">
      <c r="F50" s="1">
        <v>50136</v>
      </c>
      <c r="G50" s="4">
        <v>136</v>
      </c>
      <c r="H50" s="5" t="s">
        <v>377</v>
      </c>
      <c r="I50" s="5" t="s">
        <v>378</v>
      </c>
      <c r="J50" s="4" t="s">
        <v>379</v>
      </c>
      <c r="K50" s="5" t="s">
        <v>45</v>
      </c>
      <c r="L50" s="4">
        <v>2</v>
      </c>
      <c r="M50" s="4">
        <v>2</v>
      </c>
      <c r="N50" s="4">
        <f t="shared" si="0"/>
        <v>129</v>
      </c>
      <c r="O50" s="4">
        <v>6</v>
      </c>
      <c r="P50" s="5" t="s">
        <v>228</v>
      </c>
      <c r="Q50" s="4" t="s">
        <v>660</v>
      </c>
    </row>
    <row r="51" spans="6:17" ht="14.25" hidden="1" x14ac:dyDescent="0.2">
      <c r="F51" s="1">
        <v>50137</v>
      </c>
      <c r="G51" s="4">
        <v>137</v>
      </c>
      <c r="H51" s="5" t="s">
        <v>380</v>
      </c>
      <c r="I51" s="5" t="s">
        <v>381</v>
      </c>
      <c r="J51" s="4" t="s">
        <v>379</v>
      </c>
      <c r="K51" s="5" t="s">
        <v>45</v>
      </c>
      <c r="L51" s="4">
        <v>2</v>
      </c>
      <c r="M51" s="4">
        <v>2</v>
      </c>
      <c r="N51" s="4">
        <f t="shared" si="0"/>
        <v>129</v>
      </c>
      <c r="O51" s="4">
        <v>6</v>
      </c>
      <c r="P51" s="5" t="s">
        <v>228</v>
      </c>
      <c r="Q51" s="4" t="s">
        <v>661</v>
      </c>
    </row>
    <row r="52" spans="6:17" ht="14.25" hidden="1" x14ac:dyDescent="0.2">
      <c r="F52" s="1">
        <v>50138</v>
      </c>
      <c r="G52" s="4">
        <v>138</v>
      </c>
      <c r="H52" s="5" t="s">
        <v>382</v>
      </c>
      <c r="I52" s="5" t="s">
        <v>383</v>
      </c>
      <c r="J52" s="4" t="s">
        <v>384</v>
      </c>
      <c r="K52" s="5" t="s">
        <v>45</v>
      </c>
      <c r="L52" s="4">
        <v>2</v>
      </c>
      <c r="M52" s="4">
        <v>2</v>
      </c>
      <c r="N52" s="4">
        <f t="shared" si="0"/>
        <v>129</v>
      </c>
      <c r="O52" s="4">
        <v>6</v>
      </c>
      <c r="P52" s="5" t="s">
        <v>228</v>
      </c>
      <c r="Q52" s="4" t="s">
        <v>662</v>
      </c>
    </row>
    <row r="53" spans="6:17" ht="14.25" hidden="1" x14ac:dyDescent="0.2">
      <c r="F53" s="1">
        <v>50139</v>
      </c>
      <c r="G53" s="4">
        <v>139</v>
      </c>
      <c r="H53" s="5" t="s">
        <v>385</v>
      </c>
      <c r="I53" s="5" t="s">
        <v>386</v>
      </c>
      <c r="J53" s="4" t="s">
        <v>387</v>
      </c>
      <c r="K53" s="5" t="s">
        <v>45</v>
      </c>
      <c r="L53" s="4">
        <v>2</v>
      </c>
      <c r="M53" s="4">
        <v>2</v>
      </c>
      <c r="N53" s="4">
        <f t="shared" si="0"/>
        <v>129</v>
      </c>
      <c r="O53" s="4">
        <v>6</v>
      </c>
      <c r="P53" s="5" t="s">
        <v>228</v>
      </c>
      <c r="Q53" s="4" t="s">
        <v>663</v>
      </c>
    </row>
    <row r="54" spans="6:17" ht="14.25" hidden="1" x14ac:dyDescent="0.2">
      <c r="F54" s="1">
        <v>50140</v>
      </c>
      <c r="G54" s="4">
        <v>140</v>
      </c>
      <c r="H54" s="5" t="s">
        <v>388</v>
      </c>
      <c r="I54" s="5" t="s">
        <v>389</v>
      </c>
      <c r="J54" s="4" t="s">
        <v>390</v>
      </c>
      <c r="K54" s="5" t="s">
        <v>45</v>
      </c>
      <c r="L54" s="4">
        <v>2</v>
      </c>
      <c r="M54" s="4">
        <v>2</v>
      </c>
      <c r="N54" s="4">
        <f t="shared" si="0"/>
        <v>129</v>
      </c>
      <c r="O54" s="4">
        <v>6</v>
      </c>
      <c r="P54" s="5" t="s">
        <v>228</v>
      </c>
      <c r="Q54" s="4" t="s">
        <v>664</v>
      </c>
    </row>
    <row r="55" spans="6:17" ht="14.25" hidden="1" x14ac:dyDescent="0.2">
      <c r="F55" s="1">
        <v>50146</v>
      </c>
      <c r="G55" s="4">
        <v>146</v>
      </c>
      <c r="H55" s="5" t="s">
        <v>404</v>
      </c>
      <c r="I55" s="5" t="s">
        <v>405</v>
      </c>
      <c r="J55" s="4" t="s">
        <v>406</v>
      </c>
      <c r="K55" s="5" t="s">
        <v>45</v>
      </c>
      <c r="L55" s="4">
        <v>2</v>
      </c>
      <c r="M55" s="4">
        <v>2</v>
      </c>
      <c r="N55" s="4">
        <f t="shared" si="0"/>
        <v>129</v>
      </c>
      <c r="O55" s="4">
        <v>6</v>
      </c>
      <c r="P55" s="5" t="s">
        <v>228</v>
      </c>
      <c r="Q55" s="4" t="s">
        <v>670</v>
      </c>
    </row>
    <row r="56" spans="6:17" ht="14.25" hidden="1" x14ac:dyDescent="0.2">
      <c r="F56" s="1">
        <v>50147</v>
      </c>
      <c r="G56" s="4">
        <v>147</v>
      </c>
      <c r="H56" s="5" t="s">
        <v>407</v>
      </c>
      <c r="I56" s="5" t="s">
        <v>408</v>
      </c>
      <c r="J56" s="4" t="s">
        <v>409</v>
      </c>
      <c r="K56" s="5" t="s">
        <v>45</v>
      </c>
      <c r="L56" s="4">
        <v>2</v>
      </c>
      <c r="M56" s="4">
        <v>2</v>
      </c>
      <c r="N56" s="4">
        <f t="shared" si="0"/>
        <v>129</v>
      </c>
      <c r="O56" s="4">
        <v>6</v>
      </c>
      <c r="P56" s="5" t="s">
        <v>228</v>
      </c>
      <c r="Q56" s="4" t="s">
        <v>671</v>
      </c>
    </row>
    <row r="57" spans="6:17" ht="14.25" hidden="1" x14ac:dyDescent="0.2">
      <c r="F57" s="1">
        <v>50148</v>
      </c>
      <c r="G57" s="4">
        <v>148</v>
      </c>
      <c r="H57" s="5" t="s">
        <v>410</v>
      </c>
      <c r="I57" s="5" t="s">
        <v>411</v>
      </c>
      <c r="J57" s="4" t="s">
        <v>412</v>
      </c>
      <c r="K57" s="5" t="s">
        <v>45</v>
      </c>
      <c r="L57" s="4">
        <v>2</v>
      </c>
      <c r="M57" s="4">
        <v>2</v>
      </c>
      <c r="N57" s="4">
        <f t="shared" si="0"/>
        <v>129</v>
      </c>
      <c r="O57" s="4">
        <v>6</v>
      </c>
      <c r="P57" s="5" t="s">
        <v>228</v>
      </c>
      <c r="Q57" s="4" t="s">
        <v>672</v>
      </c>
    </row>
    <row r="58" spans="6:17" ht="14.25" hidden="1" x14ac:dyDescent="0.2">
      <c r="F58" s="1">
        <v>50149</v>
      </c>
      <c r="G58" s="4">
        <v>149</v>
      </c>
      <c r="H58" s="5" t="s">
        <v>413</v>
      </c>
      <c r="I58" s="5" t="s">
        <v>414</v>
      </c>
      <c r="J58" s="4" t="s">
        <v>415</v>
      </c>
      <c r="K58" s="5" t="s">
        <v>45</v>
      </c>
      <c r="L58" s="4">
        <v>2</v>
      </c>
      <c r="M58" s="4">
        <v>2</v>
      </c>
      <c r="N58" s="4">
        <f t="shared" si="0"/>
        <v>129</v>
      </c>
      <c r="O58" s="4">
        <v>6</v>
      </c>
      <c r="P58" s="5" t="s">
        <v>228</v>
      </c>
      <c r="Q58" s="4" t="s">
        <v>673</v>
      </c>
    </row>
    <row r="59" spans="6:17" ht="14.25" hidden="1" x14ac:dyDescent="0.2">
      <c r="F59" s="1">
        <v>50150</v>
      </c>
      <c r="G59" s="4">
        <v>150</v>
      </c>
      <c r="H59" s="5" t="s">
        <v>416</v>
      </c>
      <c r="I59" s="5" t="s">
        <v>417</v>
      </c>
      <c r="J59" s="4" t="s">
        <v>418</v>
      </c>
      <c r="K59" s="5" t="s">
        <v>45</v>
      </c>
      <c r="L59" s="4">
        <v>2</v>
      </c>
      <c r="M59" s="4">
        <v>2</v>
      </c>
      <c r="N59" s="4">
        <f t="shared" si="0"/>
        <v>129</v>
      </c>
      <c r="O59" s="4">
        <v>6</v>
      </c>
      <c r="P59" s="5" t="s">
        <v>228</v>
      </c>
      <c r="Q59" s="4" t="s">
        <v>674</v>
      </c>
    </row>
    <row r="60" spans="6:17" ht="14.25" hidden="1" x14ac:dyDescent="0.2">
      <c r="F60" s="1">
        <v>50151</v>
      </c>
      <c r="G60" s="4">
        <v>151</v>
      </c>
      <c r="H60" s="5" t="s">
        <v>419</v>
      </c>
      <c r="I60" s="5" t="s">
        <v>420</v>
      </c>
      <c r="J60" s="4" t="s">
        <v>421</v>
      </c>
      <c r="K60" s="5" t="s">
        <v>45</v>
      </c>
      <c r="L60" s="4">
        <v>2</v>
      </c>
      <c r="M60" s="4">
        <v>2</v>
      </c>
      <c r="N60" s="4">
        <f t="shared" si="0"/>
        <v>129</v>
      </c>
      <c r="O60" s="4">
        <v>6</v>
      </c>
      <c r="P60" s="5" t="s">
        <v>228</v>
      </c>
      <c r="Q60" s="4" t="s">
        <v>675</v>
      </c>
    </row>
    <row r="61" spans="6:17" ht="14.25" hidden="1" x14ac:dyDescent="0.2">
      <c r="F61" s="1">
        <v>50152</v>
      </c>
      <c r="G61" s="4">
        <v>152</v>
      </c>
      <c r="H61" s="5" t="s">
        <v>422</v>
      </c>
      <c r="I61" s="5" t="s">
        <v>423</v>
      </c>
      <c r="J61" s="4" t="s">
        <v>424</v>
      </c>
      <c r="K61" s="5" t="s">
        <v>45</v>
      </c>
      <c r="L61" s="4">
        <v>2</v>
      </c>
      <c r="M61" s="4">
        <v>2</v>
      </c>
      <c r="N61" s="4">
        <f t="shared" si="0"/>
        <v>129</v>
      </c>
      <c r="O61" s="4">
        <v>6</v>
      </c>
      <c r="P61" s="5" t="s">
        <v>228</v>
      </c>
      <c r="Q61" s="4" t="s">
        <v>676</v>
      </c>
    </row>
    <row r="62" spans="6:17" ht="14.25" hidden="1" x14ac:dyDescent="0.2">
      <c r="F62" s="1">
        <v>50187</v>
      </c>
      <c r="G62" s="4">
        <v>187</v>
      </c>
      <c r="H62" s="5" t="s">
        <v>520</v>
      </c>
      <c r="I62" s="5" t="s">
        <v>521</v>
      </c>
      <c r="J62" s="4" t="s">
        <v>522</v>
      </c>
      <c r="K62" s="5" t="s">
        <v>45</v>
      </c>
      <c r="L62" s="4">
        <v>2</v>
      </c>
      <c r="M62" s="4">
        <v>2</v>
      </c>
      <c r="N62" s="4">
        <f t="shared" si="0"/>
        <v>129</v>
      </c>
      <c r="O62" s="4">
        <v>6</v>
      </c>
      <c r="P62" s="5" t="s">
        <v>439</v>
      </c>
      <c r="Q62" s="4" t="s">
        <v>709</v>
      </c>
    </row>
    <row r="63" spans="6:17" ht="14.25" x14ac:dyDescent="0.2">
      <c r="F63" s="1">
        <v>50003</v>
      </c>
      <c r="G63" s="4">
        <v>3</v>
      </c>
      <c r="H63" s="5" t="s">
        <v>18</v>
      </c>
      <c r="I63" s="5" t="s">
        <v>19</v>
      </c>
      <c r="J63" s="4" t="s">
        <v>20</v>
      </c>
      <c r="K63" s="5" t="s">
        <v>14</v>
      </c>
      <c r="L63" s="4">
        <v>3</v>
      </c>
      <c r="M63" s="4">
        <v>2</v>
      </c>
      <c r="N63" s="4">
        <f t="shared" si="0"/>
        <v>88</v>
      </c>
      <c r="O63" s="4">
        <v>13.5</v>
      </c>
      <c r="P63" s="5" t="s">
        <v>15</v>
      </c>
      <c r="Q63" s="4" t="s">
        <v>534</v>
      </c>
    </row>
    <row r="64" spans="6:17" ht="14.25" x14ac:dyDescent="0.2">
      <c r="F64" s="1">
        <v>50007</v>
      </c>
      <c r="G64" s="4">
        <v>7</v>
      </c>
      <c r="H64" s="5" t="s">
        <v>29</v>
      </c>
      <c r="I64" s="5" t="s">
        <v>30</v>
      </c>
      <c r="J64" s="4" t="s">
        <v>25</v>
      </c>
      <c r="K64" s="5" t="s">
        <v>26</v>
      </c>
      <c r="L64" s="4">
        <v>3</v>
      </c>
      <c r="M64" s="4">
        <v>2</v>
      </c>
      <c r="N64" s="4">
        <f t="shared" si="0"/>
        <v>88</v>
      </c>
      <c r="O64" s="4">
        <v>13.5</v>
      </c>
      <c r="P64" s="5" t="s">
        <v>15</v>
      </c>
      <c r="Q64" s="4" t="s">
        <v>538</v>
      </c>
    </row>
    <row r="65" spans="6:17" ht="14.25" x14ac:dyDescent="0.2">
      <c r="F65" s="1">
        <v>50011</v>
      </c>
      <c r="G65" s="4">
        <v>11</v>
      </c>
      <c r="H65" s="5" t="s">
        <v>38</v>
      </c>
      <c r="I65" s="5" t="s">
        <v>39</v>
      </c>
      <c r="J65" s="4" t="s">
        <v>25</v>
      </c>
      <c r="K65" s="5" t="s">
        <v>35</v>
      </c>
      <c r="L65" s="4">
        <v>3</v>
      </c>
      <c r="M65" s="4">
        <v>2</v>
      </c>
      <c r="N65" s="4">
        <f t="shared" si="0"/>
        <v>88</v>
      </c>
      <c r="O65" s="4">
        <v>13.5</v>
      </c>
      <c r="P65" s="5" t="s">
        <v>15</v>
      </c>
      <c r="Q65" s="4" t="s">
        <v>542</v>
      </c>
    </row>
    <row r="66" spans="6:17" ht="14.25" x14ac:dyDescent="0.2">
      <c r="F66" s="1">
        <v>50014</v>
      </c>
      <c r="G66" s="4">
        <v>14</v>
      </c>
      <c r="H66" s="5" t="s">
        <v>46</v>
      </c>
      <c r="I66" s="5" t="s">
        <v>47</v>
      </c>
      <c r="J66" s="4" t="s">
        <v>44</v>
      </c>
      <c r="K66" s="5" t="s">
        <v>45</v>
      </c>
      <c r="L66" s="4">
        <v>3</v>
      </c>
      <c r="M66" s="4">
        <v>2</v>
      </c>
      <c r="N66" s="4">
        <f t="shared" si="0"/>
        <v>88</v>
      </c>
      <c r="O66" s="4">
        <v>13.5</v>
      </c>
      <c r="P66" s="5" t="s">
        <v>15</v>
      </c>
      <c r="Q66" s="4" t="s">
        <v>545</v>
      </c>
    </row>
    <row r="67" spans="6:17" ht="14.25" x14ac:dyDescent="0.2">
      <c r="F67" s="1">
        <v>50016</v>
      </c>
      <c r="G67" s="4">
        <v>16</v>
      </c>
      <c r="H67" s="5" t="s">
        <v>50</v>
      </c>
      <c r="I67" s="5" t="s">
        <v>51</v>
      </c>
      <c r="J67" s="4" t="s">
        <v>52</v>
      </c>
      <c r="K67" s="5" t="s">
        <v>45</v>
      </c>
      <c r="L67" s="4">
        <v>3</v>
      </c>
      <c r="M67" s="4">
        <v>2</v>
      </c>
      <c r="N67" s="4">
        <f t="shared" si="0"/>
        <v>88</v>
      </c>
      <c r="O67" s="4">
        <v>13.5</v>
      </c>
      <c r="P67" s="5" t="s">
        <v>15</v>
      </c>
      <c r="Q67" s="4" t="s">
        <v>547</v>
      </c>
    </row>
    <row r="68" spans="6:17" ht="14.25" x14ac:dyDescent="0.2">
      <c r="F68" s="1">
        <v>50018</v>
      </c>
      <c r="G68" s="4">
        <v>18</v>
      </c>
      <c r="H68" s="5" t="s">
        <v>56</v>
      </c>
      <c r="I68" s="5" t="s">
        <v>57</v>
      </c>
      <c r="J68" s="4" t="s">
        <v>58</v>
      </c>
      <c r="K68" s="5" t="s">
        <v>59</v>
      </c>
      <c r="L68" s="4">
        <v>3</v>
      </c>
      <c r="M68" s="4">
        <v>2</v>
      </c>
      <c r="N68" s="4">
        <f t="shared" si="0"/>
        <v>88</v>
      </c>
      <c r="O68" s="4">
        <v>13.5</v>
      </c>
      <c r="P68" s="5" t="s">
        <v>15</v>
      </c>
      <c r="Q68" s="4" t="s">
        <v>549</v>
      </c>
    </row>
    <row r="69" spans="6:17" ht="14.25" x14ac:dyDescent="0.2">
      <c r="F69" s="1">
        <v>50019</v>
      </c>
      <c r="G69" s="4">
        <v>19</v>
      </c>
      <c r="H69" s="5" t="s">
        <v>60</v>
      </c>
      <c r="I69" s="5" t="s">
        <v>61</v>
      </c>
      <c r="J69" s="4" t="s">
        <v>62</v>
      </c>
      <c r="K69" s="5" t="s">
        <v>63</v>
      </c>
      <c r="L69" s="4">
        <v>3</v>
      </c>
      <c r="M69" s="4">
        <v>2</v>
      </c>
      <c r="N69" s="4">
        <f t="shared" si="0"/>
        <v>88</v>
      </c>
      <c r="O69" s="4">
        <v>13.5</v>
      </c>
      <c r="P69" s="5" t="s">
        <v>15</v>
      </c>
      <c r="Q69" s="4" t="s">
        <v>550</v>
      </c>
    </row>
    <row r="70" spans="6:17" ht="14.25" x14ac:dyDescent="0.2">
      <c r="F70" s="1">
        <v>50020</v>
      </c>
      <c r="G70" s="4">
        <v>20</v>
      </c>
      <c r="H70" s="5" t="s">
        <v>64</v>
      </c>
      <c r="I70" s="5" t="s">
        <v>65</v>
      </c>
      <c r="J70" s="4" t="s">
        <v>66</v>
      </c>
      <c r="K70" s="5" t="s">
        <v>67</v>
      </c>
      <c r="L70" s="4">
        <v>3</v>
      </c>
      <c r="M70" s="4">
        <v>2</v>
      </c>
      <c r="N70" s="4">
        <f t="shared" si="0"/>
        <v>88</v>
      </c>
      <c r="O70" s="4">
        <v>13.5</v>
      </c>
      <c r="P70" s="5" t="s">
        <v>15</v>
      </c>
      <c r="Q70" s="4" t="s">
        <v>551</v>
      </c>
    </row>
    <row r="71" spans="6:17" ht="14.25" x14ac:dyDescent="0.2">
      <c r="F71" s="1">
        <v>50021</v>
      </c>
      <c r="G71" s="4">
        <v>21</v>
      </c>
      <c r="H71" s="5" t="s">
        <v>68</v>
      </c>
      <c r="I71" s="5" t="s">
        <v>69</v>
      </c>
      <c r="J71" s="4" t="s">
        <v>70</v>
      </c>
      <c r="K71" s="5" t="s">
        <v>71</v>
      </c>
      <c r="L71" s="4">
        <v>3</v>
      </c>
      <c r="M71" s="4">
        <v>2</v>
      </c>
      <c r="N71" s="4">
        <f t="shared" si="0"/>
        <v>88</v>
      </c>
      <c r="O71" s="4">
        <v>13.5</v>
      </c>
      <c r="P71" s="5" t="s">
        <v>15</v>
      </c>
      <c r="Q71" s="4" t="s">
        <v>552</v>
      </c>
    </row>
    <row r="72" spans="6:17" ht="14.25" x14ac:dyDescent="0.2">
      <c r="F72" s="1">
        <v>50022</v>
      </c>
      <c r="G72" s="4">
        <v>22</v>
      </c>
      <c r="H72" s="5" t="s">
        <v>72</v>
      </c>
      <c r="I72" s="5" t="s">
        <v>73</v>
      </c>
      <c r="J72" s="4" t="s">
        <v>74</v>
      </c>
      <c r="K72" s="5" t="s">
        <v>75</v>
      </c>
      <c r="L72" s="4">
        <v>3</v>
      </c>
      <c r="M72" s="4">
        <v>2</v>
      </c>
      <c r="N72" s="4">
        <f t="shared" ref="N72:N135" si="1">INT((9-L72)^2.5)</f>
        <v>88</v>
      </c>
      <c r="O72" s="4">
        <v>13.5</v>
      </c>
      <c r="P72" s="5" t="s">
        <v>15</v>
      </c>
      <c r="Q72" s="4" t="s">
        <v>553</v>
      </c>
    </row>
    <row r="73" spans="6:17" ht="14.25" x14ac:dyDescent="0.2">
      <c r="F73" s="1">
        <v>50023</v>
      </c>
      <c r="G73" s="4">
        <v>23</v>
      </c>
      <c r="H73" s="5" t="s">
        <v>76</v>
      </c>
      <c r="I73" s="5" t="s">
        <v>77</v>
      </c>
      <c r="J73" s="4" t="s">
        <v>78</v>
      </c>
      <c r="K73" s="5" t="s">
        <v>79</v>
      </c>
      <c r="L73" s="4">
        <v>3</v>
      </c>
      <c r="M73" s="4">
        <v>2</v>
      </c>
      <c r="N73" s="4">
        <f t="shared" si="1"/>
        <v>88</v>
      </c>
      <c r="O73" s="4">
        <v>13.5</v>
      </c>
      <c r="P73" s="5" t="s">
        <v>15</v>
      </c>
      <c r="Q73" s="4" t="s">
        <v>554</v>
      </c>
    </row>
    <row r="74" spans="6:17" ht="14.25" x14ac:dyDescent="0.2">
      <c r="F74" s="1">
        <v>50024</v>
      </c>
      <c r="G74" s="4">
        <v>24</v>
      </c>
      <c r="H74" s="5" t="s">
        <v>80</v>
      </c>
      <c r="I74" s="5" t="s">
        <v>81</v>
      </c>
      <c r="J74" s="4" t="s">
        <v>82</v>
      </c>
      <c r="K74" s="5" t="s">
        <v>83</v>
      </c>
      <c r="L74" s="4">
        <v>3</v>
      </c>
      <c r="M74" s="4">
        <v>2</v>
      </c>
      <c r="N74" s="4">
        <f t="shared" si="1"/>
        <v>88</v>
      </c>
      <c r="O74" s="4">
        <v>13.5</v>
      </c>
      <c r="P74" s="5" t="s">
        <v>15</v>
      </c>
      <c r="Q74" s="4" t="s">
        <v>555</v>
      </c>
    </row>
    <row r="75" spans="6:17" ht="14.25" x14ac:dyDescent="0.2">
      <c r="F75" s="1">
        <v>50025</v>
      </c>
      <c r="G75" s="4">
        <v>25</v>
      </c>
      <c r="H75" s="5" t="s">
        <v>84</v>
      </c>
      <c r="I75" s="5" t="s">
        <v>85</v>
      </c>
      <c r="J75" s="4" t="s">
        <v>86</v>
      </c>
      <c r="K75" s="5" t="s">
        <v>45</v>
      </c>
      <c r="L75" s="4">
        <v>3</v>
      </c>
      <c r="M75" s="4">
        <v>2</v>
      </c>
      <c r="N75" s="4">
        <f t="shared" si="1"/>
        <v>88</v>
      </c>
      <c r="O75" s="4">
        <v>13.5</v>
      </c>
      <c r="P75" s="5" t="s">
        <v>15</v>
      </c>
      <c r="Q75" s="4" t="s">
        <v>556</v>
      </c>
    </row>
    <row r="76" spans="6:17" ht="14.25" x14ac:dyDescent="0.2">
      <c r="F76" s="1">
        <v>50026</v>
      </c>
      <c r="G76" s="4">
        <v>26</v>
      </c>
      <c r="H76" s="5" t="s">
        <v>87</v>
      </c>
      <c r="I76" s="5" t="s">
        <v>88</v>
      </c>
      <c r="J76" s="4" t="s">
        <v>89</v>
      </c>
      <c r="K76" s="5" t="s">
        <v>45</v>
      </c>
      <c r="L76" s="4">
        <v>3</v>
      </c>
      <c r="M76" s="4">
        <v>2</v>
      </c>
      <c r="N76" s="4">
        <f t="shared" si="1"/>
        <v>88</v>
      </c>
      <c r="O76" s="4">
        <v>13.5</v>
      </c>
      <c r="P76" s="5" t="s">
        <v>15</v>
      </c>
      <c r="Q76" s="4" t="s">
        <v>557</v>
      </c>
    </row>
    <row r="77" spans="6:17" ht="14.25" x14ac:dyDescent="0.2">
      <c r="F77" s="1">
        <v>50027</v>
      </c>
      <c r="G77" s="4">
        <v>27</v>
      </c>
      <c r="H77" s="5" t="s">
        <v>90</v>
      </c>
      <c r="I77" s="5" t="s">
        <v>91</v>
      </c>
      <c r="J77" s="4" t="s">
        <v>92</v>
      </c>
      <c r="K77" s="5" t="s">
        <v>45</v>
      </c>
      <c r="L77" s="4">
        <v>3</v>
      </c>
      <c r="M77" s="4">
        <v>2</v>
      </c>
      <c r="N77" s="4">
        <f t="shared" si="1"/>
        <v>88</v>
      </c>
      <c r="O77" s="4">
        <v>13.5</v>
      </c>
      <c r="P77" s="5" t="s">
        <v>15</v>
      </c>
      <c r="Q77" s="4" t="s">
        <v>558</v>
      </c>
    </row>
    <row r="78" spans="6:17" ht="14.25" x14ac:dyDescent="0.2">
      <c r="F78" s="1">
        <v>50028</v>
      </c>
      <c r="G78" s="4">
        <v>28</v>
      </c>
      <c r="H78" s="5" t="s">
        <v>93</v>
      </c>
      <c r="I78" s="5" t="s">
        <v>94</v>
      </c>
      <c r="J78" s="4" t="s">
        <v>95</v>
      </c>
      <c r="K78" s="5" t="s">
        <v>45</v>
      </c>
      <c r="L78" s="4">
        <v>3</v>
      </c>
      <c r="M78" s="4">
        <v>2</v>
      </c>
      <c r="N78" s="4">
        <f t="shared" si="1"/>
        <v>88</v>
      </c>
      <c r="O78" s="4">
        <v>13.5</v>
      </c>
      <c r="P78" s="5" t="s">
        <v>15</v>
      </c>
      <c r="Q78" s="4" t="s">
        <v>559</v>
      </c>
    </row>
    <row r="79" spans="6:17" ht="14.25" x14ac:dyDescent="0.2">
      <c r="F79" s="1">
        <v>50029</v>
      </c>
      <c r="G79" s="4">
        <v>29</v>
      </c>
      <c r="H79" s="5" t="s">
        <v>96</v>
      </c>
      <c r="I79" s="5" t="s">
        <v>97</v>
      </c>
      <c r="J79" s="4" t="s">
        <v>98</v>
      </c>
      <c r="K79" s="5" t="s">
        <v>45</v>
      </c>
      <c r="L79" s="4">
        <v>3</v>
      </c>
      <c r="M79" s="4">
        <v>2</v>
      </c>
      <c r="N79" s="4">
        <f t="shared" si="1"/>
        <v>88</v>
      </c>
      <c r="O79" s="4">
        <v>13.5</v>
      </c>
      <c r="P79" s="5" t="s">
        <v>15</v>
      </c>
      <c r="Q79" s="4" t="s">
        <v>560</v>
      </c>
    </row>
    <row r="80" spans="6:17" ht="14.25" x14ac:dyDescent="0.2">
      <c r="F80" s="1">
        <v>50030</v>
      </c>
      <c r="G80" s="4">
        <v>30</v>
      </c>
      <c r="H80" s="5" t="s">
        <v>99</v>
      </c>
      <c r="I80" s="5" t="s">
        <v>100</v>
      </c>
      <c r="J80" s="4" t="s">
        <v>101</v>
      </c>
      <c r="K80" s="5" t="s">
        <v>45</v>
      </c>
      <c r="L80" s="4">
        <v>3</v>
      </c>
      <c r="M80" s="4">
        <v>2</v>
      </c>
      <c r="N80" s="4">
        <f t="shared" si="1"/>
        <v>88</v>
      </c>
      <c r="O80" s="4">
        <v>13.5</v>
      </c>
      <c r="P80" s="5" t="s">
        <v>15</v>
      </c>
      <c r="Q80" s="4" t="s">
        <v>561</v>
      </c>
    </row>
    <row r="81" spans="6:17" ht="14.25" x14ac:dyDescent="0.2">
      <c r="F81" s="1">
        <v>50032</v>
      </c>
      <c r="G81" s="4">
        <v>32</v>
      </c>
      <c r="H81" s="5" t="s">
        <v>105</v>
      </c>
      <c r="I81" s="5" t="s">
        <v>106</v>
      </c>
      <c r="J81" s="4" t="s">
        <v>104</v>
      </c>
      <c r="K81" s="5" t="s">
        <v>45</v>
      </c>
      <c r="L81" s="4">
        <v>3</v>
      </c>
      <c r="M81" s="4">
        <v>2</v>
      </c>
      <c r="N81" s="4">
        <f t="shared" si="1"/>
        <v>88</v>
      </c>
      <c r="O81" s="4">
        <v>13.5</v>
      </c>
      <c r="P81" s="5" t="s">
        <v>15</v>
      </c>
      <c r="Q81" s="4" t="s">
        <v>563</v>
      </c>
    </row>
    <row r="82" spans="6:17" ht="14.25" x14ac:dyDescent="0.2">
      <c r="F82" s="1">
        <v>50036</v>
      </c>
      <c r="G82" s="4">
        <v>36</v>
      </c>
      <c r="H82" s="5" t="s">
        <v>114</v>
      </c>
      <c r="I82" s="5" t="s">
        <v>115</v>
      </c>
      <c r="J82" s="4" t="s">
        <v>113</v>
      </c>
      <c r="K82" s="5" t="s">
        <v>45</v>
      </c>
      <c r="L82" s="4">
        <v>3</v>
      </c>
      <c r="M82" s="4">
        <v>2</v>
      </c>
      <c r="N82" s="4">
        <f t="shared" si="1"/>
        <v>88</v>
      </c>
      <c r="O82" s="4">
        <v>13.5</v>
      </c>
      <c r="P82" s="5" t="s">
        <v>15</v>
      </c>
      <c r="Q82" s="4" t="s">
        <v>567</v>
      </c>
    </row>
    <row r="83" spans="6:17" ht="14.25" hidden="1" x14ac:dyDescent="0.2">
      <c r="F83" s="1">
        <v>50043</v>
      </c>
      <c r="G83" s="4">
        <v>43</v>
      </c>
      <c r="H83" s="5" t="s">
        <v>131</v>
      </c>
      <c r="I83" s="5" t="s">
        <v>132</v>
      </c>
      <c r="J83" s="4" t="s">
        <v>126</v>
      </c>
      <c r="K83" s="5" t="s">
        <v>127</v>
      </c>
      <c r="L83" s="4">
        <v>3</v>
      </c>
      <c r="M83" s="4">
        <v>2</v>
      </c>
      <c r="N83" s="4">
        <f t="shared" si="1"/>
        <v>88</v>
      </c>
      <c r="O83" s="4">
        <v>13.5</v>
      </c>
      <c r="P83" s="5" t="s">
        <v>128</v>
      </c>
      <c r="Q83" s="4" t="s">
        <v>570</v>
      </c>
    </row>
    <row r="84" spans="6:17" ht="14.25" hidden="1" x14ac:dyDescent="0.2">
      <c r="F84" s="1">
        <v>50046</v>
      </c>
      <c r="G84" s="4">
        <v>46</v>
      </c>
      <c r="H84" s="5" t="s">
        <v>136</v>
      </c>
      <c r="I84" s="5" t="s">
        <v>137</v>
      </c>
      <c r="J84" s="4" t="s">
        <v>126</v>
      </c>
      <c r="K84" s="5" t="s">
        <v>45</v>
      </c>
      <c r="L84" s="4">
        <v>3</v>
      </c>
      <c r="M84" s="4">
        <v>2</v>
      </c>
      <c r="N84" s="4">
        <f t="shared" si="1"/>
        <v>88</v>
      </c>
      <c r="O84" s="4">
        <v>13.5</v>
      </c>
      <c r="P84" s="5" t="s">
        <v>128</v>
      </c>
      <c r="Q84" s="4" t="s">
        <v>573</v>
      </c>
    </row>
    <row r="85" spans="6:17" ht="14.25" hidden="1" x14ac:dyDescent="0.2">
      <c r="F85" s="1">
        <v>50048</v>
      </c>
      <c r="G85" s="4">
        <v>48</v>
      </c>
      <c r="H85" s="5" t="s">
        <v>141</v>
      </c>
      <c r="I85" s="5" t="s">
        <v>142</v>
      </c>
      <c r="J85" s="4" t="s">
        <v>126</v>
      </c>
      <c r="K85" s="5" t="s">
        <v>140</v>
      </c>
      <c r="L85" s="4">
        <v>3</v>
      </c>
      <c r="M85" s="4">
        <v>2</v>
      </c>
      <c r="N85" s="4">
        <f t="shared" si="1"/>
        <v>88</v>
      </c>
      <c r="O85" s="4">
        <v>13.5</v>
      </c>
      <c r="P85" s="5" t="s">
        <v>128</v>
      </c>
      <c r="Q85" s="4" t="s">
        <v>575</v>
      </c>
    </row>
    <row r="86" spans="6:17" ht="14.25" hidden="1" x14ac:dyDescent="0.2">
      <c r="F86" s="1">
        <v>50066</v>
      </c>
      <c r="G86" s="4">
        <v>66</v>
      </c>
      <c r="H86" s="5" t="s">
        <v>189</v>
      </c>
      <c r="I86" s="5" t="s">
        <v>190</v>
      </c>
      <c r="J86" s="4" t="s">
        <v>191</v>
      </c>
      <c r="K86" s="5" t="s">
        <v>150</v>
      </c>
      <c r="L86" s="4">
        <v>3</v>
      </c>
      <c r="M86" s="4">
        <v>2</v>
      </c>
      <c r="N86" s="4">
        <f t="shared" si="1"/>
        <v>88</v>
      </c>
      <c r="O86" s="4">
        <v>13.5</v>
      </c>
      <c r="P86" s="5" t="s">
        <v>128</v>
      </c>
      <c r="Q86" s="4" t="s">
        <v>593</v>
      </c>
    </row>
    <row r="87" spans="6:17" ht="14.25" hidden="1" x14ac:dyDescent="0.2">
      <c r="F87" s="1">
        <v>50067</v>
      </c>
      <c r="G87" s="4">
        <v>67</v>
      </c>
      <c r="H87" s="5" t="s">
        <v>192</v>
      </c>
      <c r="I87" s="5" t="s">
        <v>193</v>
      </c>
      <c r="J87" s="4" t="s">
        <v>194</v>
      </c>
      <c r="K87" s="5" t="s">
        <v>150</v>
      </c>
      <c r="L87" s="4">
        <v>3</v>
      </c>
      <c r="M87" s="4">
        <v>2</v>
      </c>
      <c r="N87" s="4">
        <f t="shared" si="1"/>
        <v>88</v>
      </c>
      <c r="O87" s="4">
        <v>13.5</v>
      </c>
      <c r="P87" s="5" t="s">
        <v>128</v>
      </c>
      <c r="Q87" s="4" t="s">
        <v>594</v>
      </c>
    </row>
    <row r="88" spans="6:17" ht="14.25" x14ac:dyDescent="0.2">
      <c r="F88" s="1">
        <v>50089</v>
      </c>
      <c r="G88" s="4">
        <v>89</v>
      </c>
      <c r="H88" s="5" t="s">
        <v>258</v>
      </c>
      <c r="I88" s="5" t="s">
        <v>259</v>
      </c>
      <c r="J88" s="4" t="s">
        <v>260</v>
      </c>
      <c r="K88" s="5" t="s">
        <v>45</v>
      </c>
      <c r="L88" s="4">
        <v>3</v>
      </c>
      <c r="M88" s="4">
        <v>2</v>
      </c>
      <c r="N88" s="4">
        <f t="shared" si="1"/>
        <v>88</v>
      </c>
      <c r="O88" s="4">
        <v>13.5</v>
      </c>
      <c r="P88" s="5" t="s">
        <v>15</v>
      </c>
      <c r="Q88" s="4" t="s">
        <v>616</v>
      </c>
    </row>
    <row r="89" spans="6:17" ht="14.25" hidden="1" x14ac:dyDescent="0.2">
      <c r="F89" s="1">
        <v>50097</v>
      </c>
      <c r="G89" s="4">
        <v>97</v>
      </c>
      <c r="H89" s="5" t="s">
        <v>282</v>
      </c>
      <c r="I89" s="5" t="s">
        <v>283</v>
      </c>
      <c r="J89" s="4" t="s">
        <v>266</v>
      </c>
      <c r="K89" s="5" t="s">
        <v>75</v>
      </c>
      <c r="L89" s="4">
        <v>3</v>
      </c>
      <c r="M89" s="4">
        <v>2</v>
      </c>
      <c r="N89" s="4">
        <f t="shared" si="1"/>
        <v>88</v>
      </c>
      <c r="O89" s="4">
        <v>13.5</v>
      </c>
      <c r="P89" s="5" t="s">
        <v>228</v>
      </c>
      <c r="Q89" s="4" t="s">
        <v>624</v>
      </c>
    </row>
    <row r="90" spans="6:17" ht="14.25" hidden="1" x14ac:dyDescent="0.2">
      <c r="F90" s="1">
        <v>50098</v>
      </c>
      <c r="G90" s="4">
        <v>98</v>
      </c>
      <c r="H90" s="5" t="s">
        <v>284</v>
      </c>
      <c r="I90" s="5" t="s">
        <v>285</v>
      </c>
      <c r="J90" s="4" t="s">
        <v>266</v>
      </c>
      <c r="K90" s="5" t="s">
        <v>67</v>
      </c>
      <c r="L90" s="4">
        <v>3</v>
      </c>
      <c r="M90" s="4">
        <v>2</v>
      </c>
      <c r="N90" s="4">
        <f t="shared" si="1"/>
        <v>88</v>
      </c>
      <c r="O90" s="4">
        <v>13.5</v>
      </c>
      <c r="P90" s="5" t="s">
        <v>228</v>
      </c>
      <c r="Q90" s="4" t="s">
        <v>625</v>
      </c>
    </row>
    <row r="91" spans="6:17" ht="14.25" hidden="1" x14ac:dyDescent="0.2">
      <c r="F91" s="1">
        <v>50099</v>
      </c>
      <c r="G91" s="4">
        <v>99</v>
      </c>
      <c r="H91" s="5" t="s">
        <v>286</v>
      </c>
      <c r="I91" s="5" t="s">
        <v>287</v>
      </c>
      <c r="J91" s="4" t="s">
        <v>266</v>
      </c>
      <c r="K91" s="5" t="s">
        <v>63</v>
      </c>
      <c r="L91" s="4">
        <v>3</v>
      </c>
      <c r="M91" s="4">
        <v>2</v>
      </c>
      <c r="N91" s="4">
        <f t="shared" si="1"/>
        <v>88</v>
      </c>
      <c r="O91" s="4">
        <v>13.5</v>
      </c>
      <c r="P91" s="5" t="s">
        <v>228</v>
      </c>
      <c r="Q91" s="4" t="s">
        <v>626</v>
      </c>
    </row>
    <row r="92" spans="6:17" ht="14.25" hidden="1" x14ac:dyDescent="0.2">
      <c r="F92" s="1">
        <v>50100</v>
      </c>
      <c r="G92" s="4">
        <v>100</v>
      </c>
      <c r="H92" s="5" t="s">
        <v>288</v>
      </c>
      <c r="I92" s="5" t="s">
        <v>289</v>
      </c>
      <c r="J92" s="4" t="s">
        <v>266</v>
      </c>
      <c r="K92" s="5" t="s">
        <v>71</v>
      </c>
      <c r="L92" s="4">
        <v>3</v>
      </c>
      <c r="M92" s="4">
        <v>2</v>
      </c>
      <c r="N92" s="4">
        <f t="shared" si="1"/>
        <v>88</v>
      </c>
      <c r="O92" s="4">
        <v>13.5</v>
      </c>
      <c r="P92" s="5" t="s">
        <v>228</v>
      </c>
      <c r="Q92" s="4" t="s">
        <v>627</v>
      </c>
    </row>
    <row r="93" spans="6:17" ht="14.25" hidden="1" x14ac:dyDescent="0.2">
      <c r="F93" s="1">
        <v>50101</v>
      </c>
      <c r="G93" s="4">
        <v>101</v>
      </c>
      <c r="H93" s="5" t="s">
        <v>290</v>
      </c>
      <c r="I93" s="5" t="s">
        <v>291</v>
      </c>
      <c r="J93" s="4" t="s">
        <v>266</v>
      </c>
      <c r="K93" s="5" t="s">
        <v>79</v>
      </c>
      <c r="L93" s="4">
        <v>3</v>
      </c>
      <c r="M93" s="4">
        <v>2</v>
      </c>
      <c r="N93" s="4">
        <f t="shared" si="1"/>
        <v>88</v>
      </c>
      <c r="O93" s="4">
        <v>13.5</v>
      </c>
      <c r="P93" s="5" t="s">
        <v>228</v>
      </c>
      <c r="Q93" s="4" t="s">
        <v>628</v>
      </c>
    </row>
    <row r="94" spans="6:17" ht="14.25" hidden="1" x14ac:dyDescent="0.2">
      <c r="F94" s="1">
        <v>50102</v>
      </c>
      <c r="G94" s="4">
        <v>102</v>
      </c>
      <c r="H94" s="5" t="s">
        <v>292</v>
      </c>
      <c r="I94" s="5" t="s">
        <v>293</v>
      </c>
      <c r="J94" s="4" t="s">
        <v>266</v>
      </c>
      <c r="K94" s="5" t="s">
        <v>83</v>
      </c>
      <c r="L94" s="4">
        <v>3</v>
      </c>
      <c r="M94" s="4">
        <v>2</v>
      </c>
      <c r="N94" s="4">
        <f t="shared" si="1"/>
        <v>88</v>
      </c>
      <c r="O94" s="4">
        <v>13.5</v>
      </c>
      <c r="P94" s="5" t="s">
        <v>228</v>
      </c>
      <c r="Q94" s="4" t="s">
        <v>629</v>
      </c>
    </row>
    <row r="95" spans="6:17" ht="14.25" hidden="1" x14ac:dyDescent="0.2">
      <c r="F95" s="1">
        <v>50103</v>
      </c>
      <c r="G95" s="4">
        <v>103</v>
      </c>
      <c r="H95" s="5" t="s">
        <v>294</v>
      </c>
      <c r="I95" s="5" t="s">
        <v>295</v>
      </c>
      <c r="J95" s="4" t="s">
        <v>296</v>
      </c>
      <c r="K95" s="5" t="s">
        <v>59</v>
      </c>
      <c r="L95" s="4">
        <v>3</v>
      </c>
      <c r="M95" s="4">
        <v>2</v>
      </c>
      <c r="N95" s="4">
        <f t="shared" si="1"/>
        <v>88</v>
      </c>
      <c r="O95" s="4">
        <v>13.5</v>
      </c>
      <c r="P95" s="5" t="s">
        <v>228</v>
      </c>
      <c r="Q95" s="4" t="s">
        <v>630</v>
      </c>
    </row>
    <row r="96" spans="6:17" ht="14.25" hidden="1" x14ac:dyDescent="0.2">
      <c r="F96" s="1">
        <v>50110</v>
      </c>
      <c r="G96" s="4">
        <v>110</v>
      </c>
      <c r="H96" s="5" t="s">
        <v>314</v>
      </c>
      <c r="I96" s="5" t="s">
        <v>315</v>
      </c>
      <c r="J96" s="4" t="s">
        <v>296</v>
      </c>
      <c r="K96" s="5" t="s">
        <v>45</v>
      </c>
      <c r="L96" s="4">
        <v>3</v>
      </c>
      <c r="M96" s="4">
        <v>2</v>
      </c>
      <c r="N96" s="4">
        <f t="shared" si="1"/>
        <v>88</v>
      </c>
      <c r="O96" s="4">
        <v>13.5</v>
      </c>
      <c r="P96" s="5" t="s">
        <v>228</v>
      </c>
      <c r="Q96" s="4" t="s">
        <v>637</v>
      </c>
    </row>
    <row r="97" spans="6:17" ht="14.25" hidden="1" x14ac:dyDescent="0.2">
      <c r="F97" s="1">
        <v>50111</v>
      </c>
      <c r="G97" s="4">
        <v>111</v>
      </c>
      <c r="H97" s="5" t="s">
        <v>316</v>
      </c>
      <c r="I97" s="5" t="s">
        <v>317</v>
      </c>
      <c r="J97" s="4" t="s">
        <v>318</v>
      </c>
      <c r="K97" s="5" t="s">
        <v>45</v>
      </c>
      <c r="L97" s="4">
        <v>3</v>
      </c>
      <c r="M97" s="4">
        <v>2</v>
      </c>
      <c r="N97" s="4">
        <f t="shared" si="1"/>
        <v>88</v>
      </c>
      <c r="O97" s="4">
        <v>13.5</v>
      </c>
      <c r="P97" s="5" t="s">
        <v>228</v>
      </c>
      <c r="Q97" s="4" t="s">
        <v>638</v>
      </c>
    </row>
    <row r="98" spans="6:17" ht="14.25" hidden="1" x14ac:dyDescent="0.2">
      <c r="F98" s="1">
        <v>50112</v>
      </c>
      <c r="G98" s="4">
        <v>112</v>
      </c>
      <c r="H98" s="5" t="s">
        <v>319</v>
      </c>
      <c r="I98" s="5" t="s">
        <v>320</v>
      </c>
      <c r="J98" s="4" t="s">
        <v>321</v>
      </c>
      <c r="K98" s="5" t="s">
        <v>45</v>
      </c>
      <c r="L98" s="4">
        <v>3</v>
      </c>
      <c r="M98" s="4">
        <v>2</v>
      </c>
      <c r="N98" s="4">
        <f t="shared" si="1"/>
        <v>88</v>
      </c>
      <c r="O98" s="4">
        <v>13.5</v>
      </c>
      <c r="P98" s="5" t="s">
        <v>228</v>
      </c>
      <c r="Q98" s="4" t="s">
        <v>639</v>
      </c>
    </row>
    <row r="99" spans="6:17" ht="14.25" hidden="1" x14ac:dyDescent="0.2">
      <c r="F99" s="1">
        <v>50113</v>
      </c>
      <c r="G99" s="4">
        <v>113</v>
      </c>
      <c r="H99" s="5" t="s">
        <v>322</v>
      </c>
      <c r="I99" s="5" t="s">
        <v>323</v>
      </c>
      <c r="J99" s="4" t="s">
        <v>302</v>
      </c>
      <c r="K99" s="5" t="s">
        <v>45</v>
      </c>
      <c r="L99" s="4">
        <v>3</v>
      </c>
      <c r="M99" s="4">
        <v>2</v>
      </c>
      <c r="N99" s="4">
        <f t="shared" si="1"/>
        <v>88</v>
      </c>
      <c r="O99" s="4">
        <v>13.5</v>
      </c>
      <c r="P99" s="5" t="s">
        <v>228</v>
      </c>
      <c r="Q99" s="4" t="s">
        <v>640</v>
      </c>
    </row>
    <row r="100" spans="6:17" ht="14.25" hidden="1" x14ac:dyDescent="0.2">
      <c r="F100" s="1">
        <v>50114</v>
      </c>
      <c r="G100" s="4">
        <v>114</v>
      </c>
      <c r="H100" s="5" t="s">
        <v>324</v>
      </c>
      <c r="I100" s="5" t="s">
        <v>325</v>
      </c>
      <c r="J100" s="4" t="s">
        <v>299</v>
      </c>
      <c r="K100" s="5" t="s">
        <v>45</v>
      </c>
      <c r="L100" s="4">
        <v>3</v>
      </c>
      <c r="M100" s="4">
        <v>2</v>
      </c>
      <c r="N100" s="4">
        <f t="shared" si="1"/>
        <v>88</v>
      </c>
      <c r="O100" s="4">
        <v>13.5</v>
      </c>
      <c r="P100" s="5" t="s">
        <v>228</v>
      </c>
      <c r="Q100" s="4" t="s">
        <v>641</v>
      </c>
    </row>
    <row r="101" spans="6:17" ht="14.25" hidden="1" x14ac:dyDescent="0.2">
      <c r="F101" s="1">
        <v>50115</v>
      </c>
      <c r="G101" s="4">
        <v>115</v>
      </c>
      <c r="H101" s="5" t="s">
        <v>326</v>
      </c>
      <c r="I101" s="5" t="s">
        <v>327</v>
      </c>
      <c r="J101" s="4" t="s">
        <v>305</v>
      </c>
      <c r="K101" s="5" t="s">
        <v>45</v>
      </c>
      <c r="L101" s="4">
        <v>3</v>
      </c>
      <c r="M101" s="4">
        <v>2</v>
      </c>
      <c r="N101" s="4">
        <f t="shared" si="1"/>
        <v>88</v>
      </c>
      <c r="O101" s="4">
        <v>13.5</v>
      </c>
      <c r="P101" s="5" t="s">
        <v>228</v>
      </c>
      <c r="Q101" s="4" t="s">
        <v>642</v>
      </c>
    </row>
    <row r="102" spans="6:17" ht="14.25" hidden="1" x14ac:dyDescent="0.2">
      <c r="F102" s="1">
        <v>50116</v>
      </c>
      <c r="G102" s="4">
        <v>116</v>
      </c>
      <c r="H102" s="5" t="s">
        <v>328</v>
      </c>
      <c r="I102" s="5" t="s">
        <v>329</v>
      </c>
      <c r="J102" s="4" t="s">
        <v>318</v>
      </c>
      <c r="K102" s="5" t="s">
        <v>45</v>
      </c>
      <c r="L102" s="4">
        <v>3</v>
      </c>
      <c r="M102" s="4">
        <v>2</v>
      </c>
      <c r="N102" s="4">
        <f t="shared" si="1"/>
        <v>88</v>
      </c>
      <c r="O102" s="4">
        <v>13.5</v>
      </c>
      <c r="P102" s="5" t="s">
        <v>228</v>
      </c>
      <c r="Q102" s="4" t="s">
        <v>643</v>
      </c>
    </row>
    <row r="103" spans="6:17" ht="14.25" hidden="1" x14ac:dyDescent="0.2">
      <c r="F103" s="1">
        <v>50117</v>
      </c>
      <c r="G103" s="4">
        <v>117</v>
      </c>
      <c r="H103" s="5" t="s">
        <v>330</v>
      </c>
      <c r="I103" s="5" t="s">
        <v>331</v>
      </c>
      <c r="J103" s="4" t="s">
        <v>299</v>
      </c>
      <c r="K103" s="5" t="s">
        <v>45</v>
      </c>
      <c r="L103" s="4">
        <v>3</v>
      </c>
      <c r="M103" s="4">
        <v>2</v>
      </c>
      <c r="N103" s="4">
        <f t="shared" si="1"/>
        <v>88</v>
      </c>
      <c r="O103" s="4">
        <v>13.5</v>
      </c>
      <c r="P103" s="5" t="s">
        <v>228</v>
      </c>
      <c r="Q103" s="4" t="s">
        <v>644</v>
      </c>
    </row>
    <row r="104" spans="6:17" ht="14.25" hidden="1" x14ac:dyDescent="0.2">
      <c r="F104" s="1">
        <v>50118</v>
      </c>
      <c r="G104" s="4">
        <v>118</v>
      </c>
      <c r="H104" s="5" t="s">
        <v>332</v>
      </c>
      <c r="I104" s="5" t="s">
        <v>333</v>
      </c>
      <c r="J104" s="4" t="s">
        <v>318</v>
      </c>
      <c r="K104" s="5" t="s">
        <v>45</v>
      </c>
      <c r="L104" s="4">
        <v>3</v>
      </c>
      <c r="M104" s="4">
        <v>2</v>
      </c>
      <c r="N104" s="4">
        <f t="shared" si="1"/>
        <v>88</v>
      </c>
      <c r="O104" s="4">
        <v>13.5</v>
      </c>
      <c r="P104" s="5" t="s">
        <v>228</v>
      </c>
      <c r="Q104" s="4" t="s">
        <v>645</v>
      </c>
    </row>
    <row r="105" spans="6:17" ht="14.25" hidden="1" x14ac:dyDescent="0.2">
      <c r="F105" s="1">
        <v>50120</v>
      </c>
      <c r="G105" s="4">
        <v>120</v>
      </c>
      <c r="H105" s="5" t="s">
        <v>337</v>
      </c>
      <c r="I105" s="5" t="s">
        <v>338</v>
      </c>
      <c r="J105" s="4" t="s">
        <v>339</v>
      </c>
      <c r="K105" s="5" t="s">
        <v>45</v>
      </c>
      <c r="L105" s="4">
        <v>3</v>
      </c>
      <c r="M105" s="4">
        <v>2</v>
      </c>
      <c r="N105" s="4">
        <f t="shared" si="1"/>
        <v>88</v>
      </c>
      <c r="O105" s="4">
        <v>13.5</v>
      </c>
      <c r="P105" s="5" t="s">
        <v>228</v>
      </c>
      <c r="Q105" s="4" t="s">
        <v>647</v>
      </c>
    </row>
    <row r="106" spans="6:17" ht="14.25" hidden="1" x14ac:dyDescent="0.2">
      <c r="F106" s="1">
        <v>50121</v>
      </c>
      <c r="G106" s="4">
        <v>121</v>
      </c>
      <c r="H106" s="5" t="s">
        <v>340</v>
      </c>
      <c r="I106" s="5" t="s">
        <v>341</v>
      </c>
      <c r="J106" s="4" t="s">
        <v>342</v>
      </c>
      <c r="K106" s="5" t="s">
        <v>45</v>
      </c>
      <c r="L106" s="4">
        <v>3</v>
      </c>
      <c r="M106" s="4">
        <v>2</v>
      </c>
      <c r="N106" s="4">
        <f t="shared" si="1"/>
        <v>88</v>
      </c>
      <c r="O106" s="4">
        <v>13.5</v>
      </c>
      <c r="P106" s="5" t="s">
        <v>228</v>
      </c>
      <c r="Q106" s="4" t="s">
        <v>648</v>
      </c>
    </row>
    <row r="107" spans="6:17" ht="14.25" hidden="1" x14ac:dyDescent="0.2">
      <c r="F107" s="1">
        <v>50122</v>
      </c>
      <c r="G107" s="4">
        <v>122</v>
      </c>
      <c r="H107" s="5" t="s">
        <v>343</v>
      </c>
      <c r="I107" s="4" t="s">
        <v>344</v>
      </c>
      <c r="J107" s="4" t="s">
        <v>345</v>
      </c>
      <c r="K107" s="5" t="s">
        <v>45</v>
      </c>
      <c r="L107" s="4">
        <v>3</v>
      </c>
      <c r="M107" s="4">
        <v>2</v>
      </c>
      <c r="N107" s="4">
        <f t="shared" si="1"/>
        <v>88</v>
      </c>
      <c r="O107" s="4">
        <v>13.5</v>
      </c>
      <c r="P107" s="5" t="s">
        <v>228</v>
      </c>
      <c r="Q107" s="4" t="s">
        <v>649</v>
      </c>
    </row>
    <row r="108" spans="6:17" ht="14.25" hidden="1" x14ac:dyDescent="0.2">
      <c r="F108" s="1">
        <v>50124</v>
      </c>
      <c r="G108" s="4">
        <v>124</v>
      </c>
      <c r="H108" s="5" t="s">
        <v>349</v>
      </c>
      <c r="I108" s="5" t="s">
        <v>350</v>
      </c>
      <c r="J108" s="4" t="s">
        <v>351</v>
      </c>
      <c r="K108" s="5" t="s">
        <v>45</v>
      </c>
      <c r="L108" s="4">
        <v>3</v>
      </c>
      <c r="M108" s="4">
        <v>2</v>
      </c>
      <c r="N108" s="4">
        <f t="shared" si="1"/>
        <v>88</v>
      </c>
      <c r="O108" s="4">
        <v>13.5</v>
      </c>
      <c r="P108" s="5" t="s">
        <v>228</v>
      </c>
      <c r="Q108" s="4" t="s">
        <v>651</v>
      </c>
    </row>
    <row r="109" spans="6:17" ht="14.25" hidden="1" x14ac:dyDescent="0.2">
      <c r="F109" s="1">
        <v>50126</v>
      </c>
      <c r="G109" s="4">
        <v>126</v>
      </c>
      <c r="H109" s="5" t="s">
        <v>354</v>
      </c>
      <c r="I109" s="5" t="s">
        <v>355</v>
      </c>
      <c r="J109" s="4" t="s">
        <v>356</v>
      </c>
      <c r="K109" s="5" t="s">
        <v>45</v>
      </c>
      <c r="L109" s="4">
        <v>3</v>
      </c>
      <c r="M109" s="4">
        <v>2</v>
      </c>
      <c r="N109" s="4">
        <f t="shared" si="1"/>
        <v>88</v>
      </c>
      <c r="O109" s="4">
        <v>13.5</v>
      </c>
      <c r="P109" s="5" t="s">
        <v>228</v>
      </c>
      <c r="Q109" s="4" t="s">
        <v>653</v>
      </c>
    </row>
    <row r="110" spans="6:17" ht="14.25" hidden="1" x14ac:dyDescent="0.2">
      <c r="F110" s="1">
        <v>50128</v>
      </c>
      <c r="G110" s="4">
        <v>128</v>
      </c>
      <c r="H110" s="5" t="s">
        <v>359</v>
      </c>
      <c r="I110" s="5" t="s">
        <v>360</v>
      </c>
      <c r="J110" s="4" t="s">
        <v>351</v>
      </c>
      <c r="K110" s="5" t="s">
        <v>45</v>
      </c>
      <c r="L110" s="4">
        <v>3</v>
      </c>
      <c r="M110" s="4">
        <v>2</v>
      </c>
      <c r="N110" s="4">
        <f t="shared" si="1"/>
        <v>88</v>
      </c>
      <c r="O110" s="4">
        <v>13.5</v>
      </c>
      <c r="P110" s="5" t="s">
        <v>228</v>
      </c>
      <c r="Q110" s="4" t="s">
        <v>655</v>
      </c>
    </row>
    <row r="111" spans="6:17" ht="14.25" hidden="1" x14ac:dyDescent="0.2">
      <c r="F111" s="1">
        <v>50129</v>
      </c>
      <c r="G111" s="4">
        <v>129</v>
      </c>
      <c r="H111" s="5" t="s">
        <v>361</v>
      </c>
      <c r="I111" s="5" t="s">
        <v>362</v>
      </c>
      <c r="J111" s="4" t="s">
        <v>363</v>
      </c>
      <c r="K111" s="5" t="s">
        <v>45</v>
      </c>
      <c r="L111" s="4">
        <v>3</v>
      </c>
      <c r="M111" s="4">
        <v>2</v>
      </c>
      <c r="N111" s="4">
        <f t="shared" si="1"/>
        <v>88</v>
      </c>
      <c r="O111" s="4">
        <v>13.5</v>
      </c>
      <c r="P111" s="5" t="s">
        <v>228</v>
      </c>
      <c r="Q111" s="4" t="s">
        <v>656</v>
      </c>
    </row>
    <row r="112" spans="6:17" ht="14.25" hidden="1" x14ac:dyDescent="0.2">
      <c r="F112" s="1">
        <v>50141</v>
      </c>
      <c r="G112" s="4">
        <v>141</v>
      </c>
      <c r="H112" s="5" t="s">
        <v>391</v>
      </c>
      <c r="I112" s="5" t="s">
        <v>392</v>
      </c>
      <c r="J112" s="4" t="s">
        <v>393</v>
      </c>
      <c r="K112" s="5" t="s">
        <v>45</v>
      </c>
      <c r="L112" s="4">
        <v>3</v>
      </c>
      <c r="M112" s="4">
        <v>2</v>
      </c>
      <c r="N112" s="4">
        <f t="shared" si="1"/>
        <v>88</v>
      </c>
      <c r="O112" s="4">
        <v>13.5</v>
      </c>
      <c r="P112" s="5" t="s">
        <v>228</v>
      </c>
      <c r="Q112" s="4" t="s">
        <v>665</v>
      </c>
    </row>
    <row r="113" spans="6:17" ht="14.25" hidden="1" x14ac:dyDescent="0.2">
      <c r="F113" s="1">
        <v>50142</v>
      </c>
      <c r="G113" s="4">
        <v>142</v>
      </c>
      <c r="H113" s="5" t="s">
        <v>394</v>
      </c>
      <c r="I113" s="5" t="s">
        <v>395</v>
      </c>
      <c r="J113" s="4" t="s">
        <v>384</v>
      </c>
      <c r="K113" s="5" t="s">
        <v>45</v>
      </c>
      <c r="L113" s="4">
        <v>3</v>
      </c>
      <c r="M113" s="4">
        <v>2</v>
      </c>
      <c r="N113" s="4">
        <f t="shared" si="1"/>
        <v>88</v>
      </c>
      <c r="O113" s="4">
        <v>13.5</v>
      </c>
      <c r="P113" s="5" t="s">
        <v>228</v>
      </c>
      <c r="Q113" s="4" t="s">
        <v>666</v>
      </c>
    </row>
    <row r="114" spans="6:17" ht="14.25" hidden="1" x14ac:dyDescent="0.2">
      <c r="F114" s="1">
        <v>50143</v>
      </c>
      <c r="G114" s="4">
        <v>143</v>
      </c>
      <c r="H114" s="5" t="s">
        <v>396</v>
      </c>
      <c r="I114" s="5" t="s">
        <v>397</v>
      </c>
      <c r="J114" s="4" t="s">
        <v>398</v>
      </c>
      <c r="K114" s="5" t="s">
        <v>45</v>
      </c>
      <c r="L114" s="4">
        <v>3</v>
      </c>
      <c r="M114" s="4">
        <v>2</v>
      </c>
      <c r="N114" s="4">
        <f t="shared" si="1"/>
        <v>88</v>
      </c>
      <c r="O114" s="4">
        <v>13.5</v>
      </c>
      <c r="P114" s="5" t="s">
        <v>228</v>
      </c>
      <c r="Q114" s="4" t="s">
        <v>667</v>
      </c>
    </row>
    <row r="115" spans="6:17" ht="14.25" hidden="1" x14ac:dyDescent="0.2">
      <c r="F115" s="1">
        <v>50144</v>
      </c>
      <c r="G115" s="4">
        <v>144</v>
      </c>
      <c r="H115" s="5" t="s">
        <v>399</v>
      </c>
      <c r="I115" s="5" t="s">
        <v>400</v>
      </c>
      <c r="J115" s="4" t="s">
        <v>401</v>
      </c>
      <c r="K115" s="5" t="s">
        <v>45</v>
      </c>
      <c r="L115" s="4">
        <v>3</v>
      </c>
      <c r="M115" s="4">
        <v>2</v>
      </c>
      <c r="N115" s="4">
        <f t="shared" si="1"/>
        <v>88</v>
      </c>
      <c r="O115" s="4">
        <v>13.5</v>
      </c>
      <c r="P115" s="5" t="s">
        <v>228</v>
      </c>
      <c r="Q115" s="4" t="s">
        <v>668</v>
      </c>
    </row>
    <row r="116" spans="6:17" ht="14.25" hidden="1" x14ac:dyDescent="0.2">
      <c r="F116" s="1">
        <v>50153</v>
      </c>
      <c r="G116" s="4">
        <v>153</v>
      </c>
      <c r="H116" s="5" t="s">
        <v>425</v>
      </c>
      <c r="I116" s="5" t="s">
        <v>426</v>
      </c>
      <c r="J116" s="4" t="s">
        <v>393</v>
      </c>
      <c r="K116" s="5" t="s">
        <v>45</v>
      </c>
      <c r="L116" s="4">
        <v>3</v>
      </c>
      <c r="M116" s="4">
        <v>2</v>
      </c>
      <c r="N116" s="4">
        <f t="shared" si="1"/>
        <v>88</v>
      </c>
      <c r="O116" s="4">
        <v>13.5</v>
      </c>
      <c r="P116" s="5" t="s">
        <v>228</v>
      </c>
      <c r="Q116" s="4" t="s">
        <v>677</v>
      </c>
    </row>
    <row r="117" spans="6:17" ht="14.25" hidden="1" x14ac:dyDescent="0.2">
      <c r="F117" s="1">
        <v>50154</v>
      </c>
      <c r="G117" s="4">
        <v>154</v>
      </c>
      <c r="H117" s="5" t="s">
        <v>427</v>
      </c>
      <c r="I117" s="5" t="s">
        <v>428</v>
      </c>
      <c r="J117" s="4" t="s">
        <v>429</v>
      </c>
      <c r="K117" s="5" t="s">
        <v>45</v>
      </c>
      <c r="L117" s="4">
        <v>3</v>
      </c>
      <c r="M117" s="4">
        <v>2</v>
      </c>
      <c r="N117" s="4">
        <f t="shared" si="1"/>
        <v>88</v>
      </c>
      <c r="O117" s="4">
        <v>13.5</v>
      </c>
      <c r="P117" s="5" t="s">
        <v>228</v>
      </c>
      <c r="Q117" s="4" t="s">
        <v>678</v>
      </c>
    </row>
    <row r="118" spans="6:17" ht="14.25" hidden="1" x14ac:dyDescent="0.2">
      <c r="F118" s="1">
        <v>50155</v>
      </c>
      <c r="G118" s="4">
        <v>155</v>
      </c>
      <c r="H118" s="5" t="s">
        <v>430</v>
      </c>
      <c r="I118" s="5" t="s">
        <v>431</v>
      </c>
      <c r="J118" s="4" t="s">
        <v>432</v>
      </c>
      <c r="K118" s="5" t="s">
        <v>45</v>
      </c>
      <c r="L118" s="4">
        <v>3</v>
      </c>
      <c r="M118" s="4">
        <v>2</v>
      </c>
      <c r="N118" s="4">
        <f t="shared" si="1"/>
        <v>88</v>
      </c>
      <c r="O118" s="4">
        <v>13.5</v>
      </c>
      <c r="P118" s="5" t="s">
        <v>228</v>
      </c>
      <c r="Q118" s="4" t="s">
        <v>679</v>
      </c>
    </row>
    <row r="119" spans="6:17" ht="14.25" hidden="1" x14ac:dyDescent="0.2">
      <c r="F119" s="1">
        <v>50156</v>
      </c>
      <c r="G119" s="4">
        <v>156</v>
      </c>
      <c r="H119" s="5" t="s">
        <v>433</v>
      </c>
      <c r="I119" s="5" t="s">
        <v>433</v>
      </c>
      <c r="J119" s="4" t="s">
        <v>429</v>
      </c>
      <c r="K119" s="5" t="s">
        <v>45</v>
      </c>
      <c r="L119" s="4">
        <v>3</v>
      </c>
      <c r="M119" s="4">
        <v>2</v>
      </c>
      <c r="N119" s="4">
        <f t="shared" si="1"/>
        <v>88</v>
      </c>
      <c r="O119" s="4">
        <v>13.5</v>
      </c>
      <c r="P119" s="5" t="s">
        <v>228</v>
      </c>
      <c r="Q119" s="4" t="s">
        <v>680</v>
      </c>
    </row>
    <row r="120" spans="6:17" ht="14.25" hidden="1" x14ac:dyDescent="0.2">
      <c r="F120" s="1">
        <v>50169</v>
      </c>
      <c r="G120" s="4">
        <v>169</v>
      </c>
      <c r="H120" s="5" t="s">
        <v>468</v>
      </c>
      <c r="I120" s="5" t="s">
        <v>466</v>
      </c>
      <c r="J120" s="4" t="s">
        <v>469</v>
      </c>
      <c r="K120" s="5" t="s">
        <v>45</v>
      </c>
      <c r="L120" s="4">
        <v>3</v>
      </c>
      <c r="M120" s="4">
        <v>2</v>
      </c>
      <c r="N120" s="4">
        <f t="shared" si="1"/>
        <v>88</v>
      </c>
      <c r="O120" s="4">
        <v>13.5</v>
      </c>
      <c r="P120" s="5" t="s">
        <v>128</v>
      </c>
      <c r="Q120" s="4" t="s">
        <v>692</v>
      </c>
    </row>
    <row r="121" spans="6:17" ht="14.25" hidden="1" x14ac:dyDescent="0.2">
      <c r="F121" s="1">
        <v>50171</v>
      </c>
      <c r="G121" s="4">
        <v>171</v>
      </c>
      <c r="H121" s="5" t="s">
        <v>472</v>
      </c>
      <c r="I121" s="5" t="s">
        <v>473</v>
      </c>
      <c r="J121" s="4" t="s">
        <v>474</v>
      </c>
      <c r="K121" s="5" t="s">
        <v>45</v>
      </c>
      <c r="L121" s="4">
        <v>3</v>
      </c>
      <c r="M121" s="4">
        <v>2</v>
      </c>
      <c r="N121" s="4">
        <f t="shared" si="1"/>
        <v>88</v>
      </c>
      <c r="O121" s="4">
        <v>13.5</v>
      </c>
      <c r="P121" s="5" t="s">
        <v>128</v>
      </c>
      <c r="Q121" s="4" t="s">
        <v>693</v>
      </c>
    </row>
    <row r="122" spans="6:17" ht="14.25" hidden="1" x14ac:dyDescent="0.2">
      <c r="F122" s="1">
        <v>50172</v>
      </c>
      <c r="G122" s="4">
        <v>172</v>
      </c>
      <c r="H122" s="5" t="s">
        <v>475</v>
      </c>
      <c r="I122" s="5" t="s">
        <v>476</v>
      </c>
      <c r="J122" s="4" t="s">
        <v>477</v>
      </c>
      <c r="K122" s="5" t="s">
        <v>45</v>
      </c>
      <c r="L122" s="4">
        <v>3</v>
      </c>
      <c r="M122" s="4">
        <v>2</v>
      </c>
      <c r="N122" s="4">
        <f t="shared" si="1"/>
        <v>88</v>
      </c>
      <c r="O122" s="4">
        <v>13.5</v>
      </c>
      <c r="P122" s="5" t="s">
        <v>439</v>
      </c>
      <c r="Q122" s="4" t="s">
        <v>694</v>
      </c>
    </row>
    <row r="123" spans="6:17" ht="14.25" x14ac:dyDescent="0.2">
      <c r="F123" s="1">
        <v>50173</v>
      </c>
      <c r="G123" s="4">
        <v>173</v>
      </c>
      <c r="H123" s="5" t="s">
        <v>478</v>
      </c>
      <c r="I123" s="5" t="s">
        <v>479</v>
      </c>
      <c r="J123" s="4" t="s">
        <v>480</v>
      </c>
      <c r="K123" s="5" t="s">
        <v>45</v>
      </c>
      <c r="L123" s="4">
        <v>3</v>
      </c>
      <c r="M123" s="4">
        <v>2</v>
      </c>
      <c r="N123" s="4">
        <f t="shared" si="1"/>
        <v>88</v>
      </c>
      <c r="O123" s="4">
        <v>13.5</v>
      </c>
      <c r="P123" s="5" t="s">
        <v>15</v>
      </c>
      <c r="Q123" s="4" t="s">
        <v>695</v>
      </c>
    </row>
    <row r="124" spans="6:17" ht="14.25" x14ac:dyDescent="0.2">
      <c r="F124" s="1">
        <v>50174</v>
      </c>
      <c r="G124" s="4">
        <v>174</v>
      </c>
      <c r="H124" s="5" t="s">
        <v>481</v>
      </c>
      <c r="I124" s="5" t="s">
        <v>482</v>
      </c>
      <c r="J124" s="4" t="s">
        <v>483</v>
      </c>
      <c r="K124" s="5" t="s">
        <v>45</v>
      </c>
      <c r="L124" s="4">
        <v>3</v>
      </c>
      <c r="M124" s="4">
        <v>2</v>
      </c>
      <c r="N124" s="4">
        <f t="shared" si="1"/>
        <v>88</v>
      </c>
      <c r="O124" s="4">
        <v>13.5</v>
      </c>
      <c r="P124" s="5" t="s">
        <v>15</v>
      </c>
      <c r="Q124" s="4" t="s">
        <v>696</v>
      </c>
    </row>
    <row r="125" spans="6:17" ht="14.25" x14ac:dyDescent="0.2">
      <c r="F125" s="1">
        <v>50175</v>
      </c>
      <c r="G125" s="4">
        <v>175</v>
      </c>
      <c r="H125" s="5" t="s">
        <v>484</v>
      </c>
      <c r="I125" s="5" t="s">
        <v>485</v>
      </c>
      <c r="J125" s="4" t="s">
        <v>486</v>
      </c>
      <c r="K125" s="5" t="s">
        <v>45</v>
      </c>
      <c r="L125" s="4">
        <v>3</v>
      </c>
      <c r="M125" s="4">
        <v>2</v>
      </c>
      <c r="N125" s="4">
        <f t="shared" si="1"/>
        <v>88</v>
      </c>
      <c r="O125" s="4">
        <v>13.5</v>
      </c>
      <c r="P125" s="5" t="s">
        <v>15</v>
      </c>
      <c r="Q125" s="4" t="s">
        <v>697</v>
      </c>
    </row>
    <row r="126" spans="6:17" ht="14.25" x14ac:dyDescent="0.2">
      <c r="F126" s="1">
        <v>50176</v>
      </c>
      <c r="G126" s="4">
        <v>176</v>
      </c>
      <c r="H126" s="5" t="s">
        <v>487</v>
      </c>
      <c r="I126" s="5" t="s">
        <v>488</v>
      </c>
      <c r="J126" s="4" t="s">
        <v>489</v>
      </c>
      <c r="K126" s="5" t="s">
        <v>45</v>
      </c>
      <c r="L126" s="4">
        <v>3</v>
      </c>
      <c r="M126" s="4">
        <v>2</v>
      </c>
      <c r="N126" s="4">
        <f t="shared" si="1"/>
        <v>88</v>
      </c>
      <c r="O126" s="4">
        <v>13.5</v>
      </c>
      <c r="P126" s="5" t="s">
        <v>15</v>
      </c>
      <c r="Q126" s="4" t="s">
        <v>698</v>
      </c>
    </row>
    <row r="127" spans="6:17" ht="14.25" x14ac:dyDescent="0.2">
      <c r="F127" s="1">
        <v>50004</v>
      </c>
      <c r="G127" s="4">
        <v>4</v>
      </c>
      <c r="H127" s="5" t="s">
        <v>21</v>
      </c>
      <c r="I127" s="5" t="s">
        <v>22</v>
      </c>
      <c r="J127" s="4" t="s">
        <v>13</v>
      </c>
      <c r="K127" s="5" t="s">
        <v>14</v>
      </c>
      <c r="L127" s="4">
        <v>4</v>
      </c>
      <c r="M127" s="4">
        <v>3</v>
      </c>
      <c r="N127" s="4">
        <f t="shared" si="1"/>
        <v>55</v>
      </c>
      <c r="O127" s="4">
        <v>24</v>
      </c>
      <c r="P127" s="5" t="s">
        <v>15</v>
      </c>
      <c r="Q127" s="4" t="s">
        <v>535</v>
      </c>
    </row>
    <row r="128" spans="6:17" ht="14.25" x14ac:dyDescent="0.2">
      <c r="F128" s="1">
        <v>50008</v>
      </c>
      <c r="G128" s="4">
        <v>8</v>
      </c>
      <c r="H128" s="5" t="s">
        <v>31</v>
      </c>
      <c r="I128" s="5" t="s">
        <v>32</v>
      </c>
      <c r="J128" s="4" t="s">
        <v>25</v>
      </c>
      <c r="K128" s="5" t="s">
        <v>26</v>
      </c>
      <c r="L128" s="4">
        <v>4</v>
      </c>
      <c r="M128" s="4">
        <v>3</v>
      </c>
      <c r="N128" s="4">
        <f t="shared" si="1"/>
        <v>55</v>
      </c>
      <c r="O128" s="4">
        <v>24</v>
      </c>
      <c r="P128" s="5" t="s">
        <v>15</v>
      </c>
      <c r="Q128" s="4" t="s">
        <v>539</v>
      </c>
    </row>
    <row r="129" spans="6:17" ht="14.25" x14ac:dyDescent="0.2">
      <c r="F129" s="1">
        <v>50012</v>
      </c>
      <c r="G129" s="4">
        <v>12</v>
      </c>
      <c r="H129" s="5" t="s">
        <v>40</v>
      </c>
      <c r="I129" s="5" t="s">
        <v>41</v>
      </c>
      <c r="J129" s="4" t="s">
        <v>25</v>
      </c>
      <c r="K129" s="5" t="s">
        <v>35</v>
      </c>
      <c r="L129" s="4">
        <v>4</v>
      </c>
      <c r="M129" s="4">
        <v>3</v>
      </c>
      <c r="N129" s="4">
        <f t="shared" si="1"/>
        <v>55</v>
      </c>
      <c r="O129" s="4">
        <v>24</v>
      </c>
      <c r="P129" s="5" t="s">
        <v>15</v>
      </c>
      <c r="Q129" s="4" t="s">
        <v>543</v>
      </c>
    </row>
    <row r="130" spans="6:17" ht="14.25" hidden="1" x14ac:dyDescent="0.2">
      <c r="F130" s="1">
        <v>50044</v>
      </c>
      <c r="G130" s="4">
        <v>44</v>
      </c>
      <c r="H130" s="5" t="s">
        <v>133</v>
      </c>
      <c r="I130" s="5" t="s">
        <v>134</v>
      </c>
      <c r="J130" s="4" t="s">
        <v>126</v>
      </c>
      <c r="K130" s="5" t="s">
        <v>127</v>
      </c>
      <c r="L130" s="4">
        <v>4</v>
      </c>
      <c r="M130" s="4">
        <v>3</v>
      </c>
      <c r="N130" s="4">
        <f t="shared" si="1"/>
        <v>55</v>
      </c>
      <c r="O130" s="4">
        <v>24</v>
      </c>
      <c r="P130" s="5" t="s">
        <v>128</v>
      </c>
      <c r="Q130" s="4" t="s">
        <v>571</v>
      </c>
    </row>
    <row r="131" spans="6:17" ht="14.25" hidden="1" x14ac:dyDescent="0.2">
      <c r="F131" s="1">
        <v>50058</v>
      </c>
      <c r="G131" s="4">
        <v>58</v>
      </c>
      <c r="H131" s="5" t="s">
        <v>167</v>
      </c>
      <c r="I131" s="5" t="s">
        <v>168</v>
      </c>
      <c r="J131" s="4" t="s">
        <v>149</v>
      </c>
      <c r="K131" s="5" t="s">
        <v>150</v>
      </c>
      <c r="L131" s="4">
        <v>4</v>
      </c>
      <c r="M131" s="4">
        <v>3</v>
      </c>
      <c r="N131" s="4">
        <f t="shared" si="1"/>
        <v>55</v>
      </c>
      <c r="O131" s="4">
        <v>24</v>
      </c>
      <c r="P131" s="5" t="s">
        <v>128</v>
      </c>
      <c r="Q131" s="4" t="s">
        <v>585</v>
      </c>
    </row>
    <row r="132" spans="6:17" ht="14.25" hidden="1" x14ac:dyDescent="0.2">
      <c r="F132" s="1">
        <v>50104</v>
      </c>
      <c r="G132" s="4">
        <v>104</v>
      </c>
      <c r="H132" s="5" t="s">
        <v>297</v>
      </c>
      <c r="I132" s="5" t="s">
        <v>298</v>
      </c>
      <c r="J132" s="4" t="s">
        <v>299</v>
      </c>
      <c r="K132" s="5" t="s">
        <v>45</v>
      </c>
      <c r="L132" s="4">
        <v>4</v>
      </c>
      <c r="M132" s="4">
        <v>3</v>
      </c>
      <c r="N132" s="4">
        <f t="shared" si="1"/>
        <v>55</v>
      </c>
      <c r="O132" s="4">
        <v>24</v>
      </c>
      <c r="P132" s="5" t="s">
        <v>228</v>
      </c>
      <c r="Q132" s="4" t="s">
        <v>631</v>
      </c>
    </row>
    <row r="133" spans="6:17" ht="14.25" hidden="1" x14ac:dyDescent="0.2">
      <c r="F133" s="1">
        <v>50105</v>
      </c>
      <c r="G133" s="4">
        <v>105</v>
      </c>
      <c r="H133" s="5" t="s">
        <v>300</v>
      </c>
      <c r="I133" s="5" t="s">
        <v>301</v>
      </c>
      <c r="J133" s="4" t="s">
        <v>302</v>
      </c>
      <c r="K133" s="5" t="s">
        <v>45</v>
      </c>
      <c r="L133" s="4">
        <v>4</v>
      </c>
      <c r="M133" s="4">
        <v>3</v>
      </c>
      <c r="N133" s="4">
        <f t="shared" si="1"/>
        <v>55</v>
      </c>
      <c r="O133" s="4">
        <v>24</v>
      </c>
      <c r="P133" s="5" t="s">
        <v>228</v>
      </c>
      <c r="Q133" s="4" t="s">
        <v>632</v>
      </c>
    </row>
    <row r="134" spans="6:17" ht="14.25" hidden="1" x14ac:dyDescent="0.2">
      <c r="F134" s="1">
        <v>50106</v>
      </c>
      <c r="G134" s="4">
        <v>106</v>
      </c>
      <c r="H134" s="5" t="s">
        <v>303</v>
      </c>
      <c r="I134" s="5" t="s">
        <v>304</v>
      </c>
      <c r="J134" s="4" t="s">
        <v>305</v>
      </c>
      <c r="K134" s="5" t="s">
        <v>45</v>
      </c>
      <c r="L134" s="4">
        <v>4</v>
      </c>
      <c r="M134" s="4">
        <v>3</v>
      </c>
      <c r="N134" s="4">
        <f t="shared" si="1"/>
        <v>55</v>
      </c>
      <c r="O134" s="4">
        <v>24</v>
      </c>
      <c r="P134" s="5" t="s">
        <v>228</v>
      </c>
      <c r="Q134" s="4" t="s">
        <v>633</v>
      </c>
    </row>
    <row r="135" spans="6:17" ht="14.25" hidden="1" x14ac:dyDescent="0.2">
      <c r="F135" s="1">
        <v>50107</v>
      </c>
      <c r="G135" s="4">
        <v>107</v>
      </c>
      <c r="H135" s="5" t="s">
        <v>306</v>
      </c>
      <c r="I135" s="5" t="s">
        <v>307</v>
      </c>
      <c r="J135" s="4" t="s">
        <v>308</v>
      </c>
      <c r="K135" s="5" t="s">
        <v>45</v>
      </c>
      <c r="L135" s="4">
        <v>4</v>
      </c>
      <c r="M135" s="4">
        <v>3</v>
      </c>
      <c r="N135" s="4">
        <f t="shared" si="1"/>
        <v>55</v>
      </c>
      <c r="O135" s="4">
        <v>24</v>
      </c>
      <c r="P135" s="5" t="s">
        <v>228</v>
      </c>
      <c r="Q135" s="4" t="s">
        <v>634</v>
      </c>
    </row>
    <row r="136" spans="6:17" ht="14.25" hidden="1" x14ac:dyDescent="0.2">
      <c r="F136" s="1">
        <v>50108</v>
      </c>
      <c r="G136" s="4">
        <v>108</v>
      </c>
      <c r="H136" s="5" t="s">
        <v>309</v>
      </c>
      <c r="I136" s="5" t="s">
        <v>310</v>
      </c>
      <c r="J136" s="4" t="s">
        <v>299</v>
      </c>
      <c r="K136" s="5" t="s">
        <v>45</v>
      </c>
      <c r="L136" s="4">
        <v>4</v>
      </c>
      <c r="M136" s="4">
        <v>3</v>
      </c>
      <c r="N136" s="4">
        <f t="shared" ref="N136:N196" si="2">INT((9-L136)^2.5)</f>
        <v>55</v>
      </c>
      <c r="O136" s="4">
        <v>24</v>
      </c>
      <c r="P136" s="5" t="s">
        <v>228</v>
      </c>
      <c r="Q136" s="4" t="s">
        <v>635</v>
      </c>
    </row>
    <row r="137" spans="6:17" ht="14.25" hidden="1" x14ac:dyDescent="0.2">
      <c r="F137" s="1">
        <v>50158</v>
      </c>
      <c r="G137" s="4">
        <v>158</v>
      </c>
      <c r="H137" s="5" t="s">
        <v>436</v>
      </c>
      <c r="I137" s="5" t="s">
        <v>437</v>
      </c>
      <c r="J137" s="4" t="s">
        <v>438</v>
      </c>
      <c r="K137" s="5" t="s">
        <v>45</v>
      </c>
      <c r="L137" s="4">
        <v>4</v>
      </c>
      <c r="M137" s="4">
        <v>3</v>
      </c>
      <c r="N137" s="4">
        <f t="shared" si="2"/>
        <v>55</v>
      </c>
      <c r="O137" s="4">
        <v>24</v>
      </c>
      <c r="P137" s="5" t="s">
        <v>439</v>
      </c>
      <c r="Q137" s="4" t="s">
        <v>682</v>
      </c>
    </row>
    <row r="138" spans="6:17" ht="14.25" hidden="1" x14ac:dyDescent="0.2">
      <c r="F138" s="1">
        <v>50159</v>
      </c>
      <c r="G138" s="4">
        <v>159</v>
      </c>
      <c r="H138" s="5" t="s">
        <v>440</v>
      </c>
      <c r="I138" s="5" t="s">
        <v>441</v>
      </c>
      <c r="J138" s="4" t="s">
        <v>442</v>
      </c>
      <c r="K138" s="5" t="s">
        <v>45</v>
      </c>
      <c r="L138" s="4">
        <v>4</v>
      </c>
      <c r="M138" s="4">
        <v>3</v>
      </c>
      <c r="N138" s="4">
        <f t="shared" si="2"/>
        <v>55</v>
      </c>
      <c r="O138" s="4">
        <v>24</v>
      </c>
      <c r="P138" s="5" t="s">
        <v>439</v>
      </c>
      <c r="Q138" s="4" t="s">
        <v>683</v>
      </c>
    </row>
    <row r="139" spans="6:17" ht="14.25" hidden="1" x14ac:dyDescent="0.2">
      <c r="F139" s="1">
        <v>50160</v>
      </c>
      <c r="G139" s="4">
        <v>160</v>
      </c>
      <c r="H139" s="5" t="s">
        <v>443</v>
      </c>
      <c r="I139" s="5" t="s">
        <v>444</v>
      </c>
      <c r="J139" s="4" t="s">
        <v>445</v>
      </c>
      <c r="K139" s="5" t="s">
        <v>45</v>
      </c>
      <c r="L139" s="4">
        <v>4</v>
      </c>
      <c r="M139" s="4">
        <v>3</v>
      </c>
      <c r="N139" s="4">
        <f t="shared" si="2"/>
        <v>55</v>
      </c>
      <c r="O139" s="4">
        <v>24</v>
      </c>
      <c r="P139" s="5" t="s">
        <v>439</v>
      </c>
      <c r="Q139" s="4" t="s">
        <v>684</v>
      </c>
    </row>
    <row r="140" spans="6:17" ht="14.25" hidden="1" x14ac:dyDescent="0.2">
      <c r="F140" s="1">
        <v>50161</v>
      </c>
      <c r="G140" s="4">
        <v>161</v>
      </c>
      <c r="H140" s="5" t="s">
        <v>446</v>
      </c>
      <c r="I140" s="5" t="s">
        <v>447</v>
      </c>
      <c r="J140" s="4" t="s">
        <v>448</v>
      </c>
      <c r="K140" s="5" t="s">
        <v>45</v>
      </c>
      <c r="L140" s="4">
        <v>4</v>
      </c>
      <c r="M140" s="4">
        <v>3</v>
      </c>
      <c r="N140" s="4">
        <f t="shared" si="2"/>
        <v>55</v>
      </c>
      <c r="O140" s="4">
        <v>24</v>
      </c>
      <c r="P140" s="5" t="s">
        <v>439</v>
      </c>
      <c r="Q140" s="4" t="s">
        <v>685</v>
      </c>
    </row>
    <row r="141" spans="6:17" ht="14.25" hidden="1" x14ac:dyDescent="0.2">
      <c r="F141" s="1">
        <v>50162</v>
      </c>
      <c r="G141" s="4">
        <v>162</v>
      </c>
      <c r="H141" s="5" t="s">
        <v>449</v>
      </c>
      <c r="I141" s="5" t="s">
        <v>450</v>
      </c>
      <c r="J141" s="4" t="s">
        <v>451</v>
      </c>
      <c r="K141" s="5" t="s">
        <v>45</v>
      </c>
      <c r="L141" s="4">
        <v>4</v>
      </c>
      <c r="M141" s="4">
        <v>3</v>
      </c>
      <c r="N141" s="4">
        <f t="shared" si="2"/>
        <v>55</v>
      </c>
      <c r="O141" s="4">
        <v>24</v>
      </c>
      <c r="P141" s="5" t="s">
        <v>439</v>
      </c>
      <c r="Q141" s="4" t="s">
        <v>686</v>
      </c>
    </row>
    <row r="142" spans="6:17" ht="14.25" x14ac:dyDescent="0.2">
      <c r="F142" s="1">
        <v>50017</v>
      </c>
      <c r="G142" s="4">
        <v>17</v>
      </c>
      <c r="H142" s="5" t="s">
        <v>53</v>
      </c>
      <c r="I142" s="5" t="s">
        <v>54</v>
      </c>
      <c r="J142" s="4" t="s">
        <v>55</v>
      </c>
      <c r="K142" s="5" t="s">
        <v>45</v>
      </c>
      <c r="L142" s="4">
        <v>5</v>
      </c>
      <c r="M142" s="4">
        <v>3</v>
      </c>
      <c r="N142" s="4">
        <f t="shared" si="2"/>
        <v>32</v>
      </c>
      <c r="O142" s="4">
        <v>37.5</v>
      </c>
      <c r="P142" s="5" t="s">
        <v>15</v>
      </c>
      <c r="Q142" s="4" t="s">
        <v>548</v>
      </c>
    </row>
    <row r="143" spans="6:17" ht="14.25" x14ac:dyDescent="0.2">
      <c r="F143" s="1">
        <v>50033</v>
      </c>
      <c r="G143" s="4">
        <v>33</v>
      </c>
      <c r="H143" s="5" t="s">
        <v>107</v>
      </c>
      <c r="I143" s="5" t="s">
        <v>108</v>
      </c>
      <c r="J143" s="4" t="s">
        <v>104</v>
      </c>
      <c r="K143" s="5" t="s">
        <v>45</v>
      </c>
      <c r="L143" s="4">
        <v>5</v>
      </c>
      <c r="M143" s="4">
        <v>3</v>
      </c>
      <c r="N143" s="4">
        <f t="shared" si="2"/>
        <v>32</v>
      </c>
      <c r="O143" s="4">
        <v>37.5</v>
      </c>
      <c r="P143" s="5" t="s">
        <v>15</v>
      </c>
      <c r="Q143" s="4" t="s">
        <v>564</v>
      </c>
    </row>
    <row r="144" spans="6:17" ht="14.25" x14ac:dyDescent="0.2">
      <c r="F144" s="1">
        <v>50037</v>
      </c>
      <c r="G144" s="4">
        <v>37</v>
      </c>
      <c r="H144" s="5" t="s">
        <v>116</v>
      </c>
      <c r="I144" s="5" t="s">
        <v>115</v>
      </c>
      <c r="J144" s="4" t="s">
        <v>117</v>
      </c>
      <c r="K144" s="5" t="s">
        <v>45</v>
      </c>
      <c r="L144" s="4">
        <v>5</v>
      </c>
      <c r="M144" s="4">
        <v>3</v>
      </c>
      <c r="N144" s="4">
        <f t="shared" si="2"/>
        <v>32</v>
      </c>
      <c r="O144" s="4">
        <v>37.5</v>
      </c>
      <c r="P144" s="5" t="s">
        <v>15</v>
      </c>
      <c r="Q144" s="4" t="s">
        <v>567</v>
      </c>
    </row>
    <row r="145" spans="6:17" ht="14.25" x14ac:dyDescent="0.2">
      <c r="F145" s="1">
        <v>50038</v>
      </c>
      <c r="G145" s="4">
        <v>38</v>
      </c>
      <c r="H145" s="5" t="s">
        <v>118</v>
      </c>
      <c r="I145" s="5" t="s">
        <v>115</v>
      </c>
      <c r="J145" s="4" t="s">
        <v>119</v>
      </c>
      <c r="K145" s="5" t="s">
        <v>45</v>
      </c>
      <c r="L145" s="4">
        <v>5</v>
      </c>
      <c r="M145" s="4">
        <v>3</v>
      </c>
      <c r="N145" s="4">
        <f t="shared" si="2"/>
        <v>32</v>
      </c>
      <c r="O145" s="4">
        <v>37.5</v>
      </c>
      <c r="P145" s="5" t="s">
        <v>15</v>
      </c>
      <c r="Q145" s="4" t="s">
        <v>567</v>
      </c>
    </row>
    <row r="146" spans="6:17" ht="14.25" x14ac:dyDescent="0.2">
      <c r="F146" s="1">
        <v>50039</v>
      </c>
      <c r="G146" s="4">
        <v>39</v>
      </c>
      <c r="H146" s="5" t="s">
        <v>120</v>
      </c>
      <c r="I146" s="5" t="s">
        <v>115</v>
      </c>
      <c r="J146" s="4" t="s">
        <v>121</v>
      </c>
      <c r="K146" s="5" t="s">
        <v>45</v>
      </c>
      <c r="L146" s="4">
        <v>5</v>
      </c>
      <c r="M146" s="4">
        <v>3</v>
      </c>
      <c r="N146" s="4">
        <f t="shared" si="2"/>
        <v>32</v>
      </c>
      <c r="O146" s="4">
        <v>37.5</v>
      </c>
      <c r="P146" s="5" t="s">
        <v>15</v>
      </c>
      <c r="Q146" s="4" t="s">
        <v>567</v>
      </c>
    </row>
    <row r="147" spans="6:17" ht="14.25" x14ac:dyDescent="0.2">
      <c r="F147" s="1">
        <v>50040</v>
      </c>
      <c r="G147" s="4">
        <v>40</v>
      </c>
      <c r="H147" s="5" t="s">
        <v>122</v>
      </c>
      <c r="I147" s="5" t="s">
        <v>115</v>
      </c>
      <c r="J147" s="4" t="s">
        <v>123</v>
      </c>
      <c r="K147" s="5" t="s">
        <v>45</v>
      </c>
      <c r="L147" s="4">
        <v>5</v>
      </c>
      <c r="M147" s="4">
        <v>3</v>
      </c>
      <c r="N147" s="4">
        <f t="shared" si="2"/>
        <v>32</v>
      </c>
      <c r="O147" s="4">
        <v>37.5</v>
      </c>
      <c r="P147" s="5" t="s">
        <v>15</v>
      </c>
      <c r="Q147" s="4" t="s">
        <v>567</v>
      </c>
    </row>
    <row r="148" spans="6:17" ht="14.25" hidden="1" x14ac:dyDescent="0.2">
      <c r="F148" s="1">
        <v>50049</v>
      </c>
      <c r="G148" s="4">
        <v>49</v>
      </c>
      <c r="H148" s="5" t="s">
        <v>143</v>
      </c>
      <c r="I148" s="5" t="s">
        <v>144</v>
      </c>
      <c r="J148" s="4" t="s">
        <v>126</v>
      </c>
      <c r="K148" s="5" t="s">
        <v>140</v>
      </c>
      <c r="L148" s="4">
        <v>5</v>
      </c>
      <c r="M148" s="4">
        <v>3</v>
      </c>
      <c r="N148" s="4">
        <f t="shared" si="2"/>
        <v>32</v>
      </c>
      <c r="O148" s="4">
        <v>37.5</v>
      </c>
      <c r="P148" s="5" t="s">
        <v>128</v>
      </c>
      <c r="Q148" s="4" t="s">
        <v>576</v>
      </c>
    </row>
    <row r="149" spans="6:17" ht="14.25" hidden="1" x14ac:dyDescent="0.2">
      <c r="F149" s="1">
        <v>50060</v>
      </c>
      <c r="G149" s="4">
        <v>60</v>
      </c>
      <c r="H149" s="5" t="s">
        <v>172</v>
      </c>
      <c r="I149" s="5" t="s">
        <v>173</v>
      </c>
      <c r="J149" s="4" t="s">
        <v>174</v>
      </c>
      <c r="K149" s="5" t="s">
        <v>150</v>
      </c>
      <c r="L149" s="4">
        <v>5</v>
      </c>
      <c r="M149" s="4">
        <v>3</v>
      </c>
      <c r="N149" s="4">
        <f t="shared" si="2"/>
        <v>32</v>
      </c>
      <c r="O149" s="4">
        <v>37.5</v>
      </c>
      <c r="P149" s="5" t="s">
        <v>128</v>
      </c>
      <c r="Q149" s="4" t="s">
        <v>587</v>
      </c>
    </row>
    <row r="150" spans="6:17" ht="14.25" hidden="1" x14ac:dyDescent="0.2">
      <c r="F150" s="1">
        <v>50061</v>
      </c>
      <c r="G150" s="4">
        <v>61</v>
      </c>
      <c r="H150" s="5" t="s">
        <v>175</v>
      </c>
      <c r="I150" s="5" t="s">
        <v>176</v>
      </c>
      <c r="J150" s="4" t="s">
        <v>177</v>
      </c>
      <c r="K150" s="5" t="s">
        <v>150</v>
      </c>
      <c r="L150" s="4">
        <v>5</v>
      </c>
      <c r="M150" s="4">
        <v>3</v>
      </c>
      <c r="N150" s="4">
        <f t="shared" si="2"/>
        <v>32</v>
      </c>
      <c r="O150" s="4">
        <v>37.5</v>
      </c>
      <c r="P150" s="5" t="s">
        <v>128</v>
      </c>
      <c r="Q150" s="4" t="s">
        <v>588</v>
      </c>
    </row>
    <row r="151" spans="6:17" ht="14.25" hidden="1" x14ac:dyDescent="0.2">
      <c r="F151" s="1">
        <v>50062</v>
      </c>
      <c r="G151" s="4">
        <v>62</v>
      </c>
      <c r="H151" s="5" t="s">
        <v>178</v>
      </c>
      <c r="I151" s="5" t="s">
        <v>179</v>
      </c>
      <c r="J151" s="4" t="s">
        <v>180</v>
      </c>
      <c r="K151" s="5" t="s">
        <v>150</v>
      </c>
      <c r="L151" s="4">
        <v>5</v>
      </c>
      <c r="M151" s="4">
        <v>3</v>
      </c>
      <c r="N151" s="4">
        <f t="shared" si="2"/>
        <v>32</v>
      </c>
      <c r="O151" s="4">
        <v>37.5</v>
      </c>
      <c r="P151" s="5" t="s">
        <v>128</v>
      </c>
      <c r="Q151" s="4" t="s">
        <v>589</v>
      </c>
    </row>
    <row r="152" spans="6:17" ht="14.25" hidden="1" x14ac:dyDescent="0.2">
      <c r="F152" s="1">
        <v>50068</v>
      </c>
      <c r="G152" s="4">
        <v>68</v>
      </c>
      <c r="H152" s="5" t="s">
        <v>195</v>
      </c>
      <c r="I152" s="5" t="s">
        <v>196</v>
      </c>
      <c r="J152" s="4" t="s">
        <v>197</v>
      </c>
      <c r="K152" s="5" t="s">
        <v>150</v>
      </c>
      <c r="L152" s="4">
        <v>5</v>
      </c>
      <c r="M152" s="4">
        <v>3</v>
      </c>
      <c r="N152" s="4">
        <f t="shared" si="2"/>
        <v>32</v>
      </c>
      <c r="O152" s="4">
        <v>37.5</v>
      </c>
      <c r="P152" s="5" t="s">
        <v>128</v>
      </c>
      <c r="Q152" s="4" t="s">
        <v>595</v>
      </c>
    </row>
    <row r="153" spans="6:17" ht="14.25" hidden="1" x14ac:dyDescent="0.2">
      <c r="F153" s="1">
        <v>50080</v>
      </c>
      <c r="G153" s="4">
        <v>80</v>
      </c>
      <c r="H153" s="5" t="s">
        <v>232</v>
      </c>
      <c r="I153" s="5" t="s">
        <v>233</v>
      </c>
      <c r="J153" s="4" t="s">
        <v>234</v>
      </c>
      <c r="K153" s="5" t="s">
        <v>75</v>
      </c>
      <c r="L153" s="4">
        <v>5</v>
      </c>
      <c r="M153" s="4">
        <v>3</v>
      </c>
      <c r="N153" s="4">
        <f t="shared" si="2"/>
        <v>32</v>
      </c>
      <c r="O153" s="4">
        <v>37.5</v>
      </c>
      <c r="P153" s="5" t="s">
        <v>228</v>
      </c>
      <c r="Q153" s="4" t="s">
        <v>607</v>
      </c>
    </row>
    <row r="154" spans="6:17" ht="14.25" hidden="1" x14ac:dyDescent="0.2">
      <c r="F154" s="1">
        <v>50081</v>
      </c>
      <c r="G154" s="4">
        <v>81</v>
      </c>
      <c r="H154" s="5" t="s">
        <v>235</v>
      </c>
      <c r="I154" s="5" t="s">
        <v>236</v>
      </c>
      <c r="J154" s="4" t="s">
        <v>237</v>
      </c>
      <c r="K154" s="5" t="s">
        <v>67</v>
      </c>
      <c r="L154" s="4">
        <v>5</v>
      </c>
      <c r="M154" s="4">
        <v>3</v>
      </c>
      <c r="N154" s="4">
        <f t="shared" si="2"/>
        <v>32</v>
      </c>
      <c r="O154" s="4">
        <v>37.5</v>
      </c>
      <c r="P154" s="5" t="s">
        <v>228</v>
      </c>
      <c r="Q154" s="4" t="s">
        <v>608</v>
      </c>
    </row>
    <row r="155" spans="6:17" ht="14.25" hidden="1" x14ac:dyDescent="0.2">
      <c r="F155" s="1">
        <v>50082</v>
      </c>
      <c r="G155" s="4">
        <v>82</v>
      </c>
      <c r="H155" s="5" t="s">
        <v>238</v>
      </c>
      <c r="I155" s="5" t="s">
        <v>239</v>
      </c>
      <c r="J155" s="4" t="s">
        <v>240</v>
      </c>
      <c r="K155" s="5" t="s">
        <v>63</v>
      </c>
      <c r="L155" s="4">
        <v>5</v>
      </c>
      <c r="M155" s="4">
        <v>3</v>
      </c>
      <c r="N155" s="4">
        <f t="shared" si="2"/>
        <v>32</v>
      </c>
      <c r="O155" s="4">
        <v>37.5</v>
      </c>
      <c r="P155" s="5" t="s">
        <v>228</v>
      </c>
      <c r="Q155" s="4" t="s">
        <v>609</v>
      </c>
    </row>
    <row r="156" spans="6:17" ht="14.25" hidden="1" x14ac:dyDescent="0.2">
      <c r="F156" s="1">
        <v>50083</v>
      </c>
      <c r="G156" s="4">
        <v>83</v>
      </c>
      <c r="H156" s="5" t="s">
        <v>241</v>
      </c>
      <c r="I156" s="5" t="s">
        <v>242</v>
      </c>
      <c r="J156" s="4" t="s">
        <v>243</v>
      </c>
      <c r="K156" s="5" t="s">
        <v>71</v>
      </c>
      <c r="L156" s="4">
        <v>5</v>
      </c>
      <c r="M156" s="4">
        <v>3</v>
      </c>
      <c r="N156" s="4">
        <f t="shared" si="2"/>
        <v>32</v>
      </c>
      <c r="O156" s="4">
        <v>37.5</v>
      </c>
      <c r="P156" s="5" t="s">
        <v>228</v>
      </c>
      <c r="Q156" s="4" t="s">
        <v>610</v>
      </c>
    </row>
    <row r="157" spans="6:17" ht="14.25" hidden="1" x14ac:dyDescent="0.2">
      <c r="F157" s="1">
        <v>50084</v>
      </c>
      <c r="G157" s="4">
        <v>84</v>
      </c>
      <c r="H157" s="5" t="s">
        <v>244</v>
      </c>
      <c r="I157" s="5" t="s">
        <v>245</v>
      </c>
      <c r="J157" s="4" t="s">
        <v>246</v>
      </c>
      <c r="K157" s="5" t="s">
        <v>79</v>
      </c>
      <c r="L157" s="4">
        <v>5</v>
      </c>
      <c r="M157" s="4">
        <v>3</v>
      </c>
      <c r="N157" s="4">
        <f t="shared" si="2"/>
        <v>32</v>
      </c>
      <c r="O157" s="4">
        <v>37.5</v>
      </c>
      <c r="P157" s="5" t="s">
        <v>228</v>
      </c>
      <c r="Q157" s="4" t="s">
        <v>611</v>
      </c>
    </row>
    <row r="158" spans="6:17" ht="14.25" hidden="1" x14ac:dyDescent="0.2">
      <c r="F158" s="1">
        <v>50085</v>
      </c>
      <c r="G158" s="4">
        <v>85</v>
      </c>
      <c r="H158" s="5" t="s">
        <v>247</v>
      </c>
      <c r="I158" s="5" t="s">
        <v>248</v>
      </c>
      <c r="J158" s="4" t="s">
        <v>249</v>
      </c>
      <c r="K158" s="5" t="s">
        <v>83</v>
      </c>
      <c r="L158" s="4">
        <v>5</v>
      </c>
      <c r="M158" s="4">
        <v>3</v>
      </c>
      <c r="N158" s="4">
        <f t="shared" si="2"/>
        <v>32</v>
      </c>
      <c r="O158" s="4">
        <v>37.5</v>
      </c>
      <c r="P158" s="5" t="s">
        <v>228</v>
      </c>
      <c r="Q158" s="4" t="s">
        <v>612</v>
      </c>
    </row>
    <row r="159" spans="6:17" ht="14.25" hidden="1" x14ac:dyDescent="0.2">
      <c r="F159" s="1">
        <v>50086</v>
      </c>
      <c r="G159" s="4">
        <v>86</v>
      </c>
      <c r="H159" s="5" t="s">
        <v>250</v>
      </c>
      <c r="I159" s="5" t="s">
        <v>251</v>
      </c>
      <c r="J159" s="4" t="s">
        <v>227</v>
      </c>
      <c r="K159" s="5" t="s">
        <v>59</v>
      </c>
      <c r="L159" s="4">
        <v>5</v>
      </c>
      <c r="M159" s="4">
        <v>3</v>
      </c>
      <c r="N159" s="4">
        <f t="shared" si="2"/>
        <v>32</v>
      </c>
      <c r="O159" s="4">
        <v>37.5</v>
      </c>
      <c r="P159" s="5" t="s">
        <v>228</v>
      </c>
      <c r="Q159" s="4" t="s">
        <v>613</v>
      </c>
    </row>
    <row r="160" spans="6:17" ht="14.25" hidden="1" x14ac:dyDescent="0.2">
      <c r="F160" s="1">
        <v>50125</v>
      </c>
      <c r="G160" s="4">
        <v>125</v>
      </c>
      <c r="H160" s="5" t="s">
        <v>352</v>
      </c>
      <c r="I160" s="5" t="s">
        <v>353</v>
      </c>
      <c r="J160" s="4" t="s">
        <v>351</v>
      </c>
      <c r="K160" s="5" t="s">
        <v>45</v>
      </c>
      <c r="L160" s="4">
        <v>5</v>
      </c>
      <c r="M160" s="4">
        <v>3</v>
      </c>
      <c r="N160" s="4">
        <f t="shared" si="2"/>
        <v>32</v>
      </c>
      <c r="O160" s="4">
        <v>37.5</v>
      </c>
      <c r="P160" s="5" t="s">
        <v>228</v>
      </c>
      <c r="Q160" s="4" t="s">
        <v>652</v>
      </c>
    </row>
    <row r="161" spans="6:17" ht="14.25" hidden="1" x14ac:dyDescent="0.2">
      <c r="F161" s="1">
        <v>50127</v>
      </c>
      <c r="G161" s="4">
        <v>127</v>
      </c>
      <c r="H161" s="5" t="s">
        <v>357</v>
      </c>
      <c r="I161" s="5" t="s">
        <v>358</v>
      </c>
      <c r="J161" s="4" t="s">
        <v>345</v>
      </c>
      <c r="K161" s="5" t="s">
        <v>45</v>
      </c>
      <c r="L161" s="4">
        <v>5</v>
      </c>
      <c r="M161" s="4">
        <v>3</v>
      </c>
      <c r="N161" s="4">
        <f t="shared" si="2"/>
        <v>32</v>
      </c>
      <c r="O161" s="4">
        <v>37.5</v>
      </c>
      <c r="P161" s="5" t="s">
        <v>228</v>
      </c>
      <c r="Q161" s="4" t="s">
        <v>654</v>
      </c>
    </row>
    <row r="162" spans="6:17" ht="14.25" hidden="1" x14ac:dyDescent="0.2">
      <c r="F162" s="1">
        <v>50130</v>
      </c>
      <c r="G162" s="4">
        <v>130</v>
      </c>
      <c r="H162" s="5" t="s">
        <v>364</v>
      </c>
      <c r="I162" s="5" t="s">
        <v>365</v>
      </c>
      <c r="J162" s="4" t="s">
        <v>363</v>
      </c>
      <c r="K162" s="5" t="s">
        <v>45</v>
      </c>
      <c r="L162" s="4">
        <v>5</v>
      </c>
      <c r="M162" s="4">
        <v>3</v>
      </c>
      <c r="N162" s="4">
        <f t="shared" si="2"/>
        <v>32</v>
      </c>
      <c r="O162" s="4">
        <v>37.5</v>
      </c>
      <c r="P162" s="5" t="s">
        <v>228</v>
      </c>
      <c r="Q162" s="4" t="s">
        <v>657</v>
      </c>
    </row>
    <row r="163" spans="6:17" ht="14.25" hidden="1" x14ac:dyDescent="0.2">
      <c r="F163" s="1">
        <v>50163</v>
      </c>
      <c r="G163" s="4">
        <v>163</v>
      </c>
      <c r="H163" s="5" t="s">
        <v>452</v>
      </c>
      <c r="I163" s="5" t="s">
        <v>453</v>
      </c>
      <c r="J163" s="4" t="s">
        <v>454</v>
      </c>
      <c r="K163" s="5" t="s">
        <v>45</v>
      </c>
      <c r="L163" s="4">
        <v>5</v>
      </c>
      <c r="M163" s="4">
        <v>3</v>
      </c>
      <c r="N163" s="4">
        <f t="shared" si="2"/>
        <v>32</v>
      </c>
      <c r="O163" s="4">
        <v>37.5</v>
      </c>
      <c r="P163" s="5" t="s">
        <v>439</v>
      </c>
      <c r="Q163" s="4" t="s">
        <v>687</v>
      </c>
    </row>
    <row r="164" spans="6:17" ht="14.25" hidden="1" x14ac:dyDescent="0.2">
      <c r="F164" s="1">
        <v>50164</v>
      </c>
      <c r="G164" s="4">
        <v>164</v>
      </c>
      <c r="H164" s="5" t="s">
        <v>455</v>
      </c>
      <c r="I164" s="5" t="s">
        <v>456</v>
      </c>
      <c r="J164" s="4" t="s">
        <v>457</v>
      </c>
      <c r="K164" s="5" t="s">
        <v>45</v>
      </c>
      <c r="L164" s="4">
        <v>5</v>
      </c>
      <c r="M164" s="4">
        <v>3</v>
      </c>
      <c r="N164" s="4">
        <f t="shared" si="2"/>
        <v>32</v>
      </c>
      <c r="O164" s="4">
        <v>37.5</v>
      </c>
      <c r="P164" s="5" t="s">
        <v>439</v>
      </c>
      <c r="Q164" s="4" t="s">
        <v>688</v>
      </c>
    </row>
    <row r="165" spans="6:17" ht="14.25" hidden="1" x14ac:dyDescent="0.2">
      <c r="F165" s="1">
        <v>50165</v>
      </c>
      <c r="G165" s="4">
        <v>165</v>
      </c>
      <c r="H165" s="5" t="s">
        <v>458</v>
      </c>
      <c r="I165" s="5" t="s">
        <v>459</v>
      </c>
      <c r="J165" s="4" t="s">
        <v>460</v>
      </c>
      <c r="K165" s="5" t="s">
        <v>45</v>
      </c>
      <c r="L165" s="4">
        <v>5</v>
      </c>
      <c r="M165" s="4">
        <v>3</v>
      </c>
      <c r="N165" s="4">
        <f t="shared" si="2"/>
        <v>32</v>
      </c>
      <c r="O165" s="4">
        <v>37.5</v>
      </c>
      <c r="P165" s="5" t="s">
        <v>439</v>
      </c>
      <c r="Q165" s="4" t="s">
        <v>689</v>
      </c>
    </row>
    <row r="166" spans="6:17" ht="14.25" hidden="1" x14ac:dyDescent="0.2">
      <c r="F166" s="1">
        <v>50166</v>
      </c>
      <c r="G166" s="4">
        <v>166</v>
      </c>
      <c r="H166" s="5" t="s">
        <v>461</v>
      </c>
      <c r="I166" s="5" t="s">
        <v>462</v>
      </c>
      <c r="J166" s="4" t="s">
        <v>460</v>
      </c>
      <c r="K166" s="5" t="s">
        <v>45</v>
      </c>
      <c r="L166" s="4">
        <v>5</v>
      </c>
      <c r="M166" s="4">
        <v>3</v>
      </c>
      <c r="N166" s="4">
        <f t="shared" si="2"/>
        <v>32</v>
      </c>
      <c r="O166" s="4">
        <v>37.5</v>
      </c>
      <c r="P166" s="5" t="s">
        <v>439</v>
      </c>
      <c r="Q166" s="4" t="s">
        <v>690</v>
      </c>
    </row>
    <row r="167" spans="6:17" ht="14.25" hidden="1" x14ac:dyDescent="0.2">
      <c r="F167" s="1">
        <v>50170</v>
      </c>
      <c r="G167" s="4">
        <v>170</v>
      </c>
      <c r="H167" s="5" t="s">
        <v>470</v>
      </c>
      <c r="I167" s="5" t="s">
        <v>466</v>
      </c>
      <c r="J167" s="4" t="s">
        <v>471</v>
      </c>
      <c r="K167" s="5" t="s">
        <v>45</v>
      </c>
      <c r="L167" s="4">
        <v>5</v>
      </c>
      <c r="M167" s="4">
        <v>3</v>
      </c>
      <c r="N167" s="4">
        <f t="shared" si="2"/>
        <v>32</v>
      </c>
      <c r="O167" s="4">
        <v>37.5</v>
      </c>
      <c r="P167" s="5" t="s">
        <v>128</v>
      </c>
      <c r="Q167" s="4" t="s">
        <v>692</v>
      </c>
    </row>
    <row r="168" spans="6:17" ht="14.25" hidden="1" x14ac:dyDescent="0.2">
      <c r="F168" s="1">
        <v>50177</v>
      </c>
      <c r="G168" s="4">
        <v>177</v>
      </c>
      <c r="H168" s="5" t="s">
        <v>490</v>
      </c>
      <c r="I168" s="5" t="s">
        <v>491</v>
      </c>
      <c r="J168" s="4" t="s">
        <v>492</v>
      </c>
      <c r="K168" s="5" t="s">
        <v>45</v>
      </c>
      <c r="L168" s="4">
        <v>5</v>
      </c>
      <c r="M168" s="4">
        <v>3</v>
      </c>
      <c r="N168" s="4">
        <f t="shared" si="2"/>
        <v>32</v>
      </c>
      <c r="O168" s="4">
        <v>37.5</v>
      </c>
      <c r="P168" s="5" t="s">
        <v>439</v>
      </c>
      <c r="Q168" s="4" t="s">
        <v>699</v>
      </c>
    </row>
    <row r="169" spans="6:17" ht="14.25" hidden="1" x14ac:dyDescent="0.2">
      <c r="F169" s="1">
        <v>50178</v>
      </c>
      <c r="G169" s="4">
        <v>178</v>
      </c>
      <c r="H169" s="5" t="s">
        <v>493</v>
      </c>
      <c r="I169" s="5" t="s">
        <v>494</v>
      </c>
      <c r="J169" s="4" t="s">
        <v>495</v>
      </c>
      <c r="K169" s="5" t="s">
        <v>45</v>
      </c>
      <c r="L169" s="4">
        <v>5</v>
      </c>
      <c r="M169" s="4">
        <v>3</v>
      </c>
      <c r="N169" s="4">
        <f t="shared" si="2"/>
        <v>32</v>
      </c>
      <c r="O169" s="4">
        <v>37.5</v>
      </c>
      <c r="P169" s="5" t="s">
        <v>439</v>
      </c>
      <c r="Q169" s="4" t="s">
        <v>700</v>
      </c>
    </row>
    <row r="170" spans="6:17" ht="14.25" hidden="1" x14ac:dyDescent="0.2">
      <c r="F170" s="1">
        <v>50179</v>
      </c>
      <c r="G170" s="4">
        <v>179</v>
      </c>
      <c r="H170" s="5" t="s">
        <v>496</v>
      </c>
      <c r="I170" s="5" t="s">
        <v>497</v>
      </c>
      <c r="J170" s="4" t="s">
        <v>498</v>
      </c>
      <c r="K170" s="5" t="s">
        <v>45</v>
      </c>
      <c r="L170" s="4">
        <v>5</v>
      </c>
      <c r="M170" s="4">
        <v>3</v>
      </c>
      <c r="N170" s="4">
        <f t="shared" si="2"/>
        <v>32</v>
      </c>
      <c r="O170" s="4">
        <v>37.5</v>
      </c>
      <c r="P170" s="5" t="s">
        <v>439</v>
      </c>
      <c r="Q170" s="4" t="s">
        <v>701</v>
      </c>
    </row>
    <row r="171" spans="6:17" ht="14.25" hidden="1" x14ac:dyDescent="0.2">
      <c r="F171" s="1">
        <v>50180</v>
      </c>
      <c r="G171" s="4">
        <v>180</v>
      </c>
      <c r="H171" s="5" t="s">
        <v>499</v>
      </c>
      <c r="I171" s="5" t="s">
        <v>500</v>
      </c>
      <c r="J171" s="4" t="s">
        <v>501</v>
      </c>
      <c r="K171" s="5" t="s">
        <v>45</v>
      </c>
      <c r="L171" s="4">
        <v>5</v>
      </c>
      <c r="M171" s="4">
        <v>3</v>
      </c>
      <c r="N171" s="4">
        <f t="shared" si="2"/>
        <v>32</v>
      </c>
      <c r="O171" s="4">
        <v>37.5</v>
      </c>
      <c r="P171" s="5" t="s">
        <v>439</v>
      </c>
      <c r="Q171" s="4" t="s">
        <v>702</v>
      </c>
    </row>
    <row r="172" spans="6:17" ht="14.25" hidden="1" x14ac:dyDescent="0.2">
      <c r="F172" s="1">
        <v>50188</v>
      </c>
      <c r="G172" s="4">
        <v>188</v>
      </c>
      <c r="H172" s="5" t="s">
        <v>523</v>
      </c>
      <c r="I172" s="5" t="s">
        <v>524</v>
      </c>
      <c r="J172" s="4" t="s">
        <v>525</v>
      </c>
      <c r="K172" s="5" t="s">
        <v>45</v>
      </c>
      <c r="L172" s="4">
        <v>5</v>
      </c>
      <c r="M172" s="4">
        <v>3</v>
      </c>
      <c r="N172" s="4">
        <f t="shared" si="2"/>
        <v>32</v>
      </c>
      <c r="O172" s="4">
        <v>37.5</v>
      </c>
      <c r="P172" s="5" t="s">
        <v>128</v>
      </c>
      <c r="Q172" s="4" t="s">
        <v>710</v>
      </c>
    </row>
    <row r="173" spans="6:17" ht="14.25" hidden="1" x14ac:dyDescent="0.2">
      <c r="F173" s="1">
        <v>50131</v>
      </c>
      <c r="G173" s="4">
        <v>131</v>
      </c>
      <c r="H173" s="5" t="s">
        <v>366</v>
      </c>
      <c r="I173" s="5" t="s">
        <v>367</v>
      </c>
      <c r="J173" s="4" t="s">
        <v>368</v>
      </c>
      <c r="K173" s="5" t="s">
        <v>45</v>
      </c>
      <c r="L173" s="4">
        <v>6</v>
      </c>
      <c r="M173" s="4">
        <v>4</v>
      </c>
      <c r="N173" s="4">
        <f t="shared" si="2"/>
        <v>15</v>
      </c>
      <c r="O173" s="4">
        <v>54</v>
      </c>
      <c r="P173" s="5" t="s">
        <v>228</v>
      </c>
      <c r="Q173" s="4" t="s">
        <v>658</v>
      </c>
    </row>
    <row r="174" spans="6:17" ht="14.25" hidden="1" x14ac:dyDescent="0.2">
      <c r="F174" s="1">
        <v>50132</v>
      </c>
      <c r="G174" s="4">
        <v>132</v>
      </c>
      <c r="H174" s="5" t="s">
        <v>369</v>
      </c>
      <c r="I174" s="5" t="s">
        <v>367</v>
      </c>
      <c r="J174" s="4" t="s">
        <v>370</v>
      </c>
      <c r="K174" s="5" t="s">
        <v>45</v>
      </c>
      <c r="L174" s="4">
        <v>6</v>
      </c>
      <c r="M174" s="4">
        <v>4</v>
      </c>
      <c r="N174" s="4">
        <f t="shared" si="2"/>
        <v>15</v>
      </c>
      <c r="O174" s="4">
        <v>54</v>
      </c>
      <c r="P174" s="5" t="s">
        <v>228</v>
      </c>
      <c r="Q174" s="4" t="s">
        <v>658</v>
      </c>
    </row>
    <row r="175" spans="6:17" ht="14.25" hidden="1" x14ac:dyDescent="0.2">
      <c r="F175" s="1">
        <v>50133</v>
      </c>
      <c r="G175" s="4">
        <v>133</v>
      </c>
      <c r="H175" s="5" t="s">
        <v>371</v>
      </c>
      <c r="I175" s="5" t="s">
        <v>367</v>
      </c>
      <c r="J175" s="4" t="s">
        <v>356</v>
      </c>
      <c r="K175" s="5" t="s">
        <v>45</v>
      </c>
      <c r="L175" s="4">
        <v>6</v>
      </c>
      <c r="M175" s="4">
        <v>4</v>
      </c>
      <c r="N175" s="4">
        <f t="shared" si="2"/>
        <v>15</v>
      </c>
      <c r="O175" s="4">
        <v>54</v>
      </c>
      <c r="P175" s="5" t="s">
        <v>228</v>
      </c>
      <c r="Q175" s="4" t="s">
        <v>658</v>
      </c>
    </row>
    <row r="176" spans="6:17" ht="14.25" hidden="1" x14ac:dyDescent="0.2">
      <c r="F176" s="1">
        <v>50134</v>
      </c>
      <c r="G176" s="4">
        <v>134</v>
      </c>
      <c r="H176" s="5" t="s">
        <v>372</v>
      </c>
      <c r="I176" s="5" t="s">
        <v>367</v>
      </c>
      <c r="J176" s="4" t="s">
        <v>373</v>
      </c>
      <c r="K176" s="5" t="s">
        <v>45</v>
      </c>
      <c r="L176" s="4">
        <v>6</v>
      </c>
      <c r="M176" s="4">
        <v>4</v>
      </c>
      <c r="N176" s="4">
        <f t="shared" si="2"/>
        <v>15</v>
      </c>
      <c r="O176" s="4">
        <v>54</v>
      </c>
      <c r="P176" s="5" t="s">
        <v>228</v>
      </c>
      <c r="Q176" s="4" t="s">
        <v>658</v>
      </c>
    </row>
    <row r="177" spans="6:17" ht="14.25" x14ac:dyDescent="0.2">
      <c r="F177" s="1">
        <v>50034</v>
      </c>
      <c r="G177" s="4">
        <v>34</v>
      </c>
      <c r="H177" s="5" t="s">
        <v>109</v>
      </c>
      <c r="I177" s="5" t="s">
        <v>110</v>
      </c>
      <c r="J177" s="4" t="s">
        <v>104</v>
      </c>
      <c r="K177" s="5" t="s">
        <v>45</v>
      </c>
      <c r="L177" s="4">
        <v>7</v>
      </c>
      <c r="M177" s="4">
        <v>4</v>
      </c>
      <c r="N177" s="4">
        <f t="shared" si="2"/>
        <v>5</v>
      </c>
      <c r="O177" s="4">
        <v>73.5</v>
      </c>
      <c r="P177" s="5" t="s">
        <v>15</v>
      </c>
      <c r="Q177" s="4" t="s">
        <v>565</v>
      </c>
    </row>
    <row r="178" spans="6:17" ht="14.25" hidden="1" x14ac:dyDescent="0.2">
      <c r="F178" s="1">
        <v>50050</v>
      </c>
      <c r="G178" s="4">
        <v>50</v>
      </c>
      <c r="H178" s="5" t="s">
        <v>145</v>
      </c>
      <c r="I178" s="5" t="s">
        <v>146</v>
      </c>
      <c r="J178" s="4" t="s">
        <v>126</v>
      </c>
      <c r="K178" s="5" t="s">
        <v>140</v>
      </c>
      <c r="L178" s="4">
        <v>7</v>
      </c>
      <c r="M178" s="4">
        <v>4</v>
      </c>
      <c r="N178" s="4">
        <f t="shared" si="2"/>
        <v>5</v>
      </c>
      <c r="O178" s="4">
        <v>73.5</v>
      </c>
      <c r="P178" s="5" t="s">
        <v>128</v>
      </c>
      <c r="Q178" s="4" t="s">
        <v>577</v>
      </c>
    </row>
    <row r="179" spans="6:17" ht="14.25" hidden="1" x14ac:dyDescent="0.2">
      <c r="F179" s="1">
        <v>50059</v>
      </c>
      <c r="G179" s="4">
        <v>59</v>
      </c>
      <c r="H179" s="5" t="s">
        <v>169</v>
      </c>
      <c r="I179" s="5" t="s">
        <v>170</v>
      </c>
      <c r="J179" s="4" t="s">
        <v>171</v>
      </c>
      <c r="K179" s="5" t="s">
        <v>150</v>
      </c>
      <c r="L179" s="4">
        <v>7</v>
      </c>
      <c r="M179" s="4">
        <v>4</v>
      </c>
      <c r="N179" s="4">
        <f t="shared" si="2"/>
        <v>5</v>
      </c>
      <c r="O179" s="4">
        <v>73.5</v>
      </c>
      <c r="P179" s="5" t="s">
        <v>128</v>
      </c>
      <c r="Q179" s="4" t="s">
        <v>586</v>
      </c>
    </row>
    <row r="180" spans="6:17" ht="14.25" hidden="1" x14ac:dyDescent="0.2">
      <c r="F180" s="1">
        <v>50109</v>
      </c>
      <c r="G180" s="4">
        <v>109</v>
      </c>
      <c r="H180" s="5" t="s">
        <v>311</v>
      </c>
      <c r="I180" s="5" t="s">
        <v>312</v>
      </c>
      <c r="J180" s="4" t="s">
        <v>313</v>
      </c>
      <c r="K180" s="5" t="s">
        <v>45</v>
      </c>
      <c r="L180" s="4">
        <v>7</v>
      </c>
      <c r="M180" s="4">
        <v>4</v>
      </c>
      <c r="N180" s="4">
        <f t="shared" si="2"/>
        <v>5</v>
      </c>
      <c r="O180" s="4">
        <v>73.5</v>
      </c>
      <c r="P180" s="5" t="s">
        <v>228</v>
      </c>
      <c r="Q180" s="4" t="s">
        <v>636</v>
      </c>
    </row>
    <row r="181" spans="6:17" ht="14.25" hidden="1" x14ac:dyDescent="0.2">
      <c r="F181" s="1">
        <v>50123</v>
      </c>
      <c r="G181" s="4">
        <v>123</v>
      </c>
      <c r="H181" s="5" t="s">
        <v>346</v>
      </c>
      <c r="I181" s="5" t="s">
        <v>347</v>
      </c>
      <c r="J181" s="4" t="s">
        <v>348</v>
      </c>
      <c r="K181" s="5" t="s">
        <v>45</v>
      </c>
      <c r="L181" s="4">
        <v>7</v>
      </c>
      <c r="M181" s="4">
        <v>4</v>
      </c>
      <c r="N181" s="4">
        <f t="shared" si="2"/>
        <v>5</v>
      </c>
      <c r="O181" s="4">
        <v>73.5</v>
      </c>
      <c r="P181" s="5" t="s">
        <v>228</v>
      </c>
      <c r="Q181" s="4" t="s">
        <v>650</v>
      </c>
    </row>
    <row r="182" spans="6:17" ht="14.25" hidden="1" x14ac:dyDescent="0.2">
      <c r="F182" s="1">
        <v>50167</v>
      </c>
      <c r="G182" s="4">
        <v>167</v>
      </c>
      <c r="H182" s="5" t="s">
        <v>463</v>
      </c>
      <c r="I182" s="5" t="s">
        <v>464</v>
      </c>
      <c r="J182" s="4" t="s">
        <v>454</v>
      </c>
      <c r="K182" s="5" t="s">
        <v>45</v>
      </c>
      <c r="L182" s="4">
        <v>7</v>
      </c>
      <c r="M182" s="4">
        <v>4</v>
      </c>
      <c r="N182" s="4">
        <f t="shared" si="2"/>
        <v>5</v>
      </c>
      <c r="O182" s="4">
        <v>73.5</v>
      </c>
      <c r="P182" s="5" t="s">
        <v>439</v>
      </c>
      <c r="Q182" s="4" t="s">
        <v>691</v>
      </c>
    </row>
    <row r="183" spans="6:17" ht="14.25" hidden="1" x14ac:dyDescent="0.2">
      <c r="F183" s="1">
        <v>50181</v>
      </c>
      <c r="G183" s="4">
        <v>181</v>
      </c>
      <c r="H183" s="5" t="s">
        <v>502</v>
      </c>
      <c r="I183" s="5" t="s">
        <v>503</v>
      </c>
      <c r="J183" s="4" t="s">
        <v>504</v>
      </c>
      <c r="K183" s="5" t="s">
        <v>45</v>
      </c>
      <c r="L183" s="4">
        <v>7</v>
      </c>
      <c r="M183" s="4">
        <v>4</v>
      </c>
      <c r="N183" s="4">
        <f t="shared" si="2"/>
        <v>5</v>
      </c>
      <c r="O183" s="4">
        <v>73.5</v>
      </c>
      <c r="P183" s="5" t="s">
        <v>439</v>
      </c>
      <c r="Q183" s="4" t="s">
        <v>703</v>
      </c>
    </row>
    <row r="184" spans="6:17" ht="14.25" hidden="1" x14ac:dyDescent="0.2">
      <c r="F184" s="1">
        <v>50182</v>
      </c>
      <c r="G184" s="4">
        <v>182</v>
      </c>
      <c r="H184" s="5" t="s">
        <v>505</v>
      </c>
      <c r="I184" s="5" t="s">
        <v>506</v>
      </c>
      <c r="J184" s="4" t="s">
        <v>507</v>
      </c>
      <c r="K184" s="5" t="s">
        <v>45</v>
      </c>
      <c r="L184" s="4">
        <v>7</v>
      </c>
      <c r="M184" s="4">
        <v>4</v>
      </c>
      <c r="N184" s="4">
        <f t="shared" si="2"/>
        <v>5</v>
      </c>
      <c r="O184" s="4">
        <v>73.5</v>
      </c>
      <c r="P184" s="5" t="s">
        <v>439</v>
      </c>
      <c r="Q184" s="4" t="s">
        <v>704</v>
      </c>
    </row>
    <row r="185" spans="6:17" ht="14.25" hidden="1" x14ac:dyDescent="0.2">
      <c r="F185" s="1">
        <v>50183</v>
      </c>
      <c r="G185" s="4">
        <v>183</v>
      </c>
      <c r="H185" s="5" t="s">
        <v>508</v>
      </c>
      <c r="I185" s="5" t="s">
        <v>509</v>
      </c>
      <c r="J185" s="4" t="s">
        <v>510</v>
      </c>
      <c r="K185" s="5" t="s">
        <v>45</v>
      </c>
      <c r="L185" s="4">
        <v>7</v>
      </c>
      <c r="M185" s="4">
        <v>4</v>
      </c>
      <c r="N185" s="4">
        <f t="shared" si="2"/>
        <v>5</v>
      </c>
      <c r="O185" s="4">
        <v>73.5</v>
      </c>
      <c r="P185" s="5" t="s">
        <v>439</v>
      </c>
      <c r="Q185" s="4" t="s">
        <v>705</v>
      </c>
    </row>
    <row r="186" spans="6:17" ht="14.25" hidden="1" x14ac:dyDescent="0.2">
      <c r="F186" s="1">
        <v>50184</v>
      </c>
      <c r="G186" s="4">
        <v>184</v>
      </c>
      <c r="H186" s="5" t="s">
        <v>511</v>
      </c>
      <c r="I186" s="5" t="s">
        <v>512</v>
      </c>
      <c r="J186" s="4" t="s">
        <v>513</v>
      </c>
      <c r="K186" s="5" t="s">
        <v>45</v>
      </c>
      <c r="L186" s="4">
        <v>7</v>
      </c>
      <c r="M186" s="4">
        <v>4</v>
      </c>
      <c r="N186" s="4">
        <f t="shared" si="2"/>
        <v>5</v>
      </c>
      <c r="O186" s="4">
        <v>73.5</v>
      </c>
      <c r="P186" s="5" t="s">
        <v>439</v>
      </c>
      <c r="Q186" s="4" t="s">
        <v>706</v>
      </c>
    </row>
    <row r="187" spans="6:17" ht="14.25" hidden="1" x14ac:dyDescent="0.2">
      <c r="F187" s="1">
        <v>50185</v>
      </c>
      <c r="G187" s="4">
        <v>185</v>
      </c>
      <c r="H187" s="5" t="s">
        <v>514</v>
      </c>
      <c r="I187" s="5" t="s">
        <v>515</v>
      </c>
      <c r="J187" s="4" t="s">
        <v>516</v>
      </c>
      <c r="K187" s="5" t="s">
        <v>45</v>
      </c>
      <c r="L187" s="4">
        <v>7</v>
      </c>
      <c r="M187" s="4">
        <v>4</v>
      </c>
      <c r="N187" s="4">
        <f t="shared" si="2"/>
        <v>5</v>
      </c>
      <c r="O187" s="4">
        <v>73.5</v>
      </c>
      <c r="P187" s="5" t="s">
        <v>439</v>
      </c>
      <c r="Q187" s="4" t="s">
        <v>707</v>
      </c>
    </row>
    <row r="188" spans="6:17" ht="14.25" hidden="1" x14ac:dyDescent="0.2">
      <c r="F188" s="1">
        <v>50071</v>
      </c>
      <c r="G188" s="4">
        <v>71</v>
      </c>
      <c r="H188" s="5" t="s">
        <v>204</v>
      </c>
      <c r="I188" s="5" t="s">
        <v>205</v>
      </c>
      <c r="J188" s="4" t="s">
        <v>206</v>
      </c>
      <c r="K188" s="5" t="s">
        <v>63</v>
      </c>
      <c r="L188" s="4">
        <v>8</v>
      </c>
      <c r="M188" s="4">
        <v>4</v>
      </c>
      <c r="N188" s="4">
        <f t="shared" si="2"/>
        <v>1</v>
      </c>
      <c r="O188" s="4">
        <v>96</v>
      </c>
      <c r="P188" s="5" t="s">
        <v>128</v>
      </c>
      <c r="Q188" s="4" t="s">
        <v>598</v>
      </c>
    </row>
    <row r="189" spans="6:17" ht="14.25" hidden="1" x14ac:dyDescent="0.2">
      <c r="F189" s="1">
        <v>50072</v>
      </c>
      <c r="G189" s="4">
        <v>72</v>
      </c>
      <c r="H189" s="5" t="s">
        <v>207</v>
      </c>
      <c r="I189" s="5" t="s">
        <v>208</v>
      </c>
      <c r="J189" s="4" t="s">
        <v>209</v>
      </c>
      <c r="K189" s="5" t="s">
        <v>67</v>
      </c>
      <c r="L189" s="4">
        <v>8</v>
      </c>
      <c r="M189" s="4">
        <v>4</v>
      </c>
      <c r="N189" s="4">
        <f t="shared" si="2"/>
        <v>1</v>
      </c>
      <c r="O189" s="4">
        <v>96</v>
      </c>
      <c r="P189" s="5" t="s">
        <v>128</v>
      </c>
      <c r="Q189" s="4" t="s">
        <v>599</v>
      </c>
    </row>
    <row r="190" spans="6:17" ht="14.25" hidden="1" x14ac:dyDescent="0.2">
      <c r="F190" s="1">
        <v>50073</v>
      </c>
      <c r="G190" s="4">
        <v>73</v>
      </c>
      <c r="H190" s="5" t="s">
        <v>210</v>
      </c>
      <c r="I190" s="5" t="s">
        <v>211</v>
      </c>
      <c r="J190" s="4" t="s">
        <v>212</v>
      </c>
      <c r="K190" s="5" t="s">
        <v>71</v>
      </c>
      <c r="L190" s="4">
        <v>8</v>
      </c>
      <c r="M190" s="4">
        <v>4</v>
      </c>
      <c r="N190" s="4">
        <f t="shared" si="2"/>
        <v>1</v>
      </c>
      <c r="O190" s="4">
        <v>96</v>
      </c>
      <c r="P190" s="5" t="s">
        <v>128</v>
      </c>
      <c r="Q190" s="4" t="s">
        <v>600</v>
      </c>
    </row>
    <row r="191" spans="6:17" ht="14.25" hidden="1" x14ac:dyDescent="0.2">
      <c r="F191" s="1">
        <v>50074</v>
      </c>
      <c r="G191" s="4">
        <v>74</v>
      </c>
      <c r="H191" s="5" t="s">
        <v>213</v>
      </c>
      <c r="I191" s="5" t="s">
        <v>214</v>
      </c>
      <c r="J191" s="4" t="s">
        <v>215</v>
      </c>
      <c r="K191" s="5" t="s">
        <v>75</v>
      </c>
      <c r="L191" s="4">
        <v>8</v>
      </c>
      <c r="M191" s="4">
        <v>4</v>
      </c>
      <c r="N191" s="4">
        <f t="shared" si="2"/>
        <v>1</v>
      </c>
      <c r="O191" s="4">
        <v>96</v>
      </c>
      <c r="P191" s="5" t="s">
        <v>128</v>
      </c>
      <c r="Q191" s="4" t="s">
        <v>601</v>
      </c>
    </row>
    <row r="192" spans="6:17" ht="14.25" hidden="1" x14ac:dyDescent="0.2">
      <c r="F192" s="1">
        <v>50075</v>
      </c>
      <c r="G192" s="4">
        <v>75</v>
      </c>
      <c r="H192" s="5" t="s">
        <v>216</v>
      </c>
      <c r="I192" s="5" t="s">
        <v>217</v>
      </c>
      <c r="J192" s="4" t="s">
        <v>218</v>
      </c>
      <c r="K192" s="5" t="s">
        <v>79</v>
      </c>
      <c r="L192" s="4">
        <v>8</v>
      </c>
      <c r="M192" s="4">
        <v>4</v>
      </c>
      <c r="N192" s="4">
        <f t="shared" si="2"/>
        <v>1</v>
      </c>
      <c r="O192" s="4">
        <v>96</v>
      </c>
      <c r="P192" s="5" t="s">
        <v>128</v>
      </c>
      <c r="Q192" s="4" t="s">
        <v>602</v>
      </c>
    </row>
    <row r="193" spans="6:17" ht="14.25" hidden="1" x14ac:dyDescent="0.2">
      <c r="F193" s="1">
        <v>50076</v>
      </c>
      <c r="G193" s="4">
        <v>76</v>
      </c>
      <c r="H193" s="5" t="s">
        <v>219</v>
      </c>
      <c r="I193" s="5" t="s">
        <v>220</v>
      </c>
      <c r="J193" s="4" t="s">
        <v>221</v>
      </c>
      <c r="K193" s="5" t="s">
        <v>83</v>
      </c>
      <c r="L193" s="4">
        <v>8</v>
      </c>
      <c r="M193" s="4">
        <v>4</v>
      </c>
      <c r="N193" s="4">
        <f t="shared" si="2"/>
        <v>1</v>
      </c>
      <c r="O193" s="4">
        <v>96</v>
      </c>
      <c r="P193" s="5" t="s">
        <v>128</v>
      </c>
      <c r="Q193" s="4" t="s">
        <v>603</v>
      </c>
    </row>
    <row r="194" spans="6:17" ht="14.25" hidden="1" x14ac:dyDescent="0.2">
      <c r="F194" s="1">
        <v>50077</v>
      </c>
      <c r="G194" s="4">
        <v>77</v>
      </c>
      <c r="H194" s="5" t="s">
        <v>222</v>
      </c>
      <c r="I194" s="5" t="s">
        <v>223</v>
      </c>
      <c r="J194" s="4" t="s">
        <v>224</v>
      </c>
      <c r="K194" s="5" t="s">
        <v>59</v>
      </c>
      <c r="L194" s="4">
        <v>8</v>
      </c>
      <c r="M194" s="4">
        <v>4</v>
      </c>
      <c r="N194" s="4">
        <f t="shared" si="2"/>
        <v>1</v>
      </c>
      <c r="O194" s="4">
        <v>96</v>
      </c>
      <c r="P194" s="5" t="s">
        <v>128</v>
      </c>
      <c r="Q194" s="4" t="s">
        <v>604</v>
      </c>
    </row>
    <row r="195" spans="6:17" ht="14.25" hidden="1" x14ac:dyDescent="0.2">
      <c r="F195" s="1">
        <v>50186</v>
      </c>
      <c r="G195" s="4">
        <v>186</v>
      </c>
      <c r="H195" s="5" t="s">
        <v>517</v>
      </c>
      <c r="I195" s="5" t="s">
        <v>518</v>
      </c>
      <c r="J195" s="4" t="s">
        <v>519</v>
      </c>
      <c r="K195" s="5" t="s">
        <v>45</v>
      </c>
      <c r="L195" s="4">
        <v>8</v>
      </c>
      <c r="M195" s="4">
        <v>4</v>
      </c>
      <c r="N195" s="4">
        <f t="shared" si="2"/>
        <v>1</v>
      </c>
      <c r="O195" s="4">
        <v>96</v>
      </c>
      <c r="P195" s="5" t="s">
        <v>439</v>
      </c>
      <c r="Q195" s="4" t="s">
        <v>708</v>
      </c>
    </row>
    <row r="196" spans="6:17" ht="14.25" hidden="1" x14ac:dyDescent="0.2">
      <c r="F196" s="1">
        <v>50190</v>
      </c>
      <c r="G196" s="4">
        <v>190</v>
      </c>
      <c r="H196" s="5" t="s">
        <v>529</v>
      </c>
      <c r="I196" s="5" t="s">
        <v>530</v>
      </c>
      <c r="J196" s="4" t="s">
        <v>531</v>
      </c>
      <c r="K196" s="5" t="s">
        <v>45</v>
      </c>
      <c r="L196" s="4">
        <v>8</v>
      </c>
      <c r="M196" s="4">
        <v>4</v>
      </c>
      <c r="N196" s="4">
        <f t="shared" si="2"/>
        <v>1</v>
      </c>
      <c r="O196" s="4">
        <v>96</v>
      </c>
      <c r="P196" s="5" t="s">
        <v>128</v>
      </c>
      <c r="Q196" s="4" t="s">
        <v>712</v>
      </c>
    </row>
    <row r="197" spans="6:17" ht="14.25" hidden="1" x14ac:dyDescent="0.2">
      <c r="N197" s="4"/>
    </row>
    <row r="198" spans="6:17" ht="14.25" hidden="1" x14ac:dyDescent="0.2">
      <c r="N198" s="4"/>
    </row>
    <row r="199" spans="6:17" ht="14.25" hidden="1" x14ac:dyDescent="0.2">
      <c r="N199" s="4"/>
    </row>
    <row r="200" spans="6:17" ht="14.25" hidden="1" x14ac:dyDescent="0.2">
      <c r="N200" s="4"/>
    </row>
    <row r="201" spans="6:17" ht="14.25" hidden="1" x14ac:dyDescent="0.2">
      <c r="N201" s="4"/>
    </row>
    <row r="202" spans="6:17" ht="14.25" hidden="1" x14ac:dyDescent="0.2">
      <c r="N202" s="4"/>
    </row>
    <row r="203" spans="6:17" ht="14.25" hidden="1" x14ac:dyDescent="0.2">
      <c r="N203" s="4"/>
    </row>
  </sheetData>
  <autoFilter ref="F6:Q203">
    <filterColumn colId="10">
      <filters>
        <filter val="矿物"/>
      </filters>
    </filterColumn>
  </autoFilter>
  <sortState ref="F7:Q196">
    <sortCondition ref="L7:L196"/>
  </sortState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144"/>
  <sheetViews>
    <sheetView topLeftCell="F58" workbookViewId="0">
      <selection activeCell="N71" sqref="N71"/>
    </sheetView>
  </sheetViews>
  <sheetFormatPr defaultRowHeight="12.75" x14ac:dyDescent="0.15"/>
  <cols>
    <col min="1" max="5" width="9" style="7"/>
    <col min="6" max="6" width="12.625" style="7" customWidth="1"/>
    <col min="7" max="10" width="9" style="7"/>
    <col min="11" max="11" width="10" style="7" customWidth="1"/>
    <col min="12" max="16384" width="9" style="7"/>
  </cols>
  <sheetData>
    <row r="1" spans="2:23" s="6" customFormat="1" x14ac:dyDescent="0.15">
      <c r="E1" s="6" t="s">
        <v>713</v>
      </c>
    </row>
    <row r="2" spans="2:23" x14ac:dyDescent="0.15">
      <c r="K2" s="7">
        <v>2</v>
      </c>
      <c r="N2" s="7">
        <v>3</v>
      </c>
      <c r="Q2" s="7">
        <v>5</v>
      </c>
      <c r="T2" s="7">
        <v>8</v>
      </c>
    </row>
    <row r="3" spans="2:23" x14ac:dyDescent="0.15">
      <c r="H3" s="7" t="s">
        <v>714</v>
      </c>
      <c r="K3" s="7" t="s">
        <v>715</v>
      </c>
      <c r="N3" s="7" t="s">
        <v>716</v>
      </c>
      <c r="Q3" s="7" t="s">
        <v>717</v>
      </c>
      <c r="T3" s="7" t="s">
        <v>718</v>
      </c>
    </row>
    <row r="4" spans="2:23" x14ac:dyDescent="0.15">
      <c r="F4" s="7" t="s">
        <v>719</v>
      </c>
      <c r="G4" s="17" t="s">
        <v>721</v>
      </c>
      <c r="H4" s="17" t="s">
        <v>722</v>
      </c>
      <c r="I4" s="17" t="s">
        <v>723</v>
      </c>
      <c r="J4" s="17" t="s">
        <v>724</v>
      </c>
      <c r="K4" s="17" t="s">
        <v>725</v>
      </c>
      <c r="L4" s="17" t="s">
        <v>726</v>
      </c>
      <c r="M4" s="17" t="s">
        <v>727</v>
      </c>
      <c r="N4" s="17" t="s">
        <v>728</v>
      </c>
      <c r="O4" s="17" t="s">
        <v>729</v>
      </c>
      <c r="P4" s="17" t="s">
        <v>730</v>
      </c>
      <c r="Q4" s="17" t="s">
        <v>731</v>
      </c>
      <c r="R4" s="17" t="s">
        <v>732</v>
      </c>
      <c r="S4" s="17" t="s">
        <v>733</v>
      </c>
      <c r="T4" s="17" t="s">
        <v>734</v>
      </c>
      <c r="U4" s="17" t="s">
        <v>735</v>
      </c>
      <c r="V4" s="17" t="s">
        <v>736</v>
      </c>
      <c r="W4" s="7" t="s">
        <v>720</v>
      </c>
    </row>
    <row r="5" spans="2:23" x14ac:dyDescent="0.15">
      <c r="E5" s="7">
        <v>1</v>
      </c>
      <c r="F5" s="9">
        <v>1</v>
      </c>
      <c r="G5" s="8">
        <v>101</v>
      </c>
      <c r="H5" s="8">
        <v>50041</v>
      </c>
      <c r="I5" s="8">
        <v>1</v>
      </c>
      <c r="J5" s="8">
        <f t="shared" ref="J5:J36" si="0">ROUNDUP(VLOOKUP(H5,marking,9,FALSE)*((140*1.5-E5)/(140*1.5)),0)</f>
        <v>181</v>
      </c>
      <c r="K5" s="8">
        <f t="shared" ref="K5:K36" ca="1" si="1">IF(K$2&gt;$F5,VLOOKUP(INT(RAND()*(VLOOKUP($F5,reference1,2,FALSE)-1)+1),test1,4,FALSE),VLOOKUP(INT(RAND()*(19-1)+1),test1,4,FALSE))</f>
        <v>50052</v>
      </c>
      <c r="L5" s="8">
        <v>1</v>
      </c>
      <c r="M5" s="8">
        <f t="shared" ref="M5:M36" ca="1" si="2">ROUNDUP(VLOOKUP(K5,marking,9,FALSE),0)</f>
        <v>181</v>
      </c>
      <c r="N5" s="8">
        <f t="shared" ref="N5:N36" ca="1" si="3">IF(N$2&gt;$F5,VLOOKUP(INT(RAND()*(VLOOKUP($F5,reference1,2,FALSE)-1)+1),test1,4,FALSE),VLOOKUP(INT(RAND()*(26-9)+9),test1,4,FALSE))</f>
        <v>50051</v>
      </c>
      <c r="O5" s="8">
        <v>1</v>
      </c>
      <c r="P5" s="8">
        <f t="shared" ref="P5:P36" ca="1" si="4">ROUNDUP(VLOOKUP(N5,marking,9,FALSE),0)</f>
        <v>181</v>
      </c>
      <c r="Q5" s="8">
        <f t="shared" ref="Q5:Q36" ca="1" si="5">IF(Q$2&gt;$F5,VLOOKUP(INT(RAND()*(VLOOKUP($F5,reference1,2,FALSE)-1)+1),test1,4,FALSE),VLOOKUP(INT(RAND()*(35-26)+26),test1,4,FALSE))</f>
        <v>50045</v>
      </c>
      <c r="R5" s="8">
        <v>1</v>
      </c>
      <c r="S5" s="8">
        <f t="shared" ref="S5:S36" ca="1" si="6">ROUNDUP(VLOOKUP(Q5,marking,9,FALSE),0)</f>
        <v>181</v>
      </c>
      <c r="T5" s="8">
        <f t="shared" ref="T5:T36" ca="1" si="7">IF(T$2&gt;$F5,VLOOKUP(INT(RAND()*(VLOOKUP($F5,reference1,2,FALSE)-1)+1),test1,4,FALSE),VLOOKUP(INT(RAND()*(45-35)+35),test1,4,FALSE))</f>
        <v>50051</v>
      </c>
      <c r="U5" s="8">
        <v>1</v>
      </c>
      <c r="V5" s="8">
        <f t="shared" ref="V5:V36" ca="1" si="8">ROUNDUP(VLOOKUP(T5,marking,9,FALSE),0)</f>
        <v>181</v>
      </c>
      <c r="W5" s="7">
        <f t="shared" ref="W5:W36" ca="1" si="9">(ROUND((VLOOKUP(H5,marking,10,FALSE)*J5+VLOOKUP(K5,marking,10,FALSE)*M5+VLOOKUP(N5,marking,10,FALSE)*P5+VLOOKUP(Q5,marking,10,FALSE)*S5+VLOOKUP(T5,marking,10,FALSE)*V5)/(J5+M5+P5+S5+V5),0))*10</f>
        <v>20</v>
      </c>
    </row>
    <row r="6" spans="2:23" x14ac:dyDescent="0.15">
      <c r="B6" s="7">
        <v>1</v>
      </c>
      <c r="C6" s="7">
        <v>9</v>
      </c>
      <c r="E6" s="7">
        <v>2</v>
      </c>
      <c r="F6" s="9">
        <v>1</v>
      </c>
      <c r="G6" s="8">
        <v>102</v>
      </c>
      <c r="H6" s="8">
        <v>50045</v>
      </c>
      <c r="I6" s="8">
        <v>1</v>
      </c>
      <c r="J6" s="8">
        <f t="shared" si="0"/>
        <v>180</v>
      </c>
      <c r="K6" s="8">
        <f t="shared" ca="1" si="1"/>
        <v>50168</v>
      </c>
      <c r="L6" s="8">
        <v>1</v>
      </c>
      <c r="M6" s="8">
        <f t="shared" ca="1" si="2"/>
        <v>181</v>
      </c>
      <c r="N6" s="8">
        <f t="shared" ca="1" si="3"/>
        <v>50189</v>
      </c>
      <c r="O6" s="8">
        <v>1</v>
      </c>
      <c r="P6" s="8">
        <f t="shared" ca="1" si="4"/>
        <v>181</v>
      </c>
      <c r="Q6" s="8">
        <f t="shared" ca="1" si="5"/>
        <v>50045</v>
      </c>
      <c r="R6" s="8">
        <v>1</v>
      </c>
      <c r="S6" s="8">
        <f t="shared" ca="1" si="6"/>
        <v>181</v>
      </c>
      <c r="T6" s="8">
        <f t="shared" ca="1" si="7"/>
        <v>50168</v>
      </c>
      <c r="U6" s="8">
        <v>1</v>
      </c>
      <c r="V6" s="8">
        <f t="shared" ca="1" si="8"/>
        <v>181</v>
      </c>
      <c r="W6" s="7">
        <f t="shared" ca="1" si="9"/>
        <v>20</v>
      </c>
    </row>
    <row r="7" spans="2:23" x14ac:dyDescent="0.15">
      <c r="B7" s="7">
        <v>2</v>
      </c>
      <c r="C7" s="7">
        <v>19</v>
      </c>
      <c r="E7" s="7">
        <v>3</v>
      </c>
      <c r="F7" s="9">
        <v>1</v>
      </c>
      <c r="G7" s="8">
        <v>103</v>
      </c>
      <c r="H7" s="8">
        <v>50047</v>
      </c>
      <c r="I7" s="8">
        <v>1</v>
      </c>
      <c r="J7" s="8">
        <f t="shared" si="0"/>
        <v>179</v>
      </c>
      <c r="K7" s="8">
        <f t="shared" ca="1" si="1"/>
        <v>50041</v>
      </c>
      <c r="L7" s="8">
        <v>1</v>
      </c>
      <c r="M7" s="8">
        <f t="shared" ca="1" si="2"/>
        <v>181</v>
      </c>
      <c r="N7" s="8">
        <f t="shared" ca="1" si="3"/>
        <v>50045</v>
      </c>
      <c r="O7" s="8">
        <v>1</v>
      </c>
      <c r="P7" s="8">
        <f t="shared" ca="1" si="4"/>
        <v>181</v>
      </c>
      <c r="Q7" s="8">
        <f t="shared" ca="1" si="5"/>
        <v>50189</v>
      </c>
      <c r="R7" s="8">
        <v>1</v>
      </c>
      <c r="S7" s="8">
        <f t="shared" ca="1" si="6"/>
        <v>181</v>
      </c>
      <c r="T7" s="8">
        <f t="shared" ca="1" si="7"/>
        <v>50051</v>
      </c>
      <c r="U7" s="8">
        <v>1</v>
      </c>
      <c r="V7" s="8">
        <f t="shared" ca="1" si="8"/>
        <v>181</v>
      </c>
      <c r="W7" s="7">
        <f t="shared" ca="1" si="9"/>
        <v>20</v>
      </c>
    </row>
    <row r="8" spans="2:23" x14ac:dyDescent="0.15">
      <c r="B8" s="7">
        <v>3</v>
      </c>
      <c r="C8" s="7">
        <v>26</v>
      </c>
      <c r="E8" s="7">
        <v>4</v>
      </c>
      <c r="F8" s="9">
        <v>1</v>
      </c>
      <c r="G8" s="8">
        <v>104</v>
      </c>
      <c r="H8" s="8">
        <v>50051</v>
      </c>
      <c r="I8" s="8">
        <v>1</v>
      </c>
      <c r="J8" s="8">
        <f t="shared" si="0"/>
        <v>178</v>
      </c>
      <c r="K8" s="8">
        <f t="shared" ca="1" si="1"/>
        <v>50168</v>
      </c>
      <c r="L8" s="8">
        <v>1</v>
      </c>
      <c r="M8" s="8">
        <f t="shared" ca="1" si="2"/>
        <v>181</v>
      </c>
      <c r="N8" s="8">
        <f t="shared" ca="1" si="3"/>
        <v>50052</v>
      </c>
      <c r="O8" s="8">
        <v>1</v>
      </c>
      <c r="P8" s="8">
        <f t="shared" ca="1" si="4"/>
        <v>181</v>
      </c>
      <c r="Q8" s="8">
        <f t="shared" ca="1" si="5"/>
        <v>50051</v>
      </c>
      <c r="R8" s="8">
        <v>1</v>
      </c>
      <c r="S8" s="8">
        <f t="shared" ca="1" si="6"/>
        <v>181</v>
      </c>
      <c r="T8" s="8">
        <f t="shared" ca="1" si="7"/>
        <v>50052</v>
      </c>
      <c r="U8" s="8">
        <v>1</v>
      </c>
      <c r="V8" s="8">
        <f t="shared" ca="1" si="8"/>
        <v>181</v>
      </c>
      <c r="W8" s="7">
        <f t="shared" ca="1" si="9"/>
        <v>20</v>
      </c>
    </row>
    <row r="9" spans="2:23" x14ac:dyDescent="0.15">
      <c r="B9" s="7">
        <v>4</v>
      </c>
      <c r="C9" s="7">
        <v>28</v>
      </c>
      <c r="E9" s="7">
        <v>5</v>
      </c>
      <c r="F9" s="9">
        <v>1</v>
      </c>
      <c r="G9" s="8">
        <v>105</v>
      </c>
      <c r="H9" s="8">
        <v>50052</v>
      </c>
      <c r="I9" s="8">
        <v>1</v>
      </c>
      <c r="J9" s="8">
        <f t="shared" si="0"/>
        <v>177</v>
      </c>
      <c r="K9" s="8">
        <f t="shared" ca="1" si="1"/>
        <v>50045</v>
      </c>
      <c r="L9" s="8">
        <v>1</v>
      </c>
      <c r="M9" s="8">
        <f t="shared" ca="1" si="2"/>
        <v>181</v>
      </c>
      <c r="N9" s="8">
        <f t="shared" ca="1" si="3"/>
        <v>50051</v>
      </c>
      <c r="O9" s="8">
        <v>1</v>
      </c>
      <c r="P9" s="8">
        <f t="shared" ca="1" si="4"/>
        <v>181</v>
      </c>
      <c r="Q9" s="8">
        <f t="shared" ca="1" si="5"/>
        <v>50052</v>
      </c>
      <c r="R9" s="8">
        <v>1</v>
      </c>
      <c r="S9" s="8">
        <f t="shared" ca="1" si="6"/>
        <v>181</v>
      </c>
      <c r="T9" s="8">
        <f t="shared" ca="1" si="7"/>
        <v>50168</v>
      </c>
      <c r="U9" s="8">
        <v>1</v>
      </c>
      <c r="V9" s="8">
        <f t="shared" ca="1" si="8"/>
        <v>181</v>
      </c>
      <c r="W9" s="7">
        <f t="shared" ca="1" si="9"/>
        <v>20</v>
      </c>
    </row>
    <row r="10" spans="2:23" x14ac:dyDescent="0.15">
      <c r="B10" s="7">
        <v>5</v>
      </c>
      <c r="C10" s="7">
        <v>35</v>
      </c>
      <c r="E10" s="7">
        <v>6</v>
      </c>
      <c r="F10" s="9">
        <v>1</v>
      </c>
      <c r="G10" s="8">
        <v>201</v>
      </c>
      <c r="H10" s="8">
        <v>50069</v>
      </c>
      <c r="I10" s="8">
        <v>1</v>
      </c>
      <c r="J10" s="8">
        <f t="shared" si="0"/>
        <v>176</v>
      </c>
      <c r="K10" s="8">
        <f t="shared" ca="1" si="1"/>
        <v>50045</v>
      </c>
      <c r="L10" s="8">
        <v>1</v>
      </c>
      <c r="M10" s="8">
        <f t="shared" ca="1" si="2"/>
        <v>181</v>
      </c>
      <c r="N10" s="8">
        <f t="shared" ca="1" si="3"/>
        <v>50168</v>
      </c>
      <c r="O10" s="8">
        <v>1</v>
      </c>
      <c r="P10" s="8">
        <f t="shared" ca="1" si="4"/>
        <v>181</v>
      </c>
      <c r="Q10" s="8">
        <f t="shared" ca="1" si="5"/>
        <v>50189</v>
      </c>
      <c r="R10" s="8">
        <v>1</v>
      </c>
      <c r="S10" s="8">
        <f t="shared" ca="1" si="6"/>
        <v>181</v>
      </c>
      <c r="T10" s="8">
        <f t="shared" ca="1" si="7"/>
        <v>50052</v>
      </c>
      <c r="U10" s="8">
        <v>1</v>
      </c>
      <c r="V10" s="8">
        <f t="shared" ca="1" si="8"/>
        <v>181</v>
      </c>
      <c r="W10" s="7">
        <f t="shared" ca="1" si="9"/>
        <v>20</v>
      </c>
    </row>
    <row r="11" spans="2:23" x14ac:dyDescent="0.15">
      <c r="B11" s="7">
        <v>6</v>
      </c>
      <c r="C11" s="7">
        <v>35</v>
      </c>
      <c r="E11" s="7">
        <v>7</v>
      </c>
      <c r="F11" s="9">
        <v>1</v>
      </c>
      <c r="G11" s="8">
        <v>202</v>
      </c>
      <c r="H11" s="8">
        <v>50168</v>
      </c>
      <c r="I11" s="8">
        <v>1</v>
      </c>
      <c r="J11" s="8">
        <f t="shared" si="0"/>
        <v>175</v>
      </c>
      <c r="K11" s="8">
        <f t="shared" ca="1" si="1"/>
        <v>50168</v>
      </c>
      <c r="L11" s="8">
        <v>1</v>
      </c>
      <c r="M11" s="8">
        <f t="shared" ca="1" si="2"/>
        <v>181</v>
      </c>
      <c r="N11" s="8">
        <f t="shared" ca="1" si="3"/>
        <v>50045</v>
      </c>
      <c r="O11" s="8">
        <v>1</v>
      </c>
      <c r="P11" s="8">
        <f t="shared" ca="1" si="4"/>
        <v>181</v>
      </c>
      <c r="Q11" s="8">
        <f t="shared" ca="1" si="5"/>
        <v>50052</v>
      </c>
      <c r="R11" s="8">
        <v>1</v>
      </c>
      <c r="S11" s="8">
        <f t="shared" ca="1" si="6"/>
        <v>181</v>
      </c>
      <c r="T11" s="8">
        <f t="shared" ca="1" si="7"/>
        <v>50051</v>
      </c>
      <c r="U11" s="8">
        <v>1</v>
      </c>
      <c r="V11" s="8">
        <f t="shared" ca="1" si="8"/>
        <v>181</v>
      </c>
      <c r="W11" s="7">
        <f t="shared" ca="1" si="9"/>
        <v>20</v>
      </c>
    </row>
    <row r="12" spans="2:23" x14ac:dyDescent="0.15">
      <c r="B12" s="7">
        <v>7</v>
      </c>
      <c r="C12" s="7">
        <v>37</v>
      </c>
      <c r="E12" s="7">
        <v>8</v>
      </c>
      <c r="F12" s="9">
        <v>1</v>
      </c>
      <c r="G12" s="8">
        <v>203</v>
      </c>
      <c r="H12" s="8">
        <v>50189</v>
      </c>
      <c r="I12" s="8">
        <v>1</v>
      </c>
      <c r="J12" s="8">
        <f t="shared" si="0"/>
        <v>175</v>
      </c>
      <c r="K12" s="8">
        <f t="shared" ca="1" si="1"/>
        <v>50047</v>
      </c>
      <c r="L12" s="8">
        <v>1</v>
      </c>
      <c r="M12" s="8">
        <f t="shared" ca="1" si="2"/>
        <v>181</v>
      </c>
      <c r="N12" s="8">
        <f t="shared" ca="1" si="3"/>
        <v>50051</v>
      </c>
      <c r="O12" s="8">
        <v>1</v>
      </c>
      <c r="P12" s="8">
        <f t="shared" ca="1" si="4"/>
        <v>181</v>
      </c>
      <c r="Q12" s="8">
        <f t="shared" ca="1" si="5"/>
        <v>50052</v>
      </c>
      <c r="R12" s="8">
        <v>1</v>
      </c>
      <c r="S12" s="8">
        <f t="shared" ca="1" si="6"/>
        <v>181</v>
      </c>
      <c r="T12" s="8">
        <f t="shared" ca="1" si="7"/>
        <v>50045</v>
      </c>
      <c r="U12" s="8">
        <v>1</v>
      </c>
      <c r="V12" s="8">
        <f t="shared" ca="1" si="8"/>
        <v>181</v>
      </c>
      <c r="W12" s="7">
        <f t="shared" ca="1" si="9"/>
        <v>20</v>
      </c>
    </row>
    <row r="13" spans="2:23" x14ac:dyDescent="0.15">
      <c r="B13" s="7">
        <v>8</v>
      </c>
      <c r="C13" s="7">
        <v>45</v>
      </c>
      <c r="E13" s="7">
        <v>9</v>
      </c>
      <c r="F13" s="10">
        <v>2</v>
      </c>
      <c r="G13" s="8">
        <v>204</v>
      </c>
      <c r="H13" s="8">
        <v>50042</v>
      </c>
      <c r="I13" s="8">
        <v>1</v>
      </c>
      <c r="J13" s="8">
        <f t="shared" si="0"/>
        <v>124</v>
      </c>
      <c r="K13" s="8">
        <f t="shared" ca="1" si="1"/>
        <v>50057</v>
      </c>
      <c r="L13" s="8">
        <v>1</v>
      </c>
      <c r="M13" s="8">
        <f t="shared" ca="1" si="2"/>
        <v>129</v>
      </c>
      <c r="N13" s="8">
        <f t="shared" ca="1" si="3"/>
        <v>50070</v>
      </c>
      <c r="O13" s="8">
        <v>1</v>
      </c>
      <c r="P13" s="8">
        <f t="shared" ca="1" si="4"/>
        <v>129</v>
      </c>
      <c r="Q13" s="8">
        <f t="shared" ca="1" si="5"/>
        <v>50042</v>
      </c>
      <c r="R13" s="8">
        <v>1</v>
      </c>
      <c r="S13" s="8">
        <f t="shared" ca="1" si="6"/>
        <v>129</v>
      </c>
      <c r="T13" s="8">
        <f t="shared" ca="1" si="7"/>
        <v>50052</v>
      </c>
      <c r="U13" s="8">
        <v>1</v>
      </c>
      <c r="V13" s="8">
        <f t="shared" ca="1" si="8"/>
        <v>181</v>
      </c>
      <c r="W13" s="7">
        <f t="shared" ca="1" si="9"/>
        <v>50</v>
      </c>
    </row>
    <row r="14" spans="2:23" x14ac:dyDescent="0.15">
      <c r="E14" s="7">
        <v>10</v>
      </c>
      <c r="F14" s="10">
        <v>2</v>
      </c>
      <c r="G14" s="8">
        <v>205</v>
      </c>
      <c r="H14" s="8">
        <v>50053</v>
      </c>
      <c r="I14" s="8">
        <v>1</v>
      </c>
      <c r="J14" s="8">
        <f t="shared" si="0"/>
        <v>123</v>
      </c>
      <c r="K14" s="8">
        <f t="shared" ca="1" si="1"/>
        <v>50054</v>
      </c>
      <c r="L14" s="8">
        <v>1</v>
      </c>
      <c r="M14" s="8">
        <f t="shared" ca="1" si="2"/>
        <v>129</v>
      </c>
      <c r="N14" s="8">
        <f t="shared" ca="1" si="3"/>
        <v>50069</v>
      </c>
      <c r="O14" s="8">
        <v>1</v>
      </c>
      <c r="P14" s="8">
        <f t="shared" ca="1" si="4"/>
        <v>181</v>
      </c>
      <c r="Q14" s="8">
        <f t="shared" ca="1" si="5"/>
        <v>50051</v>
      </c>
      <c r="R14" s="8">
        <v>1</v>
      </c>
      <c r="S14" s="8">
        <f t="shared" ca="1" si="6"/>
        <v>181</v>
      </c>
      <c r="T14" s="8">
        <f t="shared" ca="1" si="7"/>
        <v>50053</v>
      </c>
      <c r="U14" s="8">
        <v>1</v>
      </c>
      <c r="V14" s="8">
        <f t="shared" ca="1" si="8"/>
        <v>129</v>
      </c>
      <c r="W14" s="7">
        <f t="shared" ca="1" si="9"/>
        <v>40</v>
      </c>
    </row>
    <row r="15" spans="2:23" x14ac:dyDescent="0.15">
      <c r="E15" s="7">
        <v>11</v>
      </c>
      <c r="F15" s="10">
        <v>2</v>
      </c>
      <c r="G15" s="8">
        <v>301</v>
      </c>
      <c r="H15" s="8">
        <v>50054</v>
      </c>
      <c r="I15" s="8">
        <v>1</v>
      </c>
      <c r="J15" s="8">
        <f t="shared" si="0"/>
        <v>123</v>
      </c>
      <c r="K15" s="8">
        <f t="shared" ca="1" si="1"/>
        <v>50051</v>
      </c>
      <c r="L15" s="8">
        <v>1</v>
      </c>
      <c r="M15" s="8">
        <f t="shared" ca="1" si="2"/>
        <v>181</v>
      </c>
      <c r="N15" s="8">
        <f t="shared" ca="1" si="3"/>
        <v>50041</v>
      </c>
      <c r="O15" s="8">
        <v>1</v>
      </c>
      <c r="P15" s="8">
        <f t="shared" ca="1" si="4"/>
        <v>181</v>
      </c>
      <c r="Q15" s="8">
        <f t="shared" ca="1" si="5"/>
        <v>50057</v>
      </c>
      <c r="R15" s="8">
        <v>1</v>
      </c>
      <c r="S15" s="8">
        <f t="shared" ca="1" si="6"/>
        <v>129</v>
      </c>
      <c r="T15" s="8">
        <f t="shared" ca="1" si="7"/>
        <v>50041</v>
      </c>
      <c r="U15" s="8">
        <v>1</v>
      </c>
      <c r="V15" s="8">
        <f t="shared" ca="1" si="8"/>
        <v>181</v>
      </c>
      <c r="W15" s="7">
        <f t="shared" ca="1" si="9"/>
        <v>30</v>
      </c>
    </row>
    <row r="16" spans="2:23" x14ac:dyDescent="0.15">
      <c r="E16" s="7">
        <v>12</v>
      </c>
      <c r="F16" s="10">
        <v>2</v>
      </c>
      <c r="G16" s="8">
        <v>302</v>
      </c>
      <c r="H16" s="8">
        <v>50055</v>
      </c>
      <c r="I16" s="8">
        <v>1</v>
      </c>
      <c r="J16" s="8">
        <f t="shared" si="0"/>
        <v>122</v>
      </c>
      <c r="K16" s="8">
        <f t="shared" ca="1" si="1"/>
        <v>50054</v>
      </c>
      <c r="L16" s="8">
        <v>1</v>
      </c>
      <c r="M16" s="8">
        <f t="shared" ca="1" si="2"/>
        <v>129</v>
      </c>
      <c r="N16" s="8">
        <f t="shared" ca="1" si="3"/>
        <v>50070</v>
      </c>
      <c r="O16" s="8">
        <v>1</v>
      </c>
      <c r="P16" s="8">
        <f t="shared" ca="1" si="4"/>
        <v>129</v>
      </c>
      <c r="Q16" s="8">
        <f t="shared" ca="1" si="5"/>
        <v>50064</v>
      </c>
      <c r="R16" s="8">
        <v>1</v>
      </c>
      <c r="S16" s="8">
        <f t="shared" ca="1" si="6"/>
        <v>129</v>
      </c>
      <c r="T16" s="8">
        <f t="shared" ca="1" si="7"/>
        <v>50168</v>
      </c>
      <c r="U16" s="8">
        <v>1</v>
      </c>
      <c r="V16" s="8">
        <f t="shared" ca="1" si="8"/>
        <v>181</v>
      </c>
      <c r="W16" s="7">
        <f t="shared" ca="1" si="9"/>
        <v>50</v>
      </c>
    </row>
    <row r="17" spans="5:23" x14ac:dyDescent="0.15">
      <c r="E17" s="7">
        <v>13</v>
      </c>
      <c r="F17" s="10">
        <v>2</v>
      </c>
      <c r="G17" s="8">
        <v>303</v>
      </c>
      <c r="H17" s="8">
        <v>50056</v>
      </c>
      <c r="I17" s="8">
        <v>1</v>
      </c>
      <c r="J17" s="8">
        <f t="shared" si="0"/>
        <v>122</v>
      </c>
      <c r="K17" s="8">
        <f t="shared" ca="1" si="1"/>
        <v>50053</v>
      </c>
      <c r="L17" s="8">
        <v>1</v>
      </c>
      <c r="M17" s="8">
        <f t="shared" ca="1" si="2"/>
        <v>129</v>
      </c>
      <c r="N17" s="8">
        <f t="shared" ca="1" si="3"/>
        <v>50051</v>
      </c>
      <c r="O17" s="8">
        <v>1</v>
      </c>
      <c r="P17" s="8">
        <f t="shared" ca="1" si="4"/>
        <v>181</v>
      </c>
      <c r="Q17" s="8">
        <f t="shared" ca="1" si="5"/>
        <v>50056</v>
      </c>
      <c r="R17" s="8">
        <v>1</v>
      </c>
      <c r="S17" s="8">
        <f t="shared" ca="1" si="6"/>
        <v>129</v>
      </c>
      <c r="T17" s="8">
        <f t="shared" ca="1" si="7"/>
        <v>50047</v>
      </c>
      <c r="U17" s="8">
        <v>1</v>
      </c>
      <c r="V17" s="8">
        <f t="shared" ca="1" si="8"/>
        <v>181</v>
      </c>
      <c r="W17" s="7">
        <f t="shared" ca="1" si="9"/>
        <v>40</v>
      </c>
    </row>
    <row r="18" spans="5:23" x14ac:dyDescent="0.15">
      <c r="E18" s="7">
        <v>14</v>
      </c>
      <c r="F18" s="10">
        <v>2</v>
      </c>
      <c r="G18" s="8">
        <v>304</v>
      </c>
      <c r="H18" s="8">
        <v>50057</v>
      </c>
      <c r="I18" s="8">
        <v>1</v>
      </c>
      <c r="J18" s="8">
        <f t="shared" si="0"/>
        <v>121</v>
      </c>
      <c r="K18" s="8">
        <f t="shared" ca="1" si="1"/>
        <v>50070</v>
      </c>
      <c r="L18" s="8">
        <v>1</v>
      </c>
      <c r="M18" s="8">
        <f t="shared" ca="1" si="2"/>
        <v>129</v>
      </c>
      <c r="N18" s="8">
        <f t="shared" ca="1" si="3"/>
        <v>50053</v>
      </c>
      <c r="O18" s="8">
        <v>1</v>
      </c>
      <c r="P18" s="8">
        <f t="shared" ca="1" si="4"/>
        <v>129</v>
      </c>
      <c r="Q18" s="8">
        <f t="shared" ca="1" si="5"/>
        <v>50045</v>
      </c>
      <c r="R18" s="8">
        <v>1</v>
      </c>
      <c r="S18" s="8">
        <f t="shared" ca="1" si="6"/>
        <v>181</v>
      </c>
      <c r="T18" s="8">
        <f t="shared" ca="1" si="7"/>
        <v>50064</v>
      </c>
      <c r="U18" s="8">
        <v>1</v>
      </c>
      <c r="V18" s="8">
        <f t="shared" ca="1" si="8"/>
        <v>129</v>
      </c>
      <c r="W18" s="7">
        <f t="shared" ca="1" si="9"/>
        <v>50</v>
      </c>
    </row>
    <row r="19" spans="5:23" x14ac:dyDescent="0.15">
      <c r="E19" s="7">
        <v>15</v>
      </c>
      <c r="F19" s="10">
        <v>2</v>
      </c>
      <c r="G19" s="8">
        <v>305</v>
      </c>
      <c r="H19" s="8">
        <v>50063</v>
      </c>
      <c r="I19" s="8">
        <v>1</v>
      </c>
      <c r="J19" s="8">
        <f t="shared" si="0"/>
        <v>120</v>
      </c>
      <c r="K19" s="8">
        <f t="shared" ca="1" si="1"/>
        <v>50045</v>
      </c>
      <c r="L19" s="8">
        <v>1</v>
      </c>
      <c r="M19" s="8">
        <f t="shared" ca="1" si="2"/>
        <v>181</v>
      </c>
      <c r="N19" s="8">
        <f t="shared" ca="1" si="3"/>
        <v>50041</v>
      </c>
      <c r="O19" s="8">
        <v>1</v>
      </c>
      <c r="P19" s="8">
        <f t="shared" ca="1" si="4"/>
        <v>181</v>
      </c>
      <c r="Q19" s="8">
        <f t="shared" ca="1" si="5"/>
        <v>50052</v>
      </c>
      <c r="R19" s="8">
        <v>1</v>
      </c>
      <c r="S19" s="8">
        <f t="shared" ca="1" si="6"/>
        <v>181</v>
      </c>
      <c r="T19" s="8">
        <f t="shared" ca="1" si="7"/>
        <v>50069</v>
      </c>
      <c r="U19" s="8">
        <v>1</v>
      </c>
      <c r="V19" s="8">
        <f t="shared" ca="1" si="8"/>
        <v>181</v>
      </c>
      <c r="W19" s="7">
        <f t="shared" ca="1" si="9"/>
        <v>20</v>
      </c>
    </row>
    <row r="20" spans="5:23" x14ac:dyDescent="0.15">
      <c r="E20" s="7">
        <v>16</v>
      </c>
      <c r="F20" s="10">
        <v>2</v>
      </c>
      <c r="G20" s="8">
        <v>401</v>
      </c>
      <c r="H20" s="8">
        <v>50064</v>
      </c>
      <c r="I20" s="8">
        <v>1</v>
      </c>
      <c r="J20" s="8">
        <f t="shared" si="0"/>
        <v>120</v>
      </c>
      <c r="K20" s="8">
        <f t="shared" ca="1" si="1"/>
        <v>50189</v>
      </c>
      <c r="L20" s="8">
        <v>1</v>
      </c>
      <c r="M20" s="8">
        <f t="shared" ca="1" si="2"/>
        <v>181</v>
      </c>
      <c r="N20" s="8">
        <f t="shared" ca="1" si="3"/>
        <v>50055</v>
      </c>
      <c r="O20" s="8">
        <v>1</v>
      </c>
      <c r="P20" s="8">
        <f t="shared" ca="1" si="4"/>
        <v>129</v>
      </c>
      <c r="Q20" s="8">
        <f t="shared" ca="1" si="5"/>
        <v>50069</v>
      </c>
      <c r="R20" s="8">
        <v>1</v>
      </c>
      <c r="S20" s="8">
        <f t="shared" ca="1" si="6"/>
        <v>181</v>
      </c>
      <c r="T20" s="8">
        <f t="shared" ca="1" si="7"/>
        <v>50069</v>
      </c>
      <c r="U20" s="8">
        <v>1</v>
      </c>
      <c r="V20" s="8">
        <f t="shared" ca="1" si="8"/>
        <v>181</v>
      </c>
      <c r="W20" s="7">
        <f t="shared" ca="1" si="9"/>
        <v>30</v>
      </c>
    </row>
    <row r="21" spans="5:23" x14ac:dyDescent="0.15">
      <c r="E21" s="7">
        <v>17</v>
      </c>
      <c r="F21" s="10">
        <v>2</v>
      </c>
      <c r="G21" s="8">
        <v>402</v>
      </c>
      <c r="H21" s="8">
        <v>50065</v>
      </c>
      <c r="I21" s="8">
        <v>1</v>
      </c>
      <c r="J21" s="8">
        <f t="shared" si="0"/>
        <v>119</v>
      </c>
      <c r="K21" s="8">
        <f t="shared" ca="1" si="1"/>
        <v>50189</v>
      </c>
      <c r="L21" s="8">
        <v>1</v>
      </c>
      <c r="M21" s="8">
        <f t="shared" ca="1" si="2"/>
        <v>181</v>
      </c>
      <c r="N21" s="8">
        <f t="shared" ca="1" si="3"/>
        <v>50041</v>
      </c>
      <c r="O21" s="8">
        <v>1</v>
      </c>
      <c r="P21" s="8">
        <f t="shared" ca="1" si="4"/>
        <v>181</v>
      </c>
      <c r="Q21" s="8">
        <f t="shared" ca="1" si="5"/>
        <v>50065</v>
      </c>
      <c r="R21" s="8">
        <v>1</v>
      </c>
      <c r="S21" s="8">
        <f t="shared" ca="1" si="6"/>
        <v>129</v>
      </c>
      <c r="T21" s="8">
        <f t="shared" ca="1" si="7"/>
        <v>50054</v>
      </c>
      <c r="U21" s="8">
        <v>1</v>
      </c>
      <c r="V21" s="8">
        <f t="shared" ca="1" si="8"/>
        <v>129</v>
      </c>
      <c r="W21" s="7">
        <f t="shared" ca="1" si="9"/>
        <v>40</v>
      </c>
    </row>
    <row r="22" spans="5:23" x14ac:dyDescent="0.15">
      <c r="E22" s="7">
        <v>18</v>
      </c>
      <c r="F22" s="10">
        <v>2</v>
      </c>
      <c r="G22" s="8">
        <v>403</v>
      </c>
      <c r="H22" s="8">
        <v>50070</v>
      </c>
      <c r="I22" s="8">
        <v>1</v>
      </c>
      <c r="J22" s="8">
        <f t="shared" si="0"/>
        <v>118</v>
      </c>
      <c r="K22" s="8">
        <f t="shared" ca="1" si="1"/>
        <v>50189</v>
      </c>
      <c r="L22" s="8">
        <v>1</v>
      </c>
      <c r="M22" s="8">
        <f t="shared" ca="1" si="2"/>
        <v>181</v>
      </c>
      <c r="N22" s="8">
        <f t="shared" ca="1" si="3"/>
        <v>50047</v>
      </c>
      <c r="O22" s="8">
        <v>1</v>
      </c>
      <c r="P22" s="8">
        <f t="shared" ca="1" si="4"/>
        <v>181</v>
      </c>
      <c r="Q22" s="8">
        <f t="shared" ca="1" si="5"/>
        <v>50057</v>
      </c>
      <c r="R22" s="8">
        <v>1</v>
      </c>
      <c r="S22" s="8">
        <f t="shared" ca="1" si="6"/>
        <v>129</v>
      </c>
      <c r="T22" s="8">
        <f t="shared" ca="1" si="7"/>
        <v>50051</v>
      </c>
      <c r="U22" s="8">
        <v>1</v>
      </c>
      <c r="V22" s="8">
        <f t="shared" ca="1" si="8"/>
        <v>181</v>
      </c>
      <c r="W22" s="7">
        <f t="shared" ca="1" si="9"/>
        <v>30</v>
      </c>
    </row>
    <row r="23" spans="5:23" x14ac:dyDescent="0.15">
      <c r="E23" s="7">
        <v>19</v>
      </c>
      <c r="F23" s="11">
        <v>3</v>
      </c>
      <c r="G23" s="8">
        <v>404</v>
      </c>
      <c r="H23" s="8">
        <v>50043</v>
      </c>
      <c r="I23" s="8">
        <v>1</v>
      </c>
      <c r="J23" s="8">
        <f t="shared" si="0"/>
        <v>81</v>
      </c>
      <c r="K23" s="8">
        <f t="shared" ca="1" si="1"/>
        <v>50056</v>
      </c>
      <c r="L23" s="8">
        <v>1</v>
      </c>
      <c r="M23" s="8">
        <f t="shared" ca="1" si="2"/>
        <v>129</v>
      </c>
      <c r="N23" s="8">
        <f t="shared" ca="1" si="3"/>
        <v>50063</v>
      </c>
      <c r="O23" s="8">
        <v>1</v>
      </c>
      <c r="P23" s="8">
        <f t="shared" ca="1" si="4"/>
        <v>129</v>
      </c>
      <c r="Q23" s="8">
        <f t="shared" ca="1" si="5"/>
        <v>50067</v>
      </c>
      <c r="R23" s="8">
        <v>1</v>
      </c>
      <c r="S23" s="8">
        <f t="shared" ca="1" si="6"/>
        <v>88</v>
      </c>
      <c r="T23" s="8">
        <f t="shared" ca="1" si="7"/>
        <v>50189</v>
      </c>
      <c r="U23" s="8">
        <v>1</v>
      </c>
      <c r="V23" s="8">
        <f t="shared" ca="1" si="8"/>
        <v>181</v>
      </c>
      <c r="W23" s="7">
        <f t="shared" ca="1" si="9"/>
        <v>70</v>
      </c>
    </row>
    <row r="24" spans="5:23" x14ac:dyDescent="0.15">
      <c r="E24" s="7">
        <v>20</v>
      </c>
      <c r="F24" s="11">
        <v>3</v>
      </c>
      <c r="G24" s="8">
        <v>405</v>
      </c>
      <c r="H24" s="8">
        <v>50046</v>
      </c>
      <c r="I24" s="8">
        <v>1</v>
      </c>
      <c r="J24" s="8">
        <f t="shared" si="0"/>
        <v>80</v>
      </c>
      <c r="K24" s="8">
        <f t="shared" ca="1" si="1"/>
        <v>50055</v>
      </c>
      <c r="L24" s="8">
        <v>1</v>
      </c>
      <c r="M24" s="8">
        <f t="shared" ca="1" si="2"/>
        <v>129</v>
      </c>
      <c r="N24" s="8">
        <f t="shared" ca="1" si="3"/>
        <v>50171</v>
      </c>
      <c r="O24" s="8">
        <v>1</v>
      </c>
      <c r="P24" s="8">
        <f t="shared" ca="1" si="4"/>
        <v>88</v>
      </c>
      <c r="Q24" s="8">
        <f t="shared" ca="1" si="5"/>
        <v>50055</v>
      </c>
      <c r="R24" s="8">
        <v>1</v>
      </c>
      <c r="S24" s="8">
        <f t="shared" ca="1" si="6"/>
        <v>129</v>
      </c>
      <c r="T24" s="8">
        <f t="shared" ca="1" si="7"/>
        <v>50070</v>
      </c>
      <c r="U24" s="8">
        <v>1</v>
      </c>
      <c r="V24" s="8">
        <f t="shared" ca="1" si="8"/>
        <v>129</v>
      </c>
      <c r="W24" s="7">
        <f t="shared" ca="1" si="9"/>
        <v>80</v>
      </c>
    </row>
    <row r="25" spans="5:23" x14ac:dyDescent="0.15">
      <c r="E25" s="7">
        <v>21</v>
      </c>
      <c r="F25" s="11">
        <v>3</v>
      </c>
      <c r="G25" s="8">
        <v>501</v>
      </c>
      <c r="H25" s="8">
        <v>50048</v>
      </c>
      <c r="I25" s="8">
        <v>1</v>
      </c>
      <c r="J25" s="8">
        <f t="shared" si="0"/>
        <v>80</v>
      </c>
      <c r="K25" s="8">
        <f t="shared" ca="1" si="1"/>
        <v>50054</v>
      </c>
      <c r="L25" s="8">
        <v>1</v>
      </c>
      <c r="M25" s="8">
        <f t="shared" ca="1" si="2"/>
        <v>129</v>
      </c>
      <c r="N25" s="8">
        <f t="shared" ca="1" si="3"/>
        <v>50067</v>
      </c>
      <c r="O25" s="8">
        <v>1</v>
      </c>
      <c r="P25" s="8">
        <f t="shared" ca="1" si="4"/>
        <v>88</v>
      </c>
      <c r="Q25" s="8">
        <f t="shared" ca="1" si="5"/>
        <v>50045</v>
      </c>
      <c r="R25" s="8">
        <v>1</v>
      </c>
      <c r="S25" s="8">
        <f t="shared" ca="1" si="6"/>
        <v>181</v>
      </c>
      <c r="T25" s="8">
        <f t="shared" ca="1" si="7"/>
        <v>50043</v>
      </c>
      <c r="U25" s="8">
        <v>1</v>
      </c>
      <c r="V25" s="8">
        <f t="shared" ca="1" si="8"/>
        <v>88</v>
      </c>
      <c r="W25" s="7">
        <f t="shared" ca="1" si="9"/>
        <v>80</v>
      </c>
    </row>
    <row r="26" spans="5:23" x14ac:dyDescent="0.15">
      <c r="E26" s="7">
        <v>22</v>
      </c>
      <c r="F26" s="11">
        <v>3</v>
      </c>
      <c r="G26" s="8">
        <v>502</v>
      </c>
      <c r="H26" s="8">
        <v>50066</v>
      </c>
      <c r="I26" s="8">
        <v>1</v>
      </c>
      <c r="J26" s="8">
        <f t="shared" si="0"/>
        <v>79</v>
      </c>
      <c r="K26" s="8">
        <f t="shared" ca="1" si="1"/>
        <v>50047</v>
      </c>
      <c r="L26" s="8">
        <v>1</v>
      </c>
      <c r="M26" s="8">
        <f t="shared" ca="1" si="2"/>
        <v>181</v>
      </c>
      <c r="N26" s="8">
        <f t="shared" ca="1" si="3"/>
        <v>50064</v>
      </c>
      <c r="O26" s="8">
        <v>1</v>
      </c>
      <c r="P26" s="8">
        <f t="shared" ca="1" si="4"/>
        <v>129</v>
      </c>
      <c r="Q26" s="8">
        <f t="shared" ca="1" si="5"/>
        <v>50047</v>
      </c>
      <c r="R26" s="8">
        <v>1</v>
      </c>
      <c r="S26" s="8">
        <f t="shared" ca="1" si="6"/>
        <v>181</v>
      </c>
      <c r="T26" s="8">
        <f t="shared" ca="1" si="7"/>
        <v>50169</v>
      </c>
      <c r="U26" s="8">
        <v>1</v>
      </c>
      <c r="V26" s="8">
        <f t="shared" ca="1" si="8"/>
        <v>88</v>
      </c>
      <c r="W26" s="7">
        <f t="shared" ca="1" si="9"/>
        <v>50</v>
      </c>
    </row>
    <row r="27" spans="5:23" x14ac:dyDescent="0.15">
      <c r="E27" s="7">
        <v>23</v>
      </c>
      <c r="F27" s="11">
        <v>3</v>
      </c>
      <c r="G27" s="8">
        <v>503</v>
      </c>
      <c r="H27" s="8">
        <v>50067</v>
      </c>
      <c r="I27" s="8">
        <v>1</v>
      </c>
      <c r="J27" s="8">
        <f t="shared" si="0"/>
        <v>79</v>
      </c>
      <c r="K27" s="8">
        <f t="shared" ca="1" si="1"/>
        <v>50065</v>
      </c>
      <c r="L27" s="8">
        <v>1</v>
      </c>
      <c r="M27" s="8">
        <f t="shared" ca="1" si="2"/>
        <v>129</v>
      </c>
      <c r="N27" s="8">
        <f t="shared" ca="1" si="3"/>
        <v>50169</v>
      </c>
      <c r="O27" s="8">
        <v>1</v>
      </c>
      <c r="P27" s="8">
        <f t="shared" ca="1" si="4"/>
        <v>88</v>
      </c>
      <c r="Q27" s="8">
        <f t="shared" ca="1" si="5"/>
        <v>50168</v>
      </c>
      <c r="R27" s="8">
        <v>1</v>
      </c>
      <c r="S27" s="8">
        <f t="shared" ca="1" si="6"/>
        <v>181</v>
      </c>
      <c r="T27" s="8">
        <f t="shared" ca="1" si="7"/>
        <v>50043</v>
      </c>
      <c r="U27" s="8">
        <v>1</v>
      </c>
      <c r="V27" s="8">
        <f t="shared" ca="1" si="8"/>
        <v>88</v>
      </c>
      <c r="W27" s="7">
        <f t="shared" ca="1" si="9"/>
        <v>80</v>
      </c>
    </row>
    <row r="28" spans="5:23" x14ac:dyDescent="0.15">
      <c r="E28" s="7">
        <v>24</v>
      </c>
      <c r="F28" s="11">
        <v>3</v>
      </c>
      <c r="G28" s="8">
        <v>504</v>
      </c>
      <c r="H28" s="8">
        <v>50169</v>
      </c>
      <c r="I28" s="8">
        <v>1</v>
      </c>
      <c r="J28" s="8">
        <f t="shared" si="0"/>
        <v>78</v>
      </c>
      <c r="K28" s="8">
        <f t="shared" ca="1" si="1"/>
        <v>50168</v>
      </c>
      <c r="L28" s="8">
        <v>1</v>
      </c>
      <c r="M28" s="8">
        <f t="shared" ca="1" si="2"/>
        <v>181</v>
      </c>
      <c r="N28" s="8">
        <f t="shared" ca="1" si="3"/>
        <v>50064</v>
      </c>
      <c r="O28" s="8">
        <v>1</v>
      </c>
      <c r="P28" s="8">
        <f t="shared" ca="1" si="4"/>
        <v>129</v>
      </c>
      <c r="Q28" s="8">
        <f t="shared" ca="1" si="5"/>
        <v>50053</v>
      </c>
      <c r="R28" s="8">
        <v>1</v>
      </c>
      <c r="S28" s="8">
        <f t="shared" ca="1" si="6"/>
        <v>129</v>
      </c>
      <c r="T28" s="8">
        <f t="shared" ca="1" si="7"/>
        <v>50042</v>
      </c>
      <c r="U28" s="8">
        <v>1</v>
      </c>
      <c r="V28" s="8">
        <f t="shared" ca="1" si="8"/>
        <v>129</v>
      </c>
      <c r="W28" s="7">
        <f t="shared" ca="1" si="9"/>
        <v>60</v>
      </c>
    </row>
    <row r="29" spans="5:23" x14ac:dyDescent="0.15">
      <c r="E29" s="7">
        <v>25</v>
      </c>
      <c r="F29" s="11">
        <v>3</v>
      </c>
      <c r="G29" s="8">
        <v>505</v>
      </c>
      <c r="H29" s="8">
        <v>50171</v>
      </c>
      <c r="I29" s="8">
        <v>1</v>
      </c>
      <c r="J29" s="8">
        <f t="shared" si="0"/>
        <v>78</v>
      </c>
      <c r="K29" s="8">
        <f t="shared" ca="1" si="1"/>
        <v>50057</v>
      </c>
      <c r="L29" s="8">
        <v>1</v>
      </c>
      <c r="M29" s="8">
        <f t="shared" ca="1" si="2"/>
        <v>129</v>
      </c>
      <c r="N29" s="8">
        <f t="shared" ca="1" si="3"/>
        <v>50048</v>
      </c>
      <c r="O29" s="8">
        <v>1</v>
      </c>
      <c r="P29" s="8">
        <f t="shared" ca="1" si="4"/>
        <v>88</v>
      </c>
      <c r="Q29" s="8">
        <f t="shared" ca="1" si="5"/>
        <v>50057</v>
      </c>
      <c r="R29" s="8">
        <v>1</v>
      </c>
      <c r="S29" s="8">
        <f t="shared" ca="1" si="6"/>
        <v>129</v>
      </c>
      <c r="T29" s="8">
        <f t="shared" ca="1" si="7"/>
        <v>50043</v>
      </c>
      <c r="U29" s="8">
        <v>1</v>
      </c>
      <c r="V29" s="8">
        <f t="shared" ca="1" si="8"/>
        <v>88</v>
      </c>
      <c r="W29" s="7">
        <f t="shared" ca="1" si="9"/>
        <v>100</v>
      </c>
    </row>
    <row r="30" spans="5:23" x14ac:dyDescent="0.15">
      <c r="E30" s="7">
        <v>26</v>
      </c>
      <c r="F30" s="12">
        <v>4</v>
      </c>
      <c r="G30" s="8">
        <v>601</v>
      </c>
      <c r="H30" s="8">
        <v>50044</v>
      </c>
      <c r="I30" s="8">
        <v>1</v>
      </c>
      <c r="J30" s="8">
        <f t="shared" si="0"/>
        <v>49</v>
      </c>
      <c r="K30" s="8">
        <f t="shared" ca="1" si="1"/>
        <v>50189</v>
      </c>
      <c r="L30" s="8">
        <v>1</v>
      </c>
      <c r="M30" s="8">
        <f t="shared" ca="1" si="2"/>
        <v>181</v>
      </c>
      <c r="N30" s="8">
        <f t="shared" ca="1" si="3"/>
        <v>50046</v>
      </c>
      <c r="O30" s="8">
        <v>1</v>
      </c>
      <c r="P30" s="8">
        <f t="shared" ca="1" si="4"/>
        <v>88</v>
      </c>
      <c r="Q30" s="8">
        <f t="shared" ca="1" si="5"/>
        <v>50046</v>
      </c>
      <c r="R30" s="8">
        <v>1</v>
      </c>
      <c r="S30" s="8">
        <f t="shared" ca="1" si="6"/>
        <v>88</v>
      </c>
      <c r="T30" s="8">
        <f t="shared" ca="1" si="7"/>
        <v>50055</v>
      </c>
      <c r="U30" s="8">
        <v>1</v>
      </c>
      <c r="V30" s="8">
        <f t="shared" ca="1" si="8"/>
        <v>129</v>
      </c>
      <c r="W30" s="7">
        <f t="shared" ca="1" si="9"/>
        <v>90</v>
      </c>
    </row>
    <row r="31" spans="5:23" x14ac:dyDescent="0.15">
      <c r="E31" s="7">
        <v>27</v>
      </c>
      <c r="F31" s="12">
        <v>4</v>
      </c>
      <c r="G31" s="8">
        <v>602</v>
      </c>
      <c r="H31" s="8">
        <v>50058</v>
      </c>
      <c r="I31" s="8">
        <v>1</v>
      </c>
      <c r="J31" s="8">
        <f t="shared" si="0"/>
        <v>48</v>
      </c>
      <c r="K31" s="8">
        <f t="shared" ca="1" si="1"/>
        <v>50047</v>
      </c>
      <c r="L31" s="8">
        <v>1</v>
      </c>
      <c r="M31" s="8">
        <f t="shared" ca="1" si="2"/>
        <v>181</v>
      </c>
      <c r="N31" s="8">
        <f t="shared" ca="1" si="3"/>
        <v>50065</v>
      </c>
      <c r="O31" s="8">
        <v>1</v>
      </c>
      <c r="P31" s="8">
        <f t="shared" ca="1" si="4"/>
        <v>129</v>
      </c>
      <c r="Q31" s="8">
        <f t="shared" ca="1" si="5"/>
        <v>50064</v>
      </c>
      <c r="R31" s="8">
        <v>1</v>
      </c>
      <c r="S31" s="8">
        <f t="shared" ca="1" si="6"/>
        <v>129</v>
      </c>
      <c r="T31" s="8">
        <f t="shared" ca="1" si="7"/>
        <v>50057</v>
      </c>
      <c r="U31" s="8">
        <v>1</v>
      </c>
      <c r="V31" s="8">
        <f t="shared" ca="1" si="8"/>
        <v>129</v>
      </c>
      <c r="W31" s="7">
        <f t="shared" ca="1" si="9"/>
        <v>60</v>
      </c>
    </row>
    <row r="32" spans="5:23" x14ac:dyDescent="0.15">
      <c r="E32" s="7">
        <v>28</v>
      </c>
      <c r="F32" s="13">
        <v>5</v>
      </c>
      <c r="G32" s="8">
        <v>603</v>
      </c>
      <c r="H32" s="8">
        <v>50049</v>
      </c>
      <c r="I32" s="8">
        <v>1</v>
      </c>
      <c r="J32" s="8">
        <f t="shared" si="0"/>
        <v>28</v>
      </c>
      <c r="K32" s="8">
        <f t="shared" ca="1" si="1"/>
        <v>50041</v>
      </c>
      <c r="L32" s="8">
        <v>1</v>
      </c>
      <c r="M32" s="8">
        <f t="shared" ca="1" si="2"/>
        <v>181</v>
      </c>
      <c r="N32" s="8">
        <f t="shared" ca="1" si="3"/>
        <v>50054</v>
      </c>
      <c r="O32" s="8">
        <v>1</v>
      </c>
      <c r="P32" s="8">
        <f t="shared" ca="1" si="4"/>
        <v>129</v>
      </c>
      <c r="Q32" s="8">
        <f t="shared" ca="1" si="5"/>
        <v>50061</v>
      </c>
      <c r="R32" s="8">
        <v>1</v>
      </c>
      <c r="S32" s="8">
        <f t="shared" ca="1" si="6"/>
        <v>32</v>
      </c>
      <c r="T32" s="8">
        <f t="shared" ca="1" si="7"/>
        <v>50054</v>
      </c>
      <c r="U32" s="8">
        <v>1</v>
      </c>
      <c r="V32" s="8">
        <f t="shared" ca="1" si="8"/>
        <v>129</v>
      </c>
      <c r="W32" s="7">
        <f t="shared" ca="1" si="9"/>
        <v>80</v>
      </c>
    </row>
    <row r="33" spans="5:23" x14ac:dyDescent="0.15">
      <c r="E33" s="7">
        <v>29</v>
      </c>
      <c r="F33" s="13">
        <v>5</v>
      </c>
      <c r="G33" s="8">
        <v>604</v>
      </c>
      <c r="H33" s="8">
        <v>50060</v>
      </c>
      <c r="I33" s="8">
        <v>1</v>
      </c>
      <c r="J33" s="8">
        <f t="shared" si="0"/>
        <v>28</v>
      </c>
      <c r="K33" s="8">
        <f t="shared" ca="1" si="1"/>
        <v>50054</v>
      </c>
      <c r="L33" s="8">
        <v>1</v>
      </c>
      <c r="M33" s="8">
        <f t="shared" ca="1" si="2"/>
        <v>129</v>
      </c>
      <c r="N33" s="8">
        <f t="shared" ca="1" si="3"/>
        <v>50043</v>
      </c>
      <c r="O33" s="8">
        <v>1</v>
      </c>
      <c r="P33" s="8">
        <f t="shared" ca="1" si="4"/>
        <v>88</v>
      </c>
      <c r="Q33" s="8">
        <f t="shared" ca="1" si="5"/>
        <v>50058</v>
      </c>
      <c r="R33" s="8">
        <v>1</v>
      </c>
      <c r="S33" s="8">
        <f t="shared" ca="1" si="6"/>
        <v>55</v>
      </c>
      <c r="T33" s="8">
        <f t="shared" ca="1" si="7"/>
        <v>50069</v>
      </c>
      <c r="U33" s="8">
        <v>1</v>
      </c>
      <c r="V33" s="8">
        <f t="shared" ca="1" si="8"/>
        <v>181</v>
      </c>
      <c r="W33" s="7">
        <f t="shared" ca="1" si="9"/>
        <v>100</v>
      </c>
    </row>
    <row r="34" spans="5:23" x14ac:dyDescent="0.15">
      <c r="E34" s="7">
        <v>30</v>
      </c>
      <c r="F34" s="13">
        <v>5</v>
      </c>
      <c r="G34" s="8">
        <v>605</v>
      </c>
      <c r="H34" s="8">
        <v>50061</v>
      </c>
      <c r="I34" s="8">
        <v>1</v>
      </c>
      <c r="J34" s="8">
        <f t="shared" si="0"/>
        <v>28</v>
      </c>
      <c r="K34" s="8">
        <f t="shared" ca="1" si="1"/>
        <v>50063</v>
      </c>
      <c r="L34" s="8">
        <v>1</v>
      </c>
      <c r="M34" s="8">
        <f t="shared" ca="1" si="2"/>
        <v>129</v>
      </c>
      <c r="N34" s="8">
        <f t="shared" ca="1" si="3"/>
        <v>50048</v>
      </c>
      <c r="O34" s="8">
        <v>1</v>
      </c>
      <c r="P34" s="8">
        <f t="shared" ca="1" si="4"/>
        <v>88</v>
      </c>
      <c r="Q34" s="8">
        <f t="shared" ca="1" si="5"/>
        <v>50068</v>
      </c>
      <c r="R34" s="8">
        <v>1</v>
      </c>
      <c r="S34" s="8">
        <f t="shared" ca="1" si="6"/>
        <v>32</v>
      </c>
      <c r="T34" s="8">
        <f t="shared" ca="1" si="7"/>
        <v>50189</v>
      </c>
      <c r="U34" s="8">
        <v>1</v>
      </c>
      <c r="V34" s="8">
        <f t="shared" ca="1" si="8"/>
        <v>181</v>
      </c>
      <c r="W34" s="7">
        <f t="shared" ca="1" si="9"/>
        <v>100</v>
      </c>
    </row>
    <row r="35" spans="5:23" x14ac:dyDescent="0.15">
      <c r="E35" s="7">
        <v>31</v>
      </c>
      <c r="F35" s="13">
        <v>5</v>
      </c>
      <c r="G35" s="8">
        <v>701</v>
      </c>
      <c r="H35" s="8">
        <v>50062</v>
      </c>
      <c r="I35" s="8">
        <v>1</v>
      </c>
      <c r="J35" s="8">
        <f t="shared" si="0"/>
        <v>28</v>
      </c>
      <c r="K35" s="8">
        <f t="shared" ca="1" si="1"/>
        <v>50065</v>
      </c>
      <c r="L35" s="8">
        <v>1</v>
      </c>
      <c r="M35" s="8">
        <f t="shared" ca="1" si="2"/>
        <v>129</v>
      </c>
      <c r="N35" s="8">
        <f t="shared" ca="1" si="3"/>
        <v>50070</v>
      </c>
      <c r="O35" s="8">
        <v>1</v>
      </c>
      <c r="P35" s="8">
        <f t="shared" ca="1" si="4"/>
        <v>129</v>
      </c>
      <c r="Q35" s="8">
        <f t="shared" ca="1" si="5"/>
        <v>50062</v>
      </c>
      <c r="R35" s="8">
        <v>1</v>
      </c>
      <c r="S35" s="8">
        <f t="shared" ca="1" si="6"/>
        <v>32</v>
      </c>
      <c r="T35" s="8">
        <f t="shared" ca="1" si="7"/>
        <v>50052</v>
      </c>
      <c r="U35" s="8">
        <v>1</v>
      </c>
      <c r="V35" s="8">
        <f t="shared" ca="1" si="8"/>
        <v>181</v>
      </c>
      <c r="W35" s="7">
        <f t="shared" ca="1" si="9"/>
        <v>80</v>
      </c>
    </row>
    <row r="36" spans="5:23" x14ac:dyDescent="0.15">
      <c r="E36" s="7">
        <v>32</v>
      </c>
      <c r="F36" s="13">
        <v>5</v>
      </c>
      <c r="G36" s="8">
        <v>702</v>
      </c>
      <c r="H36" s="8">
        <v>50068</v>
      </c>
      <c r="I36" s="8">
        <v>1</v>
      </c>
      <c r="J36" s="8">
        <f t="shared" si="0"/>
        <v>28</v>
      </c>
      <c r="K36" s="8">
        <f t="shared" ca="1" si="1"/>
        <v>50041</v>
      </c>
      <c r="L36" s="8">
        <v>1</v>
      </c>
      <c r="M36" s="8">
        <f t="shared" ca="1" si="2"/>
        <v>181</v>
      </c>
      <c r="N36" s="8">
        <f t="shared" ca="1" si="3"/>
        <v>50048</v>
      </c>
      <c r="O36" s="8">
        <v>1</v>
      </c>
      <c r="P36" s="8">
        <f t="shared" ca="1" si="4"/>
        <v>88</v>
      </c>
      <c r="Q36" s="8">
        <f t="shared" ca="1" si="5"/>
        <v>50061</v>
      </c>
      <c r="R36" s="8">
        <v>1</v>
      </c>
      <c r="S36" s="8">
        <f t="shared" ca="1" si="6"/>
        <v>32</v>
      </c>
      <c r="T36" s="8">
        <f t="shared" ca="1" si="7"/>
        <v>50063</v>
      </c>
      <c r="U36" s="8">
        <v>1</v>
      </c>
      <c r="V36" s="8">
        <f t="shared" ca="1" si="8"/>
        <v>129</v>
      </c>
      <c r="W36" s="7">
        <f t="shared" ca="1" si="9"/>
        <v>100</v>
      </c>
    </row>
    <row r="37" spans="5:23" x14ac:dyDescent="0.15">
      <c r="E37" s="7">
        <v>33</v>
      </c>
      <c r="F37" s="13">
        <v>5</v>
      </c>
      <c r="G37" s="8">
        <v>703</v>
      </c>
      <c r="H37" s="8">
        <v>50170</v>
      </c>
      <c r="I37" s="8">
        <v>1</v>
      </c>
      <c r="J37" s="8">
        <f t="shared" ref="J37:J68" si="10">ROUNDUP(VLOOKUP(H37,marking,9,FALSE)*((140*1.5-E37)/(140*1.5)),0)</f>
        <v>27</v>
      </c>
      <c r="K37" s="8">
        <f t="shared" ref="K37:K68" ca="1" si="11">IF(K$2&gt;$F37,VLOOKUP(INT(RAND()*(VLOOKUP($F37,reference1,2,FALSE)-1)+1),test1,4,FALSE),VLOOKUP(INT(RAND()*(19-1)+1),test1,4,FALSE))</f>
        <v>50055</v>
      </c>
      <c r="L37" s="8">
        <v>1</v>
      </c>
      <c r="M37" s="8">
        <f t="shared" ref="M37:M68" ca="1" si="12">ROUNDUP(VLOOKUP(K37,marking,9,FALSE),0)</f>
        <v>129</v>
      </c>
      <c r="N37" s="8">
        <f t="shared" ref="N37:N68" ca="1" si="13">IF(N$2&gt;$F37,VLOOKUP(INT(RAND()*(VLOOKUP($F37,reference1,2,FALSE)-1)+1),test1,4,FALSE),VLOOKUP(INT(RAND()*(26-9)+9),test1,4,FALSE))</f>
        <v>50063</v>
      </c>
      <c r="O37" s="8">
        <v>1</v>
      </c>
      <c r="P37" s="8">
        <f t="shared" ref="P37:P68" ca="1" si="14">ROUNDUP(VLOOKUP(N37,marking,9,FALSE),0)</f>
        <v>129</v>
      </c>
      <c r="Q37" s="8">
        <f t="shared" ref="Q37:Q68" ca="1" si="15">IF(Q$2&gt;$F37,VLOOKUP(INT(RAND()*(VLOOKUP($F37,reference1,2,FALSE)-1)+1),test1,4,FALSE),VLOOKUP(INT(RAND()*(35-26)+26),test1,4,FALSE))</f>
        <v>50068</v>
      </c>
      <c r="R37" s="8">
        <v>1</v>
      </c>
      <c r="S37" s="8">
        <f t="shared" ref="S37:S68" ca="1" si="16">ROUNDUP(VLOOKUP(Q37,marking,9,FALSE),0)</f>
        <v>32</v>
      </c>
      <c r="T37" s="8">
        <f t="shared" ref="T37:T68" ca="1" si="17">IF(T$2&gt;$F37,VLOOKUP(INT(RAND()*(VLOOKUP($F37,reference1,2,FALSE)-1)+1),test1,4,FALSE),VLOOKUP(INT(RAND()*(45-35)+35),test1,4,FALSE))</f>
        <v>50047</v>
      </c>
      <c r="U37" s="8">
        <v>1</v>
      </c>
      <c r="V37" s="8">
        <f t="shared" ref="V37:V68" ca="1" si="18">ROUNDUP(VLOOKUP(T37,marking,9,FALSE),0)</f>
        <v>181</v>
      </c>
      <c r="W37" s="7">
        <f t="shared" ref="W37:W68" ca="1" si="19">(ROUND((VLOOKUP(H37,marking,10,FALSE)*J37+VLOOKUP(K37,marking,10,FALSE)*M37+VLOOKUP(N37,marking,10,FALSE)*P37+VLOOKUP(Q37,marking,10,FALSE)*S37+VLOOKUP(T37,marking,10,FALSE)*V37)/(J37+M37+P37+S37+V37),0))*10</f>
        <v>80</v>
      </c>
    </row>
    <row r="38" spans="5:23" x14ac:dyDescent="0.15">
      <c r="E38" s="7">
        <v>34</v>
      </c>
      <c r="F38" s="13">
        <v>5</v>
      </c>
      <c r="G38" s="8">
        <v>704</v>
      </c>
      <c r="H38" s="8">
        <v>50188</v>
      </c>
      <c r="I38" s="8">
        <v>1</v>
      </c>
      <c r="J38" s="8">
        <f t="shared" si="10"/>
        <v>27</v>
      </c>
      <c r="K38" s="8">
        <f t="shared" ca="1" si="11"/>
        <v>50042</v>
      </c>
      <c r="L38" s="8">
        <v>1</v>
      </c>
      <c r="M38" s="8">
        <f t="shared" ca="1" si="12"/>
        <v>129</v>
      </c>
      <c r="N38" s="8">
        <f t="shared" ca="1" si="13"/>
        <v>50054</v>
      </c>
      <c r="O38" s="8">
        <v>1</v>
      </c>
      <c r="P38" s="8">
        <f t="shared" ca="1" si="14"/>
        <v>129</v>
      </c>
      <c r="Q38" s="8">
        <f t="shared" ca="1" si="15"/>
        <v>50061</v>
      </c>
      <c r="R38" s="8">
        <v>1</v>
      </c>
      <c r="S38" s="8">
        <f t="shared" ca="1" si="16"/>
        <v>32</v>
      </c>
      <c r="T38" s="8">
        <f t="shared" ca="1" si="17"/>
        <v>50168</v>
      </c>
      <c r="U38" s="8">
        <v>1</v>
      </c>
      <c r="V38" s="8">
        <f t="shared" ca="1" si="18"/>
        <v>181</v>
      </c>
      <c r="W38" s="7">
        <f t="shared" ca="1" si="19"/>
        <v>80</v>
      </c>
    </row>
    <row r="39" spans="5:23" x14ac:dyDescent="0.15">
      <c r="E39" s="7">
        <v>35</v>
      </c>
      <c r="F39" s="14">
        <v>7</v>
      </c>
      <c r="G39" s="8">
        <v>705</v>
      </c>
      <c r="H39" s="8">
        <v>50050</v>
      </c>
      <c r="I39" s="8">
        <v>1</v>
      </c>
      <c r="J39" s="8">
        <f t="shared" si="10"/>
        <v>5</v>
      </c>
      <c r="K39" s="8">
        <f t="shared" ca="1" si="11"/>
        <v>50057</v>
      </c>
      <c r="L39" s="8">
        <v>1</v>
      </c>
      <c r="M39" s="8">
        <f t="shared" ca="1" si="12"/>
        <v>129</v>
      </c>
      <c r="N39" s="8">
        <f t="shared" ca="1" si="13"/>
        <v>50053</v>
      </c>
      <c r="O39" s="8">
        <v>1</v>
      </c>
      <c r="P39" s="8">
        <f t="shared" ca="1" si="14"/>
        <v>129</v>
      </c>
      <c r="Q39" s="8">
        <f t="shared" ca="1" si="15"/>
        <v>50058</v>
      </c>
      <c r="R39" s="8">
        <v>1</v>
      </c>
      <c r="S39" s="8">
        <f t="shared" ca="1" si="16"/>
        <v>55</v>
      </c>
      <c r="T39" s="8">
        <f t="shared" ca="1" si="17"/>
        <v>50042</v>
      </c>
      <c r="U39" s="8">
        <v>1</v>
      </c>
      <c r="V39" s="8">
        <f t="shared" ca="1" si="18"/>
        <v>129</v>
      </c>
      <c r="W39" s="7">
        <f t="shared" ca="1" si="19"/>
        <v>90</v>
      </c>
    </row>
    <row r="40" spans="5:23" x14ac:dyDescent="0.15">
      <c r="E40" s="7">
        <v>36</v>
      </c>
      <c r="F40" s="14">
        <v>7</v>
      </c>
      <c r="G40" s="8">
        <v>801</v>
      </c>
      <c r="H40" s="8">
        <v>50059</v>
      </c>
      <c r="I40" s="8">
        <v>1</v>
      </c>
      <c r="J40" s="8">
        <f t="shared" si="10"/>
        <v>5</v>
      </c>
      <c r="K40" s="8">
        <f t="shared" ca="1" si="11"/>
        <v>50041</v>
      </c>
      <c r="L40" s="8">
        <v>1</v>
      </c>
      <c r="M40" s="8">
        <f t="shared" ca="1" si="12"/>
        <v>181</v>
      </c>
      <c r="N40" s="8">
        <f t="shared" ca="1" si="13"/>
        <v>50042</v>
      </c>
      <c r="O40" s="8">
        <v>1</v>
      </c>
      <c r="P40" s="8">
        <f t="shared" ca="1" si="14"/>
        <v>129</v>
      </c>
      <c r="Q40" s="8">
        <f t="shared" ca="1" si="15"/>
        <v>50049</v>
      </c>
      <c r="R40" s="8">
        <v>1</v>
      </c>
      <c r="S40" s="8">
        <f t="shared" ca="1" si="16"/>
        <v>32</v>
      </c>
      <c r="T40" s="8">
        <f t="shared" ca="1" si="17"/>
        <v>50066</v>
      </c>
      <c r="U40" s="8">
        <v>1</v>
      </c>
      <c r="V40" s="8">
        <f t="shared" ca="1" si="18"/>
        <v>88</v>
      </c>
      <c r="W40" s="7">
        <f t="shared" ca="1" si="19"/>
        <v>90</v>
      </c>
    </row>
    <row r="41" spans="5:23" x14ac:dyDescent="0.15">
      <c r="E41" s="7">
        <v>37</v>
      </c>
      <c r="F41" s="15">
        <v>8</v>
      </c>
      <c r="G41" s="8">
        <v>802</v>
      </c>
      <c r="H41" s="8">
        <v>50071</v>
      </c>
      <c r="I41" s="8">
        <v>1</v>
      </c>
      <c r="J41" s="8">
        <f t="shared" si="10"/>
        <v>1</v>
      </c>
      <c r="K41" s="8">
        <f t="shared" ca="1" si="11"/>
        <v>50065</v>
      </c>
      <c r="L41" s="8">
        <v>1</v>
      </c>
      <c r="M41" s="8">
        <f t="shared" ca="1" si="12"/>
        <v>129</v>
      </c>
      <c r="N41" s="8">
        <f t="shared" ca="1" si="13"/>
        <v>50043</v>
      </c>
      <c r="O41" s="8">
        <v>1</v>
      </c>
      <c r="P41" s="8">
        <f t="shared" ca="1" si="14"/>
        <v>88</v>
      </c>
      <c r="Q41" s="8">
        <f t="shared" ca="1" si="15"/>
        <v>50044</v>
      </c>
      <c r="R41" s="8">
        <v>1</v>
      </c>
      <c r="S41" s="8">
        <f t="shared" ca="1" si="16"/>
        <v>55</v>
      </c>
      <c r="T41" s="8">
        <f t="shared" ca="1" si="17"/>
        <v>50050</v>
      </c>
      <c r="U41" s="8">
        <v>1</v>
      </c>
      <c r="V41" s="8">
        <f t="shared" ca="1" si="18"/>
        <v>5</v>
      </c>
      <c r="W41" s="7">
        <f t="shared" ca="1" si="19"/>
        <v>130</v>
      </c>
    </row>
    <row r="42" spans="5:23" x14ac:dyDescent="0.15">
      <c r="E42" s="7">
        <v>38</v>
      </c>
      <c r="F42" s="15">
        <v>8</v>
      </c>
      <c r="G42" s="8">
        <v>803</v>
      </c>
      <c r="H42" s="8">
        <v>50072</v>
      </c>
      <c r="I42" s="8">
        <v>1</v>
      </c>
      <c r="J42" s="8">
        <f t="shared" si="10"/>
        <v>1</v>
      </c>
      <c r="K42" s="8">
        <f t="shared" ca="1" si="11"/>
        <v>50070</v>
      </c>
      <c r="L42" s="8">
        <v>1</v>
      </c>
      <c r="M42" s="8">
        <f t="shared" ca="1" si="12"/>
        <v>129</v>
      </c>
      <c r="N42" s="8">
        <f t="shared" ca="1" si="13"/>
        <v>50066</v>
      </c>
      <c r="O42" s="8">
        <v>1</v>
      </c>
      <c r="P42" s="8">
        <f t="shared" ca="1" si="14"/>
        <v>88</v>
      </c>
      <c r="Q42" s="8">
        <f t="shared" ca="1" si="15"/>
        <v>50062</v>
      </c>
      <c r="R42" s="8">
        <v>1</v>
      </c>
      <c r="S42" s="8">
        <f t="shared" ca="1" si="16"/>
        <v>32</v>
      </c>
      <c r="T42" s="8">
        <f t="shared" ca="1" si="17"/>
        <v>50077</v>
      </c>
      <c r="U42" s="8">
        <v>1</v>
      </c>
      <c r="V42" s="8">
        <f t="shared" ca="1" si="18"/>
        <v>1</v>
      </c>
      <c r="W42" s="7">
        <f t="shared" ca="1" si="19"/>
        <v>130</v>
      </c>
    </row>
    <row r="43" spans="5:23" x14ac:dyDescent="0.15">
      <c r="E43" s="7">
        <v>39</v>
      </c>
      <c r="F43" s="15">
        <v>8</v>
      </c>
      <c r="G43" s="8">
        <v>804</v>
      </c>
      <c r="H43" s="8">
        <v>50073</v>
      </c>
      <c r="I43" s="8">
        <v>1</v>
      </c>
      <c r="J43" s="8">
        <f t="shared" si="10"/>
        <v>1</v>
      </c>
      <c r="K43" s="8">
        <f t="shared" ca="1" si="11"/>
        <v>50047</v>
      </c>
      <c r="L43" s="8">
        <v>1</v>
      </c>
      <c r="M43" s="8">
        <f t="shared" ca="1" si="12"/>
        <v>181</v>
      </c>
      <c r="N43" s="8">
        <f t="shared" ca="1" si="13"/>
        <v>50042</v>
      </c>
      <c r="O43" s="8">
        <v>1</v>
      </c>
      <c r="P43" s="8">
        <f t="shared" ca="1" si="14"/>
        <v>129</v>
      </c>
      <c r="Q43" s="8">
        <f t="shared" ca="1" si="15"/>
        <v>50068</v>
      </c>
      <c r="R43" s="8">
        <v>1</v>
      </c>
      <c r="S43" s="8">
        <f t="shared" ca="1" si="16"/>
        <v>32</v>
      </c>
      <c r="T43" s="8">
        <f t="shared" ca="1" si="17"/>
        <v>50076</v>
      </c>
      <c r="U43" s="8">
        <v>1</v>
      </c>
      <c r="V43" s="8">
        <f t="shared" ca="1" si="18"/>
        <v>1</v>
      </c>
      <c r="W43" s="7">
        <f t="shared" ca="1" si="19"/>
        <v>70</v>
      </c>
    </row>
    <row r="44" spans="5:23" x14ac:dyDescent="0.15">
      <c r="E44" s="7">
        <v>40</v>
      </c>
      <c r="F44" s="15">
        <v>8</v>
      </c>
      <c r="G44" s="8">
        <v>805</v>
      </c>
      <c r="H44" s="8">
        <v>50074</v>
      </c>
      <c r="I44" s="8">
        <v>1</v>
      </c>
      <c r="J44" s="8">
        <f t="shared" si="10"/>
        <v>1</v>
      </c>
      <c r="K44" s="8">
        <f t="shared" ca="1" si="11"/>
        <v>50056</v>
      </c>
      <c r="L44" s="8">
        <v>1</v>
      </c>
      <c r="M44" s="8">
        <f t="shared" ca="1" si="12"/>
        <v>129</v>
      </c>
      <c r="N44" s="8">
        <f t="shared" ca="1" si="13"/>
        <v>50169</v>
      </c>
      <c r="O44" s="8">
        <v>1</v>
      </c>
      <c r="P44" s="8">
        <f t="shared" ca="1" si="14"/>
        <v>88</v>
      </c>
      <c r="Q44" s="8">
        <f t="shared" ca="1" si="15"/>
        <v>50049</v>
      </c>
      <c r="R44" s="8">
        <v>1</v>
      </c>
      <c r="S44" s="8">
        <f t="shared" ca="1" si="16"/>
        <v>32</v>
      </c>
      <c r="T44" s="8">
        <f t="shared" ca="1" si="17"/>
        <v>50074</v>
      </c>
      <c r="U44" s="8">
        <v>1</v>
      </c>
      <c r="V44" s="8">
        <f t="shared" ca="1" si="18"/>
        <v>1</v>
      </c>
      <c r="W44" s="7">
        <f t="shared" ca="1" si="19"/>
        <v>130</v>
      </c>
    </row>
    <row r="45" spans="5:23" x14ac:dyDescent="0.15">
      <c r="E45" s="7">
        <v>41</v>
      </c>
      <c r="F45" s="15">
        <v>8</v>
      </c>
      <c r="G45" s="8">
        <v>901</v>
      </c>
      <c r="H45" s="8">
        <v>50075</v>
      </c>
      <c r="I45" s="8">
        <v>1</v>
      </c>
      <c r="J45" s="8">
        <f t="shared" si="10"/>
        <v>1</v>
      </c>
      <c r="K45" s="8">
        <f t="shared" ca="1" si="11"/>
        <v>50168</v>
      </c>
      <c r="L45" s="8">
        <v>1</v>
      </c>
      <c r="M45" s="8">
        <f t="shared" ca="1" si="12"/>
        <v>181</v>
      </c>
      <c r="N45" s="8">
        <f t="shared" ca="1" si="13"/>
        <v>50042</v>
      </c>
      <c r="O45" s="8">
        <v>1</v>
      </c>
      <c r="P45" s="8">
        <f t="shared" ca="1" si="14"/>
        <v>129</v>
      </c>
      <c r="Q45" s="8">
        <f t="shared" ca="1" si="15"/>
        <v>50062</v>
      </c>
      <c r="R45" s="8">
        <v>1</v>
      </c>
      <c r="S45" s="8">
        <f t="shared" ca="1" si="16"/>
        <v>32</v>
      </c>
      <c r="T45" s="8">
        <f t="shared" ca="1" si="17"/>
        <v>50072</v>
      </c>
      <c r="U45" s="8">
        <v>1</v>
      </c>
      <c r="V45" s="8">
        <f t="shared" ca="1" si="18"/>
        <v>1</v>
      </c>
      <c r="W45" s="7">
        <f t="shared" ca="1" si="19"/>
        <v>70</v>
      </c>
    </row>
    <row r="46" spans="5:23" x14ac:dyDescent="0.15">
      <c r="E46" s="7">
        <v>42</v>
      </c>
      <c r="F46" s="15">
        <v>8</v>
      </c>
      <c r="G46" s="8">
        <v>902</v>
      </c>
      <c r="H46" s="8">
        <v>50076</v>
      </c>
      <c r="I46" s="8">
        <v>1</v>
      </c>
      <c r="J46" s="8">
        <f t="shared" si="10"/>
        <v>1</v>
      </c>
      <c r="K46" s="8">
        <f t="shared" ca="1" si="11"/>
        <v>50055</v>
      </c>
      <c r="L46" s="8">
        <v>1</v>
      </c>
      <c r="M46" s="8">
        <f t="shared" ca="1" si="12"/>
        <v>129</v>
      </c>
      <c r="N46" s="8">
        <f t="shared" ca="1" si="13"/>
        <v>50043</v>
      </c>
      <c r="O46" s="8">
        <v>1</v>
      </c>
      <c r="P46" s="8">
        <f t="shared" ca="1" si="14"/>
        <v>88</v>
      </c>
      <c r="Q46" s="8">
        <f t="shared" ca="1" si="15"/>
        <v>50062</v>
      </c>
      <c r="R46" s="8">
        <v>1</v>
      </c>
      <c r="S46" s="8">
        <f t="shared" ca="1" si="16"/>
        <v>32</v>
      </c>
      <c r="T46" s="8">
        <f t="shared" ca="1" si="17"/>
        <v>50071</v>
      </c>
      <c r="U46" s="8">
        <v>1</v>
      </c>
      <c r="V46" s="8">
        <f t="shared" ca="1" si="18"/>
        <v>1</v>
      </c>
      <c r="W46" s="7">
        <f t="shared" ca="1" si="19"/>
        <v>130</v>
      </c>
    </row>
    <row r="47" spans="5:23" x14ac:dyDescent="0.15">
      <c r="E47" s="7">
        <v>43</v>
      </c>
      <c r="F47" s="15">
        <v>8</v>
      </c>
      <c r="G47" s="8">
        <v>903</v>
      </c>
      <c r="H47" s="8">
        <v>50077</v>
      </c>
      <c r="I47" s="8">
        <v>1</v>
      </c>
      <c r="J47" s="8">
        <f t="shared" si="10"/>
        <v>1</v>
      </c>
      <c r="K47" s="8">
        <f t="shared" ca="1" si="11"/>
        <v>50045</v>
      </c>
      <c r="L47" s="8">
        <v>1</v>
      </c>
      <c r="M47" s="8">
        <f t="shared" ca="1" si="12"/>
        <v>181</v>
      </c>
      <c r="N47" s="8">
        <f t="shared" ca="1" si="13"/>
        <v>50064</v>
      </c>
      <c r="O47" s="8">
        <v>1</v>
      </c>
      <c r="P47" s="8">
        <f t="shared" ca="1" si="14"/>
        <v>129</v>
      </c>
      <c r="Q47" s="8">
        <f t="shared" ca="1" si="15"/>
        <v>50170</v>
      </c>
      <c r="R47" s="8">
        <v>1</v>
      </c>
      <c r="S47" s="8">
        <f t="shared" ca="1" si="16"/>
        <v>32</v>
      </c>
      <c r="T47" s="8">
        <f t="shared" ca="1" si="17"/>
        <v>50077</v>
      </c>
      <c r="U47" s="8">
        <v>1</v>
      </c>
      <c r="V47" s="8">
        <f t="shared" ca="1" si="18"/>
        <v>1</v>
      </c>
      <c r="W47" s="7">
        <f t="shared" ca="1" si="19"/>
        <v>70</v>
      </c>
    </row>
    <row r="48" spans="5:23" x14ac:dyDescent="0.15">
      <c r="E48" s="7">
        <v>44</v>
      </c>
      <c r="F48" s="15">
        <v>8</v>
      </c>
      <c r="G48" s="8">
        <v>904</v>
      </c>
      <c r="H48" s="8">
        <v>50190</v>
      </c>
      <c r="I48" s="8">
        <v>1</v>
      </c>
      <c r="J48" s="8">
        <f t="shared" si="10"/>
        <v>1</v>
      </c>
      <c r="K48" s="8">
        <f t="shared" ca="1" si="11"/>
        <v>50053</v>
      </c>
      <c r="L48" s="8">
        <v>1</v>
      </c>
      <c r="M48" s="8">
        <f t="shared" ca="1" si="12"/>
        <v>129</v>
      </c>
      <c r="N48" s="8">
        <f t="shared" ca="1" si="13"/>
        <v>50063</v>
      </c>
      <c r="O48" s="8">
        <v>1</v>
      </c>
      <c r="P48" s="8">
        <f t="shared" ca="1" si="14"/>
        <v>129</v>
      </c>
      <c r="Q48" s="8">
        <f t="shared" ca="1" si="15"/>
        <v>50062</v>
      </c>
      <c r="R48" s="8">
        <v>1</v>
      </c>
      <c r="S48" s="8">
        <f t="shared" ca="1" si="16"/>
        <v>32</v>
      </c>
      <c r="T48" s="8">
        <f t="shared" ca="1" si="17"/>
        <v>50059</v>
      </c>
      <c r="U48" s="8">
        <v>1</v>
      </c>
      <c r="V48" s="8">
        <f t="shared" ca="1" si="18"/>
        <v>5</v>
      </c>
      <c r="W48" s="7">
        <f t="shared" ca="1" si="19"/>
        <v>110</v>
      </c>
    </row>
    <row r="49" spans="5:23" x14ac:dyDescent="0.15">
      <c r="E49" s="7">
        <v>45</v>
      </c>
      <c r="F49" s="16">
        <v>8</v>
      </c>
      <c r="G49" s="8">
        <v>905</v>
      </c>
      <c r="H49" s="8">
        <f>H5</f>
        <v>50041</v>
      </c>
      <c r="I49" s="8">
        <v>1</v>
      </c>
      <c r="J49" s="8">
        <f t="shared" si="10"/>
        <v>143</v>
      </c>
      <c r="K49" s="8">
        <f t="shared" ca="1" si="11"/>
        <v>50041</v>
      </c>
      <c r="L49" s="8">
        <v>1</v>
      </c>
      <c r="M49" s="8">
        <f t="shared" ca="1" si="12"/>
        <v>181</v>
      </c>
      <c r="N49" s="8">
        <f t="shared" ca="1" si="13"/>
        <v>50067</v>
      </c>
      <c r="O49" s="8">
        <v>1</v>
      </c>
      <c r="P49" s="8">
        <f t="shared" ca="1" si="14"/>
        <v>88</v>
      </c>
      <c r="Q49" s="8">
        <f t="shared" ca="1" si="15"/>
        <v>50068</v>
      </c>
      <c r="R49" s="8">
        <v>1</v>
      </c>
      <c r="S49" s="8">
        <f t="shared" ca="1" si="16"/>
        <v>32</v>
      </c>
      <c r="T49" s="8">
        <f t="shared" ca="1" si="17"/>
        <v>50077</v>
      </c>
      <c r="U49" s="8">
        <v>1</v>
      </c>
      <c r="V49" s="8">
        <f t="shared" ca="1" si="18"/>
        <v>1</v>
      </c>
      <c r="W49" s="7">
        <f t="shared" ca="1" si="19"/>
        <v>70</v>
      </c>
    </row>
    <row r="50" spans="5:23" x14ac:dyDescent="0.15">
      <c r="E50" s="7">
        <v>46</v>
      </c>
      <c r="F50" s="16">
        <v>8</v>
      </c>
      <c r="G50" s="8">
        <v>1001</v>
      </c>
      <c r="H50" s="8">
        <f t="shared" ref="H50:H113" si="20">H6</f>
        <v>50045</v>
      </c>
      <c r="I50" s="8">
        <v>1</v>
      </c>
      <c r="J50" s="8">
        <f t="shared" si="10"/>
        <v>142</v>
      </c>
      <c r="K50" s="8">
        <f t="shared" ca="1" si="11"/>
        <v>50052</v>
      </c>
      <c r="L50" s="8">
        <v>1</v>
      </c>
      <c r="M50" s="8">
        <f t="shared" ca="1" si="12"/>
        <v>181</v>
      </c>
      <c r="N50" s="8">
        <f t="shared" ca="1" si="13"/>
        <v>50046</v>
      </c>
      <c r="O50" s="8">
        <v>1</v>
      </c>
      <c r="P50" s="8">
        <f t="shared" ca="1" si="14"/>
        <v>88</v>
      </c>
      <c r="Q50" s="8">
        <f t="shared" ca="1" si="15"/>
        <v>50044</v>
      </c>
      <c r="R50" s="8">
        <v>1</v>
      </c>
      <c r="S50" s="8">
        <f t="shared" ca="1" si="16"/>
        <v>55</v>
      </c>
      <c r="T50" s="8">
        <f t="shared" ca="1" si="17"/>
        <v>50074</v>
      </c>
      <c r="U50" s="8">
        <v>1</v>
      </c>
      <c r="V50" s="8">
        <f t="shared" ca="1" si="18"/>
        <v>1</v>
      </c>
      <c r="W50" s="7">
        <f t="shared" ca="1" si="19"/>
        <v>70</v>
      </c>
    </row>
    <row r="51" spans="5:23" x14ac:dyDescent="0.15">
      <c r="E51" s="7">
        <v>47</v>
      </c>
      <c r="F51" s="16">
        <v>8</v>
      </c>
      <c r="G51" s="8">
        <v>1002</v>
      </c>
      <c r="H51" s="8">
        <f t="shared" si="20"/>
        <v>50047</v>
      </c>
      <c r="I51" s="8">
        <v>1</v>
      </c>
      <c r="J51" s="8">
        <f t="shared" si="10"/>
        <v>141</v>
      </c>
      <c r="K51" s="8">
        <f t="shared" ca="1" si="11"/>
        <v>50055</v>
      </c>
      <c r="L51" s="8">
        <v>1</v>
      </c>
      <c r="M51" s="8">
        <f t="shared" ca="1" si="12"/>
        <v>129</v>
      </c>
      <c r="N51" s="8">
        <f t="shared" ca="1" si="13"/>
        <v>50053</v>
      </c>
      <c r="O51" s="8">
        <v>1</v>
      </c>
      <c r="P51" s="8">
        <f t="shared" ca="1" si="14"/>
        <v>129</v>
      </c>
      <c r="Q51" s="8">
        <f t="shared" ca="1" si="15"/>
        <v>50062</v>
      </c>
      <c r="R51" s="8">
        <v>1</v>
      </c>
      <c r="S51" s="8">
        <f t="shared" ca="1" si="16"/>
        <v>32</v>
      </c>
      <c r="T51" s="8">
        <f t="shared" ca="1" si="17"/>
        <v>50059</v>
      </c>
      <c r="U51" s="8">
        <v>1</v>
      </c>
      <c r="V51" s="8">
        <f t="shared" ca="1" si="18"/>
        <v>5</v>
      </c>
      <c r="W51" s="7">
        <f t="shared" ca="1" si="19"/>
        <v>80</v>
      </c>
    </row>
    <row r="52" spans="5:23" x14ac:dyDescent="0.15">
      <c r="E52" s="7">
        <v>48</v>
      </c>
      <c r="F52" s="16">
        <v>8</v>
      </c>
      <c r="G52" s="8">
        <v>1003</v>
      </c>
      <c r="H52" s="8">
        <f t="shared" si="20"/>
        <v>50051</v>
      </c>
      <c r="I52" s="8">
        <v>1</v>
      </c>
      <c r="J52" s="8">
        <f t="shared" si="10"/>
        <v>140</v>
      </c>
      <c r="K52" s="8">
        <f t="shared" ca="1" si="11"/>
        <v>50041</v>
      </c>
      <c r="L52" s="8">
        <v>1</v>
      </c>
      <c r="M52" s="8">
        <f t="shared" ca="1" si="12"/>
        <v>181</v>
      </c>
      <c r="N52" s="8">
        <f t="shared" ca="1" si="13"/>
        <v>50063</v>
      </c>
      <c r="O52" s="8">
        <v>1</v>
      </c>
      <c r="P52" s="8">
        <f t="shared" ca="1" si="14"/>
        <v>129</v>
      </c>
      <c r="Q52" s="8">
        <f t="shared" ca="1" si="15"/>
        <v>50062</v>
      </c>
      <c r="R52" s="8">
        <v>1</v>
      </c>
      <c r="S52" s="8">
        <f t="shared" ca="1" si="16"/>
        <v>32</v>
      </c>
      <c r="T52" s="8">
        <f t="shared" ca="1" si="17"/>
        <v>50190</v>
      </c>
      <c r="U52" s="8">
        <v>1</v>
      </c>
      <c r="V52" s="8">
        <f t="shared" ca="1" si="18"/>
        <v>1</v>
      </c>
      <c r="W52" s="7">
        <f t="shared" ca="1" si="19"/>
        <v>50</v>
      </c>
    </row>
    <row r="53" spans="5:23" x14ac:dyDescent="0.15">
      <c r="E53" s="7">
        <v>49</v>
      </c>
      <c r="F53" s="16">
        <v>8</v>
      </c>
      <c r="G53" s="8">
        <v>1004</v>
      </c>
      <c r="H53" s="8">
        <f t="shared" si="20"/>
        <v>50052</v>
      </c>
      <c r="I53" s="8">
        <v>1</v>
      </c>
      <c r="J53" s="8">
        <f t="shared" si="10"/>
        <v>139</v>
      </c>
      <c r="K53" s="8">
        <f t="shared" ca="1" si="11"/>
        <v>50064</v>
      </c>
      <c r="L53" s="8">
        <v>1</v>
      </c>
      <c r="M53" s="8">
        <f t="shared" ca="1" si="12"/>
        <v>129</v>
      </c>
      <c r="N53" s="8">
        <f t="shared" ca="1" si="13"/>
        <v>50048</v>
      </c>
      <c r="O53" s="8">
        <v>1</v>
      </c>
      <c r="P53" s="8">
        <f t="shared" ca="1" si="14"/>
        <v>88</v>
      </c>
      <c r="Q53" s="8">
        <f t="shared" ca="1" si="15"/>
        <v>50044</v>
      </c>
      <c r="R53" s="8">
        <v>1</v>
      </c>
      <c r="S53" s="8">
        <f t="shared" ca="1" si="16"/>
        <v>55</v>
      </c>
      <c r="T53" s="8">
        <f t="shared" ca="1" si="17"/>
        <v>50071</v>
      </c>
      <c r="U53" s="8">
        <v>1</v>
      </c>
      <c r="V53" s="8">
        <f t="shared" ca="1" si="18"/>
        <v>1</v>
      </c>
      <c r="W53" s="7">
        <f t="shared" ca="1" si="19"/>
        <v>90</v>
      </c>
    </row>
    <row r="54" spans="5:23" x14ac:dyDescent="0.15">
      <c r="E54" s="7">
        <v>50</v>
      </c>
      <c r="F54" s="16">
        <v>8</v>
      </c>
      <c r="G54" s="8">
        <v>1005</v>
      </c>
      <c r="H54" s="8">
        <f t="shared" si="20"/>
        <v>50069</v>
      </c>
      <c r="I54" s="8">
        <v>1</v>
      </c>
      <c r="J54" s="8">
        <f t="shared" si="10"/>
        <v>138</v>
      </c>
      <c r="K54" s="8">
        <f t="shared" ca="1" si="11"/>
        <v>50056</v>
      </c>
      <c r="L54" s="8">
        <v>1</v>
      </c>
      <c r="M54" s="8">
        <f t="shared" ca="1" si="12"/>
        <v>129</v>
      </c>
      <c r="N54" s="8">
        <f t="shared" ca="1" si="13"/>
        <v>50065</v>
      </c>
      <c r="O54" s="8">
        <v>1</v>
      </c>
      <c r="P54" s="8">
        <f t="shared" ca="1" si="14"/>
        <v>129</v>
      </c>
      <c r="Q54" s="8">
        <f t="shared" ca="1" si="15"/>
        <v>50170</v>
      </c>
      <c r="R54" s="8">
        <v>1</v>
      </c>
      <c r="S54" s="8">
        <f t="shared" ca="1" si="16"/>
        <v>32</v>
      </c>
      <c r="T54" s="8">
        <f t="shared" ca="1" si="17"/>
        <v>50050</v>
      </c>
      <c r="U54" s="8">
        <v>1</v>
      </c>
      <c r="V54" s="8">
        <f t="shared" ca="1" si="18"/>
        <v>5</v>
      </c>
      <c r="W54" s="7">
        <f t="shared" ca="1" si="19"/>
        <v>80</v>
      </c>
    </row>
    <row r="55" spans="5:23" x14ac:dyDescent="0.15">
      <c r="E55" s="7">
        <v>51</v>
      </c>
      <c r="F55" s="16">
        <v>8</v>
      </c>
      <c r="G55" s="8">
        <v>1101</v>
      </c>
      <c r="H55" s="8">
        <f t="shared" si="20"/>
        <v>50168</v>
      </c>
      <c r="I55" s="8">
        <v>1</v>
      </c>
      <c r="J55" s="8">
        <f t="shared" si="10"/>
        <v>138</v>
      </c>
      <c r="K55" s="8">
        <f t="shared" ca="1" si="11"/>
        <v>50065</v>
      </c>
      <c r="L55" s="8">
        <v>1</v>
      </c>
      <c r="M55" s="8">
        <f t="shared" ca="1" si="12"/>
        <v>129</v>
      </c>
      <c r="N55" s="8">
        <f t="shared" ca="1" si="13"/>
        <v>50055</v>
      </c>
      <c r="O55" s="8">
        <v>1</v>
      </c>
      <c r="P55" s="8">
        <f t="shared" ca="1" si="14"/>
        <v>129</v>
      </c>
      <c r="Q55" s="8">
        <f t="shared" ca="1" si="15"/>
        <v>50061</v>
      </c>
      <c r="R55" s="8">
        <v>1</v>
      </c>
      <c r="S55" s="8">
        <f t="shared" ca="1" si="16"/>
        <v>32</v>
      </c>
      <c r="T55" s="8">
        <f t="shared" ca="1" si="17"/>
        <v>50075</v>
      </c>
      <c r="U55" s="8">
        <v>1</v>
      </c>
      <c r="V55" s="8">
        <f t="shared" ca="1" si="18"/>
        <v>1</v>
      </c>
      <c r="W55" s="7">
        <f t="shared" ca="1" si="19"/>
        <v>70</v>
      </c>
    </row>
    <row r="56" spans="5:23" x14ac:dyDescent="0.15">
      <c r="E56" s="7">
        <v>52</v>
      </c>
      <c r="F56" s="16">
        <v>8</v>
      </c>
      <c r="G56" s="8">
        <v>1102</v>
      </c>
      <c r="H56" s="8">
        <f t="shared" si="20"/>
        <v>50189</v>
      </c>
      <c r="I56" s="8">
        <v>1</v>
      </c>
      <c r="J56" s="8">
        <f t="shared" si="10"/>
        <v>137</v>
      </c>
      <c r="K56" s="8">
        <f t="shared" ca="1" si="11"/>
        <v>50047</v>
      </c>
      <c r="L56" s="8">
        <v>1</v>
      </c>
      <c r="M56" s="8">
        <f t="shared" ca="1" si="12"/>
        <v>181</v>
      </c>
      <c r="N56" s="8">
        <f t="shared" ca="1" si="13"/>
        <v>50057</v>
      </c>
      <c r="O56" s="8">
        <v>1</v>
      </c>
      <c r="P56" s="8">
        <f t="shared" ca="1" si="14"/>
        <v>129</v>
      </c>
      <c r="Q56" s="8">
        <f t="shared" ca="1" si="15"/>
        <v>50061</v>
      </c>
      <c r="R56" s="8">
        <v>1</v>
      </c>
      <c r="S56" s="8">
        <f t="shared" ca="1" si="16"/>
        <v>32</v>
      </c>
      <c r="T56" s="8">
        <f t="shared" ca="1" si="17"/>
        <v>50059</v>
      </c>
      <c r="U56" s="8">
        <v>1</v>
      </c>
      <c r="V56" s="8">
        <f t="shared" ca="1" si="18"/>
        <v>5</v>
      </c>
      <c r="W56" s="7">
        <f t="shared" ca="1" si="19"/>
        <v>60</v>
      </c>
    </row>
    <row r="57" spans="5:23" x14ac:dyDescent="0.15">
      <c r="E57" s="7">
        <v>53</v>
      </c>
      <c r="F57" s="16">
        <v>8</v>
      </c>
      <c r="G57" s="8">
        <v>1103</v>
      </c>
      <c r="H57" s="8">
        <f t="shared" si="20"/>
        <v>50042</v>
      </c>
      <c r="I57" s="8">
        <v>1</v>
      </c>
      <c r="J57" s="8">
        <f t="shared" si="10"/>
        <v>97</v>
      </c>
      <c r="K57" s="8">
        <f t="shared" ca="1" si="11"/>
        <v>50168</v>
      </c>
      <c r="L57" s="8">
        <v>1</v>
      </c>
      <c r="M57" s="8">
        <f t="shared" ca="1" si="12"/>
        <v>181</v>
      </c>
      <c r="N57" s="8">
        <f t="shared" ca="1" si="13"/>
        <v>50066</v>
      </c>
      <c r="O57" s="8">
        <v>1</v>
      </c>
      <c r="P57" s="8">
        <f t="shared" ca="1" si="14"/>
        <v>88</v>
      </c>
      <c r="Q57" s="8">
        <f t="shared" ca="1" si="15"/>
        <v>50058</v>
      </c>
      <c r="R57" s="8">
        <v>1</v>
      </c>
      <c r="S57" s="8">
        <f t="shared" ca="1" si="16"/>
        <v>55</v>
      </c>
      <c r="T57" s="8">
        <f t="shared" ca="1" si="17"/>
        <v>50050</v>
      </c>
      <c r="U57" s="8">
        <v>1</v>
      </c>
      <c r="V57" s="8">
        <f t="shared" ca="1" si="18"/>
        <v>5</v>
      </c>
      <c r="W57" s="7">
        <f t="shared" ca="1" si="19"/>
        <v>90</v>
      </c>
    </row>
    <row r="58" spans="5:23" x14ac:dyDescent="0.15">
      <c r="E58" s="7">
        <v>54</v>
      </c>
      <c r="F58" s="16">
        <v>8</v>
      </c>
      <c r="G58" s="8">
        <v>1104</v>
      </c>
      <c r="H58" s="8">
        <f t="shared" si="20"/>
        <v>50053</v>
      </c>
      <c r="I58" s="8">
        <v>1</v>
      </c>
      <c r="J58" s="8">
        <f t="shared" si="10"/>
        <v>96</v>
      </c>
      <c r="K58" s="8">
        <f t="shared" ca="1" si="11"/>
        <v>50047</v>
      </c>
      <c r="L58" s="8">
        <v>1</v>
      </c>
      <c r="M58" s="8">
        <f t="shared" ca="1" si="12"/>
        <v>181</v>
      </c>
      <c r="N58" s="8">
        <f t="shared" ca="1" si="13"/>
        <v>50046</v>
      </c>
      <c r="O58" s="8">
        <v>1</v>
      </c>
      <c r="P58" s="8">
        <f t="shared" ca="1" si="14"/>
        <v>88</v>
      </c>
      <c r="Q58" s="8">
        <f t="shared" ca="1" si="15"/>
        <v>50044</v>
      </c>
      <c r="R58" s="8">
        <v>1</v>
      </c>
      <c r="S58" s="8">
        <f t="shared" ca="1" si="16"/>
        <v>55</v>
      </c>
      <c r="T58" s="8">
        <f t="shared" ca="1" si="17"/>
        <v>50077</v>
      </c>
      <c r="U58" s="8">
        <v>1</v>
      </c>
      <c r="V58" s="8">
        <f t="shared" ca="1" si="18"/>
        <v>1</v>
      </c>
      <c r="W58" s="7">
        <f t="shared" ca="1" si="19"/>
        <v>80</v>
      </c>
    </row>
    <row r="59" spans="5:23" x14ac:dyDescent="0.15">
      <c r="E59" s="7">
        <v>55</v>
      </c>
      <c r="F59" s="16">
        <v>8</v>
      </c>
      <c r="G59" s="8">
        <v>1105</v>
      </c>
      <c r="H59" s="8">
        <f t="shared" si="20"/>
        <v>50054</v>
      </c>
      <c r="I59" s="8">
        <v>1</v>
      </c>
      <c r="J59" s="8">
        <f t="shared" si="10"/>
        <v>96</v>
      </c>
      <c r="K59" s="8">
        <f t="shared" ca="1" si="11"/>
        <v>50056</v>
      </c>
      <c r="L59" s="8">
        <v>1</v>
      </c>
      <c r="M59" s="8">
        <f t="shared" ca="1" si="12"/>
        <v>129</v>
      </c>
      <c r="N59" s="8">
        <f t="shared" ca="1" si="13"/>
        <v>50055</v>
      </c>
      <c r="O59" s="8">
        <v>1</v>
      </c>
      <c r="P59" s="8">
        <f t="shared" ca="1" si="14"/>
        <v>129</v>
      </c>
      <c r="Q59" s="8">
        <f t="shared" ca="1" si="15"/>
        <v>50058</v>
      </c>
      <c r="R59" s="8">
        <v>1</v>
      </c>
      <c r="S59" s="8">
        <f t="shared" ca="1" si="16"/>
        <v>55</v>
      </c>
      <c r="T59" s="8">
        <f t="shared" ca="1" si="17"/>
        <v>50071</v>
      </c>
      <c r="U59" s="8">
        <v>1</v>
      </c>
      <c r="V59" s="8">
        <f t="shared" ca="1" si="18"/>
        <v>1</v>
      </c>
      <c r="W59" s="7">
        <f t="shared" ca="1" si="19"/>
        <v>90</v>
      </c>
    </row>
    <row r="60" spans="5:23" x14ac:dyDescent="0.15">
      <c r="E60" s="7">
        <v>56</v>
      </c>
      <c r="F60" s="16">
        <v>8</v>
      </c>
      <c r="G60" s="8">
        <v>1201</v>
      </c>
      <c r="H60" s="8">
        <f t="shared" si="20"/>
        <v>50055</v>
      </c>
      <c r="I60" s="8">
        <v>1</v>
      </c>
      <c r="J60" s="8">
        <f t="shared" si="10"/>
        <v>95</v>
      </c>
      <c r="K60" s="8">
        <f t="shared" ca="1" si="11"/>
        <v>50063</v>
      </c>
      <c r="L60" s="8">
        <v>1</v>
      </c>
      <c r="M60" s="8">
        <f t="shared" ca="1" si="12"/>
        <v>129</v>
      </c>
      <c r="N60" s="8">
        <f t="shared" ca="1" si="13"/>
        <v>50046</v>
      </c>
      <c r="O60" s="8">
        <v>1</v>
      </c>
      <c r="P60" s="8">
        <f t="shared" ca="1" si="14"/>
        <v>88</v>
      </c>
      <c r="Q60" s="8">
        <f t="shared" ca="1" si="15"/>
        <v>50058</v>
      </c>
      <c r="R60" s="8">
        <v>1</v>
      </c>
      <c r="S60" s="8">
        <f t="shared" ca="1" si="16"/>
        <v>55</v>
      </c>
      <c r="T60" s="8">
        <f t="shared" ca="1" si="17"/>
        <v>50059</v>
      </c>
      <c r="U60" s="8">
        <v>1</v>
      </c>
      <c r="V60" s="8">
        <f t="shared" ca="1" si="18"/>
        <v>5</v>
      </c>
      <c r="W60" s="7">
        <f t="shared" ca="1" si="19"/>
        <v>110</v>
      </c>
    </row>
    <row r="61" spans="5:23" x14ac:dyDescent="0.15">
      <c r="E61" s="7">
        <v>57</v>
      </c>
      <c r="F61" s="16">
        <v>8</v>
      </c>
      <c r="G61" s="8">
        <v>1202</v>
      </c>
      <c r="H61" s="8">
        <f t="shared" si="20"/>
        <v>50056</v>
      </c>
      <c r="I61" s="8">
        <v>1</v>
      </c>
      <c r="J61" s="8">
        <f t="shared" si="10"/>
        <v>94</v>
      </c>
      <c r="K61" s="8">
        <f t="shared" ca="1" si="11"/>
        <v>50070</v>
      </c>
      <c r="L61" s="8">
        <v>1</v>
      </c>
      <c r="M61" s="8">
        <f t="shared" ca="1" si="12"/>
        <v>129</v>
      </c>
      <c r="N61" s="8">
        <f t="shared" ca="1" si="13"/>
        <v>50056</v>
      </c>
      <c r="O61" s="8">
        <v>1</v>
      </c>
      <c r="P61" s="8">
        <f t="shared" ca="1" si="14"/>
        <v>129</v>
      </c>
      <c r="Q61" s="8">
        <f t="shared" ca="1" si="15"/>
        <v>50058</v>
      </c>
      <c r="R61" s="8">
        <v>1</v>
      </c>
      <c r="S61" s="8">
        <f t="shared" ca="1" si="16"/>
        <v>55</v>
      </c>
      <c r="T61" s="8">
        <f t="shared" ca="1" si="17"/>
        <v>50190</v>
      </c>
      <c r="U61" s="8">
        <v>1</v>
      </c>
      <c r="V61" s="8">
        <f t="shared" ca="1" si="18"/>
        <v>1</v>
      </c>
      <c r="W61" s="7">
        <f t="shared" ca="1" si="19"/>
        <v>90</v>
      </c>
    </row>
    <row r="62" spans="5:23" x14ac:dyDescent="0.15">
      <c r="E62" s="7">
        <v>58</v>
      </c>
      <c r="F62" s="16">
        <v>8</v>
      </c>
      <c r="G62" s="8">
        <v>1203</v>
      </c>
      <c r="H62" s="8">
        <f t="shared" si="20"/>
        <v>50057</v>
      </c>
      <c r="I62" s="8">
        <v>1</v>
      </c>
      <c r="J62" s="8">
        <f t="shared" si="10"/>
        <v>94</v>
      </c>
      <c r="K62" s="8">
        <f t="shared" ca="1" si="11"/>
        <v>50057</v>
      </c>
      <c r="L62" s="8">
        <v>1</v>
      </c>
      <c r="M62" s="8">
        <f t="shared" ca="1" si="12"/>
        <v>129</v>
      </c>
      <c r="N62" s="8">
        <f t="shared" ca="1" si="13"/>
        <v>50067</v>
      </c>
      <c r="O62" s="8">
        <v>1</v>
      </c>
      <c r="P62" s="8">
        <f t="shared" ca="1" si="14"/>
        <v>88</v>
      </c>
      <c r="Q62" s="8">
        <f t="shared" ca="1" si="15"/>
        <v>50188</v>
      </c>
      <c r="R62" s="8">
        <v>1</v>
      </c>
      <c r="S62" s="8">
        <f t="shared" ca="1" si="16"/>
        <v>32</v>
      </c>
      <c r="T62" s="8">
        <f t="shared" ca="1" si="17"/>
        <v>50050</v>
      </c>
      <c r="U62" s="8">
        <v>1</v>
      </c>
      <c r="V62" s="8">
        <f t="shared" ca="1" si="18"/>
        <v>5</v>
      </c>
      <c r="W62" s="7">
        <f t="shared" ca="1" si="19"/>
        <v>120</v>
      </c>
    </row>
    <row r="63" spans="5:23" x14ac:dyDescent="0.15">
      <c r="E63" s="7">
        <v>59</v>
      </c>
      <c r="F63" s="16">
        <v>8</v>
      </c>
      <c r="G63" s="8">
        <v>1204</v>
      </c>
      <c r="H63" s="8">
        <f t="shared" si="20"/>
        <v>50063</v>
      </c>
      <c r="I63" s="8">
        <v>1</v>
      </c>
      <c r="J63" s="8">
        <f t="shared" si="10"/>
        <v>93</v>
      </c>
      <c r="K63" s="8">
        <f t="shared" ca="1" si="11"/>
        <v>50052</v>
      </c>
      <c r="L63" s="8">
        <v>1</v>
      </c>
      <c r="M63" s="8">
        <f t="shared" ca="1" si="12"/>
        <v>181</v>
      </c>
      <c r="N63" s="8">
        <f t="shared" ca="1" si="13"/>
        <v>50066</v>
      </c>
      <c r="O63" s="8">
        <v>1</v>
      </c>
      <c r="P63" s="8">
        <f t="shared" ca="1" si="14"/>
        <v>88</v>
      </c>
      <c r="Q63" s="8">
        <f t="shared" ca="1" si="15"/>
        <v>50049</v>
      </c>
      <c r="R63" s="8">
        <v>1</v>
      </c>
      <c r="S63" s="8">
        <f t="shared" ca="1" si="16"/>
        <v>32</v>
      </c>
      <c r="T63" s="8">
        <f t="shared" ca="1" si="17"/>
        <v>50075</v>
      </c>
      <c r="U63" s="8">
        <v>1</v>
      </c>
      <c r="V63" s="8">
        <f t="shared" ca="1" si="18"/>
        <v>1</v>
      </c>
      <c r="W63" s="7">
        <f t="shared" ca="1" si="19"/>
        <v>80</v>
      </c>
    </row>
    <row r="64" spans="5:23" x14ac:dyDescent="0.15">
      <c r="E64" s="7">
        <v>60</v>
      </c>
      <c r="F64" s="16">
        <v>8</v>
      </c>
      <c r="G64" s="8">
        <v>1205</v>
      </c>
      <c r="H64" s="8">
        <f t="shared" si="20"/>
        <v>50064</v>
      </c>
      <c r="I64" s="8">
        <v>1</v>
      </c>
      <c r="J64" s="8">
        <f t="shared" si="10"/>
        <v>93</v>
      </c>
      <c r="K64" s="8">
        <f t="shared" ca="1" si="11"/>
        <v>50189</v>
      </c>
      <c r="L64" s="8">
        <v>1</v>
      </c>
      <c r="M64" s="8">
        <f t="shared" ca="1" si="12"/>
        <v>181</v>
      </c>
      <c r="N64" s="8">
        <f t="shared" ca="1" si="13"/>
        <v>50070</v>
      </c>
      <c r="O64" s="8">
        <v>1</v>
      </c>
      <c r="P64" s="8">
        <f t="shared" ca="1" si="14"/>
        <v>129</v>
      </c>
      <c r="Q64" s="8">
        <f t="shared" ca="1" si="15"/>
        <v>50170</v>
      </c>
      <c r="R64" s="8">
        <v>1</v>
      </c>
      <c r="S64" s="8">
        <f t="shared" ca="1" si="16"/>
        <v>32</v>
      </c>
      <c r="T64" s="8">
        <f t="shared" ca="1" si="17"/>
        <v>50190</v>
      </c>
      <c r="U64" s="8">
        <v>1</v>
      </c>
      <c r="V64" s="8">
        <f t="shared" ca="1" si="18"/>
        <v>1</v>
      </c>
      <c r="W64" s="7">
        <f t="shared" ca="1" si="19"/>
        <v>70</v>
      </c>
    </row>
    <row r="65" spans="5:23" x14ac:dyDescent="0.15">
      <c r="E65" s="7">
        <v>61</v>
      </c>
      <c r="F65" s="16">
        <v>8</v>
      </c>
      <c r="G65" s="8">
        <v>1301</v>
      </c>
      <c r="H65" s="8">
        <f t="shared" si="20"/>
        <v>50065</v>
      </c>
      <c r="I65" s="8">
        <v>1</v>
      </c>
      <c r="J65" s="8">
        <f t="shared" si="10"/>
        <v>92</v>
      </c>
      <c r="K65" s="8">
        <f t="shared" ca="1" si="11"/>
        <v>50070</v>
      </c>
      <c r="L65" s="8">
        <v>1</v>
      </c>
      <c r="M65" s="8">
        <f t="shared" ca="1" si="12"/>
        <v>129</v>
      </c>
      <c r="N65" s="8">
        <f t="shared" ca="1" si="13"/>
        <v>50055</v>
      </c>
      <c r="O65" s="8">
        <v>1</v>
      </c>
      <c r="P65" s="8">
        <f t="shared" ca="1" si="14"/>
        <v>129</v>
      </c>
      <c r="Q65" s="8">
        <f t="shared" ca="1" si="15"/>
        <v>50044</v>
      </c>
      <c r="R65" s="8">
        <v>1</v>
      </c>
      <c r="S65" s="8">
        <f t="shared" ca="1" si="16"/>
        <v>55</v>
      </c>
      <c r="T65" s="8">
        <f t="shared" ca="1" si="17"/>
        <v>50073</v>
      </c>
      <c r="U65" s="8">
        <v>1</v>
      </c>
      <c r="V65" s="8">
        <f t="shared" ca="1" si="18"/>
        <v>1</v>
      </c>
      <c r="W65" s="7">
        <f t="shared" ca="1" si="19"/>
        <v>90</v>
      </c>
    </row>
    <row r="66" spans="5:23" x14ac:dyDescent="0.15">
      <c r="E66" s="7">
        <v>62</v>
      </c>
      <c r="F66" s="16">
        <v>8</v>
      </c>
      <c r="G66" s="8">
        <v>1302</v>
      </c>
      <c r="H66" s="8">
        <f t="shared" si="20"/>
        <v>50070</v>
      </c>
      <c r="I66" s="8">
        <v>1</v>
      </c>
      <c r="J66" s="8">
        <f t="shared" si="10"/>
        <v>91</v>
      </c>
      <c r="K66" s="8">
        <f t="shared" ca="1" si="11"/>
        <v>50070</v>
      </c>
      <c r="L66" s="8">
        <v>1</v>
      </c>
      <c r="M66" s="8">
        <f t="shared" ca="1" si="12"/>
        <v>129</v>
      </c>
      <c r="N66" s="8">
        <f t="shared" ca="1" si="13"/>
        <v>50046</v>
      </c>
      <c r="O66" s="8">
        <v>1</v>
      </c>
      <c r="P66" s="8">
        <f t="shared" ca="1" si="14"/>
        <v>88</v>
      </c>
      <c r="Q66" s="8">
        <f t="shared" ca="1" si="15"/>
        <v>50170</v>
      </c>
      <c r="R66" s="8">
        <v>1</v>
      </c>
      <c r="S66" s="8">
        <f t="shared" ca="1" si="16"/>
        <v>32</v>
      </c>
      <c r="T66" s="8">
        <f t="shared" ca="1" si="17"/>
        <v>50071</v>
      </c>
      <c r="U66" s="8">
        <v>1</v>
      </c>
      <c r="V66" s="8">
        <f t="shared" ca="1" si="18"/>
        <v>1</v>
      </c>
      <c r="W66" s="7">
        <f t="shared" ca="1" si="19"/>
        <v>110</v>
      </c>
    </row>
    <row r="67" spans="5:23" x14ac:dyDescent="0.15">
      <c r="E67" s="7">
        <v>63</v>
      </c>
      <c r="F67" s="16">
        <v>8</v>
      </c>
      <c r="G67" s="8">
        <v>1303</v>
      </c>
      <c r="H67" s="8">
        <f t="shared" si="20"/>
        <v>50043</v>
      </c>
      <c r="I67" s="8">
        <v>1</v>
      </c>
      <c r="J67" s="8">
        <f t="shared" si="10"/>
        <v>62</v>
      </c>
      <c r="K67" s="8">
        <f t="shared" ca="1" si="11"/>
        <v>50056</v>
      </c>
      <c r="L67" s="8">
        <v>1</v>
      </c>
      <c r="M67" s="8">
        <f t="shared" ca="1" si="12"/>
        <v>129</v>
      </c>
      <c r="N67" s="8">
        <f t="shared" ca="1" si="13"/>
        <v>50169</v>
      </c>
      <c r="O67" s="8">
        <v>1</v>
      </c>
      <c r="P67" s="8">
        <f t="shared" ca="1" si="14"/>
        <v>88</v>
      </c>
      <c r="Q67" s="8">
        <f t="shared" ca="1" si="15"/>
        <v>50062</v>
      </c>
      <c r="R67" s="8">
        <v>1</v>
      </c>
      <c r="S67" s="8">
        <f t="shared" ca="1" si="16"/>
        <v>32</v>
      </c>
      <c r="T67" s="8">
        <f t="shared" ca="1" si="17"/>
        <v>50072</v>
      </c>
      <c r="U67" s="8">
        <v>1</v>
      </c>
      <c r="V67" s="8">
        <f t="shared" ca="1" si="18"/>
        <v>1</v>
      </c>
      <c r="W67" s="7">
        <f t="shared" ca="1" si="19"/>
        <v>130</v>
      </c>
    </row>
    <row r="68" spans="5:23" x14ac:dyDescent="0.15">
      <c r="E68" s="7">
        <v>64</v>
      </c>
      <c r="F68" s="16">
        <v>8</v>
      </c>
      <c r="G68" s="8">
        <v>1304</v>
      </c>
      <c r="H68" s="8">
        <f t="shared" si="20"/>
        <v>50046</v>
      </c>
      <c r="I68" s="8">
        <v>1</v>
      </c>
      <c r="J68" s="8">
        <f t="shared" si="10"/>
        <v>62</v>
      </c>
      <c r="K68" s="8">
        <f t="shared" ca="1" si="11"/>
        <v>50052</v>
      </c>
      <c r="L68" s="8">
        <v>1</v>
      </c>
      <c r="M68" s="8">
        <f t="shared" ca="1" si="12"/>
        <v>181</v>
      </c>
      <c r="N68" s="8">
        <f t="shared" ca="1" si="13"/>
        <v>50043</v>
      </c>
      <c r="O68" s="8">
        <v>1</v>
      </c>
      <c r="P68" s="8">
        <f t="shared" ca="1" si="14"/>
        <v>88</v>
      </c>
      <c r="Q68" s="8">
        <f t="shared" ca="1" si="15"/>
        <v>50044</v>
      </c>
      <c r="R68" s="8">
        <v>1</v>
      </c>
      <c r="S68" s="8">
        <f t="shared" ca="1" si="16"/>
        <v>55</v>
      </c>
      <c r="T68" s="8">
        <f t="shared" ca="1" si="17"/>
        <v>50076</v>
      </c>
      <c r="U68" s="8">
        <v>1</v>
      </c>
      <c r="V68" s="8">
        <f t="shared" ca="1" si="18"/>
        <v>1</v>
      </c>
      <c r="W68" s="7">
        <f t="shared" ca="1" si="19"/>
        <v>100</v>
      </c>
    </row>
    <row r="69" spans="5:23" x14ac:dyDescent="0.15">
      <c r="E69" s="7">
        <v>65</v>
      </c>
      <c r="F69" s="16">
        <v>8</v>
      </c>
      <c r="G69" s="8">
        <v>1305</v>
      </c>
      <c r="H69" s="8">
        <f t="shared" si="20"/>
        <v>50048</v>
      </c>
      <c r="I69" s="8">
        <v>1</v>
      </c>
      <c r="J69" s="8">
        <f t="shared" ref="J69:J100" si="21">ROUNDUP(VLOOKUP(H69,marking,9,FALSE)*((140*1.5-E69)/(140*1.5)),0)</f>
        <v>61</v>
      </c>
      <c r="K69" s="8">
        <f t="shared" ref="K69:K100" ca="1" si="22">IF(K$2&gt;$F69,VLOOKUP(INT(RAND()*(VLOOKUP($F69,reference1,2,FALSE)-1)+1),test1,4,FALSE),VLOOKUP(INT(RAND()*(19-1)+1),test1,4,FALSE))</f>
        <v>50051</v>
      </c>
      <c r="L69" s="8">
        <v>1</v>
      </c>
      <c r="M69" s="8">
        <f t="shared" ref="M69:M100" ca="1" si="23">ROUNDUP(VLOOKUP(K69,marking,9,FALSE),0)</f>
        <v>181</v>
      </c>
      <c r="N69" s="8">
        <f t="shared" ref="N69:N100" ca="1" si="24">IF(N$2&gt;$F69,VLOOKUP(INT(RAND()*(VLOOKUP($F69,reference1,2,FALSE)-1)+1),test1,4,FALSE),VLOOKUP(INT(RAND()*(26-9)+9),test1,4,FALSE))</f>
        <v>50065</v>
      </c>
      <c r="O69" s="8">
        <v>1</v>
      </c>
      <c r="P69" s="8">
        <f t="shared" ref="P69:P100" ca="1" si="25">ROUNDUP(VLOOKUP(N69,marking,9,FALSE),0)</f>
        <v>129</v>
      </c>
      <c r="Q69" s="8">
        <f t="shared" ref="Q69:Q100" ca="1" si="26">IF(Q$2&gt;$F69,VLOOKUP(INT(RAND()*(VLOOKUP($F69,reference1,2,FALSE)-1)+1),test1,4,FALSE),VLOOKUP(INT(RAND()*(35-26)+26),test1,4,FALSE))</f>
        <v>50058</v>
      </c>
      <c r="R69" s="8">
        <v>1</v>
      </c>
      <c r="S69" s="8">
        <f t="shared" ref="S69:S100" ca="1" si="27">ROUNDUP(VLOOKUP(Q69,marking,9,FALSE),0)</f>
        <v>55</v>
      </c>
      <c r="T69" s="8">
        <f t="shared" ref="T69:T100" ca="1" si="28">IF(T$2&gt;$F69,VLOOKUP(INT(RAND()*(VLOOKUP($F69,reference1,2,FALSE)-1)+1),test1,4,FALSE),VLOOKUP(INT(RAND()*(45-35)+35),test1,4,FALSE))</f>
        <v>50073</v>
      </c>
      <c r="U69" s="8">
        <v>1</v>
      </c>
      <c r="V69" s="8">
        <f t="shared" ref="V69:V100" ca="1" si="29">ROUNDUP(VLOOKUP(T69,marking,9,FALSE),0)</f>
        <v>1</v>
      </c>
      <c r="W69" s="7">
        <f t="shared" ref="W69:W100" ca="1" si="30">(ROUND((VLOOKUP(H69,marking,10,FALSE)*J69+VLOOKUP(K69,marking,10,FALSE)*M69+VLOOKUP(N69,marking,10,FALSE)*P69+VLOOKUP(Q69,marking,10,FALSE)*S69+VLOOKUP(T69,marking,10,FALSE)*V69)/(J69+M69+P69+S69+V69),0))*10</f>
        <v>80</v>
      </c>
    </row>
    <row r="70" spans="5:23" x14ac:dyDescent="0.15">
      <c r="E70" s="7">
        <v>66</v>
      </c>
      <c r="F70" s="16">
        <v>8</v>
      </c>
      <c r="G70" s="8">
        <v>1401</v>
      </c>
      <c r="H70" s="8">
        <f t="shared" si="20"/>
        <v>50066</v>
      </c>
      <c r="I70" s="8">
        <v>1</v>
      </c>
      <c r="J70" s="8">
        <f t="shared" si="21"/>
        <v>61</v>
      </c>
      <c r="K70" s="8">
        <f t="shared" ca="1" si="22"/>
        <v>50069</v>
      </c>
      <c r="L70" s="8">
        <v>1</v>
      </c>
      <c r="M70" s="8">
        <f t="shared" ca="1" si="23"/>
        <v>181</v>
      </c>
      <c r="N70" s="8">
        <f t="shared" ca="1" si="24"/>
        <v>50067</v>
      </c>
      <c r="O70" s="8">
        <v>1</v>
      </c>
      <c r="P70" s="8">
        <f t="shared" ca="1" si="25"/>
        <v>88</v>
      </c>
      <c r="Q70" s="8">
        <f t="shared" ca="1" si="26"/>
        <v>50068</v>
      </c>
      <c r="R70" s="8">
        <v>1</v>
      </c>
      <c r="S70" s="8">
        <f t="shared" ca="1" si="27"/>
        <v>32</v>
      </c>
      <c r="T70" s="8">
        <f t="shared" ca="1" si="28"/>
        <v>50073</v>
      </c>
      <c r="U70" s="8">
        <v>1</v>
      </c>
      <c r="V70" s="8">
        <f t="shared" ca="1" si="29"/>
        <v>1</v>
      </c>
      <c r="W70" s="7">
        <f t="shared" ca="1" si="30"/>
        <v>100</v>
      </c>
    </row>
    <row r="71" spans="5:23" x14ac:dyDescent="0.15">
      <c r="E71" s="7">
        <v>67</v>
      </c>
      <c r="F71" s="16">
        <v>8</v>
      </c>
      <c r="G71" s="8">
        <v>1402</v>
      </c>
      <c r="H71" s="8">
        <f t="shared" si="20"/>
        <v>50067</v>
      </c>
      <c r="I71" s="8">
        <v>1</v>
      </c>
      <c r="J71" s="8">
        <f t="shared" si="21"/>
        <v>60</v>
      </c>
      <c r="K71" s="8">
        <f t="shared" ca="1" si="22"/>
        <v>50053</v>
      </c>
      <c r="L71" s="8">
        <v>1</v>
      </c>
      <c r="M71" s="8">
        <f t="shared" ca="1" si="23"/>
        <v>129</v>
      </c>
      <c r="N71" s="8">
        <f t="shared" ca="1" si="24"/>
        <v>50169</v>
      </c>
      <c r="O71" s="8">
        <v>1</v>
      </c>
      <c r="P71" s="8">
        <f t="shared" ca="1" si="25"/>
        <v>88</v>
      </c>
      <c r="Q71" s="8">
        <f t="shared" ca="1" si="26"/>
        <v>50058</v>
      </c>
      <c r="R71" s="8">
        <v>1</v>
      </c>
      <c r="S71" s="8">
        <f t="shared" ca="1" si="27"/>
        <v>55</v>
      </c>
      <c r="T71" s="8">
        <f t="shared" ca="1" si="28"/>
        <v>50072</v>
      </c>
      <c r="U71" s="8">
        <v>1</v>
      </c>
      <c r="V71" s="8">
        <f t="shared" ca="1" si="29"/>
        <v>1</v>
      </c>
      <c r="W71" s="7">
        <f t="shared" ca="1" si="30"/>
        <v>130</v>
      </c>
    </row>
    <row r="72" spans="5:23" x14ac:dyDescent="0.15">
      <c r="E72" s="7">
        <v>68</v>
      </c>
      <c r="F72" s="16">
        <v>8</v>
      </c>
      <c r="G72" s="8">
        <v>1403</v>
      </c>
      <c r="H72" s="8">
        <f t="shared" si="20"/>
        <v>50169</v>
      </c>
      <c r="I72" s="8">
        <v>1</v>
      </c>
      <c r="J72" s="8">
        <f t="shared" si="21"/>
        <v>60</v>
      </c>
      <c r="K72" s="8">
        <f t="shared" ca="1" si="22"/>
        <v>50047</v>
      </c>
      <c r="L72" s="8">
        <v>1</v>
      </c>
      <c r="M72" s="8">
        <f t="shared" ca="1" si="23"/>
        <v>181</v>
      </c>
      <c r="N72" s="8">
        <f t="shared" ca="1" si="24"/>
        <v>50070</v>
      </c>
      <c r="O72" s="8">
        <v>1</v>
      </c>
      <c r="P72" s="8">
        <f t="shared" ca="1" si="25"/>
        <v>129</v>
      </c>
      <c r="Q72" s="8">
        <f t="shared" ca="1" si="26"/>
        <v>50061</v>
      </c>
      <c r="R72" s="8">
        <v>1</v>
      </c>
      <c r="S72" s="8">
        <f t="shared" ca="1" si="27"/>
        <v>32</v>
      </c>
      <c r="T72" s="8">
        <f t="shared" ca="1" si="28"/>
        <v>50076</v>
      </c>
      <c r="U72" s="8">
        <v>1</v>
      </c>
      <c r="V72" s="8">
        <f t="shared" ca="1" si="29"/>
        <v>1</v>
      </c>
      <c r="W72" s="7">
        <f t="shared" ca="1" si="30"/>
        <v>80</v>
      </c>
    </row>
    <row r="73" spans="5:23" x14ac:dyDescent="0.15">
      <c r="E73" s="7">
        <v>69</v>
      </c>
      <c r="F73" s="16">
        <v>8</v>
      </c>
      <c r="G73" s="8">
        <v>1404</v>
      </c>
      <c r="H73" s="8">
        <f t="shared" si="20"/>
        <v>50171</v>
      </c>
      <c r="I73" s="8">
        <v>1</v>
      </c>
      <c r="J73" s="8">
        <f t="shared" si="21"/>
        <v>60</v>
      </c>
      <c r="K73" s="8">
        <f t="shared" ca="1" si="22"/>
        <v>50047</v>
      </c>
      <c r="L73" s="8">
        <v>1</v>
      </c>
      <c r="M73" s="8">
        <f t="shared" ca="1" si="23"/>
        <v>181</v>
      </c>
      <c r="N73" s="8">
        <f t="shared" ca="1" si="24"/>
        <v>50067</v>
      </c>
      <c r="O73" s="8">
        <v>1</v>
      </c>
      <c r="P73" s="8">
        <f t="shared" ca="1" si="25"/>
        <v>88</v>
      </c>
      <c r="Q73" s="8">
        <f t="shared" ca="1" si="26"/>
        <v>50061</v>
      </c>
      <c r="R73" s="8">
        <v>1</v>
      </c>
      <c r="S73" s="8">
        <f t="shared" ca="1" si="27"/>
        <v>32</v>
      </c>
      <c r="T73" s="8">
        <f t="shared" ca="1" si="28"/>
        <v>50074</v>
      </c>
      <c r="U73" s="8">
        <v>1</v>
      </c>
      <c r="V73" s="8">
        <f t="shared" ca="1" si="29"/>
        <v>1</v>
      </c>
      <c r="W73" s="7">
        <f t="shared" ca="1" si="30"/>
        <v>100</v>
      </c>
    </row>
    <row r="74" spans="5:23" x14ac:dyDescent="0.15">
      <c r="E74" s="7">
        <v>70</v>
      </c>
      <c r="F74" s="16">
        <v>8</v>
      </c>
      <c r="G74" s="8">
        <v>1405</v>
      </c>
      <c r="H74" s="8">
        <f t="shared" si="20"/>
        <v>50044</v>
      </c>
      <c r="I74" s="8">
        <v>1</v>
      </c>
      <c r="J74" s="8">
        <f t="shared" si="21"/>
        <v>37</v>
      </c>
      <c r="K74" s="8">
        <f t="shared" ca="1" si="22"/>
        <v>50054</v>
      </c>
      <c r="L74" s="8">
        <v>1</v>
      </c>
      <c r="M74" s="8">
        <f t="shared" ca="1" si="23"/>
        <v>129</v>
      </c>
      <c r="N74" s="8">
        <f t="shared" ca="1" si="24"/>
        <v>50043</v>
      </c>
      <c r="O74" s="8">
        <v>1</v>
      </c>
      <c r="P74" s="8">
        <f t="shared" ca="1" si="25"/>
        <v>88</v>
      </c>
      <c r="Q74" s="8">
        <f t="shared" ca="1" si="26"/>
        <v>50044</v>
      </c>
      <c r="R74" s="8">
        <v>1</v>
      </c>
      <c r="S74" s="8">
        <f t="shared" ca="1" si="27"/>
        <v>55</v>
      </c>
      <c r="T74" s="8">
        <f t="shared" ca="1" si="28"/>
        <v>50076</v>
      </c>
      <c r="U74" s="8">
        <v>1</v>
      </c>
      <c r="V74" s="8">
        <f t="shared" ca="1" si="29"/>
        <v>1</v>
      </c>
      <c r="W74" s="7">
        <f t="shared" ca="1" si="30"/>
        <v>140</v>
      </c>
    </row>
    <row r="75" spans="5:23" x14ac:dyDescent="0.15">
      <c r="E75" s="7">
        <v>71</v>
      </c>
      <c r="F75" s="16">
        <v>8</v>
      </c>
      <c r="G75" s="8">
        <v>1501</v>
      </c>
      <c r="H75" s="8">
        <f t="shared" si="20"/>
        <v>50058</v>
      </c>
      <c r="I75" s="8">
        <v>1</v>
      </c>
      <c r="J75" s="8">
        <f t="shared" si="21"/>
        <v>37</v>
      </c>
      <c r="K75" s="8">
        <f t="shared" ca="1" si="22"/>
        <v>50069</v>
      </c>
      <c r="L75" s="8">
        <v>1</v>
      </c>
      <c r="M75" s="8">
        <f t="shared" ca="1" si="23"/>
        <v>181</v>
      </c>
      <c r="N75" s="8">
        <f t="shared" ca="1" si="24"/>
        <v>50070</v>
      </c>
      <c r="O75" s="8">
        <v>1</v>
      </c>
      <c r="P75" s="8">
        <f t="shared" ca="1" si="25"/>
        <v>129</v>
      </c>
      <c r="Q75" s="8">
        <f t="shared" ca="1" si="26"/>
        <v>50061</v>
      </c>
      <c r="R75" s="8">
        <v>1</v>
      </c>
      <c r="S75" s="8">
        <f t="shared" ca="1" si="27"/>
        <v>32</v>
      </c>
      <c r="T75" s="8">
        <f t="shared" ca="1" si="28"/>
        <v>50190</v>
      </c>
      <c r="U75" s="8">
        <v>1</v>
      </c>
      <c r="V75" s="8">
        <f t="shared" ca="1" si="29"/>
        <v>1</v>
      </c>
      <c r="W75" s="7">
        <f t="shared" ca="1" si="30"/>
        <v>80</v>
      </c>
    </row>
    <row r="76" spans="5:23" x14ac:dyDescent="0.15">
      <c r="E76" s="7">
        <v>72</v>
      </c>
      <c r="F76" s="16">
        <v>8</v>
      </c>
      <c r="G76" s="8">
        <v>1502</v>
      </c>
      <c r="H76" s="8">
        <f t="shared" si="20"/>
        <v>50049</v>
      </c>
      <c r="I76" s="8">
        <v>1</v>
      </c>
      <c r="J76" s="8">
        <f t="shared" si="21"/>
        <v>22</v>
      </c>
      <c r="K76" s="8">
        <f t="shared" ca="1" si="22"/>
        <v>50041</v>
      </c>
      <c r="L76" s="8">
        <v>1</v>
      </c>
      <c r="M76" s="8">
        <f t="shared" ca="1" si="23"/>
        <v>181</v>
      </c>
      <c r="N76" s="8">
        <f t="shared" ca="1" si="24"/>
        <v>50046</v>
      </c>
      <c r="O76" s="8">
        <v>1</v>
      </c>
      <c r="P76" s="8">
        <f t="shared" ca="1" si="25"/>
        <v>88</v>
      </c>
      <c r="Q76" s="8">
        <f t="shared" ca="1" si="26"/>
        <v>50170</v>
      </c>
      <c r="R76" s="8">
        <v>1</v>
      </c>
      <c r="S76" s="8">
        <f t="shared" ca="1" si="27"/>
        <v>32</v>
      </c>
      <c r="T76" s="8">
        <f t="shared" ca="1" si="28"/>
        <v>50050</v>
      </c>
      <c r="U76" s="8">
        <v>1</v>
      </c>
      <c r="V76" s="8">
        <f t="shared" ca="1" si="29"/>
        <v>5</v>
      </c>
      <c r="W76" s="7">
        <f t="shared" ca="1" si="30"/>
        <v>120</v>
      </c>
    </row>
    <row r="77" spans="5:23" x14ac:dyDescent="0.15">
      <c r="E77" s="7">
        <v>73</v>
      </c>
      <c r="F77" s="16">
        <v>8</v>
      </c>
      <c r="G77" s="8">
        <v>1503</v>
      </c>
      <c r="H77" s="8">
        <f t="shared" si="20"/>
        <v>50060</v>
      </c>
      <c r="I77" s="8">
        <v>1</v>
      </c>
      <c r="J77" s="8">
        <f t="shared" si="21"/>
        <v>21</v>
      </c>
      <c r="K77" s="8">
        <f t="shared" ca="1" si="22"/>
        <v>50069</v>
      </c>
      <c r="L77" s="8">
        <v>1</v>
      </c>
      <c r="M77" s="8">
        <f t="shared" ca="1" si="23"/>
        <v>181</v>
      </c>
      <c r="N77" s="8">
        <f t="shared" ca="1" si="24"/>
        <v>50043</v>
      </c>
      <c r="O77" s="8">
        <v>1</v>
      </c>
      <c r="P77" s="8">
        <f t="shared" ca="1" si="25"/>
        <v>88</v>
      </c>
      <c r="Q77" s="8">
        <f t="shared" ca="1" si="26"/>
        <v>50062</v>
      </c>
      <c r="R77" s="8">
        <v>1</v>
      </c>
      <c r="S77" s="8">
        <f t="shared" ca="1" si="27"/>
        <v>32</v>
      </c>
      <c r="T77" s="8">
        <f t="shared" ca="1" si="28"/>
        <v>50075</v>
      </c>
      <c r="U77" s="8">
        <v>1</v>
      </c>
      <c r="V77" s="8">
        <f t="shared" ca="1" si="29"/>
        <v>1</v>
      </c>
      <c r="W77" s="7">
        <f t="shared" ca="1" si="30"/>
        <v>110</v>
      </c>
    </row>
    <row r="78" spans="5:23" x14ac:dyDescent="0.15">
      <c r="E78" s="7">
        <v>74</v>
      </c>
      <c r="F78" s="16">
        <v>8</v>
      </c>
      <c r="G78" s="8">
        <v>1504</v>
      </c>
      <c r="H78" s="8">
        <f t="shared" si="20"/>
        <v>50061</v>
      </c>
      <c r="I78" s="8">
        <v>1</v>
      </c>
      <c r="J78" s="8">
        <f t="shared" si="21"/>
        <v>21</v>
      </c>
      <c r="K78" s="8">
        <f t="shared" ca="1" si="22"/>
        <v>50042</v>
      </c>
      <c r="L78" s="8">
        <v>1</v>
      </c>
      <c r="M78" s="8">
        <f t="shared" ca="1" si="23"/>
        <v>129</v>
      </c>
      <c r="N78" s="8">
        <f t="shared" ca="1" si="24"/>
        <v>50065</v>
      </c>
      <c r="O78" s="8">
        <v>1</v>
      </c>
      <c r="P78" s="8">
        <f t="shared" ca="1" si="25"/>
        <v>129</v>
      </c>
      <c r="Q78" s="8">
        <f t="shared" ca="1" si="26"/>
        <v>50188</v>
      </c>
      <c r="R78" s="8">
        <v>1</v>
      </c>
      <c r="S78" s="8">
        <f t="shared" ca="1" si="27"/>
        <v>32</v>
      </c>
      <c r="T78" s="8">
        <f t="shared" ca="1" si="28"/>
        <v>50077</v>
      </c>
      <c r="U78" s="8">
        <v>1</v>
      </c>
      <c r="V78" s="8">
        <f t="shared" ca="1" si="29"/>
        <v>1</v>
      </c>
      <c r="W78" s="7">
        <f t="shared" ca="1" si="30"/>
        <v>120</v>
      </c>
    </row>
    <row r="79" spans="5:23" x14ac:dyDescent="0.15">
      <c r="E79" s="7">
        <v>75</v>
      </c>
      <c r="F79" s="16">
        <v>8</v>
      </c>
      <c r="G79" s="8">
        <v>1505</v>
      </c>
      <c r="H79" s="8">
        <f t="shared" si="20"/>
        <v>50062</v>
      </c>
      <c r="I79" s="8">
        <v>1</v>
      </c>
      <c r="J79" s="8">
        <f t="shared" si="21"/>
        <v>21</v>
      </c>
      <c r="K79" s="8">
        <f t="shared" ca="1" si="22"/>
        <v>50042</v>
      </c>
      <c r="L79" s="8">
        <v>1</v>
      </c>
      <c r="M79" s="8">
        <f t="shared" ca="1" si="23"/>
        <v>129</v>
      </c>
      <c r="N79" s="8">
        <f t="shared" ca="1" si="24"/>
        <v>50171</v>
      </c>
      <c r="O79" s="8">
        <v>1</v>
      </c>
      <c r="P79" s="8">
        <f t="shared" ca="1" si="25"/>
        <v>88</v>
      </c>
      <c r="Q79" s="8">
        <f t="shared" ca="1" si="26"/>
        <v>50058</v>
      </c>
      <c r="R79" s="8">
        <v>1</v>
      </c>
      <c r="S79" s="8">
        <f t="shared" ca="1" si="27"/>
        <v>55</v>
      </c>
      <c r="T79" s="8">
        <f t="shared" ca="1" si="28"/>
        <v>50059</v>
      </c>
      <c r="U79" s="8">
        <v>1</v>
      </c>
      <c r="V79" s="8">
        <f t="shared" ca="1" si="29"/>
        <v>5</v>
      </c>
      <c r="W79" s="7">
        <f t="shared" ca="1" si="30"/>
        <v>150</v>
      </c>
    </row>
    <row r="80" spans="5:23" x14ac:dyDescent="0.15">
      <c r="E80" s="7">
        <v>76</v>
      </c>
      <c r="F80" s="16">
        <v>8</v>
      </c>
      <c r="G80" s="8">
        <v>1601</v>
      </c>
      <c r="H80" s="8">
        <f t="shared" si="20"/>
        <v>50068</v>
      </c>
      <c r="I80" s="8">
        <v>1</v>
      </c>
      <c r="J80" s="8">
        <f t="shared" si="21"/>
        <v>21</v>
      </c>
      <c r="K80" s="8">
        <f t="shared" ca="1" si="22"/>
        <v>50064</v>
      </c>
      <c r="L80" s="8">
        <v>1</v>
      </c>
      <c r="M80" s="8">
        <f t="shared" ca="1" si="23"/>
        <v>129</v>
      </c>
      <c r="N80" s="8">
        <f t="shared" ca="1" si="24"/>
        <v>50063</v>
      </c>
      <c r="O80" s="8">
        <v>1</v>
      </c>
      <c r="P80" s="8">
        <f t="shared" ca="1" si="25"/>
        <v>129</v>
      </c>
      <c r="Q80" s="8">
        <f t="shared" ca="1" si="26"/>
        <v>50058</v>
      </c>
      <c r="R80" s="8">
        <v>1</v>
      </c>
      <c r="S80" s="8">
        <f t="shared" ca="1" si="27"/>
        <v>55</v>
      </c>
      <c r="T80" s="8">
        <f t="shared" ca="1" si="28"/>
        <v>50072</v>
      </c>
      <c r="U80" s="8">
        <v>1</v>
      </c>
      <c r="V80" s="8">
        <f t="shared" ca="1" si="29"/>
        <v>1</v>
      </c>
      <c r="W80" s="7">
        <f t="shared" ca="1" si="30"/>
        <v>110</v>
      </c>
    </row>
    <row r="81" spans="5:23" x14ac:dyDescent="0.15">
      <c r="E81" s="7">
        <v>77</v>
      </c>
      <c r="F81" s="16">
        <v>8</v>
      </c>
      <c r="G81" s="8">
        <v>1602</v>
      </c>
      <c r="H81" s="8">
        <f t="shared" si="20"/>
        <v>50170</v>
      </c>
      <c r="I81" s="8">
        <v>1</v>
      </c>
      <c r="J81" s="8">
        <f t="shared" si="21"/>
        <v>21</v>
      </c>
      <c r="K81" s="8">
        <f t="shared" ca="1" si="22"/>
        <v>50064</v>
      </c>
      <c r="L81" s="8">
        <v>1</v>
      </c>
      <c r="M81" s="8">
        <f t="shared" ca="1" si="23"/>
        <v>129</v>
      </c>
      <c r="N81" s="8">
        <f t="shared" ca="1" si="24"/>
        <v>50057</v>
      </c>
      <c r="O81" s="8">
        <v>1</v>
      </c>
      <c r="P81" s="8">
        <f t="shared" ca="1" si="25"/>
        <v>129</v>
      </c>
      <c r="Q81" s="8">
        <f t="shared" ca="1" si="26"/>
        <v>50049</v>
      </c>
      <c r="R81" s="8">
        <v>1</v>
      </c>
      <c r="S81" s="8">
        <f t="shared" ca="1" si="27"/>
        <v>32</v>
      </c>
      <c r="T81" s="8">
        <f t="shared" ca="1" si="28"/>
        <v>50050</v>
      </c>
      <c r="U81" s="8">
        <v>1</v>
      </c>
      <c r="V81" s="8">
        <f t="shared" ca="1" si="29"/>
        <v>5</v>
      </c>
      <c r="W81" s="7">
        <f t="shared" ca="1" si="30"/>
        <v>120</v>
      </c>
    </row>
    <row r="82" spans="5:23" x14ac:dyDescent="0.15">
      <c r="E82" s="7">
        <v>78</v>
      </c>
      <c r="F82" s="16">
        <v>8</v>
      </c>
      <c r="G82" s="8">
        <v>1603</v>
      </c>
      <c r="H82" s="8">
        <f t="shared" si="20"/>
        <v>50188</v>
      </c>
      <c r="I82" s="8">
        <v>1</v>
      </c>
      <c r="J82" s="8">
        <f t="shared" si="21"/>
        <v>21</v>
      </c>
      <c r="K82" s="8">
        <f t="shared" ca="1" si="22"/>
        <v>50065</v>
      </c>
      <c r="L82" s="8">
        <v>1</v>
      </c>
      <c r="M82" s="8">
        <f t="shared" ca="1" si="23"/>
        <v>129</v>
      </c>
      <c r="N82" s="8">
        <f t="shared" ca="1" si="24"/>
        <v>50043</v>
      </c>
      <c r="O82" s="8">
        <v>1</v>
      </c>
      <c r="P82" s="8">
        <f t="shared" ca="1" si="25"/>
        <v>88</v>
      </c>
      <c r="Q82" s="8">
        <f t="shared" ca="1" si="26"/>
        <v>50068</v>
      </c>
      <c r="R82" s="8">
        <v>1</v>
      </c>
      <c r="S82" s="8">
        <f t="shared" ca="1" si="27"/>
        <v>32</v>
      </c>
      <c r="T82" s="8">
        <f t="shared" ca="1" si="28"/>
        <v>50190</v>
      </c>
      <c r="U82" s="8">
        <v>1</v>
      </c>
      <c r="V82" s="8">
        <f t="shared" ca="1" si="29"/>
        <v>1</v>
      </c>
      <c r="W82" s="7">
        <f t="shared" ca="1" si="30"/>
        <v>150</v>
      </c>
    </row>
    <row r="83" spans="5:23" x14ac:dyDescent="0.15">
      <c r="E83" s="7">
        <v>79</v>
      </c>
      <c r="F83" s="16">
        <v>8</v>
      </c>
      <c r="G83" s="8">
        <v>1604</v>
      </c>
      <c r="H83" s="8">
        <f t="shared" si="20"/>
        <v>50050</v>
      </c>
      <c r="I83" s="8">
        <v>1</v>
      </c>
      <c r="J83" s="8">
        <f t="shared" si="21"/>
        <v>4</v>
      </c>
      <c r="K83" s="8">
        <f t="shared" ca="1" si="22"/>
        <v>50053</v>
      </c>
      <c r="L83" s="8">
        <v>1</v>
      </c>
      <c r="M83" s="8">
        <f t="shared" ca="1" si="23"/>
        <v>129</v>
      </c>
      <c r="N83" s="8">
        <f t="shared" ca="1" si="24"/>
        <v>50169</v>
      </c>
      <c r="O83" s="8">
        <v>1</v>
      </c>
      <c r="P83" s="8">
        <f t="shared" ca="1" si="25"/>
        <v>88</v>
      </c>
      <c r="Q83" s="8">
        <f t="shared" ca="1" si="26"/>
        <v>50068</v>
      </c>
      <c r="R83" s="8">
        <v>1</v>
      </c>
      <c r="S83" s="8">
        <f t="shared" ca="1" si="27"/>
        <v>32</v>
      </c>
      <c r="T83" s="8">
        <f t="shared" ca="1" si="28"/>
        <v>50072</v>
      </c>
      <c r="U83" s="8">
        <v>1</v>
      </c>
      <c r="V83" s="8">
        <f t="shared" ca="1" si="29"/>
        <v>1</v>
      </c>
      <c r="W83" s="7">
        <f t="shared" ca="1" si="30"/>
        <v>140</v>
      </c>
    </row>
    <row r="84" spans="5:23" x14ac:dyDescent="0.15">
      <c r="E84" s="7">
        <v>80</v>
      </c>
      <c r="F84" s="16">
        <v>8</v>
      </c>
      <c r="G84" s="8">
        <v>1605</v>
      </c>
      <c r="H84" s="8">
        <f t="shared" si="20"/>
        <v>50059</v>
      </c>
      <c r="I84" s="8">
        <v>1</v>
      </c>
      <c r="J84" s="8">
        <f t="shared" si="21"/>
        <v>4</v>
      </c>
      <c r="K84" s="8">
        <f t="shared" ca="1" si="22"/>
        <v>50064</v>
      </c>
      <c r="L84" s="8">
        <v>1</v>
      </c>
      <c r="M84" s="8">
        <f t="shared" ca="1" si="23"/>
        <v>129</v>
      </c>
      <c r="N84" s="8">
        <f t="shared" ca="1" si="24"/>
        <v>50057</v>
      </c>
      <c r="O84" s="8">
        <v>1</v>
      </c>
      <c r="P84" s="8">
        <f t="shared" ca="1" si="25"/>
        <v>129</v>
      </c>
      <c r="Q84" s="8">
        <f t="shared" ca="1" si="26"/>
        <v>50170</v>
      </c>
      <c r="R84" s="8">
        <v>1</v>
      </c>
      <c r="S84" s="8">
        <f t="shared" ca="1" si="27"/>
        <v>32</v>
      </c>
      <c r="T84" s="8">
        <f t="shared" ca="1" si="28"/>
        <v>50076</v>
      </c>
      <c r="U84" s="8">
        <v>1</v>
      </c>
      <c r="V84" s="8">
        <f t="shared" ca="1" si="29"/>
        <v>1</v>
      </c>
      <c r="W84" s="7">
        <f t="shared" ca="1" si="30"/>
        <v>110</v>
      </c>
    </row>
    <row r="85" spans="5:23" x14ac:dyDescent="0.15">
      <c r="E85" s="7">
        <v>81</v>
      </c>
      <c r="F85" s="16">
        <v>8</v>
      </c>
      <c r="G85" s="8">
        <v>1701</v>
      </c>
      <c r="H85" s="8">
        <f t="shared" si="20"/>
        <v>50071</v>
      </c>
      <c r="I85" s="8">
        <v>1</v>
      </c>
      <c r="J85" s="8">
        <f t="shared" si="21"/>
        <v>1</v>
      </c>
      <c r="K85" s="8">
        <f t="shared" ca="1" si="22"/>
        <v>50042</v>
      </c>
      <c r="L85" s="8">
        <v>1</v>
      </c>
      <c r="M85" s="8">
        <f t="shared" ca="1" si="23"/>
        <v>129</v>
      </c>
      <c r="N85" s="8">
        <f t="shared" ca="1" si="24"/>
        <v>50171</v>
      </c>
      <c r="O85" s="8">
        <v>1</v>
      </c>
      <c r="P85" s="8">
        <f t="shared" ca="1" si="25"/>
        <v>88</v>
      </c>
      <c r="Q85" s="8">
        <f t="shared" ca="1" si="26"/>
        <v>50060</v>
      </c>
      <c r="R85" s="8">
        <v>1</v>
      </c>
      <c r="S85" s="8">
        <f t="shared" ca="1" si="27"/>
        <v>32</v>
      </c>
      <c r="T85" s="8">
        <f t="shared" ca="1" si="28"/>
        <v>50190</v>
      </c>
      <c r="U85" s="8">
        <v>1</v>
      </c>
      <c r="V85" s="8">
        <f t="shared" ca="1" si="29"/>
        <v>1</v>
      </c>
      <c r="W85" s="7">
        <f t="shared" ca="1" si="30"/>
        <v>130</v>
      </c>
    </row>
    <row r="86" spans="5:23" x14ac:dyDescent="0.15">
      <c r="E86" s="7">
        <v>82</v>
      </c>
      <c r="F86" s="16">
        <v>8</v>
      </c>
      <c r="G86" s="8">
        <v>1702</v>
      </c>
      <c r="H86" s="8">
        <f t="shared" si="20"/>
        <v>50072</v>
      </c>
      <c r="I86" s="8">
        <v>1</v>
      </c>
      <c r="J86" s="8">
        <f t="shared" si="21"/>
        <v>1</v>
      </c>
      <c r="K86" s="8">
        <f t="shared" ca="1" si="22"/>
        <v>50042</v>
      </c>
      <c r="L86" s="8">
        <v>1</v>
      </c>
      <c r="M86" s="8">
        <f t="shared" ca="1" si="23"/>
        <v>129</v>
      </c>
      <c r="N86" s="8">
        <f t="shared" ca="1" si="24"/>
        <v>50042</v>
      </c>
      <c r="O86" s="8">
        <v>1</v>
      </c>
      <c r="P86" s="8">
        <f t="shared" ca="1" si="25"/>
        <v>129</v>
      </c>
      <c r="Q86" s="8">
        <f t="shared" ca="1" si="26"/>
        <v>50044</v>
      </c>
      <c r="R86" s="8">
        <v>1</v>
      </c>
      <c r="S86" s="8">
        <f t="shared" ca="1" si="27"/>
        <v>55</v>
      </c>
      <c r="T86" s="8">
        <f t="shared" ca="1" si="28"/>
        <v>50050</v>
      </c>
      <c r="U86" s="8">
        <v>1</v>
      </c>
      <c r="V86" s="8">
        <f t="shared" ca="1" si="29"/>
        <v>5</v>
      </c>
      <c r="W86" s="7">
        <f t="shared" ca="1" si="30"/>
        <v>100</v>
      </c>
    </row>
    <row r="87" spans="5:23" x14ac:dyDescent="0.15">
      <c r="E87" s="7">
        <v>83</v>
      </c>
      <c r="F87" s="16">
        <v>8</v>
      </c>
      <c r="G87" s="8">
        <v>1703</v>
      </c>
      <c r="H87" s="8">
        <f t="shared" si="20"/>
        <v>50073</v>
      </c>
      <c r="I87" s="8">
        <v>1</v>
      </c>
      <c r="J87" s="8">
        <f t="shared" si="21"/>
        <v>1</v>
      </c>
      <c r="K87" s="8">
        <f t="shared" ca="1" si="22"/>
        <v>50047</v>
      </c>
      <c r="L87" s="8">
        <v>1</v>
      </c>
      <c r="M87" s="8">
        <f t="shared" ca="1" si="23"/>
        <v>181</v>
      </c>
      <c r="N87" s="8">
        <f t="shared" ca="1" si="24"/>
        <v>50056</v>
      </c>
      <c r="O87" s="8">
        <v>1</v>
      </c>
      <c r="P87" s="8">
        <f t="shared" ca="1" si="25"/>
        <v>129</v>
      </c>
      <c r="Q87" s="8">
        <f t="shared" ca="1" si="26"/>
        <v>50062</v>
      </c>
      <c r="R87" s="8">
        <v>1</v>
      </c>
      <c r="S87" s="8">
        <f t="shared" ca="1" si="27"/>
        <v>32</v>
      </c>
      <c r="T87" s="8">
        <f t="shared" ca="1" si="28"/>
        <v>50074</v>
      </c>
      <c r="U87" s="8">
        <v>1</v>
      </c>
      <c r="V87" s="8">
        <f t="shared" ca="1" si="29"/>
        <v>1</v>
      </c>
      <c r="W87" s="7">
        <f t="shared" ca="1" si="30"/>
        <v>70</v>
      </c>
    </row>
    <row r="88" spans="5:23" x14ac:dyDescent="0.15">
      <c r="E88" s="7">
        <v>84</v>
      </c>
      <c r="F88" s="16">
        <v>8</v>
      </c>
      <c r="G88" s="8">
        <v>1704</v>
      </c>
      <c r="H88" s="8">
        <f t="shared" si="20"/>
        <v>50074</v>
      </c>
      <c r="I88" s="8">
        <v>1</v>
      </c>
      <c r="J88" s="8">
        <f t="shared" si="21"/>
        <v>1</v>
      </c>
      <c r="K88" s="8">
        <f t="shared" ca="1" si="22"/>
        <v>50057</v>
      </c>
      <c r="L88" s="8">
        <v>1</v>
      </c>
      <c r="M88" s="8">
        <f t="shared" ca="1" si="23"/>
        <v>129</v>
      </c>
      <c r="N88" s="8">
        <f t="shared" ca="1" si="24"/>
        <v>50056</v>
      </c>
      <c r="O88" s="8">
        <v>1</v>
      </c>
      <c r="P88" s="8">
        <f t="shared" ca="1" si="25"/>
        <v>129</v>
      </c>
      <c r="Q88" s="8">
        <f t="shared" ca="1" si="26"/>
        <v>50061</v>
      </c>
      <c r="R88" s="8">
        <v>1</v>
      </c>
      <c r="S88" s="8">
        <f t="shared" ca="1" si="27"/>
        <v>32</v>
      </c>
      <c r="T88" s="8">
        <f t="shared" ca="1" si="28"/>
        <v>50074</v>
      </c>
      <c r="U88" s="8">
        <v>1</v>
      </c>
      <c r="V88" s="8">
        <f t="shared" ca="1" si="29"/>
        <v>1</v>
      </c>
      <c r="W88" s="7">
        <f t="shared" ca="1" si="30"/>
        <v>100</v>
      </c>
    </row>
    <row r="89" spans="5:23" x14ac:dyDescent="0.15">
      <c r="E89" s="7">
        <v>85</v>
      </c>
      <c r="F89" s="16">
        <v>8</v>
      </c>
      <c r="G89" s="8">
        <v>1705</v>
      </c>
      <c r="H89" s="8">
        <f t="shared" si="20"/>
        <v>50075</v>
      </c>
      <c r="I89" s="8">
        <v>1</v>
      </c>
      <c r="J89" s="8">
        <f t="shared" si="21"/>
        <v>1</v>
      </c>
      <c r="K89" s="8">
        <f t="shared" ca="1" si="22"/>
        <v>50047</v>
      </c>
      <c r="L89" s="8">
        <v>1</v>
      </c>
      <c r="M89" s="8">
        <f t="shared" ca="1" si="23"/>
        <v>181</v>
      </c>
      <c r="N89" s="8">
        <f t="shared" ca="1" si="24"/>
        <v>50067</v>
      </c>
      <c r="O89" s="8">
        <v>1</v>
      </c>
      <c r="P89" s="8">
        <f t="shared" ca="1" si="25"/>
        <v>88</v>
      </c>
      <c r="Q89" s="8">
        <f t="shared" ca="1" si="26"/>
        <v>50060</v>
      </c>
      <c r="R89" s="8">
        <v>1</v>
      </c>
      <c r="S89" s="8">
        <f t="shared" ca="1" si="27"/>
        <v>32</v>
      </c>
      <c r="T89" s="8">
        <f t="shared" ca="1" si="28"/>
        <v>50074</v>
      </c>
      <c r="U89" s="8">
        <v>1</v>
      </c>
      <c r="V89" s="8">
        <f t="shared" ca="1" si="29"/>
        <v>1</v>
      </c>
      <c r="W89" s="7">
        <f t="shared" ca="1" si="30"/>
        <v>90</v>
      </c>
    </row>
    <row r="90" spans="5:23" x14ac:dyDescent="0.15">
      <c r="E90" s="7">
        <v>86</v>
      </c>
      <c r="F90" s="16">
        <v>8</v>
      </c>
      <c r="G90" s="8">
        <v>1801</v>
      </c>
      <c r="H90" s="8">
        <f t="shared" si="20"/>
        <v>50076</v>
      </c>
      <c r="I90" s="8">
        <v>1</v>
      </c>
      <c r="J90" s="8">
        <f t="shared" si="21"/>
        <v>1</v>
      </c>
      <c r="K90" s="8">
        <f t="shared" ca="1" si="22"/>
        <v>50063</v>
      </c>
      <c r="L90" s="8">
        <v>1</v>
      </c>
      <c r="M90" s="8">
        <f t="shared" ca="1" si="23"/>
        <v>129</v>
      </c>
      <c r="N90" s="8">
        <f t="shared" ca="1" si="24"/>
        <v>50055</v>
      </c>
      <c r="O90" s="8">
        <v>1</v>
      </c>
      <c r="P90" s="8">
        <f t="shared" ca="1" si="25"/>
        <v>129</v>
      </c>
      <c r="Q90" s="8">
        <f t="shared" ca="1" si="26"/>
        <v>50068</v>
      </c>
      <c r="R90" s="8">
        <v>1</v>
      </c>
      <c r="S90" s="8">
        <f t="shared" ca="1" si="27"/>
        <v>32</v>
      </c>
      <c r="T90" s="8">
        <f t="shared" ca="1" si="28"/>
        <v>50072</v>
      </c>
      <c r="U90" s="8">
        <v>1</v>
      </c>
      <c r="V90" s="8">
        <f t="shared" ca="1" si="29"/>
        <v>1</v>
      </c>
      <c r="W90" s="7">
        <f t="shared" ca="1" si="30"/>
        <v>100</v>
      </c>
    </row>
    <row r="91" spans="5:23" x14ac:dyDescent="0.15">
      <c r="E91" s="7">
        <v>87</v>
      </c>
      <c r="F91" s="16">
        <v>8</v>
      </c>
      <c r="G91" s="8">
        <v>1802</v>
      </c>
      <c r="H91" s="8">
        <f t="shared" si="20"/>
        <v>50077</v>
      </c>
      <c r="I91" s="8">
        <v>1</v>
      </c>
      <c r="J91" s="8">
        <f t="shared" si="21"/>
        <v>1</v>
      </c>
      <c r="K91" s="8">
        <f t="shared" ca="1" si="22"/>
        <v>50051</v>
      </c>
      <c r="L91" s="8">
        <v>1</v>
      </c>
      <c r="M91" s="8">
        <f t="shared" ca="1" si="23"/>
        <v>181</v>
      </c>
      <c r="N91" s="8">
        <f t="shared" ca="1" si="24"/>
        <v>50067</v>
      </c>
      <c r="O91" s="8">
        <v>1</v>
      </c>
      <c r="P91" s="8">
        <f t="shared" ca="1" si="25"/>
        <v>88</v>
      </c>
      <c r="Q91" s="8">
        <f t="shared" ca="1" si="26"/>
        <v>50049</v>
      </c>
      <c r="R91" s="8">
        <v>1</v>
      </c>
      <c r="S91" s="8">
        <f t="shared" ca="1" si="27"/>
        <v>32</v>
      </c>
      <c r="T91" s="8">
        <f t="shared" ca="1" si="28"/>
        <v>50059</v>
      </c>
      <c r="U91" s="8">
        <v>1</v>
      </c>
      <c r="V91" s="8">
        <f t="shared" ca="1" si="29"/>
        <v>5</v>
      </c>
      <c r="W91" s="7">
        <f t="shared" ca="1" si="30"/>
        <v>100</v>
      </c>
    </row>
    <row r="92" spans="5:23" x14ac:dyDescent="0.15">
      <c r="E92" s="7">
        <v>88</v>
      </c>
      <c r="F92" s="16">
        <v>8</v>
      </c>
      <c r="G92" s="8">
        <v>1803</v>
      </c>
      <c r="H92" s="8">
        <f t="shared" si="20"/>
        <v>50190</v>
      </c>
      <c r="I92" s="8">
        <v>1</v>
      </c>
      <c r="J92" s="8">
        <f t="shared" si="21"/>
        <v>1</v>
      </c>
      <c r="K92" s="8">
        <f t="shared" ca="1" si="22"/>
        <v>50070</v>
      </c>
      <c r="L92" s="8">
        <v>1</v>
      </c>
      <c r="M92" s="8">
        <f t="shared" ca="1" si="23"/>
        <v>129</v>
      </c>
      <c r="N92" s="8">
        <f t="shared" ca="1" si="24"/>
        <v>50065</v>
      </c>
      <c r="O92" s="8">
        <v>1</v>
      </c>
      <c r="P92" s="8">
        <f t="shared" ca="1" si="25"/>
        <v>129</v>
      </c>
      <c r="Q92" s="8">
        <f t="shared" ca="1" si="26"/>
        <v>50188</v>
      </c>
      <c r="R92" s="8">
        <v>1</v>
      </c>
      <c r="S92" s="8">
        <f t="shared" ca="1" si="27"/>
        <v>32</v>
      </c>
      <c r="T92" s="8">
        <f t="shared" ca="1" si="28"/>
        <v>50074</v>
      </c>
      <c r="U92" s="8">
        <v>1</v>
      </c>
      <c r="V92" s="8">
        <f t="shared" ca="1" si="29"/>
        <v>1</v>
      </c>
      <c r="W92" s="7">
        <f t="shared" ca="1" si="30"/>
        <v>100</v>
      </c>
    </row>
    <row r="93" spans="5:23" x14ac:dyDescent="0.15">
      <c r="E93" s="7">
        <v>89</v>
      </c>
      <c r="F93" s="16">
        <v>8</v>
      </c>
      <c r="G93" s="8">
        <v>1804</v>
      </c>
      <c r="H93" s="8">
        <f t="shared" si="20"/>
        <v>50041</v>
      </c>
      <c r="I93" s="8">
        <v>1</v>
      </c>
      <c r="J93" s="8">
        <f t="shared" si="21"/>
        <v>105</v>
      </c>
      <c r="K93" s="8">
        <f t="shared" ca="1" si="22"/>
        <v>50051</v>
      </c>
      <c r="L93" s="8">
        <v>1</v>
      </c>
      <c r="M93" s="8">
        <f t="shared" ca="1" si="23"/>
        <v>181</v>
      </c>
      <c r="N93" s="8">
        <f t="shared" ca="1" si="24"/>
        <v>50066</v>
      </c>
      <c r="O93" s="8">
        <v>1</v>
      </c>
      <c r="P93" s="8">
        <f t="shared" ca="1" si="25"/>
        <v>88</v>
      </c>
      <c r="Q93" s="8">
        <f t="shared" ca="1" si="26"/>
        <v>50068</v>
      </c>
      <c r="R93" s="8">
        <v>1</v>
      </c>
      <c r="S93" s="8">
        <f t="shared" ca="1" si="27"/>
        <v>32</v>
      </c>
      <c r="T93" s="8">
        <f t="shared" ca="1" si="28"/>
        <v>50076</v>
      </c>
      <c r="U93" s="8">
        <v>1</v>
      </c>
      <c r="V93" s="8">
        <f t="shared" ca="1" si="29"/>
        <v>1</v>
      </c>
      <c r="W93" s="7">
        <f t="shared" ca="1" si="30"/>
        <v>70</v>
      </c>
    </row>
    <row r="94" spans="5:23" x14ac:dyDescent="0.15">
      <c r="E94" s="7">
        <v>90</v>
      </c>
      <c r="F94" s="16">
        <v>8</v>
      </c>
      <c r="G94" s="8">
        <v>1805</v>
      </c>
      <c r="H94" s="8">
        <f t="shared" si="20"/>
        <v>50045</v>
      </c>
      <c r="I94" s="8">
        <v>1</v>
      </c>
      <c r="J94" s="8">
        <f t="shared" si="21"/>
        <v>104</v>
      </c>
      <c r="K94" s="8">
        <f t="shared" ca="1" si="22"/>
        <v>50189</v>
      </c>
      <c r="L94" s="8">
        <v>1</v>
      </c>
      <c r="M94" s="8">
        <f t="shared" ca="1" si="23"/>
        <v>181</v>
      </c>
      <c r="N94" s="8">
        <f t="shared" ca="1" si="24"/>
        <v>50169</v>
      </c>
      <c r="O94" s="8">
        <v>1</v>
      </c>
      <c r="P94" s="8">
        <f t="shared" ca="1" si="25"/>
        <v>88</v>
      </c>
      <c r="Q94" s="8">
        <f t="shared" ca="1" si="26"/>
        <v>50170</v>
      </c>
      <c r="R94" s="8">
        <v>1</v>
      </c>
      <c r="S94" s="8">
        <f t="shared" ca="1" si="27"/>
        <v>32</v>
      </c>
      <c r="T94" s="8">
        <f t="shared" ca="1" si="28"/>
        <v>50190</v>
      </c>
      <c r="U94" s="8">
        <v>1</v>
      </c>
      <c r="V94" s="8">
        <f t="shared" ca="1" si="29"/>
        <v>1</v>
      </c>
      <c r="W94" s="7">
        <f t="shared" ca="1" si="30"/>
        <v>70</v>
      </c>
    </row>
    <row r="95" spans="5:23" x14ac:dyDescent="0.15">
      <c r="E95" s="7">
        <v>91</v>
      </c>
      <c r="F95" s="16">
        <v>8</v>
      </c>
      <c r="G95" s="8">
        <v>1901</v>
      </c>
      <c r="H95" s="8">
        <f t="shared" si="20"/>
        <v>50047</v>
      </c>
      <c r="I95" s="8">
        <v>1</v>
      </c>
      <c r="J95" s="8">
        <f t="shared" si="21"/>
        <v>103</v>
      </c>
      <c r="K95" s="8">
        <f t="shared" ca="1" si="22"/>
        <v>50054</v>
      </c>
      <c r="L95" s="8">
        <v>1</v>
      </c>
      <c r="M95" s="8">
        <f t="shared" ca="1" si="23"/>
        <v>129</v>
      </c>
      <c r="N95" s="8">
        <f t="shared" ca="1" si="24"/>
        <v>50054</v>
      </c>
      <c r="O95" s="8">
        <v>1</v>
      </c>
      <c r="P95" s="8">
        <f t="shared" ca="1" si="25"/>
        <v>129</v>
      </c>
      <c r="Q95" s="8">
        <f t="shared" ca="1" si="26"/>
        <v>50170</v>
      </c>
      <c r="R95" s="8">
        <v>1</v>
      </c>
      <c r="S95" s="8">
        <f t="shared" ca="1" si="27"/>
        <v>32</v>
      </c>
      <c r="T95" s="8">
        <f t="shared" ca="1" si="28"/>
        <v>50074</v>
      </c>
      <c r="U95" s="8">
        <v>1</v>
      </c>
      <c r="V95" s="8">
        <f t="shared" ca="1" si="29"/>
        <v>1</v>
      </c>
      <c r="W95" s="7">
        <f t="shared" ca="1" si="30"/>
        <v>80</v>
      </c>
    </row>
    <row r="96" spans="5:23" x14ac:dyDescent="0.15">
      <c r="E96" s="7">
        <v>92</v>
      </c>
      <c r="F96" s="16">
        <v>8</v>
      </c>
      <c r="G96" s="8">
        <v>1902</v>
      </c>
      <c r="H96" s="8">
        <f t="shared" si="20"/>
        <v>50051</v>
      </c>
      <c r="I96" s="8">
        <v>1</v>
      </c>
      <c r="J96" s="8">
        <f t="shared" si="21"/>
        <v>102</v>
      </c>
      <c r="K96" s="8">
        <f t="shared" ca="1" si="22"/>
        <v>50053</v>
      </c>
      <c r="L96" s="8">
        <v>1</v>
      </c>
      <c r="M96" s="8">
        <f t="shared" ca="1" si="23"/>
        <v>129</v>
      </c>
      <c r="N96" s="8">
        <f t="shared" ca="1" si="24"/>
        <v>50043</v>
      </c>
      <c r="O96" s="8">
        <v>1</v>
      </c>
      <c r="P96" s="8">
        <f t="shared" ca="1" si="25"/>
        <v>88</v>
      </c>
      <c r="Q96" s="8">
        <f t="shared" ca="1" si="26"/>
        <v>50060</v>
      </c>
      <c r="R96" s="8">
        <v>1</v>
      </c>
      <c r="S96" s="8">
        <f t="shared" ca="1" si="27"/>
        <v>32</v>
      </c>
      <c r="T96" s="8">
        <f t="shared" ca="1" si="28"/>
        <v>50077</v>
      </c>
      <c r="U96" s="8">
        <v>1</v>
      </c>
      <c r="V96" s="8">
        <f t="shared" ca="1" si="29"/>
        <v>1</v>
      </c>
      <c r="W96" s="7">
        <f t="shared" ca="1" si="30"/>
        <v>100</v>
      </c>
    </row>
    <row r="97" spans="5:23" x14ac:dyDescent="0.15">
      <c r="E97" s="7">
        <v>93</v>
      </c>
      <c r="F97" s="16">
        <v>8</v>
      </c>
      <c r="G97" s="8">
        <v>1903</v>
      </c>
      <c r="H97" s="8">
        <f t="shared" si="20"/>
        <v>50052</v>
      </c>
      <c r="I97" s="8">
        <v>1</v>
      </c>
      <c r="J97" s="8">
        <f t="shared" si="21"/>
        <v>101</v>
      </c>
      <c r="K97" s="8">
        <f t="shared" ca="1" si="22"/>
        <v>50053</v>
      </c>
      <c r="L97" s="8">
        <v>1</v>
      </c>
      <c r="M97" s="8">
        <f t="shared" ca="1" si="23"/>
        <v>129</v>
      </c>
      <c r="N97" s="8">
        <f t="shared" ca="1" si="24"/>
        <v>50048</v>
      </c>
      <c r="O97" s="8">
        <v>1</v>
      </c>
      <c r="P97" s="8">
        <f t="shared" ca="1" si="25"/>
        <v>88</v>
      </c>
      <c r="Q97" s="8">
        <f t="shared" ca="1" si="26"/>
        <v>50170</v>
      </c>
      <c r="R97" s="8">
        <v>1</v>
      </c>
      <c r="S97" s="8">
        <f t="shared" ca="1" si="27"/>
        <v>32</v>
      </c>
      <c r="T97" s="8">
        <f t="shared" ca="1" si="28"/>
        <v>50076</v>
      </c>
      <c r="U97" s="8">
        <v>1</v>
      </c>
      <c r="V97" s="8">
        <f t="shared" ca="1" si="29"/>
        <v>1</v>
      </c>
      <c r="W97" s="7">
        <f t="shared" ca="1" si="30"/>
        <v>100</v>
      </c>
    </row>
    <row r="98" spans="5:23" x14ac:dyDescent="0.15">
      <c r="E98" s="7">
        <v>94</v>
      </c>
      <c r="F98" s="16">
        <v>8</v>
      </c>
      <c r="G98" s="8">
        <v>1904</v>
      </c>
      <c r="H98" s="8">
        <f t="shared" si="20"/>
        <v>50069</v>
      </c>
      <c r="I98" s="8">
        <v>1</v>
      </c>
      <c r="J98" s="8">
        <f t="shared" si="21"/>
        <v>100</v>
      </c>
      <c r="K98" s="8">
        <f t="shared" ca="1" si="22"/>
        <v>50047</v>
      </c>
      <c r="L98" s="8">
        <v>1</v>
      </c>
      <c r="M98" s="8">
        <f t="shared" ca="1" si="23"/>
        <v>181</v>
      </c>
      <c r="N98" s="8">
        <f t="shared" ca="1" si="24"/>
        <v>50063</v>
      </c>
      <c r="O98" s="8">
        <v>1</v>
      </c>
      <c r="P98" s="8">
        <f t="shared" ca="1" si="25"/>
        <v>129</v>
      </c>
      <c r="Q98" s="8">
        <f t="shared" ca="1" si="26"/>
        <v>50061</v>
      </c>
      <c r="R98" s="8">
        <v>1</v>
      </c>
      <c r="S98" s="8">
        <f t="shared" ca="1" si="27"/>
        <v>32</v>
      </c>
      <c r="T98" s="8">
        <f t="shared" ca="1" si="28"/>
        <v>50075</v>
      </c>
      <c r="U98" s="8">
        <v>1</v>
      </c>
      <c r="V98" s="8">
        <f t="shared" ca="1" si="29"/>
        <v>1</v>
      </c>
      <c r="W98" s="7">
        <f t="shared" ca="1" si="30"/>
        <v>60</v>
      </c>
    </row>
    <row r="99" spans="5:23" x14ac:dyDescent="0.15">
      <c r="E99" s="7">
        <v>95</v>
      </c>
      <c r="F99" s="16">
        <v>8</v>
      </c>
      <c r="G99" s="8">
        <v>1905</v>
      </c>
      <c r="H99" s="8">
        <f t="shared" si="20"/>
        <v>50168</v>
      </c>
      <c r="I99" s="8">
        <v>1</v>
      </c>
      <c r="J99" s="8">
        <f t="shared" si="21"/>
        <v>100</v>
      </c>
      <c r="K99" s="8">
        <f t="shared" ca="1" si="22"/>
        <v>50047</v>
      </c>
      <c r="L99" s="8">
        <v>1</v>
      </c>
      <c r="M99" s="8">
        <f t="shared" ca="1" si="23"/>
        <v>181</v>
      </c>
      <c r="N99" s="8">
        <f t="shared" ca="1" si="24"/>
        <v>50065</v>
      </c>
      <c r="O99" s="8">
        <v>1</v>
      </c>
      <c r="P99" s="8">
        <f t="shared" ca="1" si="25"/>
        <v>129</v>
      </c>
      <c r="Q99" s="8">
        <f t="shared" ca="1" si="26"/>
        <v>50188</v>
      </c>
      <c r="R99" s="8">
        <v>1</v>
      </c>
      <c r="S99" s="8">
        <f t="shared" ca="1" si="27"/>
        <v>32</v>
      </c>
      <c r="T99" s="8">
        <f t="shared" ca="1" si="28"/>
        <v>50073</v>
      </c>
      <c r="U99" s="8">
        <v>1</v>
      </c>
      <c r="V99" s="8">
        <f t="shared" ca="1" si="29"/>
        <v>1</v>
      </c>
      <c r="W99" s="7">
        <f t="shared" ca="1" si="30"/>
        <v>60</v>
      </c>
    </row>
    <row r="100" spans="5:23" x14ac:dyDescent="0.15">
      <c r="E100" s="7">
        <v>96</v>
      </c>
      <c r="F100" s="16">
        <v>8</v>
      </c>
      <c r="G100" s="8">
        <v>2001</v>
      </c>
      <c r="H100" s="8">
        <f t="shared" si="20"/>
        <v>50189</v>
      </c>
      <c r="I100" s="8">
        <v>1</v>
      </c>
      <c r="J100" s="8">
        <f t="shared" si="21"/>
        <v>99</v>
      </c>
      <c r="K100" s="8">
        <f t="shared" ca="1" si="22"/>
        <v>50065</v>
      </c>
      <c r="L100" s="8">
        <v>1</v>
      </c>
      <c r="M100" s="8">
        <f t="shared" ca="1" si="23"/>
        <v>129</v>
      </c>
      <c r="N100" s="8">
        <f t="shared" ca="1" si="24"/>
        <v>50053</v>
      </c>
      <c r="O100" s="8">
        <v>1</v>
      </c>
      <c r="P100" s="8">
        <f t="shared" ca="1" si="25"/>
        <v>129</v>
      </c>
      <c r="Q100" s="8">
        <f t="shared" ca="1" si="26"/>
        <v>50060</v>
      </c>
      <c r="R100" s="8">
        <v>1</v>
      </c>
      <c r="S100" s="8">
        <f t="shared" ca="1" si="27"/>
        <v>32</v>
      </c>
      <c r="T100" s="8">
        <f t="shared" ca="1" si="28"/>
        <v>50190</v>
      </c>
      <c r="U100" s="8">
        <v>1</v>
      </c>
      <c r="V100" s="8">
        <f t="shared" ca="1" si="29"/>
        <v>1</v>
      </c>
      <c r="W100" s="7">
        <f t="shared" ca="1" si="30"/>
        <v>80</v>
      </c>
    </row>
    <row r="101" spans="5:23" x14ac:dyDescent="0.15">
      <c r="E101" s="7">
        <v>97</v>
      </c>
      <c r="F101" s="16">
        <v>8</v>
      </c>
      <c r="G101" s="8">
        <v>2002</v>
      </c>
      <c r="H101" s="8">
        <f t="shared" si="20"/>
        <v>50042</v>
      </c>
      <c r="I101" s="8">
        <v>1</v>
      </c>
      <c r="J101" s="8">
        <f t="shared" ref="J101:J132" si="31">ROUNDUP(VLOOKUP(H101,marking,9,FALSE)*((140*1.5-E101)/(140*1.5)),0)</f>
        <v>70</v>
      </c>
      <c r="K101" s="8">
        <f t="shared" ref="K101:K132" ca="1" si="32">IF(K$2&gt;$F101,VLOOKUP(INT(RAND()*(VLOOKUP($F101,reference1,2,FALSE)-1)+1),test1,4,FALSE),VLOOKUP(INT(RAND()*(19-1)+1),test1,4,FALSE))</f>
        <v>50069</v>
      </c>
      <c r="L101" s="8">
        <v>1</v>
      </c>
      <c r="M101" s="8">
        <f t="shared" ref="M101:M132" ca="1" si="33">ROUNDUP(VLOOKUP(K101,marking,9,FALSE),0)</f>
        <v>181</v>
      </c>
      <c r="N101" s="8">
        <f t="shared" ref="N101:N132" ca="1" si="34">IF(N$2&gt;$F101,VLOOKUP(INT(RAND()*(VLOOKUP($F101,reference1,2,FALSE)-1)+1),test1,4,FALSE),VLOOKUP(INT(RAND()*(26-9)+9),test1,4,FALSE))</f>
        <v>50171</v>
      </c>
      <c r="O101" s="8">
        <v>1</v>
      </c>
      <c r="P101" s="8">
        <f t="shared" ref="P101:P132" ca="1" si="35">ROUNDUP(VLOOKUP(N101,marking,9,FALSE),0)</f>
        <v>88</v>
      </c>
      <c r="Q101" s="8">
        <f t="shared" ref="Q101:Q132" ca="1" si="36">IF(Q$2&gt;$F101,VLOOKUP(INT(RAND()*(VLOOKUP($F101,reference1,2,FALSE)-1)+1),test1,4,FALSE),VLOOKUP(INT(RAND()*(35-26)+26),test1,4,FALSE))</f>
        <v>50061</v>
      </c>
      <c r="R101" s="8">
        <v>1</v>
      </c>
      <c r="S101" s="8">
        <f t="shared" ref="S101:S132" ca="1" si="37">ROUNDUP(VLOOKUP(Q101,marking,9,FALSE),0)</f>
        <v>32</v>
      </c>
      <c r="T101" s="8">
        <f t="shared" ref="T101:T132" ca="1" si="38">IF(T$2&gt;$F101,VLOOKUP(INT(RAND()*(VLOOKUP($F101,reference1,2,FALSE)-1)+1),test1,4,FALSE),VLOOKUP(INT(RAND()*(45-35)+35),test1,4,FALSE))</f>
        <v>50190</v>
      </c>
      <c r="U101" s="8">
        <v>1</v>
      </c>
      <c r="V101" s="8">
        <f t="shared" ref="V101:V132" ca="1" si="39">ROUNDUP(VLOOKUP(T101,marking,9,FALSE),0)</f>
        <v>1</v>
      </c>
      <c r="W101" s="7">
        <f t="shared" ref="W101:W132" ca="1" si="40">(ROUND((VLOOKUP(H101,marking,10,FALSE)*J101+VLOOKUP(K101,marking,10,FALSE)*M101+VLOOKUP(N101,marking,10,FALSE)*P101+VLOOKUP(Q101,marking,10,FALSE)*S101+VLOOKUP(T101,marking,10,FALSE)*V101)/(J101+M101+P101+S101+V101),0))*10</f>
        <v>90</v>
      </c>
    </row>
    <row r="102" spans="5:23" x14ac:dyDescent="0.15">
      <c r="E102" s="7">
        <v>98</v>
      </c>
      <c r="F102" s="16">
        <v>8</v>
      </c>
      <c r="G102" s="8">
        <v>2003</v>
      </c>
      <c r="H102" s="8">
        <f t="shared" si="20"/>
        <v>50053</v>
      </c>
      <c r="I102" s="8">
        <v>1</v>
      </c>
      <c r="J102" s="8">
        <f t="shared" si="31"/>
        <v>69</v>
      </c>
      <c r="K102" s="8">
        <f t="shared" ca="1" si="32"/>
        <v>50063</v>
      </c>
      <c r="L102" s="8">
        <v>1</v>
      </c>
      <c r="M102" s="8">
        <f t="shared" ca="1" si="33"/>
        <v>129</v>
      </c>
      <c r="N102" s="8">
        <f t="shared" ca="1" si="34"/>
        <v>50067</v>
      </c>
      <c r="O102" s="8">
        <v>1</v>
      </c>
      <c r="P102" s="8">
        <f t="shared" ca="1" si="35"/>
        <v>88</v>
      </c>
      <c r="Q102" s="8">
        <f t="shared" ca="1" si="36"/>
        <v>50060</v>
      </c>
      <c r="R102" s="8">
        <v>1</v>
      </c>
      <c r="S102" s="8">
        <f t="shared" ca="1" si="37"/>
        <v>32</v>
      </c>
      <c r="T102" s="8">
        <f t="shared" ca="1" si="38"/>
        <v>50071</v>
      </c>
      <c r="U102" s="8">
        <v>1</v>
      </c>
      <c r="V102" s="8">
        <f t="shared" ca="1" si="39"/>
        <v>1</v>
      </c>
      <c r="W102" s="7">
        <f t="shared" ca="1" si="40"/>
        <v>120</v>
      </c>
    </row>
    <row r="103" spans="5:23" x14ac:dyDescent="0.15">
      <c r="E103" s="7">
        <v>99</v>
      </c>
      <c r="F103" s="16">
        <v>8</v>
      </c>
      <c r="G103" s="8">
        <v>2004</v>
      </c>
      <c r="H103" s="8">
        <f t="shared" si="20"/>
        <v>50054</v>
      </c>
      <c r="I103" s="8">
        <v>1</v>
      </c>
      <c r="J103" s="8">
        <f t="shared" si="31"/>
        <v>69</v>
      </c>
      <c r="K103" s="8">
        <f t="shared" ca="1" si="32"/>
        <v>50054</v>
      </c>
      <c r="L103" s="8">
        <v>1</v>
      </c>
      <c r="M103" s="8">
        <f t="shared" ca="1" si="33"/>
        <v>129</v>
      </c>
      <c r="N103" s="8">
        <f t="shared" ca="1" si="34"/>
        <v>50054</v>
      </c>
      <c r="O103" s="8">
        <v>1</v>
      </c>
      <c r="P103" s="8">
        <f t="shared" ca="1" si="35"/>
        <v>129</v>
      </c>
      <c r="Q103" s="8">
        <f t="shared" ca="1" si="36"/>
        <v>50170</v>
      </c>
      <c r="R103" s="8">
        <v>1</v>
      </c>
      <c r="S103" s="8">
        <f t="shared" ca="1" si="37"/>
        <v>32</v>
      </c>
      <c r="T103" s="8">
        <f t="shared" ca="1" si="38"/>
        <v>50072</v>
      </c>
      <c r="U103" s="8">
        <v>1</v>
      </c>
      <c r="V103" s="8">
        <f t="shared" ca="1" si="39"/>
        <v>1</v>
      </c>
      <c r="W103" s="7">
        <f t="shared" ca="1" si="40"/>
        <v>90</v>
      </c>
    </row>
    <row r="104" spans="5:23" x14ac:dyDescent="0.15">
      <c r="E104" s="7">
        <v>100</v>
      </c>
      <c r="F104" s="16">
        <v>8</v>
      </c>
      <c r="G104" s="8">
        <v>2005</v>
      </c>
      <c r="H104" s="8">
        <f t="shared" si="20"/>
        <v>50055</v>
      </c>
      <c r="I104" s="8">
        <v>1</v>
      </c>
      <c r="J104" s="8">
        <f t="shared" si="31"/>
        <v>68</v>
      </c>
      <c r="K104" s="8">
        <f t="shared" ca="1" si="32"/>
        <v>50056</v>
      </c>
      <c r="L104" s="8">
        <v>1</v>
      </c>
      <c r="M104" s="8">
        <f t="shared" ca="1" si="33"/>
        <v>129</v>
      </c>
      <c r="N104" s="8">
        <f t="shared" ca="1" si="34"/>
        <v>50046</v>
      </c>
      <c r="O104" s="8">
        <v>1</v>
      </c>
      <c r="P104" s="8">
        <f t="shared" ca="1" si="35"/>
        <v>88</v>
      </c>
      <c r="Q104" s="8">
        <f t="shared" ca="1" si="36"/>
        <v>50061</v>
      </c>
      <c r="R104" s="8">
        <v>1</v>
      </c>
      <c r="S104" s="8">
        <f t="shared" ca="1" si="37"/>
        <v>32</v>
      </c>
      <c r="T104" s="8">
        <f t="shared" ca="1" si="38"/>
        <v>50074</v>
      </c>
      <c r="U104" s="8">
        <v>1</v>
      </c>
      <c r="V104" s="8">
        <f t="shared" ca="1" si="39"/>
        <v>1</v>
      </c>
      <c r="W104" s="7">
        <f t="shared" ca="1" si="40"/>
        <v>120</v>
      </c>
    </row>
    <row r="105" spans="5:23" x14ac:dyDescent="0.15">
      <c r="E105" s="7">
        <v>101</v>
      </c>
      <c r="F105" s="16">
        <v>8</v>
      </c>
      <c r="G105" s="8">
        <v>2101</v>
      </c>
      <c r="H105" s="8">
        <f t="shared" si="20"/>
        <v>50056</v>
      </c>
      <c r="I105" s="8">
        <v>1</v>
      </c>
      <c r="J105" s="8">
        <f t="shared" si="31"/>
        <v>67</v>
      </c>
      <c r="K105" s="8">
        <f t="shared" ca="1" si="32"/>
        <v>50054</v>
      </c>
      <c r="L105" s="8">
        <v>1</v>
      </c>
      <c r="M105" s="8">
        <f t="shared" ca="1" si="33"/>
        <v>129</v>
      </c>
      <c r="N105" s="8">
        <f t="shared" ca="1" si="34"/>
        <v>50066</v>
      </c>
      <c r="O105" s="8">
        <v>1</v>
      </c>
      <c r="P105" s="8">
        <f t="shared" ca="1" si="35"/>
        <v>88</v>
      </c>
      <c r="Q105" s="8">
        <f t="shared" ca="1" si="36"/>
        <v>50061</v>
      </c>
      <c r="R105" s="8">
        <v>1</v>
      </c>
      <c r="S105" s="8">
        <f t="shared" ca="1" si="37"/>
        <v>32</v>
      </c>
      <c r="T105" s="8">
        <f t="shared" ca="1" si="38"/>
        <v>50073</v>
      </c>
      <c r="U105" s="8">
        <v>1</v>
      </c>
      <c r="V105" s="8">
        <f t="shared" ca="1" si="39"/>
        <v>1</v>
      </c>
      <c r="W105" s="7">
        <f t="shared" ca="1" si="40"/>
        <v>120</v>
      </c>
    </row>
    <row r="106" spans="5:23" x14ac:dyDescent="0.15">
      <c r="E106" s="7">
        <v>102</v>
      </c>
      <c r="F106" s="16">
        <v>8</v>
      </c>
      <c r="G106" s="8">
        <v>2102</v>
      </c>
      <c r="H106" s="8">
        <f t="shared" si="20"/>
        <v>50057</v>
      </c>
      <c r="I106" s="8">
        <v>1</v>
      </c>
      <c r="J106" s="8">
        <f t="shared" si="31"/>
        <v>67</v>
      </c>
      <c r="K106" s="8">
        <f t="shared" ca="1" si="32"/>
        <v>50042</v>
      </c>
      <c r="L106" s="8">
        <v>1</v>
      </c>
      <c r="M106" s="8">
        <f t="shared" ca="1" si="33"/>
        <v>129</v>
      </c>
      <c r="N106" s="8">
        <f t="shared" ca="1" si="34"/>
        <v>50169</v>
      </c>
      <c r="O106" s="8">
        <v>1</v>
      </c>
      <c r="P106" s="8">
        <f t="shared" ca="1" si="35"/>
        <v>88</v>
      </c>
      <c r="Q106" s="8">
        <f t="shared" ca="1" si="36"/>
        <v>50068</v>
      </c>
      <c r="R106" s="8">
        <v>1</v>
      </c>
      <c r="S106" s="8">
        <f t="shared" ca="1" si="37"/>
        <v>32</v>
      </c>
      <c r="T106" s="8">
        <f t="shared" ca="1" si="38"/>
        <v>50074</v>
      </c>
      <c r="U106" s="8">
        <v>1</v>
      </c>
      <c r="V106" s="8">
        <f t="shared" ca="1" si="39"/>
        <v>1</v>
      </c>
      <c r="W106" s="7">
        <f t="shared" ca="1" si="40"/>
        <v>120</v>
      </c>
    </row>
    <row r="107" spans="5:23" x14ac:dyDescent="0.15">
      <c r="E107" s="7">
        <v>103</v>
      </c>
      <c r="F107" s="16">
        <v>8</v>
      </c>
      <c r="G107" s="8">
        <v>2103</v>
      </c>
      <c r="H107" s="8">
        <f t="shared" si="20"/>
        <v>50063</v>
      </c>
      <c r="I107" s="8">
        <v>1</v>
      </c>
      <c r="J107" s="8">
        <f t="shared" si="31"/>
        <v>66</v>
      </c>
      <c r="K107" s="8">
        <f t="shared" ca="1" si="32"/>
        <v>50189</v>
      </c>
      <c r="L107" s="8">
        <v>1</v>
      </c>
      <c r="M107" s="8">
        <f t="shared" ca="1" si="33"/>
        <v>181</v>
      </c>
      <c r="N107" s="8">
        <f t="shared" ca="1" si="34"/>
        <v>50043</v>
      </c>
      <c r="O107" s="8">
        <v>1</v>
      </c>
      <c r="P107" s="8">
        <f t="shared" ca="1" si="35"/>
        <v>88</v>
      </c>
      <c r="Q107" s="8">
        <f t="shared" ca="1" si="36"/>
        <v>50170</v>
      </c>
      <c r="R107" s="8">
        <v>1</v>
      </c>
      <c r="S107" s="8">
        <f t="shared" ca="1" si="37"/>
        <v>32</v>
      </c>
      <c r="T107" s="8">
        <f t="shared" ca="1" si="38"/>
        <v>50190</v>
      </c>
      <c r="U107" s="8">
        <v>1</v>
      </c>
      <c r="V107" s="8">
        <f t="shared" ca="1" si="39"/>
        <v>1</v>
      </c>
      <c r="W107" s="7">
        <f t="shared" ca="1" si="40"/>
        <v>90</v>
      </c>
    </row>
    <row r="108" spans="5:23" x14ac:dyDescent="0.15">
      <c r="E108" s="7">
        <v>104</v>
      </c>
      <c r="F108" s="16">
        <v>8</v>
      </c>
      <c r="G108" s="8">
        <v>2104</v>
      </c>
      <c r="H108" s="8">
        <f t="shared" si="20"/>
        <v>50064</v>
      </c>
      <c r="I108" s="8">
        <v>1</v>
      </c>
      <c r="J108" s="8">
        <f t="shared" si="31"/>
        <v>66</v>
      </c>
      <c r="K108" s="8">
        <f t="shared" ca="1" si="32"/>
        <v>50168</v>
      </c>
      <c r="L108" s="8">
        <v>1</v>
      </c>
      <c r="M108" s="8">
        <f t="shared" ca="1" si="33"/>
        <v>181</v>
      </c>
      <c r="N108" s="8">
        <f t="shared" ca="1" si="34"/>
        <v>50043</v>
      </c>
      <c r="O108" s="8">
        <v>1</v>
      </c>
      <c r="P108" s="8">
        <f t="shared" ca="1" si="35"/>
        <v>88</v>
      </c>
      <c r="Q108" s="8">
        <f t="shared" ca="1" si="36"/>
        <v>50188</v>
      </c>
      <c r="R108" s="8">
        <v>1</v>
      </c>
      <c r="S108" s="8">
        <f t="shared" ca="1" si="37"/>
        <v>32</v>
      </c>
      <c r="T108" s="8">
        <f t="shared" ca="1" si="38"/>
        <v>50071</v>
      </c>
      <c r="U108" s="8">
        <v>1</v>
      </c>
      <c r="V108" s="8">
        <f t="shared" ca="1" si="39"/>
        <v>1</v>
      </c>
      <c r="W108" s="7">
        <f t="shared" ca="1" si="40"/>
        <v>90</v>
      </c>
    </row>
    <row r="109" spans="5:23" x14ac:dyDescent="0.15">
      <c r="E109" s="7">
        <v>105</v>
      </c>
      <c r="F109" s="16">
        <v>8</v>
      </c>
      <c r="G109" s="8">
        <v>2105</v>
      </c>
      <c r="H109" s="8">
        <f t="shared" si="20"/>
        <v>50065</v>
      </c>
      <c r="I109" s="8">
        <v>1</v>
      </c>
      <c r="J109" s="8">
        <f t="shared" si="31"/>
        <v>65</v>
      </c>
      <c r="K109" s="8">
        <f t="shared" ca="1" si="32"/>
        <v>50041</v>
      </c>
      <c r="L109" s="8">
        <v>1</v>
      </c>
      <c r="M109" s="8">
        <f t="shared" ca="1" si="33"/>
        <v>181</v>
      </c>
      <c r="N109" s="8">
        <f t="shared" ca="1" si="34"/>
        <v>50070</v>
      </c>
      <c r="O109" s="8">
        <v>1</v>
      </c>
      <c r="P109" s="8">
        <f t="shared" ca="1" si="35"/>
        <v>129</v>
      </c>
      <c r="Q109" s="8">
        <f t="shared" ca="1" si="36"/>
        <v>50061</v>
      </c>
      <c r="R109" s="8">
        <v>1</v>
      </c>
      <c r="S109" s="8">
        <f t="shared" ca="1" si="37"/>
        <v>32</v>
      </c>
      <c r="T109" s="8">
        <f t="shared" ca="1" si="38"/>
        <v>50075</v>
      </c>
      <c r="U109" s="8">
        <v>1</v>
      </c>
      <c r="V109" s="8">
        <f t="shared" ca="1" si="39"/>
        <v>1</v>
      </c>
      <c r="W109" s="7">
        <f t="shared" ca="1" si="40"/>
        <v>70</v>
      </c>
    </row>
    <row r="110" spans="5:23" x14ac:dyDescent="0.15">
      <c r="E110" s="7">
        <v>106</v>
      </c>
      <c r="F110" s="16">
        <v>8</v>
      </c>
      <c r="G110" s="8">
        <v>2201</v>
      </c>
      <c r="H110" s="8">
        <f t="shared" si="20"/>
        <v>50070</v>
      </c>
      <c r="I110" s="8">
        <v>1</v>
      </c>
      <c r="J110" s="8">
        <f t="shared" si="31"/>
        <v>64</v>
      </c>
      <c r="K110" s="8">
        <f t="shared" ca="1" si="32"/>
        <v>50051</v>
      </c>
      <c r="L110" s="8">
        <v>1</v>
      </c>
      <c r="M110" s="8">
        <f t="shared" ca="1" si="33"/>
        <v>181</v>
      </c>
      <c r="N110" s="8">
        <f t="shared" ca="1" si="34"/>
        <v>50042</v>
      </c>
      <c r="O110" s="8">
        <v>1</v>
      </c>
      <c r="P110" s="8">
        <f t="shared" ca="1" si="35"/>
        <v>129</v>
      </c>
      <c r="Q110" s="8">
        <f t="shared" ca="1" si="36"/>
        <v>50062</v>
      </c>
      <c r="R110" s="8">
        <v>1</v>
      </c>
      <c r="S110" s="8">
        <f t="shared" ca="1" si="37"/>
        <v>32</v>
      </c>
      <c r="T110" s="8">
        <f t="shared" ca="1" si="38"/>
        <v>50076</v>
      </c>
      <c r="U110" s="8">
        <v>1</v>
      </c>
      <c r="V110" s="8">
        <f t="shared" ca="1" si="39"/>
        <v>1</v>
      </c>
      <c r="W110" s="7">
        <f t="shared" ca="1" si="40"/>
        <v>70</v>
      </c>
    </row>
    <row r="111" spans="5:23" x14ac:dyDescent="0.15">
      <c r="E111" s="7">
        <v>107</v>
      </c>
      <c r="F111" s="16">
        <v>8</v>
      </c>
      <c r="G111" s="8">
        <v>2202</v>
      </c>
      <c r="H111" s="8">
        <f t="shared" si="20"/>
        <v>50043</v>
      </c>
      <c r="I111" s="8">
        <v>1</v>
      </c>
      <c r="J111" s="8">
        <f t="shared" si="31"/>
        <v>44</v>
      </c>
      <c r="K111" s="8">
        <f t="shared" ca="1" si="32"/>
        <v>50051</v>
      </c>
      <c r="L111" s="8">
        <v>1</v>
      </c>
      <c r="M111" s="8">
        <f t="shared" ca="1" si="33"/>
        <v>181</v>
      </c>
      <c r="N111" s="8">
        <f t="shared" ca="1" si="34"/>
        <v>50048</v>
      </c>
      <c r="O111" s="8">
        <v>1</v>
      </c>
      <c r="P111" s="8">
        <f t="shared" ca="1" si="35"/>
        <v>88</v>
      </c>
      <c r="Q111" s="8">
        <f t="shared" ca="1" si="36"/>
        <v>50170</v>
      </c>
      <c r="R111" s="8">
        <v>1</v>
      </c>
      <c r="S111" s="8">
        <f t="shared" ca="1" si="37"/>
        <v>32</v>
      </c>
      <c r="T111" s="8">
        <f t="shared" ca="1" si="38"/>
        <v>50075</v>
      </c>
      <c r="U111" s="8">
        <v>1</v>
      </c>
      <c r="V111" s="8">
        <f t="shared" ca="1" si="39"/>
        <v>1</v>
      </c>
      <c r="W111" s="7">
        <f t="shared" ca="1" si="40"/>
        <v>100</v>
      </c>
    </row>
    <row r="112" spans="5:23" x14ac:dyDescent="0.15">
      <c r="E112" s="7">
        <v>108</v>
      </c>
      <c r="F112" s="16">
        <v>8</v>
      </c>
      <c r="G112" s="8">
        <v>2203</v>
      </c>
      <c r="H112" s="8">
        <f t="shared" si="20"/>
        <v>50046</v>
      </c>
      <c r="I112" s="8">
        <v>1</v>
      </c>
      <c r="J112" s="8">
        <f t="shared" si="31"/>
        <v>43</v>
      </c>
      <c r="K112" s="8">
        <f t="shared" ca="1" si="32"/>
        <v>50070</v>
      </c>
      <c r="L112" s="8">
        <v>1</v>
      </c>
      <c r="M112" s="8">
        <f t="shared" ca="1" si="33"/>
        <v>129</v>
      </c>
      <c r="N112" s="8">
        <f t="shared" ca="1" si="34"/>
        <v>50053</v>
      </c>
      <c r="O112" s="8">
        <v>1</v>
      </c>
      <c r="P112" s="8">
        <f t="shared" ca="1" si="35"/>
        <v>129</v>
      </c>
      <c r="Q112" s="8">
        <f t="shared" ca="1" si="36"/>
        <v>50061</v>
      </c>
      <c r="R112" s="8">
        <v>1</v>
      </c>
      <c r="S112" s="8">
        <f t="shared" ca="1" si="37"/>
        <v>32</v>
      </c>
      <c r="T112" s="8">
        <f t="shared" ca="1" si="38"/>
        <v>50073</v>
      </c>
      <c r="U112" s="8">
        <v>1</v>
      </c>
      <c r="V112" s="8">
        <f t="shared" ca="1" si="39"/>
        <v>1</v>
      </c>
      <c r="W112" s="7">
        <f t="shared" ca="1" si="40"/>
        <v>100</v>
      </c>
    </row>
    <row r="113" spans="5:23" x14ac:dyDescent="0.15">
      <c r="E113" s="7">
        <v>109</v>
      </c>
      <c r="F113" s="16">
        <v>8</v>
      </c>
      <c r="G113" s="8">
        <v>2204</v>
      </c>
      <c r="H113" s="8">
        <f t="shared" si="20"/>
        <v>50048</v>
      </c>
      <c r="I113" s="8">
        <v>1</v>
      </c>
      <c r="J113" s="8">
        <f t="shared" si="31"/>
        <v>43</v>
      </c>
      <c r="K113" s="8">
        <f t="shared" ca="1" si="32"/>
        <v>50055</v>
      </c>
      <c r="L113" s="8">
        <v>1</v>
      </c>
      <c r="M113" s="8">
        <f t="shared" ca="1" si="33"/>
        <v>129</v>
      </c>
      <c r="N113" s="8">
        <f t="shared" ca="1" si="34"/>
        <v>50067</v>
      </c>
      <c r="O113" s="8">
        <v>1</v>
      </c>
      <c r="P113" s="8">
        <f t="shared" ca="1" si="35"/>
        <v>88</v>
      </c>
      <c r="Q113" s="8">
        <f t="shared" ca="1" si="36"/>
        <v>50062</v>
      </c>
      <c r="R113" s="8">
        <v>1</v>
      </c>
      <c r="S113" s="8">
        <f t="shared" ca="1" si="37"/>
        <v>32</v>
      </c>
      <c r="T113" s="8">
        <f t="shared" ca="1" si="38"/>
        <v>50071</v>
      </c>
      <c r="U113" s="8">
        <v>1</v>
      </c>
      <c r="V113" s="8">
        <f t="shared" ca="1" si="39"/>
        <v>1</v>
      </c>
      <c r="W113" s="7">
        <f t="shared" ca="1" si="40"/>
        <v>130</v>
      </c>
    </row>
    <row r="114" spans="5:23" x14ac:dyDescent="0.15">
      <c r="E114" s="7">
        <v>110</v>
      </c>
      <c r="F114" s="16">
        <v>8</v>
      </c>
      <c r="G114" s="8">
        <v>2205</v>
      </c>
      <c r="H114" s="8">
        <f t="shared" ref="H114:H144" si="41">H70</f>
        <v>50066</v>
      </c>
      <c r="I114" s="8">
        <v>1</v>
      </c>
      <c r="J114" s="8">
        <f t="shared" si="31"/>
        <v>42</v>
      </c>
      <c r="K114" s="8">
        <f t="shared" ca="1" si="32"/>
        <v>50065</v>
      </c>
      <c r="L114" s="8">
        <v>1</v>
      </c>
      <c r="M114" s="8">
        <f t="shared" ca="1" si="33"/>
        <v>129</v>
      </c>
      <c r="N114" s="8">
        <f t="shared" ca="1" si="34"/>
        <v>50048</v>
      </c>
      <c r="O114" s="8">
        <v>1</v>
      </c>
      <c r="P114" s="8">
        <f t="shared" ca="1" si="35"/>
        <v>88</v>
      </c>
      <c r="Q114" s="8">
        <f t="shared" ca="1" si="36"/>
        <v>50060</v>
      </c>
      <c r="R114" s="8">
        <v>1</v>
      </c>
      <c r="S114" s="8">
        <f t="shared" ca="1" si="37"/>
        <v>32</v>
      </c>
      <c r="T114" s="8">
        <f t="shared" ca="1" si="38"/>
        <v>50074</v>
      </c>
      <c r="U114" s="8">
        <v>1</v>
      </c>
      <c r="V114" s="8">
        <f t="shared" ca="1" si="39"/>
        <v>1</v>
      </c>
      <c r="W114" s="7">
        <f t="shared" ca="1" si="40"/>
        <v>130</v>
      </c>
    </row>
    <row r="115" spans="5:23" x14ac:dyDescent="0.15">
      <c r="E115" s="7">
        <v>111</v>
      </c>
      <c r="F115" s="16">
        <v>8</v>
      </c>
      <c r="G115" s="8">
        <v>2301</v>
      </c>
      <c r="H115" s="8">
        <f t="shared" si="41"/>
        <v>50067</v>
      </c>
      <c r="I115" s="8">
        <v>1</v>
      </c>
      <c r="J115" s="8">
        <f t="shared" si="31"/>
        <v>42</v>
      </c>
      <c r="K115" s="8">
        <f t="shared" ca="1" si="32"/>
        <v>50052</v>
      </c>
      <c r="L115" s="8">
        <v>1</v>
      </c>
      <c r="M115" s="8">
        <f t="shared" ca="1" si="33"/>
        <v>181</v>
      </c>
      <c r="N115" s="8">
        <f t="shared" ca="1" si="34"/>
        <v>50055</v>
      </c>
      <c r="O115" s="8">
        <v>1</v>
      </c>
      <c r="P115" s="8">
        <f t="shared" ca="1" si="35"/>
        <v>129</v>
      </c>
      <c r="Q115" s="8">
        <f t="shared" ca="1" si="36"/>
        <v>50049</v>
      </c>
      <c r="R115" s="8">
        <v>1</v>
      </c>
      <c r="S115" s="8">
        <f t="shared" ca="1" si="37"/>
        <v>32</v>
      </c>
      <c r="T115" s="8">
        <f t="shared" ca="1" si="38"/>
        <v>50072</v>
      </c>
      <c r="U115" s="8">
        <v>1</v>
      </c>
      <c r="V115" s="8">
        <f t="shared" ca="1" si="39"/>
        <v>1</v>
      </c>
      <c r="W115" s="7">
        <f t="shared" ca="1" si="40"/>
        <v>80</v>
      </c>
    </row>
    <row r="116" spans="5:23" x14ac:dyDescent="0.15">
      <c r="E116" s="7">
        <v>112</v>
      </c>
      <c r="F116" s="16">
        <v>8</v>
      </c>
      <c r="G116" s="8">
        <v>2302</v>
      </c>
      <c r="H116" s="8">
        <f t="shared" si="41"/>
        <v>50169</v>
      </c>
      <c r="I116" s="8">
        <v>1</v>
      </c>
      <c r="J116" s="8">
        <f t="shared" si="31"/>
        <v>42</v>
      </c>
      <c r="K116" s="8">
        <f t="shared" ca="1" si="32"/>
        <v>50054</v>
      </c>
      <c r="L116" s="8">
        <v>1</v>
      </c>
      <c r="M116" s="8">
        <f t="shared" ca="1" si="33"/>
        <v>129</v>
      </c>
      <c r="N116" s="8">
        <f t="shared" ca="1" si="34"/>
        <v>50063</v>
      </c>
      <c r="O116" s="8">
        <v>1</v>
      </c>
      <c r="P116" s="8">
        <f t="shared" ca="1" si="35"/>
        <v>129</v>
      </c>
      <c r="Q116" s="8">
        <f t="shared" ca="1" si="36"/>
        <v>50062</v>
      </c>
      <c r="R116" s="8">
        <v>1</v>
      </c>
      <c r="S116" s="8">
        <f t="shared" ca="1" si="37"/>
        <v>32</v>
      </c>
      <c r="T116" s="8">
        <f t="shared" ca="1" si="38"/>
        <v>50190</v>
      </c>
      <c r="U116" s="8">
        <v>1</v>
      </c>
      <c r="V116" s="8">
        <f t="shared" ca="1" si="39"/>
        <v>1</v>
      </c>
      <c r="W116" s="7">
        <f t="shared" ca="1" si="40"/>
        <v>100</v>
      </c>
    </row>
    <row r="117" spans="5:23" x14ac:dyDescent="0.15">
      <c r="E117" s="7">
        <v>113</v>
      </c>
      <c r="F117" s="16">
        <v>8</v>
      </c>
      <c r="G117" s="8">
        <v>2303</v>
      </c>
      <c r="H117" s="8">
        <f t="shared" si="41"/>
        <v>50171</v>
      </c>
      <c r="I117" s="8">
        <v>1</v>
      </c>
      <c r="J117" s="8">
        <f t="shared" si="31"/>
        <v>41</v>
      </c>
      <c r="K117" s="8">
        <f t="shared" ca="1" si="32"/>
        <v>50056</v>
      </c>
      <c r="L117" s="8">
        <v>1</v>
      </c>
      <c r="M117" s="8">
        <f t="shared" ca="1" si="33"/>
        <v>129</v>
      </c>
      <c r="N117" s="8">
        <f t="shared" ca="1" si="34"/>
        <v>50066</v>
      </c>
      <c r="O117" s="8">
        <v>1</v>
      </c>
      <c r="P117" s="8">
        <f t="shared" ca="1" si="35"/>
        <v>88</v>
      </c>
      <c r="Q117" s="8">
        <f t="shared" ca="1" si="36"/>
        <v>50060</v>
      </c>
      <c r="R117" s="8">
        <v>1</v>
      </c>
      <c r="S117" s="8">
        <f t="shared" ca="1" si="37"/>
        <v>32</v>
      </c>
      <c r="T117" s="8">
        <f t="shared" ca="1" si="38"/>
        <v>50072</v>
      </c>
      <c r="U117" s="8">
        <v>1</v>
      </c>
      <c r="V117" s="8">
        <f t="shared" ca="1" si="39"/>
        <v>1</v>
      </c>
      <c r="W117" s="7">
        <f t="shared" ca="1" si="40"/>
        <v>130</v>
      </c>
    </row>
    <row r="118" spans="5:23" x14ac:dyDescent="0.15">
      <c r="E118" s="7">
        <v>114</v>
      </c>
      <c r="F118" s="16">
        <v>8</v>
      </c>
      <c r="G118" s="8">
        <v>2304</v>
      </c>
      <c r="H118" s="8">
        <f t="shared" si="41"/>
        <v>50044</v>
      </c>
      <c r="I118" s="8">
        <v>1</v>
      </c>
      <c r="J118" s="8">
        <f t="shared" si="31"/>
        <v>26</v>
      </c>
      <c r="K118" s="8">
        <f t="shared" ca="1" si="32"/>
        <v>50047</v>
      </c>
      <c r="L118" s="8">
        <v>1</v>
      </c>
      <c r="M118" s="8">
        <f t="shared" ca="1" si="33"/>
        <v>181</v>
      </c>
      <c r="N118" s="8">
        <f t="shared" ca="1" si="34"/>
        <v>50171</v>
      </c>
      <c r="O118" s="8">
        <v>1</v>
      </c>
      <c r="P118" s="8">
        <f t="shared" ca="1" si="35"/>
        <v>88</v>
      </c>
      <c r="Q118" s="8">
        <f t="shared" ca="1" si="36"/>
        <v>50060</v>
      </c>
      <c r="R118" s="8">
        <v>1</v>
      </c>
      <c r="S118" s="8">
        <f t="shared" ca="1" si="37"/>
        <v>32</v>
      </c>
      <c r="T118" s="8">
        <f t="shared" ca="1" si="38"/>
        <v>50077</v>
      </c>
      <c r="U118" s="8">
        <v>1</v>
      </c>
      <c r="V118" s="8">
        <f t="shared" ca="1" si="39"/>
        <v>1</v>
      </c>
      <c r="W118" s="7">
        <f t="shared" ca="1" si="40"/>
        <v>100</v>
      </c>
    </row>
    <row r="119" spans="5:23" x14ac:dyDescent="0.15">
      <c r="E119" s="7">
        <v>115</v>
      </c>
      <c r="F119" s="16">
        <v>8</v>
      </c>
      <c r="G119" s="8">
        <v>2305</v>
      </c>
      <c r="H119" s="8">
        <f t="shared" si="41"/>
        <v>50058</v>
      </c>
      <c r="I119" s="8">
        <v>1</v>
      </c>
      <c r="J119" s="8">
        <f t="shared" si="31"/>
        <v>25</v>
      </c>
      <c r="K119" s="8">
        <f t="shared" ca="1" si="32"/>
        <v>50064</v>
      </c>
      <c r="L119" s="8">
        <v>1</v>
      </c>
      <c r="M119" s="8">
        <f t="shared" ca="1" si="33"/>
        <v>129</v>
      </c>
      <c r="N119" s="8">
        <f t="shared" ca="1" si="34"/>
        <v>50070</v>
      </c>
      <c r="O119" s="8">
        <v>1</v>
      </c>
      <c r="P119" s="8">
        <f t="shared" ca="1" si="35"/>
        <v>129</v>
      </c>
      <c r="Q119" s="8">
        <f t="shared" ca="1" si="36"/>
        <v>50062</v>
      </c>
      <c r="R119" s="8">
        <v>1</v>
      </c>
      <c r="S119" s="8">
        <f t="shared" ca="1" si="37"/>
        <v>32</v>
      </c>
      <c r="T119" s="8">
        <f t="shared" ca="1" si="38"/>
        <v>50072</v>
      </c>
      <c r="U119" s="8">
        <v>1</v>
      </c>
      <c r="V119" s="8">
        <f t="shared" ca="1" si="39"/>
        <v>1</v>
      </c>
      <c r="W119" s="7">
        <f t="shared" ca="1" si="40"/>
        <v>110</v>
      </c>
    </row>
    <row r="120" spans="5:23" x14ac:dyDescent="0.15">
      <c r="E120" s="7">
        <v>116</v>
      </c>
      <c r="F120" s="16">
        <v>8</v>
      </c>
      <c r="G120" s="8">
        <v>2401</v>
      </c>
      <c r="H120" s="8">
        <f t="shared" si="41"/>
        <v>50049</v>
      </c>
      <c r="I120" s="8">
        <v>1</v>
      </c>
      <c r="J120" s="8">
        <f t="shared" si="31"/>
        <v>15</v>
      </c>
      <c r="K120" s="8">
        <f t="shared" ca="1" si="32"/>
        <v>50041</v>
      </c>
      <c r="L120" s="8">
        <v>1</v>
      </c>
      <c r="M120" s="8">
        <f t="shared" ca="1" si="33"/>
        <v>181</v>
      </c>
      <c r="N120" s="8">
        <f t="shared" ca="1" si="34"/>
        <v>50067</v>
      </c>
      <c r="O120" s="8">
        <v>1</v>
      </c>
      <c r="P120" s="8">
        <f t="shared" ca="1" si="35"/>
        <v>88</v>
      </c>
      <c r="Q120" s="8">
        <f t="shared" ca="1" si="36"/>
        <v>50170</v>
      </c>
      <c r="R120" s="8">
        <v>1</v>
      </c>
      <c r="S120" s="8">
        <f t="shared" ca="1" si="37"/>
        <v>32</v>
      </c>
      <c r="T120" s="8">
        <f t="shared" ca="1" si="38"/>
        <v>50072</v>
      </c>
      <c r="U120" s="8">
        <v>1</v>
      </c>
      <c r="V120" s="8">
        <f t="shared" ca="1" si="39"/>
        <v>1</v>
      </c>
      <c r="W120" s="7">
        <f t="shared" ca="1" si="40"/>
        <v>100</v>
      </c>
    </row>
    <row r="121" spans="5:23" x14ac:dyDescent="0.15">
      <c r="E121" s="7">
        <v>117</v>
      </c>
      <c r="F121" s="16">
        <v>8</v>
      </c>
      <c r="G121" s="8">
        <v>2402</v>
      </c>
      <c r="H121" s="8">
        <f t="shared" si="41"/>
        <v>50060</v>
      </c>
      <c r="I121" s="8">
        <v>1</v>
      </c>
      <c r="J121" s="8">
        <f t="shared" si="31"/>
        <v>15</v>
      </c>
      <c r="K121" s="8">
        <f t="shared" ca="1" si="32"/>
        <v>50057</v>
      </c>
      <c r="L121" s="8">
        <v>1</v>
      </c>
      <c r="M121" s="8">
        <f t="shared" ca="1" si="33"/>
        <v>129</v>
      </c>
      <c r="N121" s="8">
        <f t="shared" ca="1" si="34"/>
        <v>50171</v>
      </c>
      <c r="O121" s="8">
        <v>1</v>
      </c>
      <c r="P121" s="8">
        <f t="shared" ca="1" si="35"/>
        <v>88</v>
      </c>
      <c r="Q121" s="8">
        <f t="shared" ca="1" si="36"/>
        <v>50170</v>
      </c>
      <c r="R121" s="8">
        <v>1</v>
      </c>
      <c r="S121" s="8">
        <f t="shared" ca="1" si="37"/>
        <v>32</v>
      </c>
      <c r="T121" s="8">
        <f t="shared" ca="1" si="38"/>
        <v>50075</v>
      </c>
      <c r="U121" s="8">
        <v>1</v>
      </c>
      <c r="V121" s="8">
        <f t="shared" ca="1" si="39"/>
        <v>1</v>
      </c>
      <c r="W121" s="7">
        <f t="shared" ca="1" si="40"/>
        <v>140</v>
      </c>
    </row>
    <row r="122" spans="5:23" x14ac:dyDescent="0.15">
      <c r="E122" s="7">
        <v>118</v>
      </c>
      <c r="F122" s="16">
        <v>8</v>
      </c>
      <c r="G122" s="8">
        <v>2403</v>
      </c>
      <c r="H122" s="8">
        <f t="shared" si="41"/>
        <v>50061</v>
      </c>
      <c r="I122" s="8">
        <v>1</v>
      </c>
      <c r="J122" s="8">
        <f t="shared" si="31"/>
        <v>15</v>
      </c>
      <c r="K122" s="8">
        <f t="shared" ca="1" si="32"/>
        <v>50056</v>
      </c>
      <c r="L122" s="8">
        <v>1</v>
      </c>
      <c r="M122" s="8">
        <f t="shared" ca="1" si="33"/>
        <v>129</v>
      </c>
      <c r="N122" s="8">
        <f t="shared" ca="1" si="34"/>
        <v>50056</v>
      </c>
      <c r="O122" s="8">
        <v>1</v>
      </c>
      <c r="P122" s="8">
        <f t="shared" ca="1" si="35"/>
        <v>129</v>
      </c>
      <c r="Q122" s="8">
        <f t="shared" ca="1" si="36"/>
        <v>50062</v>
      </c>
      <c r="R122" s="8">
        <v>1</v>
      </c>
      <c r="S122" s="8">
        <f t="shared" ca="1" si="37"/>
        <v>32</v>
      </c>
      <c r="T122" s="8">
        <f t="shared" ca="1" si="38"/>
        <v>50071</v>
      </c>
      <c r="U122" s="8">
        <v>1</v>
      </c>
      <c r="V122" s="8">
        <f t="shared" ca="1" si="39"/>
        <v>1</v>
      </c>
      <c r="W122" s="7">
        <f t="shared" ca="1" si="40"/>
        <v>110</v>
      </c>
    </row>
    <row r="123" spans="5:23" x14ac:dyDescent="0.15">
      <c r="E123" s="7">
        <v>119</v>
      </c>
      <c r="F123" s="16">
        <v>8</v>
      </c>
      <c r="G123" s="8">
        <v>2404</v>
      </c>
      <c r="H123" s="8">
        <f t="shared" si="41"/>
        <v>50062</v>
      </c>
      <c r="I123" s="8">
        <v>1</v>
      </c>
      <c r="J123" s="8">
        <f t="shared" si="31"/>
        <v>14</v>
      </c>
      <c r="K123" s="8">
        <f t="shared" ca="1" si="32"/>
        <v>50064</v>
      </c>
      <c r="L123" s="8">
        <v>1</v>
      </c>
      <c r="M123" s="8">
        <f t="shared" ca="1" si="33"/>
        <v>129</v>
      </c>
      <c r="N123" s="8">
        <f t="shared" ca="1" si="34"/>
        <v>50063</v>
      </c>
      <c r="O123" s="8">
        <v>1</v>
      </c>
      <c r="P123" s="8">
        <f t="shared" ca="1" si="35"/>
        <v>129</v>
      </c>
      <c r="Q123" s="8">
        <f t="shared" ca="1" si="36"/>
        <v>50062</v>
      </c>
      <c r="R123" s="8">
        <v>1</v>
      </c>
      <c r="S123" s="8">
        <f t="shared" ca="1" si="37"/>
        <v>32</v>
      </c>
      <c r="T123" s="8">
        <f t="shared" ca="1" si="38"/>
        <v>50074</v>
      </c>
      <c r="U123" s="8">
        <v>1</v>
      </c>
      <c r="V123" s="8">
        <f t="shared" ca="1" si="39"/>
        <v>1</v>
      </c>
      <c r="W123" s="7">
        <f t="shared" ca="1" si="40"/>
        <v>110</v>
      </c>
    </row>
    <row r="124" spans="5:23" x14ac:dyDescent="0.15">
      <c r="E124" s="7">
        <v>120</v>
      </c>
      <c r="F124" s="16">
        <v>8</v>
      </c>
      <c r="G124" s="8">
        <v>2405</v>
      </c>
      <c r="H124" s="8">
        <f t="shared" si="41"/>
        <v>50068</v>
      </c>
      <c r="I124" s="8">
        <v>1</v>
      </c>
      <c r="J124" s="8">
        <f t="shared" si="31"/>
        <v>14</v>
      </c>
      <c r="K124" s="8">
        <f t="shared" ca="1" si="32"/>
        <v>50168</v>
      </c>
      <c r="L124" s="8">
        <v>1</v>
      </c>
      <c r="M124" s="8">
        <f t="shared" ca="1" si="33"/>
        <v>181</v>
      </c>
      <c r="N124" s="8">
        <f t="shared" ca="1" si="34"/>
        <v>50057</v>
      </c>
      <c r="O124" s="8">
        <v>1</v>
      </c>
      <c r="P124" s="8">
        <f t="shared" ca="1" si="35"/>
        <v>129</v>
      </c>
      <c r="Q124" s="8">
        <f t="shared" ca="1" si="36"/>
        <v>50060</v>
      </c>
      <c r="R124" s="8">
        <v>1</v>
      </c>
      <c r="S124" s="8">
        <f t="shared" ca="1" si="37"/>
        <v>32</v>
      </c>
      <c r="T124" s="8">
        <f t="shared" ca="1" si="38"/>
        <v>50075</v>
      </c>
      <c r="U124" s="8">
        <v>1</v>
      </c>
      <c r="V124" s="8">
        <f t="shared" ca="1" si="39"/>
        <v>1</v>
      </c>
      <c r="W124" s="7">
        <f t="shared" ca="1" si="40"/>
        <v>80</v>
      </c>
    </row>
    <row r="125" spans="5:23" x14ac:dyDescent="0.15">
      <c r="E125" s="7">
        <v>121</v>
      </c>
      <c r="F125" s="16">
        <v>8</v>
      </c>
      <c r="G125" s="8">
        <v>2501</v>
      </c>
      <c r="H125" s="8">
        <f t="shared" si="41"/>
        <v>50170</v>
      </c>
      <c r="I125" s="8">
        <v>1</v>
      </c>
      <c r="J125" s="8">
        <f t="shared" si="31"/>
        <v>14</v>
      </c>
      <c r="K125" s="8">
        <f t="shared" ca="1" si="32"/>
        <v>50070</v>
      </c>
      <c r="L125" s="8">
        <v>1</v>
      </c>
      <c r="M125" s="8">
        <f t="shared" ca="1" si="33"/>
        <v>129</v>
      </c>
      <c r="N125" s="8">
        <f t="shared" ca="1" si="34"/>
        <v>50053</v>
      </c>
      <c r="O125" s="8">
        <v>1</v>
      </c>
      <c r="P125" s="8">
        <f t="shared" ca="1" si="35"/>
        <v>129</v>
      </c>
      <c r="Q125" s="8">
        <f t="shared" ca="1" si="36"/>
        <v>50170</v>
      </c>
      <c r="R125" s="8">
        <v>1</v>
      </c>
      <c r="S125" s="8">
        <f t="shared" ca="1" si="37"/>
        <v>32</v>
      </c>
      <c r="T125" s="8">
        <f t="shared" ca="1" si="38"/>
        <v>50059</v>
      </c>
      <c r="U125" s="8">
        <v>1</v>
      </c>
      <c r="V125" s="8">
        <f t="shared" ca="1" si="39"/>
        <v>5</v>
      </c>
      <c r="W125" s="7">
        <f t="shared" ca="1" si="40"/>
        <v>120</v>
      </c>
    </row>
    <row r="126" spans="5:23" x14ac:dyDescent="0.15">
      <c r="E126" s="7">
        <v>122</v>
      </c>
      <c r="F126" s="16">
        <v>8</v>
      </c>
      <c r="G126" s="8">
        <v>2502</v>
      </c>
      <c r="H126" s="8">
        <f t="shared" si="41"/>
        <v>50188</v>
      </c>
      <c r="I126" s="8">
        <v>1</v>
      </c>
      <c r="J126" s="8">
        <f t="shared" si="31"/>
        <v>14</v>
      </c>
      <c r="K126" s="8">
        <f t="shared" ca="1" si="32"/>
        <v>50045</v>
      </c>
      <c r="L126" s="8">
        <v>1</v>
      </c>
      <c r="M126" s="8">
        <f t="shared" ca="1" si="33"/>
        <v>181</v>
      </c>
      <c r="N126" s="8">
        <f t="shared" ca="1" si="34"/>
        <v>50046</v>
      </c>
      <c r="O126" s="8">
        <v>1</v>
      </c>
      <c r="P126" s="8">
        <f t="shared" ca="1" si="35"/>
        <v>88</v>
      </c>
      <c r="Q126" s="8">
        <f t="shared" ca="1" si="36"/>
        <v>50062</v>
      </c>
      <c r="R126" s="8">
        <v>1</v>
      </c>
      <c r="S126" s="8">
        <f t="shared" ca="1" si="37"/>
        <v>32</v>
      </c>
      <c r="T126" s="8">
        <f t="shared" ca="1" si="38"/>
        <v>50071</v>
      </c>
      <c r="U126" s="8">
        <v>1</v>
      </c>
      <c r="V126" s="8">
        <f t="shared" ca="1" si="39"/>
        <v>1</v>
      </c>
      <c r="W126" s="7">
        <f t="shared" ca="1" si="40"/>
        <v>100</v>
      </c>
    </row>
    <row r="127" spans="5:23" x14ac:dyDescent="0.15">
      <c r="E127" s="7">
        <v>123</v>
      </c>
      <c r="F127" s="16">
        <v>8</v>
      </c>
      <c r="G127" s="8">
        <v>2503</v>
      </c>
      <c r="H127" s="8">
        <f t="shared" si="41"/>
        <v>50050</v>
      </c>
      <c r="I127" s="8">
        <v>1</v>
      </c>
      <c r="J127" s="8">
        <f t="shared" si="31"/>
        <v>3</v>
      </c>
      <c r="K127" s="8">
        <f t="shared" ca="1" si="32"/>
        <v>50168</v>
      </c>
      <c r="L127" s="8">
        <v>1</v>
      </c>
      <c r="M127" s="8">
        <f t="shared" ca="1" si="33"/>
        <v>181</v>
      </c>
      <c r="N127" s="8">
        <f t="shared" ca="1" si="34"/>
        <v>50063</v>
      </c>
      <c r="O127" s="8">
        <v>1</v>
      </c>
      <c r="P127" s="8">
        <f t="shared" ca="1" si="35"/>
        <v>129</v>
      </c>
      <c r="Q127" s="8">
        <f t="shared" ca="1" si="36"/>
        <v>50170</v>
      </c>
      <c r="R127" s="8">
        <v>1</v>
      </c>
      <c r="S127" s="8">
        <f t="shared" ca="1" si="37"/>
        <v>32</v>
      </c>
      <c r="T127" s="8">
        <f t="shared" ca="1" si="38"/>
        <v>50073</v>
      </c>
      <c r="U127" s="8">
        <v>1</v>
      </c>
      <c r="V127" s="8">
        <f t="shared" ca="1" si="39"/>
        <v>1</v>
      </c>
      <c r="W127" s="7">
        <f t="shared" ca="1" si="40"/>
        <v>70</v>
      </c>
    </row>
    <row r="128" spans="5:23" x14ac:dyDescent="0.15">
      <c r="E128" s="7">
        <v>124</v>
      </c>
      <c r="F128" s="16">
        <v>8</v>
      </c>
      <c r="G128" s="8">
        <v>2504</v>
      </c>
      <c r="H128" s="8">
        <f t="shared" si="41"/>
        <v>50059</v>
      </c>
      <c r="I128" s="8">
        <v>1</v>
      </c>
      <c r="J128" s="8">
        <f t="shared" si="31"/>
        <v>3</v>
      </c>
      <c r="K128" s="8">
        <f t="shared" ca="1" si="32"/>
        <v>50042</v>
      </c>
      <c r="L128" s="8">
        <v>1</v>
      </c>
      <c r="M128" s="8">
        <f t="shared" ca="1" si="33"/>
        <v>129</v>
      </c>
      <c r="N128" s="8">
        <f t="shared" ca="1" si="34"/>
        <v>50169</v>
      </c>
      <c r="O128" s="8">
        <v>1</v>
      </c>
      <c r="P128" s="8">
        <f t="shared" ca="1" si="35"/>
        <v>88</v>
      </c>
      <c r="Q128" s="8">
        <f t="shared" ca="1" si="36"/>
        <v>50044</v>
      </c>
      <c r="R128" s="8">
        <v>1</v>
      </c>
      <c r="S128" s="8">
        <f t="shared" ca="1" si="37"/>
        <v>55</v>
      </c>
      <c r="T128" s="8">
        <f t="shared" ca="1" si="38"/>
        <v>50075</v>
      </c>
      <c r="U128" s="8">
        <v>1</v>
      </c>
      <c r="V128" s="8">
        <f t="shared" ca="1" si="39"/>
        <v>1</v>
      </c>
      <c r="W128" s="7">
        <f t="shared" ca="1" si="40"/>
        <v>130</v>
      </c>
    </row>
    <row r="129" spans="5:23" x14ac:dyDescent="0.15">
      <c r="E129" s="7">
        <v>125</v>
      </c>
      <c r="F129" s="16">
        <v>8</v>
      </c>
      <c r="G129" s="8">
        <v>2505</v>
      </c>
      <c r="H129" s="8">
        <f t="shared" si="41"/>
        <v>50071</v>
      </c>
      <c r="I129" s="8">
        <v>1</v>
      </c>
      <c r="J129" s="8">
        <f t="shared" si="31"/>
        <v>1</v>
      </c>
      <c r="K129" s="8">
        <f t="shared" ca="1" si="32"/>
        <v>50042</v>
      </c>
      <c r="L129" s="8">
        <v>1</v>
      </c>
      <c r="M129" s="8">
        <f t="shared" ca="1" si="33"/>
        <v>129</v>
      </c>
      <c r="N129" s="8">
        <f t="shared" ca="1" si="34"/>
        <v>50046</v>
      </c>
      <c r="O129" s="8">
        <v>1</v>
      </c>
      <c r="P129" s="8">
        <f t="shared" ca="1" si="35"/>
        <v>88</v>
      </c>
      <c r="Q129" s="8">
        <f t="shared" ca="1" si="36"/>
        <v>50049</v>
      </c>
      <c r="R129" s="8">
        <v>1</v>
      </c>
      <c r="S129" s="8">
        <f t="shared" ca="1" si="37"/>
        <v>32</v>
      </c>
      <c r="T129" s="8">
        <f t="shared" ca="1" si="38"/>
        <v>50074</v>
      </c>
      <c r="U129" s="8">
        <v>1</v>
      </c>
      <c r="V129" s="8">
        <f t="shared" ca="1" si="39"/>
        <v>1</v>
      </c>
      <c r="W129" s="7">
        <f t="shared" ca="1" si="40"/>
        <v>130</v>
      </c>
    </row>
    <row r="130" spans="5:23" x14ac:dyDescent="0.15">
      <c r="E130" s="7">
        <v>126</v>
      </c>
      <c r="F130" s="16">
        <v>8</v>
      </c>
      <c r="G130" s="8">
        <v>2601</v>
      </c>
      <c r="H130" s="8">
        <f t="shared" si="41"/>
        <v>50072</v>
      </c>
      <c r="I130" s="8">
        <v>1</v>
      </c>
      <c r="J130" s="8">
        <f t="shared" si="31"/>
        <v>1</v>
      </c>
      <c r="K130" s="8">
        <f t="shared" ca="1" si="32"/>
        <v>50052</v>
      </c>
      <c r="L130" s="8">
        <v>1</v>
      </c>
      <c r="M130" s="8">
        <f t="shared" ca="1" si="33"/>
        <v>181</v>
      </c>
      <c r="N130" s="8">
        <f t="shared" ca="1" si="34"/>
        <v>50055</v>
      </c>
      <c r="O130" s="8">
        <v>1</v>
      </c>
      <c r="P130" s="8">
        <f t="shared" ca="1" si="35"/>
        <v>129</v>
      </c>
      <c r="Q130" s="8">
        <f t="shared" ca="1" si="36"/>
        <v>50170</v>
      </c>
      <c r="R130" s="8">
        <v>1</v>
      </c>
      <c r="S130" s="8">
        <f t="shared" ca="1" si="37"/>
        <v>32</v>
      </c>
      <c r="T130" s="8">
        <f t="shared" ca="1" si="38"/>
        <v>50071</v>
      </c>
      <c r="U130" s="8">
        <v>1</v>
      </c>
      <c r="V130" s="8">
        <f t="shared" ca="1" si="39"/>
        <v>1</v>
      </c>
      <c r="W130" s="7">
        <f t="shared" ca="1" si="40"/>
        <v>70</v>
      </c>
    </row>
    <row r="131" spans="5:23" x14ac:dyDescent="0.15">
      <c r="E131" s="7">
        <v>127</v>
      </c>
      <c r="F131" s="16">
        <v>8</v>
      </c>
      <c r="G131" s="8">
        <v>2602</v>
      </c>
      <c r="H131" s="8">
        <f t="shared" si="41"/>
        <v>50073</v>
      </c>
      <c r="I131" s="8">
        <v>1</v>
      </c>
      <c r="J131" s="8">
        <f t="shared" si="31"/>
        <v>1</v>
      </c>
      <c r="K131" s="8">
        <f t="shared" ca="1" si="32"/>
        <v>50055</v>
      </c>
      <c r="L131" s="8">
        <v>1</v>
      </c>
      <c r="M131" s="8">
        <f t="shared" ca="1" si="33"/>
        <v>129</v>
      </c>
      <c r="N131" s="8">
        <f t="shared" ca="1" si="34"/>
        <v>50171</v>
      </c>
      <c r="O131" s="8">
        <v>1</v>
      </c>
      <c r="P131" s="8">
        <f t="shared" ca="1" si="35"/>
        <v>88</v>
      </c>
      <c r="Q131" s="8">
        <f t="shared" ca="1" si="36"/>
        <v>50061</v>
      </c>
      <c r="R131" s="8">
        <v>1</v>
      </c>
      <c r="S131" s="8">
        <f t="shared" ca="1" si="37"/>
        <v>32</v>
      </c>
      <c r="T131" s="8">
        <f t="shared" ca="1" si="38"/>
        <v>50073</v>
      </c>
      <c r="U131" s="8">
        <v>1</v>
      </c>
      <c r="V131" s="8">
        <f t="shared" ca="1" si="39"/>
        <v>1</v>
      </c>
      <c r="W131" s="7">
        <f t="shared" ca="1" si="40"/>
        <v>130</v>
      </c>
    </row>
    <row r="132" spans="5:23" x14ac:dyDescent="0.15">
      <c r="E132" s="7">
        <v>128</v>
      </c>
      <c r="F132" s="16">
        <v>8</v>
      </c>
      <c r="G132" s="8">
        <v>2603</v>
      </c>
      <c r="H132" s="8">
        <f t="shared" si="41"/>
        <v>50074</v>
      </c>
      <c r="I132" s="8">
        <v>1</v>
      </c>
      <c r="J132" s="8">
        <f t="shared" si="31"/>
        <v>1</v>
      </c>
      <c r="K132" s="8">
        <f t="shared" ca="1" si="32"/>
        <v>50041</v>
      </c>
      <c r="L132" s="8">
        <v>1</v>
      </c>
      <c r="M132" s="8">
        <f t="shared" ca="1" si="33"/>
        <v>181</v>
      </c>
      <c r="N132" s="8">
        <f t="shared" ca="1" si="34"/>
        <v>50065</v>
      </c>
      <c r="O132" s="8">
        <v>1</v>
      </c>
      <c r="P132" s="8">
        <f t="shared" ca="1" si="35"/>
        <v>129</v>
      </c>
      <c r="Q132" s="8">
        <f t="shared" ca="1" si="36"/>
        <v>50049</v>
      </c>
      <c r="R132" s="8">
        <v>1</v>
      </c>
      <c r="S132" s="8">
        <f t="shared" ca="1" si="37"/>
        <v>32</v>
      </c>
      <c r="T132" s="8">
        <f t="shared" ca="1" si="38"/>
        <v>50050</v>
      </c>
      <c r="U132" s="8">
        <v>1</v>
      </c>
      <c r="V132" s="8">
        <f t="shared" ca="1" si="39"/>
        <v>5</v>
      </c>
      <c r="W132" s="7">
        <f t="shared" ca="1" si="40"/>
        <v>80</v>
      </c>
    </row>
    <row r="133" spans="5:23" x14ac:dyDescent="0.15">
      <c r="E133" s="7">
        <v>129</v>
      </c>
      <c r="F133" s="16">
        <v>8</v>
      </c>
      <c r="G133" s="8">
        <v>2604</v>
      </c>
      <c r="H133" s="8">
        <f t="shared" si="41"/>
        <v>50075</v>
      </c>
      <c r="I133" s="8">
        <v>1</v>
      </c>
      <c r="J133" s="8">
        <f t="shared" ref="J133:J144" si="42">ROUNDUP(VLOOKUP(H133,marking,9,FALSE)*((140*1.5-E133)/(140*1.5)),0)</f>
        <v>1</v>
      </c>
      <c r="K133" s="8">
        <f t="shared" ref="K133:K144" ca="1" si="43">IF(K$2&gt;$F133,VLOOKUP(INT(RAND()*(VLOOKUP($F133,reference1,2,FALSE)-1)+1),test1,4,FALSE),VLOOKUP(INT(RAND()*(19-1)+1),test1,4,FALSE))</f>
        <v>50189</v>
      </c>
      <c r="L133" s="8">
        <v>1</v>
      </c>
      <c r="M133" s="8">
        <f t="shared" ref="M133:M144" ca="1" si="44">ROUNDUP(VLOOKUP(K133,marking,9,FALSE),0)</f>
        <v>181</v>
      </c>
      <c r="N133" s="8">
        <f t="shared" ref="N133:N144" ca="1" si="45">IF(N$2&gt;$F133,VLOOKUP(INT(RAND()*(VLOOKUP($F133,reference1,2,FALSE)-1)+1),test1,4,FALSE),VLOOKUP(INT(RAND()*(26-9)+9),test1,4,FALSE))</f>
        <v>50070</v>
      </c>
      <c r="O133" s="8">
        <v>1</v>
      </c>
      <c r="P133" s="8">
        <f t="shared" ref="P133:P144" ca="1" si="46">ROUNDUP(VLOOKUP(N133,marking,9,FALSE),0)</f>
        <v>129</v>
      </c>
      <c r="Q133" s="8">
        <f t="shared" ref="Q133:Q144" ca="1" si="47">IF(Q$2&gt;$F133,VLOOKUP(INT(RAND()*(VLOOKUP($F133,reference1,2,FALSE)-1)+1),test1,4,FALSE),VLOOKUP(INT(RAND()*(35-26)+26),test1,4,FALSE))</f>
        <v>50170</v>
      </c>
      <c r="R133" s="8">
        <v>1</v>
      </c>
      <c r="S133" s="8">
        <f t="shared" ref="S133:S144" ca="1" si="48">ROUNDUP(VLOOKUP(Q133,marking,9,FALSE),0)</f>
        <v>32</v>
      </c>
      <c r="T133" s="8">
        <f t="shared" ref="T133:T144" ca="1" si="49">IF(T$2&gt;$F133,VLOOKUP(INT(RAND()*(VLOOKUP($F133,reference1,2,FALSE)-1)+1),test1,4,FALSE),VLOOKUP(INT(RAND()*(45-35)+35),test1,4,FALSE))</f>
        <v>50075</v>
      </c>
      <c r="U133" s="8">
        <v>1</v>
      </c>
      <c r="V133" s="8">
        <f t="shared" ref="V133:V144" ca="1" si="50">ROUNDUP(VLOOKUP(T133,marking,9,FALSE),0)</f>
        <v>1</v>
      </c>
      <c r="W133" s="7">
        <f t="shared" ref="W133:W144" ca="1" si="51">(ROUND((VLOOKUP(H133,marking,10,FALSE)*J133+VLOOKUP(K133,marking,10,FALSE)*M133+VLOOKUP(N133,marking,10,FALSE)*P133+VLOOKUP(Q133,marking,10,FALSE)*S133+VLOOKUP(T133,marking,10,FALSE)*V133)/(J133+M133+P133+S133+V133),0))*10</f>
        <v>70</v>
      </c>
    </row>
    <row r="134" spans="5:23" x14ac:dyDescent="0.15">
      <c r="E134" s="7">
        <v>130</v>
      </c>
      <c r="F134" s="16">
        <v>8</v>
      </c>
      <c r="G134" s="8">
        <v>2605</v>
      </c>
      <c r="H134" s="8">
        <f t="shared" si="41"/>
        <v>50076</v>
      </c>
      <c r="I134" s="8">
        <v>1</v>
      </c>
      <c r="J134" s="8">
        <f t="shared" si="42"/>
        <v>1</v>
      </c>
      <c r="K134" s="8">
        <f t="shared" ca="1" si="43"/>
        <v>50055</v>
      </c>
      <c r="L134" s="8">
        <v>1</v>
      </c>
      <c r="M134" s="8">
        <f t="shared" ca="1" si="44"/>
        <v>129</v>
      </c>
      <c r="N134" s="8">
        <f t="shared" ca="1" si="45"/>
        <v>50055</v>
      </c>
      <c r="O134" s="8">
        <v>1</v>
      </c>
      <c r="P134" s="8">
        <f t="shared" ca="1" si="46"/>
        <v>129</v>
      </c>
      <c r="Q134" s="8">
        <f t="shared" ca="1" si="47"/>
        <v>50049</v>
      </c>
      <c r="R134" s="8">
        <v>1</v>
      </c>
      <c r="S134" s="8">
        <f t="shared" ca="1" si="48"/>
        <v>32</v>
      </c>
      <c r="T134" s="8">
        <f t="shared" ca="1" si="49"/>
        <v>50059</v>
      </c>
      <c r="U134" s="8">
        <v>1</v>
      </c>
      <c r="V134" s="8">
        <f t="shared" ca="1" si="50"/>
        <v>5</v>
      </c>
      <c r="W134" s="7">
        <f t="shared" ca="1" si="51"/>
        <v>110</v>
      </c>
    </row>
    <row r="135" spans="5:23" x14ac:dyDescent="0.15">
      <c r="E135" s="7">
        <v>131</v>
      </c>
      <c r="F135" s="16">
        <v>8</v>
      </c>
      <c r="G135" s="8">
        <v>2701</v>
      </c>
      <c r="H135" s="8">
        <f t="shared" si="41"/>
        <v>50077</v>
      </c>
      <c r="I135" s="8">
        <v>1</v>
      </c>
      <c r="J135" s="8">
        <f t="shared" si="42"/>
        <v>1</v>
      </c>
      <c r="K135" s="8">
        <f t="shared" ca="1" si="43"/>
        <v>50189</v>
      </c>
      <c r="L135" s="8">
        <v>1</v>
      </c>
      <c r="M135" s="8">
        <f t="shared" ca="1" si="44"/>
        <v>181</v>
      </c>
      <c r="N135" s="8">
        <f t="shared" ca="1" si="45"/>
        <v>50066</v>
      </c>
      <c r="O135" s="8">
        <v>1</v>
      </c>
      <c r="P135" s="8">
        <f t="shared" ca="1" si="46"/>
        <v>88</v>
      </c>
      <c r="Q135" s="8">
        <f t="shared" ca="1" si="47"/>
        <v>50068</v>
      </c>
      <c r="R135" s="8">
        <v>1</v>
      </c>
      <c r="S135" s="8">
        <f t="shared" ca="1" si="48"/>
        <v>32</v>
      </c>
      <c r="T135" s="8">
        <f t="shared" ca="1" si="49"/>
        <v>50077</v>
      </c>
      <c r="U135" s="8">
        <v>1</v>
      </c>
      <c r="V135" s="8">
        <f t="shared" ca="1" si="50"/>
        <v>1</v>
      </c>
      <c r="W135" s="7">
        <f t="shared" ca="1" si="51"/>
        <v>90</v>
      </c>
    </row>
    <row r="136" spans="5:23" x14ac:dyDescent="0.15">
      <c r="E136" s="7">
        <v>132</v>
      </c>
      <c r="F136" s="16">
        <v>8</v>
      </c>
      <c r="G136" s="8">
        <v>2702</v>
      </c>
      <c r="H136" s="8">
        <f t="shared" si="41"/>
        <v>50190</v>
      </c>
      <c r="I136" s="8">
        <v>1</v>
      </c>
      <c r="J136" s="8">
        <f t="shared" si="42"/>
        <v>1</v>
      </c>
      <c r="K136" s="8">
        <f t="shared" ca="1" si="43"/>
        <v>50070</v>
      </c>
      <c r="L136" s="8">
        <v>1</v>
      </c>
      <c r="M136" s="8">
        <f t="shared" ca="1" si="44"/>
        <v>129</v>
      </c>
      <c r="N136" s="8">
        <f t="shared" ca="1" si="45"/>
        <v>50169</v>
      </c>
      <c r="O136" s="8">
        <v>1</v>
      </c>
      <c r="P136" s="8">
        <f t="shared" ca="1" si="46"/>
        <v>88</v>
      </c>
      <c r="Q136" s="8">
        <f t="shared" ca="1" si="47"/>
        <v>50068</v>
      </c>
      <c r="R136" s="8">
        <v>1</v>
      </c>
      <c r="S136" s="8">
        <f t="shared" ca="1" si="48"/>
        <v>32</v>
      </c>
      <c r="T136" s="8">
        <f t="shared" ca="1" si="49"/>
        <v>50077</v>
      </c>
      <c r="U136" s="8">
        <v>1</v>
      </c>
      <c r="V136" s="8">
        <f t="shared" ca="1" si="50"/>
        <v>1</v>
      </c>
      <c r="W136" s="7">
        <f t="shared" ca="1" si="51"/>
        <v>130</v>
      </c>
    </row>
    <row r="137" spans="5:23" x14ac:dyDescent="0.15">
      <c r="E137" s="7">
        <v>133</v>
      </c>
      <c r="F137" s="16">
        <v>8</v>
      </c>
      <c r="G137" s="8">
        <v>2703</v>
      </c>
      <c r="H137" s="8">
        <f t="shared" si="41"/>
        <v>50041</v>
      </c>
      <c r="I137" s="8">
        <v>1</v>
      </c>
      <c r="J137" s="8">
        <f t="shared" si="42"/>
        <v>67</v>
      </c>
      <c r="K137" s="8">
        <f t="shared" ca="1" si="43"/>
        <v>50042</v>
      </c>
      <c r="L137" s="8">
        <v>1</v>
      </c>
      <c r="M137" s="8">
        <f t="shared" ca="1" si="44"/>
        <v>129</v>
      </c>
      <c r="N137" s="8">
        <f t="shared" ca="1" si="45"/>
        <v>50053</v>
      </c>
      <c r="O137" s="8">
        <v>1</v>
      </c>
      <c r="P137" s="8">
        <f t="shared" ca="1" si="46"/>
        <v>129</v>
      </c>
      <c r="Q137" s="8">
        <f t="shared" ca="1" si="47"/>
        <v>50061</v>
      </c>
      <c r="R137" s="8">
        <v>1</v>
      </c>
      <c r="S137" s="8">
        <f t="shared" ca="1" si="48"/>
        <v>32</v>
      </c>
      <c r="T137" s="8">
        <f t="shared" ca="1" si="49"/>
        <v>50076</v>
      </c>
      <c r="U137" s="8">
        <v>1</v>
      </c>
      <c r="V137" s="8">
        <f t="shared" ca="1" si="50"/>
        <v>1</v>
      </c>
      <c r="W137" s="7">
        <f t="shared" ca="1" si="51"/>
        <v>80</v>
      </c>
    </row>
    <row r="138" spans="5:23" x14ac:dyDescent="0.15">
      <c r="E138" s="7">
        <v>134</v>
      </c>
      <c r="F138" s="16">
        <v>8</v>
      </c>
      <c r="G138" s="8">
        <v>2704</v>
      </c>
      <c r="H138" s="8">
        <f t="shared" si="41"/>
        <v>50045</v>
      </c>
      <c r="I138" s="8">
        <v>1</v>
      </c>
      <c r="J138" s="8">
        <f t="shared" si="42"/>
        <v>66</v>
      </c>
      <c r="K138" s="8">
        <f t="shared" ca="1" si="43"/>
        <v>50070</v>
      </c>
      <c r="L138" s="8">
        <v>1</v>
      </c>
      <c r="M138" s="8">
        <f t="shared" ca="1" si="44"/>
        <v>129</v>
      </c>
      <c r="N138" s="8">
        <f t="shared" ca="1" si="45"/>
        <v>50063</v>
      </c>
      <c r="O138" s="8">
        <v>1</v>
      </c>
      <c r="P138" s="8">
        <f t="shared" ca="1" si="46"/>
        <v>129</v>
      </c>
      <c r="Q138" s="8">
        <f t="shared" ca="1" si="47"/>
        <v>50058</v>
      </c>
      <c r="R138" s="8">
        <v>1</v>
      </c>
      <c r="S138" s="8">
        <f t="shared" ca="1" si="48"/>
        <v>55</v>
      </c>
      <c r="T138" s="8">
        <f t="shared" ca="1" si="49"/>
        <v>50074</v>
      </c>
      <c r="U138" s="8">
        <v>1</v>
      </c>
      <c r="V138" s="8">
        <f t="shared" ca="1" si="50"/>
        <v>1</v>
      </c>
      <c r="W138" s="7">
        <f t="shared" ca="1" si="51"/>
        <v>80</v>
      </c>
    </row>
    <row r="139" spans="5:23" x14ac:dyDescent="0.15">
      <c r="E139" s="7">
        <v>135</v>
      </c>
      <c r="F139" s="16">
        <v>8</v>
      </c>
      <c r="G139" s="8">
        <v>2705</v>
      </c>
      <c r="H139" s="8">
        <f t="shared" si="41"/>
        <v>50047</v>
      </c>
      <c r="I139" s="8">
        <v>1</v>
      </c>
      <c r="J139" s="8">
        <f t="shared" si="42"/>
        <v>65</v>
      </c>
      <c r="K139" s="8">
        <f t="shared" ca="1" si="43"/>
        <v>50041</v>
      </c>
      <c r="L139" s="8">
        <v>1</v>
      </c>
      <c r="M139" s="8">
        <f t="shared" ca="1" si="44"/>
        <v>181</v>
      </c>
      <c r="N139" s="8">
        <f t="shared" ca="1" si="45"/>
        <v>50054</v>
      </c>
      <c r="O139" s="8">
        <v>1</v>
      </c>
      <c r="P139" s="8">
        <f t="shared" ca="1" si="46"/>
        <v>129</v>
      </c>
      <c r="Q139" s="8">
        <f t="shared" ca="1" si="47"/>
        <v>50062</v>
      </c>
      <c r="R139" s="8">
        <v>1</v>
      </c>
      <c r="S139" s="8">
        <f t="shared" ca="1" si="48"/>
        <v>32</v>
      </c>
      <c r="T139" s="8">
        <f t="shared" ca="1" si="49"/>
        <v>50059</v>
      </c>
      <c r="U139" s="8">
        <v>1</v>
      </c>
      <c r="V139" s="8">
        <f t="shared" ca="1" si="50"/>
        <v>5</v>
      </c>
      <c r="W139" s="7">
        <f t="shared" ca="1" si="51"/>
        <v>70</v>
      </c>
    </row>
    <row r="140" spans="5:23" x14ac:dyDescent="0.15">
      <c r="E140" s="7">
        <v>136</v>
      </c>
      <c r="F140" s="16">
        <v>8</v>
      </c>
      <c r="G140" s="8">
        <v>2801</v>
      </c>
      <c r="H140" s="8">
        <f t="shared" si="41"/>
        <v>50051</v>
      </c>
      <c r="I140" s="8">
        <v>1</v>
      </c>
      <c r="J140" s="8">
        <f t="shared" si="42"/>
        <v>64</v>
      </c>
      <c r="K140" s="8">
        <f t="shared" ca="1" si="43"/>
        <v>50065</v>
      </c>
      <c r="L140" s="8">
        <v>1</v>
      </c>
      <c r="M140" s="8">
        <f t="shared" ca="1" si="44"/>
        <v>129</v>
      </c>
      <c r="N140" s="8">
        <f t="shared" ca="1" si="45"/>
        <v>50169</v>
      </c>
      <c r="O140" s="8">
        <v>1</v>
      </c>
      <c r="P140" s="8">
        <f t="shared" ca="1" si="46"/>
        <v>88</v>
      </c>
      <c r="Q140" s="8">
        <f t="shared" ca="1" si="47"/>
        <v>50060</v>
      </c>
      <c r="R140" s="8">
        <v>1</v>
      </c>
      <c r="S140" s="8">
        <f t="shared" ca="1" si="48"/>
        <v>32</v>
      </c>
      <c r="T140" s="8">
        <f t="shared" ca="1" si="49"/>
        <v>50075</v>
      </c>
      <c r="U140" s="8">
        <v>1</v>
      </c>
      <c r="V140" s="8">
        <f t="shared" ca="1" si="50"/>
        <v>1</v>
      </c>
      <c r="W140" s="7">
        <f t="shared" ca="1" si="51"/>
        <v>110</v>
      </c>
    </row>
    <row r="141" spans="5:23" x14ac:dyDescent="0.15">
      <c r="E141" s="7">
        <v>137</v>
      </c>
      <c r="F141" s="16">
        <v>8</v>
      </c>
      <c r="G141" s="8">
        <v>2802</v>
      </c>
      <c r="H141" s="8">
        <f t="shared" si="41"/>
        <v>50052</v>
      </c>
      <c r="I141" s="8">
        <v>1</v>
      </c>
      <c r="J141" s="8">
        <f t="shared" si="42"/>
        <v>63</v>
      </c>
      <c r="K141" s="8">
        <f t="shared" ca="1" si="43"/>
        <v>50069</v>
      </c>
      <c r="L141" s="8">
        <v>1</v>
      </c>
      <c r="M141" s="8">
        <f t="shared" ca="1" si="44"/>
        <v>181</v>
      </c>
      <c r="N141" s="8">
        <f t="shared" ca="1" si="45"/>
        <v>50056</v>
      </c>
      <c r="O141" s="8">
        <v>1</v>
      </c>
      <c r="P141" s="8">
        <f t="shared" ca="1" si="46"/>
        <v>129</v>
      </c>
      <c r="Q141" s="8">
        <f t="shared" ca="1" si="47"/>
        <v>50068</v>
      </c>
      <c r="R141" s="8">
        <v>1</v>
      </c>
      <c r="S141" s="8">
        <f t="shared" ca="1" si="48"/>
        <v>32</v>
      </c>
      <c r="T141" s="8">
        <f t="shared" ca="1" si="49"/>
        <v>50072</v>
      </c>
      <c r="U141" s="8">
        <v>1</v>
      </c>
      <c r="V141" s="8">
        <f t="shared" ca="1" si="50"/>
        <v>1</v>
      </c>
      <c r="W141" s="7">
        <f t="shared" ca="1" si="51"/>
        <v>60</v>
      </c>
    </row>
    <row r="142" spans="5:23" x14ac:dyDescent="0.15">
      <c r="E142" s="7">
        <v>138</v>
      </c>
      <c r="F142" s="16">
        <v>8</v>
      </c>
      <c r="G142" s="8">
        <v>2803</v>
      </c>
      <c r="H142" s="8">
        <f t="shared" si="41"/>
        <v>50069</v>
      </c>
      <c r="I142" s="8">
        <v>1</v>
      </c>
      <c r="J142" s="8">
        <f t="shared" si="42"/>
        <v>63</v>
      </c>
      <c r="K142" s="8">
        <f t="shared" ca="1" si="43"/>
        <v>50054</v>
      </c>
      <c r="L142" s="8">
        <v>1</v>
      </c>
      <c r="M142" s="8">
        <f t="shared" ca="1" si="44"/>
        <v>129</v>
      </c>
      <c r="N142" s="8">
        <f t="shared" ca="1" si="45"/>
        <v>50054</v>
      </c>
      <c r="O142" s="8">
        <v>1</v>
      </c>
      <c r="P142" s="8">
        <f t="shared" ca="1" si="46"/>
        <v>129</v>
      </c>
      <c r="Q142" s="8">
        <f t="shared" ca="1" si="47"/>
        <v>50044</v>
      </c>
      <c r="R142" s="8">
        <v>1</v>
      </c>
      <c r="S142" s="8">
        <f t="shared" ca="1" si="48"/>
        <v>55</v>
      </c>
      <c r="T142" s="8">
        <f t="shared" ca="1" si="49"/>
        <v>50073</v>
      </c>
      <c r="U142" s="8">
        <v>1</v>
      </c>
      <c r="V142" s="8">
        <f t="shared" ca="1" si="50"/>
        <v>1</v>
      </c>
      <c r="W142" s="7">
        <f t="shared" ca="1" si="51"/>
        <v>80</v>
      </c>
    </row>
    <row r="143" spans="5:23" x14ac:dyDescent="0.15">
      <c r="E143" s="7">
        <v>139</v>
      </c>
      <c r="F143" s="16">
        <v>8</v>
      </c>
      <c r="G143" s="8">
        <v>2804</v>
      </c>
      <c r="H143" s="8">
        <f t="shared" si="41"/>
        <v>50168</v>
      </c>
      <c r="I143" s="8">
        <v>1</v>
      </c>
      <c r="J143" s="8">
        <f t="shared" si="42"/>
        <v>62</v>
      </c>
      <c r="K143" s="8">
        <f t="shared" ca="1" si="43"/>
        <v>50052</v>
      </c>
      <c r="L143" s="8">
        <v>1</v>
      </c>
      <c r="M143" s="8">
        <f t="shared" ca="1" si="44"/>
        <v>181</v>
      </c>
      <c r="N143" s="8">
        <f t="shared" ca="1" si="45"/>
        <v>50054</v>
      </c>
      <c r="O143" s="8">
        <v>1</v>
      </c>
      <c r="P143" s="8">
        <f t="shared" ca="1" si="46"/>
        <v>129</v>
      </c>
      <c r="Q143" s="8">
        <f t="shared" ca="1" si="47"/>
        <v>50068</v>
      </c>
      <c r="R143" s="8">
        <v>1</v>
      </c>
      <c r="S143" s="8">
        <f t="shared" ca="1" si="48"/>
        <v>32</v>
      </c>
      <c r="T143" s="8">
        <f t="shared" ca="1" si="49"/>
        <v>50071</v>
      </c>
      <c r="U143" s="8">
        <v>1</v>
      </c>
      <c r="V143" s="8">
        <f t="shared" ca="1" si="50"/>
        <v>1</v>
      </c>
      <c r="W143" s="7">
        <f t="shared" ca="1" si="51"/>
        <v>60</v>
      </c>
    </row>
    <row r="144" spans="5:23" x14ac:dyDescent="0.15">
      <c r="E144" s="7">
        <v>140</v>
      </c>
      <c r="F144" s="16">
        <v>8</v>
      </c>
      <c r="G144" s="8">
        <v>2805</v>
      </c>
      <c r="H144" s="8">
        <f t="shared" si="41"/>
        <v>50189</v>
      </c>
      <c r="I144" s="8">
        <v>1</v>
      </c>
      <c r="J144" s="8">
        <f t="shared" si="42"/>
        <v>61</v>
      </c>
      <c r="K144" s="8">
        <f t="shared" ca="1" si="43"/>
        <v>50052</v>
      </c>
      <c r="L144" s="8">
        <v>1</v>
      </c>
      <c r="M144" s="8">
        <f t="shared" ca="1" si="44"/>
        <v>181</v>
      </c>
      <c r="N144" s="8">
        <f t="shared" ca="1" si="45"/>
        <v>50055</v>
      </c>
      <c r="O144" s="8">
        <v>1</v>
      </c>
      <c r="P144" s="8">
        <f t="shared" ca="1" si="46"/>
        <v>129</v>
      </c>
      <c r="Q144" s="8">
        <f t="shared" ca="1" si="47"/>
        <v>50060</v>
      </c>
      <c r="R144" s="8">
        <v>1</v>
      </c>
      <c r="S144" s="8">
        <f t="shared" ca="1" si="48"/>
        <v>32</v>
      </c>
      <c r="T144" s="8">
        <f t="shared" ca="1" si="49"/>
        <v>50071</v>
      </c>
      <c r="U144" s="8">
        <v>1</v>
      </c>
      <c r="V144" s="8">
        <f t="shared" ca="1" si="50"/>
        <v>1</v>
      </c>
      <c r="W144" s="7">
        <f t="shared" ca="1" si="51"/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W144"/>
  <sheetViews>
    <sheetView topLeftCell="E1" workbookViewId="0">
      <selection activeCell="L9" sqref="L9"/>
    </sheetView>
  </sheetViews>
  <sheetFormatPr defaultRowHeight="12.75" x14ac:dyDescent="0.15"/>
  <cols>
    <col min="1" max="16384" width="9" style="7"/>
  </cols>
  <sheetData>
    <row r="2" spans="2:23" x14ac:dyDescent="0.15">
      <c r="K2" s="7">
        <v>2</v>
      </c>
      <c r="N2" s="7">
        <v>3</v>
      </c>
      <c r="Q2" s="7">
        <v>5</v>
      </c>
      <c r="T2" s="7">
        <v>8</v>
      </c>
    </row>
    <row r="3" spans="2:23" x14ac:dyDescent="0.15">
      <c r="H3" s="7" t="s">
        <v>714</v>
      </c>
      <c r="K3" s="7" t="s">
        <v>715</v>
      </c>
      <c r="N3" s="7" t="s">
        <v>716</v>
      </c>
      <c r="Q3" s="7" t="s">
        <v>717</v>
      </c>
      <c r="T3" s="7" t="s">
        <v>718</v>
      </c>
    </row>
    <row r="4" spans="2:23" x14ac:dyDescent="0.15">
      <c r="F4" s="7" t="s">
        <v>737</v>
      </c>
      <c r="G4" s="17" t="s">
        <v>721</v>
      </c>
      <c r="H4" s="17" t="s">
        <v>722</v>
      </c>
      <c r="I4" s="17" t="s">
        <v>723</v>
      </c>
      <c r="J4" s="17" t="s">
        <v>724</v>
      </c>
      <c r="K4" s="17" t="s">
        <v>725</v>
      </c>
      <c r="L4" s="17" t="s">
        <v>726</v>
      </c>
      <c r="M4" s="17" t="s">
        <v>727</v>
      </c>
      <c r="N4" s="17" t="s">
        <v>728</v>
      </c>
      <c r="O4" s="17" t="s">
        <v>729</v>
      </c>
      <c r="P4" s="17" t="s">
        <v>730</v>
      </c>
      <c r="Q4" s="17" t="s">
        <v>731</v>
      </c>
      <c r="R4" s="17" t="s">
        <v>732</v>
      </c>
      <c r="S4" s="17" t="s">
        <v>733</v>
      </c>
      <c r="T4" s="17" t="s">
        <v>734</v>
      </c>
      <c r="U4" s="17" t="s">
        <v>735</v>
      </c>
      <c r="V4" s="17" t="s">
        <v>736</v>
      </c>
      <c r="W4" s="7" t="s">
        <v>720</v>
      </c>
    </row>
    <row r="5" spans="2:23" x14ac:dyDescent="0.2">
      <c r="B5" s="7">
        <v>1</v>
      </c>
      <c r="C5" s="7">
        <v>8</v>
      </c>
      <c r="E5" s="7">
        <v>1</v>
      </c>
      <c r="F5" s="4">
        <v>1</v>
      </c>
      <c r="G5" s="8">
        <v>101</v>
      </c>
      <c r="H5" s="4">
        <v>50001</v>
      </c>
      <c r="I5" s="8">
        <v>1</v>
      </c>
      <c r="J5" s="8">
        <f t="shared" ref="J5:J36" si="0">VLOOKUP(H5,marking,9,FALSE)</f>
        <v>181</v>
      </c>
      <c r="K5" s="8">
        <f t="shared" ref="K5:K36" ca="1" si="1">IF(K$2&gt;$F5,VLOOKUP(INT(RAND()*(VLOOKUP($F5,test2,2,FALSE)-1)+1),test3,4,FALSE),VLOOKUP(INT(RAND()*(13-1)+1),test3,4,FALSE))</f>
        <v>50031</v>
      </c>
      <c r="L5" s="8">
        <v>1</v>
      </c>
      <c r="M5" s="8">
        <f t="shared" ref="M5:M36" ca="1" si="2">VLOOKUP(K5,marking,9,FALSE)</f>
        <v>181</v>
      </c>
      <c r="N5" s="8">
        <f t="shared" ref="N5:N36" ca="1" si="3">IF(N$2&gt;$F5,VLOOKUP(INT(RAND()*(VLOOKUP($F5,test2,2,FALSE)-1)+1),test3,4,FALSE),VLOOKUP(INT(RAND()*(38-8)+8),test3,4,FALSE))</f>
        <v>50009</v>
      </c>
      <c r="O5" s="8">
        <v>1</v>
      </c>
      <c r="P5" s="8">
        <f t="shared" ref="P5:P36" ca="1" si="4">VLOOKUP(N5,marking,9,FALSE)</f>
        <v>181</v>
      </c>
      <c r="Q5" s="8">
        <f t="shared" ref="Q5:Q36" ca="1" si="5">IF(Q$2&gt;$F5,VLOOKUP(INT(RAND()*(VLOOKUP($F5,test2,2,FALSE)-1)+1),test3,4,FALSE),VLOOKUP(INT(RAND()*(47-38)+38),test3,4,FALSE))</f>
        <v>50035</v>
      </c>
      <c r="R5" s="8">
        <v>1</v>
      </c>
      <c r="S5" s="8">
        <f t="shared" ref="S5:S36" ca="1" si="6">VLOOKUP(Q5,marking,9,FALSE)</f>
        <v>181</v>
      </c>
      <c r="T5" s="8">
        <f t="shared" ref="T5:T36" ca="1" si="7">IF(T$2&gt;$F5,VLOOKUP(INT(RAND()*(VLOOKUP($F5,test2,2,FALSE)-1)+1),test3,4,FALSE),VLOOKUP(INT(RAND()*(48-41)+41),test3,4,FALSE))</f>
        <v>50031</v>
      </c>
      <c r="U5" s="8">
        <v>1</v>
      </c>
      <c r="V5" s="8">
        <f t="shared" ref="V5:V36" ca="1" si="8">VLOOKUP(T5,marking,9,FALSE)</f>
        <v>181</v>
      </c>
      <c r="W5" s="7">
        <f t="shared" ref="W5:W36" ca="1" si="9">(ROUND((VLOOKUP(H5,marking,10,FALSE)*J5+VLOOKUP(K5,marking,10,FALSE)*M5+VLOOKUP(N5,marking,10,FALSE)*P5+VLOOKUP(Q5,marking,10,FALSE)*S5+VLOOKUP(T5,marking,10,FALSE)*V5)/(J5+M5+P5+S5+V5),0))*10</f>
        <v>20</v>
      </c>
    </row>
    <row r="6" spans="2:23" x14ac:dyDescent="0.2">
      <c r="B6" s="7">
        <v>2</v>
      </c>
      <c r="C6" s="7">
        <v>13</v>
      </c>
      <c r="E6" s="7">
        <v>2</v>
      </c>
      <c r="F6" s="4">
        <v>1</v>
      </c>
      <c r="G6" s="8">
        <v>102</v>
      </c>
      <c r="H6" s="4">
        <v>50005</v>
      </c>
      <c r="I6" s="8">
        <v>1</v>
      </c>
      <c r="J6" s="8">
        <f t="shared" si="0"/>
        <v>181</v>
      </c>
      <c r="K6" s="8">
        <f t="shared" ca="1" si="1"/>
        <v>50009</v>
      </c>
      <c r="L6" s="8">
        <v>1</v>
      </c>
      <c r="M6" s="8">
        <f t="shared" ca="1" si="2"/>
        <v>181</v>
      </c>
      <c r="N6" s="8">
        <f t="shared" ca="1" si="3"/>
        <v>50013</v>
      </c>
      <c r="O6" s="8">
        <v>1</v>
      </c>
      <c r="P6" s="8">
        <f t="shared" ca="1" si="4"/>
        <v>181</v>
      </c>
      <c r="Q6" s="8">
        <f t="shared" ca="1" si="5"/>
        <v>50015</v>
      </c>
      <c r="R6" s="8">
        <v>1</v>
      </c>
      <c r="S6" s="8">
        <f t="shared" ca="1" si="6"/>
        <v>181</v>
      </c>
      <c r="T6" s="8">
        <f t="shared" ca="1" si="7"/>
        <v>50005</v>
      </c>
      <c r="U6" s="8">
        <v>1</v>
      </c>
      <c r="V6" s="8">
        <f t="shared" ca="1" si="8"/>
        <v>181</v>
      </c>
      <c r="W6" s="7">
        <f t="shared" ca="1" si="9"/>
        <v>20</v>
      </c>
    </row>
    <row r="7" spans="2:23" x14ac:dyDescent="0.2">
      <c r="B7" s="7">
        <v>3</v>
      </c>
      <c r="C7" s="7">
        <v>38</v>
      </c>
      <c r="E7" s="7">
        <v>3</v>
      </c>
      <c r="F7" s="4">
        <v>1</v>
      </c>
      <c r="G7" s="8">
        <v>103</v>
      </c>
      <c r="H7" s="4">
        <v>50009</v>
      </c>
      <c r="I7" s="8">
        <v>1</v>
      </c>
      <c r="J7" s="8">
        <f t="shared" si="0"/>
        <v>181</v>
      </c>
      <c r="K7" s="8">
        <f t="shared" ca="1" si="1"/>
        <v>50015</v>
      </c>
      <c r="L7" s="8">
        <v>1</v>
      </c>
      <c r="M7" s="8">
        <f t="shared" ca="1" si="2"/>
        <v>181</v>
      </c>
      <c r="N7" s="8">
        <f t="shared" ca="1" si="3"/>
        <v>50009</v>
      </c>
      <c r="O7" s="8">
        <v>1</v>
      </c>
      <c r="P7" s="8">
        <f t="shared" ca="1" si="4"/>
        <v>181</v>
      </c>
      <c r="Q7" s="8">
        <f t="shared" ca="1" si="5"/>
        <v>50015</v>
      </c>
      <c r="R7" s="8">
        <v>1</v>
      </c>
      <c r="S7" s="8">
        <f t="shared" ca="1" si="6"/>
        <v>181</v>
      </c>
      <c r="T7" s="8">
        <f t="shared" ca="1" si="7"/>
        <v>50005</v>
      </c>
      <c r="U7" s="8">
        <v>1</v>
      </c>
      <c r="V7" s="8">
        <f t="shared" ca="1" si="8"/>
        <v>181</v>
      </c>
      <c r="W7" s="7">
        <f t="shared" ca="1" si="9"/>
        <v>20</v>
      </c>
    </row>
    <row r="8" spans="2:23" x14ac:dyDescent="0.2">
      <c r="B8" s="7">
        <v>4</v>
      </c>
      <c r="C8" s="7">
        <v>41</v>
      </c>
      <c r="E8" s="7">
        <v>4</v>
      </c>
      <c r="F8" s="4">
        <v>1</v>
      </c>
      <c r="G8" s="8">
        <v>104</v>
      </c>
      <c r="H8" s="4">
        <v>50013</v>
      </c>
      <c r="I8" s="8">
        <v>1</v>
      </c>
      <c r="J8" s="8">
        <f t="shared" si="0"/>
        <v>181</v>
      </c>
      <c r="K8" s="8">
        <f t="shared" ca="1" si="1"/>
        <v>50035</v>
      </c>
      <c r="L8" s="8">
        <v>1</v>
      </c>
      <c r="M8" s="8">
        <f t="shared" ca="1" si="2"/>
        <v>181</v>
      </c>
      <c r="N8" s="8">
        <f t="shared" ca="1" si="3"/>
        <v>50005</v>
      </c>
      <c r="O8" s="8">
        <v>1</v>
      </c>
      <c r="P8" s="8">
        <f t="shared" ca="1" si="4"/>
        <v>181</v>
      </c>
      <c r="Q8" s="8">
        <f t="shared" ca="1" si="5"/>
        <v>50013</v>
      </c>
      <c r="R8" s="8">
        <v>1</v>
      </c>
      <c r="S8" s="8">
        <f t="shared" ca="1" si="6"/>
        <v>181</v>
      </c>
      <c r="T8" s="8">
        <f t="shared" ca="1" si="7"/>
        <v>50009</v>
      </c>
      <c r="U8" s="8">
        <v>1</v>
      </c>
      <c r="V8" s="8">
        <f t="shared" ca="1" si="8"/>
        <v>181</v>
      </c>
      <c r="W8" s="7">
        <f t="shared" ca="1" si="9"/>
        <v>20</v>
      </c>
    </row>
    <row r="9" spans="2:23" x14ac:dyDescent="0.2">
      <c r="B9" s="7">
        <v>5</v>
      </c>
      <c r="C9" s="7">
        <v>47</v>
      </c>
      <c r="E9" s="7">
        <v>5</v>
      </c>
      <c r="F9" s="4">
        <v>1</v>
      </c>
      <c r="G9" s="8">
        <v>105</v>
      </c>
      <c r="H9" s="4">
        <v>50015</v>
      </c>
      <c r="I9" s="8">
        <v>1</v>
      </c>
      <c r="J9" s="8">
        <f t="shared" si="0"/>
        <v>181</v>
      </c>
      <c r="K9" s="8">
        <f t="shared" ca="1" si="1"/>
        <v>50001</v>
      </c>
      <c r="L9" s="8">
        <v>1</v>
      </c>
      <c r="M9" s="8">
        <f t="shared" ca="1" si="2"/>
        <v>181</v>
      </c>
      <c r="N9" s="8">
        <f t="shared" ca="1" si="3"/>
        <v>50035</v>
      </c>
      <c r="O9" s="8">
        <v>1</v>
      </c>
      <c r="P9" s="8">
        <f t="shared" ca="1" si="4"/>
        <v>181</v>
      </c>
      <c r="Q9" s="8">
        <f t="shared" ca="1" si="5"/>
        <v>50001</v>
      </c>
      <c r="R9" s="8">
        <v>1</v>
      </c>
      <c r="S9" s="8">
        <f t="shared" ca="1" si="6"/>
        <v>181</v>
      </c>
      <c r="T9" s="8">
        <f t="shared" ca="1" si="7"/>
        <v>50009</v>
      </c>
      <c r="U9" s="8">
        <v>1</v>
      </c>
      <c r="V9" s="8">
        <f t="shared" ca="1" si="8"/>
        <v>181</v>
      </c>
      <c r="W9" s="7">
        <f t="shared" ca="1" si="9"/>
        <v>20</v>
      </c>
    </row>
    <row r="10" spans="2:23" x14ac:dyDescent="0.2">
      <c r="B10" s="7">
        <v>6</v>
      </c>
      <c r="C10" s="7">
        <v>47</v>
      </c>
      <c r="E10" s="7">
        <v>6</v>
      </c>
      <c r="F10" s="4">
        <v>1</v>
      </c>
      <c r="G10" s="8">
        <v>201</v>
      </c>
      <c r="H10" s="4">
        <v>50031</v>
      </c>
      <c r="I10" s="8">
        <v>1</v>
      </c>
      <c r="J10" s="8">
        <f t="shared" si="0"/>
        <v>181</v>
      </c>
      <c r="K10" s="8">
        <f t="shared" ca="1" si="1"/>
        <v>50031</v>
      </c>
      <c r="L10" s="8">
        <v>1</v>
      </c>
      <c r="M10" s="8">
        <f t="shared" ca="1" si="2"/>
        <v>181</v>
      </c>
      <c r="N10" s="8">
        <f t="shared" ca="1" si="3"/>
        <v>50015</v>
      </c>
      <c r="O10" s="8">
        <v>1</v>
      </c>
      <c r="P10" s="8">
        <f t="shared" ca="1" si="4"/>
        <v>181</v>
      </c>
      <c r="Q10" s="8">
        <f t="shared" ca="1" si="5"/>
        <v>50013</v>
      </c>
      <c r="R10" s="8">
        <v>1</v>
      </c>
      <c r="S10" s="8">
        <f t="shared" ca="1" si="6"/>
        <v>181</v>
      </c>
      <c r="T10" s="8">
        <f t="shared" ca="1" si="7"/>
        <v>50001</v>
      </c>
      <c r="U10" s="8">
        <v>1</v>
      </c>
      <c r="V10" s="8">
        <f t="shared" ca="1" si="8"/>
        <v>181</v>
      </c>
      <c r="W10" s="7">
        <f t="shared" ca="1" si="9"/>
        <v>20</v>
      </c>
    </row>
    <row r="11" spans="2:23" x14ac:dyDescent="0.2">
      <c r="B11" s="7">
        <v>7</v>
      </c>
      <c r="C11" s="7">
        <v>48</v>
      </c>
      <c r="E11" s="7">
        <v>7</v>
      </c>
      <c r="F11" s="4">
        <v>1</v>
      </c>
      <c r="G11" s="8">
        <v>202</v>
      </c>
      <c r="H11" s="4">
        <v>50035</v>
      </c>
      <c r="I11" s="8">
        <v>1</v>
      </c>
      <c r="J11" s="8">
        <f t="shared" si="0"/>
        <v>181</v>
      </c>
      <c r="K11" s="8">
        <f t="shared" ca="1" si="1"/>
        <v>50005</v>
      </c>
      <c r="L11" s="8">
        <v>1</v>
      </c>
      <c r="M11" s="8">
        <f t="shared" ca="1" si="2"/>
        <v>181</v>
      </c>
      <c r="N11" s="8">
        <f t="shared" ca="1" si="3"/>
        <v>50035</v>
      </c>
      <c r="O11" s="8">
        <v>1</v>
      </c>
      <c r="P11" s="8">
        <f t="shared" ca="1" si="4"/>
        <v>181</v>
      </c>
      <c r="Q11" s="8">
        <f t="shared" ca="1" si="5"/>
        <v>50015</v>
      </c>
      <c r="R11" s="8">
        <v>1</v>
      </c>
      <c r="S11" s="8">
        <f t="shared" ca="1" si="6"/>
        <v>181</v>
      </c>
      <c r="T11" s="8">
        <f t="shared" ca="1" si="7"/>
        <v>50035</v>
      </c>
      <c r="U11" s="8">
        <v>1</v>
      </c>
      <c r="V11" s="8">
        <f t="shared" ca="1" si="8"/>
        <v>181</v>
      </c>
      <c r="W11" s="7">
        <f t="shared" ca="1" si="9"/>
        <v>20</v>
      </c>
    </row>
    <row r="12" spans="2:23" x14ac:dyDescent="0.2">
      <c r="B12" s="7">
        <v>8</v>
      </c>
      <c r="C12" s="7">
        <v>48</v>
      </c>
      <c r="E12" s="7">
        <v>8</v>
      </c>
      <c r="F12" s="4">
        <v>2</v>
      </c>
      <c r="G12" s="8">
        <v>203</v>
      </c>
      <c r="H12" s="4">
        <v>50002</v>
      </c>
      <c r="I12" s="8">
        <v>1</v>
      </c>
      <c r="J12" s="8">
        <f t="shared" si="0"/>
        <v>129</v>
      </c>
      <c r="K12" s="8">
        <f t="shared" ca="1" si="1"/>
        <v>50031</v>
      </c>
      <c r="L12" s="8">
        <v>1</v>
      </c>
      <c r="M12" s="8">
        <f t="shared" ca="1" si="2"/>
        <v>181</v>
      </c>
      <c r="N12" s="8">
        <f t="shared" ca="1" si="3"/>
        <v>50009</v>
      </c>
      <c r="O12" s="8">
        <v>1</v>
      </c>
      <c r="P12" s="8">
        <f t="shared" ca="1" si="4"/>
        <v>181</v>
      </c>
      <c r="Q12" s="8">
        <f t="shared" ca="1" si="5"/>
        <v>50002</v>
      </c>
      <c r="R12" s="8">
        <v>1</v>
      </c>
      <c r="S12" s="8">
        <f t="shared" ca="1" si="6"/>
        <v>129</v>
      </c>
      <c r="T12" s="8">
        <f t="shared" ca="1" si="7"/>
        <v>50035</v>
      </c>
      <c r="U12" s="8">
        <v>1</v>
      </c>
      <c r="V12" s="8">
        <f t="shared" ca="1" si="8"/>
        <v>181</v>
      </c>
      <c r="W12" s="7">
        <f t="shared" ca="1" si="9"/>
        <v>30</v>
      </c>
    </row>
    <row r="13" spans="2:23" x14ac:dyDescent="0.2">
      <c r="E13" s="7">
        <v>9</v>
      </c>
      <c r="F13" s="4">
        <v>2</v>
      </c>
      <c r="G13" s="8">
        <v>204</v>
      </c>
      <c r="H13" s="4">
        <v>50006</v>
      </c>
      <c r="I13" s="8">
        <v>1</v>
      </c>
      <c r="J13" s="8">
        <f t="shared" si="0"/>
        <v>129</v>
      </c>
      <c r="K13" s="8">
        <f t="shared" ca="1" si="1"/>
        <v>50002</v>
      </c>
      <c r="L13" s="8">
        <v>1</v>
      </c>
      <c r="M13" s="8">
        <f t="shared" ca="1" si="2"/>
        <v>129</v>
      </c>
      <c r="N13" s="8">
        <f t="shared" ca="1" si="3"/>
        <v>50010</v>
      </c>
      <c r="O13" s="8">
        <v>1</v>
      </c>
      <c r="P13" s="8">
        <f t="shared" ca="1" si="4"/>
        <v>129</v>
      </c>
      <c r="Q13" s="8">
        <f t="shared" ca="1" si="5"/>
        <v>50035</v>
      </c>
      <c r="R13" s="8">
        <v>1</v>
      </c>
      <c r="S13" s="8">
        <f t="shared" ca="1" si="6"/>
        <v>181</v>
      </c>
      <c r="T13" s="8">
        <f t="shared" ca="1" si="7"/>
        <v>50087</v>
      </c>
      <c r="U13" s="8">
        <v>1</v>
      </c>
      <c r="V13" s="8">
        <f t="shared" ca="1" si="8"/>
        <v>129</v>
      </c>
      <c r="W13" s="7">
        <f t="shared" ca="1" si="9"/>
        <v>50</v>
      </c>
    </row>
    <row r="14" spans="2:23" x14ac:dyDescent="0.2">
      <c r="E14" s="7">
        <v>10</v>
      </c>
      <c r="F14" s="4">
        <v>2</v>
      </c>
      <c r="G14" s="8">
        <v>205</v>
      </c>
      <c r="H14" s="4">
        <v>50010</v>
      </c>
      <c r="I14" s="8">
        <v>1</v>
      </c>
      <c r="J14" s="8">
        <f t="shared" si="0"/>
        <v>129</v>
      </c>
      <c r="K14" s="8">
        <f t="shared" ca="1" si="1"/>
        <v>50009</v>
      </c>
      <c r="L14" s="8">
        <v>1</v>
      </c>
      <c r="M14" s="8">
        <f t="shared" ca="1" si="2"/>
        <v>181</v>
      </c>
      <c r="N14" s="8">
        <f t="shared" ca="1" si="3"/>
        <v>50087</v>
      </c>
      <c r="O14" s="8">
        <v>1</v>
      </c>
      <c r="P14" s="8">
        <f t="shared" ca="1" si="4"/>
        <v>129</v>
      </c>
      <c r="Q14" s="8">
        <f t="shared" ca="1" si="5"/>
        <v>50087</v>
      </c>
      <c r="R14" s="8">
        <v>1</v>
      </c>
      <c r="S14" s="8">
        <f t="shared" ca="1" si="6"/>
        <v>129</v>
      </c>
      <c r="T14" s="8">
        <f t="shared" ca="1" si="7"/>
        <v>50009</v>
      </c>
      <c r="U14" s="8">
        <v>1</v>
      </c>
      <c r="V14" s="8">
        <f t="shared" ca="1" si="8"/>
        <v>181</v>
      </c>
      <c r="W14" s="7">
        <f t="shared" ca="1" si="9"/>
        <v>40</v>
      </c>
    </row>
    <row r="15" spans="2:23" x14ac:dyDescent="0.2">
      <c r="E15" s="7">
        <v>11</v>
      </c>
      <c r="F15" s="4">
        <v>2</v>
      </c>
      <c r="G15" s="8">
        <v>301</v>
      </c>
      <c r="H15" s="4">
        <v>50087</v>
      </c>
      <c r="I15" s="8">
        <v>1</v>
      </c>
      <c r="J15" s="8">
        <f t="shared" si="0"/>
        <v>129</v>
      </c>
      <c r="K15" s="8">
        <f t="shared" ca="1" si="1"/>
        <v>50088</v>
      </c>
      <c r="L15" s="8">
        <v>1</v>
      </c>
      <c r="M15" s="8">
        <f t="shared" ca="1" si="2"/>
        <v>129</v>
      </c>
      <c r="N15" s="8">
        <f t="shared" ca="1" si="3"/>
        <v>50002</v>
      </c>
      <c r="O15" s="8">
        <v>1</v>
      </c>
      <c r="P15" s="8">
        <f t="shared" ca="1" si="4"/>
        <v>129</v>
      </c>
      <c r="Q15" s="8">
        <f t="shared" ca="1" si="5"/>
        <v>50001</v>
      </c>
      <c r="R15" s="8">
        <v>1</v>
      </c>
      <c r="S15" s="8">
        <f t="shared" ca="1" si="6"/>
        <v>181</v>
      </c>
      <c r="T15" s="8">
        <f t="shared" ca="1" si="7"/>
        <v>50013</v>
      </c>
      <c r="U15" s="8">
        <v>1</v>
      </c>
      <c r="V15" s="8">
        <f t="shared" ca="1" si="8"/>
        <v>181</v>
      </c>
      <c r="W15" s="7">
        <f t="shared" ca="1" si="9"/>
        <v>40</v>
      </c>
    </row>
    <row r="16" spans="2:23" x14ac:dyDescent="0.2">
      <c r="E16" s="7">
        <v>12</v>
      </c>
      <c r="F16" s="4">
        <v>2</v>
      </c>
      <c r="G16" s="8">
        <v>302</v>
      </c>
      <c r="H16" s="4">
        <v>50088</v>
      </c>
      <c r="I16" s="8">
        <v>1</v>
      </c>
      <c r="J16" s="8">
        <f t="shared" si="0"/>
        <v>129</v>
      </c>
      <c r="K16" s="8">
        <f t="shared" ca="1" si="1"/>
        <v>50013</v>
      </c>
      <c r="L16" s="8">
        <v>1</v>
      </c>
      <c r="M16" s="8">
        <f t="shared" ca="1" si="2"/>
        <v>181</v>
      </c>
      <c r="N16" s="8">
        <f t="shared" ca="1" si="3"/>
        <v>50001</v>
      </c>
      <c r="O16" s="8">
        <v>1</v>
      </c>
      <c r="P16" s="8">
        <f t="shared" ca="1" si="4"/>
        <v>181</v>
      </c>
      <c r="Q16" s="8">
        <f t="shared" ca="1" si="5"/>
        <v>50031</v>
      </c>
      <c r="R16" s="8">
        <v>1</v>
      </c>
      <c r="S16" s="8">
        <f t="shared" ca="1" si="6"/>
        <v>181</v>
      </c>
      <c r="T16" s="8">
        <f t="shared" ca="1" si="7"/>
        <v>50013</v>
      </c>
      <c r="U16" s="8">
        <v>1</v>
      </c>
      <c r="V16" s="8">
        <f t="shared" ca="1" si="8"/>
        <v>181</v>
      </c>
      <c r="W16" s="7">
        <f t="shared" ca="1" si="9"/>
        <v>20</v>
      </c>
    </row>
    <row r="17" spans="5:23" x14ac:dyDescent="0.2">
      <c r="E17" s="7">
        <v>13</v>
      </c>
      <c r="F17" s="4">
        <v>3</v>
      </c>
      <c r="G17" s="8">
        <v>303</v>
      </c>
      <c r="H17" s="4">
        <v>50003</v>
      </c>
      <c r="I17" s="8">
        <v>1</v>
      </c>
      <c r="J17" s="8">
        <f t="shared" si="0"/>
        <v>88</v>
      </c>
      <c r="K17" s="8">
        <f t="shared" ca="1" si="1"/>
        <v>50035</v>
      </c>
      <c r="L17" s="8">
        <v>1</v>
      </c>
      <c r="M17" s="8">
        <f t="shared" ca="1" si="2"/>
        <v>181</v>
      </c>
      <c r="N17" s="8">
        <f t="shared" ca="1" si="3"/>
        <v>50019</v>
      </c>
      <c r="O17" s="8">
        <v>1</v>
      </c>
      <c r="P17" s="8">
        <f t="shared" ca="1" si="4"/>
        <v>88</v>
      </c>
      <c r="Q17" s="8">
        <f t="shared" ca="1" si="5"/>
        <v>50015</v>
      </c>
      <c r="R17" s="8">
        <v>1</v>
      </c>
      <c r="S17" s="8">
        <f t="shared" ca="1" si="6"/>
        <v>181</v>
      </c>
      <c r="T17" s="8">
        <f t="shared" ca="1" si="7"/>
        <v>50024</v>
      </c>
      <c r="U17" s="8">
        <v>1</v>
      </c>
      <c r="V17" s="8">
        <f t="shared" ca="1" si="8"/>
        <v>88</v>
      </c>
      <c r="W17" s="7">
        <f t="shared" ca="1" si="9"/>
        <v>70</v>
      </c>
    </row>
    <row r="18" spans="5:23" x14ac:dyDescent="0.2">
      <c r="E18" s="7">
        <v>14</v>
      </c>
      <c r="F18" s="4">
        <v>3</v>
      </c>
      <c r="G18" s="8">
        <v>304</v>
      </c>
      <c r="H18" s="4">
        <v>50007</v>
      </c>
      <c r="I18" s="8">
        <v>1</v>
      </c>
      <c r="J18" s="8">
        <f t="shared" si="0"/>
        <v>88</v>
      </c>
      <c r="K18" s="8">
        <f t="shared" ca="1" si="1"/>
        <v>50006</v>
      </c>
      <c r="L18" s="8">
        <v>1</v>
      </c>
      <c r="M18" s="8">
        <f t="shared" ca="1" si="2"/>
        <v>129</v>
      </c>
      <c r="N18" s="8">
        <f t="shared" ca="1" si="3"/>
        <v>50036</v>
      </c>
      <c r="O18" s="8">
        <v>1</v>
      </c>
      <c r="P18" s="8">
        <f t="shared" ca="1" si="4"/>
        <v>88</v>
      </c>
      <c r="Q18" s="8">
        <f t="shared" ca="1" si="5"/>
        <v>50018</v>
      </c>
      <c r="R18" s="8">
        <v>1</v>
      </c>
      <c r="S18" s="8">
        <f t="shared" ca="1" si="6"/>
        <v>88</v>
      </c>
      <c r="T18" s="8">
        <f t="shared" ca="1" si="7"/>
        <v>50088</v>
      </c>
      <c r="U18" s="8">
        <v>1</v>
      </c>
      <c r="V18" s="8">
        <f t="shared" ca="1" si="8"/>
        <v>129</v>
      </c>
      <c r="W18" s="7">
        <f t="shared" ca="1" si="9"/>
        <v>100</v>
      </c>
    </row>
    <row r="19" spans="5:23" x14ac:dyDescent="0.2">
      <c r="E19" s="7">
        <v>15</v>
      </c>
      <c r="F19" s="4">
        <v>3</v>
      </c>
      <c r="G19" s="8">
        <v>305</v>
      </c>
      <c r="H19" s="4">
        <v>50011</v>
      </c>
      <c r="I19" s="8">
        <v>1</v>
      </c>
      <c r="J19" s="8">
        <f t="shared" si="0"/>
        <v>88</v>
      </c>
      <c r="K19" s="8">
        <f t="shared" ca="1" si="1"/>
        <v>50006</v>
      </c>
      <c r="L19" s="8">
        <v>1</v>
      </c>
      <c r="M19" s="8">
        <f t="shared" ca="1" si="2"/>
        <v>129</v>
      </c>
      <c r="N19" s="8">
        <f t="shared" ca="1" si="3"/>
        <v>50025</v>
      </c>
      <c r="O19" s="8">
        <v>1</v>
      </c>
      <c r="P19" s="8">
        <f t="shared" ca="1" si="4"/>
        <v>88</v>
      </c>
      <c r="Q19" s="8">
        <f t="shared" ca="1" si="5"/>
        <v>50032</v>
      </c>
      <c r="R19" s="8">
        <v>1</v>
      </c>
      <c r="S19" s="8">
        <f t="shared" ca="1" si="6"/>
        <v>88</v>
      </c>
      <c r="T19" s="8">
        <f t="shared" ca="1" si="7"/>
        <v>50028</v>
      </c>
      <c r="U19" s="8">
        <v>1</v>
      </c>
      <c r="V19" s="8">
        <f t="shared" ca="1" si="8"/>
        <v>88</v>
      </c>
      <c r="W19" s="7">
        <f t="shared" ca="1" si="9"/>
        <v>110</v>
      </c>
    </row>
    <row r="20" spans="5:23" x14ac:dyDescent="0.2">
      <c r="E20" s="7">
        <v>16</v>
      </c>
      <c r="F20" s="4">
        <v>3</v>
      </c>
      <c r="G20" s="8">
        <v>401</v>
      </c>
      <c r="H20" s="4">
        <v>50014</v>
      </c>
      <c r="I20" s="8">
        <v>1</v>
      </c>
      <c r="J20" s="8">
        <f t="shared" si="0"/>
        <v>88</v>
      </c>
      <c r="K20" s="8">
        <f t="shared" ca="1" si="1"/>
        <v>50009</v>
      </c>
      <c r="L20" s="8">
        <v>1</v>
      </c>
      <c r="M20" s="8">
        <f t="shared" ca="1" si="2"/>
        <v>181</v>
      </c>
      <c r="N20" s="8">
        <f t="shared" ca="1" si="3"/>
        <v>50018</v>
      </c>
      <c r="O20" s="8">
        <v>1</v>
      </c>
      <c r="P20" s="8">
        <f t="shared" ca="1" si="4"/>
        <v>88</v>
      </c>
      <c r="Q20" s="8">
        <f t="shared" ca="1" si="5"/>
        <v>50036</v>
      </c>
      <c r="R20" s="8">
        <v>1</v>
      </c>
      <c r="S20" s="8">
        <f t="shared" ca="1" si="6"/>
        <v>88</v>
      </c>
      <c r="T20" s="8">
        <f t="shared" ca="1" si="7"/>
        <v>50023</v>
      </c>
      <c r="U20" s="8">
        <v>1</v>
      </c>
      <c r="V20" s="8">
        <f t="shared" ca="1" si="8"/>
        <v>88</v>
      </c>
      <c r="W20" s="7">
        <f t="shared" ca="1" si="9"/>
        <v>90</v>
      </c>
    </row>
    <row r="21" spans="5:23" x14ac:dyDescent="0.2">
      <c r="E21" s="7">
        <v>17</v>
      </c>
      <c r="F21" s="4">
        <v>3</v>
      </c>
      <c r="G21" s="8">
        <v>402</v>
      </c>
      <c r="H21" s="4">
        <v>50016</v>
      </c>
      <c r="I21" s="8">
        <v>1</v>
      </c>
      <c r="J21" s="8">
        <f t="shared" si="0"/>
        <v>88</v>
      </c>
      <c r="K21" s="8">
        <f t="shared" ca="1" si="1"/>
        <v>50010</v>
      </c>
      <c r="L21" s="8">
        <v>1</v>
      </c>
      <c r="M21" s="8">
        <f t="shared" ca="1" si="2"/>
        <v>129</v>
      </c>
      <c r="N21" s="8">
        <f t="shared" ca="1" si="3"/>
        <v>50036</v>
      </c>
      <c r="O21" s="8">
        <v>1</v>
      </c>
      <c r="P21" s="8">
        <f t="shared" ca="1" si="4"/>
        <v>88</v>
      </c>
      <c r="Q21" s="8">
        <f t="shared" ca="1" si="5"/>
        <v>50013</v>
      </c>
      <c r="R21" s="8">
        <v>1</v>
      </c>
      <c r="S21" s="8">
        <f t="shared" ca="1" si="6"/>
        <v>181</v>
      </c>
      <c r="T21" s="8">
        <f t="shared" ca="1" si="7"/>
        <v>50014</v>
      </c>
      <c r="U21" s="8">
        <v>1</v>
      </c>
      <c r="V21" s="8">
        <f t="shared" ca="1" si="8"/>
        <v>88</v>
      </c>
      <c r="W21" s="7">
        <f t="shared" ca="1" si="9"/>
        <v>80</v>
      </c>
    </row>
    <row r="22" spans="5:23" x14ac:dyDescent="0.2">
      <c r="E22" s="7">
        <v>18</v>
      </c>
      <c r="F22" s="4">
        <v>3</v>
      </c>
      <c r="G22" s="8">
        <v>403</v>
      </c>
      <c r="H22" s="4">
        <v>50018</v>
      </c>
      <c r="I22" s="8">
        <v>1</v>
      </c>
      <c r="J22" s="8">
        <f t="shared" si="0"/>
        <v>88</v>
      </c>
      <c r="K22" s="8">
        <f t="shared" ca="1" si="1"/>
        <v>50001</v>
      </c>
      <c r="L22" s="8">
        <v>1</v>
      </c>
      <c r="M22" s="8">
        <f t="shared" ca="1" si="2"/>
        <v>181</v>
      </c>
      <c r="N22" s="8">
        <f t="shared" ca="1" si="3"/>
        <v>50027</v>
      </c>
      <c r="O22" s="8">
        <v>1</v>
      </c>
      <c r="P22" s="8">
        <f t="shared" ca="1" si="4"/>
        <v>88</v>
      </c>
      <c r="Q22" s="8">
        <f t="shared" ca="1" si="5"/>
        <v>50006</v>
      </c>
      <c r="R22" s="8">
        <v>1</v>
      </c>
      <c r="S22" s="8">
        <f t="shared" ca="1" si="6"/>
        <v>129</v>
      </c>
      <c r="T22" s="8">
        <f t="shared" ca="1" si="7"/>
        <v>50089</v>
      </c>
      <c r="U22" s="8">
        <v>1</v>
      </c>
      <c r="V22" s="8">
        <f t="shared" ca="1" si="8"/>
        <v>88</v>
      </c>
      <c r="W22" s="7">
        <f t="shared" ca="1" si="9"/>
        <v>80</v>
      </c>
    </row>
    <row r="23" spans="5:23" x14ac:dyDescent="0.2">
      <c r="E23" s="7">
        <v>19</v>
      </c>
      <c r="F23" s="4">
        <v>3</v>
      </c>
      <c r="G23" s="8">
        <v>404</v>
      </c>
      <c r="H23" s="4">
        <v>50019</v>
      </c>
      <c r="I23" s="8">
        <v>1</v>
      </c>
      <c r="J23" s="8">
        <f t="shared" si="0"/>
        <v>88</v>
      </c>
      <c r="K23" s="8">
        <f t="shared" ca="1" si="1"/>
        <v>50001</v>
      </c>
      <c r="L23" s="8">
        <v>1</v>
      </c>
      <c r="M23" s="8">
        <f t="shared" ca="1" si="2"/>
        <v>181</v>
      </c>
      <c r="N23" s="8">
        <f t="shared" ca="1" si="3"/>
        <v>50023</v>
      </c>
      <c r="O23" s="8">
        <v>1</v>
      </c>
      <c r="P23" s="8">
        <f t="shared" ca="1" si="4"/>
        <v>88</v>
      </c>
      <c r="Q23" s="8">
        <f t="shared" ca="1" si="5"/>
        <v>50007</v>
      </c>
      <c r="R23" s="8">
        <v>1</v>
      </c>
      <c r="S23" s="8">
        <f t="shared" ca="1" si="6"/>
        <v>88</v>
      </c>
      <c r="T23" s="8">
        <f t="shared" ca="1" si="7"/>
        <v>50030</v>
      </c>
      <c r="U23" s="8">
        <v>1</v>
      </c>
      <c r="V23" s="8">
        <f t="shared" ca="1" si="8"/>
        <v>88</v>
      </c>
      <c r="W23" s="7">
        <f t="shared" ca="1" si="9"/>
        <v>90</v>
      </c>
    </row>
    <row r="24" spans="5:23" x14ac:dyDescent="0.2">
      <c r="E24" s="7">
        <v>20</v>
      </c>
      <c r="F24" s="4">
        <v>3</v>
      </c>
      <c r="G24" s="8">
        <v>405</v>
      </c>
      <c r="H24" s="4">
        <v>50020</v>
      </c>
      <c r="I24" s="8">
        <v>1</v>
      </c>
      <c r="J24" s="8">
        <f t="shared" si="0"/>
        <v>88</v>
      </c>
      <c r="K24" s="8">
        <f t="shared" ca="1" si="1"/>
        <v>50005</v>
      </c>
      <c r="L24" s="8">
        <v>1</v>
      </c>
      <c r="M24" s="8">
        <f t="shared" ca="1" si="2"/>
        <v>181</v>
      </c>
      <c r="N24" s="8">
        <f t="shared" ca="1" si="3"/>
        <v>50087</v>
      </c>
      <c r="O24" s="8">
        <v>1</v>
      </c>
      <c r="P24" s="8">
        <f t="shared" ca="1" si="4"/>
        <v>129</v>
      </c>
      <c r="Q24" s="8">
        <f t="shared" ca="1" si="5"/>
        <v>50032</v>
      </c>
      <c r="R24" s="8">
        <v>1</v>
      </c>
      <c r="S24" s="8">
        <f t="shared" ca="1" si="6"/>
        <v>88</v>
      </c>
      <c r="T24" s="8">
        <f t="shared" ca="1" si="7"/>
        <v>50022</v>
      </c>
      <c r="U24" s="8">
        <v>1</v>
      </c>
      <c r="V24" s="8">
        <f t="shared" ca="1" si="8"/>
        <v>88</v>
      </c>
      <c r="W24" s="7">
        <f t="shared" ca="1" si="9"/>
        <v>80</v>
      </c>
    </row>
    <row r="25" spans="5:23" x14ac:dyDescent="0.2">
      <c r="E25" s="7">
        <v>21</v>
      </c>
      <c r="F25" s="4">
        <v>3</v>
      </c>
      <c r="G25" s="8">
        <v>501</v>
      </c>
      <c r="H25" s="4">
        <v>50021</v>
      </c>
      <c r="I25" s="8">
        <v>1</v>
      </c>
      <c r="J25" s="8">
        <f t="shared" si="0"/>
        <v>88</v>
      </c>
      <c r="K25" s="8">
        <f t="shared" ca="1" si="1"/>
        <v>50010</v>
      </c>
      <c r="L25" s="8">
        <v>1</v>
      </c>
      <c r="M25" s="8">
        <f t="shared" ca="1" si="2"/>
        <v>129</v>
      </c>
      <c r="N25" s="8">
        <f t="shared" ca="1" si="3"/>
        <v>50176</v>
      </c>
      <c r="O25" s="8">
        <v>1</v>
      </c>
      <c r="P25" s="8">
        <f t="shared" ca="1" si="4"/>
        <v>88</v>
      </c>
      <c r="Q25" s="8">
        <f t="shared" ca="1" si="5"/>
        <v>50001</v>
      </c>
      <c r="R25" s="8">
        <v>1</v>
      </c>
      <c r="S25" s="8">
        <f t="shared" ca="1" si="6"/>
        <v>181</v>
      </c>
      <c r="T25" s="8">
        <f t="shared" ca="1" si="7"/>
        <v>50173</v>
      </c>
      <c r="U25" s="8">
        <v>1</v>
      </c>
      <c r="V25" s="8">
        <f t="shared" ca="1" si="8"/>
        <v>88</v>
      </c>
      <c r="W25" s="7">
        <f t="shared" ca="1" si="9"/>
        <v>80</v>
      </c>
    </row>
    <row r="26" spans="5:23" x14ac:dyDescent="0.2">
      <c r="E26" s="7">
        <v>22</v>
      </c>
      <c r="F26" s="4">
        <v>3</v>
      </c>
      <c r="G26" s="8">
        <v>502</v>
      </c>
      <c r="H26" s="4">
        <v>50022</v>
      </c>
      <c r="I26" s="8">
        <v>1</v>
      </c>
      <c r="J26" s="8">
        <f t="shared" si="0"/>
        <v>88</v>
      </c>
      <c r="K26" s="8">
        <f t="shared" ca="1" si="1"/>
        <v>50010</v>
      </c>
      <c r="L26" s="8">
        <v>1</v>
      </c>
      <c r="M26" s="8">
        <f t="shared" ca="1" si="2"/>
        <v>129</v>
      </c>
      <c r="N26" s="8">
        <f t="shared" ca="1" si="3"/>
        <v>50087</v>
      </c>
      <c r="O26" s="8">
        <v>1</v>
      </c>
      <c r="P26" s="8">
        <f t="shared" ca="1" si="4"/>
        <v>129</v>
      </c>
      <c r="Q26" s="8">
        <f t="shared" ca="1" si="5"/>
        <v>50028</v>
      </c>
      <c r="R26" s="8">
        <v>1</v>
      </c>
      <c r="S26" s="8">
        <f t="shared" ca="1" si="6"/>
        <v>88</v>
      </c>
      <c r="T26" s="8">
        <f t="shared" ca="1" si="7"/>
        <v>50173</v>
      </c>
      <c r="U26" s="8">
        <v>1</v>
      </c>
      <c r="V26" s="8">
        <f t="shared" ca="1" si="8"/>
        <v>88</v>
      </c>
      <c r="W26" s="7">
        <f t="shared" ca="1" si="9"/>
        <v>100</v>
      </c>
    </row>
    <row r="27" spans="5:23" x14ac:dyDescent="0.2">
      <c r="E27" s="7">
        <v>23</v>
      </c>
      <c r="F27" s="4">
        <v>3</v>
      </c>
      <c r="G27" s="8">
        <v>503</v>
      </c>
      <c r="H27" s="4">
        <v>50023</v>
      </c>
      <c r="I27" s="8">
        <v>1</v>
      </c>
      <c r="J27" s="8">
        <f t="shared" si="0"/>
        <v>88</v>
      </c>
      <c r="K27" s="8">
        <f t="shared" ca="1" si="1"/>
        <v>50009</v>
      </c>
      <c r="L27" s="8">
        <v>1</v>
      </c>
      <c r="M27" s="8">
        <f t="shared" ca="1" si="2"/>
        <v>181</v>
      </c>
      <c r="N27" s="8">
        <f t="shared" ca="1" si="3"/>
        <v>50002</v>
      </c>
      <c r="O27" s="8">
        <v>1</v>
      </c>
      <c r="P27" s="8">
        <f t="shared" ca="1" si="4"/>
        <v>129</v>
      </c>
      <c r="Q27" s="8">
        <f t="shared" ca="1" si="5"/>
        <v>50030</v>
      </c>
      <c r="R27" s="8">
        <v>1</v>
      </c>
      <c r="S27" s="8">
        <f t="shared" ca="1" si="6"/>
        <v>88</v>
      </c>
      <c r="T27" s="8">
        <f t="shared" ca="1" si="7"/>
        <v>50089</v>
      </c>
      <c r="U27" s="8">
        <v>1</v>
      </c>
      <c r="V27" s="8">
        <f t="shared" ca="1" si="8"/>
        <v>88</v>
      </c>
      <c r="W27" s="7">
        <f t="shared" ca="1" si="9"/>
        <v>80</v>
      </c>
    </row>
    <row r="28" spans="5:23" x14ac:dyDescent="0.2">
      <c r="E28" s="7">
        <v>24</v>
      </c>
      <c r="F28" s="4">
        <v>3</v>
      </c>
      <c r="G28" s="8">
        <v>504</v>
      </c>
      <c r="H28" s="4">
        <v>50024</v>
      </c>
      <c r="I28" s="8">
        <v>1</v>
      </c>
      <c r="J28" s="8">
        <f t="shared" si="0"/>
        <v>88</v>
      </c>
      <c r="K28" s="8">
        <f t="shared" ca="1" si="1"/>
        <v>50035</v>
      </c>
      <c r="L28" s="8">
        <v>1</v>
      </c>
      <c r="M28" s="8">
        <f t="shared" ca="1" si="2"/>
        <v>181</v>
      </c>
      <c r="N28" s="8">
        <f t="shared" ca="1" si="3"/>
        <v>50022</v>
      </c>
      <c r="O28" s="8">
        <v>1</v>
      </c>
      <c r="P28" s="8">
        <f t="shared" ca="1" si="4"/>
        <v>88</v>
      </c>
      <c r="Q28" s="8">
        <f t="shared" ca="1" si="5"/>
        <v>50024</v>
      </c>
      <c r="R28" s="8">
        <v>1</v>
      </c>
      <c r="S28" s="8">
        <f t="shared" ca="1" si="6"/>
        <v>88</v>
      </c>
      <c r="T28" s="8">
        <f t="shared" ca="1" si="7"/>
        <v>50018</v>
      </c>
      <c r="U28" s="8">
        <v>1</v>
      </c>
      <c r="V28" s="8">
        <f t="shared" ca="1" si="8"/>
        <v>88</v>
      </c>
      <c r="W28" s="7">
        <f t="shared" ca="1" si="9"/>
        <v>90</v>
      </c>
    </row>
    <row r="29" spans="5:23" x14ac:dyDescent="0.2">
      <c r="E29" s="7">
        <v>25</v>
      </c>
      <c r="F29" s="4">
        <v>3</v>
      </c>
      <c r="G29" s="8">
        <v>505</v>
      </c>
      <c r="H29" s="4">
        <v>50025</v>
      </c>
      <c r="I29" s="8">
        <v>1</v>
      </c>
      <c r="J29" s="8">
        <f t="shared" si="0"/>
        <v>88</v>
      </c>
      <c r="K29" s="8">
        <f t="shared" ca="1" si="1"/>
        <v>50001</v>
      </c>
      <c r="L29" s="8">
        <v>1</v>
      </c>
      <c r="M29" s="8">
        <f t="shared" ca="1" si="2"/>
        <v>181</v>
      </c>
      <c r="N29" s="8">
        <f t="shared" ca="1" si="3"/>
        <v>50087</v>
      </c>
      <c r="O29" s="8">
        <v>1</v>
      </c>
      <c r="P29" s="8">
        <f t="shared" ca="1" si="4"/>
        <v>129</v>
      </c>
      <c r="Q29" s="8">
        <f t="shared" ca="1" si="5"/>
        <v>50022</v>
      </c>
      <c r="R29" s="8">
        <v>1</v>
      </c>
      <c r="S29" s="8">
        <f t="shared" ca="1" si="6"/>
        <v>88</v>
      </c>
      <c r="T29" s="8">
        <f t="shared" ca="1" si="7"/>
        <v>50001</v>
      </c>
      <c r="U29" s="8">
        <v>1</v>
      </c>
      <c r="V29" s="8">
        <f t="shared" ca="1" si="8"/>
        <v>181</v>
      </c>
      <c r="W29" s="7">
        <f t="shared" ca="1" si="9"/>
        <v>60</v>
      </c>
    </row>
    <row r="30" spans="5:23" x14ac:dyDescent="0.2">
      <c r="E30" s="7">
        <v>26</v>
      </c>
      <c r="F30" s="4">
        <v>3</v>
      </c>
      <c r="G30" s="8">
        <v>601</v>
      </c>
      <c r="H30" s="4">
        <v>50026</v>
      </c>
      <c r="I30" s="8">
        <v>1</v>
      </c>
      <c r="J30" s="8">
        <f t="shared" si="0"/>
        <v>88</v>
      </c>
      <c r="K30" s="8">
        <f t="shared" ca="1" si="1"/>
        <v>50009</v>
      </c>
      <c r="L30" s="8">
        <v>1</v>
      </c>
      <c r="M30" s="8">
        <f t="shared" ca="1" si="2"/>
        <v>181</v>
      </c>
      <c r="N30" s="8">
        <f t="shared" ca="1" si="3"/>
        <v>50018</v>
      </c>
      <c r="O30" s="8">
        <v>1</v>
      </c>
      <c r="P30" s="8">
        <f t="shared" ca="1" si="4"/>
        <v>88</v>
      </c>
      <c r="Q30" s="8">
        <f t="shared" ca="1" si="5"/>
        <v>50015</v>
      </c>
      <c r="R30" s="8">
        <v>1</v>
      </c>
      <c r="S30" s="8">
        <f t="shared" ca="1" si="6"/>
        <v>181</v>
      </c>
      <c r="T30" s="8">
        <f t="shared" ca="1" si="7"/>
        <v>50022</v>
      </c>
      <c r="U30" s="8">
        <v>1</v>
      </c>
      <c r="V30" s="8">
        <f t="shared" ca="1" si="8"/>
        <v>88</v>
      </c>
      <c r="W30" s="7">
        <f t="shared" ca="1" si="9"/>
        <v>70</v>
      </c>
    </row>
    <row r="31" spans="5:23" x14ac:dyDescent="0.2">
      <c r="E31" s="7">
        <v>27</v>
      </c>
      <c r="F31" s="4">
        <v>3</v>
      </c>
      <c r="G31" s="8">
        <v>602</v>
      </c>
      <c r="H31" s="4">
        <v>50027</v>
      </c>
      <c r="I31" s="8">
        <v>1</v>
      </c>
      <c r="J31" s="8">
        <f t="shared" si="0"/>
        <v>88</v>
      </c>
      <c r="K31" s="8">
        <f t="shared" ca="1" si="1"/>
        <v>50013</v>
      </c>
      <c r="L31" s="8">
        <v>1</v>
      </c>
      <c r="M31" s="8">
        <f t="shared" ca="1" si="2"/>
        <v>181</v>
      </c>
      <c r="N31" s="8">
        <f t="shared" ca="1" si="3"/>
        <v>50010</v>
      </c>
      <c r="O31" s="8">
        <v>1</v>
      </c>
      <c r="P31" s="8">
        <f t="shared" ca="1" si="4"/>
        <v>129</v>
      </c>
      <c r="Q31" s="8">
        <f t="shared" ca="1" si="5"/>
        <v>50011</v>
      </c>
      <c r="R31" s="8">
        <v>1</v>
      </c>
      <c r="S31" s="8">
        <f t="shared" ca="1" si="6"/>
        <v>88</v>
      </c>
      <c r="T31" s="8">
        <f t="shared" ca="1" si="7"/>
        <v>50027</v>
      </c>
      <c r="U31" s="8">
        <v>1</v>
      </c>
      <c r="V31" s="8">
        <f t="shared" ca="1" si="8"/>
        <v>88</v>
      </c>
      <c r="W31" s="7">
        <f t="shared" ca="1" si="9"/>
        <v>80</v>
      </c>
    </row>
    <row r="32" spans="5:23" x14ac:dyDescent="0.2">
      <c r="E32" s="7">
        <v>28</v>
      </c>
      <c r="F32" s="4">
        <v>3</v>
      </c>
      <c r="G32" s="8">
        <v>603</v>
      </c>
      <c r="H32" s="4">
        <v>50028</v>
      </c>
      <c r="I32" s="8">
        <v>1</v>
      </c>
      <c r="J32" s="8">
        <f t="shared" si="0"/>
        <v>88</v>
      </c>
      <c r="K32" s="8">
        <f t="shared" ca="1" si="1"/>
        <v>50005</v>
      </c>
      <c r="L32" s="8">
        <v>1</v>
      </c>
      <c r="M32" s="8">
        <f t="shared" ca="1" si="2"/>
        <v>181</v>
      </c>
      <c r="N32" s="8">
        <f t="shared" ca="1" si="3"/>
        <v>50023</v>
      </c>
      <c r="O32" s="8">
        <v>1</v>
      </c>
      <c r="P32" s="8">
        <f t="shared" ca="1" si="4"/>
        <v>88</v>
      </c>
      <c r="Q32" s="8">
        <f t="shared" ca="1" si="5"/>
        <v>50025</v>
      </c>
      <c r="R32" s="8">
        <v>1</v>
      </c>
      <c r="S32" s="8">
        <f t="shared" ca="1" si="6"/>
        <v>88</v>
      </c>
      <c r="T32" s="8">
        <f t="shared" ca="1" si="7"/>
        <v>50173</v>
      </c>
      <c r="U32" s="8">
        <v>1</v>
      </c>
      <c r="V32" s="8">
        <f t="shared" ca="1" si="8"/>
        <v>88</v>
      </c>
      <c r="W32" s="7">
        <f t="shared" ca="1" si="9"/>
        <v>90</v>
      </c>
    </row>
    <row r="33" spans="5:23" x14ac:dyDescent="0.2">
      <c r="E33" s="7">
        <v>29</v>
      </c>
      <c r="F33" s="4">
        <v>3</v>
      </c>
      <c r="G33" s="8">
        <v>604</v>
      </c>
      <c r="H33" s="4">
        <v>50029</v>
      </c>
      <c r="I33" s="8">
        <v>1</v>
      </c>
      <c r="J33" s="8">
        <f t="shared" si="0"/>
        <v>88</v>
      </c>
      <c r="K33" s="8">
        <f t="shared" ca="1" si="1"/>
        <v>50002</v>
      </c>
      <c r="L33" s="8">
        <v>1</v>
      </c>
      <c r="M33" s="8">
        <f t="shared" ca="1" si="2"/>
        <v>129</v>
      </c>
      <c r="N33" s="8">
        <f t="shared" ca="1" si="3"/>
        <v>50003</v>
      </c>
      <c r="O33" s="8">
        <v>1</v>
      </c>
      <c r="P33" s="8">
        <f t="shared" ca="1" si="4"/>
        <v>88</v>
      </c>
      <c r="Q33" s="8">
        <f t="shared" ca="1" si="5"/>
        <v>50174</v>
      </c>
      <c r="R33" s="8">
        <v>1</v>
      </c>
      <c r="S33" s="8">
        <f t="shared" ca="1" si="6"/>
        <v>88</v>
      </c>
      <c r="T33" s="8">
        <f t="shared" ca="1" si="7"/>
        <v>50013</v>
      </c>
      <c r="U33" s="8">
        <v>1</v>
      </c>
      <c r="V33" s="8">
        <f t="shared" ca="1" si="8"/>
        <v>181</v>
      </c>
      <c r="W33" s="7">
        <f t="shared" ca="1" si="9"/>
        <v>80</v>
      </c>
    </row>
    <row r="34" spans="5:23" x14ac:dyDescent="0.2">
      <c r="E34" s="7">
        <v>30</v>
      </c>
      <c r="F34" s="4">
        <v>3</v>
      </c>
      <c r="G34" s="8">
        <v>605</v>
      </c>
      <c r="H34" s="4">
        <v>50030</v>
      </c>
      <c r="I34" s="8">
        <v>1</v>
      </c>
      <c r="J34" s="8">
        <f t="shared" si="0"/>
        <v>88</v>
      </c>
      <c r="K34" s="8">
        <f t="shared" ca="1" si="1"/>
        <v>50010</v>
      </c>
      <c r="L34" s="8">
        <v>1</v>
      </c>
      <c r="M34" s="8">
        <f t="shared" ca="1" si="2"/>
        <v>129</v>
      </c>
      <c r="N34" s="8">
        <f t="shared" ca="1" si="3"/>
        <v>50089</v>
      </c>
      <c r="O34" s="8">
        <v>1</v>
      </c>
      <c r="P34" s="8">
        <f t="shared" ca="1" si="4"/>
        <v>88</v>
      </c>
      <c r="Q34" s="8">
        <f t="shared" ca="1" si="5"/>
        <v>50005</v>
      </c>
      <c r="R34" s="8">
        <v>1</v>
      </c>
      <c r="S34" s="8">
        <f t="shared" ca="1" si="6"/>
        <v>181</v>
      </c>
      <c r="T34" s="8">
        <f t="shared" ca="1" si="7"/>
        <v>50019</v>
      </c>
      <c r="U34" s="8">
        <v>1</v>
      </c>
      <c r="V34" s="8">
        <f t="shared" ca="1" si="8"/>
        <v>88</v>
      </c>
      <c r="W34" s="7">
        <f t="shared" ca="1" si="9"/>
        <v>80</v>
      </c>
    </row>
    <row r="35" spans="5:23" x14ac:dyDescent="0.2">
      <c r="E35" s="7">
        <v>31</v>
      </c>
      <c r="F35" s="4">
        <v>3</v>
      </c>
      <c r="G35" s="8">
        <v>701</v>
      </c>
      <c r="H35" s="4">
        <v>50032</v>
      </c>
      <c r="I35" s="8">
        <v>1</v>
      </c>
      <c r="J35" s="8">
        <f t="shared" si="0"/>
        <v>88</v>
      </c>
      <c r="K35" s="8">
        <f t="shared" ca="1" si="1"/>
        <v>50087</v>
      </c>
      <c r="L35" s="8">
        <v>1</v>
      </c>
      <c r="M35" s="8">
        <f t="shared" ca="1" si="2"/>
        <v>129</v>
      </c>
      <c r="N35" s="8">
        <f t="shared" ca="1" si="3"/>
        <v>50088</v>
      </c>
      <c r="O35" s="8">
        <v>1</v>
      </c>
      <c r="P35" s="8">
        <f t="shared" ca="1" si="4"/>
        <v>129</v>
      </c>
      <c r="Q35" s="8">
        <f t="shared" ca="1" si="5"/>
        <v>50088</v>
      </c>
      <c r="R35" s="8">
        <v>1</v>
      </c>
      <c r="S35" s="8">
        <f t="shared" ca="1" si="6"/>
        <v>129</v>
      </c>
      <c r="T35" s="8">
        <f t="shared" ca="1" si="7"/>
        <v>50023</v>
      </c>
      <c r="U35" s="8">
        <v>1</v>
      </c>
      <c r="V35" s="8">
        <f t="shared" ca="1" si="8"/>
        <v>88</v>
      </c>
      <c r="W35" s="7">
        <f t="shared" ca="1" si="9"/>
        <v>80</v>
      </c>
    </row>
    <row r="36" spans="5:23" x14ac:dyDescent="0.2">
      <c r="E36" s="7">
        <v>32</v>
      </c>
      <c r="F36" s="4">
        <v>3</v>
      </c>
      <c r="G36" s="8">
        <v>702</v>
      </c>
      <c r="H36" s="4">
        <v>50036</v>
      </c>
      <c r="I36" s="8">
        <v>1</v>
      </c>
      <c r="J36" s="8">
        <f t="shared" si="0"/>
        <v>88</v>
      </c>
      <c r="K36" s="8">
        <f t="shared" ca="1" si="1"/>
        <v>50009</v>
      </c>
      <c r="L36" s="8">
        <v>1</v>
      </c>
      <c r="M36" s="8">
        <f t="shared" ca="1" si="2"/>
        <v>181</v>
      </c>
      <c r="N36" s="8">
        <f t="shared" ca="1" si="3"/>
        <v>50016</v>
      </c>
      <c r="O36" s="8">
        <v>1</v>
      </c>
      <c r="P36" s="8">
        <f t="shared" ca="1" si="4"/>
        <v>88</v>
      </c>
      <c r="Q36" s="8">
        <f t="shared" ca="1" si="5"/>
        <v>50087</v>
      </c>
      <c r="R36" s="8">
        <v>1</v>
      </c>
      <c r="S36" s="8">
        <f t="shared" ca="1" si="6"/>
        <v>129</v>
      </c>
      <c r="T36" s="8">
        <f t="shared" ca="1" si="7"/>
        <v>50018</v>
      </c>
      <c r="U36" s="8">
        <v>1</v>
      </c>
      <c r="V36" s="8">
        <f t="shared" ca="1" si="8"/>
        <v>88</v>
      </c>
      <c r="W36" s="7">
        <f t="shared" ca="1" si="9"/>
        <v>80</v>
      </c>
    </row>
    <row r="37" spans="5:23" x14ac:dyDescent="0.2">
      <c r="E37" s="7">
        <v>33</v>
      </c>
      <c r="F37" s="4">
        <v>3</v>
      </c>
      <c r="G37" s="8">
        <v>703</v>
      </c>
      <c r="H37" s="4">
        <v>50089</v>
      </c>
      <c r="I37" s="8">
        <v>1</v>
      </c>
      <c r="J37" s="8">
        <f t="shared" ref="J37:J68" si="10">VLOOKUP(H37,marking,9,FALSE)</f>
        <v>88</v>
      </c>
      <c r="K37" s="8">
        <f t="shared" ref="K37:K68" ca="1" si="11">IF(K$2&gt;$F37,VLOOKUP(INT(RAND()*(VLOOKUP($F37,test2,2,FALSE)-1)+1),test3,4,FALSE),VLOOKUP(INT(RAND()*(13-1)+1),test3,4,FALSE))</f>
        <v>50013</v>
      </c>
      <c r="L37" s="8">
        <v>1</v>
      </c>
      <c r="M37" s="8">
        <f t="shared" ref="M37:M68" ca="1" si="12">VLOOKUP(K37,marking,9,FALSE)</f>
        <v>181</v>
      </c>
      <c r="N37" s="8">
        <f t="shared" ref="N37:N68" ca="1" si="13">IF(N$2&gt;$F37,VLOOKUP(INT(RAND()*(VLOOKUP($F37,test2,2,FALSE)-1)+1),test3,4,FALSE),VLOOKUP(INT(RAND()*(38-8)+8),test3,4,FALSE))</f>
        <v>50023</v>
      </c>
      <c r="O37" s="8">
        <v>1</v>
      </c>
      <c r="P37" s="8">
        <f t="shared" ref="P37:P68" ca="1" si="14">VLOOKUP(N37,marking,9,FALSE)</f>
        <v>88</v>
      </c>
      <c r="Q37" s="8">
        <f t="shared" ref="Q37:Q68" ca="1" si="15">IF(Q$2&gt;$F37,VLOOKUP(INT(RAND()*(VLOOKUP($F37,test2,2,FALSE)-1)+1),test3,4,FALSE),VLOOKUP(INT(RAND()*(47-38)+38),test3,4,FALSE))</f>
        <v>50019</v>
      </c>
      <c r="R37" s="8">
        <v>1</v>
      </c>
      <c r="S37" s="8">
        <f t="shared" ref="S37:S68" ca="1" si="16">VLOOKUP(Q37,marking,9,FALSE)</f>
        <v>88</v>
      </c>
      <c r="T37" s="8">
        <f t="shared" ref="T37:T68" ca="1" si="17">IF(T$2&gt;$F37,VLOOKUP(INT(RAND()*(VLOOKUP($F37,test2,2,FALSE)-1)+1),test3,4,FALSE),VLOOKUP(INT(RAND()*(48-41)+41),test3,4,FALSE))</f>
        <v>50010</v>
      </c>
      <c r="U37" s="8">
        <v>1</v>
      </c>
      <c r="V37" s="8">
        <f t="shared" ref="V37:V68" ca="1" si="18">VLOOKUP(T37,marking,9,FALSE)</f>
        <v>129</v>
      </c>
      <c r="W37" s="7">
        <f t="shared" ref="W37:W68" ca="1" si="19">(ROUND((VLOOKUP(H37,marking,10,FALSE)*J37+VLOOKUP(K37,marking,10,FALSE)*M37+VLOOKUP(N37,marking,10,FALSE)*P37+VLOOKUP(Q37,marking,10,FALSE)*S37+VLOOKUP(T37,marking,10,FALSE)*V37)/(J37+M37+P37+S37+V37),0))*10</f>
        <v>80</v>
      </c>
    </row>
    <row r="38" spans="5:23" x14ac:dyDescent="0.2">
      <c r="E38" s="7">
        <v>34</v>
      </c>
      <c r="F38" s="4">
        <v>3</v>
      </c>
      <c r="G38" s="8">
        <v>704</v>
      </c>
      <c r="H38" s="4">
        <v>50173</v>
      </c>
      <c r="I38" s="8">
        <v>1</v>
      </c>
      <c r="J38" s="8">
        <f t="shared" si="10"/>
        <v>88</v>
      </c>
      <c r="K38" s="8">
        <f t="shared" ca="1" si="11"/>
        <v>50015</v>
      </c>
      <c r="L38" s="8">
        <v>1</v>
      </c>
      <c r="M38" s="8">
        <f t="shared" ca="1" si="12"/>
        <v>181</v>
      </c>
      <c r="N38" s="8">
        <f t="shared" ca="1" si="13"/>
        <v>50176</v>
      </c>
      <c r="O38" s="8">
        <v>1</v>
      </c>
      <c r="P38" s="8">
        <f t="shared" ca="1" si="14"/>
        <v>88</v>
      </c>
      <c r="Q38" s="8">
        <f t="shared" ca="1" si="15"/>
        <v>50001</v>
      </c>
      <c r="R38" s="8">
        <v>1</v>
      </c>
      <c r="S38" s="8">
        <f t="shared" ca="1" si="16"/>
        <v>181</v>
      </c>
      <c r="T38" s="8">
        <f t="shared" ca="1" si="17"/>
        <v>50176</v>
      </c>
      <c r="U38" s="8">
        <v>1</v>
      </c>
      <c r="V38" s="8">
        <f t="shared" ca="1" si="18"/>
        <v>88</v>
      </c>
      <c r="W38" s="7">
        <f t="shared" ca="1" si="19"/>
        <v>70</v>
      </c>
    </row>
    <row r="39" spans="5:23" x14ac:dyDescent="0.2">
      <c r="E39" s="7">
        <v>35</v>
      </c>
      <c r="F39" s="4">
        <v>3</v>
      </c>
      <c r="G39" s="8">
        <v>705</v>
      </c>
      <c r="H39" s="4">
        <v>50174</v>
      </c>
      <c r="I39" s="8">
        <v>1</v>
      </c>
      <c r="J39" s="8">
        <f t="shared" si="10"/>
        <v>88</v>
      </c>
      <c r="K39" s="8">
        <f t="shared" ca="1" si="11"/>
        <v>50013</v>
      </c>
      <c r="L39" s="8">
        <v>1</v>
      </c>
      <c r="M39" s="8">
        <f t="shared" ca="1" si="12"/>
        <v>181</v>
      </c>
      <c r="N39" s="8">
        <f t="shared" ca="1" si="13"/>
        <v>50030</v>
      </c>
      <c r="O39" s="8">
        <v>1</v>
      </c>
      <c r="P39" s="8">
        <f t="shared" ca="1" si="14"/>
        <v>88</v>
      </c>
      <c r="Q39" s="8">
        <f t="shared" ca="1" si="15"/>
        <v>50007</v>
      </c>
      <c r="R39" s="8">
        <v>1</v>
      </c>
      <c r="S39" s="8">
        <f t="shared" ca="1" si="16"/>
        <v>88</v>
      </c>
      <c r="T39" s="8">
        <f t="shared" ca="1" si="17"/>
        <v>50027</v>
      </c>
      <c r="U39" s="8">
        <v>1</v>
      </c>
      <c r="V39" s="8">
        <f t="shared" ca="1" si="18"/>
        <v>88</v>
      </c>
      <c r="W39" s="7">
        <f t="shared" ca="1" si="19"/>
        <v>90</v>
      </c>
    </row>
    <row r="40" spans="5:23" x14ac:dyDescent="0.2">
      <c r="E40" s="7">
        <v>36</v>
      </c>
      <c r="F40" s="4">
        <v>3</v>
      </c>
      <c r="G40" s="8">
        <v>801</v>
      </c>
      <c r="H40" s="4">
        <v>50175</v>
      </c>
      <c r="I40" s="8">
        <v>1</v>
      </c>
      <c r="J40" s="8">
        <f t="shared" si="10"/>
        <v>88</v>
      </c>
      <c r="K40" s="8">
        <f t="shared" ca="1" si="11"/>
        <v>50088</v>
      </c>
      <c r="L40" s="8">
        <v>1</v>
      </c>
      <c r="M40" s="8">
        <f t="shared" ca="1" si="12"/>
        <v>129</v>
      </c>
      <c r="N40" s="8">
        <f t="shared" ca="1" si="13"/>
        <v>50173</v>
      </c>
      <c r="O40" s="8">
        <v>1</v>
      </c>
      <c r="P40" s="8">
        <f t="shared" ca="1" si="14"/>
        <v>88</v>
      </c>
      <c r="Q40" s="8">
        <f t="shared" ca="1" si="15"/>
        <v>50173</v>
      </c>
      <c r="R40" s="8">
        <v>1</v>
      </c>
      <c r="S40" s="8">
        <f t="shared" ca="1" si="16"/>
        <v>88</v>
      </c>
      <c r="T40" s="8">
        <f t="shared" ca="1" si="17"/>
        <v>50173</v>
      </c>
      <c r="U40" s="8">
        <v>1</v>
      </c>
      <c r="V40" s="8">
        <f t="shared" ca="1" si="18"/>
        <v>88</v>
      </c>
      <c r="W40" s="7">
        <f t="shared" ca="1" si="19"/>
        <v>110</v>
      </c>
    </row>
    <row r="41" spans="5:23" x14ac:dyDescent="0.2">
      <c r="E41" s="7">
        <v>37</v>
      </c>
      <c r="F41" s="4">
        <v>3</v>
      </c>
      <c r="G41" s="8">
        <v>802</v>
      </c>
      <c r="H41" s="4">
        <v>50176</v>
      </c>
      <c r="I41" s="8">
        <v>1</v>
      </c>
      <c r="J41" s="8">
        <f t="shared" si="10"/>
        <v>88</v>
      </c>
      <c r="K41" s="8">
        <f t="shared" ca="1" si="11"/>
        <v>50015</v>
      </c>
      <c r="L41" s="8">
        <v>1</v>
      </c>
      <c r="M41" s="8">
        <f t="shared" ca="1" si="12"/>
        <v>181</v>
      </c>
      <c r="N41" s="8">
        <f t="shared" ca="1" si="13"/>
        <v>50026</v>
      </c>
      <c r="O41" s="8">
        <v>1</v>
      </c>
      <c r="P41" s="8">
        <f t="shared" ca="1" si="14"/>
        <v>88</v>
      </c>
      <c r="Q41" s="8">
        <f t="shared" ca="1" si="15"/>
        <v>50018</v>
      </c>
      <c r="R41" s="8">
        <v>1</v>
      </c>
      <c r="S41" s="8">
        <f t="shared" ca="1" si="16"/>
        <v>88</v>
      </c>
      <c r="T41" s="8">
        <f t="shared" ca="1" si="17"/>
        <v>50009</v>
      </c>
      <c r="U41" s="8">
        <v>1</v>
      </c>
      <c r="V41" s="8">
        <f t="shared" ca="1" si="18"/>
        <v>181</v>
      </c>
      <c r="W41" s="7">
        <f t="shared" ca="1" si="19"/>
        <v>70</v>
      </c>
    </row>
    <row r="42" spans="5:23" x14ac:dyDescent="0.2">
      <c r="E42" s="7">
        <v>38</v>
      </c>
      <c r="F42" s="4">
        <v>4</v>
      </c>
      <c r="G42" s="8">
        <v>803</v>
      </c>
      <c r="H42" s="4">
        <v>50004</v>
      </c>
      <c r="I42" s="8">
        <v>1</v>
      </c>
      <c r="J42" s="8">
        <f t="shared" si="10"/>
        <v>55</v>
      </c>
      <c r="K42" s="8">
        <f t="shared" ca="1" si="11"/>
        <v>50088</v>
      </c>
      <c r="L42" s="8">
        <v>1</v>
      </c>
      <c r="M42" s="8">
        <f t="shared" ca="1" si="12"/>
        <v>129</v>
      </c>
      <c r="N42" s="8">
        <f t="shared" ca="1" si="13"/>
        <v>50014</v>
      </c>
      <c r="O42" s="8">
        <v>1</v>
      </c>
      <c r="P42" s="8">
        <f t="shared" ca="1" si="14"/>
        <v>88</v>
      </c>
      <c r="Q42" s="8">
        <f t="shared" ca="1" si="15"/>
        <v>50018</v>
      </c>
      <c r="R42" s="8">
        <v>1</v>
      </c>
      <c r="S42" s="8">
        <f t="shared" ca="1" si="16"/>
        <v>88</v>
      </c>
      <c r="T42" s="8">
        <f t="shared" ca="1" si="17"/>
        <v>50088</v>
      </c>
      <c r="U42" s="8">
        <v>1</v>
      </c>
      <c r="V42" s="8">
        <f t="shared" ca="1" si="18"/>
        <v>129</v>
      </c>
      <c r="W42" s="7">
        <f t="shared" ca="1" si="19"/>
        <v>110</v>
      </c>
    </row>
    <row r="43" spans="5:23" x14ac:dyDescent="0.2">
      <c r="E43" s="7">
        <v>39</v>
      </c>
      <c r="F43" s="4">
        <v>4</v>
      </c>
      <c r="G43" s="8">
        <v>804</v>
      </c>
      <c r="H43" s="4">
        <v>50008</v>
      </c>
      <c r="I43" s="8">
        <v>1</v>
      </c>
      <c r="J43" s="8">
        <f t="shared" si="10"/>
        <v>55</v>
      </c>
      <c r="K43" s="8">
        <f t="shared" ca="1" si="11"/>
        <v>50035</v>
      </c>
      <c r="L43" s="8">
        <v>1</v>
      </c>
      <c r="M43" s="8">
        <f t="shared" ca="1" si="12"/>
        <v>181</v>
      </c>
      <c r="N43" s="8">
        <f t="shared" ca="1" si="13"/>
        <v>50024</v>
      </c>
      <c r="O43" s="8">
        <v>1</v>
      </c>
      <c r="P43" s="8">
        <f t="shared" ca="1" si="14"/>
        <v>88</v>
      </c>
      <c r="Q43" s="8">
        <f t="shared" ca="1" si="15"/>
        <v>50001</v>
      </c>
      <c r="R43" s="8">
        <v>1</v>
      </c>
      <c r="S43" s="8">
        <f t="shared" ca="1" si="16"/>
        <v>181</v>
      </c>
      <c r="T43" s="8">
        <f t="shared" ca="1" si="17"/>
        <v>50016</v>
      </c>
      <c r="U43" s="8">
        <v>1</v>
      </c>
      <c r="V43" s="8">
        <f t="shared" ca="1" si="18"/>
        <v>88</v>
      </c>
      <c r="W43" s="7">
        <f t="shared" ca="1" si="19"/>
        <v>70</v>
      </c>
    </row>
    <row r="44" spans="5:23" x14ac:dyDescent="0.2">
      <c r="E44" s="7">
        <v>40</v>
      </c>
      <c r="F44" s="4">
        <v>4</v>
      </c>
      <c r="G44" s="8">
        <v>805</v>
      </c>
      <c r="H44" s="4">
        <v>50012</v>
      </c>
      <c r="I44" s="8">
        <v>1</v>
      </c>
      <c r="J44" s="8">
        <f t="shared" si="10"/>
        <v>55</v>
      </c>
      <c r="K44" s="8">
        <f t="shared" ca="1" si="11"/>
        <v>50009</v>
      </c>
      <c r="L44" s="8">
        <v>1</v>
      </c>
      <c r="M44" s="8">
        <f t="shared" ca="1" si="12"/>
        <v>181</v>
      </c>
      <c r="N44" s="8">
        <f t="shared" ca="1" si="13"/>
        <v>50173</v>
      </c>
      <c r="O44" s="8">
        <v>1</v>
      </c>
      <c r="P44" s="8">
        <f t="shared" ca="1" si="14"/>
        <v>88</v>
      </c>
      <c r="Q44" s="8">
        <f t="shared" ca="1" si="15"/>
        <v>50021</v>
      </c>
      <c r="R44" s="8">
        <v>1</v>
      </c>
      <c r="S44" s="8">
        <f t="shared" ca="1" si="16"/>
        <v>88</v>
      </c>
      <c r="T44" s="8">
        <f t="shared" ca="1" si="17"/>
        <v>50016</v>
      </c>
      <c r="U44" s="8">
        <v>1</v>
      </c>
      <c r="V44" s="8">
        <f t="shared" ca="1" si="18"/>
        <v>88</v>
      </c>
      <c r="W44" s="7">
        <f t="shared" ca="1" si="19"/>
        <v>100</v>
      </c>
    </row>
    <row r="45" spans="5:23" x14ac:dyDescent="0.2">
      <c r="E45" s="7">
        <v>41</v>
      </c>
      <c r="F45" s="4">
        <v>5</v>
      </c>
      <c r="G45" s="8">
        <v>901</v>
      </c>
      <c r="H45" s="4">
        <v>50017</v>
      </c>
      <c r="I45" s="8">
        <v>1</v>
      </c>
      <c r="J45" s="8">
        <f t="shared" si="10"/>
        <v>32</v>
      </c>
      <c r="K45" s="8">
        <f t="shared" ca="1" si="11"/>
        <v>50013</v>
      </c>
      <c r="L45" s="8">
        <v>1</v>
      </c>
      <c r="M45" s="8">
        <f t="shared" ca="1" si="12"/>
        <v>181</v>
      </c>
      <c r="N45" s="8">
        <f t="shared" ca="1" si="13"/>
        <v>50023</v>
      </c>
      <c r="O45" s="8">
        <v>1</v>
      </c>
      <c r="P45" s="8">
        <f t="shared" ca="1" si="14"/>
        <v>88</v>
      </c>
      <c r="Q45" s="8">
        <f t="shared" ca="1" si="15"/>
        <v>50037</v>
      </c>
      <c r="R45" s="8">
        <v>1</v>
      </c>
      <c r="S45" s="8">
        <f t="shared" ca="1" si="16"/>
        <v>32</v>
      </c>
      <c r="T45" s="8">
        <f t="shared" ca="1" si="17"/>
        <v>50010</v>
      </c>
      <c r="U45" s="8">
        <v>1</v>
      </c>
      <c r="V45" s="8">
        <f t="shared" ca="1" si="18"/>
        <v>129</v>
      </c>
      <c r="W45" s="7">
        <f t="shared" ca="1" si="19"/>
        <v>100</v>
      </c>
    </row>
    <row r="46" spans="5:23" x14ac:dyDescent="0.2">
      <c r="E46" s="7">
        <v>42</v>
      </c>
      <c r="F46" s="4">
        <v>5</v>
      </c>
      <c r="G46" s="8">
        <v>902</v>
      </c>
      <c r="H46" s="4">
        <v>50033</v>
      </c>
      <c r="I46" s="8">
        <v>1</v>
      </c>
      <c r="J46" s="8">
        <f t="shared" si="10"/>
        <v>32</v>
      </c>
      <c r="K46" s="8">
        <f t="shared" ca="1" si="11"/>
        <v>50006</v>
      </c>
      <c r="L46" s="8">
        <v>1</v>
      </c>
      <c r="M46" s="8">
        <f t="shared" ca="1" si="12"/>
        <v>129</v>
      </c>
      <c r="N46" s="8">
        <f t="shared" ca="1" si="13"/>
        <v>50021</v>
      </c>
      <c r="O46" s="8">
        <v>1</v>
      </c>
      <c r="P46" s="8">
        <f t="shared" ca="1" si="14"/>
        <v>88</v>
      </c>
      <c r="Q46" s="8">
        <f t="shared" ca="1" si="15"/>
        <v>50037</v>
      </c>
      <c r="R46" s="8">
        <v>1</v>
      </c>
      <c r="S46" s="8">
        <f t="shared" ca="1" si="16"/>
        <v>32</v>
      </c>
      <c r="T46" s="8">
        <f t="shared" ca="1" si="17"/>
        <v>50021</v>
      </c>
      <c r="U46" s="8">
        <v>1</v>
      </c>
      <c r="V46" s="8">
        <f t="shared" ca="1" si="18"/>
        <v>88</v>
      </c>
      <c r="W46" s="7">
        <f t="shared" ca="1" si="19"/>
        <v>150</v>
      </c>
    </row>
    <row r="47" spans="5:23" x14ac:dyDescent="0.2">
      <c r="E47" s="7">
        <v>43</v>
      </c>
      <c r="F47" s="4">
        <v>5</v>
      </c>
      <c r="G47" s="8">
        <v>903</v>
      </c>
      <c r="H47" s="4">
        <v>50037</v>
      </c>
      <c r="I47" s="8">
        <v>1</v>
      </c>
      <c r="J47" s="8">
        <f t="shared" si="10"/>
        <v>32</v>
      </c>
      <c r="K47" s="8">
        <f t="shared" ca="1" si="11"/>
        <v>50088</v>
      </c>
      <c r="L47" s="8">
        <v>1</v>
      </c>
      <c r="M47" s="8">
        <f t="shared" ca="1" si="12"/>
        <v>129</v>
      </c>
      <c r="N47" s="8">
        <f t="shared" ca="1" si="13"/>
        <v>50022</v>
      </c>
      <c r="O47" s="8">
        <v>1</v>
      </c>
      <c r="P47" s="8">
        <f t="shared" ca="1" si="14"/>
        <v>88</v>
      </c>
      <c r="Q47" s="8">
        <f t="shared" ca="1" si="15"/>
        <v>50008</v>
      </c>
      <c r="R47" s="8">
        <v>1</v>
      </c>
      <c r="S47" s="8">
        <f t="shared" ca="1" si="16"/>
        <v>55</v>
      </c>
      <c r="T47" s="8">
        <f t="shared" ca="1" si="17"/>
        <v>50026</v>
      </c>
      <c r="U47" s="8">
        <v>1</v>
      </c>
      <c r="V47" s="8">
        <f t="shared" ca="1" si="18"/>
        <v>88</v>
      </c>
      <c r="W47" s="7">
        <f t="shared" ca="1" si="19"/>
        <v>140</v>
      </c>
    </row>
    <row r="48" spans="5:23" x14ac:dyDescent="0.2">
      <c r="E48" s="7">
        <v>44</v>
      </c>
      <c r="F48" s="4">
        <v>5</v>
      </c>
      <c r="G48" s="8">
        <v>904</v>
      </c>
      <c r="H48" s="4">
        <v>50038</v>
      </c>
      <c r="I48" s="8">
        <v>1</v>
      </c>
      <c r="J48" s="8">
        <f t="shared" si="10"/>
        <v>32</v>
      </c>
      <c r="K48" s="8">
        <f t="shared" ca="1" si="11"/>
        <v>50015</v>
      </c>
      <c r="L48" s="8">
        <v>1</v>
      </c>
      <c r="M48" s="8">
        <f t="shared" ca="1" si="12"/>
        <v>181</v>
      </c>
      <c r="N48" s="8">
        <f t="shared" ca="1" si="13"/>
        <v>50025</v>
      </c>
      <c r="O48" s="8">
        <v>1</v>
      </c>
      <c r="P48" s="8">
        <f t="shared" ca="1" si="14"/>
        <v>88</v>
      </c>
      <c r="Q48" s="8">
        <f t="shared" ca="1" si="15"/>
        <v>50017</v>
      </c>
      <c r="R48" s="8">
        <v>1</v>
      </c>
      <c r="S48" s="8">
        <f t="shared" ca="1" si="16"/>
        <v>32</v>
      </c>
      <c r="T48" s="8">
        <f t="shared" ca="1" si="17"/>
        <v>50007</v>
      </c>
      <c r="U48" s="8">
        <v>1</v>
      </c>
      <c r="V48" s="8">
        <f t="shared" ca="1" si="18"/>
        <v>88</v>
      </c>
      <c r="W48" s="7">
        <f t="shared" ca="1" si="19"/>
        <v>120</v>
      </c>
    </row>
    <row r="49" spans="5:23" x14ac:dyDescent="0.2">
      <c r="E49" s="7">
        <v>45</v>
      </c>
      <c r="F49" s="4">
        <v>5</v>
      </c>
      <c r="G49" s="8">
        <v>905</v>
      </c>
      <c r="H49" s="4">
        <v>50039</v>
      </c>
      <c r="I49" s="8">
        <v>1</v>
      </c>
      <c r="J49" s="8">
        <f t="shared" si="10"/>
        <v>32</v>
      </c>
      <c r="K49" s="8">
        <f t="shared" ca="1" si="11"/>
        <v>50010</v>
      </c>
      <c r="L49" s="8">
        <v>1</v>
      </c>
      <c r="M49" s="8">
        <f t="shared" ca="1" si="12"/>
        <v>129</v>
      </c>
      <c r="N49" s="8">
        <f t="shared" ca="1" si="13"/>
        <v>50175</v>
      </c>
      <c r="O49" s="8">
        <v>1</v>
      </c>
      <c r="P49" s="8">
        <f t="shared" ca="1" si="14"/>
        <v>88</v>
      </c>
      <c r="Q49" s="8">
        <f t="shared" ca="1" si="15"/>
        <v>50012</v>
      </c>
      <c r="R49" s="8">
        <v>1</v>
      </c>
      <c r="S49" s="8">
        <f t="shared" ca="1" si="16"/>
        <v>55</v>
      </c>
      <c r="T49" s="8">
        <f t="shared" ca="1" si="17"/>
        <v>50005</v>
      </c>
      <c r="U49" s="8">
        <v>1</v>
      </c>
      <c r="V49" s="8">
        <f t="shared" ca="1" si="18"/>
        <v>181</v>
      </c>
      <c r="W49" s="7">
        <f t="shared" ca="1" si="19"/>
        <v>100</v>
      </c>
    </row>
    <row r="50" spans="5:23" x14ac:dyDescent="0.2">
      <c r="E50" s="7">
        <v>46</v>
      </c>
      <c r="F50" s="4">
        <v>5</v>
      </c>
      <c r="G50" s="8">
        <v>1001</v>
      </c>
      <c r="H50" s="4">
        <v>50040</v>
      </c>
      <c r="I50" s="8">
        <v>1</v>
      </c>
      <c r="J50" s="8">
        <f t="shared" si="10"/>
        <v>32</v>
      </c>
      <c r="K50" s="8">
        <f t="shared" ca="1" si="11"/>
        <v>50006</v>
      </c>
      <c r="L50" s="8">
        <v>1</v>
      </c>
      <c r="M50" s="8">
        <f t="shared" ca="1" si="12"/>
        <v>129</v>
      </c>
      <c r="N50" s="8">
        <f t="shared" ca="1" si="13"/>
        <v>50174</v>
      </c>
      <c r="O50" s="8">
        <v>1</v>
      </c>
      <c r="P50" s="8">
        <f t="shared" ca="1" si="14"/>
        <v>88</v>
      </c>
      <c r="Q50" s="8">
        <f t="shared" ca="1" si="15"/>
        <v>50004</v>
      </c>
      <c r="R50" s="8">
        <v>1</v>
      </c>
      <c r="S50" s="8">
        <f t="shared" ca="1" si="16"/>
        <v>55</v>
      </c>
      <c r="T50" s="8">
        <f t="shared" ca="1" si="17"/>
        <v>50010</v>
      </c>
      <c r="U50" s="8">
        <v>1</v>
      </c>
      <c r="V50" s="8">
        <f t="shared" ca="1" si="18"/>
        <v>129</v>
      </c>
      <c r="W50" s="7">
        <f t="shared" ca="1" si="19"/>
        <v>120</v>
      </c>
    </row>
    <row r="51" spans="5:23" x14ac:dyDescent="0.2">
      <c r="E51" s="7">
        <v>47</v>
      </c>
      <c r="F51" s="4">
        <v>7</v>
      </c>
      <c r="G51" s="8">
        <v>1002</v>
      </c>
      <c r="H51" s="4">
        <v>50034</v>
      </c>
      <c r="I51" s="8">
        <v>1</v>
      </c>
      <c r="J51" s="8">
        <f t="shared" si="10"/>
        <v>5</v>
      </c>
      <c r="K51" s="8">
        <f t="shared" ca="1" si="11"/>
        <v>50001</v>
      </c>
      <c r="L51" s="8">
        <v>1</v>
      </c>
      <c r="M51" s="8">
        <f t="shared" ca="1" si="12"/>
        <v>181</v>
      </c>
      <c r="N51" s="8">
        <f t="shared" ca="1" si="13"/>
        <v>50027</v>
      </c>
      <c r="O51" s="8">
        <v>1</v>
      </c>
      <c r="P51" s="8">
        <f t="shared" ca="1" si="14"/>
        <v>88</v>
      </c>
      <c r="Q51" s="8">
        <f t="shared" ca="1" si="15"/>
        <v>50038</v>
      </c>
      <c r="R51" s="8">
        <v>1</v>
      </c>
      <c r="S51" s="8">
        <f t="shared" ca="1" si="16"/>
        <v>32</v>
      </c>
      <c r="T51" s="8">
        <f t="shared" ca="1" si="17"/>
        <v>50035</v>
      </c>
      <c r="U51" s="8">
        <v>1</v>
      </c>
      <c r="V51" s="8">
        <f t="shared" ca="1" si="18"/>
        <v>181</v>
      </c>
      <c r="W51" s="7">
        <f t="shared" ca="1" si="19"/>
        <v>70</v>
      </c>
    </row>
    <row r="52" spans="5:23" x14ac:dyDescent="0.15">
      <c r="E52" s="7">
        <v>48</v>
      </c>
      <c r="F52" s="7">
        <v>8</v>
      </c>
      <c r="G52" s="8">
        <v>1003</v>
      </c>
      <c r="H52" s="8">
        <f>H5</f>
        <v>50001</v>
      </c>
      <c r="I52" s="8">
        <v>1</v>
      </c>
      <c r="J52" s="8">
        <f t="shared" si="10"/>
        <v>181</v>
      </c>
      <c r="K52" s="8">
        <f t="shared" ca="1" si="11"/>
        <v>50035</v>
      </c>
      <c r="L52" s="8">
        <v>1</v>
      </c>
      <c r="M52" s="8">
        <f t="shared" ca="1" si="12"/>
        <v>181</v>
      </c>
      <c r="N52" s="8">
        <f t="shared" ca="1" si="13"/>
        <v>50020</v>
      </c>
      <c r="O52" s="8">
        <v>1</v>
      </c>
      <c r="P52" s="8">
        <f t="shared" ca="1" si="14"/>
        <v>88</v>
      </c>
      <c r="Q52" s="8">
        <f t="shared" ca="1" si="15"/>
        <v>50012</v>
      </c>
      <c r="R52" s="8">
        <v>1</v>
      </c>
      <c r="S52" s="8">
        <f t="shared" ca="1" si="16"/>
        <v>55</v>
      </c>
      <c r="T52" s="8">
        <f t="shared" ca="1" si="17"/>
        <v>50040</v>
      </c>
      <c r="U52" s="8">
        <v>1</v>
      </c>
      <c r="V52" s="8">
        <f t="shared" ca="1" si="18"/>
        <v>32</v>
      </c>
      <c r="W52" s="7">
        <f t="shared" ca="1" si="19"/>
        <v>80</v>
      </c>
    </row>
    <row r="53" spans="5:23" x14ac:dyDescent="0.15">
      <c r="E53" s="7">
        <v>49</v>
      </c>
      <c r="F53" s="7">
        <v>8</v>
      </c>
      <c r="G53" s="8">
        <v>1004</v>
      </c>
      <c r="H53" s="8">
        <f t="shared" ref="H53:H116" si="20">H6</f>
        <v>50005</v>
      </c>
      <c r="I53" s="8">
        <v>1</v>
      </c>
      <c r="J53" s="8">
        <f t="shared" si="10"/>
        <v>181</v>
      </c>
      <c r="K53" s="8">
        <f t="shared" ca="1" si="11"/>
        <v>50009</v>
      </c>
      <c r="L53" s="8">
        <v>1</v>
      </c>
      <c r="M53" s="8">
        <f t="shared" ca="1" si="12"/>
        <v>181</v>
      </c>
      <c r="N53" s="8">
        <f t="shared" ca="1" si="13"/>
        <v>50020</v>
      </c>
      <c r="O53" s="8">
        <v>1</v>
      </c>
      <c r="P53" s="8">
        <f t="shared" ca="1" si="14"/>
        <v>88</v>
      </c>
      <c r="Q53" s="8">
        <f t="shared" ca="1" si="15"/>
        <v>50008</v>
      </c>
      <c r="R53" s="8">
        <v>1</v>
      </c>
      <c r="S53" s="8">
        <f t="shared" ca="1" si="16"/>
        <v>55</v>
      </c>
      <c r="T53" s="8">
        <f t="shared" ca="1" si="17"/>
        <v>50033</v>
      </c>
      <c r="U53" s="8">
        <v>1</v>
      </c>
      <c r="V53" s="8">
        <f t="shared" ca="1" si="18"/>
        <v>32</v>
      </c>
      <c r="W53" s="7">
        <f t="shared" ca="1" si="19"/>
        <v>80</v>
      </c>
    </row>
    <row r="54" spans="5:23" x14ac:dyDescent="0.15">
      <c r="E54" s="7">
        <v>50</v>
      </c>
      <c r="F54" s="7">
        <v>8</v>
      </c>
      <c r="G54" s="8">
        <v>1005</v>
      </c>
      <c r="H54" s="8">
        <f t="shared" si="20"/>
        <v>50009</v>
      </c>
      <c r="I54" s="8">
        <v>1</v>
      </c>
      <c r="J54" s="8">
        <f t="shared" si="10"/>
        <v>181</v>
      </c>
      <c r="K54" s="8">
        <f t="shared" ca="1" si="11"/>
        <v>50002</v>
      </c>
      <c r="L54" s="8">
        <v>1</v>
      </c>
      <c r="M54" s="8">
        <f t="shared" ca="1" si="12"/>
        <v>129</v>
      </c>
      <c r="N54" s="8">
        <f t="shared" ca="1" si="13"/>
        <v>50019</v>
      </c>
      <c r="O54" s="8">
        <v>1</v>
      </c>
      <c r="P54" s="8">
        <f t="shared" ca="1" si="14"/>
        <v>88</v>
      </c>
      <c r="Q54" s="8">
        <f t="shared" ca="1" si="15"/>
        <v>50040</v>
      </c>
      <c r="R54" s="8">
        <v>1</v>
      </c>
      <c r="S54" s="8">
        <f t="shared" ca="1" si="16"/>
        <v>32</v>
      </c>
      <c r="T54" s="8">
        <f t="shared" ca="1" si="17"/>
        <v>50038</v>
      </c>
      <c r="U54" s="8">
        <v>1</v>
      </c>
      <c r="V54" s="8">
        <f t="shared" ca="1" si="18"/>
        <v>32</v>
      </c>
      <c r="W54" s="7">
        <f t="shared" ca="1" si="19"/>
        <v>100</v>
      </c>
    </row>
    <row r="55" spans="5:23" x14ac:dyDescent="0.15">
      <c r="E55" s="7">
        <v>51</v>
      </c>
      <c r="F55" s="7">
        <v>8</v>
      </c>
      <c r="G55" s="8">
        <v>1101</v>
      </c>
      <c r="H55" s="8">
        <f t="shared" si="20"/>
        <v>50013</v>
      </c>
      <c r="I55" s="8">
        <v>1</v>
      </c>
      <c r="J55" s="8">
        <f t="shared" si="10"/>
        <v>181</v>
      </c>
      <c r="K55" s="8">
        <f t="shared" ca="1" si="11"/>
        <v>50088</v>
      </c>
      <c r="L55" s="8">
        <v>1</v>
      </c>
      <c r="M55" s="8">
        <f t="shared" ca="1" si="12"/>
        <v>129</v>
      </c>
      <c r="N55" s="8">
        <f t="shared" ca="1" si="13"/>
        <v>50026</v>
      </c>
      <c r="O55" s="8">
        <v>1</v>
      </c>
      <c r="P55" s="8">
        <f t="shared" ca="1" si="14"/>
        <v>88</v>
      </c>
      <c r="Q55" s="8">
        <f t="shared" ca="1" si="15"/>
        <v>50038</v>
      </c>
      <c r="R55" s="8">
        <v>1</v>
      </c>
      <c r="S55" s="8">
        <f t="shared" ca="1" si="16"/>
        <v>32</v>
      </c>
      <c r="T55" s="8">
        <f t="shared" ca="1" si="17"/>
        <v>50040</v>
      </c>
      <c r="U55" s="8">
        <v>1</v>
      </c>
      <c r="V55" s="8">
        <f t="shared" ca="1" si="18"/>
        <v>32</v>
      </c>
      <c r="W55" s="7">
        <f t="shared" ca="1" si="19"/>
        <v>100</v>
      </c>
    </row>
    <row r="56" spans="5:23" x14ac:dyDescent="0.15">
      <c r="E56" s="7">
        <v>52</v>
      </c>
      <c r="F56" s="7">
        <v>8</v>
      </c>
      <c r="G56" s="8">
        <v>1102</v>
      </c>
      <c r="H56" s="8">
        <f t="shared" si="20"/>
        <v>50015</v>
      </c>
      <c r="I56" s="8">
        <v>1</v>
      </c>
      <c r="J56" s="8">
        <f t="shared" si="10"/>
        <v>181</v>
      </c>
      <c r="K56" s="8">
        <f t="shared" ca="1" si="11"/>
        <v>50013</v>
      </c>
      <c r="L56" s="8">
        <v>1</v>
      </c>
      <c r="M56" s="8">
        <f t="shared" ca="1" si="12"/>
        <v>181</v>
      </c>
      <c r="N56" s="8">
        <f t="shared" ca="1" si="13"/>
        <v>50175</v>
      </c>
      <c r="O56" s="8">
        <v>1</v>
      </c>
      <c r="P56" s="8">
        <f t="shared" ca="1" si="14"/>
        <v>88</v>
      </c>
      <c r="Q56" s="8">
        <f t="shared" ca="1" si="15"/>
        <v>50038</v>
      </c>
      <c r="R56" s="8">
        <v>1</v>
      </c>
      <c r="S56" s="8">
        <f t="shared" ca="1" si="16"/>
        <v>32</v>
      </c>
      <c r="T56" s="8">
        <f t="shared" ca="1" si="17"/>
        <v>50037</v>
      </c>
      <c r="U56" s="8">
        <v>1</v>
      </c>
      <c r="V56" s="8">
        <f t="shared" ca="1" si="18"/>
        <v>32</v>
      </c>
      <c r="W56" s="7">
        <f t="shared" ca="1" si="19"/>
        <v>80</v>
      </c>
    </row>
    <row r="57" spans="5:23" x14ac:dyDescent="0.15">
      <c r="E57" s="7">
        <v>53</v>
      </c>
      <c r="F57" s="7">
        <v>8</v>
      </c>
      <c r="G57" s="8">
        <v>1103</v>
      </c>
      <c r="H57" s="8">
        <f t="shared" si="20"/>
        <v>50031</v>
      </c>
      <c r="I57" s="8">
        <v>1</v>
      </c>
      <c r="J57" s="8">
        <f t="shared" si="10"/>
        <v>181</v>
      </c>
      <c r="K57" s="8">
        <f t="shared" ca="1" si="11"/>
        <v>50010</v>
      </c>
      <c r="L57" s="8">
        <v>1</v>
      </c>
      <c r="M57" s="8">
        <f t="shared" ca="1" si="12"/>
        <v>129</v>
      </c>
      <c r="N57" s="8">
        <f t="shared" ca="1" si="13"/>
        <v>50027</v>
      </c>
      <c r="O57" s="8">
        <v>1</v>
      </c>
      <c r="P57" s="8">
        <f t="shared" ca="1" si="14"/>
        <v>88</v>
      </c>
      <c r="Q57" s="8">
        <f t="shared" ca="1" si="15"/>
        <v>50040</v>
      </c>
      <c r="R57" s="8">
        <v>1</v>
      </c>
      <c r="S57" s="8">
        <f t="shared" ca="1" si="16"/>
        <v>32</v>
      </c>
      <c r="T57" s="8">
        <f t="shared" ca="1" si="17"/>
        <v>50033</v>
      </c>
      <c r="U57" s="8">
        <v>1</v>
      </c>
      <c r="V57" s="8">
        <f t="shared" ca="1" si="18"/>
        <v>32</v>
      </c>
      <c r="W57" s="7">
        <f t="shared" ca="1" si="19"/>
        <v>100</v>
      </c>
    </row>
    <row r="58" spans="5:23" x14ac:dyDescent="0.15">
      <c r="E58" s="7">
        <v>54</v>
      </c>
      <c r="F58" s="7">
        <v>8</v>
      </c>
      <c r="G58" s="8">
        <v>1104</v>
      </c>
      <c r="H58" s="8">
        <f t="shared" si="20"/>
        <v>50035</v>
      </c>
      <c r="I58" s="8">
        <v>1</v>
      </c>
      <c r="J58" s="8">
        <f t="shared" si="10"/>
        <v>181</v>
      </c>
      <c r="K58" s="8">
        <f t="shared" ca="1" si="11"/>
        <v>50002</v>
      </c>
      <c r="L58" s="8">
        <v>1</v>
      </c>
      <c r="M58" s="8">
        <f t="shared" ca="1" si="12"/>
        <v>129</v>
      </c>
      <c r="N58" s="8">
        <f t="shared" ca="1" si="13"/>
        <v>50026</v>
      </c>
      <c r="O58" s="8">
        <v>1</v>
      </c>
      <c r="P58" s="8">
        <f t="shared" ca="1" si="14"/>
        <v>88</v>
      </c>
      <c r="Q58" s="8">
        <f t="shared" ca="1" si="15"/>
        <v>50038</v>
      </c>
      <c r="R58" s="8">
        <v>1</v>
      </c>
      <c r="S58" s="8">
        <f t="shared" ca="1" si="16"/>
        <v>32</v>
      </c>
      <c r="T58" s="8">
        <f t="shared" ca="1" si="17"/>
        <v>50038</v>
      </c>
      <c r="U58" s="8">
        <v>1</v>
      </c>
      <c r="V58" s="8">
        <f t="shared" ca="1" si="18"/>
        <v>32</v>
      </c>
      <c r="W58" s="7">
        <f t="shared" ca="1" si="19"/>
        <v>100</v>
      </c>
    </row>
    <row r="59" spans="5:23" x14ac:dyDescent="0.15">
      <c r="E59" s="7">
        <v>55</v>
      </c>
      <c r="F59" s="7">
        <v>8</v>
      </c>
      <c r="G59" s="8">
        <v>1105</v>
      </c>
      <c r="H59" s="8">
        <f t="shared" si="20"/>
        <v>50002</v>
      </c>
      <c r="I59" s="8">
        <v>1</v>
      </c>
      <c r="J59" s="8">
        <f t="shared" si="10"/>
        <v>129</v>
      </c>
      <c r="K59" s="8">
        <f t="shared" ca="1" si="11"/>
        <v>50001</v>
      </c>
      <c r="L59" s="8">
        <v>1</v>
      </c>
      <c r="M59" s="8">
        <f t="shared" ca="1" si="12"/>
        <v>181</v>
      </c>
      <c r="N59" s="8">
        <f t="shared" ca="1" si="13"/>
        <v>50011</v>
      </c>
      <c r="O59" s="8">
        <v>1</v>
      </c>
      <c r="P59" s="8">
        <f t="shared" ca="1" si="14"/>
        <v>88</v>
      </c>
      <c r="Q59" s="8">
        <f t="shared" ca="1" si="15"/>
        <v>50004</v>
      </c>
      <c r="R59" s="8">
        <v>1</v>
      </c>
      <c r="S59" s="8">
        <f t="shared" ca="1" si="16"/>
        <v>55</v>
      </c>
      <c r="T59" s="8">
        <f t="shared" ca="1" si="17"/>
        <v>50040</v>
      </c>
      <c r="U59" s="8">
        <v>1</v>
      </c>
      <c r="V59" s="8">
        <f t="shared" ca="1" si="18"/>
        <v>32</v>
      </c>
      <c r="W59" s="7">
        <f t="shared" ca="1" si="19"/>
        <v>100</v>
      </c>
    </row>
    <row r="60" spans="5:23" x14ac:dyDescent="0.15">
      <c r="E60" s="7">
        <v>56</v>
      </c>
      <c r="F60" s="7">
        <v>8</v>
      </c>
      <c r="G60" s="8">
        <v>1201</v>
      </c>
      <c r="H60" s="8">
        <f t="shared" si="20"/>
        <v>50006</v>
      </c>
      <c r="I60" s="8">
        <v>1</v>
      </c>
      <c r="J60" s="8">
        <f t="shared" si="10"/>
        <v>129</v>
      </c>
      <c r="K60" s="8">
        <f t="shared" ca="1" si="11"/>
        <v>50001</v>
      </c>
      <c r="L60" s="8">
        <v>1</v>
      </c>
      <c r="M60" s="8">
        <f t="shared" ca="1" si="12"/>
        <v>181</v>
      </c>
      <c r="N60" s="8">
        <f t="shared" ca="1" si="13"/>
        <v>50003</v>
      </c>
      <c r="O60" s="8">
        <v>1</v>
      </c>
      <c r="P60" s="8">
        <f t="shared" ca="1" si="14"/>
        <v>88</v>
      </c>
      <c r="Q60" s="8">
        <f t="shared" ca="1" si="15"/>
        <v>50040</v>
      </c>
      <c r="R60" s="8">
        <v>1</v>
      </c>
      <c r="S60" s="8">
        <f t="shared" ca="1" si="16"/>
        <v>32</v>
      </c>
      <c r="T60" s="8">
        <f t="shared" ca="1" si="17"/>
        <v>50033</v>
      </c>
      <c r="U60" s="8">
        <v>1</v>
      </c>
      <c r="V60" s="8">
        <f t="shared" ca="1" si="18"/>
        <v>32</v>
      </c>
      <c r="W60" s="7">
        <f t="shared" ca="1" si="19"/>
        <v>100</v>
      </c>
    </row>
    <row r="61" spans="5:23" x14ac:dyDescent="0.15">
      <c r="E61" s="7">
        <v>57</v>
      </c>
      <c r="F61" s="7">
        <v>8</v>
      </c>
      <c r="G61" s="8">
        <v>1202</v>
      </c>
      <c r="H61" s="8">
        <f t="shared" si="20"/>
        <v>50010</v>
      </c>
      <c r="I61" s="8">
        <v>1</v>
      </c>
      <c r="J61" s="8">
        <f t="shared" si="10"/>
        <v>129</v>
      </c>
      <c r="K61" s="8">
        <f t="shared" ca="1" si="11"/>
        <v>50005</v>
      </c>
      <c r="L61" s="8">
        <v>1</v>
      </c>
      <c r="M61" s="8">
        <f t="shared" ca="1" si="12"/>
        <v>181</v>
      </c>
      <c r="N61" s="8">
        <f t="shared" ca="1" si="13"/>
        <v>50174</v>
      </c>
      <c r="O61" s="8">
        <v>1</v>
      </c>
      <c r="P61" s="8">
        <f t="shared" ca="1" si="14"/>
        <v>88</v>
      </c>
      <c r="Q61" s="8">
        <f t="shared" ca="1" si="15"/>
        <v>50017</v>
      </c>
      <c r="R61" s="8">
        <v>1</v>
      </c>
      <c r="S61" s="8">
        <f t="shared" ca="1" si="16"/>
        <v>32</v>
      </c>
      <c r="T61" s="8">
        <f t="shared" ca="1" si="17"/>
        <v>50033</v>
      </c>
      <c r="U61" s="8">
        <v>1</v>
      </c>
      <c r="V61" s="8">
        <f t="shared" ca="1" si="18"/>
        <v>32</v>
      </c>
      <c r="W61" s="7">
        <f t="shared" ca="1" si="19"/>
        <v>100</v>
      </c>
    </row>
    <row r="62" spans="5:23" x14ac:dyDescent="0.15">
      <c r="E62" s="7">
        <v>58</v>
      </c>
      <c r="F62" s="7">
        <v>8</v>
      </c>
      <c r="G62" s="8">
        <v>1203</v>
      </c>
      <c r="H62" s="8">
        <f t="shared" si="20"/>
        <v>50087</v>
      </c>
      <c r="I62" s="8">
        <v>1</v>
      </c>
      <c r="J62" s="8">
        <f t="shared" si="10"/>
        <v>129</v>
      </c>
      <c r="K62" s="8">
        <f t="shared" ca="1" si="11"/>
        <v>50009</v>
      </c>
      <c r="L62" s="8">
        <v>1</v>
      </c>
      <c r="M62" s="8">
        <f t="shared" ca="1" si="12"/>
        <v>181</v>
      </c>
      <c r="N62" s="8">
        <f t="shared" ca="1" si="13"/>
        <v>50030</v>
      </c>
      <c r="O62" s="8">
        <v>1</v>
      </c>
      <c r="P62" s="8">
        <f t="shared" ca="1" si="14"/>
        <v>88</v>
      </c>
      <c r="Q62" s="8">
        <f t="shared" ca="1" si="15"/>
        <v>50012</v>
      </c>
      <c r="R62" s="8">
        <v>1</v>
      </c>
      <c r="S62" s="8">
        <f t="shared" ca="1" si="16"/>
        <v>55</v>
      </c>
      <c r="T62" s="8">
        <f t="shared" ca="1" si="17"/>
        <v>50037</v>
      </c>
      <c r="U62" s="8">
        <v>1</v>
      </c>
      <c r="V62" s="8">
        <f t="shared" ca="1" si="18"/>
        <v>32</v>
      </c>
      <c r="W62" s="7">
        <f t="shared" ca="1" si="19"/>
        <v>100</v>
      </c>
    </row>
    <row r="63" spans="5:23" x14ac:dyDescent="0.15">
      <c r="E63" s="7">
        <v>59</v>
      </c>
      <c r="F63" s="7">
        <v>8</v>
      </c>
      <c r="G63" s="8">
        <v>1204</v>
      </c>
      <c r="H63" s="8">
        <f t="shared" si="20"/>
        <v>50088</v>
      </c>
      <c r="I63" s="8">
        <v>1</v>
      </c>
      <c r="J63" s="8">
        <f t="shared" si="10"/>
        <v>129</v>
      </c>
      <c r="K63" s="8">
        <f t="shared" ca="1" si="11"/>
        <v>50031</v>
      </c>
      <c r="L63" s="8">
        <v>1</v>
      </c>
      <c r="M63" s="8">
        <f t="shared" ca="1" si="12"/>
        <v>181</v>
      </c>
      <c r="N63" s="8">
        <f t="shared" ca="1" si="13"/>
        <v>50025</v>
      </c>
      <c r="O63" s="8">
        <v>1</v>
      </c>
      <c r="P63" s="8">
        <f t="shared" ca="1" si="14"/>
        <v>88</v>
      </c>
      <c r="Q63" s="8">
        <f t="shared" ca="1" si="15"/>
        <v>50037</v>
      </c>
      <c r="R63" s="8">
        <v>1</v>
      </c>
      <c r="S63" s="8">
        <f t="shared" ca="1" si="16"/>
        <v>32</v>
      </c>
      <c r="T63" s="8">
        <f t="shared" ca="1" si="17"/>
        <v>50038</v>
      </c>
      <c r="U63" s="8">
        <v>1</v>
      </c>
      <c r="V63" s="8">
        <f t="shared" ca="1" si="18"/>
        <v>32</v>
      </c>
      <c r="W63" s="7">
        <f t="shared" ca="1" si="19"/>
        <v>100</v>
      </c>
    </row>
    <row r="64" spans="5:23" x14ac:dyDescent="0.15">
      <c r="E64" s="7">
        <v>60</v>
      </c>
      <c r="F64" s="7">
        <v>8</v>
      </c>
      <c r="G64" s="8">
        <v>1205</v>
      </c>
      <c r="H64" s="8">
        <f t="shared" si="20"/>
        <v>50003</v>
      </c>
      <c r="I64" s="8">
        <v>1</v>
      </c>
      <c r="J64" s="8">
        <f t="shared" si="10"/>
        <v>88</v>
      </c>
      <c r="K64" s="8">
        <f t="shared" ca="1" si="11"/>
        <v>50005</v>
      </c>
      <c r="L64" s="8">
        <v>1</v>
      </c>
      <c r="M64" s="8">
        <f t="shared" ca="1" si="12"/>
        <v>181</v>
      </c>
      <c r="N64" s="8">
        <f t="shared" ca="1" si="13"/>
        <v>50088</v>
      </c>
      <c r="O64" s="8">
        <v>1</v>
      </c>
      <c r="P64" s="8">
        <f t="shared" ca="1" si="14"/>
        <v>129</v>
      </c>
      <c r="Q64" s="8">
        <f t="shared" ca="1" si="15"/>
        <v>50033</v>
      </c>
      <c r="R64" s="8">
        <v>1</v>
      </c>
      <c r="S64" s="8">
        <f t="shared" ca="1" si="16"/>
        <v>32</v>
      </c>
      <c r="T64" s="8">
        <f t="shared" ca="1" si="17"/>
        <v>50033</v>
      </c>
      <c r="U64" s="8">
        <v>1</v>
      </c>
      <c r="V64" s="8">
        <f t="shared" ca="1" si="18"/>
        <v>32</v>
      </c>
      <c r="W64" s="7">
        <f t="shared" ca="1" si="19"/>
        <v>100</v>
      </c>
    </row>
    <row r="65" spans="5:23" x14ac:dyDescent="0.15">
      <c r="E65" s="7">
        <v>61</v>
      </c>
      <c r="F65" s="7">
        <v>8</v>
      </c>
      <c r="G65" s="8">
        <v>1301</v>
      </c>
      <c r="H65" s="8">
        <f t="shared" si="20"/>
        <v>50007</v>
      </c>
      <c r="I65" s="8">
        <v>1</v>
      </c>
      <c r="J65" s="8">
        <f t="shared" si="10"/>
        <v>88</v>
      </c>
      <c r="K65" s="8">
        <f t="shared" ca="1" si="11"/>
        <v>50010</v>
      </c>
      <c r="L65" s="8">
        <v>1</v>
      </c>
      <c r="M65" s="8">
        <f t="shared" ca="1" si="12"/>
        <v>129</v>
      </c>
      <c r="N65" s="8">
        <f t="shared" ca="1" si="13"/>
        <v>50089</v>
      </c>
      <c r="O65" s="8">
        <v>1</v>
      </c>
      <c r="P65" s="8">
        <f t="shared" ca="1" si="14"/>
        <v>88</v>
      </c>
      <c r="Q65" s="8">
        <f t="shared" ca="1" si="15"/>
        <v>50033</v>
      </c>
      <c r="R65" s="8">
        <v>1</v>
      </c>
      <c r="S65" s="8">
        <f t="shared" ca="1" si="16"/>
        <v>32</v>
      </c>
      <c r="T65" s="8">
        <f t="shared" ca="1" si="17"/>
        <v>50017</v>
      </c>
      <c r="U65" s="8">
        <v>1</v>
      </c>
      <c r="V65" s="8">
        <f t="shared" ca="1" si="18"/>
        <v>32</v>
      </c>
      <c r="W65" s="7">
        <f t="shared" ca="1" si="19"/>
        <v>150</v>
      </c>
    </row>
    <row r="66" spans="5:23" x14ac:dyDescent="0.15">
      <c r="E66" s="7">
        <v>62</v>
      </c>
      <c r="F66" s="7">
        <v>8</v>
      </c>
      <c r="G66" s="8">
        <v>1302</v>
      </c>
      <c r="H66" s="8">
        <f t="shared" si="20"/>
        <v>50011</v>
      </c>
      <c r="I66" s="8">
        <v>1</v>
      </c>
      <c r="J66" s="8">
        <f t="shared" si="10"/>
        <v>88</v>
      </c>
      <c r="K66" s="8">
        <f t="shared" ca="1" si="11"/>
        <v>50010</v>
      </c>
      <c r="L66" s="8">
        <v>1</v>
      </c>
      <c r="M66" s="8">
        <f t="shared" ca="1" si="12"/>
        <v>129</v>
      </c>
      <c r="N66" s="8">
        <f t="shared" ca="1" si="13"/>
        <v>50007</v>
      </c>
      <c r="O66" s="8">
        <v>1</v>
      </c>
      <c r="P66" s="8">
        <f t="shared" ca="1" si="14"/>
        <v>88</v>
      </c>
      <c r="Q66" s="8">
        <f t="shared" ca="1" si="15"/>
        <v>50008</v>
      </c>
      <c r="R66" s="8">
        <v>1</v>
      </c>
      <c r="S66" s="8">
        <f t="shared" ca="1" si="16"/>
        <v>55</v>
      </c>
      <c r="T66" s="8">
        <f t="shared" ca="1" si="17"/>
        <v>50040</v>
      </c>
      <c r="U66" s="8">
        <v>1</v>
      </c>
      <c r="V66" s="8">
        <f t="shared" ca="1" si="18"/>
        <v>32</v>
      </c>
      <c r="W66" s="7">
        <f t="shared" ca="1" si="19"/>
        <v>140</v>
      </c>
    </row>
    <row r="67" spans="5:23" x14ac:dyDescent="0.15">
      <c r="E67" s="7">
        <v>63</v>
      </c>
      <c r="F67" s="7">
        <v>8</v>
      </c>
      <c r="G67" s="8">
        <v>1303</v>
      </c>
      <c r="H67" s="8">
        <f t="shared" si="20"/>
        <v>50014</v>
      </c>
      <c r="I67" s="8">
        <v>1</v>
      </c>
      <c r="J67" s="8">
        <f t="shared" si="10"/>
        <v>88</v>
      </c>
      <c r="K67" s="8">
        <f t="shared" ca="1" si="11"/>
        <v>50002</v>
      </c>
      <c r="L67" s="8">
        <v>1</v>
      </c>
      <c r="M67" s="8">
        <f t="shared" ca="1" si="12"/>
        <v>129</v>
      </c>
      <c r="N67" s="8">
        <f t="shared" ca="1" si="13"/>
        <v>50032</v>
      </c>
      <c r="O67" s="8">
        <v>1</v>
      </c>
      <c r="P67" s="8">
        <f t="shared" ca="1" si="14"/>
        <v>88</v>
      </c>
      <c r="Q67" s="8">
        <f t="shared" ca="1" si="15"/>
        <v>50040</v>
      </c>
      <c r="R67" s="8">
        <v>1</v>
      </c>
      <c r="S67" s="8">
        <f t="shared" ca="1" si="16"/>
        <v>32</v>
      </c>
      <c r="T67" s="8">
        <f t="shared" ca="1" si="17"/>
        <v>50038</v>
      </c>
      <c r="U67" s="8">
        <v>1</v>
      </c>
      <c r="V67" s="8">
        <f t="shared" ca="1" si="18"/>
        <v>32</v>
      </c>
      <c r="W67" s="7">
        <f t="shared" ca="1" si="19"/>
        <v>150</v>
      </c>
    </row>
    <row r="68" spans="5:23" x14ac:dyDescent="0.15">
      <c r="E68" s="7">
        <v>64</v>
      </c>
      <c r="F68" s="7">
        <v>8</v>
      </c>
      <c r="G68" s="8">
        <v>1304</v>
      </c>
      <c r="H68" s="8">
        <f t="shared" si="20"/>
        <v>50016</v>
      </c>
      <c r="I68" s="8">
        <v>1</v>
      </c>
      <c r="J68" s="8">
        <f t="shared" si="10"/>
        <v>88</v>
      </c>
      <c r="K68" s="8">
        <f t="shared" ca="1" si="11"/>
        <v>50002</v>
      </c>
      <c r="L68" s="8">
        <v>1</v>
      </c>
      <c r="M68" s="8">
        <f t="shared" ca="1" si="12"/>
        <v>129</v>
      </c>
      <c r="N68" s="8">
        <f t="shared" ca="1" si="13"/>
        <v>50002</v>
      </c>
      <c r="O68" s="8">
        <v>1</v>
      </c>
      <c r="P68" s="8">
        <f t="shared" ca="1" si="14"/>
        <v>129</v>
      </c>
      <c r="Q68" s="8">
        <f t="shared" ca="1" si="15"/>
        <v>50037</v>
      </c>
      <c r="R68" s="8">
        <v>1</v>
      </c>
      <c r="S68" s="8">
        <f t="shared" ca="1" si="16"/>
        <v>32</v>
      </c>
      <c r="T68" s="8">
        <f t="shared" ca="1" si="17"/>
        <v>50039</v>
      </c>
      <c r="U68" s="8">
        <v>1</v>
      </c>
      <c r="V68" s="8">
        <f t="shared" ca="1" si="18"/>
        <v>32</v>
      </c>
      <c r="W68" s="7">
        <f t="shared" ca="1" si="19"/>
        <v>130</v>
      </c>
    </row>
    <row r="69" spans="5:23" x14ac:dyDescent="0.15">
      <c r="E69" s="7">
        <v>65</v>
      </c>
      <c r="F69" s="7">
        <v>8</v>
      </c>
      <c r="G69" s="8">
        <v>1305</v>
      </c>
      <c r="H69" s="8">
        <f t="shared" si="20"/>
        <v>50018</v>
      </c>
      <c r="I69" s="8">
        <v>1</v>
      </c>
      <c r="J69" s="8">
        <f t="shared" ref="J69:J100" si="21">VLOOKUP(H69,marking,9,FALSE)</f>
        <v>88</v>
      </c>
      <c r="K69" s="8">
        <f t="shared" ref="K69:K100" ca="1" si="22">IF(K$2&gt;$F69,VLOOKUP(INT(RAND()*(VLOOKUP($F69,test2,2,FALSE)-1)+1),test3,4,FALSE),VLOOKUP(INT(RAND()*(13-1)+1),test3,4,FALSE))</f>
        <v>50088</v>
      </c>
      <c r="L69" s="8">
        <v>1</v>
      </c>
      <c r="M69" s="8">
        <f t="shared" ref="M69:M100" ca="1" si="23">VLOOKUP(K69,marking,9,FALSE)</f>
        <v>129</v>
      </c>
      <c r="N69" s="8">
        <f t="shared" ref="N69:N100" ca="1" si="24">IF(N$2&gt;$F69,VLOOKUP(INT(RAND()*(VLOOKUP($F69,test2,2,FALSE)-1)+1),test3,4,FALSE),VLOOKUP(INT(RAND()*(38-8)+8),test3,4,FALSE))</f>
        <v>50022</v>
      </c>
      <c r="O69" s="8">
        <v>1</v>
      </c>
      <c r="P69" s="8">
        <f t="shared" ref="P69:P100" ca="1" si="25">VLOOKUP(N69,marking,9,FALSE)</f>
        <v>88</v>
      </c>
      <c r="Q69" s="8">
        <f t="shared" ref="Q69:Q100" ca="1" si="26">IF(Q$2&gt;$F69,VLOOKUP(INT(RAND()*(VLOOKUP($F69,test2,2,FALSE)-1)+1),test3,4,FALSE),VLOOKUP(INT(RAND()*(47-38)+38),test3,4,FALSE))</f>
        <v>50040</v>
      </c>
      <c r="R69" s="8">
        <v>1</v>
      </c>
      <c r="S69" s="8">
        <f t="shared" ref="S69:S100" ca="1" si="27">VLOOKUP(Q69,marking,9,FALSE)</f>
        <v>32</v>
      </c>
      <c r="T69" s="8">
        <f t="shared" ref="T69:T100" ca="1" si="28">IF(T$2&gt;$F69,VLOOKUP(INT(RAND()*(VLOOKUP($F69,test2,2,FALSE)-1)+1),test3,4,FALSE),VLOOKUP(INT(RAND()*(48-41)+41),test3,4,FALSE))</f>
        <v>50033</v>
      </c>
      <c r="U69" s="8">
        <v>1</v>
      </c>
      <c r="V69" s="8">
        <f t="shared" ref="V69:V100" ca="1" si="29">VLOOKUP(T69,marking,9,FALSE)</f>
        <v>32</v>
      </c>
      <c r="W69" s="7">
        <f t="shared" ref="W69:W100" ca="1" si="30">(ROUND((VLOOKUP(H69,marking,10,FALSE)*J69+VLOOKUP(K69,marking,10,FALSE)*M69+VLOOKUP(N69,marking,10,FALSE)*P69+VLOOKUP(Q69,marking,10,FALSE)*S69+VLOOKUP(T69,marking,10,FALSE)*V69)/(J69+M69+P69+S69+V69),0))*10</f>
        <v>150</v>
      </c>
    </row>
    <row r="70" spans="5:23" x14ac:dyDescent="0.15">
      <c r="E70" s="7">
        <v>66</v>
      </c>
      <c r="F70" s="7">
        <v>8</v>
      </c>
      <c r="G70" s="8">
        <v>1401</v>
      </c>
      <c r="H70" s="8">
        <f t="shared" si="20"/>
        <v>50019</v>
      </c>
      <c r="I70" s="8">
        <v>1</v>
      </c>
      <c r="J70" s="8">
        <f t="shared" si="21"/>
        <v>88</v>
      </c>
      <c r="K70" s="8">
        <f t="shared" ca="1" si="22"/>
        <v>50013</v>
      </c>
      <c r="L70" s="8">
        <v>1</v>
      </c>
      <c r="M70" s="8">
        <f t="shared" ca="1" si="23"/>
        <v>181</v>
      </c>
      <c r="N70" s="8">
        <f t="shared" ca="1" si="24"/>
        <v>50016</v>
      </c>
      <c r="O70" s="8">
        <v>1</v>
      </c>
      <c r="P70" s="8">
        <f t="shared" ca="1" si="25"/>
        <v>88</v>
      </c>
      <c r="Q70" s="8">
        <f t="shared" ca="1" si="26"/>
        <v>50012</v>
      </c>
      <c r="R70" s="8">
        <v>1</v>
      </c>
      <c r="S70" s="8">
        <f t="shared" ca="1" si="27"/>
        <v>55</v>
      </c>
      <c r="T70" s="8">
        <f t="shared" ca="1" si="28"/>
        <v>50034</v>
      </c>
      <c r="U70" s="8">
        <v>1</v>
      </c>
      <c r="V70" s="8">
        <f t="shared" ca="1" si="29"/>
        <v>5</v>
      </c>
      <c r="W70" s="7">
        <f t="shared" ca="1" si="30"/>
        <v>100</v>
      </c>
    </row>
    <row r="71" spans="5:23" x14ac:dyDescent="0.15">
      <c r="E71" s="7">
        <v>67</v>
      </c>
      <c r="F71" s="7">
        <v>8</v>
      </c>
      <c r="G71" s="8">
        <v>1402</v>
      </c>
      <c r="H71" s="8">
        <f t="shared" si="20"/>
        <v>50020</v>
      </c>
      <c r="I71" s="8">
        <v>1</v>
      </c>
      <c r="J71" s="8">
        <f t="shared" si="21"/>
        <v>88</v>
      </c>
      <c r="K71" s="8">
        <f t="shared" ca="1" si="22"/>
        <v>50015</v>
      </c>
      <c r="L71" s="8">
        <v>1</v>
      </c>
      <c r="M71" s="8">
        <f t="shared" ca="1" si="23"/>
        <v>181</v>
      </c>
      <c r="N71" s="8">
        <f t="shared" ca="1" si="24"/>
        <v>50025</v>
      </c>
      <c r="O71" s="8">
        <v>1</v>
      </c>
      <c r="P71" s="8">
        <f t="shared" ca="1" si="25"/>
        <v>88</v>
      </c>
      <c r="Q71" s="8">
        <f t="shared" ca="1" si="26"/>
        <v>50037</v>
      </c>
      <c r="R71" s="8">
        <v>1</v>
      </c>
      <c r="S71" s="8">
        <f t="shared" ca="1" si="27"/>
        <v>32</v>
      </c>
      <c r="T71" s="8">
        <f t="shared" ca="1" si="28"/>
        <v>50033</v>
      </c>
      <c r="U71" s="8">
        <v>1</v>
      </c>
      <c r="V71" s="8">
        <f t="shared" ca="1" si="29"/>
        <v>32</v>
      </c>
      <c r="W71" s="7">
        <f t="shared" ca="1" si="30"/>
        <v>120</v>
      </c>
    </row>
    <row r="72" spans="5:23" x14ac:dyDescent="0.15">
      <c r="E72" s="7">
        <v>68</v>
      </c>
      <c r="F72" s="7">
        <v>8</v>
      </c>
      <c r="G72" s="8">
        <v>1403</v>
      </c>
      <c r="H72" s="8">
        <f t="shared" si="20"/>
        <v>50021</v>
      </c>
      <c r="I72" s="8">
        <v>1</v>
      </c>
      <c r="J72" s="8">
        <f t="shared" si="21"/>
        <v>88</v>
      </c>
      <c r="K72" s="8">
        <f t="shared" ca="1" si="22"/>
        <v>50013</v>
      </c>
      <c r="L72" s="8">
        <v>1</v>
      </c>
      <c r="M72" s="8">
        <f t="shared" ca="1" si="23"/>
        <v>181</v>
      </c>
      <c r="N72" s="8">
        <f t="shared" ca="1" si="24"/>
        <v>50025</v>
      </c>
      <c r="O72" s="8">
        <v>1</v>
      </c>
      <c r="P72" s="8">
        <f t="shared" ca="1" si="25"/>
        <v>88</v>
      </c>
      <c r="Q72" s="8">
        <f t="shared" ca="1" si="26"/>
        <v>50012</v>
      </c>
      <c r="R72" s="8">
        <v>1</v>
      </c>
      <c r="S72" s="8">
        <f t="shared" ca="1" si="27"/>
        <v>55</v>
      </c>
      <c r="T72" s="8">
        <f t="shared" ca="1" si="28"/>
        <v>50037</v>
      </c>
      <c r="U72" s="8">
        <v>1</v>
      </c>
      <c r="V72" s="8">
        <f t="shared" ca="1" si="29"/>
        <v>32</v>
      </c>
      <c r="W72" s="7">
        <f t="shared" ca="1" si="30"/>
        <v>120</v>
      </c>
    </row>
    <row r="73" spans="5:23" x14ac:dyDescent="0.15">
      <c r="E73" s="7">
        <v>69</v>
      </c>
      <c r="F73" s="7">
        <v>8</v>
      </c>
      <c r="G73" s="8">
        <v>1404</v>
      </c>
      <c r="H73" s="8">
        <f t="shared" si="20"/>
        <v>50022</v>
      </c>
      <c r="I73" s="8">
        <v>1</v>
      </c>
      <c r="J73" s="8">
        <f t="shared" si="21"/>
        <v>88</v>
      </c>
      <c r="K73" s="8">
        <f t="shared" ca="1" si="22"/>
        <v>50006</v>
      </c>
      <c r="L73" s="8">
        <v>1</v>
      </c>
      <c r="M73" s="8">
        <f t="shared" ca="1" si="23"/>
        <v>129</v>
      </c>
      <c r="N73" s="8">
        <f t="shared" ca="1" si="24"/>
        <v>50002</v>
      </c>
      <c r="O73" s="8">
        <v>1</v>
      </c>
      <c r="P73" s="8">
        <f t="shared" ca="1" si="25"/>
        <v>129</v>
      </c>
      <c r="Q73" s="8">
        <f t="shared" ca="1" si="26"/>
        <v>50017</v>
      </c>
      <c r="R73" s="8">
        <v>1</v>
      </c>
      <c r="S73" s="8">
        <f t="shared" ca="1" si="27"/>
        <v>32</v>
      </c>
      <c r="T73" s="8">
        <f t="shared" ca="1" si="28"/>
        <v>50039</v>
      </c>
      <c r="U73" s="8">
        <v>1</v>
      </c>
      <c r="V73" s="8">
        <f t="shared" ca="1" si="29"/>
        <v>32</v>
      </c>
      <c r="W73" s="7">
        <f t="shared" ca="1" si="30"/>
        <v>130</v>
      </c>
    </row>
    <row r="74" spans="5:23" x14ac:dyDescent="0.15">
      <c r="E74" s="7">
        <v>70</v>
      </c>
      <c r="F74" s="7">
        <v>8</v>
      </c>
      <c r="G74" s="8">
        <v>1405</v>
      </c>
      <c r="H74" s="8">
        <f t="shared" si="20"/>
        <v>50023</v>
      </c>
      <c r="I74" s="8">
        <v>1</v>
      </c>
      <c r="J74" s="8">
        <f t="shared" si="21"/>
        <v>88</v>
      </c>
      <c r="K74" s="8">
        <f t="shared" ca="1" si="22"/>
        <v>50015</v>
      </c>
      <c r="L74" s="8">
        <v>1</v>
      </c>
      <c r="M74" s="8">
        <f t="shared" ca="1" si="23"/>
        <v>181</v>
      </c>
      <c r="N74" s="8">
        <f t="shared" ca="1" si="24"/>
        <v>50173</v>
      </c>
      <c r="O74" s="8">
        <v>1</v>
      </c>
      <c r="P74" s="8">
        <f t="shared" ca="1" si="25"/>
        <v>88</v>
      </c>
      <c r="Q74" s="8">
        <f t="shared" ca="1" si="26"/>
        <v>50040</v>
      </c>
      <c r="R74" s="8">
        <v>1</v>
      </c>
      <c r="S74" s="8">
        <f t="shared" ca="1" si="27"/>
        <v>32</v>
      </c>
      <c r="T74" s="8">
        <f t="shared" ca="1" si="28"/>
        <v>50033</v>
      </c>
      <c r="U74" s="8">
        <v>1</v>
      </c>
      <c r="V74" s="8">
        <f t="shared" ca="1" si="29"/>
        <v>32</v>
      </c>
      <c r="W74" s="7">
        <f t="shared" ca="1" si="30"/>
        <v>120</v>
      </c>
    </row>
    <row r="75" spans="5:23" x14ac:dyDescent="0.15">
      <c r="E75" s="7">
        <v>71</v>
      </c>
      <c r="F75" s="7">
        <v>8</v>
      </c>
      <c r="G75" s="8">
        <v>1501</v>
      </c>
      <c r="H75" s="8">
        <f t="shared" si="20"/>
        <v>50024</v>
      </c>
      <c r="I75" s="8">
        <v>1</v>
      </c>
      <c r="J75" s="8">
        <f t="shared" si="21"/>
        <v>88</v>
      </c>
      <c r="K75" s="8">
        <f t="shared" ca="1" si="22"/>
        <v>50001</v>
      </c>
      <c r="L75" s="8">
        <v>1</v>
      </c>
      <c r="M75" s="8">
        <f t="shared" ca="1" si="23"/>
        <v>181</v>
      </c>
      <c r="N75" s="8">
        <f t="shared" ca="1" si="24"/>
        <v>50011</v>
      </c>
      <c r="O75" s="8">
        <v>1</v>
      </c>
      <c r="P75" s="8">
        <f t="shared" ca="1" si="25"/>
        <v>88</v>
      </c>
      <c r="Q75" s="8">
        <f t="shared" ca="1" si="26"/>
        <v>50039</v>
      </c>
      <c r="R75" s="8">
        <v>1</v>
      </c>
      <c r="S75" s="8">
        <f t="shared" ca="1" si="27"/>
        <v>32</v>
      </c>
      <c r="T75" s="8">
        <f t="shared" ca="1" si="28"/>
        <v>50033</v>
      </c>
      <c r="U75" s="8">
        <v>1</v>
      </c>
      <c r="V75" s="8">
        <f t="shared" ca="1" si="29"/>
        <v>32</v>
      </c>
      <c r="W75" s="7">
        <f t="shared" ca="1" si="30"/>
        <v>120</v>
      </c>
    </row>
    <row r="76" spans="5:23" x14ac:dyDescent="0.15">
      <c r="E76" s="7">
        <v>72</v>
      </c>
      <c r="F76" s="7">
        <v>8</v>
      </c>
      <c r="G76" s="8">
        <v>1502</v>
      </c>
      <c r="H76" s="8">
        <f t="shared" si="20"/>
        <v>50025</v>
      </c>
      <c r="I76" s="8">
        <v>1</v>
      </c>
      <c r="J76" s="8">
        <f t="shared" si="21"/>
        <v>88</v>
      </c>
      <c r="K76" s="8">
        <f t="shared" ca="1" si="22"/>
        <v>50013</v>
      </c>
      <c r="L76" s="8">
        <v>1</v>
      </c>
      <c r="M76" s="8">
        <f t="shared" ca="1" si="23"/>
        <v>181</v>
      </c>
      <c r="N76" s="8">
        <f t="shared" ca="1" si="24"/>
        <v>50026</v>
      </c>
      <c r="O76" s="8">
        <v>1</v>
      </c>
      <c r="P76" s="8">
        <f t="shared" ca="1" si="25"/>
        <v>88</v>
      </c>
      <c r="Q76" s="8">
        <f t="shared" ca="1" si="26"/>
        <v>50039</v>
      </c>
      <c r="R76" s="8">
        <v>1</v>
      </c>
      <c r="S76" s="8">
        <f t="shared" ca="1" si="27"/>
        <v>32</v>
      </c>
      <c r="T76" s="8">
        <f t="shared" ca="1" si="28"/>
        <v>50038</v>
      </c>
      <c r="U76" s="8">
        <v>1</v>
      </c>
      <c r="V76" s="8">
        <f t="shared" ca="1" si="29"/>
        <v>32</v>
      </c>
      <c r="W76" s="7">
        <f t="shared" ca="1" si="30"/>
        <v>120</v>
      </c>
    </row>
    <row r="77" spans="5:23" x14ac:dyDescent="0.15">
      <c r="E77" s="7">
        <v>73</v>
      </c>
      <c r="F77" s="7">
        <v>8</v>
      </c>
      <c r="G77" s="8">
        <v>1503</v>
      </c>
      <c r="H77" s="8">
        <f t="shared" si="20"/>
        <v>50026</v>
      </c>
      <c r="I77" s="8">
        <v>1</v>
      </c>
      <c r="J77" s="8">
        <f t="shared" si="21"/>
        <v>88</v>
      </c>
      <c r="K77" s="8">
        <f t="shared" ca="1" si="22"/>
        <v>50002</v>
      </c>
      <c r="L77" s="8">
        <v>1</v>
      </c>
      <c r="M77" s="8">
        <f t="shared" ca="1" si="23"/>
        <v>129</v>
      </c>
      <c r="N77" s="8">
        <f t="shared" ca="1" si="24"/>
        <v>50006</v>
      </c>
      <c r="O77" s="8">
        <v>1</v>
      </c>
      <c r="P77" s="8">
        <f t="shared" ca="1" si="25"/>
        <v>129</v>
      </c>
      <c r="Q77" s="8">
        <f t="shared" ca="1" si="26"/>
        <v>50038</v>
      </c>
      <c r="R77" s="8">
        <v>1</v>
      </c>
      <c r="S77" s="8">
        <f t="shared" ca="1" si="27"/>
        <v>32</v>
      </c>
      <c r="T77" s="8">
        <f t="shared" ca="1" si="28"/>
        <v>50037</v>
      </c>
      <c r="U77" s="8">
        <v>1</v>
      </c>
      <c r="V77" s="8">
        <f t="shared" ca="1" si="29"/>
        <v>32</v>
      </c>
      <c r="W77" s="7">
        <f t="shared" ca="1" si="30"/>
        <v>130</v>
      </c>
    </row>
    <row r="78" spans="5:23" x14ac:dyDescent="0.15">
      <c r="E78" s="7">
        <v>74</v>
      </c>
      <c r="F78" s="7">
        <v>8</v>
      </c>
      <c r="G78" s="8">
        <v>1504</v>
      </c>
      <c r="H78" s="8">
        <f t="shared" si="20"/>
        <v>50027</v>
      </c>
      <c r="I78" s="8">
        <v>1</v>
      </c>
      <c r="J78" s="8">
        <f t="shared" si="21"/>
        <v>88</v>
      </c>
      <c r="K78" s="8">
        <f t="shared" ca="1" si="22"/>
        <v>50087</v>
      </c>
      <c r="L78" s="8">
        <v>1</v>
      </c>
      <c r="M78" s="8">
        <f t="shared" ca="1" si="23"/>
        <v>129</v>
      </c>
      <c r="N78" s="8">
        <f t="shared" ca="1" si="24"/>
        <v>50021</v>
      </c>
      <c r="O78" s="8">
        <v>1</v>
      </c>
      <c r="P78" s="8">
        <f t="shared" ca="1" si="25"/>
        <v>88</v>
      </c>
      <c r="Q78" s="8">
        <f t="shared" ca="1" si="26"/>
        <v>50017</v>
      </c>
      <c r="R78" s="8">
        <v>1</v>
      </c>
      <c r="S78" s="8">
        <f t="shared" ca="1" si="27"/>
        <v>32</v>
      </c>
      <c r="T78" s="8">
        <f t="shared" ca="1" si="28"/>
        <v>50040</v>
      </c>
      <c r="U78" s="8">
        <v>1</v>
      </c>
      <c r="V78" s="8">
        <f t="shared" ca="1" si="29"/>
        <v>32</v>
      </c>
      <c r="W78" s="7">
        <f t="shared" ca="1" si="30"/>
        <v>150</v>
      </c>
    </row>
    <row r="79" spans="5:23" x14ac:dyDescent="0.15">
      <c r="E79" s="7">
        <v>75</v>
      </c>
      <c r="F79" s="7">
        <v>8</v>
      </c>
      <c r="G79" s="8">
        <v>1505</v>
      </c>
      <c r="H79" s="8">
        <f t="shared" si="20"/>
        <v>50028</v>
      </c>
      <c r="I79" s="8">
        <v>1</v>
      </c>
      <c r="J79" s="8">
        <f t="shared" si="21"/>
        <v>88</v>
      </c>
      <c r="K79" s="8">
        <f t="shared" ca="1" si="22"/>
        <v>50002</v>
      </c>
      <c r="L79" s="8">
        <v>1</v>
      </c>
      <c r="M79" s="8">
        <f t="shared" ca="1" si="23"/>
        <v>129</v>
      </c>
      <c r="N79" s="8">
        <f t="shared" ca="1" si="24"/>
        <v>50026</v>
      </c>
      <c r="O79" s="8">
        <v>1</v>
      </c>
      <c r="P79" s="8">
        <f t="shared" ca="1" si="25"/>
        <v>88</v>
      </c>
      <c r="Q79" s="8">
        <f t="shared" ca="1" si="26"/>
        <v>50040</v>
      </c>
      <c r="R79" s="8">
        <v>1</v>
      </c>
      <c r="S79" s="8">
        <f t="shared" ca="1" si="27"/>
        <v>32</v>
      </c>
      <c r="T79" s="8">
        <f t="shared" ca="1" si="28"/>
        <v>50017</v>
      </c>
      <c r="U79" s="8">
        <v>1</v>
      </c>
      <c r="V79" s="8">
        <f t="shared" ca="1" si="29"/>
        <v>32</v>
      </c>
      <c r="W79" s="7">
        <f t="shared" ca="1" si="30"/>
        <v>150</v>
      </c>
    </row>
    <row r="80" spans="5:23" x14ac:dyDescent="0.15">
      <c r="E80" s="7">
        <v>76</v>
      </c>
      <c r="F80" s="7">
        <v>8</v>
      </c>
      <c r="G80" s="8">
        <v>1601</v>
      </c>
      <c r="H80" s="8">
        <f t="shared" si="20"/>
        <v>50029</v>
      </c>
      <c r="I80" s="8">
        <v>1</v>
      </c>
      <c r="J80" s="8">
        <f t="shared" si="21"/>
        <v>88</v>
      </c>
      <c r="K80" s="8">
        <f t="shared" ca="1" si="22"/>
        <v>50088</v>
      </c>
      <c r="L80" s="8">
        <v>1</v>
      </c>
      <c r="M80" s="8">
        <f t="shared" ca="1" si="23"/>
        <v>129</v>
      </c>
      <c r="N80" s="8">
        <f t="shared" ca="1" si="24"/>
        <v>50176</v>
      </c>
      <c r="O80" s="8">
        <v>1</v>
      </c>
      <c r="P80" s="8">
        <f t="shared" ca="1" si="25"/>
        <v>88</v>
      </c>
      <c r="Q80" s="8">
        <f t="shared" ca="1" si="26"/>
        <v>50033</v>
      </c>
      <c r="R80" s="8">
        <v>1</v>
      </c>
      <c r="S80" s="8">
        <f t="shared" ca="1" si="27"/>
        <v>32</v>
      </c>
      <c r="T80" s="8">
        <f t="shared" ca="1" si="28"/>
        <v>50033</v>
      </c>
      <c r="U80" s="8">
        <v>1</v>
      </c>
      <c r="V80" s="8">
        <f t="shared" ca="1" si="29"/>
        <v>32</v>
      </c>
      <c r="W80" s="7">
        <f t="shared" ca="1" si="30"/>
        <v>150</v>
      </c>
    </row>
    <row r="81" spans="5:23" x14ac:dyDescent="0.15">
      <c r="E81" s="7">
        <v>77</v>
      </c>
      <c r="F81" s="7">
        <v>8</v>
      </c>
      <c r="G81" s="8">
        <v>1602</v>
      </c>
      <c r="H81" s="8">
        <f t="shared" si="20"/>
        <v>50030</v>
      </c>
      <c r="I81" s="8">
        <v>1</v>
      </c>
      <c r="J81" s="8">
        <f t="shared" si="21"/>
        <v>88</v>
      </c>
      <c r="K81" s="8">
        <f t="shared" ca="1" si="22"/>
        <v>50002</v>
      </c>
      <c r="L81" s="8">
        <v>1</v>
      </c>
      <c r="M81" s="8">
        <f t="shared" ca="1" si="23"/>
        <v>129</v>
      </c>
      <c r="N81" s="8">
        <f t="shared" ca="1" si="24"/>
        <v>50022</v>
      </c>
      <c r="O81" s="8">
        <v>1</v>
      </c>
      <c r="P81" s="8">
        <f t="shared" ca="1" si="25"/>
        <v>88</v>
      </c>
      <c r="Q81" s="8">
        <f t="shared" ca="1" si="26"/>
        <v>50038</v>
      </c>
      <c r="R81" s="8">
        <v>1</v>
      </c>
      <c r="S81" s="8">
        <f t="shared" ca="1" si="27"/>
        <v>32</v>
      </c>
      <c r="T81" s="8">
        <f t="shared" ca="1" si="28"/>
        <v>50039</v>
      </c>
      <c r="U81" s="8">
        <v>1</v>
      </c>
      <c r="V81" s="8">
        <f t="shared" ca="1" si="29"/>
        <v>32</v>
      </c>
      <c r="W81" s="7">
        <f t="shared" ca="1" si="30"/>
        <v>150</v>
      </c>
    </row>
    <row r="82" spans="5:23" x14ac:dyDescent="0.15">
      <c r="E82" s="7">
        <v>78</v>
      </c>
      <c r="F82" s="7">
        <v>8</v>
      </c>
      <c r="G82" s="8">
        <v>1603</v>
      </c>
      <c r="H82" s="8">
        <f t="shared" si="20"/>
        <v>50032</v>
      </c>
      <c r="I82" s="8">
        <v>1</v>
      </c>
      <c r="J82" s="8">
        <f t="shared" si="21"/>
        <v>88</v>
      </c>
      <c r="K82" s="8">
        <f t="shared" ca="1" si="22"/>
        <v>50009</v>
      </c>
      <c r="L82" s="8">
        <v>1</v>
      </c>
      <c r="M82" s="8">
        <f t="shared" ca="1" si="23"/>
        <v>181</v>
      </c>
      <c r="N82" s="8">
        <f t="shared" ca="1" si="24"/>
        <v>50089</v>
      </c>
      <c r="O82" s="8">
        <v>1</v>
      </c>
      <c r="P82" s="8">
        <f t="shared" ca="1" si="25"/>
        <v>88</v>
      </c>
      <c r="Q82" s="8">
        <f t="shared" ca="1" si="26"/>
        <v>50004</v>
      </c>
      <c r="R82" s="8">
        <v>1</v>
      </c>
      <c r="S82" s="8">
        <f t="shared" ca="1" si="27"/>
        <v>55</v>
      </c>
      <c r="T82" s="8">
        <f t="shared" ca="1" si="28"/>
        <v>50039</v>
      </c>
      <c r="U82" s="8">
        <v>1</v>
      </c>
      <c r="V82" s="8">
        <f t="shared" ca="1" si="29"/>
        <v>32</v>
      </c>
      <c r="W82" s="7">
        <f t="shared" ca="1" si="30"/>
        <v>120</v>
      </c>
    </row>
    <row r="83" spans="5:23" x14ac:dyDescent="0.15">
      <c r="E83" s="7">
        <v>79</v>
      </c>
      <c r="F83" s="7">
        <v>8</v>
      </c>
      <c r="G83" s="8">
        <v>1604</v>
      </c>
      <c r="H83" s="8">
        <f t="shared" si="20"/>
        <v>50036</v>
      </c>
      <c r="I83" s="8">
        <v>1</v>
      </c>
      <c r="J83" s="8">
        <f t="shared" si="21"/>
        <v>88</v>
      </c>
      <c r="K83" s="8">
        <f t="shared" ca="1" si="22"/>
        <v>50013</v>
      </c>
      <c r="L83" s="8">
        <v>1</v>
      </c>
      <c r="M83" s="8">
        <f t="shared" ca="1" si="23"/>
        <v>181</v>
      </c>
      <c r="N83" s="8">
        <f t="shared" ca="1" si="24"/>
        <v>50006</v>
      </c>
      <c r="O83" s="8">
        <v>1</v>
      </c>
      <c r="P83" s="8">
        <f t="shared" ca="1" si="25"/>
        <v>129</v>
      </c>
      <c r="Q83" s="8">
        <f t="shared" ca="1" si="26"/>
        <v>50037</v>
      </c>
      <c r="R83" s="8">
        <v>1</v>
      </c>
      <c r="S83" s="8">
        <f t="shared" ca="1" si="27"/>
        <v>32</v>
      </c>
      <c r="T83" s="8">
        <f t="shared" ca="1" si="28"/>
        <v>50034</v>
      </c>
      <c r="U83" s="8">
        <v>1</v>
      </c>
      <c r="V83" s="8">
        <f t="shared" ca="1" si="29"/>
        <v>5</v>
      </c>
      <c r="W83" s="7">
        <f t="shared" ca="1" si="30"/>
        <v>90</v>
      </c>
    </row>
    <row r="84" spans="5:23" x14ac:dyDescent="0.15">
      <c r="E84" s="7">
        <v>80</v>
      </c>
      <c r="F84" s="7">
        <v>8</v>
      </c>
      <c r="G84" s="8">
        <v>1605</v>
      </c>
      <c r="H84" s="8">
        <f t="shared" si="20"/>
        <v>50089</v>
      </c>
      <c r="I84" s="8">
        <v>1</v>
      </c>
      <c r="J84" s="8">
        <f t="shared" si="21"/>
        <v>88</v>
      </c>
      <c r="K84" s="8">
        <f t="shared" ca="1" si="22"/>
        <v>50002</v>
      </c>
      <c r="L84" s="8">
        <v>1</v>
      </c>
      <c r="M84" s="8">
        <f t="shared" ca="1" si="23"/>
        <v>129</v>
      </c>
      <c r="N84" s="8">
        <f t="shared" ca="1" si="24"/>
        <v>50176</v>
      </c>
      <c r="O84" s="8">
        <v>1</v>
      </c>
      <c r="P84" s="8">
        <f t="shared" ca="1" si="25"/>
        <v>88</v>
      </c>
      <c r="Q84" s="8">
        <f t="shared" ca="1" si="26"/>
        <v>50040</v>
      </c>
      <c r="R84" s="8">
        <v>1</v>
      </c>
      <c r="S84" s="8">
        <f t="shared" ca="1" si="27"/>
        <v>32</v>
      </c>
      <c r="T84" s="8">
        <f t="shared" ca="1" si="28"/>
        <v>50034</v>
      </c>
      <c r="U84" s="8">
        <v>1</v>
      </c>
      <c r="V84" s="8">
        <f t="shared" ca="1" si="29"/>
        <v>5</v>
      </c>
      <c r="W84" s="7">
        <f t="shared" ca="1" si="30"/>
        <v>140</v>
      </c>
    </row>
    <row r="85" spans="5:23" x14ac:dyDescent="0.15">
      <c r="E85" s="7">
        <v>81</v>
      </c>
      <c r="F85" s="7">
        <v>8</v>
      </c>
      <c r="G85" s="8">
        <v>1701</v>
      </c>
      <c r="H85" s="8">
        <f t="shared" si="20"/>
        <v>50173</v>
      </c>
      <c r="I85" s="8">
        <v>1</v>
      </c>
      <c r="J85" s="8">
        <f t="shared" si="21"/>
        <v>88</v>
      </c>
      <c r="K85" s="8">
        <f t="shared" ca="1" si="22"/>
        <v>50035</v>
      </c>
      <c r="L85" s="8">
        <v>1</v>
      </c>
      <c r="M85" s="8">
        <f t="shared" ca="1" si="23"/>
        <v>181</v>
      </c>
      <c r="N85" s="8">
        <f t="shared" ca="1" si="24"/>
        <v>50030</v>
      </c>
      <c r="O85" s="8">
        <v>1</v>
      </c>
      <c r="P85" s="8">
        <f t="shared" ca="1" si="25"/>
        <v>88</v>
      </c>
      <c r="Q85" s="8">
        <f t="shared" ca="1" si="26"/>
        <v>50038</v>
      </c>
      <c r="R85" s="8">
        <v>1</v>
      </c>
      <c r="S85" s="8">
        <f t="shared" ca="1" si="27"/>
        <v>32</v>
      </c>
      <c r="T85" s="8">
        <f t="shared" ca="1" si="28"/>
        <v>50033</v>
      </c>
      <c r="U85" s="8">
        <v>1</v>
      </c>
      <c r="V85" s="8">
        <f t="shared" ca="1" si="29"/>
        <v>32</v>
      </c>
      <c r="W85" s="7">
        <f t="shared" ca="1" si="30"/>
        <v>120</v>
      </c>
    </row>
    <row r="86" spans="5:23" x14ac:dyDescent="0.15">
      <c r="E86" s="7">
        <v>82</v>
      </c>
      <c r="F86" s="7">
        <v>8</v>
      </c>
      <c r="G86" s="8">
        <v>1702</v>
      </c>
      <c r="H86" s="8">
        <f t="shared" si="20"/>
        <v>50174</v>
      </c>
      <c r="I86" s="8">
        <v>1</v>
      </c>
      <c r="J86" s="8">
        <f t="shared" si="21"/>
        <v>88</v>
      </c>
      <c r="K86" s="8">
        <f t="shared" ca="1" si="22"/>
        <v>50015</v>
      </c>
      <c r="L86" s="8">
        <v>1</v>
      </c>
      <c r="M86" s="8">
        <f t="shared" ca="1" si="23"/>
        <v>181</v>
      </c>
      <c r="N86" s="8">
        <f t="shared" ca="1" si="24"/>
        <v>50010</v>
      </c>
      <c r="O86" s="8">
        <v>1</v>
      </c>
      <c r="P86" s="8">
        <f t="shared" ca="1" si="25"/>
        <v>129</v>
      </c>
      <c r="Q86" s="8">
        <f t="shared" ca="1" si="26"/>
        <v>50004</v>
      </c>
      <c r="R86" s="8">
        <v>1</v>
      </c>
      <c r="S86" s="8">
        <f t="shared" ca="1" si="27"/>
        <v>55</v>
      </c>
      <c r="T86" s="8">
        <f t="shared" ca="1" si="28"/>
        <v>50039</v>
      </c>
      <c r="U86" s="8">
        <v>1</v>
      </c>
      <c r="V86" s="8">
        <f t="shared" ca="1" si="29"/>
        <v>32</v>
      </c>
      <c r="W86" s="7">
        <f t="shared" ca="1" si="30"/>
        <v>100</v>
      </c>
    </row>
    <row r="87" spans="5:23" x14ac:dyDescent="0.15">
      <c r="E87" s="7">
        <v>83</v>
      </c>
      <c r="F87" s="7">
        <v>8</v>
      </c>
      <c r="G87" s="8">
        <v>1703</v>
      </c>
      <c r="H87" s="8">
        <f t="shared" si="20"/>
        <v>50175</v>
      </c>
      <c r="I87" s="8">
        <v>1</v>
      </c>
      <c r="J87" s="8">
        <f t="shared" si="21"/>
        <v>88</v>
      </c>
      <c r="K87" s="8">
        <f t="shared" ca="1" si="22"/>
        <v>50002</v>
      </c>
      <c r="L87" s="8">
        <v>1</v>
      </c>
      <c r="M87" s="8">
        <f t="shared" ca="1" si="23"/>
        <v>129</v>
      </c>
      <c r="N87" s="8">
        <f t="shared" ca="1" si="24"/>
        <v>50174</v>
      </c>
      <c r="O87" s="8">
        <v>1</v>
      </c>
      <c r="P87" s="8">
        <f t="shared" ca="1" si="25"/>
        <v>88</v>
      </c>
      <c r="Q87" s="8">
        <f t="shared" ca="1" si="26"/>
        <v>50033</v>
      </c>
      <c r="R87" s="8">
        <v>1</v>
      </c>
      <c r="S87" s="8">
        <f t="shared" ca="1" si="27"/>
        <v>32</v>
      </c>
      <c r="T87" s="8">
        <f t="shared" ca="1" si="28"/>
        <v>50038</v>
      </c>
      <c r="U87" s="8">
        <v>1</v>
      </c>
      <c r="V87" s="8">
        <f t="shared" ca="1" si="29"/>
        <v>32</v>
      </c>
      <c r="W87" s="7">
        <f t="shared" ca="1" si="30"/>
        <v>150</v>
      </c>
    </row>
    <row r="88" spans="5:23" x14ac:dyDescent="0.15">
      <c r="E88" s="7">
        <v>84</v>
      </c>
      <c r="F88" s="7">
        <v>8</v>
      </c>
      <c r="G88" s="8">
        <v>1704</v>
      </c>
      <c r="H88" s="8">
        <f t="shared" si="20"/>
        <v>50176</v>
      </c>
      <c r="I88" s="8">
        <v>1</v>
      </c>
      <c r="J88" s="8">
        <f t="shared" si="21"/>
        <v>88</v>
      </c>
      <c r="K88" s="8">
        <f t="shared" ca="1" si="22"/>
        <v>50087</v>
      </c>
      <c r="L88" s="8">
        <v>1</v>
      </c>
      <c r="M88" s="8">
        <f t="shared" ca="1" si="23"/>
        <v>129</v>
      </c>
      <c r="N88" s="8">
        <f t="shared" ca="1" si="24"/>
        <v>50023</v>
      </c>
      <c r="O88" s="8">
        <v>1</v>
      </c>
      <c r="P88" s="8">
        <f t="shared" ca="1" si="25"/>
        <v>88</v>
      </c>
      <c r="Q88" s="8">
        <f t="shared" ca="1" si="26"/>
        <v>50033</v>
      </c>
      <c r="R88" s="8">
        <v>1</v>
      </c>
      <c r="S88" s="8">
        <f t="shared" ca="1" si="27"/>
        <v>32</v>
      </c>
      <c r="T88" s="8">
        <f t="shared" ca="1" si="28"/>
        <v>50034</v>
      </c>
      <c r="U88" s="8">
        <v>1</v>
      </c>
      <c r="V88" s="8">
        <f t="shared" ca="1" si="29"/>
        <v>5</v>
      </c>
      <c r="W88" s="7">
        <f t="shared" ca="1" si="30"/>
        <v>140</v>
      </c>
    </row>
    <row r="89" spans="5:23" x14ac:dyDescent="0.15">
      <c r="E89" s="7">
        <v>85</v>
      </c>
      <c r="F89" s="7">
        <v>8</v>
      </c>
      <c r="G89" s="8">
        <v>1705</v>
      </c>
      <c r="H89" s="8">
        <f t="shared" si="20"/>
        <v>50004</v>
      </c>
      <c r="I89" s="8">
        <v>1</v>
      </c>
      <c r="J89" s="8">
        <f t="shared" si="21"/>
        <v>55</v>
      </c>
      <c r="K89" s="8">
        <f t="shared" ca="1" si="22"/>
        <v>50015</v>
      </c>
      <c r="L89" s="8">
        <v>1</v>
      </c>
      <c r="M89" s="8">
        <f t="shared" ca="1" si="23"/>
        <v>181</v>
      </c>
      <c r="N89" s="8">
        <f t="shared" ca="1" si="24"/>
        <v>50020</v>
      </c>
      <c r="O89" s="8">
        <v>1</v>
      </c>
      <c r="P89" s="8">
        <f t="shared" ca="1" si="25"/>
        <v>88</v>
      </c>
      <c r="Q89" s="8">
        <f t="shared" ca="1" si="26"/>
        <v>50004</v>
      </c>
      <c r="R89" s="8">
        <v>1</v>
      </c>
      <c r="S89" s="8">
        <f t="shared" ca="1" si="27"/>
        <v>55</v>
      </c>
      <c r="T89" s="8">
        <f t="shared" ca="1" si="28"/>
        <v>50034</v>
      </c>
      <c r="U89" s="8">
        <v>1</v>
      </c>
      <c r="V89" s="8">
        <f t="shared" ca="1" si="29"/>
        <v>5</v>
      </c>
      <c r="W89" s="7">
        <f t="shared" ca="1" si="30"/>
        <v>120</v>
      </c>
    </row>
    <row r="90" spans="5:23" x14ac:dyDescent="0.15">
      <c r="E90" s="7">
        <v>86</v>
      </c>
      <c r="F90" s="7">
        <v>8</v>
      </c>
      <c r="G90" s="8">
        <v>1801</v>
      </c>
      <c r="H90" s="8">
        <f t="shared" si="20"/>
        <v>50008</v>
      </c>
      <c r="I90" s="8">
        <v>1</v>
      </c>
      <c r="J90" s="8">
        <f t="shared" si="21"/>
        <v>55</v>
      </c>
      <c r="K90" s="8">
        <f t="shared" ca="1" si="22"/>
        <v>50009</v>
      </c>
      <c r="L90" s="8">
        <v>1</v>
      </c>
      <c r="M90" s="8">
        <f t="shared" ca="1" si="23"/>
        <v>181</v>
      </c>
      <c r="N90" s="8">
        <f t="shared" ca="1" si="24"/>
        <v>50026</v>
      </c>
      <c r="O90" s="8">
        <v>1</v>
      </c>
      <c r="P90" s="8">
        <f t="shared" ca="1" si="25"/>
        <v>88</v>
      </c>
      <c r="Q90" s="8">
        <f t="shared" ca="1" si="26"/>
        <v>50040</v>
      </c>
      <c r="R90" s="8">
        <v>1</v>
      </c>
      <c r="S90" s="8">
        <f t="shared" ca="1" si="27"/>
        <v>32</v>
      </c>
      <c r="T90" s="8">
        <f t="shared" ca="1" si="28"/>
        <v>50038</v>
      </c>
      <c r="U90" s="8">
        <v>1</v>
      </c>
      <c r="V90" s="8">
        <f t="shared" ca="1" si="29"/>
        <v>32</v>
      </c>
      <c r="W90" s="7">
        <f t="shared" ca="1" si="30"/>
        <v>130</v>
      </c>
    </row>
    <row r="91" spans="5:23" x14ac:dyDescent="0.15">
      <c r="E91" s="7">
        <v>87</v>
      </c>
      <c r="F91" s="7">
        <v>8</v>
      </c>
      <c r="G91" s="8">
        <v>1802</v>
      </c>
      <c r="H91" s="8">
        <f t="shared" si="20"/>
        <v>50012</v>
      </c>
      <c r="I91" s="8">
        <v>1</v>
      </c>
      <c r="J91" s="8">
        <f t="shared" si="21"/>
        <v>55</v>
      </c>
      <c r="K91" s="8">
        <f t="shared" ca="1" si="22"/>
        <v>50002</v>
      </c>
      <c r="L91" s="8">
        <v>1</v>
      </c>
      <c r="M91" s="8">
        <f t="shared" ca="1" si="23"/>
        <v>129</v>
      </c>
      <c r="N91" s="8">
        <f t="shared" ca="1" si="24"/>
        <v>50036</v>
      </c>
      <c r="O91" s="8">
        <v>1</v>
      </c>
      <c r="P91" s="8">
        <f t="shared" ca="1" si="25"/>
        <v>88</v>
      </c>
      <c r="Q91" s="8">
        <f t="shared" ca="1" si="26"/>
        <v>50004</v>
      </c>
      <c r="R91" s="8">
        <v>1</v>
      </c>
      <c r="S91" s="8">
        <f t="shared" ca="1" si="27"/>
        <v>55</v>
      </c>
      <c r="T91" s="8">
        <f t="shared" ca="1" si="28"/>
        <v>50040</v>
      </c>
      <c r="U91" s="8">
        <v>1</v>
      </c>
      <c r="V91" s="8">
        <f t="shared" ca="1" si="29"/>
        <v>32</v>
      </c>
      <c r="W91" s="7">
        <f t="shared" ca="1" si="30"/>
        <v>160</v>
      </c>
    </row>
    <row r="92" spans="5:23" x14ac:dyDescent="0.15">
      <c r="E92" s="7">
        <v>88</v>
      </c>
      <c r="F92" s="7">
        <v>8</v>
      </c>
      <c r="G92" s="8">
        <v>1803</v>
      </c>
      <c r="H92" s="8">
        <f t="shared" si="20"/>
        <v>50017</v>
      </c>
      <c r="I92" s="8">
        <v>1</v>
      </c>
      <c r="J92" s="8">
        <f t="shared" si="21"/>
        <v>32</v>
      </c>
      <c r="K92" s="8">
        <f t="shared" ca="1" si="22"/>
        <v>50005</v>
      </c>
      <c r="L92" s="8">
        <v>1</v>
      </c>
      <c r="M92" s="8">
        <f t="shared" ca="1" si="23"/>
        <v>181</v>
      </c>
      <c r="N92" s="8">
        <f t="shared" ca="1" si="24"/>
        <v>50020</v>
      </c>
      <c r="O92" s="8">
        <v>1</v>
      </c>
      <c r="P92" s="8">
        <f t="shared" ca="1" si="25"/>
        <v>88</v>
      </c>
      <c r="Q92" s="8">
        <f t="shared" ca="1" si="26"/>
        <v>50033</v>
      </c>
      <c r="R92" s="8">
        <v>1</v>
      </c>
      <c r="S92" s="8">
        <f t="shared" ca="1" si="27"/>
        <v>32</v>
      </c>
      <c r="T92" s="8">
        <f t="shared" ca="1" si="28"/>
        <v>50040</v>
      </c>
      <c r="U92" s="8">
        <v>1</v>
      </c>
      <c r="V92" s="8">
        <f t="shared" ca="1" si="29"/>
        <v>32</v>
      </c>
      <c r="W92" s="7">
        <f t="shared" ca="1" si="30"/>
        <v>140</v>
      </c>
    </row>
    <row r="93" spans="5:23" x14ac:dyDescent="0.15">
      <c r="E93" s="7">
        <v>89</v>
      </c>
      <c r="F93" s="7">
        <v>8</v>
      </c>
      <c r="G93" s="8">
        <v>1804</v>
      </c>
      <c r="H93" s="8">
        <f t="shared" si="20"/>
        <v>50033</v>
      </c>
      <c r="I93" s="8">
        <v>1</v>
      </c>
      <c r="J93" s="8">
        <f t="shared" si="21"/>
        <v>32</v>
      </c>
      <c r="K93" s="8">
        <f t="shared" ca="1" si="22"/>
        <v>50001</v>
      </c>
      <c r="L93" s="8">
        <v>1</v>
      </c>
      <c r="M93" s="8">
        <f t="shared" ca="1" si="23"/>
        <v>181</v>
      </c>
      <c r="N93" s="8">
        <f t="shared" ca="1" si="24"/>
        <v>50027</v>
      </c>
      <c r="O93" s="8">
        <v>1</v>
      </c>
      <c r="P93" s="8">
        <f t="shared" ca="1" si="25"/>
        <v>88</v>
      </c>
      <c r="Q93" s="8">
        <f t="shared" ca="1" si="26"/>
        <v>50012</v>
      </c>
      <c r="R93" s="8">
        <v>1</v>
      </c>
      <c r="S93" s="8">
        <f t="shared" ca="1" si="27"/>
        <v>55</v>
      </c>
      <c r="T93" s="8">
        <f t="shared" ca="1" si="28"/>
        <v>50034</v>
      </c>
      <c r="U93" s="8">
        <v>1</v>
      </c>
      <c r="V93" s="8">
        <f t="shared" ca="1" si="29"/>
        <v>5</v>
      </c>
      <c r="W93" s="7">
        <f t="shared" ca="1" si="30"/>
        <v>120</v>
      </c>
    </row>
    <row r="94" spans="5:23" x14ac:dyDescent="0.15">
      <c r="E94" s="7">
        <v>90</v>
      </c>
      <c r="F94" s="7">
        <v>8</v>
      </c>
      <c r="G94" s="8">
        <v>1805</v>
      </c>
      <c r="H94" s="8">
        <f t="shared" si="20"/>
        <v>50037</v>
      </c>
      <c r="I94" s="8">
        <v>1</v>
      </c>
      <c r="J94" s="8">
        <f t="shared" si="21"/>
        <v>32</v>
      </c>
      <c r="K94" s="8">
        <f t="shared" ca="1" si="22"/>
        <v>50035</v>
      </c>
      <c r="L94" s="8">
        <v>1</v>
      </c>
      <c r="M94" s="8">
        <f t="shared" ca="1" si="23"/>
        <v>181</v>
      </c>
      <c r="N94" s="8">
        <f t="shared" ca="1" si="24"/>
        <v>50021</v>
      </c>
      <c r="O94" s="8">
        <v>1</v>
      </c>
      <c r="P94" s="8">
        <f t="shared" ca="1" si="25"/>
        <v>88</v>
      </c>
      <c r="Q94" s="8">
        <f t="shared" ca="1" si="26"/>
        <v>50039</v>
      </c>
      <c r="R94" s="8">
        <v>1</v>
      </c>
      <c r="S94" s="8">
        <f t="shared" ca="1" si="27"/>
        <v>32</v>
      </c>
      <c r="T94" s="8">
        <f t="shared" ca="1" si="28"/>
        <v>50039</v>
      </c>
      <c r="U94" s="8">
        <v>1</v>
      </c>
      <c r="V94" s="8">
        <f t="shared" ca="1" si="29"/>
        <v>32</v>
      </c>
      <c r="W94" s="7">
        <f t="shared" ca="1" si="30"/>
        <v>140</v>
      </c>
    </row>
    <row r="95" spans="5:23" x14ac:dyDescent="0.15">
      <c r="E95" s="7">
        <v>91</v>
      </c>
      <c r="F95" s="7">
        <v>8</v>
      </c>
      <c r="G95" s="8">
        <v>1901</v>
      </c>
      <c r="H95" s="8">
        <f t="shared" si="20"/>
        <v>50038</v>
      </c>
      <c r="I95" s="8">
        <v>1</v>
      </c>
      <c r="J95" s="8">
        <f t="shared" si="21"/>
        <v>32</v>
      </c>
      <c r="K95" s="8">
        <f t="shared" ca="1" si="22"/>
        <v>50002</v>
      </c>
      <c r="L95" s="8">
        <v>1</v>
      </c>
      <c r="M95" s="8">
        <f t="shared" ca="1" si="23"/>
        <v>129</v>
      </c>
      <c r="N95" s="8">
        <f t="shared" ca="1" si="24"/>
        <v>50032</v>
      </c>
      <c r="O95" s="8">
        <v>1</v>
      </c>
      <c r="P95" s="8">
        <f t="shared" ca="1" si="25"/>
        <v>88</v>
      </c>
      <c r="Q95" s="8">
        <f t="shared" ca="1" si="26"/>
        <v>50017</v>
      </c>
      <c r="R95" s="8">
        <v>1</v>
      </c>
      <c r="S95" s="8">
        <f t="shared" ca="1" si="27"/>
        <v>32</v>
      </c>
      <c r="T95" s="8">
        <f t="shared" ca="1" si="28"/>
        <v>50040</v>
      </c>
      <c r="U95" s="8">
        <v>1</v>
      </c>
      <c r="V95" s="8">
        <f t="shared" ca="1" si="29"/>
        <v>32</v>
      </c>
      <c r="W95" s="7">
        <f t="shared" ca="1" si="30"/>
        <v>180</v>
      </c>
    </row>
    <row r="96" spans="5:23" x14ac:dyDescent="0.15">
      <c r="E96" s="7">
        <v>92</v>
      </c>
      <c r="F96" s="7">
        <v>8</v>
      </c>
      <c r="G96" s="8">
        <v>1902</v>
      </c>
      <c r="H96" s="8">
        <f t="shared" si="20"/>
        <v>50039</v>
      </c>
      <c r="I96" s="8">
        <v>1</v>
      </c>
      <c r="J96" s="8">
        <f t="shared" si="21"/>
        <v>32</v>
      </c>
      <c r="K96" s="8">
        <f t="shared" ca="1" si="22"/>
        <v>50010</v>
      </c>
      <c r="L96" s="8">
        <v>1</v>
      </c>
      <c r="M96" s="8">
        <f t="shared" ca="1" si="23"/>
        <v>129</v>
      </c>
      <c r="N96" s="8">
        <f t="shared" ca="1" si="24"/>
        <v>50002</v>
      </c>
      <c r="O96" s="8">
        <v>1</v>
      </c>
      <c r="P96" s="8">
        <f t="shared" ca="1" si="25"/>
        <v>129</v>
      </c>
      <c r="Q96" s="8">
        <f t="shared" ca="1" si="26"/>
        <v>50017</v>
      </c>
      <c r="R96" s="8">
        <v>1</v>
      </c>
      <c r="S96" s="8">
        <f t="shared" ca="1" si="27"/>
        <v>32</v>
      </c>
      <c r="T96" s="8">
        <f t="shared" ca="1" si="28"/>
        <v>50038</v>
      </c>
      <c r="U96" s="8">
        <v>1</v>
      </c>
      <c r="V96" s="8">
        <f t="shared" ca="1" si="29"/>
        <v>32</v>
      </c>
      <c r="W96" s="7">
        <f t="shared" ca="1" si="30"/>
        <v>150</v>
      </c>
    </row>
    <row r="97" spans="5:23" x14ac:dyDescent="0.15">
      <c r="E97" s="7">
        <v>93</v>
      </c>
      <c r="F97" s="7">
        <v>8</v>
      </c>
      <c r="G97" s="8">
        <v>1903</v>
      </c>
      <c r="H97" s="8">
        <f t="shared" si="20"/>
        <v>50040</v>
      </c>
      <c r="I97" s="8">
        <v>1</v>
      </c>
      <c r="J97" s="8">
        <f t="shared" si="21"/>
        <v>32</v>
      </c>
      <c r="K97" s="8">
        <f t="shared" ca="1" si="22"/>
        <v>50010</v>
      </c>
      <c r="L97" s="8">
        <v>1</v>
      </c>
      <c r="M97" s="8">
        <f t="shared" ca="1" si="23"/>
        <v>129</v>
      </c>
      <c r="N97" s="8">
        <f t="shared" ca="1" si="24"/>
        <v>50026</v>
      </c>
      <c r="O97" s="8">
        <v>1</v>
      </c>
      <c r="P97" s="8">
        <f t="shared" ca="1" si="25"/>
        <v>88</v>
      </c>
      <c r="Q97" s="8">
        <f t="shared" ca="1" si="26"/>
        <v>50012</v>
      </c>
      <c r="R97" s="8">
        <v>1</v>
      </c>
      <c r="S97" s="8">
        <f t="shared" ca="1" si="27"/>
        <v>55</v>
      </c>
      <c r="T97" s="8">
        <f t="shared" ca="1" si="28"/>
        <v>50034</v>
      </c>
      <c r="U97" s="8">
        <v>1</v>
      </c>
      <c r="V97" s="8">
        <f t="shared" ca="1" si="29"/>
        <v>5</v>
      </c>
      <c r="W97" s="7">
        <f t="shared" ca="1" si="30"/>
        <v>160</v>
      </c>
    </row>
    <row r="98" spans="5:23" x14ac:dyDescent="0.15">
      <c r="E98" s="7">
        <v>94</v>
      </c>
      <c r="F98" s="7">
        <v>8</v>
      </c>
      <c r="G98" s="8">
        <v>1904</v>
      </c>
      <c r="H98" s="8">
        <f t="shared" si="20"/>
        <v>50034</v>
      </c>
      <c r="I98" s="8">
        <v>1</v>
      </c>
      <c r="J98" s="8">
        <f t="shared" si="21"/>
        <v>5</v>
      </c>
      <c r="K98" s="8">
        <f t="shared" ca="1" si="22"/>
        <v>50002</v>
      </c>
      <c r="L98" s="8">
        <v>1</v>
      </c>
      <c r="M98" s="8">
        <f t="shared" ca="1" si="23"/>
        <v>129</v>
      </c>
      <c r="N98" s="8">
        <f t="shared" ca="1" si="24"/>
        <v>50002</v>
      </c>
      <c r="O98" s="8">
        <v>1</v>
      </c>
      <c r="P98" s="8">
        <f t="shared" ca="1" si="25"/>
        <v>129</v>
      </c>
      <c r="Q98" s="8">
        <f t="shared" ca="1" si="26"/>
        <v>50012</v>
      </c>
      <c r="R98" s="8">
        <v>1</v>
      </c>
      <c r="S98" s="8">
        <f t="shared" ca="1" si="27"/>
        <v>55</v>
      </c>
      <c r="T98" s="8">
        <f t="shared" ca="1" si="28"/>
        <v>50034</v>
      </c>
      <c r="U98" s="8">
        <v>1</v>
      </c>
      <c r="V98" s="8">
        <f t="shared" ca="1" si="29"/>
        <v>5</v>
      </c>
      <c r="W98" s="7">
        <f t="shared" ca="1" si="30"/>
        <v>110</v>
      </c>
    </row>
    <row r="99" spans="5:23" x14ac:dyDescent="0.15">
      <c r="E99" s="7">
        <v>95</v>
      </c>
      <c r="F99" s="7">
        <v>8</v>
      </c>
      <c r="G99" s="8">
        <v>1905</v>
      </c>
      <c r="H99" s="8">
        <f t="shared" si="20"/>
        <v>50001</v>
      </c>
      <c r="I99" s="8">
        <v>1</v>
      </c>
      <c r="J99" s="8">
        <f t="shared" si="21"/>
        <v>181</v>
      </c>
      <c r="K99" s="8">
        <f t="shared" ca="1" si="22"/>
        <v>50001</v>
      </c>
      <c r="L99" s="8">
        <v>1</v>
      </c>
      <c r="M99" s="8">
        <f t="shared" ca="1" si="23"/>
        <v>181</v>
      </c>
      <c r="N99" s="8">
        <f t="shared" ca="1" si="24"/>
        <v>50023</v>
      </c>
      <c r="O99" s="8">
        <v>1</v>
      </c>
      <c r="P99" s="8">
        <f t="shared" ca="1" si="25"/>
        <v>88</v>
      </c>
      <c r="Q99" s="8">
        <f t="shared" ca="1" si="26"/>
        <v>50008</v>
      </c>
      <c r="R99" s="8">
        <v>1</v>
      </c>
      <c r="S99" s="8">
        <f t="shared" ca="1" si="27"/>
        <v>55</v>
      </c>
      <c r="T99" s="8">
        <f t="shared" ca="1" si="28"/>
        <v>50038</v>
      </c>
      <c r="U99" s="8">
        <v>1</v>
      </c>
      <c r="V99" s="8">
        <f t="shared" ca="1" si="29"/>
        <v>32</v>
      </c>
      <c r="W99" s="7">
        <f t="shared" ca="1" si="30"/>
        <v>80</v>
      </c>
    </row>
    <row r="100" spans="5:23" x14ac:dyDescent="0.15">
      <c r="E100" s="7">
        <v>96</v>
      </c>
      <c r="F100" s="7">
        <v>8</v>
      </c>
      <c r="G100" s="8">
        <v>2001</v>
      </c>
      <c r="H100" s="8">
        <f t="shared" si="20"/>
        <v>50005</v>
      </c>
      <c r="I100" s="8">
        <v>1</v>
      </c>
      <c r="J100" s="8">
        <f t="shared" si="21"/>
        <v>181</v>
      </c>
      <c r="K100" s="8">
        <f t="shared" ca="1" si="22"/>
        <v>50010</v>
      </c>
      <c r="L100" s="8">
        <v>1</v>
      </c>
      <c r="M100" s="8">
        <f t="shared" ca="1" si="23"/>
        <v>129</v>
      </c>
      <c r="N100" s="8">
        <f t="shared" ca="1" si="24"/>
        <v>50025</v>
      </c>
      <c r="O100" s="8">
        <v>1</v>
      </c>
      <c r="P100" s="8">
        <f t="shared" ca="1" si="25"/>
        <v>88</v>
      </c>
      <c r="Q100" s="8">
        <f t="shared" ca="1" si="26"/>
        <v>50039</v>
      </c>
      <c r="R100" s="8">
        <v>1</v>
      </c>
      <c r="S100" s="8">
        <f t="shared" ca="1" si="27"/>
        <v>32</v>
      </c>
      <c r="T100" s="8">
        <f t="shared" ca="1" si="28"/>
        <v>50034</v>
      </c>
      <c r="U100" s="8">
        <v>1</v>
      </c>
      <c r="V100" s="8">
        <f t="shared" ca="1" si="29"/>
        <v>5</v>
      </c>
      <c r="W100" s="7">
        <f t="shared" ca="1" si="30"/>
        <v>90</v>
      </c>
    </row>
    <row r="101" spans="5:23" x14ac:dyDescent="0.15">
      <c r="E101" s="7">
        <v>97</v>
      </c>
      <c r="F101" s="7">
        <v>8</v>
      </c>
      <c r="G101" s="8">
        <v>2002</v>
      </c>
      <c r="H101" s="8">
        <f t="shared" si="20"/>
        <v>50009</v>
      </c>
      <c r="I101" s="8">
        <v>1</v>
      </c>
      <c r="J101" s="8">
        <f t="shared" ref="J101:J132" si="31">VLOOKUP(H101,marking,9,FALSE)</f>
        <v>181</v>
      </c>
      <c r="K101" s="8">
        <f t="shared" ref="K101:K132" ca="1" si="32">IF(K$2&gt;$F101,VLOOKUP(INT(RAND()*(VLOOKUP($F101,test2,2,FALSE)-1)+1),test3,4,FALSE),VLOOKUP(INT(RAND()*(13-1)+1),test3,4,FALSE))</f>
        <v>50031</v>
      </c>
      <c r="L101" s="8">
        <v>1</v>
      </c>
      <c r="M101" s="8">
        <f t="shared" ref="M101:M132" ca="1" si="33">VLOOKUP(K101,marking,9,FALSE)</f>
        <v>181</v>
      </c>
      <c r="N101" s="8">
        <f t="shared" ref="N101:N132" ca="1" si="34">IF(N$2&gt;$F101,VLOOKUP(INT(RAND()*(VLOOKUP($F101,test2,2,FALSE)-1)+1),test3,4,FALSE),VLOOKUP(INT(RAND()*(38-8)+8),test3,4,FALSE))</f>
        <v>50023</v>
      </c>
      <c r="O101" s="8">
        <v>1</v>
      </c>
      <c r="P101" s="8">
        <f t="shared" ref="P101:P132" ca="1" si="35">VLOOKUP(N101,marking,9,FALSE)</f>
        <v>88</v>
      </c>
      <c r="Q101" s="8">
        <f t="shared" ref="Q101:Q132" ca="1" si="36">IF(Q$2&gt;$F101,VLOOKUP(INT(RAND()*(VLOOKUP($F101,test2,2,FALSE)-1)+1),test3,4,FALSE),VLOOKUP(INT(RAND()*(47-38)+38),test3,4,FALSE))</f>
        <v>50008</v>
      </c>
      <c r="R101" s="8">
        <v>1</v>
      </c>
      <c r="S101" s="8">
        <f t="shared" ref="S101:S132" ca="1" si="37">VLOOKUP(Q101,marking,9,FALSE)</f>
        <v>55</v>
      </c>
      <c r="T101" s="8">
        <f t="shared" ref="T101:T132" ca="1" si="38">IF(T$2&gt;$F101,VLOOKUP(INT(RAND()*(VLOOKUP($F101,test2,2,FALSE)-1)+1),test3,4,FALSE),VLOOKUP(INT(RAND()*(48-41)+41),test3,4,FALSE))</f>
        <v>50037</v>
      </c>
      <c r="U101" s="8">
        <v>1</v>
      </c>
      <c r="V101" s="8">
        <f t="shared" ref="V101:V132" ca="1" si="39">VLOOKUP(T101,marking,9,FALSE)</f>
        <v>32</v>
      </c>
      <c r="W101" s="7">
        <f t="shared" ref="W101:W132" ca="1" si="40">(ROUND((VLOOKUP(H101,marking,10,FALSE)*J101+VLOOKUP(K101,marking,10,FALSE)*M101+VLOOKUP(N101,marking,10,FALSE)*P101+VLOOKUP(Q101,marking,10,FALSE)*S101+VLOOKUP(T101,marking,10,FALSE)*V101)/(J101+M101+P101+S101+V101),0))*10</f>
        <v>80</v>
      </c>
    </row>
    <row r="102" spans="5:23" x14ac:dyDescent="0.15">
      <c r="E102" s="7">
        <v>98</v>
      </c>
      <c r="F102" s="7">
        <v>8</v>
      </c>
      <c r="G102" s="8">
        <v>2003</v>
      </c>
      <c r="H102" s="8">
        <f t="shared" si="20"/>
        <v>50013</v>
      </c>
      <c r="I102" s="8">
        <v>1</v>
      </c>
      <c r="J102" s="8">
        <f t="shared" si="31"/>
        <v>181</v>
      </c>
      <c r="K102" s="8">
        <f t="shared" ca="1" si="32"/>
        <v>50006</v>
      </c>
      <c r="L102" s="8">
        <v>1</v>
      </c>
      <c r="M102" s="8">
        <f t="shared" ca="1" si="33"/>
        <v>129</v>
      </c>
      <c r="N102" s="8">
        <f t="shared" ca="1" si="34"/>
        <v>50018</v>
      </c>
      <c r="O102" s="8">
        <v>1</v>
      </c>
      <c r="P102" s="8">
        <f t="shared" ca="1" si="35"/>
        <v>88</v>
      </c>
      <c r="Q102" s="8">
        <f t="shared" ca="1" si="36"/>
        <v>50038</v>
      </c>
      <c r="R102" s="8">
        <v>1</v>
      </c>
      <c r="S102" s="8">
        <f t="shared" ca="1" si="37"/>
        <v>32</v>
      </c>
      <c r="T102" s="8">
        <f t="shared" ca="1" si="38"/>
        <v>50033</v>
      </c>
      <c r="U102" s="8">
        <v>1</v>
      </c>
      <c r="V102" s="8">
        <f t="shared" ca="1" si="39"/>
        <v>32</v>
      </c>
      <c r="W102" s="7">
        <f t="shared" ca="1" si="40"/>
        <v>100</v>
      </c>
    </row>
    <row r="103" spans="5:23" x14ac:dyDescent="0.15">
      <c r="E103" s="7">
        <v>99</v>
      </c>
      <c r="F103" s="7">
        <v>8</v>
      </c>
      <c r="G103" s="8">
        <v>2004</v>
      </c>
      <c r="H103" s="8">
        <f t="shared" si="20"/>
        <v>50015</v>
      </c>
      <c r="I103" s="8">
        <v>1</v>
      </c>
      <c r="J103" s="8">
        <f t="shared" si="31"/>
        <v>181</v>
      </c>
      <c r="K103" s="8">
        <f t="shared" ca="1" si="32"/>
        <v>50005</v>
      </c>
      <c r="L103" s="8">
        <v>1</v>
      </c>
      <c r="M103" s="8">
        <f t="shared" ca="1" si="33"/>
        <v>181</v>
      </c>
      <c r="N103" s="8">
        <f t="shared" ca="1" si="34"/>
        <v>50027</v>
      </c>
      <c r="O103" s="8">
        <v>1</v>
      </c>
      <c r="P103" s="8">
        <f t="shared" ca="1" si="35"/>
        <v>88</v>
      </c>
      <c r="Q103" s="8">
        <f t="shared" ca="1" si="36"/>
        <v>50012</v>
      </c>
      <c r="R103" s="8">
        <v>1</v>
      </c>
      <c r="S103" s="8">
        <f t="shared" ca="1" si="37"/>
        <v>55</v>
      </c>
      <c r="T103" s="8">
        <f t="shared" ca="1" si="38"/>
        <v>50017</v>
      </c>
      <c r="U103" s="8">
        <v>1</v>
      </c>
      <c r="V103" s="8">
        <f t="shared" ca="1" si="39"/>
        <v>32</v>
      </c>
      <c r="W103" s="7">
        <f t="shared" ca="1" si="40"/>
        <v>80</v>
      </c>
    </row>
    <row r="104" spans="5:23" x14ac:dyDescent="0.15">
      <c r="E104" s="7">
        <v>100</v>
      </c>
      <c r="F104" s="7">
        <v>8</v>
      </c>
      <c r="G104" s="8">
        <v>2005</v>
      </c>
      <c r="H104" s="8">
        <f t="shared" si="20"/>
        <v>50031</v>
      </c>
      <c r="I104" s="8">
        <v>1</v>
      </c>
      <c r="J104" s="8">
        <f t="shared" si="31"/>
        <v>181</v>
      </c>
      <c r="K104" s="8">
        <f t="shared" ca="1" si="32"/>
        <v>50035</v>
      </c>
      <c r="L104" s="8">
        <v>1</v>
      </c>
      <c r="M104" s="8">
        <f t="shared" ca="1" si="33"/>
        <v>181</v>
      </c>
      <c r="N104" s="8">
        <f t="shared" ca="1" si="34"/>
        <v>50010</v>
      </c>
      <c r="O104" s="8">
        <v>1</v>
      </c>
      <c r="P104" s="8">
        <f t="shared" ca="1" si="35"/>
        <v>129</v>
      </c>
      <c r="Q104" s="8">
        <f t="shared" ca="1" si="36"/>
        <v>50017</v>
      </c>
      <c r="R104" s="8">
        <v>1</v>
      </c>
      <c r="S104" s="8">
        <f t="shared" ca="1" si="37"/>
        <v>32</v>
      </c>
      <c r="T104" s="8">
        <f t="shared" ca="1" si="38"/>
        <v>50033</v>
      </c>
      <c r="U104" s="8">
        <v>1</v>
      </c>
      <c r="V104" s="8">
        <f t="shared" ca="1" si="39"/>
        <v>32</v>
      </c>
      <c r="W104" s="7">
        <f t="shared" ca="1" si="40"/>
        <v>70</v>
      </c>
    </row>
    <row r="105" spans="5:23" x14ac:dyDescent="0.15">
      <c r="E105" s="7">
        <v>101</v>
      </c>
      <c r="F105" s="7">
        <v>8</v>
      </c>
      <c r="G105" s="8">
        <v>2101</v>
      </c>
      <c r="H105" s="8">
        <f t="shared" si="20"/>
        <v>50035</v>
      </c>
      <c r="I105" s="8">
        <v>1</v>
      </c>
      <c r="J105" s="8">
        <f t="shared" si="31"/>
        <v>181</v>
      </c>
      <c r="K105" s="8">
        <f t="shared" ca="1" si="32"/>
        <v>50088</v>
      </c>
      <c r="L105" s="8">
        <v>1</v>
      </c>
      <c r="M105" s="8">
        <f t="shared" ca="1" si="33"/>
        <v>129</v>
      </c>
      <c r="N105" s="8">
        <f t="shared" ca="1" si="34"/>
        <v>50023</v>
      </c>
      <c r="O105" s="8">
        <v>1</v>
      </c>
      <c r="P105" s="8">
        <f t="shared" ca="1" si="35"/>
        <v>88</v>
      </c>
      <c r="Q105" s="8">
        <f t="shared" ca="1" si="36"/>
        <v>50017</v>
      </c>
      <c r="R105" s="8">
        <v>1</v>
      </c>
      <c r="S105" s="8">
        <f t="shared" ca="1" si="37"/>
        <v>32</v>
      </c>
      <c r="T105" s="8">
        <f t="shared" ca="1" si="38"/>
        <v>50039</v>
      </c>
      <c r="U105" s="8">
        <v>1</v>
      </c>
      <c r="V105" s="8">
        <f t="shared" ca="1" si="39"/>
        <v>32</v>
      </c>
      <c r="W105" s="7">
        <f t="shared" ca="1" si="40"/>
        <v>100</v>
      </c>
    </row>
    <row r="106" spans="5:23" x14ac:dyDescent="0.15">
      <c r="E106" s="7">
        <v>102</v>
      </c>
      <c r="F106" s="7">
        <v>8</v>
      </c>
      <c r="G106" s="8">
        <v>2102</v>
      </c>
      <c r="H106" s="8">
        <f t="shared" si="20"/>
        <v>50002</v>
      </c>
      <c r="I106" s="8">
        <v>1</v>
      </c>
      <c r="J106" s="8">
        <f t="shared" si="31"/>
        <v>129</v>
      </c>
      <c r="K106" s="8">
        <f t="shared" ca="1" si="32"/>
        <v>50006</v>
      </c>
      <c r="L106" s="8">
        <v>1</v>
      </c>
      <c r="M106" s="8">
        <f t="shared" ca="1" si="33"/>
        <v>129</v>
      </c>
      <c r="N106" s="8">
        <f t="shared" ca="1" si="34"/>
        <v>50010</v>
      </c>
      <c r="O106" s="8">
        <v>1</v>
      </c>
      <c r="P106" s="8">
        <f t="shared" ca="1" si="35"/>
        <v>129</v>
      </c>
      <c r="Q106" s="8">
        <f t="shared" ca="1" si="36"/>
        <v>50040</v>
      </c>
      <c r="R106" s="8">
        <v>1</v>
      </c>
      <c r="S106" s="8">
        <f t="shared" ca="1" si="37"/>
        <v>32</v>
      </c>
      <c r="T106" s="8">
        <f t="shared" ca="1" si="38"/>
        <v>50040</v>
      </c>
      <c r="U106" s="8">
        <v>1</v>
      </c>
      <c r="V106" s="8">
        <f t="shared" ca="1" si="39"/>
        <v>32</v>
      </c>
      <c r="W106" s="7">
        <f t="shared" ca="1" si="40"/>
        <v>100</v>
      </c>
    </row>
    <row r="107" spans="5:23" x14ac:dyDescent="0.15">
      <c r="E107" s="7">
        <v>103</v>
      </c>
      <c r="F107" s="7">
        <v>8</v>
      </c>
      <c r="G107" s="8">
        <v>2103</v>
      </c>
      <c r="H107" s="8">
        <f t="shared" si="20"/>
        <v>50006</v>
      </c>
      <c r="I107" s="8">
        <v>1</v>
      </c>
      <c r="J107" s="8">
        <f t="shared" si="31"/>
        <v>129</v>
      </c>
      <c r="K107" s="8">
        <f t="shared" ca="1" si="32"/>
        <v>50005</v>
      </c>
      <c r="L107" s="8">
        <v>1</v>
      </c>
      <c r="M107" s="8">
        <f t="shared" ca="1" si="33"/>
        <v>181</v>
      </c>
      <c r="N107" s="8">
        <f t="shared" ca="1" si="34"/>
        <v>50087</v>
      </c>
      <c r="O107" s="8">
        <v>1</v>
      </c>
      <c r="P107" s="8">
        <f t="shared" ca="1" si="35"/>
        <v>129</v>
      </c>
      <c r="Q107" s="8">
        <f t="shared" ca="1" si="36"/>
        <v>50037</v>
      </c>
      <c r="R107" s="8">
        <v>1</v>
      </c>
      <c r="S107" s="8">
        <f t="shared" ca="1" si="37"/>
        <v>32</v>
      </c>
      <c r="T107" s="8">
        <f t="shared" ca="1" si="38"/>
        <v>50039</v>
      </c>
      <c r="U107" s="8">
        <v>1</v>
      </c>
      <c r="V107" s="8">
        <f t="shared" ca="1" si="39"/>
        <v>32</v>
      </c>
      <c r="W107" s="7">
        <f t="shared" ca="1" si="40"/>
        <v>80</v>
      </c>
    </row>
    <row r="108" spans="5:23" x14ac:dyDescent="0.15">
      <c r="E108" s="7">
        <v>104</v>
      </c>
      <c r="F108" s="7">
        <v>8</v>
      </c>
      <c r="G108" s="8">
        <v>2104</v>
      </c>
      <c r="H108" s="8">
        <f t="shared" si="20"/>
        <v>50010</v>
      </c>
      <c r="I108" s="8">
        <v>1</v>
      </c>
      <c r="J108" s="8">
        <f t="shared" si="31"/>
        <v>129</v>
      </c>
      <c r="K108" s="8">
        <f t="shared" ca="1" si="32"/>
        <v>50087</v>
      </c>
      <c r="L108" s="8">
        <v>1</v>
      </c>
      <c r="M108" s="8">
        <f t="shared" ca="1" si="33"/>
        <v>129</v>
      </c>
      <c r="N108" s="8">
        <f t="shared" ca="1" si="34"/>
        <v>50174</v>
      </c>
      <c r="O108" s="8">
        <v>1</v>
      </c>
      <c r="P108" s="8">
        <f t="shared" ca="1" si="35"/>
        <v>88</v>
      </c>
      <c r="Q108" s="8">
        <f t="shared" ca="1" si="36"/>
        <v>50012</v>
      </c>
      <c r="R108" s="8">
        <v>1</v>
      </c>
      <c r="S108" s="8">
        <f t="shared" ca="1" si="37"/>
        <v>55</v>
      </c>
      <c r="T108" s="8">
        <f t="shared" ca="1" si="38"/>
        <v>50038</v>
      </c>
      <c r="U108" s="8">
        <v>1</v>
      </c>
      <c r="V108" s="8">
        <f t="shared" ca="1" si="39"/>
        <v>32</v>
      </c>
      <c r="W108" s="7">
        <f t="shared" ca="1" si="40"/>
        <v>120</v>
      </c>
    </row>
    <row r="109" spans="5:23" x14ac:dyDescent="0.15">
      <c r="E109" s="7">
        <v>105</v>
      </c>
      <c r="F109" s="7">
        <v>8</v>
      </c>
      <c r="G109" s="8">
        <v>2105</v>
      </c>
      <c r="H109" s="8">
        <f t="shared" si="20"/>
        <v>50087</v>
      </c>
      <c r="I109" s="8">
        <v>1</v>
      </c>
      <c r="J109" s="8">
        <f t="shared" si="31"/>
        <v>129</v>
      </c>
      <c r="K109" s="8">
        <f t="shared" ca="1" si="32"/>
        <v>50010</v>
      </c>
      <c r="L109" s="8">
        <v>1</v>
      </c>
      <c r="M109" s="8">
        <f t="shared" ca="1" si="33"/>
        <v>129</v>
      </c>
      <c r="N109" s="8">
        <f t="shared" ca="1" si="34"/>
        <v>50022</v>
      </c>
      <c r="O109" s="8">
        <v>1</v>
      </c>
      <c r="P109" s="8">
        <f t="shared" ca="1" si="35"/>
        <v>88</v>
      </c>
      <c r="Q109" s="8">
        <f t="shared" ca="1" si="36"/>
        <v>50012</v>
      </c>
      <c r="R109" s="8">
        <v>1</v>
      </c>
      <c r="S109" s="8">
        <f t="shared" ca="1" si="37"/>
        <v>55</v>
      </c>
      <c r="T109" s="8">
        <f t="shared" ca="1" si="38"/>
        <v>50034</v>
      </c>
      <c r="U109" s="8">
        <v>1</v>
      </c>
      <c r="V109" s="8">
        <f t="shared" ca="1" si="39"/>
        <v>5</v>
      </c>
      <c r="W109" s="7">
        <f t="shared" ca="1" si="40"/>
        <v>110</v>
      </c>
    </row>
    <row r="110" spans="5:23" x14ac:dyDescent="0.15">
      <c r="E110" s="7">
        <v>106</v>
      </c>
      <c r="F110" s="7">
        <v>8</v>
      </c>
      <c r="G110" s="8">
        <v>2201</v>
      </c>
      <c r="H110" s="8">
        <f t="shared" si="20"/>
        <v>50088</v>
      </c>
      <c r="I110" s="8">
        <v>1</v>
      </c>
      <c r="J110" s="8">
        <f t="shared" si="31"/>
        <v>129</v>
      </c>
      <c r="K110" s="8">
        <f t="shared" ca="1" si="32"/>
        <v>50088</v>
      </c>
      <c r="L110" s="8">
        <v>1</v>
      </c>
      <c r="M110" s="8">
        <f t="shared" ca="1" si="33"/>
        <v>129</v>
      </c>
      <c r="N110" s="8">
        <f t="shared" ca="1" si="34"/>
        <v>50029</v>
      </c>
      <c r="O110" s="8">
        <v>1</v>
      </c>
      <c r="P110" s="8">
        <f t="shared" ca="1" si="35"/>
        <v>88</v>
      </c>
      <c r="Q110" s="8">
        <f t="shared" ca="1" si="36"/>
        <v>50040</v>
      </c>
      <c r="R110" s="8">
        <v>1</v>
      </c>
      <c r="S110" s="8">
        <f t="shared" ca="1" si="37"/>
        <v>32</v>
      </c>
      <c r="T110" s="8">
        <f t="shared" ca="1" si="38"/>
        <v>50037</v>
      </c>
      <c r="U110" s="8">
        <v>1</v>
      </c>
      <c r="V110" s="8">
        <f t="shared" ca="1" si="39"/>
        <v>32</v>
      </c>
      <c r="W110" s="7">
        <f t="shared" ca="1" si="40"/>
        <v>130</v>
      </c>
    </row>
    <row r="111" spans="5:23" x14ac:dyDescent="0.15">
      <c r="E111" s="7">
        <v>107</v>
      </c>
      <c r="F111" s="7">
        <v>8</v>
      </c>
      <c r="G111" s="8">
        <v>2202</v>
      </c>
      <c r="H111" s="8">
        <f t="shared" si="20"/>
        <v>50003</v>
      </c>
      <c r="I111" s="8">
        <v>1</v>
      </c>
      <c r="J111" s="8">
        <f t="shared" si="31"/>
        <v>88</v>
      </c>
      <c r="K111" s="8">
        <f t="shared" ca="1" si="32"/>
        <v>50002</v>
      </c>
      <c r="L111" s="8">
        <v>1</v>
      </c>
      <c r="M111" s="8">
        <f t="shared" ca="1" si="33"/>
        <v>129</v>
      </c>
      <c r="N111" s="8">
        <f t="shared" ca="1" si="34"/>
        <v>50003</v>
      </c>
      <c r="O111" s="8">
        <v>1</v>
      </c>
      <c r="P111" s="8">
        <f t="shared" ca="1" si="35"/>
        <v>88</v>
      </c>
      <c r="Q111" s="8">
        <f t="shared" ca="1" si="36"/>
        <v>50040</v>
      </c>
      <c r="R111" s="8">
        <v>1</v>
      </c>
      <c r="S111" s="8">
        <f t="shared" ca="1" si="37"/>
        <v>32</v>
      </c>
      <c r="T111" s="8">
        <f t="shared" ca="1" si="38"/>
        <v>50038</v>
      </c>
      <c r="U111" s="8">
        <v>1</v>
      </c>
      <c r="V111" s="8">
        <f t="shared" ca="1" si="39"/>
        <v>32</v>
      </c>
      <c r="W111" s="7">
        <f t="shared" ca="1" si="40"/>
        <v>150</v>
      </c>
    </row>
    <row r="112" spans="5:23" x14ac:dyDescent="0.15">
      <c r="E112" s="7">
        <v>108</v>
      </c>
      <c r="F112" s="7">
        <v>8</v>
      </c>
      <c r="G112" s="8">
        <v>2203</v>
      </c>
      <c r="H112" s="8">
        <f t="shared" si="20"/>
        <v>50007</v>
      </c>
      <c r="I112" s="8">
        <v>1</v>
      </c>
      <c r="J112" s="8">
        <f t="shared" si="31"/>
        <v>88</v>
      </c>
      <c r="K112" s="8">
        <f t="shared" ca="1" si="32"/>
        <v>50015</v>
      </c>
      <c r="L112" s="8">
        <v>1</v>
      </c>
      <c r="M112" s="8">
        <f t="shared" ca="1" si="33"/>
        <v>181</v>
      </c>
      <c r="N112" s="8">
        <f t="shared" ca="1" si="34"/>
        <v>50002</v>
      </c>
      <c r="O112" s="8">
        <v>1</v>
      </c>
      <c r="P112" s="8">
        <f t="shared" ca="1" si="35"/>
        <v>129</v>
      </c>
      <c r="Q112" s="8">
        <f t="shared" ca="1" si="36"/>
        <v>50037</v>
      </c>
      <c r="R112" s="8">
        <v>1</v>
      </c>
      <c r="S112" s="8">
        <f t="shared" ca="1" si="37"/>
        <v>32</v>
      </c>
      <c r="T112" s="8">
        <f t="shared" ca="1" si="38"/>
        <v>50039</v>
      </c>
      <c r="U112" s="8">
        <v>1</v>
      </c>
      <c r="V112" s="8">
        <f t="shared" ca="1" si="39"/>
        <v>32</v>
      </c>
      <c r="W112" s="7">
        <f t="shared" ca="1" si="40"/>
        <v>100</v>
      </c>
    </row>
    <row r="113" spans="5:23" x14ac:dyDescent="0.15">
      <c r="E113" s="7">
        <v>109</v>
      </c>
      <c r="F113" s="7">
        <v>8</v>
      </c>
      <c r="G113" s="8">
        <v>2204</v>
      </c>
      <c r="H113" s="8">
        <f t="shared" si="20"/>
        <v>50011</v>
      </c>
      <c r="I113" s="8">
        <v>1</v>
      </c>
      <c r="J113" s="8">
        <f t="shared" si="31"/>
        <v>88</v>
      </c>
      <c r="K113" s="8">
        <f t="shared" ca="1" si="32"/>
        <v>50001</v>
      </c>
      <c r="L113" s="8">
        <v>1</v>
      </c>
      <c r="M113" s="8">
        <f t="shared" ca="1" si="33"/>
        <v>181</v>
      </c>
      <c r="N113" s="8">
        <f t="shared" ca="1" si="34"/>
        <v>50088</v>
      </c>
      <c r="O113" s="8">
        <v>1</v>
      </c>
      <c r="P113" s="8">
        <f t="shared" ca="1" si="35"/>
        <v>129</v>
      </c>
      <c r="Q113" s="8">
        <f t="shared" ca="1" si="36"/>
        <v>50017</v>
      </c>
      <c r="R113" s="8">
        <v>1</v>
      </c>
      <c r="S113" s="8">
        <f t="shared" ca="1" si="37"/>
        <v>32</v>
      </c>
      <c r="T113" s="8">
        <f t="shared" ca="1" si="38"/>
        <v>50033</v>
      </c>
      <c r="U113" s="8">
        <v>1</v>
      </c>
      <c r="V113" s="8">
        <f t="shared" ca="1" si="39"/>
        <v>32</v>
      </c>
      <c r="W113" s="7">
        <f t="shared" ca="1" si="40"/>
        <v>100</v>
      </c>
    </row>
    <row r="114" spans="5:23" x14ac:dyDescent="0.15">
      <c r="E114" s="7">
        <v>110</v>
      </c>
      <c r="F114" s="7">
        <v>8</v>
      </c>
      <c r="G114" s="8">
        <v>2205</v>
      </c>
      <c r="H114" s="8">
        <f t="shared" si="20"/>
        <v>50014</v>
      </c>
      <c r="I114" s="8">
        <v>1</v>
      </c>
      <c r="J114" s="8">
        <f t="shared" si="31"/>
        <v>88</v>
      </c>
      <c r="K114" s="8">
        <f t="shared" ca="1" si="32"/>
        <v>50015</v>
      </c>
      <c r="L114" s="8">
        <v>1</v>
      </c>
      <c r="M114" s="8">
        <f t="shared" ca="1" si="33"/>
        <v>181</v>
      </c>
      <c r="N114" s="8">
        <f t="shared" ca="1" si="34"/>
        <v>50030</v>
      </c>
      <c r="O114" s="8">
        <v>1</v>
      </c>
      <c r="P114" s="8">
        <f t="shared" ca="1" si="35"/>
        <v>88</v>
      </c>
      <c r="Q114" s="8">
        <f t="shared" ca="1" si="36"/>
        <v>50033</v>
      </c>
      <c r="R114" s="8">
        <v>1</v>
      </c>
      <c r="S114" s="8">
        <f t="shared" ca="1" si="37"/>
        <v>32</v>
      </c>
      <c r="T114" s="8">
        <f t="shared" ca="1" si="38"/>
        <v>50039</v>
      </c>
      <c r="U114" s="8">
        <v>1</v>
      </c>
      <c r="V114" s="8">
        <f t="shared" ca="1" si="39"/>
        <v>32</v>
      </c>
      <c r="W114" s="7">
        <f t="shared" ca="1" si="40"/>
        <v>120</v>
      </c>
    </row>
    <row r="115" spans="5:23" x14ac:dyDescent="0.15">
      <c r="E115" s="7">
        <v>111</v>
      </c>
      <c r="F115" s="7">
        <v>8</v>
      </c>
      <c r="G115" s="8">
        <v>2301</v>
      </c>
      <c r="H115" s="8">
        <f t="shared" si="20"/>
        <v>50016</v>
      </c>
      <c r="I115" s="8">
        <v>1</v>
      </c>
      <c r="J115" s="8">
        <f t="shared" si="31"/>
        <v>88</v>
      </c>
      <c r="K115" s="8">
        <f t="shared" ca="1" si="32"/>
        <v>50001</v>
      </c>
      <c r="L115" s="8">
        <v>1</v>
      </c>
      <c r="M115" s="8">
        <f t="shared" ca="1" si="33"/>
        <v>181</v>
      </c>
      <c r="N115" s="8">
        <f t="shared" ca="1" si="34"/>
        <v>50020</v>
      </c>
      <c r="O115" s="8">
        <v>1</v>
      </c>
      <c r="P115" s="8">
        <f t="shared" ca="1" si="35"/>
        <v>88</v>
      </c>
      <c r="Q115" s="8">
        <f t="shared" ca="1" si="36"/>
        <v>50037</v>
      </c>
      <c r="R115" s="8">
        <v>1</v>
      </c>
      <c r="S115" s="8">
        <f t="shared" ca="1" si="37"/>
        <v>32</v>
      </c>
      <c r="T115" s="8">
        <f t="shared" ca="1" si="38"/>
        <v>50017</v>
      </c>
      <c r="U115" s="8">
        <v>1</v>
      </c>
      <c r="V115" s="8">
        <f t="shared" ca="1" si="39"/>
        <v>32</v>
      </c>
      <c r="W115" s="7">
        <f t="shared" ca="1" si="40"/>
        <v>120</v>
      </c>
    </row>
    <row r="116" spans="5:23" x14ac:dyDescent="0.15">
      <c r="E116" s="7">
        <v>112</v>
      </c>
      <c r="F116" s="7">
        <v>8</v>
      </c>
      <c r="G116" s="8">
        <v>2302</v>
      </c>
      <c r="H116" s="8">
        <f t="shared" si="20"/>
        <v>50018</v>
      </c>
      <c r="I116" s="8">
        <v>1</v>
      </c>
      <c r="J116" s="8">
        <f t="shared" si="31"/>
        <v>88</v>
      </c>
      <c r="K116" s="8">
        <f t="shared" ca="1" si="32"/>
        <v>50015</v>
      </c>
      <c r="L116" s="8">
        <v>1</v>
      </c>
      <c r="M116" s="8">
        <f t="shared" ca="1" si="33"/>
        <v>181</v>
      </c>
      <c r="N116" s="8">
        <f t="shared" ca="1" si="34"/>
        <v>50173</v>
      </c>
      <c r="O116" s="8">
        <v>1</v>
      </c>
      <c r="P116" s="8">
        <f t="shared" ca="1" si="35"/>
        <v>88</v>
      </c>
      <c r="Q116" s="8">
        <f t="shared" ca="1" si="36"/>
        <v>50017</v>
      </c>
      <c r="R116" s="8">
        <v>1</v>
      </c>
      <c r="S116" s="8">
        <f t="shared" ca="1" si="37"/>
        <v>32</v>
      </c>
      <c r="T116" s="8">
        <f t="shared" ca="1" si="38"/>
        <v>50040</v>
      </c>
      <c r="U116" s="8">
        <v>1</v>
      </c>
      <c r="V116" s="8">
        <f t="shared" ca="1" si="39"/>
        <v>32</v>
      </c>
      <c r="W116" s="7">
        <f t="shared" ca="1" si="40"/>
        <v>120</v>
      </c>
    </row>
    <row r="117" spans="5:23" x14ac:dyDescent="0.15">
      <c r="E117" s="7">
        <v>113</v>
      </c>
      <c r="F117" s="7">
        <v>8</v>
      </c>
      <c r="G117" s="8">
        <v>2303</v>
      </c>
      <c r="H117" s="8">
        <f t="shared" ref="H117:H144" si="41">H70</f>
        <v>50019</v>
      </c>
      <c r="I117" s="8">
        <v>1</v>
      </c>
      <c r="J117" s="8">
        <f t="shared" si="31"/>
        <v>88</v>
      </c>
      <c r="K117" s="8">
        <f t="shared" ca="1" si="32"/>
        <v>50006</v>
      </c>
      <c r="L117" s="8">
        <v>1</v>
      </c>
      <c r="M117" s="8">
        <f t="shared" ca="1" si="33"/>
        <v>129</v>
      </c>
      <c r="N117" s="8">
        <f t="shared" ca="1" si="34"/>
        <v>50027</v>
      </c>
      <c r="O117" s="8">
        <v>1</v>
      </c>
      <c r="P117" s="8">
        <f t="shared" ca="1" si="35"/>
        <v>88</v>
      </c>
      <c r="Q117" s="8">
        <f t="shared" ca="1" si="36"/>
        <v>50039</v>
      </c>
      <c r="R117" s="8">
        <v>1</v>
      </c>
      <c r="S117" s="8">
        <f t="shared" ca="1" si="37"/>
        <v>32</v>
      </c>
      <c r="T117" s="8">
        <f t="shared" ca="1" si="38"/>
        <v>50034</v>
      </c>
      <c r="U117" s="8">
        <v>1</v>
      </c>
      <c r="V117" s="8">
        <f t="shared" ca="1" si="39"/>
        <v>5</v>
      </c>
      <c r="W117" s="7">
        <f t="shared" ca="1" si="40"/>
        <v>140</v>
      </c>
    </row>
    <row r="118" spans="5:23" x14ac:dyDescent="0.15">
      <c r="E118" s="7">
        <v>114</v>
      </c>
      <c r="F118" s="7">
        <v>8</v>
      </c>
      <c r="G118" s="8">
        <v>2304</v>
      </c>
      <c r="H118" s="8">
        <f t="shared" si="41"/>
        <v>50020</v>
      </c>
      <c r="I118" s="8">
        <v>1</v>
      </c>
      <c r="J118" s="8">
        <f t="shared" si="31"/>
        <v>88</v>
      </c>
      <c r="K118" s="8">
        <f t="shared" ca="1" si="32"/>
        <v>50031</v>
      </c>
      <c r="L118" s="8">
        <v>1</v>
      </c>
      <c r="M118" s="8">
        <f t="shared" ca="1" si="33"/>
        <v>181</v>
      </c>
      <c r="N118" s="8">
        <f t="shared" ca="1" si="34"/>
        <v>50087</v>
      </c>
      <c r="O118" s="8">
        <v>1</v>
      </c>
      <c r="P118" s="8">
        <f t="shared" ca="1" si="35"/>
        <v>129</v>
      </c>
      <c r="Q118" s="8">
        <f t="shared" ca="1" si="36"/>
        <v>50008</v>
      </c>
      <c r="R118" s="8">
        <v>1</v>
      </c>
      <c r="S118" s="8">
        <f t="shared" ca="1" si="37"/>
        <v>55</v>
      </c>
      <c r="T118" s="8">
        <f t="shared" ca="1" si="38"/>
        <v>50038</v>
      </c>
      <c r="U118" s="8">
        <v>1</v>
      </c>
      <c r="V118" s="8">
        <f t="shared" ca="1" si="39"/>
        <v>32</v>
      </c>
      <c r="W118" s="7">
        <f t="shared" ca="1" si="40"/>
        <v>100</v>
      </c>
    </row>
    <row r="119" spans="5:23" x14ac:dyDescent="0.15">
      <c r="E119" s="7">
        <v>115</v>
      </c>
      <c r="F119" s="7">
        <v>8</v>
      </c>
      <c r="G119" s="8">
        <v>2305</v>
      </c>
      <c r="H119" s="8">
        <f t="shared" si="41"/>
        <v>50021</v>
      </c>
      <c r="I119" s="8">
        <v>1</v>
      </c>
      <c r="J119" s="8">
        <f t="shared" si="31"/>
        <v>88</v>
      </c>
      <c r="K119" s="8">
        <f t="shared" ca="1" si="32"/>
        <v>50001</v>
      </c>
      <c r="L119" s="8">
        <v>1</v>
      </c>
      <c r="M119" s="8">
        <f t="shared" ca="1" si="33"/>
        <v>181</v>
      </c>
      <c r="N119" s="8">
        <f t="shared" ca="1" si="34"/>
        <v>50003</v>
      </c>
      <c r="O119" s="8">
        <v>1</v>
      </c>
      <c r="P119" s="8">
        <f t="shared" ca="1" si="35"/>
        <v>88</v>
      </c>
      <c r="Q119" s="8">
        <f t="shared" ca="1" si="36"/>
        <v>50039</v>
      </c>
      <c r="R119" s="8">
        <v>1</v>
      </c>
      <c r="S119" s="8">
        <f t="shared" ca="1" si="37"/>
        <v>32</v>
      </c>
      <c r="T119" s="8">
        <f t="shared" ca="1" si="38"/>
        <v>50017</v>
      </c>
      <c r="U119" s="8">
        <v>1</v>
      </c>
      <c r="V119" s="8">
        <f t="shared" ca="1" si="39"/>
        <v>32</v>
      </c>
      <c r="W119" s="7">
        <f t="shared" ca="1" si="40"/>
        <v>120</v>
      </c>
    </row>
    <row r="120" spans="5:23" x14ac:dyDescent="0.15">
      <c r="E120" s="7">
        <v>116</v>
      </c>
      <c r="F120" s="7">
        <v>8</v>
      </c>
      <c r="G120" s="8">
        <v>2401</v>
      </c>
      <c r="H120" s="8">
        <f t="shared" si="41"/>
        <v>50022</v>
      </c>
      <c r="I120" s="8">
        <v>1</v>
      </c>
      <c r="J120" s="8">
        <f t="shared" si="31"/>
        <v>88</v>
      </c>
      <c r="K120" s="8">
        <f t="shared" ca="1" si="32"/>
        <v>50002</v>
      </c>
      <c r="L120" s="8">
        <v>1</v>
      </c>
      <c r="M120" s="8">
        <f t="shared" ca="1" si="33"/>
        <v>129</v>
      </c>
      <c r="N120" s="8">
        <f t="shared" ca="1" si="34"/>
        <v>50024</v>
      </c>
      <c r="O120" s="8">
        <v>1</v>
      </c>
      <c r="P120" s="8">
        <f t="shared" ca="1" si="35"/>
        <v>88</v>
      </c>
      <c r="Q120" s="8">
        <f t="shared" ca="1" si="36"/>
        <v>50037</v>
      </c>
      <c r="R120" s="8">
        <v>1</v>
      </c>
      <c r="S120" s="8">
        <f t="shared" ca="1" si="37"/>
        <v>32</v>
      </c>
      <c r="T120" s="8">
        <f t="shared" ca="1" si="38"/>
        <v>50040</v>
      </c>
      <c r="U120" s="8">
        <v>1</v>
      </c>
      <c r="V120" s="8">
        <f t="shared" ca="1" si="39"/>
        <v>32</v>
      </c>
      <c r="W120" s="7">
        <f t="shared" ca="1" si="40"/>
        <v>150</v>
      </c>
    </row>
    <row r="121" spans="5:23" x14ac:dyDescent="0.15">
      <c r="E121" s="7">
        <v>117</v>
      </c>
      <c r="F121" s="7">
        <v>8</v>
      </c>
      <c r="G121" s="8">
        <v>2402</v>
      </c>
      <c r="H121" s="8">
        <f t="shared" si="41"/>
        <v>50023</v>
      </c>
      <c r="I121" s="8">
        <v>1</v>
      </c>
      <c r="J121" s="8">
        <f t="shared" si="31"/>
        <v>88</v>
      </c>
      <c r="K121" s="8">
        <f t="shared" ca="1" si="32"/>
        <v>50010</v>
      </c>
      <c r="L121" s="8">
        <v>1</v>
      </c>
      <c r="M121" s="8">
        <f t="shared" ca="1" si="33"/>
        <v>129</v>
      </c>
      <c r="N121" s="8">
        <f t="shared" ca="1" si="34"/>
        <v>50018</v>
      </c>
      <c r="O121" s="8">
        <v>1</v>
      </c>
      <c r="P121" s="8">
        <f t="shared" ca="1" si="35"/>
        <v>88</v>
      </c>
      <c r="Q121" s="8">
        <f t="shared" ca="1" si="36"/>
        <v>50008</v>
      </c>
      <c r="R121" s="8">
        <v>1</v>
      </c>
      <c r="S121" s="8">
        <f t="shared" ca="1" si="37"/>
        <v>55</v>
      </c>
      <c r="T121" s="8">
        <f t="shared" ca="1" si="38"/>
        <v>50038</v>
      </c>
      <c r="U121" s="8">
        <v>1</v>
      </c>
      <c r="V121" s="8">
        <f t="shared" ca="1" si="39"/>
        <v>32</v>
      </c>
      <c r="W121" s="7">
        <f t="shared" ca="1" si="40"/>
        <v>140</v>
      </c>
    </row>
    <row r="122" spans="5:23" x14ac:dyDescent="0.15">
      <c r="E122" s="7">
        <v>118</v>
      </c>
      <c r="F122" s="7">
        <v>8</v>
      </c>
      <c r="G122" s="8">
        <v>2403</v>
      </c>
      <c r="H122" s="8">
        <f t="shared" si="41"/>
        <v>50024</v>
      </c>
      <c r="I122" s="8">
        <v>1</v>
      </c>
      <c r="J122" s="8">
        <f t="shared" si="31"/>
        <v>88</v>
      </c>
      <c r="K122" s="8">
        <f t="shared" ca="1" si="32"/>
        <v>50002</v>
      </c>
      <c r="L122" s="8">
        <v>1</v>
      </c>
      <c r="M122" s="8">
        <f t="shared" ca="1" si="33"/>
        <v>129</v>
      </c>
      <c r="N122" s="8">
        <f t="shared" ca="1" si="34"/>
        <v>50021</v>
      </c>
      <c r="O122" s="8">
        <v>1</v>
      </c>
      <c r="P122" s="8">
        <f t="shared" ca="1" si="35"/>
        <v>88</v>
      </c>
      <c r="Q122" s="8">
        <f t="shared" ca="1" si="36"/>
        <v>50037</v>
      </c>
      <c r="R122" s="8">
        <v>1</v>
      </c>
      <c r="S122" s="8">
        <f t="shared" ca="1" si="37"/>
        <v>32</v>
      </c>
      <c r="T122" s="8">
        <f t="shared" ca="1" si="38"/>
        <v>50038</v>
      </c>
      <c r="U122" s="8">
        <v>1</v>
      </c>
      <c r="V122" s="8">
        <f t="shared" ca="1" si="39"/>
        <v>32</v>
      </c>
      <c r="W122" s="7">
        <f t="shared" ca="1" si="40"/>
        <v>150</v>
      </c>
    </row>
    <row r="123" spans="5:23" x14ac:dyDescent="0.15">
      <c r="E123" s="7">
        <v>119</v>
      </c>
      <c r="F123" s="7">
        <v>8</v>
      </c>
      <c r="G123" s="8">
        <v>2404</v>
      </c>
      <c r="H123" s="8">
        <f t="shared" si="41"/>
        <v>50025</v>
      </c>
      <c r="I123" s="8">
        <v>1</v>
      </c>
      <c r="J123" s="8">
        <f t="shared" si="31"/>
        <v>88</v>
      </c>
      <c r="K123" s="8">
        <f t="shared" ca="1" si="32"/>
        <v>50010</v>
      </c>
      <c r="L123" s="8">
        <v>1</v>
      </c>
      <c r="M123" s="8">
        <f t="shared" ca="1" si="33"/>
        <v>129</v>
      </c>
      <c r="N123" s="8">
        <f t="shared" ca="1" si="34"/>
        <v>50176</v>
      </c>
      <c r="O123" s="8">
        <v>1</v>
      </c>
      <c r="P123" s="8">
        <f t="shared" ca="1" si="35"/>
        <v>88</v>
      </c>
      <c r="Q123" s="8">
        <f t="shared" ca="1" si="36"/>
        <v>50033</v>
      </c>
      <c r="R123" s="8">
        <v>1</v>
      </c>
      <c r="S123" s="8">
        <f t="shared" ca="1" si="37"/>
        <v>32</v>
      </c>
      <c r="T123" s="8">
        <f t="shared" ca="1" si="38"/>
        <v>50033</v>
      </c>
      <c r="U123" s="8">
        <v>1</v>
      </c>
      <c r="V123" s="8">
        <f t="shared" ca="1" si="39"/>
        <v>32</v>
      </c>
      <c r="W123" s="7">
        <f t="shared" ca="1" si="40"/>
        <v>150</v>
      </c>
    </row>
    <row r="124" spans="5:23" x14ac:dyDescent="0.15">
      <c r="E124" s="7">
        <v>120</v>
      </c>
      <c r="F124" s="7">
        <v>8</v>
      </c>
      <c r="G124" s="8">
        <v>2405</v>
      </c>
      <c r="H124" s="8">
        <f t="shared" si="41"/>
        <v>50026</v>
      </c>
      <c r="I124" s="8">
        <v>1</v>
      </c>
      <c r="J124" s="8">
        <f t="shared" si="31"/>
        <v>88</v>
      </c>
      <c r="K124" s="8">
        <f t="shared" ca="1" si="32"/>
        <v>50006</v>
      </c>
      <c r="L124" s="8">
        <v>1</v>
      </c>
      <c r="M124" s="8">
        <f t="shared" ca="1" si="33"/>
        <v>129</v>
      </c>
      <c r="N124" s="8">
        <f t="shared" ca="1" si="34"/>
        <v>50018</v>
      </c>
      <c r="O124" s="8">
        <v>1</v>
      </c>
      <c r="P124" s="8">
        <f t="shared" ca="1" si="35"/>
        <v>88</v>
      </c>
      <c r="Q124" s="8">
        <f t="shared" ca="1" si="36"/>
        <v>50008</v>
      </c>
      <c r="R124" s="8">
        <v>1</v>
      </c>
      <c r="S124" s="8">
        <f t="shared" ca="1" si="37"/>
        <v>55</v>
      </c>
      <c r="T124" s="8">
        <f t="shared" ca="1" si="38"/>
        <v>50034</v>
      </c>
      <c r="U124" s="8">
        <v>1</v>
      </c>
      <c r="V124" s="8">
        <f t="shared" ca="1" si="39"/>
        <v>5</v>
      </c>
      <c r="W124" s="7">
        <f t="shared" ca="1" si="40"/>
        <v>130</v>
      </c>
    </row>
    <row r="125" spans="5:23" x14ac:dyDescent="0.15">
      <c r="E125" s="7">
        <v>121</v>
      </c>
      <c r="F125" s="7">
        <v>8</v>
      </c>
      <c r="G125" s="8">
        <v>2501</v>
      </c>
      <c r="H125" s="8">
        <f t="shared" si="41"/>
        <v>50027</v>
      </c>
      <c r="I125" s="8">
        <v>1</v>
      </c>
      <c r="J125" s="8">
        <f t="shared" si="31"/>
        <v>88</v>
      </c>
      <c r="K125" s="8">
        <f t="shared" ca="1" si="32"/>
        <v>50002</v>
      </c>
      <c r="L125" s="8">
        <v>1</v>
      </c>
      <c r="M125" s="8">
        <f t="shared" ca="1" si="33"/>
        <v>129</v>
      </c>
      <c r="N125" s="8">
        <f t="shared" ca="1" si="34"/>
        <v>50026</v>
      </c>
      <c r="O125" s="8">
        <v>1</v>
      </c>
      <c r="P125" s="8">
        <f t="shared" ca="1" si="35"/>
        <v>88</v>
      </c>
      <c r="Q125" s="8">
        <f t="shared" ca="1" si="36"/>
        <v>50017</v>
      </c>
      <c r="R125" s="8">
        <v>1</v>
      </c>
      <c r="S125" s="8">
        <f t="shared" ca="1" si="37"/>
        <v>32</v>
      </c>
      <c r="T125" s="8">
        <f t="shared" ca="1" si="38"/>
        <v>50033</v>
      </c>
      <c r="U125" s="8">
        <v>1</v>
      </c>
      <c r="V125" s="8">
        <f t="shared" ca="1" si="39"/>
        <v>32</v>
      </c>
      <c r="W125" s="7">
        <f t="shared" ca="1" si="40"/>
        <v>150</v>
      </c>
    </row>
    <row r="126" spans="5:23" x14ac:dyDescent="0.15">
      <c r="E126" s="7">
        <v>122</v>
      </c>
      <c r="F126" s="7">
        <v>8</v>
      </c>
      <c r="G126" s="8">
        <v>2502</v>
      </c>
      <c r="H126" s="8">
        <f t="shared" si="41"/>
        <v>50028</v>
      </c>
      <c r="I126" s="8">
        <v>1</v>
      </c>
      <c r="J126" s="8">
        <f t="shared" si="31"/>
        <v>88</v>
      </c>
      <c r="K126" s="8">
        <f t="shared" ca="1" si="32"/>
        <v>50015</v>
      </c>
      <c r="L126" s="8">
        <v>1</v>
      </c>
      <c r="M126" s="8">
        <f t="shared" ca="1" si="33"/>
        <v>181</v>
      </c>
      <c r="N126" s="8">
        <f t="shared" ca="1" si="34"/>
        <v>50025</v>
      </c>
      <c r="O126" s="8">
        <v>1</v>
      </c>
      <c r="P126" s="8">
        <f t="shared" ca="1" si="35"/>
        <v>88</v>
      </c>
      <c r="Q126" s="8">
        <f t="shared" ca="1" si="36"/>
        <v>50040</v>
      </c>
      <c r="R126" s="8">
        <v>1</v>
      </c>
      <c r="S126" s="8">
        <f t="shared" ca="1" si="37"/>
        <v>32</v>
      </c>
      <c r="T126" s="8">
        <f t="shared" ca="1" si="38"/>
        <v>50034</v>
      </c>
      <c r="U126" s="8">
        <v>1</v>
      </c>
      <c r="V126" s="8">
        <f t="shared" ca="1" si="39"/>
        <v>5</v>
      </c>
      <c r="W126" s="7">
        <f t="shared" ca="1" si="40"/>
        <v>110</v>
      </c>
    </row>
    <row r="127" spans="5:23" x14ac:dyDescent="0.15">
      <c r="E127" s="7">
        <v>123</v>
      </c>
      <c r="F127" s="7">
        <v>8</v>
      </c>
      <c r="G127" s="8">
        <v>2503</v>
      </c>
      <c r="H127" s="8">
        <f t="shared" si="41"/>
        <v>50029</v>
      </c>
      <c r="I127" s="8">
        <v>1</v>
      </c>
      <c r="J127" s="8">
        <f t="shared" si="31"/>
        <v>88</v>
      </c>
      <c r="K127" s="8">
        <f t="shared" ca="1" si="32"/>
        <v>50010</v>
      </c>
      <c r="L127" s="8">
        <v>1</v>
      </c>
      <c r="M127" s="8">
        <f t="shared" ca="1" si="33"/>
        <v>129</v>
      </c>
      <c r="N127" s="8">
        <f t="shared" ca="1" si="34"/>
        <v>50176</v>
      </c>
      <c r="O127" s="8">
        <v>1</v>
      </c>
      <c r="P127" s="8">
        <f t="shared" ca="1" si="35"/>
        <v>88</v>
      </c>
      <c r="Q127" s="8">
        <f t="shared" ca="1" si="36"/>
        <v>50008</v>
      </c>
      <c r="R127" s="8">
        <v>1</v>
      </c>
      <c r="S127" s="8">
        <f t="shared" ca="1" si="37"/>
        <v>55</v>
      </c>
      <c r="T127" s="8">
        <f t="shared" ca="1" si="38"/>
        <v>50038</v>
      </c>
      <c r="U127" s="8">
        <v>1</v>
      </c>
      <c r="V127" s="8">
        <f t="shared" ca="1" si="39"/>
        <v>32</v>
      </c>
      <c r="W127" s="7">
        <f t="shared" ca="1" si="40"/>
        <v>140</v>
      </c>
    </row>
    <row r="128" spans="5:23" x14ac:dyDescent="0.15">
      <c r="E128" s="7">
        <v>124</v>
      </c>
      <c r="F128" s="7">
        <v>8</v>
      </c>
      <c r="G128" s="8">
        <v>2504</v>
      </c>
      <c r="H128" s="8">
        <f t="shared" si="41"/>
        <v>50030</v>
      </c>
      <c r="I128" s="8">
        <v>1</v>
      </c>
      <c r="J128" s="8">
        <f t="shared" si="31"/>
        <v>88</v>
      </c>
      <c r="K128" s="8">
        <f t="shared" ca="1" si="32"/>
        <v>50009</v>
      </c>
      <c r="L128" s="8">
        <v>1</v>
      </c>
      <c r="M128" s="8">
        <f t="shared" ca="1" si="33"/>
        <v>181</v>
      </c>
      <c r="N128" s="8">
        <f t="shared" ca="1" si="34"/>
        <v>50173</v>
      </c>
      <c r="O128" s="8">
        <v>1</v>
      </c>
      <c r="P128" s="8">
        <f t="shared" ca="1" si="35"/>
        <v>88</v>
      </c>
      <c r="Q128" s="8">
        <f t="shared" ca="1" si="36"/>
        <v>50033</v>
      </c>
      <c r="R128" s="8">
        <v>1</v>
      </c>
      <c r="S128" s="8">
        <f t="shared" ca="1" si="37"/>
        <v>32</v>
      </c>
      <c r="T128" s="8">
        <f t="shared" ca="1" si="38"/>
        <v>50034</v>
      </c>
      <c r="U128" s="8">
        <v>1</v>
      </c>
      <c r="V128" s="8">
        <f t="shared" ca="1" si="39"/>
        <v>5</v>
      </c>
      <c r="W128" s="7">
        <f t="shared" ca="1" si="40"/>
        <v>110</v>
      </c>
    </row>
    <row r="129" spans="5:23" x14ac:dyDescent="0.15">
      <c r="E129" s="7">
        <v>125</v>
      </c>
      <c r="F129" s="7">
        <v>8</v>
      </c>
      <c r="G129" s="8">
        <v>2505</v>
      </c>
      <c r="H129" s="8">
        <f t="shared" si="41"/>
        <v>50032</v>
      </c>
      <c r="I129" s="8">
        <v>1</v>
      </c>
      <c r="J129" s="8">
        <f t="shared" si="31"/>
        <v>88</v>
      </c>
      <c r="K129" s="8">
        <f t="shared" ca="1" si="32"/>
        <v>50031</v>
      </c>
      <c r="L129" s="8">
        <v>1</v>
      </c>
      <c r="M129" s="8">
        <f t="shared" ca="1" si="33"/>
        <v>181</v>
      </c>
      <c r="N129" s="8">
        <f t="shared" ca="1" si="34"/>
        <v>50025</v>
      </c>
      <c r="O129" s="8">
        <v>1</v>
      </c>
      <c r="P129" s="8">
        <f t="shared" ca="1" si="35"/>
        <v>88</v>
      </c>
      <c r="Q129" s="8">
        <f t="shared" ca="1" si="36"/>
        <v>50012</v>
      </c>
      <c r="R129" s="8">
        <v>1</v>
      </c>
      <c r="S129" s="8">
        <f t="shared" ca="1" si="37"/>
        <v>55</v>
      </c>
      <c r="T129" s="8">
        <f t="shared" ca="1" si="38"/>
        <v>50037</v>
      </c>
      <c r="U129" s="8">
        <v>1</v>
      </c>
      <c r="V129" s="8">
        <f t="shared" ca="1" si="39"/>
        <v>32</v>
      </c>
      <c r="W129" s="7">
        <f t="shared" ca="1" si="40"/>
        <v>120</v>
      </c>
    </row>
    <row r="130" spans="5:23" x14ac:dyDescent="0.15">
      <c r="E130" s="7">
        <v>126</v>
      </c>
      <c r="F130" s="7">
        <v>8</v>
      </c>
      <c r="G130" s="8">
        <v>2601</v>
      </c>
      <c r="H130" s="8">
        <f t="shared" si="41"/>
        <v>50036</v>
      </c>
      <c r="I130" s="8">
        <v>1</v>
      </c>
      <c r="J130" s="8">
        <f t="shared" si="31"/>
        <v>88</v>
      </c>
      <c r="K130" s="8">
        <f t="shared" ca="1" si="32"/>
        <v>50001</v>
      </c>
      <c r="L130" s="8">
        <v>1</v>
      </c>
      <c r="M130" s="8">
        <f t="shared" ca="1" si="33"/>
        <v>181</v>
      </c>
      <c r="N130" s="8">
        <f t="shared" ca="1" si="34"/>
        <v>50027</v>
      </c>
      <c r="O130" s="8">
        <v>1</v>
      </c>
      <c r="P130" s="8">
        <f t="shared" ca="1" si="35"/>
        <v>88</v>
      </c>
      <c r="Q130" s="8">
        <f t="shared" ca="1" si="36"/>
        <v>50040</v>
      </c>
      <c r="R130" s="8">
        <v>1</v>
      </c>
      <c r="S130" s="8">
        <f t="shared" ca="1" si="37"/>
        <v>32</v>
      </c>
      <c r="T130" s="8">
        <f t="shared" ca="1" si="38"/>
        <v>50034</v>
      </c>
      <c r="U130" s="8">
        <v>1</v>
      </c>
      <c r="V130" s="8">
        <f t="shared" ca="1" si="39"/>
        <v>5</v>
      </c>
      <c r="W130" s="7">
        <f t="shared" ca="1" si="40"/>
        <v>110</v>
      </c>
    </row>
    <row r="131" spans="5:23" x14ac:dyDescent="0.15">
      <c r="E131" s="7">
        <v>127</v>
      </c>
      <c r="F131" s="7">
        <v>8</v>
      </c>
      <c r="G131" s="8">
        <v>2602</v>
      </c>
      <c r="H131" s="8">
        <f t="shared" si="41"/>
        <v>50089</v>
      </c>
      <c r="I131" s="8">
        <v>1</v>
      </c>
      <c r="J131" s="8">
        <f t="shared" si="31"/>
        <v>88</v>
      </c>
      <c r="K131" s="8">
        <f t="shared" ca="1" si="32"/>
        <v>50035</v>
      </c>
      <c r="L131" s="8">
        <v>1</v>
      </c>
      <c r="M131" s="8">
        <f t="shared" ca="1" si="33"/>
        <v>181</v>
      </c>
      <c r="N131" s="8">
        <f t="shared" ca="1" si="34"/>
        <v>50029</v>
      </c>
      <c r="O131" s="8">
        <v>1</v>
      </c>
      <c r="P131" s="8">
        <f t="shared" ca="1" si="35"/>
        <v>88</v>
      </c>
      <c r="Q131" s="8">
        <f t="shared" ca="1" si="36"/>
        <v>50017</v>
      </c>
      <c r="R131" s="8">
        <v>1</v>
      </c>
      <c r="S131" s="8">
        <f t="shared" ca="1" si="37"/>
        <v>32</v>
      </c>
      <c r="T131" s="8">
        <f t="shared" ca="1" si="38"/>
        <v>50033</v>
      </c>
      <c r="U131" s="8">
        <v>1</v>
      </c>
      <c r="V131" s="8">
        <f t="shared" ca="1" si="39"/>
        <v>32</v>
      </c>
      <c r="W131" s="7">
        <f t="shared" ca="1" si="40"/>
        <v>120</v>
      </c>
    </row>
    <row r="132" spans="5:23" x14ac:dyDescent="0.15">
      <c r="E132" s="7">
        <v>128</v>
      </c>
      <c r="F132" s="7">
        <v>8</v>
      </c>
      <c r="G132" s="8">
        <v>2603</v>
      </c>
      <c r="H132" s="8">
        <f t="shared" si="41"/>
        <v>50173</v>
      </c>
      <c r="I132" s="8">
        <v>1</v>
      </c>
      <c r="J132" s="8">
        <f t="shared" si="31"/>
        <v>88</v>
      </c>
      <c r="K132" s="8">
        <f t="shared" ca="1" si="32"/>
        <v>50031</v>
      </c>
      <c r="L132" s="8">
        <v>1</v>
      </c>
      <c r="M132" s="8">
        <f t="shared" ca="1" si="33"/>
        <v>181</v>
      </c>
      <c r="N132" s="8">
        <f t="shared" ca="1" si="34"/>
        <v>50014</v>
      </c>
      <c r="O132" s="8">
        <v>1</v>
      </c>
      <c r="P132" s="8">
        <f t="shared" ca="1" si="35"/>
        <v>88</v>
      </c>
      <c r="Q132" s="8">
        <f t="shared" ca="1" si="36"/>
        <v>50017</v>
      </c>
      <c r="R132" s="8">
        <v>1</v>
      </c>
      <c r="S132" s="8">
        <f t="shared" ca="1" si="37"/>
        <v>32</v>
      </c>
      <c r="T132" s="8">
        <f t="shared" ca="1" si="38"/>
        <v>50039</v>
      </c>
      <c r="U132" s="8">
        <v>1</v>
      </c>
      <c r="V132" s="8">
        <f t="shared" ca="1" si="39"/>
        <v>32</v>
      </c>
      <c r="W132" s="7">
        <f t="shared" ca="1" si="40"/>
        <v>120</v>
      </c>
    </row>
    <row r="133" spans="5:23" x14ac:dyDescent="0.15">
      <c r="E133" s="7">
        <v>129</v>
      </c>
      <c r="F133" s="7">
        <v>8</v>
      </c>
      <c r="G133" s="8">
        <v>2604</v>
      </c>
      <c r="H133" s="8">
        <f t="shared" si="41"/>
        <v>50174</v>
      </c>
      <c r="I133" s="8">
        <v>1</v>
      </c>
      <c r="J133" s="8">
        <f t="shared" ref="J133:J144" si="42">VLOOKUP(H133,marking,9,FALSE)</f>
        <v>88</v>
      </c>
      <c r="K133" s="8">
        <f t="shared" ref="K133:K144" ca="1" si="43">IF(K$2&gt;$F133,VLOOKUP(INT(RAND()*(VLOOKUP($F133,test2,2,FALSE)-1)+1),test3,4,FALSE),VLOOKUP(INT(RAND()*(13-1)+1),test3,4,FALSE))</f>
        <v>50005</v>
      </c>
      <c r="L133" s="8">
        <v>1</v>
      </c>
      <c r="M133" s="8">
        <f t="shared" ref="M133:M144" ca="1" si="44">VLOOKUP(K133,marking,9,FALSE)</f>
        <v>181</v>
      </c>
      <c r="N133" s="8">
        <f t="shared" ref="N133:N144" ca="1" si="45">IF(N$2&gt;$F133,VLOOKUP(INT(RAND()*(VLOOKUP($F133,test2,2,FALSE)-1)+1),test3,4,FALSE),VLOOKUP(INT(RAND()*(38-8)+8),test3,4,FALSE))</f>
        <v>50036</v>
      </c>
      <c r="O133" s="8">
        <v>1</v>
      </c>
      <c r="P133" s="8">
        <f t="shared" ref="P133:P144" ca="1" si="46">VLOOKUP(N133,marking,9,FALSE)</f>
        <v>88</v>
      </c>
      <c r="Q133" s="8">
        <f t="shared" ref="Q133:Q144" ca="1" si="47">IF(Q$2&gt;$F133,VLOOKUP(INT(RAND()*(VLOOKUP($F133,test2,2,FALSE)-1)+1),test3,4,FALSE),VLOOKUP(INT(RAND()*(47-38)+38),test3,4,FALSE))</f>
        <v>50008</v>
      </c>
      <c r="R133" s="8">
        <v>1</v>
      </c>
      <c r="S133" s="8">
        <f t="shared" ref="S133:S144" ca="1" si="48">VLOOKUP(Q133,marking,9,FALSE)</f>
        <v>55</v>
      </c>
      <c r="T133" s="8">
        <f t="shared" ref="T133:T144" ca="1" si="49">IF(T$2&gt;$F133,VLOOKUP(INT(RAND()*(VLOOKUP($F133,test2,2,FALSE)-1)+1),test3,4,FALSE),VLOOKUP(INT(RAND()*(48-41)+41),test3,4,FALSE))</f>
        <v>50037</v>
      </c>
      <c r="U133" s="8">
        <v>1</v>
      </c>
      <c r="V133" s="8">
        <f t="shared" ref="V133:V144" ca="1" si="50">VLOOKUP(T133,marking,9,FALSE)</f>
        <v>32</v>
      </c>
      <c r="W133" s="7">
        <f t="shared" ref="W133:W144" ca="1" si="51">(ROUND((VLOOKUP(H133,marking,10,FALSE)*J133+VLOOKUP(K133,marking,10,FALSE)*M133+VLOOKUP(N133,marking,10,FALSE)*P133+VLOOKUP(Q133,marking,10,FALSE)*S133+VLOOKUP(T133,marking,10,FALSE)*V133)/(J133+M133+P133+S133+V133),0))*10</f>
        <v>120</v>
      </c>
    </row>
    <row r="134" spans="5:23" x14ac:dyDescent="0.15">
      <c r="E134" s="7">
        <v>130</v>
      </c>
      <c r="F134" s="7">
        <v>8</v>
      </c>
      <c r="G134" s="8">
        <v>2605</v>
      </c>
      <c r="H134" s="8">
        <f t="shared" si="41"/>
        <v>50175</v>
      </c>
      <c r="I134" s="8">
        <v>1</v>
      </c>
      <c r="J134" s="8">
        <f t="shared" si="42"/>
        <v>88</v>
      </c>
      <c r="K134" s="8">
        <f t="shared" ca="1" si="43"/>
        <v>50015</v>
      </c>
      <c r="L134" s="8">
        <v>1</v>
      </c>
      <c r="M134" s="8">
        <f t="shared" ca="1" si="44"/>
        <v>181</v>
      </c>
      <c r="N134" s="8">
        <f t="shared" ca="1" si="45"/>
        <v>50088</v>
      </c>
      <c r="O134" s="8">
        <v>1</v>
      </c>
      <c r="P134" s="8">
        <f t="shared" ca="1" si="46"/>
        <v>129</v>
      </c>
      <c r="Q134" s="8">
        <f t="shared" ca="1" si="47"/>
        <v>50008</v>
      </c>
      <c r="R134" s="8">
        <v>1</v>
      </c>
      <c r="S134" s="8">
        <f t="shared" ca="1" si="48"/>
        <v>55</v>
      </c>
      <c r="T134" s="8">
        <f t="shared" ca="1" si="49"/>
        <v>50038</v>
      </c>
      <c r="U134" s="8">
        <v>1</v>
      </c>
      <c r="V134" s="8">
        <f t="shared" ca="1" si="50"/>
        <v>32</v>
      </c>
      <c r="W134" s="7">
        <f t="shared" ca="1" si="51"/>
        <v>100</v>
      </c>
    </row>
    <row r="135" spans="5:23" x14ac:dyDescent="0.15">
      <c r="E135" s="7">
        <v>131</v>
      </c>
      <c r="F135" s="7">
        <v>8</v>
      </c>
      <c r="G135" s="8">
        <v>2701</v>
      </c>
      <c r="H135" s="8">
        <f t="shared" si="41"/>
        <v>50176</v>
      </c>
      <c r="I135" s="8">
        <v>1</v>
      </c>
      <c r="J135" s="8">
        <f t="shared" si="42"/>
        <v>88</v>
      </c>
      <c r="K135" s="8">
        <f t="shared" ca="1" si="43"/>
        <v>50005</v>
      </c>
      <c r="L135" s="8">
        <v>1</v>
      </c>
      <c r="M135" s="8">
        <f t="shared" ca="1" si="44"/>
        <v>181</v>
      </c>
      <c r="N135" s="8">
        <f t="shared" ca="1" si="45"/>
        <v>50020</v>
      </c>
      <c r="O135" s="8">
        <v>1</v>
      </c>
      <c r="P135" s="8">
        <f t="shared" ca="1" si="46"/>
        <v>88</v>
      </c>
      <c r="Q135" s="8">
        <f t="shared" ca="1" si="47"/>
        <v>50004</v>
      </c>
      <c r="R135" s="8">
        <v>1</v>
      </c>
      <c r="S135" s="8">
        <f t="shared" ca="1" si="48"/>
        <v>55</v>
      </c>
      <c r="T135" s="8">
        <f t="shared" ca="1" si="49"/>
        <v>50034</v>
      </c>
      <c r="U135" s="8">
        <v>1</v>
      </c>
      <c r="V135" s="8">
        <f t="shared" ca="1" si="50"/>
        <v>5</v>
      </c>
      <c r="W135" s="7">
        <f t="shared" ca="1" si="51"/>
        <v>100</v>
      </c>
    </row>
    <row r="136" spans="5:23" x14ac:dyDescent="0.15">
      <c r="E136" s="7">
        <v>132</v>
      </c>
      <c r="F136" s="7">
        <v>8</v>
      </c>
      <c r="G136" s="8">
        <v>2702</v>
      </c>
      <c r="H136" s="8">
        <f t="shared" si="41"/>
        <v>50004</v>
      </c>
      <c r="I136" s="8">
        <v>1</v>
      </c>
      <c r="J136" s="8">
        <f t="shared" si="42"/>
        <v>55</v>
      </c>
      <c r="K136" s="8">
        <f t="shared" ca="1" si="43"/>
        <v>50010</v>
      </c>
      <c r="L136" s="8">
        <v>1</v>
      </c>
      <c r="M136" s="8">
        <f t="shared" ca="1" si="44"/>
        <v>129</v>
      </c>
      <c r="N136" s="8">
        <f t="shared" ca="1" si="45"/>
        <v>50011</v>
      </c>
      <c r="O136" s="8">
        <v>1</v>
      </c>
      <c r="P136" s="8">
        <f t="shared" ca="1" si="46"/>
        <v>88</v>
      </c>
      <c r="Q136" s="8">
        <f t="shared" ca="1" si="47"/>
        <v>50039</v>
      </c>
      <c r="R136" s="8">
        <v>1</v>
      </c>
      <c r="S136" s="8">
        <f t="shared" ca="1" si="48"/>
        <v>32</v>
      </c>
      <c r="T136" s="8">
        <f t="shared" ca="1" si="49"/>
        <v>50040</v>
      </c>
      <c r="U136" s="8">
        <v>1</v>
      </c>
      <c r="V136" s="8">
        <f t="shared" ca="1" si="50"/>
        <v>32</v>
      </c>
      <c r="W136" s="7">
        <f t="shared" ca="1" si="51"/>
        <v>170</v>
      </c>
    </row>
    <row r="137" spans="5:23" x14ac:dyDescent="0.15">
      <c r="E137" s="7">
        <v>133</v>
      </c>
      <c r="F137" s="7">
        <v>8</v>
      </c>
      <c r="G137" s="8">
        <v>2703</v>
      </c>
      <c r="H137" s="8">
        <f t="shared" si="41"/>
        <v>50008</v>
      </c>
      <c r="I137" s="8">
        <v>1</v>
      </c>
      <c r="J137" s="8">
        <f t="shared" si="42"/>
        <v>55</v>
      </c>
      <c r="K137" s="8">
        <f t="shared" ca="1" si="43"/>
        <v>50001</v>
      </c>
      <c r="L137" s="8">
        <v>1</v>
      </c>
      <c r="M137" s="8">
        <f t="shared" ca="1" si="44"/>
        <v>181</v>
      </c>
      <c r="N137" s="8">
        <f t="shared" ca="1" si="45"/>
        <v>50030</v>
      </c>
      <c r="O137" s="8">
        <v>1</v>
      </c>
      <c r="P137" s="8">
        <f t="shared" ca="1" si="46"/>
        <v>88</v>
      </c>
      <c r="Q137" s="8">
        <f t="shared" ca="1" si="47"/>
        <v>50017</v>
      </c>
      <c r="R137" s="8">
        <v>1</v>
      </c>
      <c r="S137" s="8">
        <f t="shared" ca="1" si="48"/>
        <v>32</v>
      </c>
      <c r="T137" s="8">
        <f t="shared" ca="1" si="49"/>
        <v>50033</v>
      </c>
      <c r="U137" s="8">
        <v>1</v>
      </c>
      <c r="V137" s="8">
        <f t="shared" ca="1" si="50"/>
        <v>32</v>
      </c>
      <c r="W137" s="7">
        <f t="shared" ca="1" si="51"/>
        <v>130</v>
      </c>
    </row>
    <row r="138" spans="5:23" x14ac:dyDescent="0.15">
      <c r="E138" s="7">
        <v>134</v>
      </c>
      <c r="F138" s="7">
        <v>8</v>
      </c>
      <c r="G138" s="8">
        <v>2704</v>
      </c>
      <c r="H138" s="8">
        <f t="shared" si="41"/>
        <v>50012</v>
      </c>
      <c r="I138" s="8">
        <v>1</v>
      </c>
      <c r="J138" s="8">
        <f t="shared" si="42"/>
        <v>55</v>
      </c>
      <c r="K138" s="8">
        <f t="shared" ca="1" si="43"/>
        <v>50015</v>
      </c>
      <c r="L138" s="8">
        <v>1</v>
      </c>
      <c r="M138" s="8">
        <f t="shared" ca="1" si="44"/>
        <v>181</v>
      </c>
      <c r="N138" s="8">
        <f t="shared" ca="1" si="45"/>
        <v>50020</v>
      </c>
      <c r="O138" s="8">
        <v>1</v>
      </c>
      <c r="P138" s="8">
        <f t="shared" ca="1" si="46"/>
        <v>88</v>
      </c>
      <c r="Q138" s="8">
        <f t="shared" ca="1" si="47"/>
        <v>50038</v>
      </c>
      <c r="R138" s="8">
        <v>1</v>
      </c>
      <c r="S138" s="8">
        <f t="shared" ca="1" si="48"/>
        <v>32</v>
      </c>
      <c r="T138" s="8">
        <f t="shared" ca="1" si="49"/>
        <v>50033</v>
      </c>
      <c r="U138" s="8">
        <v>1</v>
      </c>
      <c r="V138" s="8">
        <f t="shared" ca="1" si="50"/>
        <v>32</v>
      </c>
      <c r="W138" s="7">
        <f t="shared" ca="1" si="51"/>
        <v>130</v>
      </c>
    </row>
    <row r="139" spans="5:23" x14ac:dyDescent="0.15">
      <c r="E139" s="7">
        <v>135</v>
      </c>
      <c r="F139" s="7">
        <v>8</v>
      </c>
      <c r="G139" s="8">
        <v>2705</v>
      </c>
      <c r="H139" s="8">
        <f t="shared" si="41"/>
        <v>50017</v>
      </c>
      <c r="I139" s="8">
        <v>1</v>
      </c>
      <c r="J139" s="8">
        <f t="shared" si="42"/>
        <v>32</v>
      </c>
      <c r="K139" s="8">
        <f t="shared" ca="1" si="43"/>
        <v>50001</v>
      </c>
      <c r="L139" s="8">
        <v>1</v>
      </c>
      <c r="M139" s="8">
        <f t="shared" ca="1" si="44"/>
        <v>181</v>
      </c>
      <c r="N139" s="8">
        <f t="shared" ca="1" si="45"/>
        <v>50175</v>
      </c>
      <c r="O139" s="8">
        <v>1</v>
      </c>
      <c r="P139" s="8">
        <f t="shared" ca="1" si="46"/>
        <v>88</v>
      </c>
      <c r="Q139" s="8">
        <f t="shared" ca="1" si="47"/>
        <v>50017</v>
      </c>
      <c r="R139" s="8">
        <v>1</v>
      </c>
      <c r="S139" s="8">
        <f t="shared" ca="1" si="48"/>
        <v>32</v>
      </c>
      <c r="T139" s="8">
        <f t="shared" ca="1" si="49"/>
        <v>50017</v>
      </c>
      <c r="U139" s="8">
        <v>1</v>
      </c>
      <c r="V139" s="8">
        <f t="shared" ca="1" si="50"/>
        <v>32</v>
      </c>
      <c r="W139" s="7">
        <f t="shared" ca="1" si="51"/>
        <v>140</v>
      </c>
    </row>
    <row r="140" spans="5:23" x14ac:dyDescent="0.15">
      <c r="E140" s="7">
        <v>136</v>
      </c>
      <c r="F140" s="7">
        <v>8</v>
      </c>
      <c r="G140" s="8">
        <v>2801</v>
      </c>
      <c r="H140" s="8">
        <f t="shared" si="41"/>
        <v>50033</v>
      </c>
      <c r="I140" s="8">
        <v>1</v>
      </c>
      <c r="J140" s="8">
        <f t="shared" si="42"/>
        <v>32</v>
      </c>
      <c r="K140" s="8">
        <f t="shared" ca="1" si="43"/>
        <v>50015</v>
      </c>
      <c r="L140" s="8">
        <v>1</v>
      </c>
      <c r="M140" s="8">
        <f t="shared" ca="1" si="44"/>
        <v>181</v>
      </c>
      <c r="N140" s="8">
        <f t="shared" ca="1" si="45"/>
        <v>50176</v>
      </c>
      <c r="O140" s="8">
        <v>1</v>
      </c>
      <c r="P140" s="8">
        <f t="shared" ca="1" si="46"/>
        <v>88</v>
      </c>
      <c r="Q140" s="8">
        <f t="shared" ca="1" si="47"/>
        <v>50039</v>
      </c>
      <c r="R140" s="8">
        <v>1</v>
      </c>
      <c r="S140" s="8">
        <f t="shared" ca="1" si="48"/>
        <v>32</v>
      </c>
      <c r="T140" s="8">
        <f t="shared" ca="1" si="49"/>
        <v>50038</v>
      </c>
      <c r="U140" s="8">
        <v>1</v>
      </c>
      <c r="V140" s="8">
        <f t="shared" ca="1" si="50"/>
        <v>32</v>
      </c>
      <c r="W140" s="7">
        <f t="shared" ca="1" si="51"/>
        <v>140</v>
      </c>
    </row>
    <row r="141" spans="5:23" x14ac:dyDescent="0.15">
      <c r="E141" s="7">
        <v>137</v>
      </c>
      <c r="F141" s="7">
        <v>8</v>
      </c>
      <c r="G141" s="8">
        <v>2802</v>
      </c>
      <c r="H141" s="8">
        <f t="shared" si="41"/>
        <v>50037</v>
      </c>
      <c r="I141" s="8">
        <v>1</v>
      </c>
      <c r="J141" s="8">
        <f t="shared" si="42"/>
        <v>32</v>
      </c>
      <c r="K141" s="8">
        <f t="shared" ca="1" si="43"/>
        <v>50031</v>
      </c>
      <c r="L141" s="8">
        <v>1</v>
      </c>
      <c r="M141" s="8">
        <f t="shared" ca="1" si="44"/>
        <v>181</v>
      </c>
      <c r="N141" s="8">
        <f t="shared" ca="1" si="45"/>
        <v>50019</v>
      </c>
      <c r="O141" s="8">
        <v>1</v>
      </c>
      <c r="P141" s="8">
        <f t="shared" ca="1" si="46"/>
        <v>88</v>
      </c>
      <c r="Q141" s="8">
        <f t="shared" ca="1" si="47"/>
        <v>50037</v>
      </c>
      <c r="R141" s="8">
        <v>1</v>
      </c>
      <c r="S141" s="8">
        <f t="shared" ca="1" si="48"/>
        <v>32</v>
      </c>
      <c r="T141" s="8">
        <f t="shared" ca="1" si="49"/>
        <v>50039</v>
      </c>
      <c r="U141" s="8">
        <v>1</v>
      </c>
      <c r="V141" s="8">
        <f t="shared" ca="1" si="50"/>
        <v>32</v>
      </c>
      <c r="W141" s="7">
        <f t="shared" ca="1" si="51"/>
        <v>140</v>
      </c>
    </row>
    <row r="142" spans="5:23" x14ac:dyDescent="0.15">
      <c r="E142" s="7">
        <v>138</v>
      </c>
      <c r="F142" s="7">
        <v>8</v>
      </c>
      <c r="G142" s="8">
        <v>2803</v>
      </c>
      <c r="H142" s="8">
        <f t="shared" si="41"/>
        <v>50038</v>
      </c>
      <c r="I142" s="8">
        <v>1</v>
      </c>
      <c r="J142" s="8">
        <f t="shared" si="42"/>
        <v>32</v>
      </c>
      <c r="K142" s="8">
        <f t="shared" ca="1" si="43"/>
        <v>50035</v>
      </c>
      <c r="L142" s="8">
        <v>1</v>
      </c>
      <c r="M142" s="8">
        <f t="shared" ca="1" si="44"/>
        <v>181</v>
      </c>
      <c r="N142" s="8">
        <f t="shared" ca="1" si="45"/>
        <v>50088</v>
      </c>
      <c r="O142" s="8">
        <v>1</v>
      </c>
      <c r="P142" s="8">
        <f t="shared" ca="1" si="46"/>
        <v>129</v>
      </c>
      <c r="Q142" s="8">
        <f t="shared" ca="1" si="47"/>
        <v>50038</v>
      </c>
      <c r="R142" s="8">
        <v>1</v>
      </c>
      <c r="S142" s="8">
        <f t="shared" ca="1" si="48"/>
        <v>32</v>
      </c>
      <c r="T142" s="8">
        <f t="shared" ca="1" si="49"/>
        <v>50039</v>
      </c>
      <c r="U142" s="8">
        <v>1</v>
      </c>
      <c r="V142" s="8">
        <f t="shared" ca="1" si="50"/>
        <v>32</v>
      </c>
      <c r="W142" s="7">
        <f t="shared" ca="1" si="51"/>
        <v>110</v>
      </c>
    </row>
    <row r="143" spans="5:23" x14ac:dyDescent="0.15">
      <c r="E143" s="7">
        <v>139</v>
      </c>
      <c r="F143" s="7">
        <v>8</v>
      </c>
      <c r="G143" s="8">
        <v>2804</v>
      </c>
      <c r="H143" s="8">
        <f t="shared" si="41"/>
        <v>50039</v>
      </c>
      <c r="I143" s="8">
        <v>1</v>
      </c>
      <c r="J143" s="8">
        <f t="shared" si="42"/>
        <v>32</v>
      </c>
      <c r="K143" s="8">
        <f t="shared" ca="1" si="43"/>
        <v>50035</v>
      </c>
      <c r="L143" s="8">
        <v>1</v>
      </c>
      <c r="M143" s="8">
        <f t="shared" ca="1" si="44"/>
        <v>181</v>
      </c>
      <c r="N143" s="8">
        <f t="shared" ca="1" si="45"/>
        <v>50020</v>
      </c>
      <c r="O143" s="8">
        <v>1</v>
      </c>
      <c r="P143" s="8">
        <f t="shared" ca="1" si="46"/>
        <v>88</v>
      </c>
      <c r="Q143" s="8">
        <f t="shared" ca="1" si="47"/>
        <v>50012</v>
      </c>
      <c r="R143" s="8">
        <v>1</v>
      </c>
      <c r="S143" s="8">
        <f t="shared" ca="1" si="48"/>
        <v>55</v>
      </c>
      <c r="T143" s="8">
        <f t="shared" ca="1" si="49"/>
        <v>50033</v>
      </c>
      <c r="U143" s="8">
        <v>1</v>
      </c>
      <c r="V143" s="8">
        <f t="shared" ca="1" si="50"/>
        <v>32</v>
      </c>
      <c r="W143" s="7">
        <f t="shared" ca="1" si="51"/>
        <v>130</v>
      </c>
    </row>
    <row r="144" spans="5:23" x14ac:dyDescent="0.15">
      <c r="E144" s="7">
        <v>140</v>
      </c>
      <c r="F144" s="7">
        <v>8</v>
      </c>
      <c r="G144" s="8">
        <v>2805</v>
      </c>
      <c r="H144" s="8">
        <f t="shared" si="41"/>
        <v>50040</v>
      </c>
      <c r="I144" s="8">
        <v>1</v>
      </c>
      <c r="J144" s="8">
        <f t="shared" si="42"/>
        <v>32</v>
      </c>
      <c r="K144" s="8">
        <f t="shared" ca="1" si="43"/>
        <v>50009</v>
      </c>
      <c r="L144" s="8">
        <v>1</v>
      </c>
      <c r="M144" s="8">
        <f t="shared" ca="1" si="44"/>
        <v>181</v>
      </c>
      <c r="N144" s="8">
        <f t="shared" ca="1" si="45"/>
        <v>50174</v>
      </c>
      <c r="O144" s="8">
        <v>1</v>
      </c>
      <c r="P144" s="8">
        <f t="shared" ca="1" si="46"/>
        <v>88</v>
      </c>
      <c r="Q144" s="8">
        <f t="shared" ca="1" si="47"/>
        <v>50038</v>
      </c>
      <c r="R144" s="8">
        <v>1</v>
      </c>
      <c r="S144" s="8">
        <f t="shared" ca="1" si="48"/>
        <v>32</v>
      </c>
      <c r="T144" s="8">
        <f t="shared" ca="1" si="49"/>
        <v>50017</v>
      </c>
      <c r="U144" s="8">
        <v>1</v>
      </c>
      <c r="V144" s="8">
        <f t="shared" ca="1" si="50"/>
        <v>32</v>
      </c>
      <c r="W144" s="7">
        <f t="shared" ca="1" si="51"/>
        <v>140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AM144"/>
  <sheetViews>
    <sheetView workbookViewId="0">
      <pane xSplit="5" ySplit="4" topLeftCell="AB5" activePane="bottomRight" state="frozen"/>
      <selection pane="topRight" activeCell="F1" sqref="F1"/>
      <selection pane="bottomLeft" activeCell="A5" sqref="A5"/>
      <selection pane="bottomRight" activeCell="AD9" sqref="AD9"/>
    </sheetView>
  </sheetViews>
  <sheetFormatPr defaultRowHeight="12.75" x14ac:dyDescent="0.15"/>
  <cols>
    <col min="1" max="3" width="9" style="7"/>
    <col min="4" max="5" width="18.375" style="7" customWidth="1"/>
    <col min="6" max="6" width="9" style="7"/>
    <col min="7" max="7" width="16.25" style="7" customWidth="1"/>
    <col min="8" max="8" width="11" style="7" customWidth="1"/>
    <col min="9" max="13" width="9" style="7"/>
    <col min="14" max="14" width="14.125" style="7" customWidth="1"/>
    <col min="15" max="35" width="9" style="7"/>
    <col min="36" max="36" width="12.75" style="7" customWidth="1"/>
    <col min="37" max="16384" width="9" style="7"/>
  </cols>
  <sheetData>
    <row r="3" spans="1:39" x14ac:dyDescent="0.15">
      <c r="C3" s="7">
        <v>1</v>
      </c>
      <c r="D3" s="7">
        <v>2</v>
      </c>
      <c r="F3" s="7">
        <v>3</v>
      </c>
      <c r="G3" s="7">
        <v>4</v>
      </c>
      <c r="H3" s="7">
        <v>5</v>
      </c>
      <c r="I3" s="7">
        <v>6</v>
      </c>
      <c r="J3" s="7">
        <v>7</v>
      </c>
      <c r="K3" s="7">
        <v>8</v>
      </c>
      <c r="L3" s="7">
        <v>9</v>
      </c>
      <c r="M3" s="7">
        <v>10</v>
      </c>
      <c r="N3" s="7">
        <v>11</v>
      </c>
      <c r="O3" s="7">
        <v>12</v>
      </c>
      <c r="P3" s="7">
        <v>13</v>
      </c>
      <c r="Q3" s="7">
        <v>14</v>
      </c>
      <c r="R3" s="7">
        <v>15</v>
      </c>
      <c r="S3" s="7">
        <v>16</v>
      </c>
      <c r="T3" s="7">
        <v>17</v>
      </c>
      <c r="U3" s="7">
        <v>18</v>
      </c>
      <c r="V3" s="7">
        <v>19</v>
      </c>
      <c r="W3" s="7">
        <v>20</v>
      </c>
      <c r="X3" s="7">
        <v>21</v>
      </c>
      <c r="Y3" s="7">
        <v>22</v>
      </c>
      <c r="Z3" s="7">
        <v>23</v>
      </c>
      <c r="AA3" s="7">
        <v>24</v>
      </c>
      <c r="AB3" s="7">
        <v>25</v>
      </c>
      <c r="AC3" s="7">
        <v>26</v>
      </c>
      <c r="AD3" s="7">
        <v>27</v>
      </c>
      <c r="AE3" s="7">
        <v>28</v>
      </c>
      <c r="AF3" s="7">
        <v>29</v>
      </c>
      <c r="AG3" s="7">
        <v>30</v>
      </c>
      <c r="AH3" s="7">
        <v>31</v>
      </c>
      <c r="AI3" s="7">
        <v>32</v>
      </c>
      <c r="AJ3" s="7">
        <v>33</v>
      </c>
      <c r="AK3" s="7">
        <v>34</v>
      </c>
      <c r="AL3" s="7">
        <v>35</v>
      </c>
      <c r="AM3" s="7">
        <v>36</v>
      </c>
    </row>
    <row r="4" spans="1:39" x14ac:dyDescent="0.15">
      <c r="A4" s="5" t="s">
        <v>947</v>
      </c>
      <c r="C4" s="18" t="s">
        <v>858</v>
      </c>
      <c r="D4" s="18" t="s">
        <v>859</v>
      </c>
      <c r="E4" s="21" t="s">
        <v>946</v>
      </c>
      <c r="F4" s="7" t="s">
        <v>860</v>
      </c>
      <c r="G4" s="7" t="s">
        <v>889</v>
      </c>
      <c r="H4" s="19" t="s">
        <v>861</v>
      </c>
      <c r="I4" s="19" t="s">
        <v>862</v>
      </c>
      <c r="J4" s="7" t="s">
        <v>863</v>
      </c>
      <c r="K4" s="7" t="s">
        <v>884</v>
      </c>
      <c r="L4" s="7" t="s">
        <v>864</v>
      </c>
      <c r="M4" s="7" t="s">
        <v>890</v>
      </c>
      <c r="N4" s="7" t="s">
        <v>865</v>
      </c>
      <c r="O4" s="7" t="s">
        <v>866</v>
      </c>
      <c r="P4" s="7" t="s">
        <v>867</v>
      </c>
      <c r="Q4" s="7" t="s">
        <v>885</v>
      </c>
      <c r="R4" s="7" t="s">
        <v>868</v>
      </c>
      <c r="S4" s="7" t="s">
        <v>891</v>
      </c>
      <c r="T4" s="7" t="s">
        <v>869</v>
      </c>
      <c r="U4" s="7" t="s">
        <v>870</v>
      </c>
      <c r="V4" s="7" t="s">
        <v>871</v>
      </c>
      <c r="W4" s="7" t="s">
        <v>886</v>
      </c>
      <c r="X4" s="7" t="s">
        <v>872</v>
      </c>
      <c r="Y4" s="7" t="s">
        <v>892</v>
      </c>
      <c r="Z4" s="7" t="s">
        <v>873</v>
      </c>
      <c r="AA4" s="7" t="s">
        <v>874</v>
      </c>
      <c r="AB4" s="7" t="s">
        <v>875</v>
      </c>
      <c r="AC4" s="7" t="s">
        <v>887</v>
      </c>
      <c r="AD4" s="7" t="s">
        <v>876</v>
      </c>
      <c r="AE4" s="7" t="s">
        <v>893</v>
      </c>
      <c r="AF4" s="7" t="s">
        <v>877</v>
      </c>
      <c r="AG4" s="7" t="s">
        <v>878</v>
      </c>
      <c r="AH4" s="7" t="s">
        <v>879</v>
      </c>
      <c r="AI4" s="7" t="s">
        <v>888</v>
      </c>
      <c r="AJ4" s="7" t="s">
        <v>880</v>
      </c>
      <c r="AK4" s="19" t="s">
        <v>881</v>
      </c>
      <c r="AL4" s="19" t="s">
        <v>882</v>
      </c>
      <c r="AM4" s="19" t="s">
        <v>883</v>
      </c>
    </row>
    <row r="5" spans="1:39" x14ac:dyDescent="0.15">
      <c r="A5" s="5" t="s">
        <v>948</v>
      </c>
      <c r="B5" s="7">
        <v>1</v>
      </c>
      <c r="C5" s="7">
        <v>101</v>
      </c>
      <c r="D5" s="7" t="s">
        <v>738</v>
      </c>
      <c r="E5" s="19" t="s">
        <v>894</v>
      </c>
      <c r="F5" s="7">
        <f>C5*100+1</f>
        <v>10101</v>
      </c>
      <c r="G5" s="19" t="s">
        <v>896</v>
      </c>
      <c r="H5" s="7" t="s">
        <v>895</v>
      </c>
      <c r="I5" s="7">
        <f>ROUND($B5^0.93,0)</f>
        <v>1</v>
      </c>
      <c r="J5" s="19" t="s">
        <v>894</v>
      </c>
      <c r="K5" s="7">
        <v>30</v>
      </c>
      <c r="L5" s="7">
        <f>C5*100+2</f>
        <v>10102</v>
      </c>
      <c r="M5" s="19" t="s">
        <v>898</v>
      </c>
      <c r="N5" s="7" t="s">
        <v>897</v>
      </c>
      <c r="O5" s="7">
        <f>ROUND($B5^0.9,0)</f>
        <v>1</v>
      </c>
      <c r="P5" s="19" t="str">
        <f>J5</f>
        <v>飞行系</v>
      </c>
      <c r="Q5" s="7">
        <v>10</v>
      </c>
      <c r="R5" s="7">
        <f>C5*100+3</f>
        <v>10103</v>
      </c>
      <c r="S5" s="19" t="str">
        <f>GetMonsterName(V5)</f>
        <v>恶魔蝙蝠</v>
      </c>
      <c r="T5" s="7" t="str">
        <f t="shared" ref="T5:T36" si="0">VLOOKUP(S5,monstername1,2,FALSE)</f>
        <v>CB742AAA</v>
      </c>
      <c r="U5" s="7">
        <f>I5</f>
        <v>1</v>
      </c>
      <c r="V5" s="19" t="str">
        <f>P5</f>
        <v>飞行系</v>
      </c>
      <c r="W5" s="7">
        <v>30</v>
      </c>
      <c r="X5" s="7">
        <f>C5*100+4</f>
        <v>10104</v>
      </c>
      <c r="Y5" s="19" t="str">
        <f>GetMonsterName("0")</f>
        <v>多毛蜘蛛</v>
      </c>
      <c r="Z5" s="7" t="str">
        <f t="shared" ref="Z5:Z36" si="1">VLOOKUP(Y5,monstername1,2,FALSE)</f>
        <v>CB613AAA</v>
      </c>
      <c r="AA5" s="7">
        <f>ROUND($B5^0.9,0)</f>
        <v>1</v>
      </c>
      <c r="AB5" s="19" t="str">
        <f t="shared" ref="AB5:AB36" si="2">VLOOKUP(Y5,monstername1,4,FALSE)</f>
        <v>暗系</v>
      </c>
      <c r="AC5" s="7">
        <v>30</v>
      </c>
      <c r="AD5" s="7">
        <f>X5+1</f>
        <v>10105</v>
      </c>
      <c r="AE5" s="19" t="str">
        <f>GetMonsterName("0")</f>
        <v>铜矿怪</v>
      </c>
      <c r="AF5" s="7" t="str">
        <f t="shared" ref="AF5:AF36" si="3">VLOOKUP(AE5,monstername1,2,FALSE)</f>
        <v>CB756AAA</v>
      </c>
      <c r="AG5" s="7">
        <f>ROUND($B5^0.93,0)</f>
        <v>1</v>
      </c>
      <c r="AH5" s="19" t="str">
        <f t="shared" ref="AH5:AH36" si="4">VLOOKUP(AE5,monstername1,4,FALSE)</f>
        <v>金属系</v>
      </c>
      <c r="AI5" s="7">
        <v>30</v>
      </c>
      <c r="AJ5" s="19" t="s">
        <v>901</v>
      </c>
      <c r="AK5" s="7" t="s">
        <v>900</v>
      </c>
      <c r="AL5" s="7">
        <f>AG5</f>
        <v>1</v>
      </c>
      <c r="AM5" s="19" t="s">
        <v>902</v>
      </c>
    </row>
    <row r="6" spans="1:39" x14ac:dyDescent="0.15">
      <c r="A6" s="5" t="s">
        <v>949</v>
      </c>
      <c r="B6" s="7">
        <v>2</v>
      </c>
      <c r="C6" s="7">
        <v>102</v>
      </c>
      <c r="D6" s="7" t="s">
        <v>739</v>
      </c>
      <c r="E6" s="19" t="s">
        <v>894</v>
      </c>
      <c r="F6" s="7">
        <f t="shared" ref="F6:F69" si="5">C6*100+1</f>
        <v>10201</v>
      </c>
      <c r="G6" s="19" t="s">
        <v>896</v>
      </c>
      <c r="H6" s="7" t="s">
        <v>895</v>
      </c>
      <c r="I6" s="7">
        <f t="shared" ref="I6:I69" si="6">ROUND($B6^0.93,0)</f>
        <v>2</v>
      </c>
      <c r="J6" s="19" t="s">
        <v>894</v>
      </c>
      <c r="K6" s="7">
        <v>30</v>
      </c>
      <c r="L6" s="7">
        <f t="shared" ref="L6:L69" si="7">C6*100+2</f>
        <v>10202</v>
      </c>
      <c r="M6" s="19" t="s">
        <v>898</v>
      </c>
      <c r="N6" s="7" t="s">
        <v>897</v>
      </c>
      <c r="O6" s="7">
        <f t="shared" ref="O6:O69" si="8">ROUND($B6^0.9,0)</f>
        <v>2</v>
      </c>
      <c r="P6" s="19" t="str">
        <f t="shared" ref="P6:P69" si="9">J6</f>
        <v>飞行系</v>
      </c>
      <c r="Q6" s="7">
        <v>10</v>
      </c>
      <c r="R6" s="7">
        <f t="shared" ref="R6:R69" si="10">C6*100+3</f>
        <v>10203</v>
      </c>
      <c r="S6" s="19" t="str">
        <f t="shared" ref="S6:S69" si="11">GetMonsterName(V6)</f>
        <v>愤怒蝙蝠</v>
      </c>
      <c r="T6" s="7" t="str">
        <f t="shared" si="0"/>
        <v>CB742AAA</v>
      </c>
      <c r="U6" s="7">
        <f t="shared" ref="U6:U69" si="12">I6</f>
        <v>2</v>
      </c>
      <c r="V6" s="19" t="str">
        <f t="shared" ref="V6:V69" si="13">P6</f>
        <v>飞行系</v>
      </c>
      <c r="W6" s="7">
        <v>30</v>
      </c>
      <c r="X6" s="7">
        <f t="shared" ref="X6:X69" si="14">C6*100+4</f>
        <v>10204</v>
      </c>
      <c r="Y6" s="19" t="str">
        <f t="shared" ref="Y6:Y69" si="15">GetMonsterName("0")</f>
        <v>雷之盗贼</v>
      </c>
      <c r="Z6" s="7" t="str">
        <f t="shared" si="1"/>
        <v>CB223AAA</v>
      </c>
      <c r="AA6" s="7">
        <f t="shared" ref="AA6:AA69" si="16">U6</f>
        <v>2</v>
      </c>
      <c r="AB6" s="19" t="str">
        <f t="shared" si="2"/>
        <v>雷系</v>
      </c>
      <c r="AC6" s="7">
        <v>30</v>
      </c>
      <c r="AD6" s="7">
        <f t="shared" ref="AD6:AD69" si="17">X6+1</f>
        <v>10205</v>
      </c>
      <c r="AE6" s="19" t="str">
        <f t="shared" ref="AE6:AE69" si="18">GetMonsterName("0")</f>
        <v>僵硬蟒蛇</v>
      </c>
      <c r="AF6" s="7" t="str">
        <f t="shared" si="3"/>
        <v>CB732AAA</v>
      </c>
      <c r="AG6" s="7">
        <f t="shared" ref="AG6:AG69" si="19">AA6</f>
        <v>2</v>
      </c>
      <c r="AH6" s="19" t="str">
        <f t="shared" si="4"/>
        <v>僵尸系</v>
      </c>
      <c r="AI6" s="7">
        <v>30</v>
      </c>
      <c r="AJ6" s="19" t="s">
        <v>1065</v>
      </c>
      <c r="AK6" s="7" t="s">
        <v>1064</v>
      </c>
      <c r="AL6" s="7">
        <f t="shared" ref="AL6:AL69" si="20">AG6</f>
        <v>2</v>
      </c>
      <c r="AM6" s="5" t="s">
        <v>949</v>
      </c>
    </row>
    <row r="7" spans="1:39" x14ac:dyDescent="0.15">
      <c r="A7" s="5" t="s">
        <v>950</v>
      </c>
      <c r="B7" s="7">
        <v>3</v>
      </c>
      <c r="C7" s="7">
        <v>103</v>
      </c>
      <c r="D7" s="7" t="s">
        <v>740</v>
      </c>
      <c r="E7" s="19" t="s">
        <v>894</v>
      </c>
      <c r="F7" s="7">
        <f t="shared" si="5"/>
        <v>10301</v>
      </c>
      <c r="G7" s="19" t="s">
        <v>944</v>
      </c>
      <c r="H7" s="7" t="s">
        <v>943</v>
      </c>
      <c r="I7" s="7">
        <f t="shared" si="6"/>
        <v>3</v>
      </c>
      <c r="J7" s="19" t="s">
        <v>894</v>
      </c>
      <c r="K7" s="7">
        <v>30</v>
      </c>
      <c r="L7" s="7">
        <f t="shared" si="7"/>
        <v>10302</v>
      </c>
      <c r="M7" s="19" t="s">
        <v>1063</v>
      </c>
      <c r="N7" s="7" t="s">
        <v>895</v>
      </c>
      <c r="O7" s="7">
        <f t="shared" si="8"/>
        <v>3</v>
      </c>
      <c r="P7" s="19" t="str">
        <f t="shared" si="9"/>
        <v>飞行系</v>
      </c>
      <c r="Q7" s="7">
        <v>10</v>
      </c>
      <c r="R7" s="7">
        <f t="shared" si="10"/>
        <v>10303</v>
      </c>
      <c r="S7" s="19" t="str">
        <f t="shared" si="11"/>
        <v>恶魔蝙蝠</v>
      </c>
      <c r="T7" s="7" t="str">
        <f t="shared" si="0"/>
        <v>CB742AAA</v>
      </c>
      <c r="U7" s="7">
        <f t="shared" si="12"/>
        <v>3</v>
      </c>
      <c r="V7" s="19" t="str">
        <f t="shared" si="13"/>
        <v>飞行系</v>
      </c>
      <c r="W7" s="7">
        <v>30</v>
      </c>
      <c r="X7" s="7">
        <f t="shared" si="14"/>
        <v>10304</v>
      </c>
      <c r="Y7" s="19" t="str">
        <f t="shared" si="15"/>
        <v>飞蛇</v>
      </c>
      <c r="Z7" s="7" t="str">
        <f t="shared" si="1"/>
        <v>CB734AAA</v>
      </c>
      <c r="AA7" s="7">
        <f t="shared" si="16"/>
        <v>3</v>
      </c>
      <c r="AB7" s="19" t="str">
        <f t="shared" si="2"/>
        <v>飞行系</v>
      </c>
      <c r="AC7" s="7">
        <v>30</v>
      </c>
      <c r="AD7" s="7">
        <f t="shared" si="17"/>
        <v>10305</v>
      </c>
      <c r="AE7" s="19" t="str">
        <f t="shared" si="18"/>
        <v>多毛蜘蛛</v>
      </c>
      <c r="AF7" s="7" t="str">
        <f t="shared" si="3"/>
        <v>CB613AAA</v>
      </c>
      <c r="AG7" s="7">
        <f t="shared" si="19"/>
        <v>3</v>
      </c>
      <c r="AH7" s="19" t="str">
        <f t="shared" si="4"/>
        <v>暗系</v>
      </c>
      <c r="AI7" s="7">
        <v>30</v>
      </c>
      <c r="AJ7" s="19" t="s">
        <v>1067</v>
      </c>
      <c r="AK7" s="7" t="s">
        <v>1066</v>
      </c>
      <c r="AL7" s="7">
        <f t="shared" si="20"/>
        <v>3</v>
      </c>
      <c r="AM7" s="5" t="s">
        <v>949</v>
      </c>
    </row>
    <row r="8" spans="1:39" x14ac:dyDescent="0.15">
      <c r="A8" s="5" t="s">
        <v>951</v>
      </c>
      <c r="B8" s="7">
        <v>4</v>
      </c>
      <c r="C8" s="7">
        <v>104</v>
      </c>
      <c r="D8" s="7" t="s">
        <v>741</v>
      </c>
      <c r="E8" s="19" t="s">
        <v>894</v>
      </c>
      <c r="F8" s="7">
        <f t="shared" si="5"/>
        <v>10401</v>
      </c>
      <c r="G8" s="19" t="s">
        <v>969</v>
      </c>
      <c r="H8" s="7" t="s">
        <v>968</v>
      </c>
      <c r="I8" s="7">
        <f t="shared" si="6"/>
        <v>4</v>
      </c>
      <c r="J8" s="19" t="s">
        <v>894</v>
      </c>
      <c r="K8" s="7">
        <v>30</v>
      </c>
      <c r="L8" s="7">
        <f t="shared" si="7"/>
        <v>10402</v>
      </c>
      <c r="M8" s="19" t="s">
        <v>944</v>
      </c>
      <c r="N8" s="7" t="s">
        <v>943</v>
      </c>
      <c r="O8" s="7">
        <f t="shared" si="8"/>
        <v>3</v>
      </c>
      <c r="P8" s="19" t="str">
        <f t="shared" si="9"/>
        <v>飞行系</v>
      </c>
      <c r="Q8" s="7">
        <v>10</v>
      </c>
      <c r="R8" s="7">
        <f t="shared" si="10"/>
        <v>10403</v>
      </c>
      <c r="S8" s="19" t="str">
        <f t="shared" si="11"/>
        <v>魔鬼幽魂</v>
      </c>
      <c r="T8" s="7" t="str">
        <f t="shared" si="0"/>
        <v>CB811AAA</v>
      </c>
      <c r="U8" s="7">
        <f t="shared" si="12"/>
        <v>4</v>
      </c>
      <c r="V8" s="19" t="str">
        <f t="shared" si="13"/>
        <v>飞行系</v>
      </c>
      <c r="W8" s="7">
        <v>30</v>
      </c>
      <c r="X8" s="7">
        <f t="shared" si="14"/>
        <v>10404</v>
      </c>
      <c r="Y8" s="19" t="str">
        <f t="shared" si="15"/>
        <v>盗贼</v>
      </c>
      <c r="Z8" s="7" t="str">
        <f t="shared" si="1"/>
        <v>CB224AAA</v>
      </c>
      <c r="AA8" s="7">
        <f t="shared" si="16"/>
        <v>4</v>
      </c>
      <c r="AB8" s="19" t="str">
        <f t="shared" si="2"/>
        <v>暗系</v>
      </c>
      <c r="AC8" s="7">
        <v>30</v>
      </c>
      <c r="AD8" s="7">
        <f t="shared" si="17"/>
        <v>10405</v>
      </c>
      <c r="AE8" s="19" t="str">
        <f t="shared" si="18"/>
        <v>碧蓝湖灵</v>
      </c>
      <c r="AF8" s="7" t="str">
        <f t="shared" si="3"/>
        <v>CB401AAA</v>
      </c>
      <c r="AG8" s="7">
        <f t="shared" si="19"/>
        <v>4</v>
      </c>
      <c r="AH8" s="19" t="str">
        <f t="shared" si="4"/>
        <v>水系</v>
      </c>
      <c r="AI8" s="7">
        <v>30</v>
      </c>
      <c r="AJ8" s="19" t="s">
        <v>1069</v>
      </c>
      <c r="AK8" s="7" t="s">
        <v>1068</v>
      </c>
      <c r="AL8" s="7">
        <f t="shared" si="20"/>
        <v>4</v>
      </c>
      <c r="AM8" s="5" t="s">
        <v>949</v>
      </c>
    </row>
    <row r="9" spans="1:39" x14ac:dyDescent="0.15">
      <c r="A9" s="5" t="s">
        <v>952</v>
      </c>
      <c r="B9" s="7">
        <v>5</v>
      </c>
      <c r="C9" s="7">
        <v>105</v>
      </c>
      <c r="D9" s="7" t="s">
        <v>742</v>
      </c>
      <c r="E9" s="19" t="s">
        <v>894</v>
      </c>
      <c r="F9" s="7">
        <f t="shared" si="5"/>
        <v>10501</v>
      </c>
      <c r="G9" s="19" t="s">
        <v>971</v>
      </c>
      <c r="H9" s="7" t="s">
        <v>970</v>
      </c>
      <c r="I9" s="7">
        <f t="shared" si="6"/>
        <v>4</v>
      </c>
      <c r="J9" s="19" t="s">
        <v>894</v>
      </c>
      <c r="K9" s="7">
        <v>30</v>
      </c>
      <c r="L9" s="7">
        <f t="shared" si="7"/>
        <v>10502</v>
      </c>
      <c r="M9" s="19" t="s">
        <v>969</v>
      </c>
      <c r="N9" s="7" t="s">
        <v>968</v>
      </c>
      <c r="O9" s="7">
        <f t="shared" si="8"/>
        <v>4</v>
      </c>
      <c r="P9" s="19" t="str">
        <f t="shared" si="9"/>
        <v>飞行系</v>
      </c>
      <c r="Q9" s="7">
        <v>10</v>
      </c>
      <c r="R9" s="7">
        <f t="shared" si="10"/>
        <v>10503</v>
      </c>
      <c r="S9" s="19" t="str">
        <f t="shared" si="11"/>
        <v>恶魔</v>
      </c>
      <c r="T9" s="7" t="str">
        <f t="shared" si="0"/>
        <v>CB507AAA</v>
      </c>
      <c r="U9" s="7">
        <f t="shared" si="12"/>
        <v>4</v>
      </c>
      <c r="V9" s="19" t="str">
        <f t="shared" si="13"/>
        <v>飞行系</v>
      </c>
      <c r="W9" s="7">
        <v>30</v>
      </c>
      <c r="X9" s="7">
        <f t="shared" si="14"/>
        <v>10504</v>
      </c>
      <c r="Y9" s="19" t="str">
        <f t="shared" si="15"/>
        <v>魔鬼鱼</v>
      </c>
      <c r="Z9" s="7" t="str">
        <f t="shared" si="1"/>
        <v>CB633AAA</v>
      </c>
      <c r="AA9" s="7">
        <f t="shared" si="16"/>
        <v>4</v>
      </c>
      <c r="AB9" s="19" t="str">
        <f t="shared" si="2"/>
        <v>飞行系</v>
      </c>
      <c r="AC9" s="7">
        <v>30</v>
      </c>
      <c r="AD9" s="7">
        <f t="shared" si="17"/>
        <v>10505</v>
      </c>
      <c r="AE9" s="19" t="str">
        <f t="shared" si="18"/>
        <v>硬质魔球</v>
      </c>
      <c r="AF9" s="7" t="str">
        <f t="shared" si="3"/>
        <v>CB892AAA</v>
      </c>
      <c r="AG9" s="7">
        <f t="shared" si="19"/>
        <v>4</v>
      </c>
      <c r="AH9" s="19" t="str">
        <f t="shared" si="4"/>
        <v>金属系</v>
      </c>
      <c r="AI9" s="7">
        <v>30</v>
      </c>
      <c r="AJ9" s="19" t="s">
        <v>1071</v>
      </c>
      <c r="AK9" s="7" t="s">
        <v>1070</v>
      </c>
      <c r="AL9" s="7">
        <f t="shared" si="20"/>
        <v>4</v>
      </c>
      <c r="AM9" s="19" t="s">
        <v>894</v>
      </c>
    </row>
    <row r="10" spans="1:39" x14ac:dyDescent="0.15">
      <c r="A10" s="5" t="s">
        <v>953</v>
      </c>
      <c r="B10" s="7">
        <v>6</v>
      </c>
      <c r="C10" s="7">
        <v>201</v>
      </c>
      <c r="D10" s="7" t="s">
        <v>743</v>
      </c>
      <c r="E10" s="19" t="s">
        <v>958</v>
      </c>
      <c r="F10" s="7">
        <f t="shared" si="5"/>
        <v>20101</v>
      </c>
      <c r="G10" s="19" t="s">
        <v>999</v>
      </c>
      <c r="H10" s="7" t="s">
        <v>972</v>
      </c>
      <c r="I10" s="7">
        <f t="shared" si="6"/>
        <v>5</v>
      </c>
      <c r="J10" s="7" t="str">
        <f>E10</f>
        <v>水系</v>
      </c>
      <c r="K10" s="7">
        <v>30</v>
      </c>
      <c r="L10" s="7">
        <f t="shared" si="7"/>
        <v>20102</v>
      </c>
      <c r="M10" s="19" t="s">
        <v>1001</v>
      </c>
      <c r="N10" s="7" t="s">
        <v>973</v>
      </c>
      <c r="O10" s="7">
        <f t="shared" si="8"/>
        <v>5</v>
      </c>
      <c r="P10" s="19" t="str">
        <f t="shared" si="9"/>
        <v>水系</v>
      </c>
      <c r="Q10" s="7">
        <v>10</v>
      </c>
      <c r="R10" s="7">
        <f t="shared" si="10"/>
        <v>20103</v>
      </c>
      <c r="S10" s="19" t="str">
        <f t="shared" si="11"/>
        <v>幽怨湖灵</v>
      </c>
      <c r="T10" s="7" t="str">
        <f t="shared" si="0"/>
        <v>CB401AAA</v>
      </c>
      <c r="U10" s="7">
        <f t="shared" si="12"/>
        <v>5</v>
      </c>
      <c r="V10" s="19" t="str">
        <f t="shared" si="13"/>
        <v>水系</v>
      </c>
      <c r="W10" s="7">
        <v>30</v>
      </c>
      <c r="X10" s="7">
        <f t="shared" si="14"/>
        <v>20104</v>
      </c>
      <c r="Y10" s="19" t="str">
        <f t="shared" si="15"/>
        <v>水之女护卫</v>
      </c>
      <c r="Z10" s="7" t="str">
        <f t="shared" si="1"/>
        <v>CB766AAA</v>
      </c>
      <c r="AA10" s="7">
        <f t="shared" si="16"/>
        <v>5</v>
      </c>
      <c r="AB10" s="19" t="str">
        <f t="shared" si="2"/>
        <v>水系</v>
      </c>
      <c r="AC10" s="7">
        <v>30</v>
      </c>
      <c r="AD10" s="7">
        <f t="shared" si="17"/>
        <v>20105</v>
      </c>
      <c r="AE10" s="19" t="str">
        <f t="shared" si="18"/>
        <v>青色独眼巨人</v>
      </c>
      <c r="AF10" s="7" t="str">
        <f t="shared" si="3"/>
        <v>CB376AAA</v>
      </c>
      <c r="AG10" s="7">
        <f t="shared" si="19"/>
        <v>5</v>
      </c>
      <c r="AH10" s="19" t="str">
        <f t="shared" si="4"/>
        <v>土系</v>
      </c>
      <c r="AI10" s="7">
        <v>30</v>
      </c>
      <c r="AJ10" s="19" t="s">
        <v>1073</v>
      </c>
      <c r="AK10" s="7" t="s">
        <v>1072</v>
      </c>
      <c r="AL10" s="7">
        <f t="shared" si="20"/>
        <v>5</v>
      </c>
      <c r="AM10" s="19" t="s">
        <v>958</v>
      </c>
    </row>
    <row r="11" spans="1:39" x14ac:dyDescent="0.15">
      <c r="A11" s="5" t="s">
        <v>954</v>
      </c>
      <c r="B11" s="7">
        <v>7</v>
      </c>
      <c r="C11" s="7">
        <v>202</v>
      </c>
      <c r="D11" s="7" t="s">
        <v>744</v>
      </c>
      <c r="E11" s="19" t="s">
        <v>959</v>
      </c>
      <c r="F11" s="7">
        <f t="shared" si="5"/>
        <v>20201</v>
      </c>
      <c r="G11" s="19" t="s">
        <v>1001</v>
      </c>
      <c r="H11" s="7" t="s">
        <v>973</v>
      </c>
      <c r="I11" s="7">
        <f t="shared" si="6"/>
        <v>6</v>
      </c>
      <c r="J11" s="7" t="str">
        <f t="shared" ref="J11:J74" si="21">E11</f>
        <v>水系</v>
      </c>
      <c r="K11" s="7">
        <v>30</v>
      </c>
      <c r="L11" s="7">
        <f t="shared" si="7"/>
        <v>20202</v>
      </c>
      <c r="M11" s="19" t="s">
        <v>975</v>
      </c>
      <c r="N11" s="7" t="s">
        <v>972</v>
      </c>
      <c r="O11" s="7">
        <f t="shared" si="8"/>
        <v>6</v>
      </c>
      <c r="P11" s="19" t="str">
        <f t="shared" si="9"/>
        <v>水系</v>
      </c>
      <c r="Q11" s="7">
        <v>10</v>
      </c>
      <c r="R11" s="7">
        <f t="shared" si="10"/>
        <v>20203</v>
      </c>
      <c r="S11" s="19" t="str">
        <f t="shared" si="11"/>
        <v>幽怨湖灵</v>
      </c>
      <c r="T11" s="7" t="str">
        <f t="shared" si="0"/>
        <v>CB401AAA</v>
      </c>
      <c r="U11" s="7">
        <f t="shared" si="12"/>
        <v>6</v>
      </c>
      <c r="V11" s="19" t="str">
        <f t="shared" si="13"/>
        <v>水系</v>
      </c>
      <c r="W11" s="7">
        <v>30</v>
      </c>
      <c r="X11" s="7">
        <f t="shared" si="14"/>
        <v>20204</v>
      </c>
      <c r="Y11" s="19" t="str">
        <f t="shared" si="15"/>
        <v>小恶魔</v>
      </c>
      <c r="Z11" s="7" t="str">
        <f t="shared" si="1"/>
        <v>CB357AAA</v>
      </c>
      <c r="AA11" s="7">
        <f t="shared" si="16"/>
        <v>6</v>
      </c>
      <c r="AB11" s="19" t="str">
        <f t="shared" si="2"/>
        <v>金属系</v>
      </c>
      <c r="AC11" s="7">
        <v>30</v>
      </c>
      <c r="AD11" s="7">
        <f t="shared" si="17"/>
        <v>20205</v>
      </c>
      <c r="AE11" s="19" t="str">
        <f t="shared" si="18"/>
        <v>雷之盗贼</v>
      </c>
      <c r="AF11" s="7" t="str">
        <f t="shared" si="3"/>
        <v>CB223AAA</v>
      </c>
      <c r="AG11" s="7">
        <f t="shared" si="19"/>
        <v>6</v>
      </c>
      <c r="AH11" s="19" t="str">
        <f t="shared" si="4"/>
        <v>雷系</v>
      </c>
      <c r="AI11" s="7">
        <v>30</v>
      </c>
      <c r="AJ11" s="19" t="s">
        <v>1075</v>
      </c>
      <c r="AK11" s="7" t="s">
        <v>1074</v>
      </c>
      <c r="AL11" s="7">
        <f t="shared" si="20"/>
        <v>6</v>
      </c>
      <c r="AM11" s="19" t="s">
        <v>958</v>
      </c>
    </row>
    <row r="12" spans="1:39" x14ac:dyDescent="0.15">
      <c r="A12" s="5" t="s">
        <v>955</v>
      </c>
      <c r="B12" s="7">
        <v>8</v>
      </c>
      <c r="C12" s="7">
        <v>203</v>
      </c>
      <c r="D12" s="7" t="s">
        <v>745</v>
      </c>
      <c r="E12" s="19" t="s">
        <v>958</v>
      </c>
      <c r="F12" s="7">
        <f t="shared" si="5"/>
        <v>20301</v>
      </c>
      <c r="G12" s="19" t="s">
        <v>975</v>
      </c>
      <c r="H12" s="7" t="s">
        <v>972</v>
      </c>
      <c r="I12" s="7">
        <f t="shared" si="6"/>
        <v>7</v>
      </c>
      <c r="J12" s="7" t="str">
        <f t="shared" si="21"/>
        <v>水系</v>
      </c>
      <c r="K12" s="7">
        <v>30</v>
      </c>
      <c r="L12" s="7">
        <f t="shared" si="7"/>
        <v>20302</v>
      </c>
      <c r="M12" s="7" t="str">
        <f>GetMonsterName(P12)</f>
        <v>水恶魔</v>
      </c>
      <c r="N12" s="7" t="str">
        <f t="shared" ref="N12:N43" si="22">VLOOKUP(M12,monstername1,2,FALSE)</f>
        <v>CB852AAA</v>
      </c>
      <c r="O12" s="7">
        <f t="shared" si="8"/>
        <v>6</v>
      </c>
      <c r="P12" s="19" t="str">
        <f t="shared" si="9"/>
        <v>水系</v>
      </c>
      <c r="Q12" s="7">
        <v>10</v>
      </c>
      <c r="R12" s="7">
        <f t="shared" si="10"/>
        <v>20303</v>
      </c>
      <c r="S12" s="19" t="str">
        <f t="shared" si="11"/>
        <v>水之女护卫</v>
      </c>
      <c r="T12" s="7" t="str">
        <f t="shared" si="0"/>
        <v>CB766AAA</v>
      </c>
      <c r="U12" s="7">
        <f t="shared" si="12"/>
        <v>7</v>
      </c>
      <c r="V12" s="19" t="str">
        <f t="shared" si="13"/>
        <v>水系</v>
      </c>
      <c r="W12" s="7">
        <v>30</v>
      </c>
      <c r="X12" s="7">
        <f t="shared" si="14"/>
        <v>20304</v>
      </c>
      <c r="Y12" s="19" t="str">
        <f t="shared" si="15"/>
        <v>赤色独眼巨人</v>
      </c>
      <c r="Z12" s="7" t="str">
        <f t="shared" si="1"/>
        <v>CB371AAA</v>
      </c>
      <c r="AA12" s="7">
        <f t="shared" si="16"/>
        <v>7</v>
      </c>
      <c r="AB12" s="19" t="str">
        <f t="shared" si="2"/>
        <v>火系</v>
      </c>
      <c r="AC12" s="7">
        <v>30</v>
      </c>
      <c r="AD12" s="7">
        <f t="shared" si="17"/>
        <v>20305</v>
      </c>
      <c r="AE12" s="19" t="str">
        <f t="shared" si="18"/>
        <v>盗贼</v>
      </c>
      <c r="AF12" s="7" t="str">
        <f t="shared" si="3"/>
        <v>CB224AAA</v>
      </c>
      <c r="AG12" s="7">
        <f t="shared" si="19"/>
        <v>7</v>
      </c>
      <c r="AH12" s="19" t="str">
        <f t="shared" si="4"/>
        <v>暗系</v>
      </c>
      <c r="AI12" s="7">
        <v>30</v>
      </c>
      <c r="AJ12" s="19" t="s">
        <v>1076</v>
      </c>
      <c r="AK12" s="7" t="s">
        <v>1077</v>
      </c>
      <c r="AL12" s="7">
        <f t="shared" si="20"/>
        <v>7</v>
      </c>
      <c r="AM12" s="19" t="s">
        <v>958</v>
      </c>
    </row>
    <row r="13" spans="1:39" x14ac:dyDescent="0.15">
      <c r="A13" s="5" t="s">
        <v>956</v>
      </c>
      <c r="B13" s="7">
        <v>9</v>
      </c>
      <c r="C13" s="7">
        <v>204</v>
      </c>
      <c r="D13" s="7" t="s">
        <v>746</v>
      </c>
      <c r="E13" s="19" t="s">
        <v>959</v>
      </c>
      <c r="F13" s="7">
        <f t="shared" si="5"/>
        <v>20401</v>
      </c>
      <c r="G13" s="19" t="s">
        <v>999</v>
      </c>
      <c r="H13" s="7" t="s">
        <v>973</v>
      </c>
      <c r="I13" s="7">
        <f t="shared" si="6"/>
        <v>8</v>
      </c>
      <c r="J13" s="7" t="str">
        <f t="shared" si="21"/>
        <v>水系</v>
      </c>
      <c r="K13" s="7">
        <v>30</v>
      </c>
      <c r="L13" s="7">
        <f t="shared" si="7"/>
        <v>20402</v>
      </c>
      <c r="M13" s="7" t="str">
        <f t="shared" ref="M13:M76" si="23">GetMonsterName(P13)</f>
        <v>愤怒湖灵</v>
      </c>
      <c r="N13" s="7" t="str">
        <f t="shared" si="22"/>
        <v>CB403AAA</v>
      </c>
      <c r="O13" s="7">
        <f t="shared" si="8"/>
        <v>7</v>
      </c>
      <c r="P13" s="19" t="str">
        <f t="shared" si="9"/>
        <v>水系</v>
      </c>
      <c r="Q13" s="7">
        <v>10</v>
      </c>
      <c r="R13" s="7">
        <f t="shared" si="10"/>
        <v>20403</v>
      </c>
      <c r="S13" s="19" t="str">
        <f t="shared" si="11"/>
        <v>愤怒湖灵</v>
      </c>
      <c r="T13" s="7" t="str">
        <f t="shared" si="0"/>
        <v>CB403AAA</v>
      </c>
      <c r="U13" s="7">
        <f t="shared" si="12"/>
        <v>8</v>
      </c>
      <c r="V13" s="19" t="str">
        <f t="shared" si="13"/>
        <v>水系</v>
      </c>
      <c r="W13" s="7">
        <v>30</v>
      </c>
      <c r="X13" s="7">
        <f t="shared" si="14"/>
        <v>20404</v>
      </c>
      <c r="Y13" s="19" t="str">
        <f t="shared" si="15"/>
        <v>黑暗盗贼</v>
      </c>
      <c r="Z13" s="7" t="str">
        <f t="shared" si="1"/>
        <v>CB225AAA</v>
      </c>
      <c r="AA13" s="7">
        <f t="shared" si="16"/>
        <v>8</v>
      </c>
      <c r="AB13" s="19" t="str">
        <f t="shared" si="2"/>
        <v>暗系</v>
      </c>
      <c r="AC13" s="7">
        <v>30</v>
      </c>
      <c r="AD13" s="7">
        <f t="shared" si="17"/>
        <v>20405</v>
      </c>
      <c r="AE13" s="19" t="str">
        <f t="shared" si="18"/>
        <v>狂躁巨人</v>
      </c>
      <c r="AF13" s="7" t="str">
        <f t="shared" si="3"/>
        <v>CB372AAA</v>
      </c>
      <c r="AG13" s="7">
        <f t="shared" si="19"/>
        <v>8</v>
      </c>
      <c r="AH13" s="19" t="str">
        <f t="shared" si="4"/>
        <v>金属系</v>
      </c>
      <c r="AI13" s="7">
        <v>30</v>
      </c>
      <c r="AJ13" s="19" t="s">
        <v>1078</v>
      </c>
      <c r="AK13" s="7" t="s">
        <v>1079</v>
      </c>
      <c r="AL13" s="7">
        <f t="shared" si="20"/>
        <v>8</v>
      </c>
      <c r="AM13" s="19" t="s">
        <v>952</v>
      </c>
    </row>
    <row r="14" spans="1:39" x14ac:dyDescent="0.15">
      <c r="A14" s="5" t="s">
        <v>957</v>
      </c>
      <c r="B14" s="7">
        <v>10</v>
      </c>
      <c r="C14" s="7">
        <v>205</v>
      </c>
      <c r="D14" s="7" t="s">
        <v>747</v>
      </c>
      <c r="E14" s="19" t="s">
        <v>958</v>
      </c>
      <c r="F14" s="7">
        <f t="shared" si="5"/>
        <v>20501</v>
      </c>
      <c r="G14" s="19" t="s">
        <v>1000</v>
      </c>
      <c r="H14" s="7" t="s">
        <v>974</v>
      </c>
      <c r="I14" s="7">
        <f t="shared" si="6"/>
        <v>9</v>
      </c>
      <c r="J14" s="7" t="str">
        <f t="shared" si="21"/>
        <v>水系</v>
      </c>
      <c r="K14" s="7">
        <v>30</v>
      </c>
      <c r="L14" s="7">
        <f t="shared" si="7"/>
        <v>20502</v>
      </c>
      <c r="M14" s="7" t="str">
        <f t="shared" si="23"/>
        <v>水之女护卫</v>
      </c>
      <c r="N14" s="7" t="str">
        <f t="shared" si="22"/>
        <v>CB766AAA</v>
      </c>
      <c r="O14" s="7">
        <f t="shared" si="8"/>
        <v>8</v>
      </c>
      <c r="P14" s="19" t="str">
        <f t="shared" si="9"/>
        <v>水系</v>
      </c>
      <c r="Q14" s="7">
        <v>10</v>
      </c>
      <c r="R14" s="7">
        <f t="shared" si="10"/>
        <v>20503</v>
      </c>
      <c r="S14" s="19" t="str">
        <f t="shared" si="11"/>
        <v>水恶魔</v>
      </c>
      <c r="T14" s="7" t="str">
        <f t="shared" si="0"/>
        <v>CB852AAA</v>
      </c>
      <c r="U14" s="7">
        <f t="shared" si="12"/>
        <v>9</v>
      </c>
      <c r="V14" s="19" t="str">
        <f t="shared" si="13"/>
        <v>水系</v>
      </c>
      <c r="W14" s="7">
        <v>30</v>
      </c>
      <c r="X14" s="7">
        <f t="shared" si="14"/>
        <v>20504</v>
      </c>
      <c r="Y14" s="19" t="str">
        <f t="shared" si="15"/>
        <v>土鳗兽</v>
      </c>
      <c r="Z14" s="7" t="str">
        <f t="shared" si="1"/>
        <v>CB733AAA</v>
      </c>
      <c r="AA14" s="7">
        <f t="shared" si="16"/>
        <v>9</v>
      </c>
      <c r="AB14" s="19" t="str">
        <f t="shared" si="2"/>
        <v>龙系</v>
      </c>
      <c r="AC14" s="7">
        <v>30</v>
      </c>
      <c r="AD14" s="7">
        <f t="shared" si="17"/>
        <v>20505</v>
      </c>
      <c r="AE14" s="19" t="str">
        <f t="shared" si="18"/>
        <v>魔鬼幽魂</v>
      </c>
      <c r="AF14" s="7" t="str">
        <f t="shared" si="3"/>
        <v>CB811AAA</v>
      </c>
      <c r="AG14" s="7">
        <f t="shared" si="19"/>
        <v>9</v>
      </c>
      <c r="AH14" s="19" t="str">
        <f t="shared" si="4"/>
        <v>飞行系</v>
      </c>
      <c r="AI14" s="7">
        <v>30</v>
      </c>
      <c r="AJ14" s="19" t="s">
        <v>1081</v>
      </c>
      <c r="AK14" s="7" t="s">
        <v>1080</v>
      </c>
      <c r="AL14" s="7">
        <f t="shared" si="20"/>
        <v>9</v>
      </c>
      <c r="AM14" s="19" t="s">
        <v>1082</v>
      </c>
    </row>
    <row r="15" spans="1:39" x14ac:dyDescent="0.15">
      <c r="B15" s="7">
        <v>11</v>
      </c>
      <c r="C15" s="7">
        <v>301</v>
      </c>
      <c r="D15" s="7" t="s">
        <v>748</v>
      </c>
      <c r="E15" s="19" t="s">
        <v>899</v>
      </c>
      <c r="F15" s="7">
        <f t="shared" si="5"/>
        <v>30101</v>
      </c>
      <c r="G15" s="19" t="s">
        <v>977</v>
      </c>
      <c r="H15" s="7" t="s">
        <v>976</v>
      </c>
      <c r="I15" s="7">
        <f t="shared" si="6"/>
        <v>9</v>
      </c>
      <c r="J15" s="7" t="str">
        <f t="shared" si="21"/>
        <v>僵尸系</v>
      </c>
      <c r="K15" s="7">
        <v>30</v>
      </c>
      <c r="L15" s="7">
        <f t="shared" si="7"/>
        <v>30102</v>
      </c>
      <c r="M15" s="7" t="str">
        <f t="shared" si="23"/>
        <v>恐怖泥人</v>
      </c>
      <c r="N15" s="7" t="str">
        <f t="shared" si="22"/>
        <v>CB411AAA</v>
      </c>
      <c r="O15" s="7">
        <f t="shared" si="8"/>
        <v>9</v>
      </c>
      <c r="P15" s="19" t="str">
        <f t="shared" si="9"/>
        <v>僵尸系</v>
      </c>
      <c r="Q15" s="7">
        <v>10</v>
      </c>
      <c r="R15" s="7">
        <f t="shared" si="10"/>
        <v>30103</v>
      </c>
      <c r="S15" s="19" t="str">
        <f t="shared" si="11"/>
        <v>恶灵</v>
      </c>
      <c r="T15" s="7" t="str">
        <f t="shared" si="0"/>
        <v>CB956AAA</v>
      </c>
      <c r="U15" s="7">
        <f t="shared" si="12"/>
        <v>9</v>
      </c>
      <c r="V15" s="19" t="str">
        <f t="shared" si="13"/>
        <v>僵尸系</v>
      </c>
      <c r="W15" s="7">
        <v>30</v>
      </c>
      <c r="X15" s="7">
        <f t="shared" si="14"/>
        <v>30104</v>
      </c>
      <c r="Y15" s="19" t="str">
        <f t="shared" si="15"/>
        <v>魔鬼幽魂</v>
      </c>
      <c r="Z15" s="7" t="str">
        <f t="shared" si="1"/>
        <v>CB811AAA</v>
      </c>
      <c r="AA15" s="7">
        <f t="shared" si="16"/>
        <v>9</v>
      </c>
      <c r="AB15" s="19" t="str">
        <f t="shared" si="2"/>
        <v>飞行系</v>
      </c>
      <c r="AC15" s="7">
        <v>30</v>
      </c>
      <c r="AD15" s="7">
        <f t="shared" si="17"/>
        <v>30105</v>
      </c>
      <c r="AE15" s="19" t="str">
        <f t="shared" si="18"/>
        <v>炎之虚幻</v>
      </c>
      <c r="AF15" s="7" t="str">
        <f t="shared" si="3"/>
        <v>CB762AAA</v>
      </c>
      <c r="AG15" s="7">
        <f t="shared" si="19"/>
        <v>9</v>
      </c>
      <c r="AH15" s="19" t="str">
        <f t="shared" si="4"/>
        <v>火系</v>
      </c>
      <c r="AI15" s="7">
        <v>30</v>
      </c>
      <c r="AJ15" s="19" t="s">
        <v>1084</v>
      </c>
      <c r="AK15" s="7" t="s">
        <v>1083</v>
      </c>
      <c r="AL15" s="7">
        <f t="shared" si="20"/>
        <v>9</v>
      </c>
      <c r="AM15" s="19" t="s">
        <v>1085</v>
      </c>
    </row>
    <row r="16" spans="1:39" x14ac:dyDescent="0.15">
      <c r="B16" s="7">
        <v>12</v>
      </c>
      <c r="C16" s="7">
        <v>302</v>
      </c>
      <c r="D16" s="7" t="s">
        <v>749</v>
      </c>
      <c r="E16" s="19" t="s">
        <v>899</v>
      </c>
      <c r="F16" s="7">
        <f t="shared" si="5"/>
        <v>30201</v>
      </c>
      <c r="G16" s="19" t="s">
        <v>977</v>
      </c>
      <c r="H16" s="7" t="s">
        <v>976</v>
      </c>
      <c r="I16" s="7">
        <f t="shared" si="6"/>
        <v>10</v>
      </c>
      <c r="J16" s="7" t="str">
        <f t="shared" si="21"/>
        <v>僵尸系</v>
      </c>
      <c r="K16" s="7">
        <v>30</v>
      </c>
      <c r="L16" s="7">
        <f t="shared" si="7"/>
        <v>30202</v>
      </c>
      <c r="M16" s="7" t="str">
        <f t="shared" si="23"/>
        <v>恐怖泥人</v>
      </c>
      <c r="N16" s="7" t="str">
        <f t="shared" si="22"/>
        <v>CB411AAA</v>
      </c>
      <c r="O16" s="7">
        <f t="shared" si="8"/>
        <v>9</v>
      </c>
      <c r="P16" s="19" t="str">
        <f t="shared" si="9"/>
        <v>僵尸系</v>
      </c>
      <c r="Q16" s="7">
        <v>10</v>
      </c>
      <c r="R16" s="7">
        <f t="shared" si="10"/>
        <v>30203</v>
      </c>
      <c r="S16" s="19" t="str">
        <f t="shared" si="11"/>
        <v>恶灵</v>
      </c>
      <c r="T16" s="7" t="str">
        <f t="shared" si="0"/>
        <v>CB956AAA</v>
      </c>
      <c r="U16" s="7">
        <f t="shared" si="12"/>
        <v>10</v>
      </c>
      <c r="V16" s="19" t="str">
        <f t="shared" si="13"/>
        <v>僵尸系</v>
      </c>
      <c r="W16" s="7">
        <v>30</v>
      </c>
      <c r="X16" s="7">
        <f t="shared" si="14"/>
        <v>30204</v>
      </c>
      <c r="Y16" s="19" t="str">
        <f t="shared" si="15"/>
        <v>黑暗盗贼</v>
      </c>
      <c r="Z16" s="7" t="str">
        <f t="shared" si="1"/>
        <v>CB225AAA</v>
      </c>
      <c r="AA16" s="7">
        <f t="shared" si="16"/>
        <v>10</v>
      </c>
      <c r="AB16" s="19" t="str">
        <f t="shared" si="2"/>
        <v>暗系</v>
      </c>
      <c r="AC16" s="7">
        <v>30</v>
      </c>
      <c r="AD16" s="7">
        <f t="shared" si="17"/>
        <v>30205</v>
      </c>
      <c r="AE16" s="19" t="str">
        <f t="shared" si="18"/>
        <v>魔鬼幽魂</v>
      </c>
      <c r="AF16" s="7" t="str">
        <f t="shared" si="3"/>
        <v>CB811AAA</v>
      </c>
      <c r="AG16" s="7">
        <f t="shared" si="19"/>
        <v>10</v>
      </c>
      <c r="AH16" s="19" t="str">
        <f t="shared" si="4"/>
        <v>飞行系</v>
      </c>
      <c r="AI16" s="7">
        <v>30</v>
      </c>
      <c r="AJ16" s="19" t="s">
        <v>1087</v>
      </c>
      <c r="AK16" s="7" t="s">
        <v>1086</v>
      </c>
      <c r="AL16" s="7">
        <f t="shared" si="20"/>
        <v>10</v>
      </c>
      <c r="AM16" s="19" t="s">
        <v>1085</v>
      </c>
    </row>
    <row r="17" spans="2:39" x14ac:dyDescent="0.15">
      <c r="B17" s="7">
        <v>13</v>
      </c>
      <c r="C17" s="7">
        <v>303</v>
      </c>
      <c r="D17" s="7" t="s">
        <v>750</v>
      </c>
      <c r="E17" s="19" t="s">
        <v>899</v>
      </c>
      <c r="F17" s="7">
        <f t="shared" si="5"/>
        <v>30301</v>
      </c>
      <c r="G17" s="19" t="s">
        <v>979</v>
      </c>
      <c r="H17" s="7" t="s">
        <v>978</v>
      </c>
      <c r="I17" s="7">
        <f t="shared" si="6"/>
        <v>11</v>
      </c>
      <c r="J17" s="7" t="str">
        <f t="shared" si="21"/>
        <v>僵尸系</v>
      </c>
      <c r="K17" s="7">
        <v>30</v>
      </c>
      <c r="L17" s="7">
        <f t="shared" si="7"/>
        <v>30302</v>
      </c>
      <c r="M17" s="7" t="str">
        <f t="shared" si="23"/>
        <v>恶灵</v>
      </c>
      <c r="N17" s="7" t="str">
        <f t="shared" si="22"/>
        <v>CB956AAA</v>
      </c>
      <c r="O17" s="7">
        <f t="shared" si="8"/>
        <v>10</v>
      </c>
      <c r="P17" s="19" t="str">
        <f t="shared" si="9"/>
        <v>僵尸系</v>
      </c>
      <c r="Q17" s="7">
        <v>10</v>
      </c>
      <c r="R17" s="7">
        <f t="shared" si="10"/>
        <v>30303</v>
      </c>
      <c r="S17" s="19" t="str">
        <f t="shared" si="11"/>
        <v>僵硬蟒蛇</v>
      </c>
      <c r="T17" s="7" t="str">
        <f t="shared" si="0"/>
        <v>CB732AAA</v>
      </c>
      <c r="U17" s="7">
        <f t="shared" si="12"/>
        <v>11</v>
      </c>
      <c r="V17" s="19" t="str">
        <f t="shared" si="13"/>
        <v>僵尸系</v>
      </c>
      <c r="W17" s="7">
        <v>30</v>
      </c>
      <c r="X17" s="7">
        <f t="shared" si="14"/>
        <v>30304</v>
      </c>
      <c r="Y17" s="19" t="str">
        <f t="shared" si="15"/>
        <v>小恶魔</v>
      </c>
      <c r="Z17" s="7" t="str">
        <f t="shared" si="1"/>
        <v>CB357AAA</v>
      </c>
      <c r="AA17" s="7">
        <f t="shared" si="16"/>
        <v>11</v>
      </c>
      <c r="AB17" s="19" t="str">
        <f t="shared" si="2"/>
        <v>金属系</v>
      </c>
      <c r="AC17" s="7">
        <v>30</v>
      </c>
      <c r="AD17" s="7">
        <f t="shared" si="17"/>
        <v>30305</v>
      </c>
      <c r="AE17" s="19" t="str">
        <f t="shared" si="18"/>
        <v>硬质魔球</v>
      </c>
      <c r="AF17" s="7" t="str">
        <f t="shared" si="3"/>
        <v>CB892AAA</v>
      </c>
      <c r="AG17" s="7">
        <f t="shared" si="19"/>
        <v>11</v>
      </c>
      <c r="AH17" s="19" t="str">
        <f t="shared" si="4"/>
        <v>金属系</v>
      </c>
      <c r="AI17" s="7">
        <v>30</v>
      </c>
      <c r="AJ17" s="19" t="s">
        <v>1089</v>
      </c>
      <c r="AK17" s="7" t="s">
        <v>1088</v>
      </c>
      <c r="AL17" s="7">
        <f t="shared" si="20"/>
        <v>11</v>
      </c>
      <c r="AM17" s="19" t="s">
        <v>1085</v>
      </c>
    </row>
    <row r="18" spans="2:39" x14ac:dyDescent="0.15">
      <c r="B18" s="7">
        <v>14</v>
      </c>
      <c r="C18" s="7">
        <v>304</v>
      </c>
      <c r="D18" s="7" t="s">
        <v>751</v>
      </c>
      <c r="E18" s="19" t="s">
        <v>899</v>
      </c>
      <c r="F18" s="7">
        <f t="shared" si="5"/>
        <v>30401</v>
      </c>
      <c r="G18" s="19" t="s">
        <v>979</v>
      </c>
      <c r="H18" s="7" t="s">
        <v>978</v>
      </c>
      <c r="I18" s="7">
        <f t="shared" si="6"/>
        <v>12</v>
      </c>
      <c r="J18" s="7" t="str">
        <f t="shared" si="21"/>
        <v>僵尸系</v>
      </c>
      <c r="K18" s="7">
        <v>30</v>
      </c>
      <c r="L18" s="7">
        <f t="shared" si="7"/>
        <v>30402</v>
      </c>
      <c r="M18" s="7" t="str">
        <f t="shared" si="23"/>
        <v>修罗战士</v>
      </c>
      <c r="N18" s="7" t="str">
        <f t="shared" si="22"/>
        <v>CB231AAA</v>
      </c>
      <c r="O18" s="7">
        <f t="shared" si="8"/>
        <v>11</v>
      </c>
      <c r="P18" s="19" t="str">
        <f t="shared" si="9"/>
        <v>僵尸系</v>
      </c>
      <c r="Q18" s="7">
        <v>10</v>
      </c>
      <c r="R18" s="7">
        <f t="shared" si="10"/>
        <v>30403</v>
      </c>
      <c r="S18" s="19" t="str">
        <f t="shared" si="11"/>
        <v>修罗战士</v>
      </c>
      <c r="T18" s="7" t="str">
        <f t="shared" si="0"/>
        <v>CB231AAA</v>
      </c>
      <c r="U18" s="7">
        <f t="shared" si="12"/>
        <v>12</v>
      </c>
      <c r="V18" s="19" t="str">
        <f t="shared" si="13"/>
        <v>僵尸系</v>
      </c>
      <c r="W18" s="7">
        <v>30</v>
      </c>
      <c r="X18" s="7">
        <f t="shared" si="14"/>
        <v>30404</v>
      </c>
      <c r="Y18" s="19" t="str">
        <f t="shared" si="15"/>
        <v>多毛蜘蛛</v>
      </c>
      <c r="Z18" s="7" t="str">
        <f t="shared" si="1"/>
        <v>CB613AAA</v>
      </c>
      <c r="AA18" s="7">
        <f t="shared" si="16"/>
        <v>12</v>
      </c>
      <c r="AB18" s="19" t="str">
        <f t="shared" si="2"/>
        <v>暗系</v>
      </c>
      <c r="AC18" s="7">
        <v>30</v>
      </c>
      <c r="AD18" s="7">
        <f t="shared" si="17"/>
        <v>30405</v>
      </c>
      <c r="AE18" s="19" t="str">
        <f t="shared" si="18"/>
        <v>光之女护卫</v>
      </c>
      <c r="AF18" s="7" t="str">
        <f t="shared" si="3"/>
        <v>CB767AAA</v>
      </c>
      <c r="AG18" s="7">
        <f t="shared" si="19"/>
        <v>12</v>
      </c>
      <c r="AH18" s="19" t="str">
        <f t="shared" si="4"/>
        <v>光系</v>
      </c>
      <c r="AI18" s="7">
        <v>30</v>
      </c>
      <c r="AJ18" s="19" t="s">
        <v>1092</v>
      </c>
      <c r="AK18" s="7" t="s">
        <v>980</v>
      </c>
      <c r="AL18" s="7">
        <f t="shared" si="20"/>
        <v>12</v>
      </c>
      <c r="AM18" s="19" t="s">
        <v>1085</v>
      </c>
    </row>
    <row r="19" spans="2:39" x14ac:dyDescent="0.15">
      <c r="B19" s="7">
        <v>15</v>
      </c>
      <c r="C19" s="7">
        <v>305</v>
      </c>
      <c r="D19" s="7" t="s">
        <v>752</v>
      </c>
      <c r="E19" s="19" t="s">
        <v>899</v>
      </c>
      <c r="F19" s="7">
        <f t="shared" si="5"/>
        <v>30501</v>
      </c>
      <c r="G19" s="19" t="s">
        <v>981</v>
      </c>
      <c r="H19" s="7" t="s">
        <v>980</v>
      </c>
      <c r="I19" s="7">
        <f t="shared" si="6"/>
        <v>12</v>
      </c>
      <c r="J19" s="7" t="str">
        <f t="shared" si="21"/>
        <v>僵尸系</v>
      </c>
      <c r="K19" s="7">
        <v>30</v>
      </c>
      <c r="L19" s="7">
        <f t="shared" si="7"/>
        <v>30502</v>
      </c>
      <c r="M19" s="7" t="str">
        <f t="shared" si="23"/>
        <v>修罗战士</v>
      </c>
      <c r="N19" s="7" t="str">
        <f t="shared" si="22"/>
        <v>CB231AAA</v>
      </c>
      <c r="O19" s="7">
        <f t="shared" si="8"/>
        <v>11</v>
      </c>
      <c r="P19" s="19" t="str">
        <f t="shared" si="9"/>
        <v>僵尸系</v>
      </c>
      <c r="Q19" s="7">
        <v>10</v>
      </c>
      <c r="R19" s="7">
        <f t="shared" si="10"/>
        <v>30503</v>
      </c>
      <c r="S19" s="19" t="str">
        <f t="shared" si="11"/>
        <v>修罗战士</v>
      </c>
      <c r="T19" s="7" t="str">
        <f t="shared" si="0"/>
        <v>CB231AAA</v>
      </c>
      <c r="U19" s="7">
        <f t="shared" si="12"/>
        <v>12</v>
      </c>
      <c r="V19" s="19" t="str">
        <f t="shared" si="13"/>
        <v>僵尸系</v>
      </c>
      <c r="W19" s="7">
        <v>30</v>
      </c>
      <c r="X19" s="7">
        <f t="shared" si="14"/>
        <v>30504</v>
      </c>
      <c r="Y19" s="19" t="str">
        <f t="shared" si="15"/>
        <v>土鳗兽</v>
      </c>
      <c r="Z19" s="7" t="str">
        <f t="shared" si="1"/>
        <v>CB733AAA</v>
      </c>
      <c r="AA19" s="7">
        <f t="shared" si="16"/>
        <v>12</v>
      </c>
      <c r="AB19" s="19" t="str">
        <f t="shared" si="2"/>
        <v>龙系</v>
      </c>
      <c r="AC19" s="7">
        <v>30</v>
      </c>
      <c r="AD19" s="7">
        <f t="shared" si="17"/>
        <v>30505</v>
      </c>
      <c r="AE19" s="19" t="str">
        <f t="shared" si="18"/>
        <v>土鳗兽</v>
      </c>
      <c r="AF19" s="7" t="str">
        <f t="shared" si="3"/>
        <v>CB733AAA</v>
      </c>
      <c r="AG19" s="7">
        <f t="shared" si="19"/>
        <v>12</v>
      </c>
      <c r="AH19" s="19" t="str">
        <f t="shared" si="4"/>
        <v>龙系</v>
      </c>
      <c r="AI19" s="7">
        <v>30</v>
      </c>
      <c r="AJ19" s="19" t="s">
        <v>1091</v>
      </c>
      <c r="AK19" s="7" t="s">
        <v>1090</v>
      </c>
      <c r="AL19" s="7">
        <f t="shared" si="20"/>
        <v>12</v>
      </c>
      <c r="AM19" s="19" t="s">
        <v>1085</v>
      </c>
    </row>
    <row r="20" spans="2:39" x14ac:dyDescent="0.15">
      <c r="B20" s="7">
        <v>16</v>
      </c>
      <c r="C20" s="7">
        <v>401</v>
      </c>
      <c r="D20" s="7" t="s">
        <v>753</v>
      </c>
      <c r="E20" s="19" t="s">
        <v>960</v>
      </c>
      <c r="F20" s="7">
        <f t="shared" si="5"/>
        <v>40101</v>
      </c>
      <c r="G20" s="19" t="s">
        <v>983</v>
      </c>
      <c r="H20" s="7" t="s">
        <v>982</v>
      </c>
      <c r="I20" s="7">
        <f t="shared" si="6"/>
        <v>13</v>
      </c>
      <c r="J20" s="7" t="str">
        <f t="shared" si="21"/>
        <v>龙系</v>
      </c>
      <c r="K20" s="7">
        <v>30</v>
      </c>
      <c r="L20" s="7">
        <f t="shared" si="7"/>
        <v>40102</v>
      </c>
      <c r="M20" s="7" t="str">
        <f t="shared" si="23"/>
        <v>翼龙兽</v>
      </c>
      <c r="N20" s="7" t="str">
        <f t="shared" si="22"/>
        <v>CB736AAA</v>
      </c>
      <c r="O20" s="7">
        <f t="shared" si="8"/>
        <v>12</v>
      </c>
      <c r="P20" s="19" t="str">
        <f t="shared" si="9"/>
        <v>龙系</v>
      </c>
      <c r="Q20" s="7">
        <v>10</v>
      </c>
      <c r="R20" s="7">
        <f t="shared" si="10"/>
        <v>40103</v>
      </c>
      <c r="S20" s="19" t="str">
        <f t="shared" si="11"/>
        <v>翼龙兽</v>
      </c>
      <c r="T20" s="7" t="str">
        <f t="shared" si="0"/>
        <v>CB736AAA</v>
      </c>
      <c r="U20" s="7">
        <f t="shared" si="12"/>
        <v>13</v>
      </c>
      <c r="V20" s="19" t="str">
        <f t="shared" si="13"/>
        <v>龙系</v>
      </c>
      <c r="W20" s="7">
        <v>30</v>
      </c>
      <c r="X20" s="7">
        <f t="shared" si="14"/>
        <v>40104</v>
      </c>
      <c r="Y20" s="19" t="str">
        <f t="shared" si="15"/>
        <v>小恶魔</v>
      </c>
      <c r="Z20" s="7" t="str">
        <f t="shared" si="1"/>
        <v>CB357AAA</v>
      </c>
      <c r="AA20" s="7">
        <f t="shared" si="16"/>
        <v>13</v>
      </c>
      <c r="AB20" s="19" t="str">
        <f t="shared" si="2"/>
        <v>金属系</v>
      </c>
      <c r="AC20" s="7">
        <v>30</v>
      </c>
      <c r="AD20" s="7">
        <f t="shared" si="17"/>
        <v>40105</v>
      </c>
      <c r="AE20" s="19" t="str">
        <f t="shared" si="18"/>
        <v>翼龙兽</v>
      </c>
      <c r="AF20" s="7" t="str">
        <f t="shared" si="3"/>
        <v>CB736AAA</v>
      </c>
      <c r="AG20" s="7">
        <f t="shared" si="19"/>
        <v>13</v>
      </c>
      <c r="AH20" s="19" t="str">
        <f t="shared" si="4"/>
        <v>龙系</v>
      </c>
      <c r="AI20" s="7">
        <v>30</v>
      </c>
      <c r="AJ20" s="19" t="s">
        <v>1094</v>
      </c>
      <c r="AK20" s="7" t="s">
        <v>1093</v>
      </c>
      <c r="AL20" s="7">
        <f t="shared" si="20"/>
        <v>13</v>
      </c>
      <c r="AM20" s="19" t="s">
        <v>1095</v>
      </c>
    </row>
    <row r="21" spans="2:39" x14ac:dyDescent="0.15">
      <c r="B21" s="7">
        <v>17</v>
      </c>
      <c r="C21" s="7">
        <v>402</v>
      </c>
      <c r="D21" s="7" t="s">
        <v>754</v>
      </c>
      <c r="E21" s="19" t="s">
        <v>960</v>
      </c>
      <c r="F21" s="7">
        <f t="shared" si="5"/>
        <v>40201</v>
      </c>
      <c r="G21" s="19" t="s">
        <v>983</v>
      </c>
      <c r="H21" s="7" t="s">
        <v>982</v>
      </c>
      <c r="I21" s="7">
        <f t="shared" si="6"/>
        <v>14</v>
      </c>
      <c r="J21" s="7" t="str">
        <f t="shared" si="21"/>
        <v>龙系</v>
      </c>
      <c r="K21" s="7">
        <v>30</v>
      </c>
      <c r="L21" s="7">
        <f t="shared" si="7"/>
        <v>40202</v>
      </c>
      <c r="M21" s="7" t="str">
        <f t="shared" si="23"/>
        <v>翼龙兽</v>
      </c>
      <c r="N21" s="7" t="str">
        <f t="shared" si="22"/>
        <v>CB736AAA</v>
      </c>
      <c r="O21" s="7">
        <f t="shared" si="8"/>
        <v>13</v>
      </c>
      <c r="P21" s="19" t="str">
        <f t="shared" si="9"/>
        <v>龙系</v>
      </c>
      <c r="Q21" s="7">
        <v>10</v>
      </c>
      <c r="R21" s="7">
        <f t="shared" si="10"/>
        <v>40203</v>
      </c>
      <c r="S21" s="19" t="str">
        <f t="shared" si="11"/>
        <v>土鳗兽</v>
      </c>
      <c r="T21" s="7" t="str">
        <f t="shared" si="0"/>
        <v>CB733AAA</v>
      </c>
      <c r="U21" s="7">
        <f t="shared" si="12"/>
        <v>14</v>
      </c>
      <c r="V21" s="19" t="str">
        <f t="shared" si="13"/>
        <v>龙系</v>
      </c>
      <c r="W21" s="7">
        <v>30</v>
      </c>
      <c r="X21" s="7">
        <f t="shared" si="14"/>
        <v>40204</v>
      </c>
      <c r="Y21" s="19" t="str">
        <f t="shared" si="15"/>
        <v>魔鬼鱼</v>
      </c>
      <c r="Z21" s="7" t="str">
        <f t="shared" si="1"/>
        <v>CB633AAA</v>
      </c>
      <c r="AA21" s="7">
        <f t="shared" si="16"/>
        <v>14</v>
      </c>
      <c r="AB21" s="19" t="str">
        <f t="shared" si="2"/>
        <v>飞行系</v>
      </c>
      <c r="AC21" s="7">
        <v>30</v>
      </c>
      <c r="AD21" s="7">
        <f t="shared" si="17"/>
        <v>40205</v>
      </c>
      <c r="AE21" s="19" t="str">
        <f t="shared" si="18"/>
        <v>修罗战士</v>
      </c>
      <c r="AF21" s="7" t="str">
        <f t="shared" si="3"/>
        <v>CB231AAA</v>
      </c>
      <c r="AG21" s="7">
        <f t="shared" si="19"/>
        <v>14</v>
      </c>
      <c r="AH21" s="19" t="str">
        <f t="shared" si="4"/>
        <v>僵尸系</v>
      </c>
      <c r="AI21" s="7">
        <v>30</v>
      </c>
      <c r="AJ21" s="19" t="s">
        <v>1097</v>
      </c>
      <c r="AK21" s="7" t="s">
        <v>1096</v>
      </c>
      <c r="AL21" s="7">
        <f t="shared" si="20"/>
        <v>14</v>
      </c>
      <c r="AM21" s="19" t="s">
        <v>1095</v>
      </c>
    </row>
    <row r="22" spans="2:39" x14ac:dyDescent="0.15">
      <c r="B22" s="7">
        <v>18</v>
      </c>
      <c r="C22" s="7">
        <v>403</v>
      </c>
      <c r="D22" s="7" t="s">
        <v>755</v>
      </c>
      <c r="E22" s="19" t="s">
        <v>960</v>
      </c>
      <c r="F22" s="7">
        <f t="shared" si="5"/>
        <v>40301</v>
      </c>
      <c r="G22" s="19" t="s">
        <v>985</v>
      </c>
      <c r="H22" s="7" t="s">
        <v>984</v>
      </c>
      <c r="I22" s="7">
        <f t="shared" si="6"/>
        <v>15</v>
      </c>
      <c r="J22" s="7" t="str">
        <f t="shared" si="21"/>
        <v>龙系</v>
      </c>
      <c r="K22" s="7">
        <v>30</v>
      </c>
      <c r="L22" s="7">
        <f t="shared" si="7"/>
        <v>40302</v>
      </c>
      <c r="M22" s="7" t="str">
        <f t="shared" si="23"/>
        <v>翼龙兽</v>
      </c>
      <c r="N22" s="7" t="str">
        <f t="shared" si="22"/>
        <v>CB736AAA</v>
      </c>
      <c r="O22" s="7">
        <f t="shared" si="8"/>
        <v>13</v>
      </c>
      <c r="P22" s="19" t="str">
        <f t="shared" si="9"/>
        <v>龙系</v>
      </c>
      <c r="Q22" s="7">
        <v>10</v>
      </c>
      <c r="R22" s="7">
        <f t="shared" si="10"/>
        <v>40303</v>
      </c>
      <c r="S22" s="19" t="str">
        <f t="shared" si="11"/>
        <v>翼龙兽</v>
      </c>
      <c r="T22" s="7" t="str">
        <f t="shared" si="0"/>
        <v>CB736AAA</v>
      </c>
      <c r="U22" s="7">
        <f t="shared" si="12"/>
        <v>15</v>
      </c>
      <c r="V22" s="19" t="str">
        <f t="shared" si="13"/>
        <v>龙系</v>
      </c>
      <c r="W22" s="7">
        <v>30</v>
      </c>
      <c r="X22" s="7">
        <f t="shared" si="14"/>
        <v>40304</v>
      </c>
      <c r="Y22" s="19" t="str">
        <f t="shared" si="15"/>
        <v>魔鬼鱼</v>
      </c>
      <c r="Z22" s="7" t="str">
        <f t="shared" si="1"/>
        <v>CB633AAA</v>
      </c>
      <c r="AA22" s="7">
        <f t="shared" si="16"/>
        <v>15</v>
      </c>
      <c r="AB22" s="19" t="str">
        <f t="shared" si="2"/>
        <v>飞行系</v>
      </c>
      <c r="AC22" s="7">
        <v>30</v>
      </c>
      <c r="AD22" s="7">
        <f t="shared" si="17"/>
        <v>40305</v>
      </c>
      <c r="AE22" s="19" t="str">
        <f t="shared" si="18"/>
        <v>小蝙蝠</v>
      </c>
      <c r="AF22" s="7" t="str">
        <f t="shared" si="3"/>
        <v>CB741AAA</v>
      </c>
      <c r="AG22" s="7">
        <f t="shared" si="19"/>
        <v>15</v>
      </c>
      <c r="AH22" s="19" t="str">
        <f t="shared" si="4"/>
        <v>飞行系</v>
      </c>
      <c r="AI22" s="7">
        <v>30</v>
      </c>
      <c r="AJ22" s="19" t="s">
        <v>1098</v>
      </c>
      <c r="AK22" s="7" t="s">
        <v>1099</v>
      </c>
      <c r="AL22" s="7">
        <f t="shared" si="20"/>
        <v>15</v>
      </c>
      <c r="AM22" s="19" t="s">
        <v>1095</v>
      </c>
    </row>
    <row r="23" spans="2:39" x14ac:dyDescent="0.15">
      <c r="B23" s="7">
        <v>19</v>
      </c>
      <c r="C23" s="7">
        <v>404</v>
      </c>
      <c r="D23" s="7" t="s">
        <v>756</v>
      </c>
      <c r="E23" s="19" t="s">
        <v>960</v>
      </c>
      <c r="F23" s="7">
        <f t="shared" si="5"/>
        <v>40401</v>
      </c>
      <c r="G23" s="19" t="s">
        <v>985</v>
      </c>
      <c r="H23" s="7" t="s">
        <v>984</v>
      </c>
      <c r="I23" s="7">
        <f t="shared" si="6"/>
        <v>15</v>
      </c>
      <c r="J23" s="7" t="str">
        <f t="shared" si="21"/>
        <v>龙系</v>
      </c>
      <c r="K23" s="7">
        <v>30</v>
      </c>
      <c r="L23" s="7">
        <f t="shared" si="7"/>
        <v>40402</v>
      </c>
      <c r="M23" s="7" t="str">
        <f t="shared" si="23"/>
        <v>土鳗兽</v>
      </c>
      <c r="N23" s="7" t="str">
        <f t="shared" si="22"/>
        <v>CB733AAA</v>
      </c>
      <c r="O23" s="7">
        <f t="shared" si="8"/>
        <v>14</v>
      </c>
      <c r="P23" s="19" t="str">
        <f t="shared" si="9"/>
        <v>龙系</v>
      </c>
      <c r="Q23" s="7">
        <v>10</v>
      </c>
      <c r="R23" s="7">
        <f t="shared" si="10"/>
        <v>40403</v>
      </c>
      <c r="S23" s="19" t="str">
        <f t="shared" si="11"/>
        <v>翼龙兽</v>
      </c>
      <c r="T23" s="7" t="str">
        <f t="shared" si="0"/>
        <v>CB736AAA</v>
      </c>
      <c r="U23" s="7">
        <f t="shared" si="12"/>
        <v>15</v>
      </c>
      <c r="V23" s="19" t="str">
        <f t="shared" si="13"/>
        <v>龙系</v>
      </c>
      <c r="W23" s="7">
        <v>30</v>
      </c>
      <c r="X23" s="7">
        <f t="shared" si="14"/>
        <v>40404</v>
      </c>
      <c r="Y23" s="19" t="str">
        <f t="shared" si="15"/>
        <v>恐怖泥人</v>
      </c>
      <c r="Z23" s="7" t="str">
        <f t="shared" si="1"/>
        <v>CB411AAA</v>
      </c>
      <c r="AA23" s="7">
        <f t="shared" si="16"/>
        <v>15</v>
      </c>
      <c r="AB23" s="19" t="str">
        <f t="shared" si="2"/>
        <v>僵尸系</v>
      </c>
      <c r="AC23" s="7">
        <v>30</v>
      </c>
      <c r="AD23" s="7">
        <f t="shared" si="17"/>
        <v>40405</v>
      </c>
      <c r="AE23" s="19" t="str">
        <f t="shared" si="18"/>
        <v>飞蛇</v>
      </c>
      <c r="AF23" s="7" t="str">
        <f t="shared" si="3"/>
        <v>CB734AAA</v>
      </c>
      <c r="AG23" s="7">
        <f t="shared" si="19"/>
        <v>15</v>
      </c>
      <c r="AH23" s="19" t="str">
        <f t="shared" si="4"/>
        <v>飞行系</v>
      </c>
      <c r="AI23" s="7">
        <v>30</v>
      </c>
      <c r="AJ23" s="19" t="s">
        <v>1101</v>
      </c>
      <c r="AK23" s="7" t="s">
        <v>1100</v>
      </c>
      <c r="AL23" s="7">
        <f t="shared" si="20"/>
        <v>15</v>
      </c>
      <c r="AM23" s="19" t="s">
        <v>1095</v>
      </c>
    </row>
    <row r="24" spans="2:39" x14ac:dyDescent="0.15">
      <c r="B24" s="7">
        <v>20</v>
      </c>
      <c r="C24" s="7">
        <v>405</v>
      </c>
      <c r="D24" s="7" t="s">
        <v>757</v>
      </c>
      <c r="E24" s="19" t="s">
        <v>960</v>
      </c>
      <c r="F24" s="7">
        <f t="shared" si="5"/>
        <v>40501</v>
      </c>
      <c r="G24" s="19" t="s">
        <v>985</v>
      </c>
      <c r="H24" s="7" t="s">
        <v>984</v>
      </c>
      <c r="I24" s="7">
        <f t="shared" si="6"/>
        <v>16</v>
      </c>
      <c r="J24" s="7" t="str">
        <f t="shared" si="21"/>
        <v>龙系</v>
      </c>
      <c r="K24" s="7">
        <v>30</v>
      </c>
      <c r="L24" s="7">
        <f t="shared" si="7"/>
        <v>40502</v>
      </c>
      <c r="M24" s="7" t="str">
        <f t="shared" si="23"/>
        <v>翼龙兽</v>
      </c>
      <c r="N24" s="7" t="str">
        <f t="shared" si="22"/>
        <v>CB736AAA</v>
      </c>
      <c r="O24" s="7">
        <f t="shared" si="8"/>
        <v>15</v>
      </c>
      <c r="P24" s="19" t="str">
        <f t="shared" si="9"/>
        <v>龙系</v>
      </c>
      <c r="Q24" s="7">
        <v>10</v>
      </c>
      <c r="R24" s="7">
        <f t="shared" si="10"/>
        <v>40503</v>
      </c>
      <c r="S24" s="19" t="str">
        <f t="shared" si="11"/>
        <v>翼龙兽</v>
      </c>
      <c r="T24" s="7" t="str">
        <f t="shared" si="0"/>
        <v>CB736AAA</v>
      </c>
      <c r="U24" s="7">
        <f t="shared" si="12"/>
        <v>16</v>
      </c>
      <c r="V24" s="19" t="str">
        <f t="shared" si="13"/>
        <v>龙系</v>
      </c>
      <c r="W24" s="7">
        <v>30</v>
      </c>
      <c r="X24" s="7">
        <f t="shared" si="14"/>
        <v>40504</v>
      </c>
      <c r="Y24" s="19" t="str">
        <f t="shared" si="15"/>
        <v>飞蛇</v>
      </c>
      <c r="Z24" s="7" t="str">
        <f t="shared" si="1"/>
        <v>CB734AAA</v>
      </c>
      <c r="AA24" s="7">
        <f t="shared" si="16"/>
        <v>16</v>
      </c>
      <c r="AB24" s="19" t="str">
        <f t="shared" si="2"/>
        <v>飞行系</v>
      </c>
      <c r="AC24" s="7">
        <v>30</v>
      </c>
      <c r="AD24" s="7">
        <f t="shared" si="17"/>
        <v>40505</v>
      </c>
      <c r="AE24" s="19" t="str">
        <f t="shared" si="18"/>
        <v>黑暗石鱼</v>
      </c>
      <c r="AF24" s="7" t="str">
        <f t="shared" si="3"/>
        <v>CB632AAA</v>
      </c>
      <c r="AG24" s="7">
        <f t="shared" si="19"/>
        <v>16</v>
      </c>
      <c r="AH24" s="19" t="str">
        <f t="shared" si="4"/>
        <v>暗系</v>
      </c>
      <c r="AI24" s="7">
        <v>30</v>
      </c>
      <c r="AJ24" s="19" t="s">
        <v>1103</v>
      </c>
      <c r="AK24" s="7" t="s">
        <v>1102</v>
      </c>
      <c r="AL24" s="7">
        <f t="shared" si="20"/>
        <v>16</v>
      </c>
      <c r="AM24" s="19" t="s">
        <v>1095</v>
      </c>
    </row>
    <row r="25" spans="2:39" x14ac:dyDescent="0.15">
      <c r="B25" s="7">
        <v>21</v>
      </c>
      <c r="C25" s="7">
        <v>501</v>
      </c>
      <c r="D25" s="7" t="s">
        <v>758</v>
      </c>
      <c r="E25" s="19" t="s">
        <v>961</v>
      </c>
      <c r="F25" s="7">
        <f t="shared" si="5"/>
        <v>50101</v>
      </c>
      <c r="G25" s="19" t="s">
        <v>987</v>
      </c>
      <c r="H25" s="7" t="s">
        <v>986</v>
      </c>
      <c r="I25" s="7">
        <f t="shared" si="6"/>
        <v>17</v>
      </c>
      <c r="J25" s="7" t="str">
        <f t="shared" si="21"/>
        <v>金属系</v>
      </c>
      <c r="K25" s="7">
        <v>30</v>
      </c>
      <c r="L25" s="7">
        <f t="shared" si="7"/>
        <v>50102</v>
      </c>
      <c r="M25" s="7" t="str">
        <f t="shared" si="23"/>
        <v>硬质魔球</v>
      </c>
      <c r="N25" s="7" t="str">
        <f t="shared" si="22"/>
        <v>CB892AAA</v>
      </c>
      <c r="O25" s="7">
        <f t="shared" si="8"/>
        <v>15</v>
      </c>
      <c r="P25" s="19" t="str">
        <f t="shared" si="9"/>
        <v>金属系</v>
      </c>
      <c r="Q25" s="7">
        <v>10</v>
      </c>
      <c r="R25" s="7">
        <f t="shared" si="10"/>
        <v>50103</v>
      </c>
      <c r="S25" s="19" t="str">
        <f t="shared" si="11"/>
        <v>金属土龙</v>
      </c>
      <c r="T25" s="7" t="str">
        <f t="shared" si="0"/>
        <v>CB747AAA</v>
      </c>
      <c r="U25" s="7">
        <f t="shared" si="12"/>
        <v>17</v>
      </c>
      <c r="V25" s="19" t="str">
        <f t="shared" si="13"/>
        <v>金属系</v>
      </c>
      <c r="W25" s="7">
        <v>30</v>
      </c>
      <c r="X25" s="7">
        <f t="shared" si="14"/>
        <v>50104</v>
      </c>
      <c r="Y25" s="19" t="str">
        <f t="shared" si="15"/>
        <v>碧蓝湖灵</v>
      </c>
      <c r="Z25" s="7" t="str">
        <f t="shared" si="1"/>
        <v>CB401AAA</v>
      </c>
      <c r="AA25" s="7">
        <f t="shared" si="16"/>
        <v>17</v>
      </c>
      <c r="AB25" s="19" t="str">
        <f t="shared" si="2"/>
        <v>水系</v>
      </c>
      <c r="AC25" s="7">
        <v>30</v>
      </c>
      <c r="AD25" s="7">
        <f t="shared" si="17"/>
        <v>50105</v>
      </c>
      <c r="AE25" s="19" t="str">
        <f t="shared" si="18"/>
        <v>青色独眼巨人</v>
      </c>
      <c r="AF25" s="7" t="str">
        <f t="shared" si="3"/>
        <v>CB376AAA</v>
      </c>
      <c r="AG25" s="7">
        <f t="shared" si="19"/>
        <v>17</v>
      </c>
      <c r="AH25" s="19" t="str">
        <f t="shared" si="4"/>
        <v>土系</v>
      </c>
      <c r="AI25" s="7">
        <v>30</v>
      </c>
      <c r="AJ25" s="19" t="s">
        <v>1105</v>
      </c>
      <c r="AK25" s="7" t="s">
        <v>1104</v>
      </c>
      <c r="AL25" s="7">
        <f t="shared" si="20"/>
        <v>17</v>
      </c>
      <c r="AM25" s="19" t="s">
        <v>951</v>
      </c>
    </row>
    <row r="26" spans="2:39" x14ac:dyDescent="0.15">
      <c r="B26" s="7">
        <v>22</v>
      </c>
      <c r="C26" s="7">
        <v>502</v>
      </c>
      <c r="D26" s="7" t="s">
        <v>759</v>
      </c>
      <c r="E26" s="19" t="s">
        <v>961</v>
      </c>
      <c r="F26" s="7">
        <f t="shared" si="5"/>
        <v>50201</v>
      </c>
      <c r="G26" s="19" t="s">
        <v>987</v>
      </c>
      <c r="H26" s="7" t="s">
        <v>986</v>
      </c>
      <c r="I26" s="7">
        <f t="shared" si="6"/>
        <v>18</v>
      </c>
      <c r="J26" s="7" t="str">
        <f t="shared" si="21"/>
        <v>金属系</v>
      </c>
      <c r="K26" s="7">
        <v>30</v>
      </c>
      <c r="L26" s="7">
        <f t="shared" si="7"/>
        <v>50202</v>
      </c>
      <c r="M26" s="7" t="str">
        <f t="shared" si="23"/>
        <v>金属土龙</v>
      </c>
      <c r="N26" s="7" t="str">
        <f t="shared" si="22"/>
        <v>CB747AAA</v>
      </c>
      <c r="O26" s="7">
        <f t="shared" si="8"/>
        <v>16</v>
      </c>
      <c r="P26" s="19" t="str">
        <f t="shared" si="9"/>
        <v>金属系</v>
      </c>
      <c r="Q26" s="7">
        <v>10</v>
      </c>
      <c r="R26" s="7">
        <f t="shared" si="10"/>
        <v>50203</v>
      </c>
      <c r="S26" s="19" t="str">
        <f t="shared" si="11"/>
        <v>铁甲土匪</v>
      </c>
      <c r="T26" s="7" t="str">
        <f t="shared" si="0"/>
        <v>CB222AAA</v>
      </c>
      <c r="U26" s="7">
        <f t="shared" si="12"/>
        <v>18</v>
      </c>
      <c r="V26" s="19" t="str">
        <f t="shared" si="13"/>
        <v>金属系</v>
      </c>
      <c r="W26" s="7">
        <v>30</v>
      </c>
      <c r="X26" s="7">
        <f t="shared" si="14"/>
        <v>50204</v>
      </c>
      <c r="Y26" s="19" t="str">
        <f t="shared" si="15"/>
        <v>钢铁巨人</v>
      </c>
      <c r="Z26" s="7" t="str">
        <f t="shared" si="1"/>
        <v>CB373AAA</v>
      </c>
      <c r="AA26" s="7">
        <f t="shared" si="16"/>
        <v>18</v>
      </c>
      <c r="AB26" s="19" t="str">
        <f t="shared" si="2"/>
        <v>金属系</v>
      </c>
      <c r="AC26" s="7">
        <v>30</v>
      </c>
      <c r="AD26" s="7">
        <f t="shared" si="17"/>
        <v>50205</v>
      </c>
      <c r="AE26" s="19" t="str">
        <f t="shared" si="18"/>
        <v>盗贼</v>
      </c>
      <c r="AF26" s="7" t="str">
        <f t="shared" si="3"/>
        <v>CB224AAA</v>
      </c>
      <c r="AG26" s="7">
        <f t="shared" si="19"/>
        <v>18</v>
      </c>
      <c r="AH26" s="19" t="str">
        <f t="shared" si="4"/>
        <v>暗系</v>
      </c>
      <c r="AI26" s="7">
        <v>30</v>
      </c>
      <c r="AJ26" s="19" t="s">
        <v>1107</v>
      </c>
      <c r="AK26" s="7" t="s">
        <v>1106</v>
      </c>
      <c r="AL26" s="7">
        <f t="shared" si="20"/>
        <v>18</v>
      </c>
      <c r="AM26" s="19" t="s">
        <v>951</v>
      </c>
    </row>
    <row r="27" spans="2:39" x14ac:dyDescent="0.15">
      <c r="B27" s="7">
        <v>23</v>
      </c>
      <c r="C27" s="7">
        <v>503</v>
      </c>
      <c r="D27" s="7" t="s">
        <v>760</v>
      </c>
      <c r="E27" s="19" t="s">
        <v>961</v>
      </c>
      <c r="F27" s="7">
        <f t="shared" si="5"/>
        <v>50301</v>
      </c>
      <c r="G27" s="19" t="s">
        <v>989</v>
      </c>
      <c r="H27" s="7" t="s">
        <v>988</v>
      </c>
      <c r="I27" s="7">
        <f t="shared" si="6"/>
        <v>18</v>
      </c>
      <c r="J27" s="7" t="str">
        <f t="shared" si="21"/>
        <v>金属系</v>
      </c>
      <c r="K27" s="7">
        <v>30</v>
      </c>
      <c r="L27" s="7">
        <f t="shared" si="7"/>
        <v>50302</v>
      </c>
      <c r="M27" s="7" t="str">
        <f t="shared" si="23"/>
        <v>小恶魔</v>
      </c>
      <c r="N27" s="7" t="str">
        <f t="shared" si="22"/>
        <v>CB357AAA</v>
      </c>
      <c r="O27" s="7">
        <f t="shared" si="8"/>
        <v>17</v>
      </c>
      <c r="P27" s="19" t="str">
        <f t="shared" si="9"/>
        <v>金属系</v>
      </c>
      <c r="Q27" s="7">
        <v>10</v>
      </c>
      <c r="R27" s="7">
        <f t="shared" si="10"/>
        <v>50303</v>
      </c>
      <c r="S27" s="19" t="str">
        <f t="shared" si="11"/>
        <v>钢铁巨人</v>
      </c>
      <c r="T27" s="7" t="str">
        <f t="shared" si="0"/>
        <v>CB373AAA</v>
      </c>
      <c r="U27" s="7">
        <f t="shared" si="12"/>
        <v>18</v>
      </c>
      <c r="V27" s="19" t="str">
        <f t="shared" si="13"/>
        <v>金属系</v>
      </c>
      <c r="W27" s="7">
        <v>30</v>
      </c>
      <c r="X27" s="7">
        <f t="shared" si="14"/>
        <v>50304</v>
      </c>
      <c r="Y27" s="19" t="str">
        <f t="shared" si="15"/>
        <v>火魔晶</v>
      </c>
      <c r="Z27" s="7" t="str">
        <f t="shared" si="1"/>
        <v>CB897AAA</v>
      </c>
      <c r="AA27" s="7">
        <f t="shared" si="16"/>
        <v>18</v>
      </c>
      <c r="AB27" s="19" t="str">
        <f t="shared" si="2"/>
        <v>火系</v>
      </c>
      <c r="AC27" s="7">
        <v>30</v>
      </c>
      <c r="AD27" s="7">
        <f t="shared" si="17"/>
        <v>50305</v>
      </c>
      <c r="AE27" s="19" t="str">
        <f t="shared" si="18"/>
        <v>愤怒蝙蝠</v>
      </c>
      <c r="AF27" s="7" t="str">
        <f t="shared" si="3"/>
        <v>CB742AAA</v>
      </c>
      <c r="AG27" s="7">
        <f t="shared" si="19"/>
        <v>18</v>
      </c>
      <c r="AH27" s="19" t="str">
        <f t="shared" si="4"/>
        <v>飞行系</v>
      </c>
      <c r="AI27" s="7">
        <v>30</v>
      </c>
      <c r="AJ27" s="19" t="s">
        <v>1108</v>
      </c>
      <c r="AK27" s="7" t="s">
        <v>1020</v>
      </c>
      <c r="AL27" s="7">
        <f t="shared" si="20"/>
        <v>18</v>
      </c>
      <c r="AM27" s="19" t="s">
        <v>951</v>
      </c>
    </row>
    <row r="28" spans="2:39" x14ac:dyDescent="0.15">
      <c r="B28" s="7">
        <v>24</v>
      </c>
      <c r="C28" s="7">
        <v>504</v>
      </c>
      <c r="D28" s="7" t="s">
        <v>761</v>
      </c>
      <c r="E28" s="19" t="s">
        <v>961</v>
      </c>
      <c r="F28" s="7">
        <f t="shared" si="5"/>
        <v>50401</v>
      </c>
      <c r="G28" s="19" t="s">
        <v>989</v>
      </c>
      <c r="H28" s="7" t="s">
        <v>988</v>
      </c>
      <c r="I28" s="7">
        <f t="shared" si="6"/>
        <v>19</v>
      </c>
      <c r="J28" s="7" t="str">
        <f t="shared" si="21"/>
        <v>金属系</v>
      </c>
      <c r="K28" s="7">
        <v>30</v>
      </c>
      <c r="L28" s="7">
        <f t="shared" si="7"/>
        <v>50402</v>
      </c>
      <c r="M28" s="7" t="str">
        <f t="shared" si="23"/>
        <v>狂躁巨人</v>
      </c>
      <c r="N28" s="7" t="str">
        <f t="shared" si="22"/>
        <v>CB372AAA</v>
      </c>
      <c r="O28" s="7">
        <f t="shared" si="8"/>
        <v>17</v>
      </c>
      <c r="P28" s="19" t="str">
        <f t="shared" si="9"/>
        <v>金属系</v>
      </c>
      <c r="Q28" s="7">
        <v>10</v>
      </c>
      <c r="R28" s="7">
        <f t="shared" si="10"/>
        <v>50403</v>
      </c>
      <c r="S28" s="19" t="str">
        <f t="shared" si="11"/>
        <v>铜矿怪</v>
      </c>
      <c r="T28" s="7" t="str">
        <f t="shared" si="0"/>
        <v>CB756AAA</v>
      </c>
      <c r="U28" s="7">
        <f t="shared" si="12"/>
        <v>19</v>
      </c>
      <c r="V28" s="19" t="str">
        <f t="shared" si="13"/>
        <v>金属系</v>
      </c>
      <c r="W28" s="7">
        <v>30</v>
      </c>
      <c r="X28" s="7">
        <f t="shared" si="14"/>
        <v>50404</v>
      </c>
      <c r="Y28" s="19" t="str">
        <f t="shared" si="15"/>
        <v>铜矿怪</v>
      </c>
      <c r="Z28" s="7" t="str">
        <f t="shared" si="1"/>
        <v>CB756AAA</v>
      </c>
      <c r="AA28" s="7">
        <f t="shared" si="16"/>
        <v>19</v>
      </c>
      <c r="AB28" s="19" t="str">
        <f t="shared" si="2"/>
        <v>金属系</v>
      </c>
      <c r="AC28" s="7">
        <v>30</v>
      </c>
      <c r="AD28" s="7">
        <f t="shared" si="17"/>
        <v>50405</v>
      </c>
      <c r="AE28" s="19" t="str">
        <f t="shared" si="18"/>
        <v>僵硬蟒蛇</v>
      </c>
      <c r="AF28" s="7" t="str">
        <f t="shared" si="3"/>
        <v>CB732AAA</v>
      </c>
      <c r="AG28" s="7">
        <f t="shared" si="19"/>
        <v>19</v>
      </c>
      <c r="AH28" s="19" t="str">
        <f t="shared" si="4"/>
        <v>僵尸系</v>
      </c>
      <c r="AI28" s="7">
        <v>30</v>
      </c>
      <c r="AJ28" s="19" t="s">
        <v>1113</v>
      </c>
      <c r="AK28" s="7" t="s">
        <v>1112</v>
      </c>
      <c r="AL28" s="7">
        <f t="shared" si="20"/>
        <v>19</v>
      </c>
      <c r="AM28" s="19" t="s">
        <v>951</v>
      </c>
    </row>
    <row r="29" spans="2:39" x14ac:dyDescent="0.15">
      <c r="B29" s="7">
        <v>25</v>
      </c>
      <c r="C29" s="7">
        <v>505</v>
      </c>
      <c r="D29" s="7" t="s">
        <v>762</v>
      </c>
      <c r="E29" s="19" t="s">
        <v>961</v>
      </c>
      <c r="F29" s="7">
        <f t="shared" si="5"/>
        <v>50501</v>
      </c>
      <c r="G29" s="19" t="s">
        <v>989</v>
      </c>
      <c r="H29" s="7" t="s">
        <v>988</v>
      </c>
      <c r="I29" s="7">
        <f t="shared" si="6"/>
        <v>20</v>
      </c>
      <c r="J29" s="7" t="str">
        <f t="shared" si="21"/>
        <v>金属系</v>
      </c>
      <c r="K29" s="7">
        <v>30</v>
      </c>
      <c r="L29" s="7">
        <f t="shared" si="7"/>
        <v>50502</v>
      </c>
      <c r="M29" s="7" t="str">
        <f t="shared" si="23"/>
        <v>小恶魔</v>
      </c>
      <c r="N29" s="7" t="str">
        <f t="shared" si="22"/>
        <v>CB357AAA</v>
      </c>
      <c r="O29" s="7">
        <f t="shared" si="8"/>
        <v>18</v>
      </c>
      <c r="P29" s="19" t="str">
        <f t="shared" si="9"/>
        <v>金属系</v>
      </c>
      <c r="Q29" s="7">
        <v>10</v>
      </c>
      <c r="R29" s="7">
        <f t="shared" si="10"/>
        <v>50503</v>
      </c>
      <c r="S29" s="19" t="str">
        <f t="shared" si="11"/>
        <v>金属土龙</v>
      </c>
      <c r="T29" s="7" t="str">
        <f t="shared" si="0"/>
        <v>CB747AAA</v>
      </c>
      <c r="U29" s="7">
        <f t="shared" si="12"/>
        <v>20</v>
      </c>
      <c r="V29" s="19" t="str">
        <f t="shared" si="13"/>
        <v>金属系</v>
      </c>
      <c r="W29" s="7">
        <v>30</v>
      </c>
      <c r="X29" s="7">
        <f t="shared" si="14"/>
        <v>50504</v>
      </c>
      <c r="Y29" s="19" t="str">
        <f t="shared" si="15"/>
        <v>恶魔蝙蝠</v>
      </c>
      <c r="Z29" s="7" t="str">
        <f t="shared" si="1"/>
        <v>CB742AAA</v>
      </c>
      <c r="AA29" s="7">
        <f t="shared" si="16"/>
        <v>20</v>
      </c>
      <c r="AB29" s="19" t="str">
        <f t="shared" si="2"/>
        <v>飞行系</v>
      </c>
      <c r="AC29" s="7">
        <v>30</v>
      </c>
      <c r="AD29" s="7">
        <f t="shared" si="17"/>
        <v>50505</v>
      </c>
      <c r="AE29" s="19" t="str">
        <f t="shared" si="18"/>
        <v>水魔晶</v>
      </c>
      <c r="AF29" s="7" t="str">
        <f t="shared" si="3"/>
        <v>CB896AAA</v>
      </c>
      <c r="AG29" s="7">
        <f t="shared" si="19"/>
        <v>20</v>
      </c>
      <c r="AH29" s="19" t="str">
        <f t="shared" si="4"/>
        <v>水系</v>
      </c>
      <c r="AI29" s="7">
        <v>30</v>
      </c>
      <c r="AJ29" s="19" t="s">
        <v>1110</v>
      </c>
      <c r="AK29" s="7" t="s">
        <v>1109</v>
      </c>
      <c r="AL29" s="7">
        <f t="shared" si="20"/>
        <v>20</v>
      </c>
      <c r="AM29" s="19" t="s">
        <v>1111</v>
      </c>
    </row>
    <row r="30" spans="2:39" x14ac:dyDescent="0.15">
      <c r="B30" s="7">
        <v>26</v>
      </c>
      <c r="C30" s="7">
        <v>601</v>
      </c>
      <c r="D30" s="7" t="s">
        <v>763</v>
      </c>
      <c r="E30" s="19" t="s">
        <v>958</v>
      </c>
      <c r="F30" s="7">
        <f t="shared" si="5"/>
        <v>60101</v>
      </c>
      <c r="G30" s="19" t="s">
        <v>991</v>
      </c>
      <c r="H30" s="7" t="s">
        <v>990</v>
      </c>
      <c r="I30" s="7">
        <f t="shared" si="6"/>
        <v>21</v>
      </c>
      <c r="J30" s="7" t="str">
        <f t="shared" si="21"/>
        <v>水系</v>
      </c>
      <c r="K30" s="7">
        <v>30</v>
      </c>
      <c r="L30" s="7">
        <f t="shared" si="7"/>
        <v>60102</v>
      </c>
      <c r="M30" s="7" t="str">
        <f t="shared" si="23"/>
        <v>水恶魔</v>
      </c>
      <c r="N30" s="7" t="str">
        <f t="shared" si="22"/>
        <v>CB852AAA</v>
      </c>
      <c r="O30" s="7">
        <f t="shared" si="8"/>
        <v>19</v>
      </c>
      <c r="P30" s="19" t="str">
        <f t="shared" si="9"/>
        <v>水系</v>
      </c>
      <c r="Q30" s="7">
        <v>10</v>
      </c>
      <c r="R30" s="7">
        <f t="shared" si="10"/>
        <v>60103</v>
      </c>
      <c r="S30" s="19" t="str">
        <f t="shared" si="11"/>
        <v>幽怨湖灵</v>
      </c>
      <c r="T30" s="7" t="str">
        <f t="shared" si="0"/>
        <v>CB401AAA</v>
      </c>
      <c r="U30" s="7">
        <f t="shared" si="12"/>
        <v>21</v>
      </c>
      <c r="V30" s="19" t="str">
        <f t="shared" si="13"/>
        <v>水系</v>
      </c>
      <c r="W30" s="7">
        <v>30</v>
      </c>
      <c r="X30" s="7">
        <f t="shared" si="14"/>
        <v>60104</v>
      </c>
      <c r="Y30" s="19" t="str">
        <f t="shared" si="15"/>
        <v>愤怒湖灵</v>
      </c>
      <c r="Z30" s="7" t="str">
        <f t="shared" si="1"/>
        <v>CB403AAA</v>
      </c>
      <c r="AA30" s="7">
        <f t="shared" si="16"/>
        <v>21</v>
      </c>
      <c r="AB30" s="19" t="str">
        <f t="shared" si="2"/>
        <v>水系</v>
      </c>
      <c r="AC30" s="7">
        <v>30</v>
      </c>
      <c r="AD30" s="7">
        <f t="shared" si="17"/>
        <v>60105</v>
      </c>
      <c r="AE30" s="19" t="str">
        <f t="shared" si="18"/>
        <v>铁甲土匪</v>
      </c>
      <c r="AF30" s="7" t="str">
        <f t="shared" si="3"/>
        <v>CB222AAA</v>
      </c>
      <c r="AG30" s="7">
        <f t="shared" si="19"/>
        <v>21</v>
      </c>
      <c r="AH30" s="19" t="str">
        <f t="shared" si="4"/>
        <v>金属系</v>
      </c>
      <c r="AI30" s="7">
        <v>30</v>
      </c>
      <c r="AJ30" s="19" t="s">
        <v>1115</v>
      </c>
      <c r="AK30" s="7" t="s">
        <v>1114</v>
      </c>
      <c r="AL30" s="7">
        <f t="shared" si="20"/>
        <v>21</v>
      </c>
      <c r="AM30" s="19" t="s">
        <v>1116</v>
      </c>
    </row>
    <row r="31" spans="2:39" x14ac:dyDescent="0.15">
      <c r="B31" s="7">
        <v>27</v>
      </c>
      <c r="C31" s="7">
        <v>602</v>
      </c>
      <c r="D31" s="7" t="s">
        <v>764</v>
      </c>
      <c r="E31" s="19" t="s">
        <v>958</v>
      </c>
      <c r="F31" s="7">
        <f t="shared" si="5"/>
        <v>60201</v>
      </c>
      <c r="G31" s="19" t="s">
        <v>991</v>
      </c>
      <c r="H31" s="7" t="s">
        <v>992</v>
      </c>
      <c r="I31" s="7">
        <f t="shared" si="6"/>
        <v>21</v>
      </c>
      <c r="J31" s="7" t="str">
        <f t="shared" si="21"/>
        <v>水系</v>
      </c>
      <c r="K31" s="7">
        <v>30</v>
      </c>
      <c r="L31" s="7">
        <f t="shared" si="7"/>
        <v>60202</v>
      </c>
      <c r="M31" s="7" t="str">
        <f t="shared" si="23"/>
        <v>愤怒湖灵</v>
      </c>
      <c r="N31" s="7" t="str">
        <f t="shared" si="22"/>
        <v>CB403AAA</v>
      </c>
      <c r="O31" s="7">
        <f t="shared" si="8"/>
        <v>19</v>
      </c>
      <c r="P31" s="19" t="str">
        <f t="shared" si="9"/>
        <v>水系</v>
      </c>
      <c r="Q31" s="7">
        <v>10</v>
      </c>
      <c r="R31" s="7">
        <f t="shared" si="10"/>
        <v>60203</v>
      </c>
      <c r="S31" s="19" t="str">
        <f t="shared" si="11"/>
        <v>愤怒湖灵</v>
      </c>
      <c r="T31" s="7" t="str">
        <f t="shared" si="0"/>
        <v>CB403AAA</v>
      </c>
      <c r="U31" s="7">
        <f t="shared" si="12"/>
        <v>21</v>
      </c>
      <c r="V31" s="19" t="str">
        <f t="shared" si="13"/>
        <v>水系</v>
      </c>
      <c r="W31" s="7">
        <v>30</v>
      </c>
      <c r="X31" s="7">
        <f t="shared" si="14"/>
        <v>60204</v>
      </c>
      <c r="Y31" s="19" t="str">
        <f t="shared" si="15"/>
        <v>铁甲土匪</v>
      </c>
      <c r="Z31" s="7" t="str">
        <f t="shared" si="1"/>
        <v>CB222AAA</v>
      </c>
      <c r="AA31" s="7">
        <f t="shared" si="16"/>
        <v>21</v>
      </c>
      <c r="AB31" s="19" t="str">
        <f t="shared" si="2"/>
        <v>金属系</v>
      </c>
      <c r="AC31" s="7">
        <v>30</v>
      </c>
      <c r="AD31" s="7">
        <f t="shared" si="17"/>
        <v>60205</v>
      </c>
      <c r="AE31" s="19" t="str">
        <f t="shared" si="18"/>
        <v>水恶魔</v>
      </c>
      <c r="AF31" s="7" t="str">
        <f t="shared" si="3"/>
        <v>CB852AAA</v>
      </c>
      <c r="AG31" s="7">
        <f t="shared" si="19"/>
        <v>21</v>
      </c>
      <c r="AH31" s="19" t="str">
        <f t="shared" si="4"/>
        <v>水系</v>
      </c>
      <c r="AI31" s="7">
        <v>30</v>
      </c>
      <c r="AJ31" s="19" t="s">
        <v>1118</v>
      </c>
      <c r="AK31" s="7" t="s">
        <v>1117</v>
      </c>
      <c r="AL31" s="7">
        <f t="shared" si="20"/>
        <v>21</v>
      </c>
      <c r="AM31" s="19" t="s">
        <v>1116</v>
      </c>
    </row>
    <row r="32" spans="2:39" x14ac:dyDescent="0.15">
      <c r="B32" s="7">
        <v>28</v>
      </c>
      <c r="C32" s="7">
        <v>603</v>
      </c>
      <c r="D32" s="7" t="s">
        <v>765</v>
      </c>
      <c r="E32" s="19" t="s">
        <v>958</v>
      </c>
      <c r="F32" s="7">
        <f t="shared" si="5"/>
        <v>60301</v>
      </c>
      <c r="G32" s="19" t="s">
        <v>991</v>
      </c>
      <c r="H32" s="7" t="s">
        <v>993</v>
      </c>
      <c r="I32" s="7">
        <f t="shared" si="6"/>
        <v>22</v>
      </c>
      <c r="J32" s="7" t="str">
        <f t="shared" si="21"/>
        <v>水系</v>
      </c>
      <c r="K32" s="7">
        <v>30</v>
      </c>
      <c r="L32" s="7">
        <f t="shared" si="7"/>
        <v>60302</v>
      </c>
      <c r="M32" s="7" t="str">
        <f t="shared" si="23"/>
        <v>水魔晶</v>
      </c>
      <c r="N32" s="7" t="str">
        <f t="shared" si="22"/>
        <v>CB896AAA</v>
      </c>
      <c r="O32" s="7">
        <f t="shared" si="8"/>
        <v>20</v>
      </c>
      <c r="P32" s="19" t="str">
        <f t="shared" si="9"/>
        <v>水系</v>
      </c>
      <c r="Q32" s="7">
        <v>10</v>
      </c>
      <c r="R32" s="7">
        <f t="shared" si="10"/>
        <v>60303</v>
      </c>
      <c r="S32" s="19" t="str">
        <f t="shared" si="11"/>
        <v>水之女护卫</v>
      </c>
      <c r="T32" s="7" t="str">
        <f t="shared" si="0"/>
        <v>CB766AAA</v>
      </c>
      <c r="U32" s="7">
        <f t="shared" si="12"/>
        <v>22</v>
      </c>
      <c r="V32" s="19" t="str">
        <f t="shared" si="13"/>
        <v>水系</v>
      </c>
      <c r="W32" s="7">
        <v>30</v>
      </c>
      <c r="X32" s="7">
        <f t="shared" si="14"/>
        <v>60304</v>
      </c>
      <c r="Y32" s="19" t="str">
        <f t="shared" si="15"/>
        <v>水魔晶</v>
      </c>
      <c r="Z32" s="7" t="str">
        <f t="shared" si="1"/>
        <v>CB896AAA</v>
      </c>
      <c r="AA32" s="7">
        <f t="shared" si="16"/>
        <v>22</v>
      </c>
      <c r="AB32" s="19" t="str">
        <f t="shared" si="2"/>
        <v>水系</v>
      </c>
      <c r="AC32" s="7">
        <v>30</v>
      </c>
      <c r="AD32" s="7">
        <f t="shared" si="17"/>
        <v>60305</v>
      </c>
      <c r="AE32" s="19" t="str">
        <f t="shared" si="18"/>
        <v>光恶魔</v>
      </c>
      <c r="AF32" s="7" t="str">
        <f t="shared" si="3"/>
        <v>CB853AAA</v>
      </c>
      <c r="AG32" s="7">
        <f t="shared" si="19"/>
        <v>22</v>
      </c>
      <c r="AH32" s="19" t="str">
        <f t="shared" si="4"/>
        <v>光系</v>
      </c>
      <c r="AI32" s="7">
        <v>30</v>
      </c>
      <c r="AJ32" s="19" t="s">
        <v>1119</v>
      </c>
      <c r="AK32" s="7" t="s">
        <v>1050</v>
      </c>
      <c r="AL32" s="7">
        <f t="shared" si="20"/>
        <v>22</v>
      </c>
      <c r="AM32" s="19" t="s">
        <v>1116</v>
      </c>
    </row>
    <row r="33" spans="2:39" x14ac:dyDescent="0.15">
      <c r="B33" s="7">
        <v>29</v>
      </c>
      <c r="C33" s="7">
        <v>604</v>
      </c>
      <c r="D33" s="7" t="s">
        <v>766</v>
      </c>
      <c r="E33" s="19" t="s">
        <v>958</v>
      </c>
      <c r="F33" s="7">
        <f t="shared" si="5"/>
        <v>60401</v>
      </c>
      <c r="G33" s="19" t="s">
        <v>991</v>
      </c>
      <c r="H33" s="7" t="s">
        <v>994</v>
      </c>
      <c r="I33" s="7">
        <f t="shared" si="6"/>
        <v>23</v>
      </c>
      <c r="J33" s="7" t="str">
        <f t="shared" si="21"/>
        <v>水系</v>
      </c>
      <c r="K33" s="7">
        <v>30</v>
      </c>
      <c r="L33" s="7">
        <f t="shared" si="7"/>
        <v>60402</v>
      </c>
      <c r="M33" s="7" t="str">
        <f t="shared" si="23"/>
        <v>水魔晶</v>
      </c>
      <c r="N33" s="7" t="str">
        <f t="shared" si="22"/>
        <v>CB896AAA</v>
      </c>
      <c r="O33" s="7">
        <f t="shared" si="8"/>
        <v>21</v>
      </c>
      <c r="P33" s="19" t="str">
        <f t="shared" si="9"/>
        <v>水系</v>
      </c>
      <c r="Q33" s="7">
        <v>10</v>
      </c>
      <c r="R33" s="7">
        <f t="shared" si="10"/>
        <v>60403</v>
      </c>
      <c r="S33" s="19" t="str">
        <f t="shared" si="11"/>
        <v>幽怨湖灵</v>
      </c>
      <c r="T33" s="7" t="str">
        <f t="shared" si="0"/>
        <v>CB401AAA</v>
      </c>
      <c r="U33" s="7">
        <f t="shared" si="12"/>
        <v>23</v>
      </c>
      <c r="V33" s="19" t="str">
        <f t="shared" si="13"/>
        <v>水系</v>
      </c>
      <c r="W33" s="7">
        <v>30</v>
      </c>
      <c r="X33" s="7">
        <f t="shared" si="14"/>
        <v>60404</v>
      </c>
      <c r="Y33" s="19" t="str">
        <f t="shared" si="15"/>
        <v>雷之盗贼</v>
      </c>
      <c r="Z33" s="7" t="str">
        <f t="shared" si="1"/>
        <v>CB223AAA</v>
      </c>
      <c r="AA33" s="7">
        <f t="shared" si="16"/>
        <v>23</v>
      </c>
      <c r="AB33" s="19" t="str">
        <f t="shared" si="2"/>
        <v>雷系</v>
      </c>
      <c r="AC33" s="7">
        <v>30</v>
      </c>
      <c r="AD33" s="7">
        <f t="shared" si="17"/>
        <v>60405</v>
      </c>
      <c r="AE33" s="19" t="str">
        <f t="shared" si="18"/>
        <v>铁甲土匪</v>
      </c>
      <c r="AF33" s="7" t="str">
        <f t="shared" si="3"/>
        <v>CB222AAA</v>
      </c>
      <c r="AG33" s="7">
        <f t="shared" si="19"/>
        <v>23</v>
      </c>
      <c r="AH33" s="19" t="str">
        <f t="shared" si="4"/>
        <v>金属系</v>
      </c>
      <c r="AI33" s="7">
        <v>30</v>
      </c>
      <c r="AJ33" s="19" t="s">
        <v>1124</v>
      </c>
      <c r="AK33" s="7" t="s">
        <v>1123</v>
      </c>
      <c r="AL33" s="7">
        <f t="shared" si="20"/>
        <v>23</v>
      </c>
      <c r="AM33" s="19" t="s">
        <v>1125</v>
      </c>
    </row>
    <row r="34" spans="2:39" x14ac:dyDescent="0.15">
      <c r="B34" s="7">
        <v>30</v>
      </c>
      <c r="C34" s="7">
        <v>605</v>
      </c>
      <c r="D34" s="7" t="s">
        <v>767</v>
      </c>
      <c r="E34" s="19" t="s">
        <v>958</v>
      </c>
      <c r="F34" s="7">
        <f t="shared" si="5"/>
        <v>60501</v>
      </c>
      <c r="G34" s="19" t="s">
        <v>991</v>
      </c>
      <c r="H34" s="7" t="s">
        <v>995</v>
      </c>
      <c r="I34" s="7">
        <f t="shared" si="6"/>
        <v>24</v>
      </c>
      <c r="J34" s="7" t="str">
        <f t="shared" si="21"/>
        <v>水系</v>
      </c>
      <c r="K34" s="7">
        <v>30</v>
      </c>
      <c r="L34" s="7">
        <f t="shared" si="7"/>
        <v>60502</v>
      </c>
      <c r="M34" s="7" t="str">
        <f t="shared" si="23"/>
        <v>水魔晶</v>
      </c>
      <c r="N34" s="7" t="str">
        <f t="shared" si="22"/>
        <v>CB896AAA</v>
      </c>
      <c r="O34" s="7">
        <f t="shared" si="8"/>
        <v>21</v>
      </c>
      <c r="P34" s="19" t="str">
        <f t="shared" si="9"/>
        <v>水系</v>
      </c>
      <c r="Q34" s="7">
        <v>10</v>
      </c>
      <c r="R34" s="7">
        <f t="shared" si="10"/>
        <v>60503</v>
      </c>
      <c r="S34" s="19" t="str">
        <f t="shared" si="11"/>
        <v>水恶魔</v>
      </c>
      <c r="T34" s="7" t="str">
        <f t="shared" si="0"/>
        <v>CB852AAA</v>
      </c>
      <c r="U34" s="7">
        <f t="shared" si="12"/>
        <v>24</v>
      </c>
      <c r="V34" s="19" t="str">
        <f t="shared" si="13"/>
        <v>水系</v>
      </c>
      <c r="W34" s="7">
        <v>30</v>
      </c>
      <c r="X34" s="7">
        <f t="shared" si="14"/>
        <v>60504</v>
      </c>
      <c r="Y34" s="19" t="str">
        <f t="shared" si="15"/>
        <v>炎魔晶</v>
      </c>
      <c r="Z34" s="7" t="str">
        <f t="shared" si="1"/>
        <v>CB897AAA</v>
      </c>
      <c r="AA34" s="7">
        <f t="shared" si="16"/>
        <v>24</v>
      </c>
      <c r="AB34" s="19" t="str">
        <f t="shared" si="2"/>
        <v>火系</v>
      </c>
      <c r="AC34" s="7">
        <v>30</v>
      </c>
      <c r="AD34" s="7">
        <f t="shared" si="17"/>
        <v>60505</v>
      </c>
      <c r="AE34" s="19" t="str">
        <f t="shared" si="18"/>
        <v>火泥怪</v>
      </c>
      <c r="AF34" s="7" t="str">
        <f t="shared" si="3"/>
        <v>CB760AAA</v>
      </c>
      <c r="AG34" s="7">
        <f t="shared" si="19"/>
        <v>24</v>
      </c>
      <c r="AH34" s="19" t="str">
        <f t="shared" si="4"/>
        <v>火系</v>
      </c>
      <c r="AI34" s="7">
        <v>30</v>
      </c>
      <c r="AJ34" s="22" t="s">
        <v>1121</v>
      </c>
      <c r="AK34" s="7" t="s">
        <v>1120</v>
      </c>
      <c r="AL34" s="7">
        <f t="shared" si="20"/>
        <v>24</v>
      </c>
      <c r="AM34" s="19" t="s">
        <v>1122</v>
      </c>
    </row>
    <row r="35" spans="2:39" x14ac:dyDescent="0.15">
      <c r="B35" s="7">
        <v>31</v>
      </c>
      <c r="C35" s="7">
        <v>701</v>
      </c>
      <c r="D35" s="7" t="s">
        <v>768</v>
      </c>
      <c r="E35" s="19" t="s">
        <v>962</v>
      </c>
      <c r="F35" s="7">
        <f t="shared" si="5"/>
        <v>70101</v>
      </c>
      <c r="G35" s="19" t="s">
        <v>996</v>
      </c>
      <c r="H35" s="7" t="s">
        <v>992</v>
      </c>
      <c r="I35" s="7">
        <f t="shared" si="6"/>
        <v>24</v>
      </c>
      <c r="J35" s="7" t="str">
        <f t="shared" si="21"/>
        <v>火系</v>
      </c>
      <c r="K35" s="7">
        <v>30</v>
      </c>
      <c r="L35" s="7">
        <f t="shared" si="7"/>
        <v>70102</v>
      </c>
      <c r="M35" s="7" t="str">
        <f t="shared" si="23"/>
        <v>粘稠怪</v>
      </c>
      <c r="N35" s="7" t="str">
        <f t="shared" si="22"/>
        <v>CB764AAA</v>
      </c>
      <c r="O35" s="7">
        <f t="shared" si="8"/>
        <v>22</v>
      </c>
      <c r="P35" s="19" t="str">
        <f t="shared" si="9"/>
        <v>火系</v>
      </c>
      <c r="Q35" s="7">
        <v>10</v>
      </c>
      <c r="R35" s="7">
        <f t="shared" si="10"/>
        <v>70103</v>
      </c>
      <c r="S35" s="19" t="str">
        <f t="shared" si="11"/>
        <v>赤色独眼巨人</v>
      </c>
      <c r="T35" s="7" t="str">
        <f t="shared" si="0"/>
        <v>CB371AAA</v>
      </c>
      <c r="U35" s="7">
        <f t="shared" si="12"/>
        <v>24</v>
      </c>
      <c r="V35" s="19" t="str">
        <f t="shared" si="13"/>
        <v>火系</v>
      </c>
      <c r="W35" s="7">
        <v>30</v>
      </c>
      <c r="X35" s="7">
        <f t="shared" si="14"/>
        <v>70104</v>
      </c>
      <c r="Y35" s="19" t="str">
        <f t="shared" si="15"/>
        <v>黑暗盗贼</v>
      </c>
      <c r="Z35" s="7" t="str">
        <f t="shared" si="1"/>
        <v>CB225AAA</v>
      </c>
      <c r="AA35" s="7">
        <f t="shared" si="16"/>
        <v>24</v>
      </c>
      <c r="AB35" s="19" t="str">
        <f t="shared" si="2"/>
        <v>暗系</v>
      </c>
      <c r="AC35" s="7">
        <v>30</v>
      </c>
      <c r="AD35" s="7">
        <f t="shared" si="17"/>
        <v>70105</v>
      </c>
      <c r="AE35" s="19" t="str">
        <f t="shared" si="18"/>
        <v>土色独眼巨人</v>
      </c>
      <c r="AF35" s="7" t="str">
        <f t="shared" si="3"/>
        <v>CB371AAA</v>
      </c>
      <c r="AG35" s="7">
        <f t="shared" si="19"/>
        <v>24</v>
      </c>
      <c r="AH35" s="19" t="str">
        <f t="shared" si="4"/>
        <v>土系</v>
      </c>
      <c r="AI35" s="7">
        <v>30</v>
      </c>
      <c r="AJ35" s="19" t="s">
        <v>1127</v>
      </c>
      <c r="AK35" s="7" t="s">
        <v>1126</v>
      </c>
      <c r="AL35" s="7">
        <f t="shared" si="20"/>
        <v>24</v>
      </c>
      <c r="AM35" s="19" t="s">
        <v>1128</v>
      </c>
    </row>
    <row r="36" spans="2:39" x14ac:dyDescent="0.15">
      <c r="B36" s="7">
        <v>32</v>
      </c>
      <c r="C36" s="7">
        <v>702</v>
      </c>
      <c r="D36" s="7" t="s">
        <v>769</v>
      </c>
      <c r="E36" s="19" t="s">
        <v>962</v>
      </c>
      <c r="F36" s="7">
        <f t="shared" si="5"/>
        <v>70201</v>
      </c>
      <c r="G36" s="19" t="s">
        <v>996</v>
      </c>
      <c r="H36" s="7" t="s">
        <v>992</v>
      </c>
      <c r="I36" s="7">
        <f t="shared" si="6"/>
        <v>25</v>
      </c>
      <c r="J36" s="7" t="str">
        <f t="shared" si="21"/>
        <v>火系</v>
      </c>
      <c r="K36" s="7">
        <v>30</v>
      </c>
      <c r="L36" s="7">
        <f t="shared" si="7"/>
        <v>70202</v>
      </c>
      <c r="M36" s="7" t="str">
        <f t="shared" si="23"/>
        <v>火魔晶</v>
      </c>
      <c r="N36" s="7" t="str">
        <f t="shared" si="22"/>
        <v>CB897AAA</v>
      </c>
      <c r="O36" s="7">
        <f t="shared" si="8"/>
        <v>23</v>
      </c>
      <c r="P36" s="19" t="str">
        <f t="shared" si="9"/>
        <v>火系</v>
      </c>
      <c r="Q36" s="7">
        <v>10</v>
      </c>
      <c r="R36" s="7">
        <f t="shared" si="10"/>
        <v>70203</v>
      </c>
      <c r="S36" s="19" t="str">
        <f t="shared" si="11"/>
        <v>炎魔晶</v>
      </c>
      <c r="T36" s="7" t="str">
        <f t="shared" si="0"/>
        <v>CB897AAA</v>
      </c>
      <c r="U36" s="7">
        <f t="shared" si="12"/>
        <v>25</v>
      </c>
      <c r="V36" s="19" t="str">
        <f t="shared" si="13"/>
        <v>火系</v>
      </c>
      <c r="W36" s="7">
        <v>30</v>
      </c>
      <c r="X36" s="7">
        <f t="shared" si="14"/>
        <v>70204</v>
      </c>
      <c r="Y36" s="19" t="str">
        <f t="shared" si="15"/>
        <v>碧蓝湖灵</v>
      </c>
      <c r="Z36" s="7" t="str">
        <f t="shared" si="1"/>
        <v>CB401AAA</v>
      </c>
      <c r="AA36" s="7">
        <f t="shared" si="16"/>
        <v>25</v>
      </c>
      <c r="AB36" s="19" t="str">
        <f t="shared" si="2"/>
        <v>水系</v>
      </c>
      <c r="AC36" s="7">
        <v>30</v>
      </c>
      <c r="AD36" s="7">
        <f t="shared" si="17"/>
        <v>70205</v>
      </c>
      <c r="AE36" s="19" t="str">
        <f t="shared" si="18"/>
        <v>忍者土匪</v>
      </c>
      <c r="AF36" s="7" t="str">
        <f t="shared" si="3"/>
        <v>CB223AAA</v>
      </c>
      <c r="AG36" s="7">
        <f t="shared" si="19"/>
        <v>25</v>
      </c>
      <c r="AH36" s="19" t="str">
        <f t="shared" si="4"/>
        <v>雷系</v>
      </c>
      <c r="AI36" s="7">
        <v>30</v>
      </c>
      <c r="AJ36" s="19" t="s">
        <v>1130</v>
      </c>
      <c r="AK36" s="7" t="s">
        <v>1129</v>
      </c>
      <c r="AL36" s="7">
        <f t="shared" si="20"/>
        <v>25</v>
      </c>
      <c r="AM36" s="19" t="s">
        <v>1128</v>
      </c>
    </row>
    <row r="37" spans="2:39" x14ac:dyDescent="0.15">
      <c r="B37" s="7">
        <v>33</v>
      </c>
      <c r="C37" s="7">
        <v>703</v>
      </c>
      <c r="D37" s="7" t="s">
        <v>770</v>
      </c>
      <c r="E37" s="19" t="s">
        <v>962</v>
      </c>
      <c r="F37" s="7">
        <f t="shared" si="5"/>
        <v>70301</v>
      </c>
      <c r="G37" s="19" t="s">
        <v>998</v>
      </c>
      <c r="H37" s="7" t="s">
        <v>997</v>
      </c>
      <c r="I37" s="7">
        <f t="shared" si="6"/>
        <v>26</v>
      </c>
      <c r="J37" s="7" t="str">
        <f t="shared" si="21"/>
        <v>火系</v>
      </c>
      <c r="K37" s="7">
        <v>30</v>
      </c>
      <c r="L37" s="7">
        <f t="shared" si="7"/>
        <v>70302</v>
      </c>
      <c r="M37" s="7" t="str">
        <f t="shared" si="23"/>
        <v>赤色独眼巨人</v>
      </c>
      <c r="N37" s="7" t="str">
        <f t="shared" si="22"/>
        <v>CB371AAA</v>
      </c>
      <c r="O37" s="7">
        <f t="shared" si="8"/>
        <v>23</v>
      </c>
      <c r="P37" s="19" t="str">
        <f t="shared" si="9"/>
        <v>火系</v>
      </c>
      <c r="Q37" s="7">
        <v>10</v>
      </c>
      <c r="R37" s="7">
        <f t="shared" si="10"/>
        <v>70303</v>
      </c>
      <c r="S37" s="19" t="str">
        <f t="shared" si="11"/>
        <v>粘稠怪</v>
      </c>
      <c r="T37" s="7" t="str">
        <f t="shared" ref="T37:T68" si="24">VLOOKUP(S37,monstername1,2,FALSE)</f>
        <v>CB764AAA</v>
      </c>
      <c r="U37" s="7">
        <f t="shared" si="12"/>
        <v>26</v>
      </c>
      <c r="V37" s="19" t="str">
        <f t="shared" si="13"/>
        <v>火系</v>
      </c>
      <c r="W37" s="7">
        <v>30</v>
      </c>
      <c r="X37" s="7">
        <f t="shared" si="14"/>
        <v>70304</v>
      </c>
      <c r="Y37" s="19" t="str">
        <f t="shared" si="15"/>
        <v>钢铁巨人</v>
      </c>
      <c r="Z37" s="7" t="str">
        <f t="shared" ref="Z37:Z68" si="25">VLOOKUP(Y37,monstername1,2,FALSE)</f>
        <v>CB373AAA</v>
      </c>
      <c r="AA37" s="7">
        <f t="shared" si="16"/>
        <v>26</v>
      </c>
      <c r="AB37" s="19" t="str">
        <f t="shared" ref="AB37:AB68" si="26">VLOOKUP(Y37,monstername1,4,FALSE)</f>
        <v>金属系</v>
      </c>
      <c r="AC37" s="7">
        <v>30</v>
      </c>
      <c r="AD37" s="7">
        <f t="shared" si="17"/>
        <v>70305</v>
      </c>
      <c r="AE37" s="19" t="str">
        <f t="shared" si="18"/>
        <v>碧蓝湖灵</v>
      </c>
      <c r="AF37" s="7" t="str">
        <f t="shared" ref="AF37:AF68" si="27">VLOOKUP(AE37,monstername1,2,FALSE)</f>
        <v>CB401AAA</v>
      </c>
      <c r="AG37" s="7">
        <f t="shared" si="19"/>
        <v>26</v>
      </c>
      <c r="AH37" s="19" t="str">
        <f t="shared" ref="AH37:AH68" si="28">VLOOKUP(AE37,monstername1,4,FALSE)</f>
        <v>水系</v>
      </c>
      <c r="AI37" s="7">
        <v>30</v>
      </c>
      <c r="AJ37" s="19" t="s">
        <v>1132</v>
      </c>
      <c r="AK37" s="7" t="s">
        <v>1131</v>
      </c>
      <c r="AL37" s="7">
        <f t="shared" si="20"/>
        <v>26</v>
      </c>
      <c r="AM37" s="19" t="s">
        <v>1128</v>
      </c>
    </row>
    <row r="38" spans="2:39" x14ac:dyDescent="0.15">
      <c r="B38" s="7">
        <v>34</v>
      </c>
      <c r="C38" s="7">
        <v>704</v>
      </c>
      <c r="D38" s="7" t="s">
        <v>771</v>
      </c>
      <c r="E38" s="19" t="s">
        <v>962</v>
      </c>
      <c r="F38" s="7">
        <f t="shared" si="5"/>
        <v>70401</v>
      </c>
      <c r="G38" s="19" t="s">
        <v>998</v>
      </c>
      <c r="H38" s="7" t="s">
        <v>997</v>
      </c>
      <c r="I38" s="7">
        <f t="shared" si="6"/>
        <v>27</v>
      </c>
      <c r="J38" s="7" t="str">
        <f t="shared" si="21"/>
        <v>火系</v>
      </c>
      <c r="K38" s="7">
        <v>30</v>
      </c>
      <c r="L38" s="7">
        <f t="shared" si="7"/>
        <v>70402</v>
      </c>
      <c r="M38" s="7" t="str">
        <f t="shared" si="23"/>
        <v>火泥怪</v>
      </c>
      <c r="N38" s="7" t="str">
        <f t="shared" si="22"/>
        <v>CB760AAA</v>
      </c>
      <c r="O38" s="7">
        <f t="shared" si="8"/>
        <v>24</v>
      </c>
      <c r="P38" s="19" t="str">
        <f t="shared" si="9"/>
        <v>火系</v>
      </c>
      <c r="Q38" s="7">
        <v>10</v>
      </c>
      <c r="R38" s="7">
        <f t="shared" si="10"/>
        <v>70403</v>
      </c>
      <c r="S38" s="19" t="str">
        <f t="shared" si="11"/>
        <v>炎之虚幻</v>
      </c>
      <c r="T38" s="7" t="str">
        <f t="shared" si="24"/>
        <v>CB762AAA</v>
      </c>
      <c r="U38" s="7">
        <f t="shared" si="12"/>
        <v>27</v>
      </c>
      <c r="V38" s="19" t="str">
        <f t="shared" si="13"/>
        <v>火系</v>
      </c>
      <c r="W38" s="7">
        <v>30</v>
      </c>
      <c r="X38" s="7">
        <f t="shared" si="14"/>
        <v>70404</v>
      </c>
      <c r="Y38" s="19" t="str">
        <f t="shared" si="15"/>
        <v>土鳗兽</v>
      </c>
      <c r="Z38" s="7" t="str">
        <f t="shared" si="25"/>
        <v>CB733AAA</v>
      </c>
      <c r="AA38" s="7">
        <f t="shared" si="16"/>
        <v>27</v>
      </c>
      <c r="AB38" s="19" t="str">
        <f t="shared" si="26"/>
        <v>龙系</v>
      </c>
      <c r="AC38" s="7">
        <v>30</v>
      </c>
      <c r="AD38" s="7">
        <f t="shared" si="17"/>
        <v>70405</v>
      </c>
      <c r="AE38" s="19" t="str">
        <f t="shared" si="18"/>
        <v>翼龙兽</v>
      </c>
      <c r="AF38" s="7" t="str">
        <f t="shared" si="27"/>
        <v>CB736AAA</v>
      </c>
      <c r="AG38" s="7">
        <f t="shared" si="19"/>
        <v>27</v>
      </c>
      <c r="AH38" s="19" t="str">
        <f t="shared" si="28"/>
        <v>龙系</v>
      </c>
      <c r="AI38" s="7">
        <v>30</v>
      </c>
      <c r="AJ38" s="19" t="s">
        <v>1134</v>
      </c>
      <c r="AK38" s="7" t="s">
        <v>1133</v>
      </c>
      <c r="AL38" s="7">
        <f t="shared" si="20"/>
        <v>27</v>
      </c>
      <c r="AM38" s="19" t="s">
        <v>1128</v>
      </c>
    </row>
    <row r="39" spans="2:39" x14ac:dyDescent="0.15">
      <c r="B39" s="7">
        <v>35</v>
      </c>
      <c r="C39" s="7">
        <v>705</v>
      </c>
      <c r="D39" s="7" t="s">
        <v>772</v>
      </c>
      <c r="E39" s="19" t="s">
        <v>962</v>
      </c>
      <c r="F39" s="7">
        <f t="shared" si="5"/>
        <v>70501</v>
      </c>
      <c r="G39" s="19" t="s">
        <v>1003</v>
      </c>
      <c r="H39" s="7" t="s">
        <v>1002</v>
      </c>
      <c r="I39" s="7">
        <f t="shared" si="6"/>
        <v>27</v>
      </c>
      <c r="J39" s="7" t="str">
        <f t="shared" si="21"/>
        <v>火系</v>
      </c>
      <c r="K39" s="7">
        <v>30</v>
      </c>
      <c r="L39" s="7">
        <f t="shared" si="7"/>
        <v>70502</v>
      </c>
      <c r="M39" s="7" t="str">
        <f t="shared" si="23"/>
        <v>火魔晶</v>
      </c>
      <c r="N39" s="7" t="str">
        <f t="shared" si="22"/>
        <v>CB897AAA</v>
      </c>
      <c r="O39" s="7">
        <f t="shared" si="8"/>
        <v>25</v>
      </c>
      <c r="P39" s="19" t="str">
        <f t="shared" si="9"/>
        <v>火系</v>
      </c>
      <c r="Q39" s="7">
        <v>10</v>
      </c>
      <c r="R39" s="7">
        <f t="shared" si="10"/>
        <v>70503</v>
      </c>
      <c r="S39" s="19" t="str">
        <f t="shared" si="11"/>
        <v>炎魔晶</v>
      </c>
      <c r="T39" s="7" t="str">
        <f t="shared" si="24"/>
        <v>CB897AAA</v>
      </c>
      <c r="U39" s="7">
        <f t="shared" si="12"/>
        <v>27</v>
      </c>
      <c r="V39" s="19" t="str">
        <f t="shared" si="13"/>
        <v>火系</v>
      </c>
      <c r="W39" s="7">
        <v>30</v>
      </c>
      <c r="X39" s="7">
        <f t="shared" si="14"/>
        <v>70504</v>
      </c>
      <c r="Y39" s="19" t="str">
        <f t="shared" si="15"/>
        <v>愤怒蝙蝠</v>
      </c>
      <c r="Z39" s="7" t="str">
        <f t="shared" si="25"/>
        <v>CB742AAA</v>
      </c>
      <c r="AA39" s="7">
        <f t="shared" si="16"/>
        <v>27</v>
      </c>
      <c r="AB39" s="19" t="str">
        <f t="shared" si="26"/>
        <v>飞行系</v>
      </c>
      <c r="AC39" s="7">
        <v>30</v>
      </c>
      <c r="AD39" s="7">
        <f t="shared" si="17"/>
        <v>70505</v>
      </c>
      <c r="AE39" s="19" t="str">
        <f t="shared" si="18"/>
        <v>愤怒湖灵</v>
      </c>
      <c r="AF39" s="7" t="str">
        <f t="shared" si="27"/>
        <v>CB403AAA</v>
      </c>
      <c r="AG39" s="7">
        <f t="shared" si="19"/>
        <v>27</v>
      </c>
      <c r="AH39" s="19" t="str">
        <f t="shared" si="28"/>
        <v>水系</v>
      </c>
      <c r="AI39" s="7">
        <v>30</v>
      </c>
      <c r="AJ39" s="19" t="s">
        <v>1136</v>
      </c>
      <c r="AK39" s="7" t="s">
        <v>1135</v>
      </c>
      <c r="AL39" s="7">
        <f t="shared" si="20"/>
        <v>27</v>
      </c>
      <c r="AM39" s="19" t="s">
        <v>1125</v>
      </c>
    </row>
    <row r="40" spans="2:39" x14ac:dyDescent="0.15">
      <c r="B40" s="7">
        <v>36</v>
      </c>
      <c r="C40" s="7">
        <v>801</v>
      </c>
      <c r="D40" s="7" t="s">
        <v>773</v>
      </c>
      <c r="E40" s="19" t="s">
        <v>945</v>
      </c>
      <c r="F40" s="7">
        <f t="shared" si="5"/>
        <v>80101</v>
      </c>
      <c r="G40" s="19" t="s">
        <v>1004</v>
      </c>
      <c r="H40" s="7" t="s">
        <v>1002</v>
      </c>
      <c r="I40" s="7">
        <f t="shared" si="6"/>
        <v>28</v>
      </c>
      <c r="J40" s="7" t="str">
        <f t="shared" si="21"/>
        <v>土系</v>
      </c>
      <c r="K40" s="7">
        <v>30</v>
      </c>
      <c r="L40" s="7">
        <f t="shared" si="7"/>
        <v>80102</v>
      </c>
      <c r="M40" s="7" t="str">
        <f t="shared" si="23"/>
        <v>土色独眼巨人</v>
      </c>
      <c r="N40" s="7" t="str">
        <f t="shared" si="22"/>
        <v>CB371AAA</v>
      </c>
      <c r="O40" s="7">
        <f t="shared" si="8"/>
        <v>25</v>
      </c>
      <c r="P40" s="19" t="str">
        <f t="shared" si="9"/>
        <v>土系</v>
      </c>
      <c r="Q40" s="7">
        <v>10</v>
      </c>
      <c r="R40" s="7">
        <f t="shared" si="10"/>
        <v>80103</v>
      </c>
      <c r="S40" s="19" t="str">
        <f t="shared" si="11"/>
        <v>土色独眼巨人</v>
      </c>
      <c r="T40" s="7" t="str">
        <f t="shared" si="24"/>
        <v>CB371AAA</v>
      </c>
      <c r="U40" s="7">
        <f t="shared" si="12"/>
        <v>28</v>
      </c>
      <c r="V40" s="19" t="str">
        <f t="shared" si="13"/>
        <v>土系</v>
      </c>
      <c r="W40" s="7">
        <v>30</v>
      </c>
      <c r="X40" s="7">
        <f t="shared" si="14"/>
        <v>80104</v>
      </c>
      <c r="Y40" s="19" t="str">
        <f t="shared" si="15"/>
        <v>光魔鬼</v>
      </c>
      <c r="Z40" s="7" t="str">
        <f t="shared" si="25"/>
        <v>CB432AAA</v>
      </c>
      <c r="AA40" s="7">
        <f t="shared" si="16"/>
        <v>28</v>
      </c>
      <c r="AB40" s="19" t="str">
        <f t="shared" si="26"/>
        <v>光系</v>
      </c>
      <c r="AC40" s="7">
        <v>30</v>
      </c>
      <c r="AD40" s="7">
        <f t="shared" si="17"/>
        <v>80105</v>
      </c>
      <c r="AE40" s="19" t="str">
        <f t="shared" si="18"/>
        <v>金属土龙</v>
      </c>
      <c r="AF40" s="7" t="str">
        <f t="shared" si="27"/>
        <v>CB747AAA</v>
      </c>
      <c r="AG40" s="7">
        <f t="shared" si="19"/>
        <v>28</v>
      </c>
      <c r="AH40" s="19" t="str">
        <f t="shared" si="28"/>
        <v>金属系</v>
      </c>
      <c r="AI40" s="7">
        <v>30</v>
      </c>
      <c r="AJ40" s="19" t="s">
        <v>1138</v>
      </c>
      <c r="AK40" s="7" t="s">
        <v>1137</v>
      </c>
      <c r="AL40" s="7">
        <f t="shared" si="20"/>
        <v>28</v>
      </c>
      <c r="AM40" s="19" t="s">
        <v>1122</v>
      </c>
    </row>
    <row r="41" spans="2:39" x14ac:dyDescent="0.15">
      <c r="B41" s="7">
        <v>37</v>
      </c>
      <c r="C41" s="7">
        <v>802</v>
      </c>
      <c r="D41" s="7" t="s">
        <v>774</v>
      </c>
      <c r="E41" s="19" t="s">
        <v>945</v>
      </c>
      <c r="F41" s="7">
        <f t="shared" si="5"/>
        <v>80201</v>
      </c>
      <c r="G41" s="19" t="s">
        <v>1004</v>
      </c>
      <c r="H41" s="7" t="s">
        <v>1002</v>
      </c>
      <c r="I41" s="7">
        <f t="shared" si="6"/>
        <v>29</v>
      </c>
      <c r="J41" s="7" t="str">
        <f t="shared" si="21"/>
        <v>土系</v>
      </c>
      <c r="K41" s="7">
        <v>30</v>
      </c>
      <c r="L41" s="7">
        <f t="shared" si="7"/>
        <v>80202</v>
      </c>
      <c r="M41" s="7" t="str">
        <f t="shared" si="23"/>
        <v>青色独眼巨人</v>
      </c>
      <c r="N41" s="7" t="str">
        <f t="shared" si="22"/>
        <v>CB376AAA</v>
      </c>
      <c r="O41" s="7">
        <f t="shared" si="8"/>
        <v>26</v>
      </c>
      <c r="P41" s="19" t="str">
        <f t="shared" si="9"/>
        <v>土系</v>
      </c>
      <c r="Q41" s="7">
        <v>10</v>
      </c>
      <c r="R41" s="7">
        <f t="shared" si="10"/>
        <v>80203</v>
      </c>
      <c r="S41" s="19" t="str">
        <f t="shared" si="11"/>
        <v>土色独眼巨人</v>
      </c>
      <c r="T41" s="7" t="str">
        <f t="shared" si="24"/>
        <v>CB371AAA</v>
      </c>
      <c r="U41" s="7">
        <f t="shared" si="12"/>
        <v>29</v>
      </c>
      <c r="V41" s="19" t="str">
        <f t="shared" si="13"/>
        <v>土系</v>
      </c>
      <c r="W41" s="7">
        <v>30</v>
      </c>
      <c r="X41" s="7">
        <f t="shared" si="14"/>
        <v>80204</v>
      </c>
      <c r="Y41" s="19" t="str">
        <f t="shared" si="15"/>
        <v>水之女护卫</v>
      </c>
      <c r="Z41" s="7" t="str">
        <f t="shared" si="25"/>
        <v>CB766AAA</v>
      </c>
      <c r="AA41" s="7">
        <f t="shared" si="16"/>
        <v>29</v>
      </c>
      <c r="AB41" s="19" t="str">
        <f t="shared" si="26"/>
        <v>水系</v>
      </c>
      <c r="AC41" s="7">
        <v>30</v>
      </c>
      <c r="AD41" s="7">
        <f t="shared" si="17"/>
        <v>80205</v>
      </c>
      <c r="AE41" s="19" t="str">
        <f t="shared" si="18"/>
        <v>幽怨湖灵</v>
      </c>
      <c r="AF41" s="7" t="str">
        <f t="shared" si="27"/>
        <v>CB401AAA</v>
      </c>
      <c r="AG41" s="7">
        <f t="shared" si="19"/>
        <v>29</v>
      </c>
      <c r="AH41" s="19" t="str">
        <f t="shared" si="28"/>
        <v>水系</v>
      </c>
      <c r="AI41" s="7">
        <v>30</v>
      </c>
      <c r="AJ41" s="19" t="s">
        <v>1140</v>
      </c>
      <c r="AK41" s="7" t="s">
        <v>1139</v>
      </c>
      <c r="AL41" s="7">
        <f t="shared" si="20"/>
        <v>29</v>
      </c>
      <c r="AM41" s="19" t="s">
        <v>902</v>
      </c>
    </row>
    <row r="42" spans="2:39" x14ac:dyDescent="0.15">
      <c r="B42" s="7">
        <v>38</v>
      </c>
      <c r="C42" s="7">
        <v>803</v>
      </c>
      <c r="D42" s="7" t="s">
        <v>775</v>
      </c>
      <c r="E42" s="19" t="s">
        <v>945</v>
      </c>
      <c r="F42" s="7">
        <f t="shared" si="5"/>
        <v>80301</v>
      </c>
      <c r="G42" s="19" t="s">
        <v>1004</v>
      </c>
      <c r="H42" s="7" t="s">
        <v>1002</v>
      </c>
      <c r="I42" s="7">
        <f t="shared" si="6"/>
        <v>29</v>
      </c>
      <c r="J42" s="7" t="str">
        <f t="shared" si="21"/>
        <v>土系</v>
      </c>
      <c r="K42" s="7">
        <v>30</v>
      </c>
      <c r="L42" s="7">
        <f t="shared" si="7"/>
        <v>80302</v>
      </c>
      <c r="M42" s="7" t="str">
        <f t="shared" si="23"/>
        <v>青色独眼巨人</v>
      </c>
      <c r="N42" s="7" t="str">
        <f t="shared" si="22"/>
        <v>CB376AAA</v>
      </c>
      <c r="O42" s="7">
        <f t="shared" si="8"/>
        <v>26</v>
      </c>
      <c r="P42" s="19" t="str">
        <f t="shared" si="9"/>
        <v>土系</v>
      </c>
      <c r="Q42" s="7">
        <v>10</v>
      </c>
      <c r="R42" s="7">
        <f t="shared" si="10"/>
        <v>80303</v>
      </c>
      <c r="S42" s="19" t="str">
        <f t="shared" si="11"/>
        <v>土色独眼巨人</v>
      </c>
      <c r="T42" s="7" t="str">
        <f t="shared" si="24"/>
        <v>CB371AAA</v>
      </c>
      <c r="U42" s="7">
        <f t="shared" si="12"/>
        <v>29</v>
      </c>
      <c r="V42" s="19" t="str">
        <f t="shared" si="13"/>
        <v>土系</v>
      </c>
      <c r="W42" s="7">
        <v>30</v>
      </c>
      <c r="X42" s="7">
        <f t="shared" si="14"/>
        <v>80304</v>
      </c>
      <c r="Y42" s="19" t="str">
        <f t="shared" si="15"/>
        <v>狂躁巨人</v>
      </c>
      <c r="Z42" s="7" t="str">
        <f t="shared" si="25"/>
        <v>CB372AAA</v>
      </c>
      <c r="AA42" s="7">
        <f t="shared" si="16"/>
        <v>29</v>
      </c>
      <c r="AB42" s="19" t="str">
        <f t="shared" si="26"/>
        <v>金属系</v>
      </c>
      <c r="AC42" s="7">
        <v>30</v>
      </c>
      <c r="AD42" s="7">
        <f t="shared" si="17"/>
        <v>80305</v>
      </c>
      <c r="AE42" s="19" t="str">
        <f t="shared" si="18"/>
        <v>土色独眼巨人</v>
      </c>
      <c r="AF42" s="7" t="str">
        <f t="shared" si="27"/>
        <v>CB371AAA</v>
      </c>
      <c r="AG42" s="7">
        <f t="shared" si="19"/>
        <v>29</v>
      </c>
      <c r="AH42" s="19" t="str">
        <f t="shared" si="28"/>
        <v>土系</v>
      </c>
      <c r="AI42" s="7">
        <v>30</v>
      </c>
      <c r="AJ42" s="19" t="s">
        <v>1142</v>
      </c>
      <c r="AK42" s="7" t="s">
        <v>1141</v>
      </c>
      <c r="AL42" s="7">
        <f t="shared" si="20"/>
        <v>29</v>
      </c>
      <c r="AM42" s="19" t="s">
        <v>902</v>
      </c>
    </row>
    <row r="43" spans="2:39" x14ac:dyDescent="0.15">
      <c r="B43" s="7">
        <v>39</v>
      </c>
      <c r="C43" s="7">
        <v>804</v>
      </c>
      <c r="D43" s="7" t="s">
        <v>776</v>
      </c>
      <c r="E43" s="19" t="s">
        <v>945</v>
      </c>
      <c r="F43" s="7">
        <f t="shared" si="5"/>
        <v>80401</v>
      </c>
      <c r="G43" s="19" t="s">
        <v>1004</v>
      </c>
      <c r="H43" s="7" t="s">
        <v>1002</v>
      </c>
      <c r="I43" s="7">
        <f t="shared" si="6"/>
        <v>30</v>
      </c>
      <c r="J43" s="7" t="str">
        <f t="shared" si="21"/>
        <v>土系</v>
      </c>
      <c r="K43" s="7">
        <v>30</v>
      </c>
      <c r="L43" s="7">
        <f t="shared" si="7"/>
        <v>80402</v>
      </c>
      <c r="M43" s="7" t="str">
        <f t="shared" si="23"/>
        <v>土色独眼巨人</v>
      </c>
      <c r="N43" s="7" t="str">
        <f t="shared" si="22"/>
        <v>CB371AAA</v>
      </c>
      <c r="O43" s="7">
        <f t="shared" si="8"/>
        <v>27</v>
      </c>
      <c r="P43" s="19" t="str">
        <f t="shared" si="9"/>
        <v>土系</v>
      </c>
      <c r="Q43" s="7">
        <v>10</v>
      </c>
      <c r="R43" s="7">
        <f t="shared" si="10"/>
        <v>80403</v>
      </c>
      <c r="S43" s="19" t="str">
        <f t="shared" si="11"/>
        <v>土色独眼巨人</v>
      </c>
      <c r="T43" s="7" t="str">
        <f t="shared" si="24"/>
        <v>CB371AAA</v>
      </c>
      <c r="U43" s="7">
        <f t="shared" si="12"/>
        <v>30</v>
      </c>
      <c r="V43" s="19" t="str">
        <f t="shared" si="13"/>
        <v>土系</v>
      </c>
      <c r="W43" s="7">
        <v>30</v>
      </c>
      <c r="X43" s="7">
        <f t="shared" si="14"/>
        <v>80404</v>
      </c>
      <c r="Y43" s="19" t="str">
        <f t="shared" si="15"/>
        <v>盗贼</v>
      </c>
      <c r="Z43" s="7" t="str">
        <f t="shared" si="25"/>
        <v>CB224AAA</v>
      </c>
      <c r="AA43" s="7">
        <f t="shared" si="16"/>
        <v>30</v>
      </c>
      <c r="AB43" s="19" t="str">
        <f t="shared" si="26"/>
        <v>暗系</v>
      </c>
      <c r="AC43" s="7">
        <v>30</v>
      </c>
      <c r="AD43" s="7">
        <f t="shared" si="17"/>
        <v>80405</v>
      </c>
      <c r="AE43" s="19" t="str">
        <f t="shared" si="18"/>
        <v>火魔晶</v>
      </c>
      <c r="AF43" s="7" t="str">
        <f t="shared" si="27"/>
        <v>CB897AAA</v>
      </c>
      <c r="AG43" s="7">
        <f t="shared" si="19"/>
        <v>30</v>
      </c>
      <c r="AH43" s="19" t="str">
        <f t="shared" si="28"/>
        <v>火系</v>
      </c>
      <c r="AI43" s="7">
        <v>30</v>
      </c>
      <c r="AJ43" s="19" t="s">
        <v>1144</v>
      </c>
      <c r="AK43" s="7" t="s">
        <v>1143</v>
      </c>
      <c r="AL43" s="7">
        <f t="shared" si="20"/>
        <v>30</v>
      </c>
      <c r="AM43" s="19" t="s">
        <v>902</v>
      </c>
    </row>
    <row r="44" spans="2:39" x14ac:dyDescent="0.15">
      <c r="B44" s="7">
        <v>40</v>
      </c>
      <c r="C44" s="7">
        <v>805</v>
      </c>
      <c r="D44" s="7" t="s">
        <v>777</v>
      </c>
      <c r="E44" s="19" t="s">
        <v>945</v>
      </c>
      <c r="F44" s="7">
        <f t="shared" si="5"/>
        <v>80501</v>
      </c>
      <c r="G44" s="19" t="s">
        <v>1006</v>
      </c>
      <c r="H44" s="7" t="s">
        <v>1005</v>
      </c>
      <c r="I44" s="7">
        <f t="shared" si="6"/>
        <v>31</v>
      </c>
      <c r="J44" s="7" t="str">
        <f t="shared" si="21"/>
        <v>土系</v>
      </c>
      <c r="K44" s="7">
        <v>30</v>
      </c>
      <c r="L44" s="7">
        <f t="shared" si="7"/>
        <v>80502</v>
      </c>
      <c r="M44" s="7" t="str">
        <f t="shared" si="23"/>
        <v>土色独眼巨人</v>
      </c>
      <c r="N44" s="7" t="str">
        <f t="shared" ref="N44:N75" si="29">VLOOKUP(M44,monstername1,2,FALSE)</f>
        <v>CB371AAA</v>
      </c>
      <c r="O44" s="7">
        <f t="shared" si="8"/>
        <v>28</v>
      </c>
      <c r="P44" s="19" t="str">
        <f t="shared" si="9"/>
        <v>土系</v>
      </c>
      <c r="Q44" s="7">
        <v>10</v>
      </c>
      <c r="R44" s="7">
        <f t="shared" si="10"/>
        <v>80503</v>
      </c>
      <c r="S44" s="19" t="str">
        <f t="shared" si="11"/>
        <v>青色独眼巨人</v>
      </c>
      <c r="T44" s="7" t="str">
        <f t="shared" si="24"/>
        <v>CB376AAA</v>
      </c>
      <c r="U44" s="7">
        <f t="shared" si="12"/>
        <v>31</v>
      </c>
      <c r="V44" s="19" t="str">
        <f t="shared" si="13"/>
        <v>土系</v>
      </c>
      <c r="W44" s="7">
        <v>30</v>
      </c>
      <c r="X44" s="7">
        <f t="shared" si="14"/>
        <v>80504</v>
      </c>
      <c r="Y44" s="19" t="str">
        <f t="shared" si="15"/>
        <v>赤色独眼巨人</v>
      </c>
      <c r="Z44" s="7" t="str">
        <f t="shared" si="25"/>
        <v>CB371AAA</v>
      </c>
      <c r="AA44" s="7">
        <f t="shared" si="16"/>
        <v>31</v>
      </c>
      <c r="AB44" s="19" t="str">
        <f t="shared" si="26"/>
        <v>火系</v>
      </c>
      <c r="AC44" s="7">
        <v>30</v>
      </c>
      <c r="AD44" s="7">
        <f t="shared" si="17"/>
        <v>80505</v>
      </c>
      <c r="AE44" s="19" t="str">
        <f t="shared" si="18"/>
        <v>金属土龙</v>
      </c>
      <c r="AF44" s="7" t="str">
        <f t="shared" si="27"/>
        <v>CB747AAA</v>
      </c>
      <c r="AG44" s="7">
        <f t="shared" si="19"/>
        <v>31</v>
      </c>
      <c r="AH44" s="19" t="str">
        <f t="shared" si="28"/>
        <v>金属系</v>
      </c>
      <c r="AI44" s="7">
        <v>30</v>
      </c>
      <c r="AJ44" s="19" t="s">
        <v>1145</v>
      </c>
      <c r="AK44" s="7" t="s">
        <v>1123</v>
      </c>
      <c r="AL44" s="7">
        <f t="shared" si="20"/>
        <v>31</v>
      </c>
      <c r="AM44" s="19" t="s">
        <v>1125</v>
      </c>
    </row>
    <row r="45" spans="2:39" x14ac:dyDescent="0.15">
      <c r="B45" s="7">
        <v>41</v>
      </c>
      <c r="C45" s="7">
        <v>901</v>
      </c>
      <c r="D45" s="7" t="s">
        <v>778</v>
      </c>
      <c r="E45" s="19" t="s">
        <v>963</v>
      </c>
      <c r="F45" s="7">
        <f t="shared" si="5"/>
        <v>90101</v>
      </c>
      <c r="G45" s="19" t="s">
        <v>1008</v>
      </c>
      <c r="H45" s="7" t="s">
        <v>1007</v>
      </c>
      <c r="I45" s="7">
        <f t="shared" si="6"/>
        <v>32</v>
      </c>
      <c r="J45" s="7" t="str">
        <f t="shared" si="21"/>
        <v>暗系</v>
      </c>
      <c r="K45" s="7">
        <v>30</v>
      </c>
      <c r="L45" s="7">
        <f t="shared" si="7"/>
        <v>90102</v>
      </c>
      <c r="M45" s="7" t="str">
        <f t="shared" si="23"/>
        <v>盗贼</v>
      </c>
      <c r="N45" s="7" t="str">
        <f t="shared" si="29"/>
        <v>CB224AAA</v>
      </c>
      <c r="O45" s="7">
        <f t="shared" si="8"/>
        <v>28</v>
      </c>
      <c r="P45" s="19" t="str">
        <f t="shared" si="9"/>
        <v>暗系</v>
      </c>
      <c r="Q45" s="7">
        <v>10</v>
      </c>
      <c r="R45" s="7">
        <f t="shared" si="10"/>
        <v>90103</v>
      </c>
      <c r="S45" s="19" t="str">
        <f t="shared" si="11"/>
        <v>黑暗盗贼</v>
      </c>
      <c r="T45" s="7" t="str">
        <f t="shared" si="24"/>
        <v>CB225AAA</v>
      </c>
      <c r="U45" s="7">
        <f t="shared" si="12"/>
        <v>32</v>
      </c>
      <c r="V45" s="19" t="str">
        <f t="shared" si="13"/>
        <v>暗系</v>
      </c>
      <c r="W45" s="7">
        <v>30</v>
      </c>
      <c r="X45" s="7">
        <f t="shared" si="14"/>
        <v>90104</v>
      </c>
      <c r="Y45" s="19" t="str">
        <f t="shared" si="15"/>
        <v>光魔晶</v>
      </c>
      <c r="Z45" s="7" t="str">
        <f t="shared" si="25"/>
        <v>CB896AAA</v>
      </c>
      <c r="AA45" s="7">
        <f t="shared" si="16"/>
        <v>32</v>
      </c>
      <c r="AB45" s="19" t="str">
        <f t="shared" si="26"/>
        <v>光系</v>
      </c>
      <c r="AC45" s="7">
        <v>30</v>
      </c>
      <c r="AD45" s="7">
        <f t="shared" si="17"/>
        <v>90105</v>
      </c>
      <c r="AE45" s="19" t="str">
        <f t="shared" si="18"/>
        <v>粘稠怪</v>
      </c>
      <c r="AF45" s="7" t="str">
        <f t="shared" si="27"/>
        <v>CB764AAA</v>
      </c>
      <c r="AG45" s="7">
        <f t="shared" si="19"/>
        <v>32</v>
      </c>
      <c r="AH45" s="19" t="str">
        <f t="shared" si="28"/>
        <v>火系</v>
      </c>
      <c r="AI45" s="7">
        <v>30</v>
      </c>
      <c r="AJ45" s="19" t="s">
        <v>1147</v>
      </c>
      <c r="AK45" s="7" t="s">
        <v>1146</v>
      </c>
      <c r="AL45" s="7">
        <f t="shared" si="20"/>
        <v>32</v>
      </c>
      <c r="AM45" s="19" t="s">
        <v>1125</v>
      </c>
    </row>
    <row r="46" spans="2:39" x14ac:dyDescent="0.15">
      <c r="B46" s="7">
        <v>42</v>
      </c>
      <c r="C46" s="7">
        <v>902</v>
      </c>
      <c r="D46" s="7" t="s">
        <v>779</v>
      </c>
      <c r="E46" s="19" t="s">
        <v>963</v>
      </c>
      <c r="F46" s="7">
        <f t="shared" si="5"/>
        <v>90201</v>
      </c>
      <c r="G46" s="19" t="s">
        <v>1008</v>
      </c>
      <c r="H46" s="7" t="s">
        <v>1007</v>
      </c>
      <c r="I46" s="7">
        <f t="shared" si="6"/>
        <v>32</v>
      </c>
      <c r="J46" s="7" t="str">
        <f t="shared" si="21"/>
        <v>暗系</v>
      </c>
      <c r="K46" s="7">
        <v>30</v>
      </c>
      <c r="L46" s="7">
        <f t="shared" si="7"/>
        <v>90202</v>
      </c>
      <c r="M46" s="7" t="str">
        <f t="shared" si="23"/>
        <v>盗贼</v>
      </c>
      <c r="N46" s="7" t="str">
        <f t="shared" si="29"/>
        <v>CB224AAA</v>
      </c>
      <c r="O46" s="7">
        <f t="shared" si="8"/>
        <v>29</v>
      </c>
      <c r="P46" s="19" t="str">
        <f t="shared" si="9"/>
        <v>暗系</v>
      </c>
      <c r="Q46" s="7">
        <v>10</v>
      </c>
      <c r="R46" s="7">
        <f t="shared" si="10"/>
        <v>90203</v>
      </c>
      <c r="S46" s="19" t="str">
        <f t="shared" si="11"/>
        <v>黑暗石鱼</v>
      </c>
      <c r="T46" s="7" t="str">
        <f t="shared" si="24"/>
        <v>CB632AAA</v>
      </c>
      <c r="U46" s="7">
        <f t="shared" si="12"/>
        <v>32</v>
      </c>
      <c r="V46" s="19" t="str">
        <f t="shared" si="13"/>
        <v>暗系</v>
      </c>
      <c r="W46" s="7">
        <v>30</v>
      </c>
      <c r="X46" s="7">
        <f t="shared" si="14"/>
        <v>90204</v>
      </c>
      <c r="Y46" s="19" t="str">
        <f t="shared" si="15"/>
        <v>土色独眼巨人</v>
      </c>
      <c r="Z46" s="7" t="str">
        <f t="shared" si="25"/>
        <v>CB371AAA</v>
      </c>
      <c r="AA46" s="7">
        <f t="shared" si="16"/>
        <v>32</v>
      </c>
      <c r="AB46" s="19" t="str">
        <f t="shared" si="26"/>
        <v>土系</v>
      </c>
      <c r="AC46" s="7">
        <v>30</v>
      </c>
      <c r="AD46" s="7">
        <f t="shared" si="17"/>
        <v>90205</v>
      </c>
      <c r="AE46" s="19" t="str">
        <f t="shared" si="18"/>
        <v xml:space="preserve">雷魔晶 </v>
      </c>
      <c r="AF46" s="7" t="str">
        <f t="shared" si="27"/>
        <v>CB898AAA</v>
      </c>
      <c r="AG46" s="7">
        <f t="shared" si="19"/>
        <v>32</v>
      </c>
      <c r="AH46" s="19" t="str">
        <f t="shared" si="28"/>
        <v>雷系</v>
      </c>
      <c r="AI46" s="7">
        <v>30</v>
      </c>
      <c r="AJ46" s="19" t="s">
        <v>1149</v>
      </c>
      <c r="AK46" s="7" t="s">
        <v>1148</v>
      </c>
      <c r="AL46" s="7">
        <f t="shared" si="20"/>
        <v>32</v>
      </c>
      <c r="AM46" s="19" t="s">
        <v>1125</v>
      </c>
    </row>
    <row r="47" spans="2:39" x14ac:dyDescent="0.15">
      <c r="B47" s="7">
        <v>43</v>
      </c>
      <c r="C47" s="7">
        <v>903</v>
      </c>
      <c r="D47" s="7" t="s">
        <v>780</v>
      </c>
      <c r="E47" s="19" t="s">
        <v>963</v>
      </c>
      <c r="F47" s="7">
        <f t="shared" si="5"/>
        <v>90301</v>
      </c>
      <c r="G47" s="19" t="s">
        <v>1010</v>
      </c>
      <c r="H47" s="7" t="s">
        <v>1009</v>
      </c>
      <c r="I47" s="7">
        <f t="shared" si="6"/>
        <v>33</v>
      </c>
      <c r="J47" s="7" t="str">
        <f t="shared" si="21"/>
        <v>暗系</v>
      </c>
      <c r="K47" s="7">
        <v>30</v>
      </c>
      <c r="L47" s="7">
        <f t="shared" si="7"/>
        <v>90302</v>
      </c>
      <c r="M47" s="7" t="str">
        <f t="shared" si="23"/>
        <v>多毛蜘蛛</v>
      </c>
      <c r="N47" s="7" t="str">
        <f t="shared" si="29"/>
        <v>CB613AAA</v>
      </c>
      <c r="O47" s="7">
        <f t="shared" si="8"/>
        <v>30</v>
      </c>
      <c r="P47" s="19" t="str">
        <f t="shared" si="9"/>
        <v>暗系</v>
      </c>
      <c r="Q47" s="7">
        <v>10</v>
      </c>
      <c r="R47" s="7">
        <f t="shared" si="10"/>
        <v>90303</v>
      </c>
      <c r="S47" s="19" t="str">
        <f t="shared" si="11"/>
        <v>黑暗盗贼</v>
      </c>
      <c r="T47" s="7" t="str">
        <f t="shared" si="24"/>
        <v>CB225AAA</v>
      </c>
      <c r="U47" s="7">
        <f t="shared" si="12"/>
        <v>33</v>
      </c>
      <c r="V47" s="19" t="str">
        <f t="shared" si="13"/>
        <v>暗系</v>
      </c>
      <c r="W47" s="7">
        <v>30</v>
      </c>
      <c r="X47" s="7">
        <f t="shared" si="14"/>
        <v>90304</v>
      </c>
      <c r="Y47" s="19" t="str">
        <f t="shared" si="15"/>
        <v>魔鬼鱼</v>
      </c>
      <c r="Z47" s="7" t="str">
        <f t="shared" si="25"/>
        <v>CB633AAA</v>
      </c>
      <c r="AA47" s="7">
        <f t="shared" si="16"/>
        <v>33</v>
      </c>
      <c r="AB47" s="19" t="str">
        <f t="shared" si="26"/>
        <v>飞行系</v>
      </c>
      <c r="AC47" s="7">
        <v>30</v>
      </c>
      <c r="AD47" s="7">
        <f t="shared" si="17"/>
        <v>90305</v>
      </c>
      <c r="AE47" s="19" t="str">
        <f t="shared" si="18"/>
        <v>盗贼</v>
      </c>
      <c r="AF47" s="7" t="str">
        <f t="shared" si="27"/>
        <v>CB224AAA</v>
      </c>
      <c r="AG47" s="7">
        <f t="shared" si="19"/>
        <v>33</v>
      </c>
      <c r="AH47" s="19" t="str">
        <f t="shared" si="28"/>
        <v>暗系</v>
      </c>
      <c r="AI47" s="7">
        <v>30</v>
      </c>
      <c r="AJ47" s="19" t="s">
        <v>1151</v>
      </c>
      <c r="AK47" s="7" t="s">
        <v>1150</v>
      </c>
      <c r="AL47" s="7">
        <f t="shared" si="20"/>
        <v>33</v>
      </c>
      <c r="AM47" s="19" t="s">
        <v>1125</v>
      </c>
    </row>
    <row r="48" spans="2:39" x14ac:dyDescent="0.15">
      <c r="B48" s="7">
        <v>44</v>
      </c>
      <c r="C48" s="7">
        <v>904</v>
      </c>
      <c r="D48" s="7" t="s">
        <v>781</v>
      </c>
      <c r="E48" s="19" t="s">
        <v>963</v>
      </c>
      <c r="F48" s="7">
        <f t="shared" si="5"/>
        <v>90401</v>
      </c>
      <c r="G48" s="19" t="s">
        <v>1010</v>
      </c>
      <c r="H48" s="7" t="s">
        <v>1009</v>
      </c>
      <c r="I48" s="7">
        <f t="shared" si="6"/>
        <v>34</v>
      </c>
      <c r="J48" s="7" t="str">
        <f t="shared" si="21"/>
        <v>暗系</v>
      </c>
      <c r="K48" s="7">
        <v>30</v>
      </c>
      <c r="L48" s="7">
        <f t="shared" si="7"/>
        <v>90402</v>
      </c>
      <c r="M48" s="7" t="str">
        <f t="shared" si="23"/>
        <v>黑暗石鱼</v>
      </c>
      <c r="N48" s="7" t="str">
        <f t="shared" si="29"/>
        <v>CB632AAA</v>
      </c>
      <c r="O48" s="7">
        <f t="shared" si="8"/>
        <v>30</v>
      </c>
      <c r="P48" s="19" t="str">
        <f t="shared" si="9"/>
        <v>暗系</v>
      </c>
      <c r="Q48" s="7">
        <v>10</v>
      </c>
      <c r="R48" s="7">
        <f t="shared" si="10"/>
        <v>90403</v>
      </c>
      <c r="S48" s="19" t="str">
        <f t="shared" si="11"/>
        <v>盗贼</v>
      </c>
      <c r="T48" s="7" t="str">
        <f t="shared" si="24"/>
        <v>CB224AAA</v>
      </c>
      <c r="U48" s="7">
        <f t="shared" si="12"/>
        <v>34</v>
      </c>
      <c r="V48" s="19" t="str">
        <f t="shared" si="13"/>
        <v>暗系</v>
      </c>
      <c r="W48" s="7">
        <v>30</v>
      </c>
      <c r="X48" s="7">
        <f t="shared" si="14"/>
        <v>90404</v>
      </c>
      <c r="Y48" s="19" t="str">
        <f t="shared" si="15"/>
        <v>魔鬼鱼</v>
      </c>
      <c r="Z48" s="7" t="str">
        <f t="shared" si="25"/>
        <v>CB633AAA</v>
      </c>
      <c r="AA48" s="7">
        <f t="shared" si="16"/>
        <v>34</v>
      </c>
      <c r="AB48" s="19" t="str">
        <f t="shared" si="26"/>
        <v>飞行系</v>
      </c>
      <c r="AC48" s="7">
        <v>30</v>
      </c>
      <c r="AD48" s="7">
        <f t="shared" si="17"/>
        <v>90405</v>
      </c>
      <c r="AE48" s="19" t="str">
        <f t="shared" si="18"/>
        <v>硬质魔球</v>
      </c>
      <c r="AF48" s="7" t="str">
        <f t="shared" si="27"/>
        <v>CB892AAA</v>
      </c>
      <c r="AG48" s="7">
        <f t="shared" si="19"/>
        <v>34</v>
      </c>
      <c r="AH48" s="19" t="str">
        <f t="shared" si="28"/>
        <v>金属系</v>
      </c>
      <c r="AI48" s="7">
        <v>30</v>
      </c>
      <c r="AJ48" s="19" t="s">
        <v>1153</v>
      </c>
      <c r="AK48" s="7" t="s">
        <v>1152</v>
      </c>
      <c r="AL48" s="7">
        <f t="shared" si="20"/>
        <v>34</v>
      </c>
      <c r="AM48" s="19" t="s">
        <v>1125</v>
      </c>
    </row>
    <row r="49" spans="2:39" x14ac:dyDescent="0.15">
      <c r="B49" s="7">
        <v>45</v>
      </c>
      <c r="C49" s="7">
        <v>905</v>
      </c>
      <c r="D49" s="7" t="s">
        <v>782</v>
      </c>
      <c r="E49" s="19" t="s">
        <v>963</v>
      </c>
      <c r="F49" s="7">
        <f t="shared" si="5"/>
        <v>90501</v>
      </c>
      <c r="G49" s="19" t="s">
        <v>1010</v>
      </c>
      <c r="H49" s="7" t="s">
        <v>1009</v>
      </c>
      <c r="I49" s="7">
        <f t="shared" si="6"/>
        <v>34</v>
      </c>
      <c r="J49" s="7" t="str">
        <f t="shared" si="21"/>
        <v>暗系</v>
      </c>
      <c r="K49" s="7">
        <v>30</v>
      </c>
      <c r="L49" s="7">
        <f t="shared" si="7"/>
        <v>90502</v>
      </c>
      <c r="M49" s="7" t="str">
        <f t="shared" si="23"/>
        <v>黑暗盗贼</v>
      </c>
      <c r="N49" s="7" t="str">
        <f t="shared" si="29"/>
        <v>CB225AAA</v>
      </c>
      <c r="O49" s="7">
        <f t="shared" si="8"/>
        <v>31</v>
      </c>
      <c r="P49" s="19" t="str">
        <f t="shared" si="9"/>
        <v>暗系</v>
      </c>
      <c r="Q49" s="7">
        <v>10</v>
      </c>
      <c r="R49" s="7">
        <f t="shared" si="10"/>
        <v>90503</v>
      </c>
      <c r="S49" s="19" t="str">
        <f t="shared" si="11"/>
        <v>盗贼</v>
      </c>
      <c r="T49" s="7" t="str">
        <f t="shared" si="24"/>
        <v>CB224AAA</v>
      </c>
      <c r="U49" s="7">
        <f t="shared" si="12"/>
        <v>34</v>
      </c>
      <c r="V49" s="19" t="str">
        <f t="shared" si="13"/>
        <v>暗系</v>
      </c>
      <c r="W49" s="7">
        <v>30</v>
      </c>
      <c r="X49" s="7">
        <f t="shared" si="14"/>
        <v>90504</v>
      </c>
      <c r="Y49" s="19" t="str">
        <f t="shared" si="15"/>
        <v>小蝙蝠</v>
      </c>
      <c r="Z49" s="7" t="str">
        <f t="shared" si="25"/>
        <v>CB741AAA</v>
      </c>
      <c r="AA49" s="7">
        <f t="shared" si="16"/>
        <v>34</v>
      </c>
      <c r="AB49" s="19" t="str">
        <f t="shared" si="26"/>
        <v>飞行系</v>
      </c>
      <c r="AC49" s="7">
        <v>30</v>
      </c>
      <c r="AD49" s="7">
        <f t="shared" si="17"/>
        <v>90505</v>
      </c>
      <c r="AE49" s="19" t="str">
        <f t="shared" si="18"/>
        <v>光魔鬼</v>
      </c>
      <c r="AF49" s="7" t="str">
        <f t="shared" si="27"/>
        <v>CB432AAA</v>
      </c>
      <c r="AG49" s="7">
        <f t="shared" si="19"/>
        <v>34</v>
      </c>
      <c r="AH49" s="19" t="str">
        <f t="shared" si="28"/>
        <v>光系</v>
      </c>
      <c r="AI49" s="7">
        <v>30</v>
      </c>
      <c r="AJ49" s="19" t="s">
        <v>1154</v>
      </c>
      <c r="AK49" s="7" t="s">
        <v>1155</v>
      </c>
      <c r="AL49" s="7">
        <f t="shared" si="20"/>
        <v>34</v>
      </c>
      <c r="AM49" s="19" t="s">
        <v>1125</v>
      </c>
    </row>
    <row r="50" spans="2:39" x14ac:dyDescent="0.15">
      <c r="B50" s="7">
        <v>46</v>
      </c>
      <c r="C50" s="7">
        <v>1001</v>
      </c>
      <c r="D50" s="7" t="s">
        <v>783</v>
      </c>
      <c r="E50" s="19" t="s">
        <v>964</v>
      </c>
      <c r="F50" s="7">
        <f t="shared" si="5"/>
        <v>100101</v>
      </c>
      <c r="G50" s="19" t="s">
        <v>1012</v>
      </c>
      <c r="H50" s="7" t="s">
        <v>1011</v>
      </c>
      <c r="I50" s="7">
        <f t="shared" si="6"/>
        <v>35</v>
      </c>
      <c r="J50" s="7" t="str">
        <f t="shared" si="21"/>
        <v>雷系</v>
      </c>
      <c r="K50" s="7">
        <v>30</v>
      </c>
      <c r="L50" s="7">
        <f t="shared" si="7"/>
        <v>100102</v>
      </c>
      <c r="M50" s="7" t="str">
        <f t="shared" si="23"/>
        <v>忍者土匪</v>
      </c>
      <c r="N50" s="7" t="str">
        <f t="shared" si="29"/>
        <v>CB223AAA</v>
      </c>
      <c r="O50" s="7">
        <f t="shared" si="8"/>
        <v>31</v>
      </c>
      <c r="P50" s="19" t="str">
        <f t="shared" si="9"/>
        <v>雷系</v>
      </c>
      <c r="Q50" s="7">
        <v>10</v>
      </c>
      <c r="R50" s="7">
        <f t="shared" si="10"/>
        <v>100103</v>
      </c>
      <c r="S50" s="19" t="str">
        <f t="shared" si="11"/>
        <v>忍者土匪</v>
      </c>
      <c r="T50" s="7" t="str">
        <f t="shared" si="24"/>
        <v>CB223AAA</v>
      </c>
      <c r="U50" s="7">
        <f t="shared" si="12"/>
        <v>35</v>
      </c>
      <c r="V50" s="19" t="str">
        <f t="shared" si="13"/>
        <v>雷系</v>
      </c>
      <c r="W50" s="7">
        <v>30</v>
      </c>
      <c r="X50" s="7">
        <f t="shared" si="14"/>
        <v>100104</v>
      </c>
      <c r="Y50" s="19" t="str">
        <f t="shared" si="15"/>
        <v>愤怒蝙蝠</v>
      </c>
      <c r="Z50" s="7" t="str">
        <f t="shared" si="25"/>
        <v>CB742AAA</v>
      </c>
      <c r="AA50" s="7">
        <f t="shared" si="16"/>
        <v>35</v>
      </c>
      <c r="AB50" s="19" t="str">
        <f t="shared" si="26"/>
        <v>飞行系</v>
      </c>
      <c r="AC50" s="7">
        <v>30</v>
      </c>
      <c r="AD50" s="7">
        <f t="shared" si="17"/>
        <v>100105</v>
      </c>
      <c r="AE50" s="19" t="str">
        <f t="shared" si="18"/>
        <v>忍者土匪</v>
      </c>
      <c r="AF50" s="7" t="str">
        <f t="shared" si="27"/>
        <v>CB223AAA</v>
      </c>
      <c r="AG50" s="7">
        <f t="shared" si="19"/>
        <v>35</v>
      </c>
      <c r="AH50" s="19" t="str">
        <f t="shared" si="28"/>
        <v>雷系</v>
      </c>
      <c r="AI50" s="7">
        <v>30</v>
      </c>
      <c r="AJ50" s="19" t="s">
        <v>1145</v>
      </c>
      <c r="AK50" s="7" t="s">
        <v>1156</v>
      </c>
      <c r="AL50" s="7">
        <f t="shared" si="20"/>
        <v>35</v>
      </c>
      <c r="AM50" s="19" t="s">
        <v>956</v>
      </c>
    </row>
    <row r="51" spans="2:39" x14ac:dyDescent="0.15">
      <c r="B51" s="7">
        <v>47</v>
      </c>
      <c r="C51" s="7">
        <v>1002</v>
      </c>
      <c r="D51" s="7" t="s">
        <v>784</v>
      </c>
      <c r="E51" s="19" t="s">
        <v>964</v>
      </c>
      <c r="F51" s="7">
        <f t="shared" si="5"/>
        <v>100201</v>
      </c>
      <c r="G51" s="19" t="s">
        <v>1012</v>
      </c>
      <c r="H51" s="7" t="s">
        <v>1011</v>
      </c>
      <c r="I51" s="7">
        <f t="shared" si="6"/>
        <v>36</v>
      </c>
      <c r="J51" s="7" t="str">
        <f t="shared" si="21"/>
        <v>雷系</v>
      </c>
      <c r="K51" s="7">
        <v>30</v>
      </c>
      <c r="L51" s="7">
        <f t="shared" si="7"/>
        <v>100202</v>
      </c>
      <c r="M51" s="7" t="str">
        <f t="shared" si="23"/>
        <v>雷之盗贼</v>
      </c>
      <c r="N51" s="7" t="str">
        <f t="shared" si="29"/>
        <v>CB223AAA</v>
      </c>
      <c r="O51" s="7">
        <f t="shared" si="8"/>
        <v>32</v>
      </c>
      <c r="P51" s="19" t="str">
        <f t="shared" si="9"/>
        <v>雷系</v>
      </c>
      <c r="Q51" s="7">
        <v>10</v>
      </c>
      <c r="R51" s="7">
        <f t="shared" si="10"/>
        <v>100203</v>
      </c>
      <c r="S51" s="19" t="str">
        <f t="shared" si="11"/>
        <v>雷之盗贼</v>
      </c>
      <c r="T51" s="7" t="str">
        <f t="shared" si="24"/>
        <v>CB223AAA</v>
      </c>
      <c r="U51" s="7">
        <f t="shared" si="12"/>
        <v>36</v>
      </c>
      <c r="V51" s="19" t="str">
        <f t="shared" si="13"/>
        <v>雷系</v>
      </c>
      <c r="W51" s="7">
        <v>30</v>
      </c>
      <c r="X51" s="7">
        <f t="shared" si="14"/>
        <v>100204</v>
      </c>
      <c r="Y51" s="19" t="str">
        <f t="shared" si="15"/>
        <v>光精灵</v>
      </c>
      <c r="Z51" s="7" t="str">
        <f t="shared" si="25"/>
        <v>CB431AAA</v>
      </c>
      <c r="AA51" s="7">
        <f t="shared" si="16"/>
        <v>36</v>
      </c>
      <c r="AB51" s="19" t="str">
        <f t="shared" si="26"/>
        <v>光系</v>
      </c>
      <c r="AC51" s="7">
        <v>30</v>
      </c>
      <c r="AD51" s="7">
        <f t="shared" si="17"/>
        <v>100205</v>
      </c>
      <c r="AE51" s="19" t="str">
        <f t="shared" si="18"/>
        <v>炎之虚幻</v>
      </c>
      <c r="AF51" s="7" t="str">
        <f t="shared" si="27"/>
        <v>CB762AAA</v>
      </c>
      <c r="AG51" s="7">
        <f t="shared" si="19"/>
        <v>36</v>
      </c>
      <c r="AH51" s="19" t="str">
        <f t="shared" si="28"/>
        <v>火系</v>
      </c>
      <c r="AI51" s="7">
        <v>30</v>
      </c>
      <c r="AJ51" s="19" t="s">
        <v>1157</v>
      </c>
      <c r="AK51" s="7" t="s">
        <v>1057</v>
      </c>
      <c r="AL51" s="7">
        <f t="shared" si="20"/>
        <v>36</v>
      </c>
      <c r="AM51" s="19" t="s">
        <v>956</v>
      </c>
    </row>
    <row r="52" spans="2:39" x14ac:dyDescent="0.15">
      <c r="B52" s="7">
        <v>48</v>
      </c>
      <c r="C52" s="7">
        <v>1003</v>
      </c>
      <c r="D52" s="7" t="s">
        <v>785</v>
      </c>
      <c r="E52" s="19" t="s">
        <v>964</v>
      </c>
      <c r="F52" s="7">
        <f t="shared" si="5"/>
        <v>100301</v>
      </c>
      <c r="G52" s="7" t="s">
        <v>1013</v>
      </c>
      <c r="H52" s="7" t="s">
        <v>993</v>
      </c>
      <c r="I52" s="7">
        <f t="shared" si="6"/>
        <v>37</v>
      </c>
      <c r="J52" s="7" t="str">
        <f t="shared" si="21"/>
        <v>雷系</v>
      </c>
      <c r="K52" s="7">
        <v>30</v>
      </c>
      <c r="L52" s="7">
        <f t="shared" si="7"/>
        <v>100302</v>
      </c>
      <c r="M52" s="7" t="str">
        <f t="shared" si="23"/>
        <v>忍者土匪</v>
      </c>
      <c r="N52" s="7" t="str">
        <f t="shared" si="29"/>
        <v>CB223AAA</v>
      </c>
      <c r="O52" s="7">
        <f t="shared" si="8"/>
        <v>33</v>
      </c>
      <c r="P52" s="19" t="str">
        <f t="shared" si="9"/>
        <v>雷系</v>
      </c>
      <c r="Q52" s="7">
        <v>10</v>
      </c>
      <c r="R52" s="7">
        <f t="shared" si="10"/>
        <v>100303</v>
      </c>
      <c r="S52" s="19" t="str">
        <f t="shared" si="11"/>
        <v>忍者土匪</v>
      </c>
      <c r="T52" s="7" t="str">
        <f t="shared" si="24"/>
        <v>CB223AAA</v>
      </c>
      <c r="U52" s="7">
        <f t="shared" si="12"/>
        <v>37</v>
      </c>
      <c r="V52" s="19" t="str">
        <f t="shared" si="13"/>
        <v>雷系</v>
      </c>
      <c r="W52" s="7">
        <v>30</v>
      </c>
      <c r="X52" s="7">
        <f t="shared" si="14"/>
        <v>100304</v>
      </c>
      <c r="Y52" s="19" t="str">
        <f t="shared" si="15"/>
        <v>炎之虚幻</v>
      </c>
      <c r="Z52" s="7" t="str">
        <f t="shared" si="25"/>
        <v>CB762AAA</v>
      </c>
      <c r="AA52" s="7">
        <f t="shared" si="16"/>
        <v>37</v>
      </c>
      <c r="AB52" s="19" t="str">
        <f t="shared" si="26"/>
        <v>火系</v>
      </c>
      <c r="AC52" s="7">
        <v>30</v>
      </c>
      <c r="AD52" s="7">
        <f t="shared" si="17"/>
        <v>100305</v>
      </c>
      <c r="AE52" s="19" t="str">
        <f t="shared" si="18"/>
        <v>小恶魔</v>
      </c>
      <c r="AF52" s="7" t="str">
        <f t="shared" si="27"/>
        <v>CB357AAA</v>
      </c>
      <c r="AG52" s="7">
        <f t="shared" si="19"/>
        <v>37</v>
      </c>
      <c r="AH52" s="19" t="str">
        <f t="shared" si="28"/>
        <v>金属系</v>
      </c>
      <c r="AI52" s="7">
        <v>30</v>
      </c>
      <c r="AJ52" s="19" t="s">
        <v>1158</v>
      </c>
      <c r="AK52" s="7" t="s">
        <v>1159</v>
      </c>
      <c r="AL52" s="7">
        <f t="shared" si="20"/>
        <v>37</v>
      </c>
      <c r="AM52" s="19" t="s">
        <v>1160</v>
      </c>
    </row>
    <row r="53" spans="2:39" x14ac:dyDescent="0.15">
      <c r="B53" s="7">
        <v>49</v>
      </c>
      <c r="C53" s="7">
        <v>1004</v>
      </c>
      <c r="D53" s="7" t="s">
        <v>786</v>
      </c>
      <c r="E53" s="19" t="s">
        <v>964</v>
      </c>
      <c r="F53" s="7">
        <f t="shared" si="5"/>
        <v>100401</v>
      </c>
      <c r="G53" s="7" t="s">
        <v>1014</v>
      </c>
      <c r="H53" s="7" t="s">
        <v>993</v>
      </c>
      <c r="I53" s="7">
        <f t="shared" si="6"/>
        <v>37</v>
      </c>
      <c r="J53" s="7" t="str">
        <f t="shared" si="21"/>
        <v>雷系</v>
      </c>
      <c r="K53" s="7">
        <v>30</v>
      </c>
      <c r="L53" s="7">
        <f t="shared" si="7"/>
        <v>100402</v>
      </c>
      <c r="M53" s="7" t="str">
        <f t="shared" si="23"/>
        <v>忍者土匪</v>
      </c>
      <c r="N53" s="7" t="str">
        <f t="shared" si="29"/>
        <v>CB223AAA</v>
      </c>
      <c r="O53" s="7">
        <f t="shared" si="8"/>
        <v>33</v>
      </c>
      <c r="P53" s="19" t="str">
        <f t="shared" si="9"/>
        <v>雷系</v>
      </c>
      <c r="Q53" s="7">
        <v>10</v>
      </c>
      <c r="R53" s="7">
        <f t="shared" si="10"/>
        <v>100403</v>
      </c>
      <c r="S53" s="19" t="str">
        <f t="shared" si="11"/>
        <v>忍者土匪</v>
      </c>
      <c r="T53" s="7" t="str">
        <f t="shared" si="24"/>
        <v>CB223AAA</v>
      </c>
      <c r="U53" s="7">
        <f t="shared" si="12"/>
        <v>37</v>
      </c>
      <c r="V53" s="19" t="str">
        <f t="shared" si="13"/>
        <v>雷系</v>
      </c>
      <c r="W53" s="7">
        <v>30</v>
      </c>
      <c r="X53" s="7">
        <f t="shared" si="14"/>
        <v>100404</v>
      </c>
      <c r="Y53" s="19" t="str">
        <f t="shared" si="15"/>
        <v>飞蛇</v>
      </c>
      <c r="Z53" s="7" t="str">
        <f t="shared" si="25"/>
        <v>CB734AAA</v>
      </c>
      <c r="AA53" s="7">
        <f t="shared" si="16"/>
        <v>37</v>
      </c>
      <c r="AB53" s="19" t="str">
        <f t="shared" si="26"/>
        <v>飞行系</v>
      </c>
      <c r="AC53" s="7">
        <v>30</v>
      </c>
      <c r="AD53" s="7">
        <f t="shared" si="17"/>
        <v>100405</v>
      </c>
      <c r="AE53" s="19" t="str">
        <f t="shared" si="18"/>
        <v>恶魔</v>
      </c>
      <c r="AF53" s="7" t="str">
        <f t="shared" si="27"/>
        <v>CB507AAA</v>
      </c>
      <c r="AG53" s="7">
        <f t="shared" si="19"/>
        <v>37</v>
      </c>
      <c r="AH53" s="19" t="str">
        <f t="shared" si="28"/>
        <v>飞行系</v>
      </c>
      <c r="AI53" s="7">
        <v>30</v>
      </c>
      <c r="AJ53" s="19" t="s">
        <v>1161</v>
      </c>
      <c r="AK53" s="7" t="s">
        <v>1162</v>
      </c>
      <c r="AL53" s="7">
        <f t="shared" si="20"/>
        <v>37</v>
      </c>
      <c r="AM53" s="19" t="s">
        <v>1163</v>
      </c>
    </row>
    <row r="54" spans="2:39" x14ac:dyDescent="0.15">
      <c r="B54" s="7">
        <v>50</v>
      </c>
      <c r="C54" s="7">
        <v>1005</v>
      </c>
      <c r="D54" s="7" t="s">
        <v>787</v>
      </c>
      <c r="E54" s="19" t="s">
        <v>964</v>
      </c>
      <c r="F54" s="7">
        <f t="shared" si="5"/>
        <v>100501</v>
      </c>
      <c r="G54" s="19" t="s">
        <v>1015</v>
      </c>
      <c r="H54" s="7" t="s">
        <v>1011</v>
      </c>
      <c r="I54" s="7">
        <f t="shared" si="6"/>
        <v>38</v>
      </c>
      <c r="J54" s="7" t="str">
        <f t="shared" si="21"/>
        <v>雷系</v>
      </c>
      <c r="K54" s="7">
        <v>30</v>
      </c>
      <c r="L54" s="7">
        <f t="shared" si="7"/>
        <v>100502</v>
      </c>
      <c r="M54" s="7" t="str">
        <f t="shared" si="23"/>
        <v>雷之盗贼</v>
      </c>
      <c r="N54" s="7" t="str">
        <f t="shared" si="29"/>
        <v>CB223AAA</v>
      </c>
      <c r="O54" s="7">
        <f t="shared" si="8"/>
        <v>34</v>
      </c>
      <c r="P54" s="19" t="str">
        <f t="shared" si="9"/>
        <v>雷系</v>
      </c>
      <c r="Q54" s="7">
        <v>10</v>
      </c>
      <c r="R54" s="7">
        <f t="shared" si="10"/>
        <v>100503</v>
      </c>
      <c r="S54" s="19" t="str">
        <f t="shared" si="11"/>
        <v xml:space="preserve">雷魔晶 </v>
      </c>
      <c r="T54" s="7" t="str">
        <f t="shared" si="24"/>
        <v>CB898AAA</v>
      </c>
      <c r="U54" s="7">
        <f t="shared" si="12"/>
        <v>38</v>
      </c>
      <c r="V54" s="19" t="str">
        <f t="shared" si="13"/>
        <v>雷系</v>
      </c>
      <c r="W54" s="7">
        <v>30</v>
      </c>
      <c r="X54" s="7">
        <f t="shared" si="14"/>
        <v>100504</v>
      </c>
      <c r="Y54" s="19" t="str">
        <f t="shared" si="15"/>
        <v>小恶魔</v>
      </c>
      <c r="Z54" s="7" t="str">
        <f t="shared" si="25"/>
        <v>CB357AAA</v>
      </c>
      <c r="AA54" s="7">
        <f t="shared" si="16"/>
        <v>38</v>
      </c>
      <c r="AB54" s="19" t="str">
        <f t="shared" si="26"/>
        <v>金属系</v>
      </c>
      <c r="AC54" s="7">
        <v>30</v>
      </c>
      <c r="AD54" s="7">
        <f t="shared" si="17"/>
        <v>100505</v>
      </c>
      <c r="AE54" s="19" t="str">
        <f t="shared" si="18"/>
        <v>水恶魔</v>
      </c>
      <c r="AF54" s="7" t="str">
        <f t="shared" si="27"/>
        <v>CB852AAA</v>
      </c>
      <c r="AG54" s="7">
        <f t="shared" si="19"/>
        <v>38</v>
      </c>
      <c r="AH54" s="19" t="str">
        <f t="shared" si="28"/>
        <v>水系</v>
      </c>
      <c r="AI54" s="7">
        <v>30</v>
      </c>
      <c r="AJ54" s="19" t="s">
        <v>1164</v>
      </c>
      <c r="AK54" s="7" t="s">
        <v>1165</v>
      </c>
      <c r="AL54" s="7">
        <f t="shared" si="20"/>
        <v>38</v>
      </c>
      <c r="AM54" s="19" t="s">
        <v>1166</v>
      </c>
    </row>
    <row r="55" spans="2:39" x14ac:dyDescent="0.15">
      <c r="B55" s="7">
        <v>51</v>
      </c>
      <c r="C55" s="7">
        <v>1101</v>
      </c>
      <c r="D55" s="7" t="s">
        <v>788</v>
      </c>
      <c r="E55" s="19" t="s">
        <v>961</v>
      </c>
      <c r="F55" s="7">
        <f t="shared" si="5"/>
        <v>110101</v>
      </c>
      <c r="G55" s="19" t="s">
        <v>1017</v>
      </c>
      <c r="H55" s="7" t="s">
        <v>1016</v>
      </c>
      <c r="I55" s="7">
        <f t="shared" si="6"/>
        <v>39</v>
      </c>
      <c r="J55" s="7" t="str">
        <f t="shared" si="21"/>
        <v>金属系</v>
      </c>
      <c r="K55" s="7">
        <v>30</v>
      </c>
      <c r="L55" s="7">
        <f t="shared" si="7"/>
        <v>110102</v>
      </c>
      <c r="M55" s="7" t="str">
        <f t="shared" si="23"/>
        <v>金属土龙</v>
      </c>
      <c r="N55" s="7" t="str">
        <f t="shared" si="29"/>
        <v>CB747AAA</v>
      </c>
      <c r="O55" s="7">
        <f t="shared" si="8"/>
        <v>34</v>
      </c>
      <c r="P55" s="19" t="str">
        <f t="shared" si="9"/>
        <v>金属系</v>
      </c>
      <c r="Q55" s="7">
        <v>10</v>
      </c>
      <c r="R55" s="7">
        <f t="shared" si="10"/>
        <v>110103</v>
      </c>
      <c r="S55" s="19" t="str">
        <f t="shared" si="11"/>
        <v>硬质魔球</v>
      </c>
      <c r="T55" s="7" t="str">
        <f t="shared" si="24"/>
        <v>CB892AAA</v>
      </c>
      <c r="U55" s="7">
        <f t="shared" si="12"/>
        <v>39</v>
      </c>
      <c r="V55" s="19" t="str">
        <f t="shared" si="13"/>
        <v>金属系</v>
      </c>
      <c r="W55" s="7">
        <v>30</v>
      </c>
      <c r="X55" s="7">
        <f t="shared" si="14"/>
        <v>110104</v>
      </c>
      <c r="Y55" s="19" t="str">
        <f t="shared" si="15"/>
        <v>火泥怪</v>
      </c>
      <c r="Z55" s="7" t="str">
        <f t="shared" si="25"/>
        <v>CB760AAA</v>
      </c>
      <c r="AA55" s="7">
        <f t="shared" si="16"/>
        <v>39</v>
      </c>
      <c r="AB55" s="19" t="str">
        <f t="shared" si="26"/>
        <v>火系</v>
      </c>
      <c r="AC55" s="7">
        <v>30</v>
      </c>
      <c r="AD55" s="7">
        <f t="shared" si="17"/>
        <v>110105</v>
      </c>
      <c r="AE55" s="19" t="str">
        <f t="shared" si="18"/>
        <v>黑暗石鱼</v>
      </c>
      <c r="AF55" s="7" t="str">
        <f t="shared" si="27"/>
        <v>CB632AAA</v>
      </c>
      <c r="AG55" s="7">
        <f t="shared" si="19"/>
        <v>39</v>
      </c>
      <c r="AH55" s="19" t="str">
        <f t="shared" si="28"/>
        <v>暗系</v>
      </c>
      <c r="AI55" s="7">
        <v>30</v>
      </c>
      <c r="AJ55" s="19" t="s">
        <v>1167</v>
      </c>
      <c r="AK55" s="7" t="s">
        <v>1168</v>
      </c>
      <c r="AL55" s="7">
        <f t="shared" si="20"/>
        <v>39</v>
      </c>
      <c r="AM55" s="19" t="s">
        <v>1169</v>
      </c>
    </row>
    <row r="56" spans="2:39" x14ac:dyDescent="0.15">
      <c r="B56" s="7">
        <v>52</v>
      </c>
      <c r="C56" s="7">
        <v>1102</v>
      </c>
      <c r="D56" s="7" t="s">
        <v>789</v>
      </c>
      <c r="E56" s="19" t="s">
        <v>961</v>
      </c>
      <c r="F56" s="7">
        <f t="shared" si="5"/>
        <v>110201</v>
      </c>
      <c r="G56" s="19" t="s">
        <v>1019</v>
      </c>
      <c r="H56" s="7" t="s">
        <v>1018</v>
      </c>
      <c r="I56" s="7">
        <f t="shared" si="6"/>
        <v>39</v>
      </c>
      <c r="J56" s="7" t="str">
        <f t="shared" si="21"/>
        <v>金属系</v>
      </c>
      <c r="K56" s="7">
        <v>30</v>
      </c>
      <c r="L56" s="7">
        <f t="shared" si="7"/>
        <v>110202</v>
      </c>
      <c r="M56" s="7" t="str">
        <f t="shared" si="23"/>
        <v>钢铁巨人</v>
      </c>
      <c r="N56" s="7" t="str">
        <f t="shared" si="29"/>
        <v>CB373AAA</v>
      </c>
      <c r="O56" s="7">
        <f t="shared" si="8"/>
        <v>35</v>
      </c>
      <c r="P56" s="19" t="str">
        <f t="shared" si="9"/>
        <v>金属系</v>
      </c>
      <c r="Q56" s="7">
        <v>10</v>
      </c>
      <c r="R56" s="7">
        <f t="shared" si="10"/>
        <v>110203</v>
      </c>
      <c r="S56" s="19" t="str">
        <f t="shared" si="11"/>
        <v>铁甲土匪</v>
      </c>
      <c r="T56" s="7" t="str">
        <f t="shared" si="24"/>
        <v>CB222AAA</v>
      </c>
      <c r="U56" s="7">
        <f t="shared" si="12"/>
        <v>39</v>
      </c>
      <c r="V56" s="19" t="str">
        <f t="shared" si="13"/>
        <v>金属系</v>
      </c>
      <c r="W56" s="7">
        <v>30</v>
      </c>
      <c r="X56" s="7">
        <f t="shared" si="14"/>
        <v>110204</v>
      </c>
      <c r="Y56" s="19" t="str">
        <f t="shared" si="15"/>
        <v>碧蓝湖灵</v>
      </c>
      <c r="Z56" s="7" t="str">
        <f t="shared" si="25"/>
        <v>CB401AAA</v>
      </c>
      <c r="AA56" s="7">
        <f t="shared" si="16"/>
        <v>39</v>
      </c>
      <c r="AB56" s="19" t="str">
        <f t="shared" si="26"/>
        <v>水系</v>
      </c>
      <c r="AC56" s="7">
        <v>30</v>
      </c>
      <c r="AD56" s="7">
        <f t="shared" si="17"/>
        <v>110205</v>
      </c>
      <c r="AE56" s="19" t="str">
        <f t="shared" si="18"/>
        <v>水恶魔</v>
      </c>
      <c r="AF56" s="7" t="str">
        <f t="shared" si="27"/>
        <v>CB852AAA</v>
      </c>
      <c r="AG56" s="7">
        <f t="shared" si="19"/>
        <v>39</v>
      </c>
      <c r="AH56" s="19" t="str">
        <f t="shared" si="28"/>
        <v>水系</v>
      </c>
      <c r="AI56" s="7">
        <v>30</v>
      </c>
      <c r="AJ56" s="19" t="s">
        <v>1167</v>
      </c>
      <c r="AK56" s="7" t="s">
        <v>1170</v>
      </c>
      <c r="AL56" s="7">
        <f t="shared" si="20"/>
        <v>39</v>
      </c>
      <c r="AM56" s="19" t="s">
        <v>1169</v>
      </c>
    </row>
    <row r="57" spans="2:39" x14ac:dyDescent="0.15">
      <c r="B57" s="7">
        <v>53</v>
      </c>
      <c r="C57" s="7">
        <v>1103</v>
      </c>
      <c r="D57" s="7" t="s">
        <v>790</v>
      </c>
      <c r="E57" s="19" t="s">
        <v>961</v>
      </c>
      <c r="F57" s="7">
        <f t="shared" si="5"/>
        <v>110301</v>
      </c>
      <c r="G57" s="19" t="s">
        <v>1021</v>
      </c>
      <c r="H57" s="7" t="s">
        <v>1020</v>
      </c>
      <c r="I57" s="7">
        <f t="shared" si="6"/>
        <v>40</v>
      </c>
      <c r="J57" s="7" t="str">
        <f t="shared" si="21"/>
        <v>金属系</v>
      </c>
      <c r="K57" s="7">
        <v>30</v>
      </c>
      <c r="L57" s="7">
        <f t="shared" si="7"/>
        <v>110302</v>
      </c>
      <c r="M57" s="7" t="str">
        <f t="shared" si="23"/>
        <v>铠甲怪</v>
      </c>
      <c r="N57" s="7" t="str">
        <f t="shared" si="29"/>
        <v>CB862AAA</v>
      </c>
      <c r="O57" s="7">
        <f t="shared" si="8"/>
        <v>36</v>
      </c>
      <c r="P57" s="19" t="str">
        <f t="shared" si="9"/>
        <v>金属系</v>
      </c>
      <c r="Q57" s="7">
        <v>10</v>
      </c>
      <c r="R57" s="7">
        <f t="shared" si="10"/>
        <v>110303</v>
      </c>
      <c r="S57" s="19" t="str">
        <f t="shared" si="11"/>
        <v>硬质魔球</v>
      </c>
      <c r="T57" s="7" t="str">
        <f t="shared" si="24"/>
        <v>CB892AAA</v>
      </c>
      <c r="U57" s="7">
        <f t="shared" si="12"/>
        <v>40</v>
      </c>
      <c r="V57" s="19" t="str">
        <f t="shared" si="13"/>
        <v>金属系</v>
      </c>
      <c r="W57" s="7">
        <v>30</v>
      </c>
      <c r="X57" s="7">
        <f t="shared" si="14"/>
        <v>110304</v>
      </c>
      <c r="Y57" s="19" t="str">
        <f t="shared" si="15"/>
        <v>钢铁巨人</v>
      </c>
      <c r="Z57" s="7" t="str">
        <f t="shared" si="25"/>
        <v>CB373AAA</v>
      </c>
      <c r="AA57" s="7">
        <f t="shared" si="16"/>
        <v>40</v>
      </c>
      <c r="AB57" s="19" t="str">
        <f t="shared" si="26"/>
        <v>金属系</v>
      </c>
      <c r="AC57" s="7">
        <v>30</v>
      </c>
      <c r="AD57" s="7">
        <f t="shared" si="17"/>
        <v>110305</v>
      </c>
      <c r="AE57" s="19" t="str">
        <f t="shared" si="18"/>
        <v>翼龙兽</v>
      </c>
      <c r="AF57" s="7" t="str">
        <f t="shared" si="27"/>
        <v>CB736AAA</v>
      </c>
      <c r="AG57" s="7">
        <f t="shared" si="19"/>
        <v>40</v>
      </c>
      <c r="AH57" s="19" t="str">
        <f t="shared" si="28"/>
        <v>龙系</v>
      </c>
      <c r="AI57" s="7">
        <v>30</v>
      </c>
      <c r="AJ57" s="19" t="s">
        <v>1167</v>
      </c>
      <c r="AK57" s="7" t="s">
        <v>1171</v>
      </c>
      <c r="AL57" s="7">
        <f t="shared" si="20"/>
        <v>40</v>
      </c>
      <c r="AM57" s="19" t="s">
        <v>1169</v>
      </c>
    </row>
    <row r="58" spans="2:39" x14ac:dyDescent="0.15">
      <c r="B58" s="7">
        <v>54</v>
      </c>
      <c r="C58" s="7">
        <v>1104</v>
      </c>
      <c r="D58" s="7" t="s">
        <v>791</v>
      </c>
      <c r="E58" s="19" t="s">
        <v>961</v>
      </c>
      <c r="F58" s="7">
        <f t="shared" si="5"/>
        <v>110401</v>
      </c>
      <c r="G58" s="19" t="s">
        <v>1023</v>
      </c>
      <c r="H58" s="7" t="s">
        <v>1022</v>
      </c>
      <c r="I58" s="7">
        <f t="shared" si="6"/>
        <v>41</v>
      </c>
      <c r="J58" s="7" t="str">
        <f t="shared" si="21"/>
        <v>金属系</v>
      </c>
      <c r="K58" s="7">
        <v>30</v>
      </c>
      <c r="L58" s="7">
        <f t="shared" si="7"/>
        <v>110402</v>
      </c>
      <c r="M58" s="7" t="str">
        <f t="shared" si="23"/>
        <v>小恶魔</v>
      </c>
      <c r="N58" s="7" t="str">
        <f t="shared" si="29"/>
        <v>CB357AAA</v>
      </c>
      <c r="O58" s="7">
        <f t="shared" si="8"/>
        <v>36</v>
      </c>
      <c r="P58" s="19" t="str">
        <f t="shared" si="9"/>
        <v>金属系</v>
      </c>
      <c r="Q58" s="7">
        <v>10</v>
      </c>
      <c r="R58" s="7">
        <f t="shared" si="10"/>
        <v>110403</v>
      </c>
      <c r="S58" s="19" t="str">
        <f t="shared" si="11"/>
        <v>铜矿怪</v>
      </c>
      <c r="T58" s="7" t="str">
        <f t="shared" si="24"/>
        <v>CB756AAA</v>
      </c>
      <c r="U58" s="7">
        <f t="shared" si="12"/>
        <v>41</v>
      </c>
      <c r="V58" s="19" t="str">
        <f t="shared" si="13"/>
        <v>金属系</v>
      </c>
      <c r="W58" s="7">
        <v>30</v>
      </c>
      <c r="X58" s="7">
        <f t="shared" si="14"/>
        <v>110404</v>
      </c>
      <c r="Y58" s="19" t="str">
        <f t="shared" si="15"/>
        <v>魔鬼鱼</v>
      </c>
      <c r="Z58" s="7" t="str">
        <f t="shared" si="25"/>
        <v>CB633AAA</v>
      </c>
      <c r="AA58" s="7">
        <f t="shared" si="16"/>
        <v>41</v>
      </c>
      <c r="AB58" s="19" t="str">
        <f t="shared" si="26"/>
        <v>飞行系</v>
      </c>
      <c r="AC58" s="7">
        <v>30</v>
      </c>
      <c r="AD58" s="7">
        <f t="shared" si="17"/>
        <v>110405</v>
      </c>
      <c r="AE58" s="19" t="str">
        <f t="shared" si="18"/>
        <v>黑暗盗贼</v>
      </c>
      <c r="AF58" s="7" t="str">
        <f t="shared" si="27"/>
        <v>CB225AAA</v>
      </c>
      <c r="AG58" s="7">
        <f t="shared" si="19"/>
        <v>41</v>
      </c>
      <c r="AH58" s="19" t="str">
        <f t="shared" si="28"/>
        <v>暗系</v>
      </c>
      <c r="AI58" s="7">
        <v>30</v>
      </c>
      <c r="AJ58" s="19" t="s">
        <v>1173</v>
      </c>
      <c r="AK58" s="7" t="s">
        <v>1172</v>
      </c>
      <c r="AL58" s="7">
        <f t="shared" si="20"/>
        <v>41</v>
      </c>
      <c r="AM58" s="19" t="s">
        <v>1174</v>
      </c>
    </row>
    <row r="59" spans="2:39" x14ac:dyDescent="0.15">
      <c r="B59" s="7">
        <v>55</v>
      </c>
      <c r="C59" s="7">
        <v>1105</v>
      </c>
      <c r="D59" s="7" t="s">
        <v>792</v>
      </c>
      <c r="E59" s="19" t="s">
        <v>961</v>
      </c>
      <c r="F59" s="7">
        <f t="shared" si="5"/>
        <v>110501</v>
      </c>
      <c r="G59" s="19" t="s">
        <v>1021</v>
      </c>
      <c r="H59" s="7" t="s">
        <v>1020</v>
      </c>
      <c r="I59" s="7">
        <f t="shared" si="6"/>
        <v>42</v>
      </c>
      <c r="J59" s="7" t="str">
        <f t="shared" si="21"/>
        <v>金属系</v>
      </c>
      <c r="K59" s="7">
        <v>30</v>
      </c>
      <c r="L59" s="7">
        <f t="shared" si="7"/>
        <v>110502</v>
      </c>
      <c r="M59" s="7" t="str">
        <f t="shared" si="23"/>
        <v>硬质魔球</v>
      </c>
      <c r="N59" s="7" t="str">
        <f t="shared" si="29"/>
        <v>CB892AAA</v>
      </c>
      <c r="O59" s="7">
        <f t="shared" si="8"/>
        <v>37</v>
      </c>
      <c r="P59" s="19" t="str">
        <f t="shared" si="9"/>
        <v>金属系</v>
      </c>
      <c r="Q59" s="7">
        <v>10</v>
      </c>
      <c r="R59" s="7">
        <f t="shared" si="10"/>
        <v>110503</v>
      </c>
      <c r="S59" s="19" t="str">
        <f t="shared" si="11"/>
        <v>狂躁巨人</v>
      </c>
      <c r="T59" s="7" t="str">
        <f t="shared" si="24"/>
        <v>CB372AAA</v>
      </c>
      <c r="U59" s="7">
        <f t="shared" si="12"/>
        <v>42</v>
      </c>
      <c r="V59" s="19" t="str">
        <f t="shared" si="13"/>
        <v>金属系</v>
      </c>
      <c r="W59" s="7">
        <v>30</v>
      </c>
      <c r="X59" s="7">
        <f t="shared" si="14"/>
        <v>110504</v>
      </c>
      <c r="Y59" s="19" t="str">
        <f t="shared" si="15"/>
        <v>狂舞蜘蛛</v>
      </c>
      <c r="Z59" s="7" t="str">
        <f t="shared" si="25"/>
        <v>CB611AAA</v>
      </c>
      <c r="AA59" s="7">
        <f t="shared" si="16"/>
        <v>42</v>
      </c>
      <c r="AB59" s="19" t="str">
        <f t="shared" si="26"/>
        <v>风系</v>
      </c>
      <c r="AC59" s="7">
        <v>30</v>
      </c>
      <c r="AD59" s="7">
        <f t="shared" si="17"/>
        <v>110505</v>
      </c>
      <c r="AE59" s="19" t="str">
        <f t="shared" si="18"/>
        <v>愤怒湖灵</v>
      </c>
      <c r="AF59" s="7" t="str">
        <f t="shared" si="27"/>
        <v>CB403AAA</v>
      </c>
      <c r="AG59" s="7">
        <f t="shared" si="19"/>
        <v>42</v>
      </c>
      <c r="AH59" s="19" t="str">
        <f t="shared" si="28"/>
        <v>水系</v>
      </c>
      <c r="AI59" s="7">
        <v>30</v>
      </c>
      <c r="AJ59" s="19" t="s">
        <v>1176</v>
      </c>
      <c r="AK59" s="7" t="s">
        <v>1175</v>
      </c>
      <c r="AL59" s="7">
        <f t="shared" si="20"/>
        <v>42</v>
      </c>
      <c r="AM59" s="19" t="s">
        <v>1174</v>
      </c>
    </row>
    <row r="60" spans="2:39" x14ac:dyDescent="0.15">
      <c r="B60" s="7">
        <v>56</v>
      </c>
      <c r="C60" s="7">
        <v>1201</v>
      </c>
      <c r="D60" s="7" t="s">
        <v>793</v>
      </c>
      <c r="E60" s="19" t="s">
        <v>965</v>
      </c>
      <c r="F60" s="7">
        <f t="shared" si="5"/>
        <v>120101</v>
      </c>
      <c r="G60" s="19" t="s">
        <v>1025</v>
      </c>
      <c r="H60" s="7" t="s">
        <v>1024</v>
      </c>
      <c r="I60" s="7">
        <f t="shared" si="6"/>
        <v>42</v>
      </c>
      <c r="J60" s="7" t="str">
        <f t="shared" si="21"/>
        <v>光系</v>
      </c>
      <c r="K60" s="7">
        <v>30</v>
      </c>
      <c r="L60" s="7">
        <f t="shared" si="7"/>
        <v>120102</v>
      </c>
      <c r="M60" s="7" t="str">
        <f t="shared" si="23"/>
        <v>光精灵</v>
      </c>
      <c r="N60" s="7" t="str">
        <f t="shared" si="29"/>
        <v>CB431AAA</v>
      </c>
      <c r="O60" s="7">
        <f t="shared" si="8"/>
        <v>37</v>
      </c>
      <c r="P60" s="19" t="str">
        <f t="shared" si="9"/>
        <v>光系</v>
      </c>
      <c r="Q60" s="7">
        <v>10</v>
      </c>
      <c r="R60" s="7">
        <f t="shared" si="10"/>
        <v>120103</v>
      </c>
      <c r="S60" s="19" t="str">
        <f t="shared" si="11"/>
        <v>光之女护卫</v>
      </c>
      <c r="T60" s="7" t="str">
        <f t="shared" si="24"/>
        <v>CB767AAA</v>
      </c>
      <c r="U60" s="7">
        <f t="shared" si="12"/>
        <v>42</v>
      </c>
      <c r="V60" s="19" t="str">
        <f t="shared" si="13"/>
        <v>光系</v>
      </c>
      <c r="W60" s="7">
        <v>30</v>
      </c>
      <c r="X60" s="7">
        <f t="shared" si="14"/>
        <v>120104</v>
      </c>
      <c r="Y60" s="19" t="str">
        <f t="shared" si="15"/>
        <v>青色独眼巨人</v>
      </c>
      <c r="Z60" s="7" t="str">
        <f t="shared" si="25"/>
        <v>CB376AAA</v>
      </c>
      <c r="AA60" s="7">
        <f t="shared" si="16"/>
        <v>42</v>
      </c>
      <c r="AB60" s="19" t="str">
        <f t="shared" si="26"/>
        <v>土系</v>
      </c>
      <c r="AC60" s="7">
        <v>30</v>
      </c>
      <c r="AD60" s="7">
        <f t="shared" si="17"/>
        <v>120105</v>
      </c>
      <c r="AE60" s="19" t="str">
        <f t="shared" si="18"/>
        <v>土色独眼巨人</v>
      </c>
      <c r="AF60" s="7" t="str">
        <f t="shared" si="27"/>
        <v>CB371AAA</v>
      </c>
      <c r="AG60" s="7">
        <f t="shared" si="19"/>
        <v>42</v>
      </c>
      <c r="AH60" s="19" t="str">
        <f t="shared" si="28"/>
        <v>土系</v>
      </c>
      <c r="AI60" s="7">
        <v>30</v>
      </c>
      <c r="AJ60" s="19" t="s">
        <v>1178</v>
      </c>
      <c r="AK60" s="7" t="s">
        <v>1177</v>
      </c>
      <c r="AL60" s="7">
        <f t="shared" si="20"/>
        <v>42</v>
      </c>
      <c r="AM60" s="19" t="s">
        <v>1179</v>
      </c>
    </row>
    <row r="61" spans="2:39" x14ac:dyDescent="0.15">
      <c r="B61" s="7">
        <v>57</v>
      </c>
      <c r="C61" s="7">
        <v>1202</v>
      </c>
      <c r="D61" s="7" t="s">
        <v>794</v>
      </c>
      <c r="E61" s="19" t="s">
        <v>965</v>
      </c>
      <c r="F61" s="7">
        <f t="shared" si="5"/>
        <v>120201</v>
      </c>
      <c r="G61" s="19" t="s">
        <v>1025</v>
      </c>
      <c r="H61" s="7" t="s">
        <v>1024</v>
      </c>
      <c r="I61" s="7">
        <f t="shared" si="6"/>
        <v>43</v>
      </c>
      <c r="J61" s="7" t="str">
        <f t="shared" si="21"/>
        <v>光系</v>
      </c>
      <c r="K61" s="7">
        <v>30</v>
      </c>
      <c r="L61" s="7">
        <f t="shared" si="7"/>
        <v>120202</v>
      </c>
      <c r="M61" s="7" t="str">
        <f t="shared" si="23"/>
        <v>光之女护卫</v>
      </c>
      <c r="N61" s="7" t="str">
        <f t="shared" si="29"/>
        <v>CB767AAA</v>
      </c>
      <c r="O61" s="7">
        <f t="shared" si="8"/>
        <v>38</v>
      </c>
      <c r="P61" s="19" t="str">
        <f t="shared" si="9"/>
        <v>光系</v>
      </c>
      <c r="Q61" s="7">
        <v>10</v>
      </c>
      <c r="R61" s="7">
        <f t="shared" si="10"/>
        <v>120203</v>
      </c>
      <c r="S61" s="19" t="str">
        <f t="shared" si="11"/>
        <v>光恶魔</v>
      </c>
      <c r="T61" s="7" t="str">
        <f t="shared" si="24"/>
        <v>CB853AAA</v>
      </c>
      <c r="U61" s="7">
        <f t="shared" si="12"/>
        <v>43</v>
      </c>
      <c r="V61" s="19" t="str">
        <f t="shared" si="13"/>
        <v>光系</v>
      </c>
      <c r="W61" s="7">
        <v>30</v>
      </c>
      <c r="X61" s="7">
        <f t="shared" si="14"/>
        <v>120204</v>
      </c>
      <c r="Y61" s="19" t="str">
        <f t="shared" si="15"/>
        <v>粘稠怪</v>
      </c>
      <c r="Z61" s="7" t="str">
        <f t="shared" si="25"/>
        <v>CB764AAA</v>
      </c>
      <c r="AA61" s="7">
        <f t="shared" si="16"/>
        <v>43</v>
      </c>
      <c r="AB61" s="19" t="str">
        <f t="shared" si="26"/>
        <v>火系</v>
      </c>
      <c r="AC61" s="7">
        <v>30</v>
      </c>
      <c r="AD61" s="7">
        <f t="shared" si="17"/>
        <v>120205</v>
      </c>
      <c r="AE61" s="19" t="str">
        <f t="shared" si="18"/>
        <v>光魔晶</v>
      </c>
      <c r="AF61" s="7" t="str">
        <f t="shared" si="27"/>
        <v>CB896AAA</v>
      </c>
      <c r="AG61" s="7">
        <f t="shared" si="19"/>
        <v>43</v>
      </c>
      <c r="AH61" s="19" t="str">
        <f t="shared" si="28"/>
        <v>光系</v>
      </c>
      <c r="AI61" s="7">
        <v>30</v>
      </c>
      <c r="AJ61" s="19" t="s">
        <v>1181</v>
      </c>
      <c r="AK61" s="7" t="s">
        <v>1180</v>
      </c>
      <c r="AL61" s="7">
        <f t="shared" si="20"/>
        <v>43</v>
      </c>
      <c r="AM61" s="19" t="s">
        <v>1122</v>
      </c>
    </row>
    <row r="62" spans="2:39" x14ac:dyDescent="0.15">
      <c r="B62" s="7">
        <v>58</v>
      </c>
      <c r="C62" s="7">
        <v>1203</v>
      </c>
      <c r="D62" s="7" t="s">
        <v>795</v>
      </c>
      <c r="E62" s="19" t="s">
        <v>965</v>
      </c>
      <c r="F62" s="7">
        <f t="shared" si="5"/>
        <v>120301</v>
      </c>
      <c r="G62" s="19" t="s">
        <v>1026</v>
      </c>
      <c r="H62" s="7" t="s">
        <v>1027</v>
      </c>
      <c r="I62" s="7">
        <f t="shared" si="6"/>
        <v>44</v>
      </c>
      <c r="J62" s="7" t="str">
        <f t="shared" si="21"/>
        <v>光系</v>
      </c>
      <c r="K62" s="7">
        <v>30</v>
      </c>
      <c r="L62" s="7">
        <f t="shared" si="7"/>
        <v>120302</v>
      </c>
      <c r="M62" s="7" t="str">
        <f t="shared" si="23"/>
        <v>光精灵</v>
      </c>
      <c r="N62" s="7" t="str">
        <f t="shared" si="29"/>
        <v>CB431AAA</v>
      </c>
      <c r="O62" s="7">
        <f t="shared" si="8"/>
        <v>39</v>
      </c>
      <c r="P62" s="19" t="str">
        <f t="shared" si="9"/>
        <v>光系</v>
      </c>
      <c r="Q62" s="7">
        <v>10</v>
      </c>
      <c r="R62" s="7">
        <f t="shared" si="10"/>
        <v>120303</v>
      </c>
      <c r="S62" s="19" t="str">
        <f t="shared" si="11"/>
        <v>光魔鬼</v>
      </c>
      <c r="T62" s="7" t="str">
        <f t="shared" si="24"/>
        <v>CB432AAA</v>
      </c>
      <c r="U62" s="7">
        <f t="shared" si="12"/>
        <v>44</v>
      </c>
      <c r="V62" s="19" t="str">
        <f t="shared" si="13"/>
        <v>光系</v>
      </c>
      <c r="W62" s="7">
        <v>30</v>
      </c>
      <c r="X62" s="7">
        <f t="shared" si="14"/>
        <v>120304</v>
      </c>
      <c r="Y62" s="19" t="str">
        <f t="shared" si="15"/>
        <v>修罗战士</v>
      </c>
      <c r="Z62" s="7" t="str">
        <f t="shared" si="25"/>
        <v>CB231AAA</v>
      </c>
      <c r="AA62" s="7">
        <f t="shared" si="16"/>
        <v>44</v>
      </c>
      <c r="AB62" s="19" t="str">
        <f t="shared" si="26"/>
        <v>僵尸系</v>
      </c>
      <c r="AC62" s="7">
        <v>30</v>
      </c>
      <c r="AD62" s="7">
        <f t="shared" si="17"/>
        <v>120305</v>
      </c>
      <c r="AE62" s="19" t="str">
        <f t="shared" si="18"/>
        <v>水魔晶</v>
      </c>
      <c r="AF62" s="7" t="str">
        <f t="shared" si="27"/>
        <v>CB896AAA</v>
      </c>
      <c r="AG62" s="7">
        <f t="shared" si="19"/>
        <v>44</v>
      </c>
      <c r="AH62" s="19" t="str">
        <f t="shared" si="28"/>
        <v>水系</v>
      </c>
      <c r="AI62" s="7">
        <v>30</v>
      </c>
      <c r="AJ62" s="19" t="s">
        <v>1182</v>
      </c>
      <c r="AK62" s="7" t="s">
        <v>1183</v>
      </c>
      <c r="AL62" s="7">
        <f t="shared" si="20"/>
        <v>44</v>
      </c>
      <c r="AM62" s="19" t="s">
        <v>1122</v>
      </c>
    </row>
    <row r="63" spans="2:39" x14ac:dyDescent="0.15">
      <c r="B63" s="7">
        <v>59</v>
      </c>
      <c r="C63" s="7">
        <v>1204</v>
      </c>
      <c r="D63" s="7" t="s">
        <v>796</v>
      </c>
      <c r="E63" s="19" t="s">
        <v>965</v>
      </c>
      <c r="F63" s="7">
        <f t="shared" si="5"/>
        <v>120401</v>
      </c>
      <c r="G63" s="19" t="s">
        <v>1026</v>
      </c>
      <c r="H63" s="7" t="s">
        <v>1027</v>
      </c>
      <c r="I63" s="7">
        <f t="shared" si="6"/>
        <v>44</v>
      </c>
      <c r="J63" s="7" t="str">
        <f t="shared" si="21"/>
        <v>光系</v>
      </c>
      <c r="K63" s="7">
        <v>30</v>
      </c>
      <c r="L63" s="7">
        <f t="shared" si="7"/>
        <v>120402</v>
      </c>
      <c r="M63" s="7" t="str">
        <f t="shared" si="23"/>
        <v>光魔鬼</v>
      </c>
      <c r="N63" s="7" t="str">
        <f t="shared" si="29"/>
        <v>CB432AAA</v>
      </c>
      <c r="O63" s="7">
        <f t="shared" si="8"/>
        <v>39</v>
      </c>
      <c r="P63" s="19" t="str">
        <f t="shared" si="9"/>
        <v>光系</v>
      </c>
      <c r="Q63" s="7">
        <v>10</v>
      </c>
      <c r="R63" s="7">
        <f t="shared" si="10"/>
        <v>120403</v>
      </c>
      <c r="S63" s="19" t="str">
        <f t="shared" si="11"/>
        <v>光魔晶</v>
      </c>
      <c r="T63" s="7" t="str">
        <f t="shared" si="24"/>
        <v>CB896AAA</v>
      </c>
      <c r="U63" s="7">
        <f t="shared" si="12"/>
        <v>44</v>
      </c>
      <c r="V63" s="19" t="str">
        <f t="shared" si="13"/>
        <v>光系</v>
      </c>
      <c r="W63" s="7">
        <v>30</v>
      </c>
      <c r="X63" s="7">
        <f t="shared" si="14"/>
        <v>120404</v>
      </c>
      <c r="Y63" s="19" t="str">
        <f t="shared" si="15"/>
        <v>狂躁巨人</v>
      </c>
      <c r="Z63" s="7" t="str">
        <f t="shared" si="25"/>
        <v>CB372AAA</v>
      </c>
      <c r="AA63" s="7">
        <f t="shared" si="16"/>
        <v>44</v>
      </c>
      <c r="AB63" s="19" t="str">
        <f t="shared" si="26"/>
        <v>金属系</v>
      </c>
      <c r="AC63" s="7">
        <v>30</v>
      </c>
      <c r="AD63" s="7">
        <f t="shared" si="17"/>
        <v>120405</v>
      </c>
      <c r="AE63" s="19" t="str">
        <f t="shared" si="18"/>
        <v>青色独眼巨人</v>
      </c>
      <c r="AF63" s="7" t="str">
        <f t="shared" si="27"/>
        <v>CB376AAA</v>
      </c>
      <c r="AG63" s="7">
        <f t="shared" si="19"/>
        <v>44</v>
      </c>
      <c r="AH63" s="19" t="str">
        <f t="shared" si="28"/>
        <v>土系</v>
      </c>
      <c r="AI63" s="7">
        <v>30</v>
      </c>
      <c r="AJ63" s="19" t="s">
        <v>1184</v>
      </c>
      <c r="AK63" s="7" t="s">
        <v>1185</v>
      </c>
      <c r="AL63" s="7">
        <f t="shared" si="20"/>
        <v>44</v>
      </c>
      <c r="AM63" s="19" t="s">
        <v>1122</v>
      </c>
    </row>
    <row r="64" spans="2:39" x14ac:dyDescent="0.15">
      <c r="B64" s="7">
        <v>60</v>
      </c>
      <c r="C64" s="7">
        <v>1205</v>
      </c>
      <c r="D64" s="7" t="s">
        <v>797</v>
      </c>
      <c r="E64" s="19" t="s">
        <v>965</v>
      </c>
      <c r="F64" s="7">
        <f t="shared" si="5"/>
        <v>120501</v>
      </c>
      <c r="G64" s="19" t="s">
        <v>1026</v>
      </c>
      <c r="H64" s="7" t="s">
        <v>1027</v>
      </c>
      <c r="I64" s="7">
        <f t="shared" si="6"/>
        <v>45</v>
      </c>
      <c r="J64" s="7" t="str">
        <f t="shared" si="21"/>
        <v>光系</v>
      </c>
      <c r="K64" s="7">
        <v>30</v>
      </c>
      <c r="L64" s="7">
        <f t="shared" si="7"/>
        <v>120502</v>
      </c>
      <c r="M64" s="7" t="str">
        <f t="shared" si="23"/>
        <v>光恶魔</v>
      </c>
      <c r="N64" s="7" t="str">
        <f t="shared" si="29"/>
        <v>CB853AAA</v>
      </c>
      <c r="O64" s="7">
        <f t="shared" si="8"/>
        <v>40</v>
      </c>
      <c r="P64" s="19" t="str">
        <f t="shared" si="9"/>
        <v>光系</v>
      </c>
      <c r="Q64" s="7">
        <v>10</v>
      </c>
      <c r="R64" s="7">
        <f t="shared" si="10"/>
        <v>120503</v>
      </c>
      <c r="S64" s="19" t="str">
        <f t="shared" si="11"/>
        <v>光精灵</v>
      </c>
      <c r="T64" s="7" t="str">
        <f t="shared" si="24"/>
        <v>CB431AAA</v>
      </c>
      <c r="U64" s="7">
        <f t="shared" si="12"/>
        <v>45</v>
      </c>
      <c r="V64" s="19" t="str">
        <f t="shared" si="13"/>
        <v>光系</v>
      </c>
      <c r="W64" s="7">
        <v>30</v>
      </c>
      <c r="X64" s="7">
        <f t="shared" si="14"/>
        <v>120504</v>
      </c>
      <c r="Y64" s="19" t="str">
        <f t="shared" si="15"/>
        <v>盗贼</v>
      </c>
      <c r="Z64" s="7" t="str">
        <f t="shared" si="25"/>
        <v>CB224AAA</v>
      </c>
      <c r="AA64" s="7">
        <f t="shared" si="16"/>
        <v>45</v>
      </c>
      <c r="AB64" s="19" t="str">
        <f t="shared" si="26"/>
        <v>暗系</v>
      </c>
      <c r="AC64" s="7">
        <v>30</v>
      </c>
      <c r="AD64" s="7">
        <f t="shared" si="17"/>
        <v>120505</v>
      </c>
      <c r="AE64" s="19" t="str">
        <f t="shared" si="18"/>
        <v>赤色独眼巨人</v>
      </c>
      <c r="AF64" s="7" t="str">
        <f t="shared" si="27"/>
        <v>CB371AAA</v>
      </c>
      <c r="AG64" s="7">
        <f t="shared" si="19"/>
        <v>45</v>
      </c>
      <c r="AH64" s="19" t="str">
        <f t="shared" si="28"/>
        <v>火系</v>
      </c>
      <c r="AI64" s="7">
        <v>30</v>
      </c>
      <c r="AJ64" s="19" t="s">
        <v>1186</v>
      </c>
      <c r="AK64" s="7" t="s">
        <v>1120</v>
      </c>
      <c r="AL64" s="7">
        <f t="shared" si="20"/>
        <v>45</v>
      </c>
      <c r="AM64" s="19" t="s">
        <v>1122</v>
      </c>
    </row>
    <row r="65" spans="2:39" x14ac:dyDescent="0.15">
      <c r="B65" s="7">
        <v>61</v>
      </c>
      <c r="C65" s="7">
        <v>1301</v>
      </c>
      <c r="D65" s="7" t="s">
        <v>798</v>
      </c>
      <c r="E65" s="19" t="s">
        <v>899</v>
      </c>
      <c r="F65" s="7">
        <f t="shared" si="5"/>
        <v>130101</v>
      </c>
      <c r="G65" s="19" t="s">
        <v>1031</v>
      </c>
      <c r="H65" s="7" t="s">
        <v>1030</v>
      </c>
      <c r="I65" s="7">
        <f t="shared" si="6"/>
        <v>46</v>
      </c>
      <c r="J65" s="7" t="str">
        <f t="shared" si="21"/>
        <v>僵尸系</v>
      </c>
      <c r="K65" s="7">
        <v>30</v>
      </c>
      <c r="L65" s="7">
        <f t="shared" si="7"/>
        <v>130102</v>
      </c>
      <c r="M65" s="7" t="str">
        <f t="shared" si="23"/>
        <v>修罗战士</v>
      </c>
      <c r="N65" s="7" t="str">
        <f t="shared" si="29"/>
        <v>CB231AAA</v>
      </c>
      <c r="O65" s="7">
        <f t="shared" si="8"/>
        <v>40</v>
      </c>
      <c r="P65" s="19" t="str">
        <f t="shared" si="9"/>
        <v>僵尸系</v>
      </c>
      <c r="Q65" s="7">
        <v>10</v>
      </c>
      <c r="R65" s="7">
        <f t="shared" si="10"/>
        <v>130103</v>
      </c>
      <c r="S65" s="19" t="str">
        <f t="shared" si="11"/>
        <v>修罗战士</v>
      </c>
      <c r="T65" s="7" t="str">
        <f t="shared" si="24"/>
        <v>CB231AAA</v>
      </c>
      <c r="U65" s="7">
        <f t="shared" si="12"/>
        <v>46</v>
      </c>
      <c r="V65" s="19" t="str">
        <f t="shared" si="13"/>
        <v>僵尸系</v>
      </c>
      <c r="W65" s="7">
        <v>30</v>
      </c>
      <c r="X65" s="7">
        <f t="shared" si="14"/>
        <v>130104</v>
      </c>
      <c r="Y65" s="19" t="str">
        <f t="shared" si="15"/>
        <v>黑暗石鱼</v>
      </c>
      <c r="Z65" s="7" t="str">
        <f t="shared" si="25"/>
        <v>CB632AAA</v>
      </c>
      <c r="AA65" s="7">
        <f t="shared" si="16"/>
        <v>46</v>
      </c>
      <c r="AB65" s="19" t="str">
        <f t="shared" si="26"/>
        <v>暗系</v>
      </c>
      <c r="AC65" s="7">
        <v>30</v>
      </c>
      <c r="AD65" s="7">
        <f t="shared" si="17"/>
        <v>130105</v>
      </c>
      <c r="AE65" s="19" t="str">
        <f t="shared" si="18"/>
        <v>黑暗盗贼</v>
      </c>
      <c r="AF65" s="7" t="str">
        <f t="shared" si="27"/>
        <v>CB225AAA</v>
      </c>
      <c r="AG65" s="7">
        <f t="shared" si="19"/>
        <v>46</v>
      </c>
      <c r="AH65" s="19" t="str">
        <f t="shared" si="28"/>
        <v>暗系</v>
      </c>
      <c r="AI65" s="7">
        <v>30</v>
      </c>
      <c r="AJ65" s="19" t="s">
        <v>1187</v>
      </c>
      <c r="AK65" s="7" t="s">
        <v>1188</v>
      </c>
      <c r="AL65" s="7">
        <f t="shared" si="20"/>
        <v>46</v>
      </c>
      <c r="AM65" s="19" t="s">
        <v>1189</v>
      </c>
    </row>
    <row r="66" spans="2:39" x14ac:dyDescent="0.15">
      <c r="B66" s="7">
        <v>62</v>
      </c>
      <c r="C66" s="7">
        <v>1302</v>
      </c>
      <c r="D66" s="7" t="s">
        <v>799</v>
      </c>
      <c r="E66" s="19" t="s">
        <v>1032</v>
      </c>
      <c r="F66" s="7">
        <f t="shared" si="5"/>
        <v>130201</v>
      </c>
      <c r="G66" s="19" t="s">
        <v>1031</v>
      </c>
      <c r="H66" s="7" t="s">
        <v>1035</v>
      </c>
      <c r="I66" s="7">
        <f t="shared" si="6"/>
        <v>46</v>
      </c>
      <c r="J66" s="7" t="str">
        <f t="shared" si="21"/>
        <v>金属系</v>
      </c>
      <c r="K66" s="7">
        <v>30</v>
      </c>
      <c r="L66" s="7">
        <f t="shared" si="7"/>
        <v>130202</v>
      </c>
      <c r="M66" s="7" t="str">
        <f t="shared" si="23"/>
        <v>狂躁巨人</v>
      </c>
      <c r="N66" s="7" t="str">
        <f t="shared" si="29"/>
        <v>CB372AAA</v>
      </c>
      <c r="O66" s="7">
        <f t="shared" si="8"/>
        <v>41</v>
      </c>
      <c r="P66" s="19" t="str">
        <f t="shared" si="9"/>
        <v>金属系</v>
      </c>
      <c r="Q66" s="7">
        <v>10</v>
      </c>
      <c r="R66" s="7">
        <f t="shared" si="10"/>
        <v>130203</v>
      </c>
      <c r="S66" s="19" t="str">
        <f t="shared" si="11"/>
        <v>铁甲土匪</v>
      </c>
      <c r="T66" s="7" t="str">
        <f t="shared" si="24"/>
        <v>CB222AAA</v>
      </c>
      <c r="U66" s="7">
        <f t="shared" si="12"/>
        <v>46</v>
      </c>
      <c r="V66" s="19" t="str">
        <f t="shared" si="13"/>
        <v>金属系</v>
      </c>
      <c r="W66" s="7">
        <v>30</v>
      </c>
      <c r="X66" s="7">
        <f t="shared" si="14"/>
        <v>130204</v>
      </c>
      <c r="Y66" s="19" t="str">
        <f t="shared" si="15"/>
        <v>水恶魔</v>
      </c>
      <c r="Z66" s="7" t="str">
        <f t="shared" si="25"/>
        <v>CB852AAA</v>
      </c>
      <c r="AA66" s="7">
        <f t="shared" si="16"/>
        <v>46</v>
      </c>
      <c r="AB66" s="19" t="str">
        <f t="shared" si="26"/>
        <v>水系</v>
      </c>
      <c r="AC66" s="7">
        <v>30</v>
      </c>
      <c r="AD66" s="7">
        <f t="shared" si="17"/>
        <v>130205</v>
      </c>
      <c r="AE66" s="19" t="str">
        <f t="shared" si="18"/>
        <v>恐怖泥人</v>
      </c>
      <c r="AF66" s="7" t="str">
        <f t="shared" si="27"/>
        <v>CB411AAA</v>
      </c>
      <c r="AG66" s="7">
        <f t="shared" si="19"/>
        <v>46</v>
      </c>
      <c r="AH66" s="19" t="str">
        <f t="shared" si="28"/>
        <v>僵尸系</v>
      </c>
      <c r="AI66" s="7">
        <v>30</v>
      </c>
      <c r="AJ66" s="19" t="s">
        <v>1190</v>
      </c>
      <c r="AK66" s="7" t="s">
        <v>1096</v>
      </c>
      <c r="AL66" s="7">
        <f t="shared" si="20"/>
        <v>46</v>
      </c>
      <c r="AM66" s="19" t="s">
        <v>1174</v>
      </c>
    </row>
    <row r="67" spans="2:39" x14ac:dyDescent="0.15">
      <c r="B67" s="7">
        <v>63</v>
      </c>
      <c r="C67" s="7">
        <v>1303</v>
      </c>
      <c r="D67" s="7" t="s">
        <v>800</v>
      </c>
      <c r="E67" s="19" t="s">
        <v>1033</v>
      </c>
      <c r="F67" s="7">
        <f t="shared" si="5"/>
        <v>130301</v>
      </c>
      <c r="G67" s="19" t="s">
        <v>1031</v>
      </c>
      <c r="H67" s="7" t="s">
        <v>1034</v>
      </c>
      <c r="I67" s="7">
        <f t="shared" si="6"/>
        <v>47</v>
      </c>
      <c r="J67" s="7" t="str">
        <f t="shared" si="21"/>
        <v>暗系</v>
      </c>
      <c r="K67" s="7">
        <v>30</v>
      </c>
      <c r="L67" s="7">
        <f t="shared" si="7"/>
        <v>130302</v>
      </c>
      <c r="M67" s="7" t="str">
        <f t="shared" si="23"/>
        <v>黑暗盗贼</v>
      </c>
      <c r="N67" s="7" t="str">
        <f t="shared" si="29"/>
        <v>CB225AAA</v>
      </c>
      <c r="O67" s="7">
        <f t="shared" si="8"/>
        <v>42</v>
      </c>
      <c r="P67" s="19" t="str">
        <f t="shared" si="9"/>
        <v>暗系</v>
      </c>
      <c r="Q67" s="7">
        <v>10</v>
      </c>
      <c r="R67" s="7">
        <f t="shared" si="10"/>
        <v>130303</v>
      </c>
      <c r="S67" s="19" t="str">
        <f t="shared" si="11"/>
        <v>黑暗盗贼</v>
      </c>
      <c r="T67" s="7" t="str">
        <f t="shared" si="24"/>
        <v>CB225AAA</v>
      </c>
      <c r="U67" s="7">
        <f t="shared" si="12"/>
        <v>47</v>
      </c>
      <c r="V67" s="19" t="str">
        <f t="shared" si="13"/>
        <v>暗系</v>
      </c>
      <c r="W67" s="7">
        <v>30</v>
      </c>
      <c r="X67" s="7">
        <f t="shared" si="14"/>
        <v>130304</v>
      </c>
      <c r="Y67" s="19" t="str">
        <f t="shared" si="15"/>
        <v>狂舞蜘蛛</v>
      </c>
      <c r="Z67" s="7" t="str">
        <f t="shared" si="25"/>
        <v>CB611AAA</v>
      </c>
      <c r="AA67" s="7">
        <f t="shared" si="16"/>
        <v>47</v>
      </c>
      <c r="AB67" s="19" t="str">
        <f t="shared" si="26"/>
        <v>风系</v>
      </c>
      <c r="AC67" s="7">
        <v>30</v>
      </c>
      <c r="AD67" s="7">
        <f t="shared" si="17"/>
        <v>130305</v>
      </c>
      <c r="AE67" s="19" t="str">
        <f t="shared" si="18"/>
        <v>铁甲土匪</v>
      </c>
      <c r="AF67" s="7" t="str">
        <f t="shared" si="27"/>
        <v>CB222AAA</v>
      </c>
      <c r="AG67" s="7">
        <f t="shared" si="19"/>
        <v>47</v>
      </c>
      <c r="AH67" s="19" t="str">
        <f t="shared" si="28"/>
        <v>金属系</v>
      </c>
      <c r="AI67" s="7">
        <v>30</v>
      </c>
      <c r="AJ67" s="19" t="s">
        <v>1191</v>
      </c>
      <c r="AK67" s="7" t="s">
        <v>1059</v>
      </c>
      <c r="AL67" s="7">
        <f t="shared" si="20"/>
        <v>47</v>
      </c>
      <c r="AM67" s="19" t="s">
        <v>1125</v>
      </c>
    </row>
    <row r="68" spans="2:39" x14ac:dyDescent="0.15">
      <c r="B68" s="7">
        <v>64</v>
      </c>
      <c r="C68" s="7">
        <v>1304</v>
      </c>
      <c r="D68" s="7" t="s">
        <v>801</v>
      </c>
      <c r="E68" s="19" t="s">
        <v>1032</v>
      </c>
      <c r="F68" s="7">
        <f t="shared" si="5"/>
        <v>130401</v>
      </c>
      <c r="G68" s="19" t="s">
        <v>1031</v>
      </c>
      <c r="H68" s="7" t="s">
        <v>1035</v>
      </c>
      <c r="I68" s="7">
        <f t="shared" si="6"/>
        <v>48</v>
      </c>
      <c r="J68" s="7" t="str">
        <f t="shared" si="21"/>
        <v>金属系</v>
      </c>
      <c r="K68" s="7">
        <v>30</v>
      </c>
      <c r="L68" s="7">
        <f t="shared" si="7"/>
        <v>130402</v>
      </c>
      <c r="M68" s="7" t="str">
        <f t="shared" si="23"/>
        <v>铁甲土匪</v>
      </c>
      <c r="N68" s="7" t="str">
        <f t="shared" si="29"/>
        <v>CB222AAA</v>
      </c>
      <c r="O68" s="7">
        <f t="shared" si="8"/>
        <v>42</v>
      </c>
      <c r="P68" s="19" t="str">
        <f t="shared" si="9"/>
        <v>金属系</v>
      </c>
      <c r="Q68" s="7">
        <v>10</v>
      </c>
      <c r="R68" s="7">
        <f t="shared" si="10"/>
        <v>130403</v>
      </c>
      <c r="S68" s="19" t="str">
        <f t="shared" si="11"/>
        <v>铠甲怪</v>
      </c>
      <c r="T68" s="7" t="str">
        <f t="shared" si="24"/>
        <v>CB862AAA</v>
      </c>
      <c r="U68" s="7">
        <f t="shared" si="12"/>
        <v>48</v>
      </c>
      <c r="V68" s="19" t="str">
        <f t="shared" si="13"/>
        <v>金属系</v>
      </c>
      <c r="W68" s="7">
        <v>30</v>
      </c>
      <c r="X68" s="7">
        <f t="shared" si="14"/>
        <v>130404</v>
      </c>
      <c r="Y68" s="19" t="str">
        <f t="shared" si="15"/>
        <v>金属土龙</v>
      </c>
      <c r="Z68" s="7" t="str">
        <f t="shared" si="25"/>
        <v>CB747AAA</v>
      </c>
      <c r="AA68" s="7">
        <f t="shared" si="16"/>
        <v>48</v>
      </c>
      <c r="AB68" s="19" t="str">
        <f t="shared" si="26"/>
        <v>金属系</v>
      </c>
      <c r="AC68" s="7">
        <v>30</v>
      </c>
      <c r="AD68" s="7">
        <f t="shared" si="17"/>
        <v>130405</v>
      </c>
      <c r="AE68" s="19" t="str">
        <f t="shared" si="18"/>
        <v>多毛蜘蛛</v>
      </c>
      <c r="AF68" s="7" t="str">
        <f t="shared" si="27"/>
        <v>CB613AAA</v>
      </c>
      <c r="AG68" s="7">
        <f t="shared" si="19"/>
        <v>48</v>
      </c>
      <c r="AH68" s="19" t="str">
        <f t="shared" si="28"/>
        <v>暗系</v>
      </c>
      <c r="AI68" s="7">
        <v>30</v>
      </c>
      <c r="AJ68" s="19" t="s">
        <v>1192</v>
      </c>
      <c r="AK68" s="7" t="s">
        <v>1102</v>
      </c>
      <c r="AL68" s="7">
        <f t="shared" si="20"/>
        <v>48</v>
      </c>
      <c r="AM68" s="19" t="s">
        <v>1174</v>
      </c>
    </row>
    <row r="69" spans="2:39" x14ac:dyDescent="0.15">
      <c r="B69" s="7">
        <v>65</v>
      </c>
      <c r="C69" s="7">
        <v>1305</v>
      </c>
      <c r="D69" s="7" t="s">
        <v>802</v>
      </c>
      <c r="E69" s="19" t="s">
        <v>899</v>
      </c>
      <c r="F69" s="7">
        <f t="shared" si="5"/>
        <v>130501</v>
      </c>
      <c r="G69" s="19" t="s">
        <v>1031</v>
      </c>
      <c r="H69" s="7" t="s">
        <v>1030</v>
      </c>
      <c r="I69" s="7">
        <f t="shared" si="6"/>
        <v>49</v>
      </c>
      <c r="J69" s="7" t="str">
        <f t="shared" si="21"/>
        <v>僵尸系</v>
      </c>
      <c r="K69" s="7">
        <v>30</v>
      </c>
      <c r="L69" s="7">
        <f t="shared" si="7"/>
        <v>130502</v>
      </c>
      <c r="M69" s="7" t="str">
        <f t="shared" si="23"/>
        <v>修罗战士</v>
      </c>
      <c r="N69" s="7" t="str">
        <f t="shared" si="29"/>
        <v>CB231AAA</v>
      </c>
      <c r="O69" s="7">
        <f t="shared" si="8"/>
        <v>43</v>
      </c>
      <c r="P69" s="19" t="str">
        <f t="shared" si="9"/>
        <v>僵尸系</v>
      </c>
      <c r="Q69" s="7">
        <v>10</v>
      </c>
      <c r="R69" s="7">
        <f t="shared" si="10"/>
        <v>130503</v>
      </c>
      <c r="S69" s="19" t="str">
        <f t="shared" si="11"/>
        <v>恐怖泥人</v>
      </c>
      <c r="T69" s="7" t="str">
        <f t="shared" ref="T69:T100" si="30">VLOOKUP(S69,monstername1,2,FALSE)</f>
        <v>CB411AAA</v>
      </c>
      <c r="U69" s="7">
        <f t="shared" si="12"/>
        <v>49</v>
      </c>
      <c r="V69" s="19" t="str">
        <f t="shared" si="13"/>
        <v>僵尸系</v>
      </c>
      <c r="W69" s="7">
        <v>30</v>
      </c>
      <c r="X69" s="7">
        <f t="shared" si="14"/>
        <v>130504</v>
      </c>
      <c r="Y69" s="19" t="str">
        <f t="shared" si="15"/>
        <v xml:space="preserve">雷魔晶 </v>
      </c>
      <c r="Z69" s="7" t="str">
        <f t="shared" ref="Z69:Z100" si="31">VLOOKUP(Y69,monstername1,2,FALSE)</f>
        <v>CB898AAA</v>
      </c>
      <c r="AA69" s="7">
        <f t="shared" si="16"/>
        <v>49</v>
      </c>
      <c r="AB69" s="19" t="str">
        <f t="shared" ref="AB69:AB100" si="32">VLOOKUP(Y69,monstername1,4,FALSE)</f>
        <v>雷系</v>
      </c>
      <c r="AC69" s="7">
        <v>30</v>
      </c>
      <c r="AD69" s="7">
        <f t="shared" si="17"/>
        <v>130505</v>
      </c>
      <c r="AE69" s="19" t="str">
        <f t="shared" si="18"/>
        <v>魔鬼鱼</v>
      </c>
      <c r="AF69" s="7" t="str">
        <f t="shared" ref="AF69:AF100" si="33">VLOOKUP(AE69,monstername1,2,FALSE)</f>
        <v>CB633AAA</v>
      </c>
      <c r="AG69" s="7">
        <f t="shared" si="19"/>
        <v>49</v>
      </c>
      <c r="AH69" s="19" t="str">
        <f t="shared" ref="AH69:AH100" si="34">VLOOKUP(AE69,monstername1,4,FALSE)</f>
        <v>飞行系</v>
      </c>
      <c r="AI69" s="7">
        <v>30</v>
      </c>
      <c r="AJ69" s="19" t="s">
        <v>1194</v>
      </c>
      <c r="AK69" s="7" t="s">
        <v>1193</v>
      </c>
      <c r="AL69" s="7">
        <f t="shared" si="20"/>
        <v>49</v>
      </c>
      <c r="AM69" s="19" t="s">
        <v>1196</v>
      </c>
    </row>
    <row r="70" spans="2:39" x14ac:dyDescent="0.15">
      <c r="B70" s="7">
        <v>66</v>
      </c>
      <c r="C70" s="7">
        <v>1401</v>
      </c>
      <c r="D70" s="7" t="s">
        <v>803</v>
      </c>
      <c r="E70" s="19" t="s">
        <v>966</v>
      </c>
      <c r="F70" s="7">
        <f t="shared" ref="F70:F133" si="35">C70*100+1</f>
        <v>140101</v>
      </c>
      <c r="G70" s="19" t="s">
        <v>1037</v>
      </c>
      <c r="H70" s="7" t="s">
        <v>1036</v>
      </c>
      <c r="I70" s="7">
        <f t="shared" ref="I70:I133" si="36">ROUND($B70^0.93,0)</f>
        <v>49</v>
      </c>
      <c r="J70" s="7" t="str">
        <f t="shared" si="21"/>
        <v>风系</v>
      </c>
      <c r="K70" s="7">
        <v>30</v>
      </c>
      <c r="L70" s="7">
        <f t="shared" ref="L70:L133" si="37">C70*100+2</f>
        <v>140102</v>
      </c>
      <c r="M70" s="7" t="str">
        <f t="shared" si="23"/>
        <v>狂舞蜘蛛</v>
      </c>
      <c r="N70" s="7" t="str">
        <f t="shared" si="29"/>
        <v>CB611AAA</v>
      </c>
      <c r="O70" s="7">
        <f t="shared" ref="O70:O133" si="38">ROUND($B70^0.9,0)</f>
        <v>43</v>
      </c>
      <c r="P70" s="19" t="str">
        <f t="shared" ref="P70:P133" si="39">J70</f>
        <v>风系</v>
      </c>
      <c r="Q70" s="7">
        <v>10</v>
      </c>
      <c r="R70" s="7">
        <f t="shared" ref="R70:R133" si="40">C70*100+3</f>
        <v>140103</v>
      </c>
      <c r="S70" s="19" t="str">
        <f t="shared" ref="S70:S109" si="41">GetMonsterName(V70)</f>
        <v>狂舞蜘蛛</v>
      </c>
      <c r="T70" s="7" t="str">
        <f t="shared" si="30"/>
        <v>CB611AAA</v>
      </c>
      <c r="U70" s="7">
        <f t="shared" ref="U70:U133" si="42">I70</f>
        <v>49</v>
      </c>
      <c r="V70" s="19" t="str">
        <f t="shared" ref="V70:V133" si="43">P70</f>
        <v>风系</v>
      </c>
      <c r="W70" s="7">
        <v>30</v>
      </c>
      <c r="X70" s="7">
        <f t="shared" ref="X70:X133" si="44">C70*100+4</f>
        <v>140104</v>
      </c>
      <c r="Y70" s="19" t="str">
        <f t="shared" ref="Y70:Y133" si="45">GetMonsterName("0")</f>
        <v>黑暗石鱼</v>
      </c>
      <c r="Z70" s="7" t="str">
        <f t="shared" si="31"/>
        <v>CB632AAA</v>
      </c>
      <c r="AA70" s="7">
        <f t="shared" ref="AA70:AA133" si="46">U70</f>
        <v>49</v>
      </c>
      <c r="AB70" s="19" t="str">
        <f t="shared" si="32"/>
        <v>暗系</v>
      </c>
      <c r="AC70" s="7">
        <v>30</v>
      </c>
      <c r="AD70" s="7">
        <f t="shared" ref="AD70:AD133" si="47">X70+1</f>
        <v>140105</v>
      </c>
      <c r="AE70" s="19" t="str">
        <f t="shared" ref="AE70:AE133" si="48">GetMonsterName("0")</f>
        <v>青色独眼巨人</v>
      </c>
      <c r="AF70" s="7" t="str">
        <f t="shared" si="33"/>
        <v>CB376AAA</v>
      </c>
      <c r="AG70" s="7">
        <f t="shared" ref="AG70:AG133" si="49">AA70</f>
        <v>49</v>
      </c>
      <c r="AH70" s="19" t="str">
        <f t="shared" si="34"/>
        <v>土系</v>
      </c>
      <c r="AI70" s="7">
        <v>30</v>
      </c>
      <c r="AJ70" s="19" t="s">
        <v>1198</v>
      </c>
      <c r="AK70" s="7" t="s">
        <v>1197</v>
      </c>
      <c r="AL70" s="7">
        <f t="shared" ref="AL70:AL133" si="50">AG70</f>
        <v>49</v>
      </c>
      <c r="AM70" s="19" t="s">
        <v>957</v>
      </c>
    </row>
    <row r="71" spans="2:39" x14ac:dyDescent="0.15">
      <c r="B71" s="7">
        <v>67</v>
      </c>
      <c r="C71" s="7">
        <v>1402</v>
      </c>
      <c r="D71" s="7" t="s">
        <v>804</v>
      </c>
      <c r="E71" s="19" t="s">
        <v>966</v>
      </c>
      <c r="F71" s="7">
        <f t="shared" si="35"/>
        <v>140201</v>
      </c>
      <c r="G71" s="19" t="s">
        <v>1037</v>
      </c>
      <c r="H71" s="7" t="s">
        <v>1036</v>
      </c>
      <c r="I71" s="7">
        <f t="shared" si="36"/>
        <v>50</v>
      </c>
      <c r="J71" s="7" t="str">
        <f t="shared" si="21"/>
        <v>风系</v>
      </c>
      <c r="K71" s="7">
        <v>30</v>
      </c>
      <c r="L71" s="7">
        <f t="shared" si="37"/>
        <v>140202</v>
      </c>
      <c r="M71" s="7" t="str">
        <f t="shared" si="23"/>
        <v>狂舞蜘蛛</v>
      </c>
      <c r="N71" s="7" t="str">
        <f t="shared" si="29"/>
        <v>CB611AAA</v>
      </c>
      <c r="O71" s="7">
        <f t="shared" si="38"/>
        <v>44</v>
      </c>
      <c r="P71" s="19" t="str">
        <f t="shared" si="39"/>
        <v>风系</v>
      </c>
      <c r="Q71" s="7">
        <v>10</v>
      </c>
      <c r="R71" s="7">
        <f t="shared" si="40"/>
        <v>140203</v>
      </c>
      <c r="S71" s="19" t="str">
        <f t="shared" si="41"/>
        <v>狂舞蜘蛛</v>
      </c>
      <c r="T71" s="7" t="str">
        <f t="shared" si="30"/>
        <v>CB611AAA</v>
      </c>
      <c r="U71" s="7">
        <f t="shared" si="42"/>
        <v>50</v>
      </c>
      <c r="V71" s="19" t="str">
        <f t="shared" si="43"/>
        <v>风系</v>
      </c>
      <c r="W71" s="7">
        <v>30</v>
      </c>
      <c r="X71" s="7">
        <f t="shared" si="44"/>
        <v>140204</v>
      </c>
      <c r="Y71" s="19" t="str">
        <f t="shared" si="45"/>
        <v>恶魔蝙蝠</v>
      </c>
      <c r="Z71" s="7" t="str">
        <f t="shared" si="31"/>
        <v>CB742AAA</v>
      </c>
      <c r="AA71" s="7">
        <f t="shared" si="46"/>
        <v>50</v>
      </c>
      <c r="AB71" s="19" t="str">
        <f t="shared" si="32"/>
        <v>飞行系</v>
      </c>
      <c r="AC71" s="7">
        <v>30</v>
      </c>
      <c r="AD71" s="7">
        <f t="shared" si="47"/>
        <v>140205</v>
      </c>
      <c r="AE71" s="19" t="str">
        <f t="shared" si="48"/>
        <v>炎之虚幻</v>
      </c>
      <c r="AF71" s="7" t="str">
        <f t="shared" si="33"/>
        <v>CB762AAA</v>
      </c>
      <c r="AG71" s="7">
        <f t="shared" si="49"/>
        <v>50</v>
      </c>
      <c r="AH71" s="19" t="str">
        <f t="shared" si="34"/>
        <v>火系</v>
      </c>
      <c r="AI71" s="7">
        <v>30</v>
      </c>
      <c r="AL71" s="7">
        <f t="shared" si="50"/>
        <v>50</v>
      </c>
    </row>
    <row r="72" spans="2:39" x14ac:dyDescent="0.15">
      <c r="B72" s="7">
        <v>68</v>
      </c>
      <c r="C72" s="7">
        <v>1403</v>
      </c>
      <c r="D72" s="7" t="s">
        <v>805</v>
      </c>
      <c r="E72" s="19" t="s">
        <v>963</v>
      </c>
      <c r="F72" s="7">
        <f t="shared" si="35"/>
        <v>140301</v>
      </c>
      <c r="G72" s="19" t="s">
        <v>1029</v>
      </c>
      <c r="H72" s="7" t="s">
        <v>1028</v>
      </c>
      <c r="I72" s="7">
        <f t="shared" si="36"/>
        <v>51</v>
      </c>
      <c r="J72" s="7" t="str">
        <f t="shared" si="21"/>
        <v>暗系</v>
      </c>
      <c r="K72" s="7">
        <v>30</v>
      </c>
      <c r="L72" s="7">
        <f t="shared" si="37"/>
        <v>140302</v>
      </c>
      <c r="M72" s="7" t="str">
        <f t="shared" si="23"/>
        <v>多毛蜘蛛</v>
      </c>
      <c r="N72" s="7" t="str">
        <f t="shared" si="29"/>
        <v>CB613AAA</v>
      </c>
      <c r="O72" s="7">
        <f t="shared" si="38"/>
        <v>45</v>
      </c>
      <c r="P72" s="19" t="str">
        <f t="shared" si="39"/>
        <v>暗系</v>
      </c>
      <c r="Q72" s="7">
        <v>10</v>
      </c>
      <c r="R72" s="7">
        <f t="shared" si="40"/>
        <v>140303</v>
      </c>
      <c r="S72" s="19" t="str">
        <f t="shared" si="41"/>
        <v>黑暗盗贼</v>
      </c>
      <c r="T72" s="7" t="str">
        <f t="shared" si="30"/>
        <v>CB225AAA</v>
      </c>
      <c r="U72" s="7">
        <f t="shared" si="42"/>
        <v>51</v>
      </c>
      <c r="V72" s="19" t="str">
        <f t="shared" si="43"/>
        <v>暗系</v>
      </c>
      <c r="W72" s="7">
        <v>30</v>
      </c>
      <c r="X72" s="7">
        <f t="shared" si="44"/>
        <v>140304</v>
      </c>
      <c r="Y72" s="19" t="str">
        <f t="shared" si="45"/>
        <v>炎魔晶</v>
      </c>
      <c r="Z72" s="7" t="str">
        <f t="shared" si="31"/>
        <v>CB897AAA</v>
      </c>
      <c r="AA72" s="7">
        <f t="shared" si="46"/>
        <v>51</v>
      </c>
      <c r="AB72" s="19" t="str">
        <f t="shared" si="32"/>
        <v>火系</v>
      </c>
      <c r="AC72" s="7">
        <v>30</v>
      </c>
      <c r="AD72" s="7">
        <f t="shared" si="47"/>
        <v>140305</v>
      </c>
      <c r="AE72" s="19" t="str">
        <f t="shared" si="48"/>
        <v>光魔晶</v>
      </c>
      <c r="AF72" s="7" t="str">
        <f t="shared" si="33"/>
        <v>CB896AAA</v>
      </c>
      <c r="AG72" s="7">
        <f t="shared" si="49"/>
        <v>51</v>
      </c>
      <c r="AH72" s="19" t="str">
        <f t="shared" si="34"/>
        <v>光系</v>
      </c>
      <c r="AI72" s="7">
        <v>30</v>
      </c>
      <c r="AL72" s="7">
        <f t="shared" si="50"/>
        <v>51</v>
      </c>
    </row>
    <row r="73" spans="2:39" x14ac:dyDescent="0.15">
      <c r="B73" s="7">
        <v>69</v>
      </c>
      <c r="C73" s="7">
        <v>1404</v>
      </c>
      <c r="D73" s="7" t="s">
        <v>806</v>
      </c>
      <c r="E73" s="19" t="s">
        <v>963</v>
      </c>
      <c r="F73" s="7">
        <f t="shared" si="35"/>
        <v>140401</v>
      </c>
      <c r="G73" s="19" t="s">
        <v>1029</v>
      </c>
      <c r="H73" s="7" t="s">
        <v>1028</v>
      </c>
      <c r="I73" s="7">
        <f t="shared" si="36"/>
        <v>51</v>
      </c>
      <c r="J73" s="7" t="str">
        <f t="shared" si="21"/>
        <v>暗系</v>
      </c>
      <c r="K73" s="7">
        <v>30</v>
      </c>
      <c r="L73" s="7">
        <f t="shared" si="37"/>
        <v>140402</v>
      </c>
      <c r="M73" s="7" t="str">
        <f t="shared" si="23"/>
        <v>黑暗盗贼</v>
      </c>
      <c r="N73" s="7" t="str">
        <f t="shared" si="29"/>
        <v>CB225AAA</v>
      </c>
      <c r="O73" s="7">
        <f t="shared" si="38"/>
        <v>45</v>
      </c>
      <c r="P73" s="19" t="str">
        <f t="shared" si="39"/>
        <v>暗系</v>
      </c>
      <c r="Q73" s="7">
        <v>10</v>
      </c>
      <c r="R73" s="7">
        <f t="shared" si="40"/>
        <v>140403</v>
      </c>
      <c r="S73" s="19" t="str">
        <f t="shared" si="41"/>
        <v>多毛蜘蛛</v>
      </c>
      <c r="T73" s="7" t="str">
        <f t="shared" si="30"/>
        <v>CB613AAA</v>
      </c>
      <c r="U73" s="7">
        <f t="shared" si="42"/>
        <v>51</v>
      </c>
      <c r="V73" s="19" t="str">
        <f t="shared" si="43"/>
        <v>暗系</v>
      </c>
      <c r="W73" s="7">
        <v>30</v>
      </c>
      <c r="X73" s="7">
        <f t="shared" si="44"/>
        <v>140404</v>
      </c>
      <c r="Y73" s="19" t="str">
        <f t="shared" si="45"/>
        <v>火魔晶</v>
      </c>
      <c r="Z73" s="7" t="str">
        <f t="shared" si="31"/>
        <v>CB897AAA</v>
      </c>
      <c r="AA73" s="7">
        <f t="shared" si="46"/>
        <v>51</v>
      </c>
      <c r="AB73" s="19" t="str">
        <f t="shared" si="32"/>
        <v>火系</v>
      </c>
      <c r="AC73" s="7">
        <v>30</v>
      </c>
      <c r="AD73" s="7">
        <f t="shared" si="47"/>
        <v>140405</v>
      </c>
      <c r="AE73" s="19" t="str">
        <f t="shared" si="48"/>
        <v>碧蓝湖灵</v>
      </c>
      <c r="AF73" s="7" t="str">
        <f t="shared" si="33"/>
        <v>CB401AAA</v>
      </c>
      <c r="AG73" s="7">
        <f t="shared" si="49"/>
        <v>51</v>
      </c>
      <c r="AH73" s="19" t="str">
        <f t="shared" si="34"/>
        <v>水系</v>
      </c>
      <c r="AI73" s="7">
        <v>30</v>
      </c>
      <c r="AL73" s="7">
        <f t="shared" si="50"/>
        <v>51</v>
      </c>
    </row>
    <row r="74" spans="2:39" x14ac:dyDescent="0.15">
      <c r="B74" s="7">
        <v>70</v>
      </c>
      <c r="C74" s="7">
        <v>1405</v>
      </c>
      <c r="D74" s="7" t="s">
        <v>807</v>
      </c>
      <c r="E74" s="19" t="s">
        <v>963</v>
      </c>
      <c r="F74" s="7">
        <f t="shared" si="35"/>
        <v>140501</v>
      </c>
      <c r="G74" s="19" t="s">
        <v>1039</v>
      </c>
      <c r="H74" s="7" t="s">
        <v>1038</v>
      </c>
      <c r="I74" s="7">
        <f t="shared" si="36"/>
        <v>52</v>
      </c>
      <c r="J74" s="7" t="str">
        <f t="shared" si="21"/>
        <v>暗系</v>
      </c>
      <c r="K74" s="7">
        <v>30</v>
      </c>
      <c r="L74" s="7">
        <f t="shared" si="37"/>
        <v>140502</v>
      </c>
      <c r="M74" s="7" t="str">
        <f t="shared" si="23"/>
        <v>多毛蜘蛛</v>
      </c>
      <c r="N74" s="7" t="str">
        <f t="shared" si="29"/>
        <v>CB613AAA</v>
      </c>
      <c r="O74" s="7">
        <f t="shared" si="38"/>
        <v>46</v>
      </c>
      <c r="P74" s="19" t="str">
        <f t="shared" si="39"/>
        <v>暗系</v>
      </c>
      <c r="Q74" s="7">
        <v>10</v>
      </c>
      <c r="R74" s="7">
        <f t="shared" si="40"/>
        <v>140503</v>
      </c>
      <c r="S74" s="19" t="str">
        <f t="shared" si="41"/>
        <v>盗贼</v>
      </c>
      <c r="T74" s="7" t="str">
        <f t="shared" si="30"/>
        <v>CB224AAA</v>
      </c>
      <c r="U74" s="7">
        <f t="shared" si="42"/>
        <v>52</v>
      </c>
      <c r="V74" s="19" t="str">
        <f t="shared" si="43"/>
        <v>暗系</v>
      </c>
      <c r="W74" s="7">
        <v>30</v>
      </c>
      <c r="X74" s="7">
        <f t="shared" si="44"/>
        <v>140504</v>
      </c>
      <c r="Y74" s="19" t="str">
        <f t="shared" si="45"/>
        <v>修罗战士</v>
      </c>
      <c r="Z74" s="7" t="str">
        <f t="shared" si="31"/>
        <v>CB231AAA</v>
      </c>
      <c r="AA74" s="7">
        <f t="shared" si="46"/>
        <v>52</v>
      </c>
      <c r="AB74" s="19" t="str">
        <f t="shared" si="32"/>
        <v>僵尸系</v>
      </c>
      <c r="AC74" s="7">
        <v>30</v>
      </c>
      <c r="AD74" s="7">
        <f t="shared" si="47"/>
        <v>140505</v>
      </c>
      <c r="AE74" s="19" t="str">
        <f t="shared" si="48"/>
        <v>土鳗兽</v>
      </c>
      <c r="AF74" s="7" t="str">
        <f t="shared" si="33"/>
        <v>CB733AAA</v>
      </c>
      <c r="AG74" s="7">
        <f t="shared" si="49"/>
        <v>52</v>
      </c>
      <c r="AH74" s="19" t="str">
        <f t="shared" si="34"/>
        <v>龙系</v>
      </c>
      <c r="AI74" s="7">
        <v>30</v>
      </c>
      <c r="AL74" s="7">
        <f t="shared" si="50"/>
        <v>52</v>
      </c>
    </row>
    <row r="75" spans="2:39" x14ac:dyDescent="0.15">
      <c r="B75" s="7">
        <v>71</v>
      </c>
      <c r="C75" s="7">
        <v>1501</v>
      </c>
      <c r="D75" s="7" t="s">
        <v>808</v>
      </c>
      <c r="E75" s="19" t="s">
        <v>967</v>
      </c>
      <c r="F75" s="7">
        <f t="shared" si="35"/>
        <v>150101</v>
      </c>
      <c r="G75" s="19" t="s">
        <v>1041</v>
      </c>
      <c r="H75" s="7" t="s">
        <v>1040</v>
      </c>
      <c r="I75" s="7">
        <f t="shared" si="36"/>
        <v>53</v>
      </c>
      <c r="J75" s="7" t="str">
        <f t="shared" ref="J75:J138" si="51">E75</f>
        <v>火系</v>
      </c>
      <c r="K75" s="7">
        <v>30</v>
      </c>
      <c r="L75" s="7">
        <f t="shared" si="37"/>
        <v>150102</v>
      </c>
      <c r="M75" s="7" t="str">
        <f t="shared" si="23"/>
        <v>粘稠怪</v>
      </c>
      <c r="N75" s="7" t="str">
        <f t="shared" si="29"/>
        <v>CB764AAA</v>
      </c>
      <c r="O75" s="7">
        <f t="shared" si="38"/>
        <v>46</v>
      </c>
      <c r="P75" s="19" t="str">
        <f t="shared" si="39"/>
        <v>火系</v>
      </c>
      <c r="Q75" s="7">
        <v>10</v>
      </c>
      <c r="R75" s="7">
        <f t="shared" si="40"/>
        <v>150103</v>
      </c>
      <c r="S75" s="19" t="str">
        <f t="shared" si="41"/>
        <v>赤色独眼巨人</v>
      </c>
      <c r="T75" s="7" t="str">
        <f t="shared" si="30"/>
        <v>CB371AAA</v>
      </c>
      <c r="U75" s="7">
        <f t="shared" si="42"/>
        <v>53</v>
      </c>
      <c r="V75" s="19" t="str">
        <f t="shared" si="43"/>
        <v>火系</v>
      </c>
      <c r="W75" s="7">
        <v>30</v>
      </c>
      <c r="X75" s="7">
        <f t="shared" si="44"/>
        <v>150104</v>
      </c>
      <c r="Y75" s="19" t="str">
        <f t="shared" si="45"/>
        <v>火泥怪</v>
      </c>
      <c r="Z75" s="7" t="str">
        <f t="shared" si="31"/>
        <v>CB760AAA</v>
      </c>
      <c r="AA75" s="7">
        <f t="shared" si="46"/>
        <v>53</v>
      </c>
      <c r="AB75" s="19" t="str">
        <f t="shared" si="32"/>
        <v>火系</v>
      </c>
      <c r="AC75" s="7">
        <v>30</v>
      </c>
      <c r="AD75" s="7">
        <f t="shared" si="47"/>
        <v>150105</v>
      </c>
      <c r="AE75" s="19" t="str">
        <f t="shared" si="48"/>
        <v>飞蛇</v>
      </c>
      <c r="AF75" s="7" t="str">
        <f t="shared" si="33"/>
        <v>CB734AAA</v>
      </c>
      <c r="AG75" s="7">
        <f t="shared" si="49"/>
        <v>53</v>
      </c>
      <c r="AH75" s="19" t="str">
        <f t="shared" si="34"/>
        <v>飞行系</v>
      </c>
      <c r="AI75" s="7">
        <v>30</v>
      </c>
      <c r="AL75" s="7">
        <f t="shared" si="50"/>
        <v>53</v>
      </c>
    </row>
    <row r="76" spans="2:39" x14ac:dyDescent="0.15">
      <c r="B76" s="7">
        <v>72</v>
      </c>
      <c r="C76" s="7">
        <v>1502</v>
      </c>
      <c r="D76" s="7" t="s">
        <v>809</v>
      </c>
      <c r="E76" s="19" t="s">
        <v>967</v>
      </c>
      <c r="F76" s="7">
        <f t="shared" si="35"/>
        <v>150201</v>
      </c>
      <c r="G76" s="19" t="s">
        <v>1043</v>
      </c>
      <c r="H76" s="7" t="s">
        <v>1042</v>
      </c>
      <c r="I76" s="7">
        <f t="shared" si="36"/>
        <v>53</v>
      </c>
      <c r="J76" s="7" t="str">
        <f t="shared" si="51"/>
        <v>火系</v>
      </c>
      <c r="K76" s="7">
        <v>30</v>
      </c>
      <c r="L76" s="7">
        <f t="shared" si="37"/>
        <v>150202</v>
      </c>
      <c r="M76" s="7" t="str">
        <f t="shared" si="23"/>
        <v>火泥怪</v>
      </c>
      <c r="N76" s="7" t="str">
        <f t="shared" ref="N76:N107" si="52">VLOOKUP(M76,monstername1,2,FALSE)</f>
        <v>CB760AAA</v>
      </c>
      <c r="O76" s="7">
        <f t="shared" si="38"/>
        <v>47</v>
      </c>
      <c r="P76" s="19" t="str">
        <f t="shared" si="39"/>
        <v>火系</v>
      </c>
      <c r="Q76" s="7">
        <v>10</v>
      </c>
      <c r="R76" s="7">
        <f t="shared" si="40"/>
        <v>150203</v>
      </c>
      <c r="S76" s="19" t="str">
        <f t="shared" si="41"/>
        <v>火魔晶</v>
      </c>
      <c r="T76" s="7" t="str">
        <f t="shared" si="30"/>
        <v>CB897AAA</v>
      </c>
      <c r="U76" s="7">
        <f t="shared" si="42"/>
        <v>53</v>
      </c>
      <c r="V76" s="19" t="str">
        <f t="shared" si="43"/>
        <v>火系</v>
      </c>
      <c r="W76" s="7">
        <v>30</v>
      </c>
      <c r="X76" s="7">
        <f t="shared" si="44"/>
        <v>150204</v>
      </c>
      <c r="Y76" s="19" t="str">
        <f t="shared" si="45"/>
        <v>炎魔晶</v>
      </c>
      <c r="Z76" s="7" t="str">
        <f t="shared" si="31"/>
        <v>CB897AAA</v>
      </c>
      <c r="AA76" s="7">
        <f t="shared" si="46"/>
        <v>53</v>
      </c>
      <c r="AB76" s="19" t="str">
        <f t="shared" si="32"/>
        <v>火系</v>
      </c>
      <c r="AC76" s="7">
        <v>30</v>
      </c>
      <c r="AD76" s="7">
        <f t="shared" si="47"/>
        <v>150205</v>
      </c>
      <c r="AE76" s="19" t="str">
        <f t="shared" si="48"/>
        <v>青色独眼巨人</v>
      </c>
      <c r="AF76" s="7" t="str">
        <f t="shared" si="33"/>
        <v>CB376AAA</v>
      </c>
      <c r="AG76" s="7">
        <f t="shared" si="49"/>
        <v>53</v>
      </c>
      <c r="AH76" s="19" t="str">
        <f t="shared" si="34"/>
        <v>土系</v>
      </c>
      <c r="AI76" s="7">
        <v>30</v>
      </c>
      <c r="AL76" s="7">
        <f t="shared" si="50"/>
        <v>53</v>
      </c>
    </row>
    <row r="77" spans="2:39" x14ac:dyDescent="0.15">
      <c r="B77" s="7">
        <v>73</v>
      </c>
      <c r="C77" s="7">
        <v>1503</v>
      </c>
      <c r="D77" s="7" t="s">
        <v>810</v>
      </c>
      <c r="E77" s="19" t="s">
        <v>967</v>
      </c>
      <c r="F77" s="7">
        <f t="shared" si="35"/>
        <v>150301</v>
      </c>
      <c r="G77" s="19" t="s">
        <v>1044</v>
      </c>
      <c r="H77" s="7" t="s">
        <v>992</v>
      </c>
      <c r="I77" s="7">
        <f t="shared" si="36"/>
        <v>54</v>
      </c>
      <c r="J77" s="7" t="str">
        <f t="shared" si="51"/>
        <v>火系</v>
      </c>
      <c r="K77" s="7">
        <v>30</v>
      </c>
      <c r="L77" s="7">
        <f t="shared" si="37"/>
        <v>150302</v>
      </c>
      <c r="M77" s="7" t="str">
        <f t="shared" ref="M77:M140" si="53">GetMonsterName(P77)</f>
        <v>炎之虚幻</v>
      </c>
      <c r="N77" s="7" t="str">
        <f t="shared" si="52"/>
        <v>CB762AAA</v>
      </c>
      <c r="O77" s="7">
        <f t="shared" si="38"/>
        <v>48</v>
      </c>
      <c r="P77" s="19" t="str">
        <f t="shared" si="39"/>
        <v>火系</v>
      </c>
      <c r="Q77" s="7">
        <v>10</v>
      </c>
      <c r="R77" s="7">
        <f t="shared" si="40"/>
        <v>150303</v>
      </c>
      <c r="S77" s="19" t="str">
        <f t="shared" si="41"/>
        <v>炎魔晶</v>
      </c>
      <c r="T77" s="7" t="str">
        <f t="shared" si="30"/>
        <v>CB897AAA</v>
      </c>
      <c r="U77" s="7">
        <f t="shared" si="42"/>
        <v>54</v>
      </c>
      <c r="V77" s="19" t="str">
        <f t="shared" si="43"/>
        <v>火系</v>
      </c>
      <c r="W77" s="7">
        <v>30</v>
      </c>
      <c r="X77" s="7">
        <f t="shared" si="44"/>
        <v>150304</v>
      </c>
      <c r="Y77" s="19" t="str">
        <f t="shared" si="45"/>
        <v>水之女护卫</v>
      </c>
      <c r="Z77" s="7" t="str">
        <f t="shared" si="31"/>
        <v>CB766AAA</v>
      </c>
      <c r="AA77" s="7">
        <f t="shared" si="46"/>
        <v>54</v>
      </c>
      <c r="AB77" s="19" t="str">
        <f t="shared" si="32"/>
        <v>水系</v>
      </c>
      <c r="AC77" s="7">
        <v>30</v>
      </c>
      <c r="AD77" s="7">
        <f t="shared" si="47"/>
        <v>150305</v>
      </c>
      <c r="AE77" s="19" t="str">
        <f t="shared" si="48"/>
        <v>狂舞蜘蛛</v>
      </c>
      <c r="AF77" s="7" t="str">
        <f t="shared" si="33"/>
        <v>CB611AAA</v>
      </c>
      <c r="AG77" s="7">
        <f t="shared" si="49"/>
        <v>54</v>
      </c>
      <c r="AH77" s="19" t="str">
        <f t="shared" si="34"/>
        <v>风系</v>
      </c>
      <c r="AI77" s="7">
        <v>30</v>
      </c>
      <c r="AL77" s="7">
        <f t="shared" si="50"/>
        <v>54</v>
      </c>
    </row>
    <row r="78" spans="2:39" x14ac:dyDescent="0.15">
      <c r="B78" s="7">
        <v>74</v>
      </c>
      <c r="C78" s="7">
        <v>1504</v>
      </c>
      <c r="D78" s="7" t="s">
        <v>811</v>
      </c>
      <c r="E78" s="19" t="s">
        <v>967</v>
      </c>
      <c r="F78" s="7">
        <f t="shared" si="35"/>
        <v>150401</v>
      </c>
      <c r="G78" s="19" t="s">
        <v>1043</v>
      </c>
      <c r="H78" s="7" t="s">
        <v>1042</v>
      </c>
      <c r="I78" s="7">
        <f t="shared" si="36"/>
        <v>55</v>
      </c>
      <c r="J78" s="7" t="str">
        <f t="shared" si="51"/>
        <v>火系</v>
      </c>
      <c r="K78" s="7">
        <v>30</v>
      </c>
      <c r="L78" s="7">
        <f t="shared" si="37"/>
        <v>150402</v>
      </c>
      <c r="M78" s="7" t="str">
        <f t="shared" si="53"/>
        <v>赤色独眼巨人</v>
      </c>
      <c r="N78" s="7" t="str">
        <f t="shared" si="52"/>
        <v>CB371AAA</v>
      </c>
      <c r="O78" s="7">
        <f t="shared" si="38"/>
        <v>48</v>
      </c>
      <c r="P78" s="19" t="str">
        <f t="shared" si="39"/>
        <v>火系</v>
      </c>
      <c r="Q78" s="7">
        <v>10</v>
      </c>
      <c r="R78" s="7">
        <f t="shared" si="40"/>
        <v>150403</v>
      </c>
      <c r="S78" s="19" t="str">
        <f t="shared" si="41"/>
        <v>粘稠怪</v>
      </c>
      <c r="T78" s="7" t="str">
        <f t="shared" si="30"/>
        <v>CB764AAA</v>
      </c>
      <c r="U78" s="7">
        <f t="shared" si="42"/>
        <v>55</v>
      </c>
      <c r="V78" s="19" t="str">
        <f t="shared" si="43"/>
        <v>火系</v>
      </c>
      <c r="W78" s="7">
        <v>30</v>
      </c>
      <c r="X78" s="7">
        <f t="shared" si="44"/>
        <v>150404</v>
      </c>
      <c r="Y78" s="19" t="str">
        <f t="shared" si="45"/>
        <v>恶灵</v>
      </c>
      <c r="Z78" s="7" t="str">
        <f t="shared" si="31"/>
        <v>CB956AAA</v>
      </c>
      <c r="AA78" s="7">
        <f t="shared" si="46"/>
        <v>55</v>
      </c>
      <c r="AB78" s="19" t="str">
        <f t="shared" si="32"/>
        <v>僵尸系</v>
      </c>
      <c r="AC78" s="7">
        <v>30</v>
      </c>
      <c r="AD78" s="7">
        <f t="shared" si="47"/>
        <v>150405</v>
      </c>
      <c r="AE78" s="19" t="str">
        <f t="shared" si="48"/>
        <v>幽怨湖灵</v>
      </c>
      <c r="AF78" s="7" t="str">
        <f t="shared" si="33"/>
        <v>CB401AAA</v>
      </c>
      <c r="AG78" s="7">
        <f t="shared" si="49"/>
        <v>55</v>
      </c>
      <c r="AH78" s="19" t="str">
        <f t="shared" si="34"/>
        <v>水系</v>
      </c>
      <c r="AI78" s="7">
        <v>30</v>
      </c>
      <c r="AL78" s="7">
        <f t="shared" si="50"/>
        <v>55</v>
      </c>
    </row>
    <row r="79" spans="2:39" x14ac:dyDescent="0.15">
      <c r="B79" s="7">
        <v>75</v>
      </c>
      <c r="C79" s="7">
        <v>1505</v>
      </c>
      <c r="D79" s="7" t="s">
        <v>812</v>
      </c>
      <c r="E79" s="19" t="s">
        <v>967</v>
      </c>
      <c r="F79" s="7">
        <f t="shared" si="35"/>
        <v>150501</v>
      </c>
      <c r="G79" s="19" t="s">
        <v>1044</v>
      </c>
      <c r="H79" s="7" t="s">
        <v>992</v>
      </c>
      <c r="I79" s="7">
        <f t="shared" si="36"/>
        <v>55</v>
      </c>
      <c r="J79" s="7" t="str">
        <f t="shared" si="51"/>
        <v>火系</v>
      </c>
      <c r="K79" s="7">
        <v>30</v>
      </c>
      <c r="L79" s="7">
        <f t="shared" si="37"/>
        <v>150502</v>
      </c>
      <c r="M79" s="7" t="str">
        <f t="shared" si="53"/>
        <v>火魔晶</v>
      </c>
      <c r="N79" s="7" t="str">
        <f t="shared" si="52"/>
        <v>CB897AAA</v>
      </c>
      <c r="O79" s="7">
        <f t="shared" si="38"/>
        <v>49</v>
      </c>
      <c r="P79" s="19" t="str">
        <f t="shared" si="39"/>
        <v>火系</v>
      </c>
      <c r="Q79" s="7">
        <v>10</v>
      </c>
      <c r="R79" s="7">
        <f t="shared" si="40"/>
        <v>150503</v>
      </c>
      <c r="S79" s="19" t="str">
        <f t="shared" si="41"/>
        <v>赤色独眼巨人</v>
      </c>
      <c r="T79" s="7" t="str">
        <f t="shared" si="30"/>
        <v>CB371AAA</v>
      </c>
      <c r="U79" s="7">
        <f t="shared" si="42"/>
        <v>55</v>
      </c>
      <c r="V79" s="19" t="str">
        <f t="shared" si="43"/>
        <v>火系</v>
      </c>
      <c r="W79" s="7">
        <v>30</v>
      </c>
      <c r="X79" s="7">
        <f t="shared" si="44"/>
        <v>150504</v>
      </c>
      <c r="Y79" s="19" t="str">
        <f t="shared" si="45"/>
        <v>忍者土匪</v>
      </c>
      <c r="Z79" s="7" t="str">
        <f t="shared" si="31"/>
        <v>CB223AAA</v>
      </c>
      <c r="AA79" s="7">
        <f t="shared" si="46"/>
        <v>55</v>
      </c>
      <c r="AB79" s="19" t="str">
        <f t="shared" si="32"/>
        <v>雷系</v>
      </c>
      <c r="AC79" s="7">
        <v>30</v>
      </c>
      <c r="AD79" s="7">
        <f t="shared" si="47"/>
        <v>150505</v>
      </c>
      <c r="AE79" s="19" t="str">
        <f t="shared" si="48"/>
        <v xml:space="preserve">雷魔晶 </v>
      </c>
      <c r="AF79" s="7" t="str">
        <f t="shared" si="33"/>
        <v>CB898AAA</v>
      </c>
      <c r="AG79" s="7">
        <f t="shared" si="49"/>
        <v>55</v>
      </c>
      <c r="AH79" s="19" t="str">
        <f t="shared" si="34"/>
        <v>雷系</v>
      </c>
      <c r="AI79" s="7">
        <v>30</v>
      </c>
      <c r="AL79" s="7">
        <f t="shared" si="50"/>
        <v>55</v>
      </c>
    </row>
    <row r="80" spans="2:39" x14ac:dyDescent="0.15">
      <c r="B80" s="7">
        <v>76</v>
      </c>
      <c r="C80" s="7">
        <v>1601</v>
      </c>
      <c r="D80" s="7" t="s">
        <v>813</v>
      </c>
      <c r="E80" s="19" t="s">
        <v>965</v>
      </c>
      <c r="F80" s="7">
        <f t="shared" si="35"/>
        <v>160101</v>
      </c>
      <c r="G80" s="19" t="s">
        <v>1045</v>
      </c>
      <c r="H80" s="7" t="s">
        <v>990</v>
      </c>
      <c r="I80" s="7">
        <f t="shared" si="36"/>
        <v>56</v>
      </c>
      <c r="J80" s="7" t="str">
        <f t="shared" si="51"/>
        <v>光系</v>
      </c>
      <c r="K80" s="7">
        <v>30</v>
      </c>
      <c r="L80" s="7">
        <f t="shared" si="37"/>
        <v>160102</v>
      </c>
      <c r="M80" s="7" t="str">
        <f t="shared" si="53"/>
        <v>光魔晶</v>
      </c>
      <c r="N80" s="7" t="str">
        <f t="shared" si="52"/>
        <v>CB896AAA</v>
      </c>
      <c r="O80" s="7">
        <f t="shared" si="38"/>
        <v>49</v>
      </c>
      <c r="P80" s="19" t="str">
        <f t="shared" si="39"/>
        <v>光系</v>
      </c>
      <c r="Q80" s="7">
        <v>10</v>
      </c>
      <c r="R80" s="7">
        <f t="shared" si="40"/>
        <v>160103</v>
      </c>
      <c r="S80" s="19" t="str">
        <f t="shared" si="41"/>
        <v>光恶魔</v>
      </c>
      <c r="T80" s="7" t="str">
        <f t="shared" si="30"/>
        <v>CB853AAA</v>
      </c>
      <c r="U80" s="7">
        <f t="shared" si="42"/>
        <v>56</v>
      </c>
      <c r="V80" s="19" t="str">
        <f t="shared" si="43"/>
        <v>光系</v>
      </c>
      <c r="W80" s="7">
        <v>30</v>
      </c>
      <c r="X80" s="7">
        <f t="shared" si="44"/>
        <v>160104</v>
      </c>
      <c r="Y80" s="19" t="str">
        <f t="shared" si="45"/>
        <v xml:space="preserve">雷魔晶 </v>
      </c>
      <c r="Z80" s="7" t="str">
        <f t="shared" si="31"/>
        <v>CB898AAA</v>
      </c>
      <c r="AA80" s="7">
        <f t="shared" si="46"/>
        <v>56</v>
      </c>
      <c r="AB80" s="19" t="str">
        <f t="shared" si="32"/>
        <v>雷系</v>
      </c>
      <c r="AC80" s="7">
        <v>30</v>
      </c>
      <c r="AD80" s="7">
        <f t="shared" si="47"/>
        <v>160105</v>
      </c>
      <c r="AE80" s="19" t="str">
        <f t="shared" si="48"/>
        <v>水魔晶</v>
      </c>
      <c r="AF80" s="7" t="str">
        <f t="shared" si="33"/>
        <v>CB896AAA</v>
      </c>
      <c r="AG80" s="7">
        <f t="shared" si="49"/>
        <v>56</v>
      </c>
      <c r="AH80" s="19" t="str">
        <f t="shared" si="34"/>
        <v>水系</v>
      </c>
      <c r="AI80" s="7">
        <v>30</v>
      </c>
      <c r="AL80" s="7">
        <f t="shared" si="50"/>
        <v>56</v>
      </c>
    </row>
    <row r="81" spans="2:38" x14ac:dyDescent="0.15">
      <c r="B81" s="7">
        <v>77</v>
      </c>
      <c r="C81" s="7">
        <v>1602</v>
      </c>
      <c r="D81" s="7" t="s">
        <v>814</v>
      </c>
      <c r="E81" s="19" t="s">
        <v>965</v>
      </c>
      <c r="F81" s="7">
        <f t="shared" si="35"/>
        <v>160201</v>
      </c>
      <c r="G81" s="19" t="s">
        <v>1047</v>
      </c>
      <c r="H81" s="7" t="s">
        <v>1046</v>
      </c>
      <c r="I81" s="7">
        <f t="shared" si="36"/>
        <v>57</v>
      </c>
      <c r="J81" s="7" t="str">
        <f t="shared" si="51"/>
        <v>光系</v>
      </c>
      <c r="K81" s="7">
        <v>30</v>
      </c>
      <c r="L81" s="7">
        <f t="shared" si="37"/>
        <v>160202</v>
      </c>
      <c r="M81" s="7" t="str">
        <f t="shared" si="53"/>
        <v>光精灵</v>
      </c>
      <c r="N81" s="7" t="str">
        <f t="shared" si="52"/>
        <v>CB431AAA</v>
      </c>
      <c r="O81" s="7">
        <f t="shared" si="38"/>
        <v>50</v>
      </c>
      <c r="P81" s="19" t="str">
        <f t="shared" si="39"/>
        <v>光系</v>
      </c>
      <c r="Q81" s="7">
        <v>10</v>
      </c>
      <c r="R81" s="7">
        <f t="shared" si="40"/>
        <v>160203</v>
      </c>
      <c r="S81" s="19" t="str">
        <f t="shared" si="41"/>
        <v>光魔晶</v>
      </c>
      <c r="T81" s="7" t="str">
        <f t="shared" si="30"/>
        <v>CB896AAA</v>
      </c>
      <c r="U81" s="7">
        <f t="shared" si="42"/>
        <v>57</v>
      </c>
      <c r="V81" s="19" t="str">
        <f t="shared" si="43"/>
        <v>光系</v>
      </c>
      <c r="W81" s="7">
        <v>30</v>
      </c>
      <c r="X81" s="7">
        <f t="shared" si="44"/>
        <v>160204</v>
      </c>
      <c r="Y81" s="19" t="str">
        <f t="shared" si="45"/>
        <v>水之女护卫</v>
      </c>
      <c r="Z81" s="7" t="str">
        <f t="shared" si="31"/>
        <v>CB766AAA</v>
      </c>
      <c r="AA81" s="7">
        <f t="shared" si="46"/>
        <v>57</v>
      </c>
      <c r="AB81" s="19" t="str">
        <f t="shared" si="32"/>
        <v>水系</v>
      </c>
      <c r="AC81" s="7">
        <v>30</v>
      </c>
      <c r="AD81" s="7">
        <f t="shared" si="47"/>
        <v>160205</v>
      </c>
      <c r="AE81" s="19" t="str">
        <f t="shared" si="48"/>
        <v>恶灵</v>
      </c>
      <c r="AF81" s="7" t="str">
        <f t="shared" si="33"/>
        <v>CB956AAA</v>
      </c>
      <c r="AG81" s="7">
        <f t="shared" si="49"/>
        <v>57</v>
      </c>
      <c r="AH81" s="19" t="str">
        <f t="shared" si="34"/>
        <v>僵尸系</v>
      </c>
      <c r="AI81" s="7">
        <v>30</v>
      </c>
      <c r="AL81" s="7">
        <f t="shared" si="50"/>
        <v>57</v>
      </c>
    </row>
    <row r="82" spans="2:38" x14ac:dyDescent="0.15">
      <c r="B82" s="7">
        <v>78</v>
      </c>
      <c r="C82" s="7">
        <v>1603</v>
      </c>
      <c r="D82" s="7" t="s">
        <v>815</v>
      </c>
      <c r="E82" s="19" t="s">
        <v>965</v>
      </c>
      <c r="F82" s="7">
        <f t="shared" si="35"/>
        <v>160301</v>
      </c>
      <c r="G82" s="19" t="s">
        <v>1045</v>
      </c>
      <c r="H82" s="7" t="s">
        <v>990</v>
      </c>
      <c r="I82" s="7">
        <f t="shared" si="36"/>
        <v>57</v>
      </c>
      <c r="J82" s="7" t="str">
        <f t="shared" si="51"/>
        <v>光系</v>
      </c>
      <c r="K82" s="7">
        <v>30</v>
      </c>
      <c r="L82" s="7">
        <f t="shared" si="37"/>
        <v>160302</v>
      </c>
      <c r="M82" s="7" t="str">
        <f t="shared" si="53"/>
        <v>光之女护卫</v>
      </c>
      <c r="N82" s="7" t="str">
        <f t="shared" si="52"/>
        <v>CB767AAA</v>
      </c>
      <c r="O82" s="7">
        <f t="shared" si="38"/>
        <v>50</v>
      </c>
      <c r="P82" s="19" t="str">
        <f t="shared" si="39"/>
        <v>光系</v>
      </c>
      <c r="Q82" s="7">
        <v>10</v>
      </c>
      <c r="R82" s="7">
        <f t="shared" si="40"/>
        <v>160303</v>
      </c>
      <c r="S82" s="19" t="str">
        <f t="shared" si="41"/>
        <v>光精灵</v>
      </c>
      <c r="T82" s="7" t="str">
        <f t="shared" si="30"/>
        <v>CB431AAA</v>
      </c>
      <c r="U82" s="7">
        <f t="shared" si="42"/>
        <v>57</v>
      </c>
      <c r="V82" s="19" t="str">
        <f t="shared" si="43"/>
        <v>光系</v>
      </c>
      <c r="W82" s="7">
        <v>30</v>
      </c>
      <c r="X82" s="7">
        <f t="shared" si="44"/>
        <v>160304</v>
      </c>
      <c r="Y82" s="19" t="str">
        <f t="shared" si="45"/>
        <v>硬质魔球</v>
      </c>
      <c r="Z82" s="7" t="str">
        <f t="shared" si="31"/>
        <v>CB892AAA</v>
      </c>
      <c r="AA82" s="7">
        <f t="shared" si="46"/>
        <v>57</v>
      </c>
      <c r="AB82" s="19" t="str">
        <f t="shared" si="32"/>
        <v>金属系</v>
      </c>
      <c r="AC82" s="7">
        <v>30</v>
      </c>
      <c r="AD82" s="7">
        <f t="shared" si="47"/>
        <v>160305</v>
      </c>
      <c r="AE82" s="19" t="str">
        <f t="shared" si="48"/>
        <v>恐怖泥人</v>
      </c>
      <c r="AF82" s="7" t="str">
        <f t="shared" si="33"/>
        <v>CB411AAA</v>
      </c>
      <c r="AG82" s="7">
        <f t="shared" si="49"/>
        <v>57</v>
      </c>
      <c r="AH82" s="19" t="str">
        <f t="shared" si="34"/>
        <v>僵尸系</v>
      </c>
      <c r="AI82" s="7">
        <v>30</v>
      </c>
      <c r="AL82" s="7">
        <f t="shared" si="50"/>
        <v>57</v>
      </c>
    </row>
    <row r="83" spans="2:38" x14ac:dyDescent="0.15">
      <c r="B83" s="7">
        <v>79</v>
      </c>
      <c r="C83" s="7">
        <v>1604</v>
      </c>
      <c r="D83" s="7" t="s">
        <v>816</v>
      </c>
      <c r="E83" s="19" t="s">
        <v>965</v>
      </c>
      <c r="F83" s="7">
        <f t="shared" si="35"/>
        <v>160401</v>
      </c>
      <c r="G83" s="19" t="s">
        <v>1047</v>
      </c>
      <c r="H83" s="7" t="s">
        <v>1046</v>
      </c>
      <c r="I83" s="7">
        <f t="shared" si="36"/>
        <v>58</v>
      </c>
      <c r="J83" s="7" t="str">
        <f t="shared" si="51"/>
        <v>光系</v>
      </c>
      <c r="K83" s="7">
        <v>30</v>
      </c>
      <c r="L83" s="7">
        <f t="shared" si="37"/>
        <v>160402</v>
      </c>
      <c r="M83" s="7" t="str">
        <f t="shared" si="53"/>
        <v>光精灵</v>
      </c>
      <c r="N83" s="7" t="str">
        <f t="shared" si="52"/>
        <v>CB431AAA</v>
      </c>
      <c r="O83" s="7">
        <f t="shared" si="38"/>
        <v>51</v>
      </c>
      <c r="P83" s="19" t="str">
        <f t="shared" si="39"/>
        <v>光系</v>
      </c>
      <c r="Q83" s="7">
        <v>10</v>
      </c>
      <c r="R83" s="7">
        <f t="shared" si="40"/>
        <v>160403</v>
      </c>
      <c r="S83" s="19" t="str">
        <f t="shared" si="41"/>
        <v>光魔鬼</v>
      </c>
      <c r="T83" s="7" t="str">
        <f t="shared" si="30"/>
        <v>CB432AAA</v>
      </c>
      <c r="U83" s="7">
        <f t="shared" si="42"/>
        <v>58</v>
      </c>
      <c r="V83" s="19" t="str">
        <f t="shared" si="43"/>
        <v>光系</v>
      </c>
      <c r="W83" s="7">
        <v>30</v>
      </c>
      <c r="X83" s="7">
        <f t="shared" si="44"/>
        <v>160404</v>
      </c>
      <c r="Y83" s="19" t="str">
        <f t="shared" si="45"/>
        <v>水之女护卫</v>
      </c>
      <c r="Z83" s="7" t="str">
        <f t="shared" si="31"/>
        <v>CB766AAA</v>
      </c>
      <c r="AA83" s="7">
        <f t="shared" si="46"/>
        <v>58</v>
      </c>
      <c r="AB83" s="19" t="str">
        <f t="shared" si="32"/>
        <v>水系</v>
      </c>
      <c r="AC83" s="7">
        <v>30</v>
      </c>
      <c r="AD83" s="7">
        <f t="shared" si="47"/>
        <v>160405</v>
      </c>
      <c r="AE83" s="19" t="str">
        <f t="shared" si="48"/>
        <v>青色独眼巨人</v>
      </c>
      <c r="AF83" s="7" t="str">
        <f t="shared" si="33"/>
        <v>CB376AAA</v>
      </c>
      <c r="AG83" s="7">
        <f t="shared" si="49"/>
        <v>58</v>
      </c>
      <c r="AH83" s="19" t="str">
        <f t="shared" si="34"/>
        <v>土系</v>
      </c>
      <c r="AI83" s="7">
        <v>30</v>
      </c>
      <c r="AL83" s="7">
        <f t="shared" si="50"/>
        <v>58</v>
      </c>
    </row>
    <row r="84" spans="2:38" x14ac:dyDescent="0.15">
      <c r="B84" s="7">
        <v>80</v>
      </c>
      <c r="C84" s="7">
        <v>1605</v>
      </c>
      <c r="D84" s="7" t="s">
        <v>817</v>
      </c>
      <c r="E84" s="19" t="s">
        <v>965</v>
      </c>
      <c r="F84" s="7">
        <f t="shared" si="35"/>
        <v>160501</v>
      </c>
      <c r="G84" s="19" t="s">
        <v>1049</v>
      </c>
      <c r="H84" s="7" t="s">
        <v>1048</v>
      </c>
      <c r="I84" s="7">
        <f t="shared" si="36"/>
        <v>59</v>
      </c>
      <c r="J84" s="7" t="str">
        <f t="shared" si="51"/>
        <v>光系</v>
      </c>
      <c r="K84" s="7">
        <v>30</v>
      </c>
      <c r="L84" s="7">
        <f t="shared" si="37"/>
        <v>160502</v>
      </c>
      <c r="M84" s="7" t="str">
        <f t="shared" si="53"/>
        <v>光魔鬼</v>
      </c>
      <c r="N84" s="7" t="str">
        <f t="shared" si="52"/>
        <v>CB432AAA</v>
      </c>
      <c r="O84" s="7">
        <f t="shared" si="38"/>
        <v>52</v>
      </c>
      <c r="P84" s="19" t="str">
        <f t="shared" si="39"/>
        <v>光系</v>
      </c>
      <c r="Q84" s="7">
        <v>10</v>
      </c>
      <c r="R84" s="7">
        <f t="shared" si="40"/>
        <v>160503</v>
      </c>
      <c r="S84" s="19" t="str">
        <f t="shared" si="41"/>
        <v>光精灵</v>
      </c>
      <c r="T84" s="7" t="str">
        <f t="shared" si="30"/>
        <v>CB431AAA</v>
      </c>
      <c r="U84" s="7">
        <f t="shared" si="42"/>
        <v>59</v>
      </c>
      <c r="V84" s="19" t="str">
        <f t="shared" si="43"/>
        <v>光系</v>
      </c>
      <c r="W84" s="7">
        <v>30</v>
      </c>
      <c r="X84" s="7">
        <f t="shared" si="44"/>
        <v>160504</v>
      </c>
      <c r="Y84" s="19" t="str">
        <f t="shared" si="45"/>
        <v>黑暗石鱼</v>
      </c>
      <c r="Z84" s="7" t="str">
        <f t="shared" si="31"/>
        <v>CB632AAA</v>
      </c>
      <c r="AA84" s="7">
        <f t="shared" si="46"/>
        <v>59</v>
      </c>
      <c r="AB84" s="19" t="str">
        <f t="shared" si="32"/>
        <v>暗系</v>
      </c>
      <c r="AC84" s="7">
        <v>30</v>
      </c>
      <c r="AD84" s="7">
        <f t="shared" si="47"/>
        <v>160505</v>
      </c>
      <c r="AE84" s="19" t="str">
        <f t="shared" si="48"/>
        <v>恶灵</v>
      </c>
      <c r="AF84" s="7" t="str">
        <f t="shared" si="33"/>
        <v>CB956AAA</v>
      </c>
      <c r="AG84" s="7">
        <f t="shared" si="49"/>
        <v>59</v>
      </c>
      <c r="AH84" s="19" t="str">
        <f t="shared" si="34"/>
        <v>僵尸系</v>
      </c>
      <c r="AI84" s="7">
        <v>30</v>
      </c>
      <c r="AL84" s="7">
        <f t="shared" si="50"/>
        <v>59</v>
      </c>
    </row>
    <row r="85" spans="2:38" x14ac:dyDescent="0.15">
      <c r="B85" s="7">
        <v>81</v>
      </c>
      <c r="C85" s="7">
        <v>1701</v>
      </c>
      <c r="D85" s="7" t="s">
        <v>818</v>
      </c>
      <c r="E85" s="19" t="s">
        <v>958</v>
      </c>
      <c r="F85" s="7">
        <f t="shared" si="35"/>
        <v>170101</v>
      </c>
      <c r="G85" s="19" t="s">
        <v>1051</v>
      </c>
      <c r="H85" s="7" t="s">
        <v>1050</v>
      </c>
      <c r="I85" s="7">
        <f t="shared" si="36"/>
        <v>60</v>
      </c>
      <c r="J85" s="7" t="str">
        <f t="shared" si="51"/>
        <v>水系</v>
      </c>
      <c r="K85" s="7">
        <v>30</v>
      </c>
      <c r="L85" s="7">
        <f t="shared" si="37"/>
        <v>170102</v>
      </c>
      <c r="M85" s="7" t="str">
        <f t="shared" si="53"/>
        <v>愤怒湖灵</v>
      </c>
      <c r="N85" s="7" t="str">
        <f t="shared" si="52"/>
        <v>CB403AAA</v>
      </c>
      <c r="O85" s="7">
        <f t="shared" si="38"/>
        <v>52</v>
      </c>
      <c r="P85" s="19" t="str">
        <f t="shared" si="39"/>
        <v>水系</v>
      </c>
      <c r="Q85" s="7">
        <v>10</v>
      </c>
      <c r="R85" s="7">
        <f t="shared" si="40"/>
        <v>170103</v>
      </c>
      <c r="S85" s="19" t="str">
        <f t="shared" si="41"/>
        <v>水恶魔</v>
      </c>
      <c r="T85" s="7" t="str">
        <f t="shared" si="30"/>
        <v>CB852AAA</v>
      </c>
      <c r="U85" s="7">
        <f t="shared" si="42"/>
        <v>60</v>
      </c>
      <c r="V85" s="19" t="str">
        <f t="shared" si="43"/>
        <v>水系</v>
      </c>
      <c r="W85" s="7">
        <v>30</v>
      </c>
      <c r="X85" s="7">
        <f t="shared" si="44"/>
        <v>170104</v>
      </c>
      <c r="Y85" s="19" t="str">
        <f t="shared" si="45"/>
        <v>翼龙兽</v>
      </c>
      <c r="Z85" s="7" t="str">
        <f t="shared" si="31"/>
        <v>CB736AAA</v>
      </c>
      <c r="AA85" s="7">
        <f t="shared" si="46"/>
        <v>60</v>
      </c>
      <c r="AB85" s="19" t="str">
        <f t="shared" si="32"/>
        <v>龙系</v>
      </c>
      <c r="AC85" s="7">
        <v>30</v>
      </c>
      <c r="AD85" s="7">
        <f t="shared" si="47"/>
        <v>170105</v>
      </c>
      <c r="AE85" s="19" t="str">
        <f t="shared" si="48"/>
        <v>土色独眼巨人</v>
      </c>
      <c r="AF85" s="7" t="str">
        <f t="shared" si="33"/>
        <v>CB371AAA</v>
      </c>
      <c r="AG85" s="7">
        <f t="shared" si="49"/>
        <v>60</v>
      </c>
      <c r="AH85" s="19" t="str">
        <f t="shared" si="34"/>
        <v>土系</v>
      </c>
      <c r="AI85" s="7">
        <v>30</v>
      </c>
      <c r="AL85" s="7">
        <f t="shared" si="50"/>
        <v>60</v>
      </c>
    </row>
    <row r="86" spans="2:38" x14ac:dyDescent="0.15">
      <c r="B86" s="7">
        <v>82</v>
      </c>
      <c r="C86" s="7">
        <v>1702</v>
      </c>
      <c r="D86" s="7" t="s">
        <v>819</v>
      </c>
      <c r="E86" s="19" t="s">
        <v>958</v>
      </c>
      <c r="F86" s="7">
        <f t="shared" si="35"/>
        <v>170201</v>
      </c>
      <c r="G86" s="19" t="s">
        <v>1053</v>
      </c>
      <c r="H86" s="7" t="s">
        <v>1052</v>
      </c>
      <c r="I86" s="7">
        <f t="shared" si="36"/>
        <v>60</v>
      </c>
      <c r="J86" s="7" t="str">
        <f t="shared" si="51"/>
        <v>水系</v>
      </c>
      <c r="K86" s="7">
        <v>30</v>
      </c>
      <c r="L86" s="7">
        <f t="shared" si="37"/>
        <v>170202</v>
      </c>
      <c r="M86" s="7" t="str">
        <f t="shared" si="53"/>
        <v>水之女护卫</v>
      </c>
      <c r="N86" s="7" t="str">
        <f t="shared" si="52"/>
        <v>CB766AAA</v>
      </c>
      <c r="O86" s="7">
        <f t="shared" si="38"/>
        <v>53</v>
      </c>
      <c r="P86" s="19" t="str">
        <f t="shared" si="39"/>
        <v>水系</v>
      </c>
      <c r="Q86" s="7">
        <v>10</v>
      </c>
      <c r="R86" s="7">
        <f t="shared" si="40"/>
        <v>170203</v>
      </c>
      <c r="S86" s="19" t="str">
        <f t="shared" si="41"/>
        <v>愤怒湖灵</v>
      </c>
      <c r="T86" s="7" t="str">
        <f t="shared" si="30"/>
        <v>CB403AAA</v>
      </c>
      <c r="U86" s="7">
        <f t="shared" si="42"/>
        <v>60</v>
      </c>
      <c r="V86" s="19" t="str">
        <f t="shared" si="43"/>
        <v>水系</v>
      </c>
      <c r="W86" s="7">
        <v>30</v>
      </c>
      <c r="X86" s="7">
        <f t="shared" si="44"/>
        <v>170204</v>
      </c>
      <c r="Y86" s="19" t="str">
        <f t="shared" si="45"/>
        <v>硬质魔球</v>
      </c>
      <c r="Z86" s="7" t="str">
        <f t="shared" si="31"/>
        <v>CB892AAA</v>
      </c>
      <c r="AA86" s="7">
        <f t="shared" si="46"/>
        <v>60</v>
      </c>
      <c r="AB86" s="19" t="str">
        <f t="shared" si="32"/>
        <v>金属系</v>
      </c>
      <c r="AC86" s="7">
        <v>30</v>
      </c>
      <c r="AD86" s="7">
        <f t="shared" si="47"/>
        <v>170205</v>
      </c>
      <c r="AE86" s="19" t="str">
        <f t="shared" si="48"/>
        <v>黑暗盗贼</v>
      </c>
      <c r="AF86" s="7" t="str">
        <f t="shared" si="33"/>
        <v>CB225AAA</v>
      </c>
      <c r="AG86" s="7">
        <f t="shared" si="49"/>
        <v>60</v>
      </c>
      <c r="AH86" s="19" t="str">
        <f t="shared" si="34"/>
        <v>暗系</v>
      </c>
      <c r="AI86" s="7">
        <v>30</v>
      </c>
      <c r="AL86" s="7">
        <f t="shared" si="50"/>
        <v>60</v>
      </c>
    </row>
    <row r="87" spans="2:38" x14ac:dyDescent="0.15">
      <c r="B87" s="7">
        <v>83</v>
      </c>
      <c r="C87" s="7">
        <v>1703</v>
      </c>
      <c r="D87" s="7" t="s">
        <v>820</v>
      </c>
      <c r="E87" s="19" t="s">
        <v>894</v>
      </c>
      <c r="F87" s="7">
        <f t="shared" si="35"/>
        <v>170301</v>
      </c>
      <c r="G87" s="19" t="s">
        <v>1055</v>
      </c>
      <c r="H87" s="7" t="s">
        <v>1054</v>
      </c>
      <c r="I87" s="7">
        <f t="shared" si="36"/>
        <v>61</v>
      </c>
      <c r="J87" s="7" t="str">
        <f t="shared" si="51"/>
        <v>飞行系</v>
      </c>
      <c r="K87" s="7">
        <v>30</v>
      </c>
      <c r="L87" s="7">
        <f t="shared" si="37"/>
        <v>170302</v>
      </c>
      <c r="M87" s="7" t="str">
        <f t="shared" si="53"/>
        <v>愤怒蝙蝠</v>
      </c>
      <c r="N87" s="7" t="str">
        <f t="shared" si="52"/>
        <v>CB742AAA</v>
      </c>
      <c r="O87" s="7">
        <f t="shared" si="38"/>
        <v>53</v>
      </c>
      <c r="P87" s="19" t="str">
        <f t="shared" si="39"/>
        <v>飞行系</v>
      </c>
      <c r="Q87" s="7">
        <v>10</v>
      </c>
      <c r="R87" s="7">
        <f t="shared" si="40"/>
        <v>170303</v>
      </c>
      <c r="S87" s="19" t="str">
        <f t="shared" si="41"/>
        <v>恶魔</v>
      </c>
      <c r="T87" s="7" t="str">
        <f t="shared" si="30"/>
        <v>CB507AAA</v>
      </c>
      <c r="U87" s="7">
        <f t="shared" si="42"/>
        <v>61</v>
      </c>
      <c r="V87" s="19" t="str">
        <f t="shared" si="43"/>
        <v>飞行系</v>
      </c>
      <c r="W87" s="7">
        <v>30</v>
      </c>
      <c r="X87" s="7">
        <f t="shared" si="44"/>
        <v>170304</v>
      </c>
      <c r="Y87" s="19" t="str">
        <f t="shared" si="45"/>
        <v>忍者土匪</v>
      </c>
      <c r="Z87" s="7" t="str">
        <f t="shared" si="31"/>
        <v>CB223AAA</v>
      </c>
      <c r="AA87" s="7">
        <f t="shared" si="46"/>
        <v>61</v>
      </c>
      <c r="AB87" s="19" t="str">
        <f t="shared" si="32"/>
        <v>雷系</v>
      </c>
      <c r="AC87" s="7">
        <v>30</v>
      </c>
      <c r="AD87" s="7">
        <f t="shared" si="47"/>
        <v>170305</v>
      </c>
      <c r="AE87" s="19" t="str">
        <f t="shared" si="48"/>
        <v>铁甲土匪</v>
      </c>
      <c r="AF87" s="7" t="str">
        <f t="shared" si="33"/>
        <v>CB222AAA</v>
      </c>
      <c r="AG87" s="7">
        <f t="shared" si="49"/>
        <v>61</v>
      </c>
      <c r="AH87" s="19" t="str">
        <f t="shared" si="34"/>
        <v>金属系</v>
      </c>
      <c r="AI87" s="7">
        <v>30</v>
      </c>
      <c r="AL87" s="7">
        <f t="shared" si="50"/>
        <v>61</v>
      </c>
    </row>
    <row r="88" spans="2:38" x14ac:dyDescent="0.15">
      <c r="B88" s="7">
        <v>84</v>
      </c>
      <c r="C88" s="7">
        <v>1704</v>
      </c>
      <c r="D88" s="7" t="s">
        <v>821</v>
      </c>
      <c r="E88" s="19" t="s">
        <v>894</v>
      </c>
      <c r="F88" s="7">
        <f t="shared" si="35"/>
        <v>170401</v>
      </c>
      <c r="G88" s="19" t="s">
        <v>1056</v>
      </c>
      <c r="H88" s="7" t="s">
        <v>970</v>
      </c>
      <c r="I88" s="7">
        <f t="shared" si="36"/>
        <v>62</v>
      </c>
      <c r="J88" s="7" t="str">
        <f t="shared" si="51"/>
        <v>飞行系</v>
      </c>
      <c r="K88" s="7">
        <v>30</v>
      </c>
      <c r="L88" s="7">
        <f t="shared" si="37"/>
        <v>170402</v>
      </c>
      <c r="M88" s="7" t="str">
        <f t="shared" si="53"/>
        <v>恶魔蝙蝠</v>
      </c>
      <c r="N88" s="7" t="str">
        <f t="shared" si="52"/>
        <v>CB742AAA</v>
      </c>
      <c r="O88" s="7">
        <f t="shared" si="38"/>
        <v>54</v>
      </c>
      <c r="P88" s="19" t="str">
        <f t="shared" si="39"/>
        <v>飞行系</v>
      </c>
      <c r="Q88" s="7">
        <v>10</v>
      </c>
      <c r="R88" s="7">
        <f t="shared" si="40"/>
        <v>170403</v>
      </c>
      <c r="S88" s="19" t="str">
        <f t="shared" si="41"/>
        <v>魔鬼幽魂</v>
      </c>
      <c r="T88" s="7" t="str">
        <f t="shared" si="30"/>
        <v>CB811AAA</v>
      </c>
      <c r="U88" s="7">
        <f t="shared" si="42"/>
        <v>62</v>
      </c>
      <c r="V88" s="19" t="str">
        <f t="shared" si="43"/>
        <v>飞行系</v>
      </c>
      <c r="W88" s="7">
        <v>30</v>
      </c>
      <c r="X88" s="7">
        <f t="shared" si="44"/>
        <v>170404</v>
      </c>
      <c r="Y88" s="19" t="str">
        <f t="shared" si="45"/>
        <v>魔鬼幽魂</v>
      </c>
      <c r="Z88" s="7" t="str">
        <f t="shared" si="31"/>
        <v>CB811AAA</v>
      </c>
      <c r="AA88" s="7">
        <f t="shared" si="46"/>
        <v>62</v>
      </c>
      <c r="AB88" s="19" t="str">
        <f t="shared" si="32"/>
        <v>飞行系</v>
      </c>
      <c r="AC88" s="7">
        <v>30</v>
      </c>
      <c r="AD88" s="7">
        <f t="shared" si="47"/>
        <v>170405</v>
      </c>
      <c r="AE88" s="19" t="str">
        <f t="shared" si="48"/>
        <v>飞蛇</v>
      </c>
      <c r="AF88" s="7" t="str">
        <f t="shared" si="33"/>
        <v>CB734AAA</v>
      </c>
      <c r="AG88" s="7">
        <f t="shared" si="49"/>
        <v>62</v>
      </c>
      <c r="AH88" s="19" t="str">
        <f t="shared" si="34"/>
        <v>飞行系</v>
      </c>
      <c r="AI88" s="7">
        <v>30</v>
      </c>
      <c r="AL88" s="7">
        <f t="shared" si="50"/>
        <v>62</v>
      </c>
    </row>
    <row r="89" spans="2:38" x14ac:dyDescent="0.15">
      <c r="B89" s="7">
        <v>85</v>
      </c>
      <c r="C89" s="7">
        <v>1705</v>
      </c>
      <c r="D89" s="7" t="s">
        <v>822</v>
      </c>
      <c r="E89" s="19" t="s">
        <v>894</v>
      </c>
      <c r="F89" s="7">
        <f t="shared" si="35"/>
        <v>170501</v>
      </c>
      <c r="G89" s="19" t="s">
        <v>1058</v>
      </c>
      <c r="H89" s="7" t="s">
        <v>1057</v>
      </c>
      <c r="I89" s="7">
        <f t="shared" si="36"/>
        <v>62</v>
      </c>
      <c r="J89" s="7" t="str">
        <f t="shared" si="51"/>
        <v>飞行系</v>
      </c>
      <c r="K89" s="7">
        <v>30</v>
      </c>
      <c r="L89" s="7">
        <f t="shared" si="37"/>
        <v>170502</v>
      </c>
      <c r="M89" s="7" t="str">
        <f t="shared" si="53"/>
        <v>魔鬼幽魂</v>
      </c>
      <c r="N89" s="7" t="str">
        <f t="shared" si="52"/>
        <v>CB811AAA</v>
      </c>
      <c r="O89" s="7">
        <f t="shared" si="38"/>
        <v>55</v>
      </c>
      <c r="P89" s="19" t="str">
        <f t="shared" si="39"/>
        <v>飞行系</v>
      </c>
      <c r="Q89" s="7">
        <v>10</v>
      </c>
      <c r="R89" s="7">
        <f t="shared" si="40"/>
        <v>170503</v>
      </c>
      <c r="S89" s="19" t="str">
        <f t="shared" si="41"/>
        <v>魔鬼鱼</v>
      </c>
      <c r="T89" s="7" t="str">
        <f t="shared" si="30"/>
        <v>CB633AAA</v>
      </c>
      <c r="U89" s="7">
        <f t="shared" si="42"/>
        <v>62</v>
      </c>
      <c r="V89" s="19" t="str">
        <f t="shared" si="43"/>
        <v>飞行系</v>
      </c>
      <c r="W89" s="7">
        <v>30</v>
      </c>
      <c r="X89" s="7">
        <f t="shared" si="44"/>
        <v>170504</v>
      </c>
      <c r="Y89" s="19" t="str">
        <f t="shared" si="45"/>
        <v>光精灵</v>
      </c>
      <c r="Z89" s="7" t="str">
        <f t="shared" si="31"/>
        <v>CB431AAA</v>
      </c>
      <c r="AA89" s="7">
        <f t="shared" si="46"/>
        <v>62</v>
      </c>
      <c r="AB89" s="19" t="str">
        <f t="shared" si="32"/>
        <v>光系</v>
      </c>
      <c r="AC89" s="7">
        <v>30</v>
      </c>
      <c r="AD89" s="7">
        <f t="shared" si="47"/>
        <v>170505</v>
      </c>
      <c r="AE89" s="19" t="str">
        <f t="shared" si="48"/>
        <v xml:space="preserve">雷魔晶 </v>
      </c>
      <c r="AF89" s="7" t="str">
        <f t="shared" si="33"/>
        <v>CB898AAA</v>
      </c>
      <c r="AG89" s="7">
        <f t="shared" si="49"/>
        <v>62</v>
      </c>
      <c r="AH89" s="19" t="str">
        <f t="shared" si="34"/>
        <v>雷系</v>
      </c>
      <c r="AI89" s="7">
        <v>30</v>
      </c>
      <c r="AL89" s="7">
        <f t="shared" si="50"/>
        <v>62</v>
      </c>
    </row>
    <row r="90" spans="2:38" x14ac:dyDescent="0.15">
      <c r="B90" s="7">
        <v>86</v>
      </c>
      <c r="C90" s="7">
        <v>1801</v>
      </c>
      <c r="D90" s="7" t="s">
        <v>823</v>
      </c>
      <c r="E90" s="19" t="s">
        <v>961</v>
      </c>
      <c r="F90" s="7">
        <f t="shared" si="35"/>
        <v>180101</v>
      </c>
      <c r="G90" s="19" t="s">
        <v>1060</v>
      </c>
      <c r="H90" s="7" t="s">
        <v>1059</v>
      </c>
      <c r="I90" s="7">
        <f t="shared" si="36"/>
        <v>63</v>
      </c>
      <c r="J90" s="7" t="str">
        <f t="shared" si="51"/>
        <v>金属系</v>
      </c>
      <c r="K90" s="7">
        <v>30</v>
      </c>
      <c r="L90" s="7">
        <f t="shared" si="37"/>
        <v>180102</v>
      </c>
      <c r="M90" s="7" t="str">
        <f t="shared" si="53"/>
        <v>铁甲土匪</v>
      </c>
      <c r="N90" s="7" t="str">
        <f t="shared" si="52"/>
        <v>CB222AAA</v>
      </c>
      <c r="O90" s="7">
        <f t="shared" si="38"/>
        <v>55</v>
      </c>
      <c r="P90" s="19" t="str">
        <f t="shared" si="39"/>
        <v>金属系</v>
      </c>
      <c r="Q90" s="7">
        <v>10</v>
      </c>
      <c r="R90" s="7">
        <f t="shared" si="40"/>
        <v>180103</v>
      </c>
      <c r="S90" s="19" t="str">
        <f t="shared" si="41"/>
        <v>小恶魔</v>
      </c>
      <c r="T90" s="7" t="str">
        <f t="shared" si="30"/>
        <v>CB357AAA</v>
      </c>
      <c r="U90" s="7">
        <f t="shared" si="42"/>
        <v>63</v>
      </c>
      <c r="V90" s="19" t="str">
        <f t="shared" si="43"/>
        <v>金属系</v>
      </c>
      <c r="W90" s="7">
        <v>30</v>
      </c>
      <c r="X90" s="7">
        <f t="shared" si="44"/>
        <v>180104</v>
      </c>
      <c r="Y90" s="19" t="str">
        <f t="shared" si="45"/>
        <v>铁甲土匪</v>
      </c>
      <c r="Z90" s="7" t="str">
        <f t="shared" si="31"/>
        <v>CB222AAA</v>
      </c>
      <c r="AA90" s="7">
        <f t="shared" si="46"/>
        <v>63</v>
      </c>
      <c r="AB90" s="19" t="str">
        <f t="shared" si="32"/>
        <v>金属系</v>
      </c>
      <c r="AC90" s="7">
        <v>30</v>
      </c>
      <c r="AD90" s="7">
        <f t="shared" si="47"/>
        <v>180105</v>
      </c>
      <c r="AE90" s="19" t="str">
        <f t="shared" si="48"/>
        <v>炎魔晶</v>
      </c>
      <c r="AF90" s="7" t="str">
        <f t="shared" si="33"/>
        <v>CB897AAA</v>
      </c>
      <c r="AG90" s="7">
        <f t="shared" si="49"/>
        <v>63</v>
      </c>
      <c r="AH90" s="19" t="str">
        <f t="shared" si="34"/>
        <v>火系</v>
      </c>
      <c r="AI90" s="7">
        <v>30</v>
      </c>
      <c r="AL90" s="7">
        <f t="shared" si="50"/>
        <v>63</v>
      </c>
    </row>
    <row r="91" spans="2:38" x14ac:dyDescent="0.15">
      <c r="B91" s="7">
        <v>87</v>
      </c>
      <c r="C91" s="7">
        <v>1802</v>
      </c>
      <c r="D91" s="7" t="s">
        <v>824</v>
      </c>
      <c r="E91" s="19" t="s">
        <v>961</v>
      </c>
      <c r="F91" s="7">
        <f t="shared" si="35"/>
        <v>180201</v>
      </c>
      <c r="G91" s="19" t="s">
        <v>1021</v>
      </c>
      <c r="H91" s="7" t="s">
        <v>1020</v>
      </c>
      <c r="I91" s="7">
        <f t="shared" si="36"/>
        <v>64</v>
      </c>
      <c r="J91" s="7" t="str">
        <f t="shared" si="51"/>
        <v>金属系</v>
      </c>
      <c r="K91" s="7">
        <v>30</v>
      </c>
      <c r="L91" s="7">
        <f t="shared" si="37"/>
        <v>180202</v>
      </c>
      <c r="M91" s="7" t="str">
        <f t="shared" si="53"/>
        <v>钢铁巨人</v>
      </c>
      <c r="N91" s="7" t="str">
        <f t="shared" si="52"/>
        <v>CB373AAA</v>
      </c>
      <c r="O91" s="7">
        <f t="shared" si="38"/>
        <v>56</v>
      </c>
      <c r="P91" s="19" t="str">
        <f t="shared" si="39"/>
        <v>金属系</v>
      </c>
      <c r="Q91" s="7">
        <v>10</v>
      </c>
      <c r="R91" s="7">
        <f t="shared" si="40"/>
        <v>180203</v>
      </c>
      <c r="S91" s="19" t="str">
        <f t="shared" si="41"/>
        <v>钢铁巨人</v>
      </c>
      <c r="T91" s="7" t="str">
        <f t="shared" si="30"/>
        <v>CB373AAA</v>
      </c>
      <c r="U91" s="7">
        <f t="shared" si="42"/>
        <v>64</v>
      </c>
      <c r="V91" s="19" t="str">
        <f t="shared" si="43"/>
        <v>金属系</v>
      </c>
      <c r="W91" s="7">
        <v>30</v>
      </c>
      <c r="X91" s="7">
        <f t="shared" si="44"/>
        <v>180204</v>
      </c>
      <c r="Y91" s="19" t="str">
        <f t="shared" si="45"/>
        <v>光精灵</v>
      </c>
      <c r="Z91" s="7" t="str">
        <f t="shared" si="31"/>
        <v>CB431AAA</v>
      </c>
      <c r="AA91" s="7">
        <f t="shared" si="46"/>
        <v>64</v>
      </c>
      <c r="AB91" s="19" t="str">
        <f t="shared" si="32"/>
        <v>光系</v>
      </c>
      <c r="AC91" s="7">
        <v>30</v>
      </c>
      <c r="AD91" s="7">
        <f t="shared" si="47"/>
        <v>180205</v>
      </c>
      <c r="AE91" s="19" t="str">
        <f t="shared" si="48"/>
        <v>粘稠怪</v>
      </c>
      <c r="AF91" s="7" t="str">
        <f t="shared" si="33"/>
        <v>CB764AAA</v>
      </c>
      <c r="AG91" s="7">
        <f t="shared" si="49"/>
        <v>64</v>
      </c>
      <c r="AH91" s="19" t="str">
        <f t="shared" si="34"/>
        <v>火系</v>
      </c>
      <c r="AI91" s="7">
        <v>30</v>
      </c>
      <c r="AL91" s="7">
        <f t="shared" si="50"/>
        <v>64</v>
      </c>
    </row>
    <row r="92" spans="2:38" x14ac:dyDescent="0.15">
      <c r="B92" s="7">
        <v>88</v>
      </c>
      <c r="C92" s="7">
        <v>1803</v>
      </c>
      <c r="D92" s="7" t="s">
        <v>825</v>
      </c>
      <c r="E92" s="19" t="s">
        <v>961</v>
      </c>
      <c r="F92" s="7">
        <f t="shared" si="35"/>
        <v>180301</v>
      </c>
      <c r="G92" s="19" t="s">
        <v>1062</v>
      </c>
      <c r="H92" s="7" t="s">
        <v>1061</v>
      </c>
      <c r="I92" s="7">
        <f t="shared" si="36"/>
        <v>64</v>
      </c>
      <c r="J92" s="7" t="str">
        <f t="shared" si="51"/>
        <v>金属系</v>
      </c>
      <c r="K92" s="7">
        <v>30</v>
      </c>
      <c r="L92" s="7">
        <f t="shared" si="37"/>
        <v>180302</v>
      </c>
      <c r="M92" s="7" t="str">
        <f t="shared" si="53"/>
        <v>小恶魔</v>
      </c>
      <c r="N92" s="7" t="str">
        <f t="shared" si="52"/>
        <v>CB357AAA</v>
      </c>
      <c r="O92" s="7">
        <f t="shared" si="38"/>
        <v>56</v>
      </c>
      <c r="P92" s="19" t="str">
        <f t="shared" si="39"/>
        <v>金属系</v>
      </c>
      <c r="Q92" s="7">
        <v>10</v>
      </c>
      <c r="R92" s="7">
        <f t="shared" si="40"/>
        <v>180303</v>
      </c>
      <c r="S92" s="19" t="str">
        <f t="shared" si="41"/>
        <v>铠甲怪</v>
      </c>
      <c r="T92" s="7" t="str">
        <f t="shared" si="30"/>
        <v>CB862AAA</v>
      </c>
      <c r="U92" s="7">
        <f t="shared" si="42"/>
        <v>64</v>
      </c>
      <c r="V92" s="19" t="str">
        <f t="shared" si="43"/>
        <v>金属系</v>
      </c>
      <c r="W92" s="7">
        <v>30</v>
      </c>
      <c r="X92" s="7">
        <f t="shared" si="44"/>
        <v>180304</v>
      </c>
      <c r="Y92" s="19" t="str">
        <f t="shared" si="45"/>
        <v>僵硬蟒蛇</v>
      </c>
      <c r="Z92" s="7" t="str">
        <f t="shared" si="31"/>
        <v>CB732AAA</v>
      </c>
      <c r="AA92" s="7">
        <f t="shared" si="46"/>
        <v>64</v>
      </c>
      <c r="AB92" s="19" t="str">
        <f t="shared" si="32"/>
        <v>僵尸系</v>
      </c>
      <c r="AC92" s="7">
        <v>30</v>
      </c>
      <c r="AD92" s="7">
        <f t="shared" si="47"/>
        <v>180305</v>
      </c>
      <c r="AE92" s="19" t="str">
        <f t="shared" si="48"/>
        <v>飞蛇</v>
      </c>
      <c r="AF92" s="7" t="str">
        <f t="shared" si="33"/>
        <v>CB734AAA</v>
      </c>
      <c r="AG92" s="7">
        <f t="shared" si="49"/>
        <v>64</v>
      </c>
      <c r="AH92" s="19" t="str">
        <f t="shared" si="34"/>
        <v>飞行系</v>
      </c>
      <c r="AI92" s="7">
        <v>30</v>
      </c>
      <c r="AL92" s="7">
        <f t="shared" si="50"/>
        <v>64</v>
      </c>
    </row>
    <row r="93" spans="2:38" x14ac:dyDescent="0.15">
      <c r="B93" s="7">
        <v>89</v>
      </c>
      <c r="C93" s="7">
        <v>1804</v>
      </c>
      <c r="D93" s="7" t="s">
        <v>826</v>
      </c>
      <c r="E93" s="19" t="s">
        <v>961</v>
      </c>
      <c r="F93" s="7">
        <f t="shared" si="35"/>
        <v>180401</v>
      </c>
      <c r="G93" s="19" t="s">
        <v>1060</v>
      </c>
      <c r="H93" s="7" t="s">
        <v>1059</v>
      </c>
      <c r="I93" s="7">
        <f t="shared" si="36"/>
        <v>65</v>
      </c>
      <c r="J93" s="7" t="str">
        <f t="shared" si="51"/>
        <v>金属系</v>
      </c>
      <c r="K93" s="7">
        <v>30</v>
      </c>
      <c r="L93" s="7">
        <f t="shared" si="37"/>
        <v>180402</v>
      </c>
      <c r="M93" s="7" t="str">
        <f t="shared" si="53"/>
        <v>铜矿怪</v>
      </c>
      <c r="N93" s="7" t="str">
        <f t="shared" si="52"/>
        <v>CB756AAA</v>
      </c>
      <c r="O93" s="7">
        <f t="shared" si="38"/>
        <v>57</v>
      </c>
      <c r="P93" s="19" t="str">
        <f t="shared" si="39"/>
        <v>金属系</v>
      </c>
      <c r="Q93" s="7">
        <v>10</v>
      </c>
      <c r="R93" s="7">
        <f t="shared" si="40"/>
        <v>180403</v>
      </c>
      <c r="S93" s="19" t="str">
        <f t="shared" si="41"/>
        <v>铠甲怪</v>
      </c>
      <c r="T93" s="7" t="str">
        <f t="shared" si="30"/>
        <v>CB862AAA</v>
      </c>
      <c r="U93" s="7">
        <f t="shared" si="42"/>
        <v>65</v>
      </c>
      <c r="V93" s="19" t="str">
        <f t="shared" si="43"/>
        <v>金属系</v>
      </c>
      <c r="W93" s="7">
        <v>30</v>
      </c>
      <c r="X93" s="7">
        <f t="shared" si="44"/>
        <v>180404</v>
      </c>
      <c r="Y93" s="19" t="str">
        <f t="shared" si="45"/>
        <v>小恶魔</v>
      </c>
      <c r="Z93" s="7" t="str">
        <f t="shared" si="31"/>
        <v>CB357AAA</v>
      </c>
      <c r="AA93" s="7">
        <f t="shared" si="46"/>
        <v>65</v>
      </c>
      <c r="AB93" s="19" t="str">
        <f t="shared" si="32"/>
        <v>金属系</v>
      </c>
      <c r="AC93" s="7">
        <v>30</v>
      </c>
      <c r="AD93" s="7">
        <f t="shared" si="47"/>
        <v>180405</v>
      </c>
      <c r="AE93" s="19" t="str">
        <f t="shared" si="48"/>
        <v>土鳗兽</v>
      </c>
      <c r="AF93" s="7" t="str">
        <f t="shared" si="33"/>
        <v>CB733AAA</v>
      </c>
      <c r="AG93" s="7">
        <f t="shared" si="49"/>
        <v>65</v>
      </c>
      <c r="AH93" s="19" t="str">
        <f t="shared" si="34"/>
        <v>龙系</v>
      </c>
      <c r="AI93" s="7">
        <v>30</v>
      </c>
      <c r="AL93" s="7">
        <f t="shared" si="50"/>
        <v>65</v>
      </c>
    </row>
    <row r="94" spans="2:38" x14ac:dyDescent="0.15">
      <c r="B94" s="7">
        <v>90</v>
      </c>
      <c r="C94" s="7">
        <v>1805</v>
      </c>
      <c r="D94" s="7" t="s">
        <v>827</v>
      </c>
      <c r="E94" s="19" t="s">
        <v>961</v>
      </c>
      <c r="F94" s="7">
        <f t="shared" si="35"/>
        <v>180501</v>
      </c>
      <c r="G94" s="19" t="s">
        <v>1062</v>
      </c>
      <c r="H94" s="7" t="s">
        <v>1061</v>
      </c>
      <c r="I94" s="7">
        <f t="shared" si="36"/>
        <v>66</v>
      </c>
      <c r="J94" s="7" t="str">
        <f t="shared" si="51"/>
        <v>金属系</v>
      </c>
      <c r="K94" s="7">
        <v>30</v>
      </c>
      <c r="L94" s="7">
        <f t="shared" si="37"/>
        <v>180502</v>
      </c>
      <c r="M94" s="7" t="str">
        <f t="shared" si="53"/>
        <v>金属土龙</v>
      </c>
      <c r="N94" s="7" t="str">
        <f t="shared" si="52"/>
        <v>CB747AAA</v>
      </c>
      <c r="O94" s="7">
        <f t="shared" si="38"/>
        <v>57</v>
      </c>
      <c r="P94" s="19" t="str">
        <f t="shared" si="39"/>
        <v>金属系</v>
      </c>
      <c r="Q94" s="7">
        <v>10</v>
      </c>
      <c r="R94" s="7">
        <f t="shared" si="40"/>
        <v>180503</v>
      </c>
      <c r="S94" s="19" t="str">
        <f t="shared" si="41"/>
        <v>钢铁巨人</v>
      </c>
      <c r="T94" s="7" t="str">
        <f t="shared" si="30"/>
        <v>CB373AAA</v>
      </c>
      <c r="U94" s="7">
        <f t="shared" si="42"/>
        <v>66</v>
      </c>
      <c r="V94" s="19" t="str">
        <f t="shared" si="43"/>
        <v>金属系</v>
      </c>
      <c r="W94" s="7">
        <v>30</v>
      </c>
      <c r="X94" s="7">
        <f t="shared" si="44"/>
        <v>180504</v>
      </c>
      <c r="Y94" s="19" t="str">
        <f t="shared" si="45"/>
        <v>炎之虚幻</v>
      </c>
      <c r="Z94" s="7" t="str">
        <f t="shared" si="31"/>
        <v>CB762AAA</v>
      </c>
      <c r="AA94" s="7">
        <f t="shared" si="46"/>
        <v>66</v>
      </c>
      <c r="AB94" s="19" t="str">
        <f t="shared" si="32"/>
        <v>火系</v>
      </c>
      <c r="AC94" s="7">
        <v>30</v>
      </c>
      <c r="AD94" s="7">
        <f t="shared" si="47"/>
        <v>180505</v>
      </c>
      <c r="AE94" s="19" t="str">
        <f t="shared" si="48"/>
        <v>光恶魔</v>
      </c>
      <c r="AF94" s="7" t="str">
        <f t="shared" si="33"/>
        <v>CB853AAA</v>
      </c>
      <c r="AG94" s="7">
        <f t="shared" si="49"/>
        <v>66</v>
      </c>
      <c r="AH94" s="19" t="str">
        <f t="shared" si="34"/>
        <v>光系</v>
      </c>
      <c r="AI94" s="7">
        <v>30</v>
      </c>
      <c r="AL94" s="7">
        <f t="shared" si="50"/>
        <v>66</v>
      </c>
    </row>
    <row r="95" spans="2:38" x14ac:dyDescent="0.15">
      <c r="B95" s="7">
        <v>91</v>
      </c>
      <c r="C95" s="7">
        <v>1901</v>
      </c>
      <c r="D95" s="7" t="s">
        <v>828</v>
      </c>
      <c r="E95" s="19" t="s">
        <v>965</v>
      </c>
      <c r="F95" s="7">
        <f t="shared" si="35"/>
        <v>190101</v>
      </c>
      <c r="I95" s="7">
        <f t="shared" si="36"/>
        <v>66</v>
      </c>
      <c r="J95" s="7" t="str">
        <f t="shared" si="51"/>
        <v>光系</v>
      </c>
      <c r="K95" s="7">
        <v>30</v>
      </c>
      <c r="L95" s="7">
        <f t="shared" si="37"/>
        <v>190102</v>
      </c>
      <c r="M95" s="7" t="str">
        <f t="shared" si="53"/>
        <v>光之女护卫</v>
      </c>
      <c r="N95" s="7" t="str">
        <f t="shared" si="52"/>
        <v>CB767AAA</v>
      </c>
      <c r="O95" s="7">
        <f t="shared" si="38"/>
        <v>58</v>
      </c>
      <c r="P95" s="19" t="str">
        <f t="shared" si="39"/>
        <v>光系</v>
      </c>
      <c r="Q95" s="7">
        <v>10</v>
      </c>
      <c r="R95" s="7">
        <f t="shared" si="40"/>
        <v>190103</v>
      </c>
      <c r="S95" s="19" t="str">
        <f t="shared" si="41"/>
        <v>光恶魔</v>
      </c>
      <c r="T95" s="7" t="str">
        <f t="shared" si="30"/>
        <v>CB853AAA</v>
      </c>
      <c r="U95" s="7">
        <f t="shared" si="42"/>
        <v>66</v>
      </c>
      <c r="V95" s="19" t="str">
        <f t="shared" si="43"/>
        <v>光系</v>
      </c>
      <c r="W95" s="7">
        <v>30</v>
      </c>
      <c r="X95" s="7">
        <f t="shared" si="44"/>
        <v>190104</v>
      </c>
      <c r="Y95" s="19" t="str">
        <f t="shared" si="45"/>
        <v>水之女护卫</v>
      </c>
      <c r="Z95" s="7" t="str">
        <f t="shared" si="31"/>
        <v>CB766AAA</v>
      </c>
      <c r="AA95" s="7">
        <f t="shared" si="46"/>
        <v>66</v>
      </c>
      <c r="AB95" s="19" t="str">
        <f t="shared" si="32"/>
        <v>水系</v>
      </c>
      <c r="AC95" s="7">
        <v>30</v>
      </c>
      <c r="AD95" s="7">
        <f t="shared" si="47"/>
        <v>190105</v>
      </c>
      <c r="AE95" s="19" t="str">
        <f t="shared" si="48"/>
        <v>僵硬蟒蛇</v>
      </c>
      <c r="AF95" s="7" t="str">
        <f t="shared" si="33"/>
        <v>CB732AAA</v>
      </c>
      <c r="AG95" s="7">
        <f t="shared" si="49"/>
        <v>66</v>
      </c>
      <c r="AH95" s="19" t="str">
        <f t="shared" si="34"/>
        <v>僵尸系</v>
      </c>
      <c r="AI95" s="7">
        <v>30</v>
      </c>
      <c r="AL95" s="7">
        <f t="shared" si="50"/>
        <v>66</v>
      </c>
    </row>
    <row r="96" spans="2:38" x14ac:dyDescent="0.15">
      <c r="B96" s="7">
        <v>92</v>
      </c>
      <c r="C96" s="7">
        <v>1902</v>
      </c>
      <c r="D96" s="7" t="s">
        <v>829</v>
      </c>
      <c r="E96" s="19" t="s">
        <v>965</v>
      </c>
      <c r="F96" s="7">
        <f t="shared" si="35"/>
        <v>190201</v>
      </c>
      <c r="I96" s="7">
        <f t="shared" si="36"/>
        <v>67</v>
      </c>
      <c r="J96" s="7" t="str">
        <f t="shared" si="51"/>
        <v>光系</v>
      </c>
      <c r="K96" s="7">
        <v>30</v>
      </c>
      <c r="L96" s="7">
        <f t="shared" si="37"/>
        <v>190202</v>
      </c>
      <c r="M96" s="7" t="str">
        <f t="shared" si="53"/>
        <v>光魔晶</v>
      </c>
      <c r="N96" s="7" t="str">
        <f t="shared" si="52"/>
        <v>CB896AAA</v>
      </c>
      <c r="O96" s="7">
        <f t="shared" si="38"/>
        <v>59</v>
      </c>
      <c r="P96" s="19" t="str">
        <f t="shared" si="39"/>
        <v>光系</v>
      </c>
      <c r="Q96" s="7">
        <v>10</v>
      </c>
      <c r="R96" s="7">
        <f t="shared" si="40"/>
        <v>190203</v>
      </c>
      <c r="S96" s="19" t="str">
        <f t="shared" si="41"/>
        <v>光恶魔</v>
      </c>
      <c r="T96" s="7" t="str">
        <f t="shared" si="30"/>
        <v>CB853AAA</v>
      </c>
      <c r="U96" s="7">
        <f t="shared" si="42"/>
        <v>67</v>
      </c>
      <c r="V96" s="19" t="str">
        <f t="shared" si="43"/>
        <v>光系</v>
      </c>
      <c r="W96" s="7">
        <v>30</v>
      </c>
      <c r="X96" s="7">
        <f t="shared" si="44"/>
        <v>190204</v>
      </c>
      <c r="Y96" s="19" t="str">
        <f t="shared" si="45"/>
        <v>愤怒湖灵</v>
      </c>
      <c r="Z96" s="7" t="str">
        <f t="shared" si="31"/>
        <v>CB403AAA</v>
      </c>
      <c r="AA96" s="7">
        <f t="shared" si="46"/>
        <v>67</v>
      </c>
      <c r="AB96" s="19" t="str">
        <f t="shared" si="32"/>
        <v>水系</v>
      </c>
      <c r="AC96" s="7">
        <v>30</v>
      </c>
      <c r="AD96" s="7">
        <f t="shared" si="47"/>
        <v>190205</v>
      </c>
      <c r="AE96" s="19" t="str">
        <f t="shared" si="48"/>
        <v>恐怖泥人</v>
      </c>
      <c r="AF96" s="7" t="str">
        <f t="shared" si="33"/>
        <v>CB411AAA</v>
      </c>
      <c r="AG96" s="7">
        <f t="shared" si="49"/>
        <v>67</v>
      </c>
      <c r="AH96" s="19" t="str">
        <f t="shared" si="34"/>
        <v>僵尸系</v>
      </c>
      <c r="AI96" s="7">
        <v>30</v>
      </c>
      <c r="AL96" s="7">
        <f t="shared" si="50"/>
        <v>67</v>
      </c>
    </row>
    <row r="97" spans="2:38" x14ac:dyDescent="0.15">
      <c r="B97" s="7">
        <v>93</v>
      </c>
      <c r="C97" s="7">
        <v>1903</v>
      </c>
      <c r="D97" s="7" t="s">
        <v>830</v>
      </c>
      <c r="E97" s="19" t="s">
        <v>965</v>
      </c>
      <c r="F97" s="7">
        <f t="shared" si="35"/>
        <v>190301</v>
      </c>
      <c r="I97" s="7">
        <f t="shared" si="36"/>
        <v>68</v>
      </c>
      <c r="J97" s="7" t="str">
        <f t="shared" si="51"/>
        <v>光系</v>
      </c>
      <c r="K97" s="7">
        <v>30</v>
      </c>
      <c r="L97" s="7">
        <f t="shared" si="37"/>
        <v>190302</v>
      </c>
      <c r="M97" s="7" t="str">
        <f t="shared" si="53"/>
        <v>光之女护卫</v>
      </c>
      <c r="N97" s="7" t="str">
        <f t="shared" si="52"/>
        <v>CB767AAA</v>
      </c>
      <c r="O97" s="7">
        <f t="shared" si="38"/>
        <v>59</v>
      </c>
      <c r="P97" s="19" t="str">
        <f t="shared" si="39"/>
        <v>光系</v>
      </c>
      <c r="Q97" s="7">
        <v>10</v>
      </c>
      <c r="R97" s="7">
        <f t="shared" si="40"/>
        <v>190303</v>
      </c>
      <c r="S97" s="19" t="str">
        <f t="shared" si="41"/>
        <v>光魔晶</v>
      </c>
      <c r="T97" s="7" t="str">
        <f t="shared" si="30"/>
        <v>CB896AAA</v>
      </c>
      <c r="U97" s="7">
        <f t="shared" si="42"/>
        <v>68</v>
      </c>
      <c r="V97" s="19" t="str">
        <f t="shared" si="43"/>
        <v>光系</v>
      </c>
      <c r="W97" s="7">
        <v>30</v>
      </c>
      <c r="X97" s="7">
        <f t="shared" si="44"/>
        <v>190304</v>
      </c>
      <c r="Y97" s="19" t="str">
        <f t="shared" si="45"/>
        <v>小恶魔</v>
      </c>
      <c r="Z97" s="7" t="str">
        <f t="shared" si="31"/>
        <v>CB357AAA</v>
      </c>
      <c r="AA97" s="7">
        <f t="shared" si="46"/>
        <v>68</v>
      </c>
      <c r="AB97" s="19" t="str">
        <f t="shared" si="32"/>
        <v>金属系</v>
      </c>
      <c r="AC97" s="7">
        <v>30</v>
      </c>
      <c r="AD97" s="7">
        <f t="shared" si="47"/>
        <v>190305</v>
      </c>
      <c r="AE97" s="19" t="str">
        <f t="shared" si="48"/>
        <v>多毛蜘蛛</v>
      </c>
      <c r="AF97" s="7" t="str">
        <f t="shared" si="33"/>
        <v>CB613AAA</v>
      </c>
      <c r="AG97" s="7">
        <f t="shared" si="49"/>
        <v>68</v>
      </c>
      <c r="AH97" s="19" t="str">
        <f t="shared" si="34"/>
        <v>暗系</v>
      </c>
      <c r="AI97" s="7">
        <v>30</v>
      </c>
      <c r="AL97" s="7">
        <f t="shared" si="50"/>
        <v>68</v>
      </c>
    </row>
    <row r="98" spans="2:38" x14ac:dyDescent="0.15">
      <c r="B98" s="7">
        <v>94</v>
      </c>
      <c r="C98" s="7">
        <v>1904</v>
      </c>
      <c r="D98" s="7" t="s">
        <v>831</v>
      </c>
      <c r="E98" s="19" t="s">
        <v>965</v>
      </c>
      <c r="F98" s="7">
        <f t="shared" si="35"/>
        <v>190401</v>
      </c>
      <c r="I98" s="7">
        <f t="shared" si="36"/>
        <v>68</v>
      </c>
      <c r="J98" s="7" t="str">
        <f t="shared" si="51"/>
        <v>光系</v>
      </c>
      <c r="K98" s="7">
        <v>30</v>
      </c>
      <c r="L98" s="7">
        <f t="shared" si="37"/>
        <v>190402</v>
      </c>
      <c r="M98" s="7" t="str">
        <f t="shared" si="53"/>
        <v>光精灵</v>
      </c>
      <c r="N98" s="7" t="str">
        <f t="shared" si="52"/>
        <v>CB431AAA</v>
      </c>
      <c r="O98" s="7">
        <f t="shared" si="38"/>
        <v>60</v>
      </c>
      <c r="P98" s="19" t="str">
        <f t="shared" si="39"/>
        <v>光系</v>
      </c>
      <c r="Q98" s="7">
        <v>10</v>
      </c>
      <c r="R98" s="7">
        <f t="shared" si="40"/>
        <v>190403</v>
      </c>
      <c r="S98" s="19" t="str">
        <f t="shared" si="41"/>
        <v>光恶魔</v>
      </c>
      <c r="T98" s="7" t="str">
        <f t="shared" si="30"/>
        <v>CB853AAA</v>
      </c>
      <c r="U98" s="7">
        <f t="shared" si="42"/>
        <v>68</v>
      </c>
      <c r="V98" s="19" t="str">
        <f t="shared" si="43"/>
        <v>光系</v>
      </c>
      <c r="W98" s="7">
        <v>30</v>
      </c>
      <c r="X98" s="7">
        <f t="shared" si="44"/>
        <v>190404</v>
      </c>
      <c r="Y98" s="19" t="str">
        <f t="shared" si="45"/>
        <v>黑暗石鱼</v>
      </c>
      <c r="Z98" s="7" t="str">
        <f t="shared" si="31"/>
        <v>CB632AAA</v>
      </c>
      <c r="AA98" s="7">
        <f t="shared" si="46"/>
        <v>68</v>
      </c>
      <c r="AB98" s="19" t="str">
        <f t="shared" si="32"/>
        <v>暗系</v>
      </c>
      <c r="AC98" s="7">
        <v>30</v>
      </c>
      <c r="AD98" s="7">
        <f t="shared" si="47"/>
        <v>190405</v>
      </c>
      <c r="AE98" s="19" t="str">
        <f t="shared" si="48"/>
        <v>魔鬼幽魂</v>
      </c>
      <c r="AF98" s="7" t="str">
        <f t="shared" si="33"/>
        <v>CB811AAA</v>
      </c>
      <c r="AG98" s="7">
        <f t="shared" si="49"/>
        <v>68</v>
      </c>
      <c r="AH98" s="19" t="str">
        <f t="shared" si="34"/>
        <v>飞行系</v>
      </c>
      <c r="AI98" s="7">
        <v>30</v>
      </c>
      <c r="AL98" s="7">
        <f t="shared" si="50"/>
        <v>68</v>
      </c>
    </row>
    <row r="99" spans="2:38" x14ac:dyDescent="0.15">
      <c r="B99" s="7">
        <v>95</v>
      </c>
      <c r="C99" s="7">
        <v>1905</v>
      </c>
      <c r="D99" s="7" t="s">
        <v>832</v>
      </c>
      <c r="E99" s="19" t="s">
        <v>965</v>
      </c>
      <c r="F99" s="7">
        <f t="shared" si="35"/>
        <v>190501</v>
      </c>
      <c r="I99" s="7">
        <f t="shared" si="36"/>
        <v>69</v>
      </c>
      <c r="J99" s="7" t="str">
        <f t="shared" si="51"/>
        <v>光系</v>
      </c>
      <c r="K99" s="7">
        <v>30</v>
      </c>
      <c r="L99" s="7">
        <f t="shared" si="37"/>
        <v>190502</v>
      </c>
      <c r="M99" s="7" t="str">
        <f t="shared" si="53"/>
        <v>光魔鬼</v>
      </c>
      <c r="N99" s="7" t="str">
        <f t="shared" si="52"/>
        <v>CB432AAA</v>
      </c>
      <c r="O99" s="7">
        <f t="shared" si="38"/>
        <v>60</v>
      </c>
      <c r="P99" s="19" t="str">
        <f t="shared" si="39"/>
        <v>光系</v>
      </c>
      <c r="Q99" s="7">
        <v>10</v>
      </c>
      <c r="R99" s="7">
        <f t="shared" si="40"/>
        <v>190503</v>
      </c>
      <c r="S99" s="19" t="str">
        <f t="shared" si="41"/>
        <v>光恶魔</v>
      </c>
      <c r="T99" s="7" t="str">
        <f t="shared" si="30"/>
        <v>CB853AAA</v>
      </c>
      <c r="U99" s="7">
        <f t="shared" si="42"/>
        <v>69</v>
      </c>
      <c r="V99" s="19" t="str">
        <f t="shared" si="43"/>
        <v>光系</v>
      </c>
      <c r="W99" s="7">
        <v>30</v>
      </c>
      <c r="X99" s="7">
        <f t="shared" si="44"/>
        <v>190504</v>
      </c>
      <c r="Y99" s="19" t="str">
        <f t="shared" si="45"/>
        <v>炎之虚幻</v>
      </c>
      <c r="Z99" s="7" t="str">
        <f t="shared" si="31"/>
        <v>CB762AAA</v>
      </c>
      <c r="AA99" s="7">
        <f t="shared" si="46"/>
        <v>69</v>
      </c>
      <c r="AB99" s="19" t="str">
        <f t="shared" si="32"/>
        <v>火系</v>
      </c>
      <c r="AC99" s="7">
        <v>30</v>
      </c>
      <c r="AD99" s="7">
        <f t="shared" si="47"/>
        <v>190505</v>
      </c>
      <c r="AE99" s="19" t="str">
        <f t="shared" si="48"/>
        <v>碧蓝湖灵</v>
      </c>
      <c r="AF99" s="7" t="str">
        <f t="shared" si="33"/>
        <v>CB401AAA</v>
      </c>
      <c r="AG99" s="7">
        <f t="shared" si="49"/>
        <v>69</v>
      </c>
      <c r="AH99" s="19" t="str">
        <f t="shared" si="34"/>
        <v>水系</v>
      </c>
      <c r="AI99" s="7">
        <v>30</v>
      </c>
      <c r="AL99" s="7">
        <f t="shared" si="50"/>
        <v>69</v>
      </c>
    </row>
    <row r="100" spans="2:38" x14ac:dyDescent="0.15">
      <c r="B100" s="7">
        <v>96</v>
      </c>
      <c r="C100" s="7">
        <v>2001</v>
      </c>
      <c r="D100" s="7" t="s">
        <v>833</v>
      </c>
      <c r="E100" s="19" t="s">
        <v>963</v>
      </c>
      <c r="F100" s="7">
        <f t="shared" si="35"/>
        <v>200101</v>
      </c>
      <c r="I100" s="7">
        <f t="shared" si="36"/>
        <v>70</v>
      </c>
      <c r="J100" s="7" t="str">
        <f t="shared" si="51"/>
        <v>暗系</v>
      </c>
      <c r="K100" s="7">
        <v>30</v>
      </c>
      <c r="L100" s="7">
        <f t="shared" si="37"/>
        <v>200102</v>
      </c>
      <c r="M100" s="7" t="str">
        <f t="shared" si="53"/>
        <v>黑暗石鱼</v>
      </c>
      <c r="N100" s="7" t="str">
        <f t="shared" si="52"/>
        <v>CB632AAA</v>
      </c>
      <c r="O100" s="7">
        <f t="shared" si="38"/>
        <v>61</v>
      </c>
      <c r="P100" s="19" t="str">
        <f t="shared" si="39"/>
        <v>暗系</v>
      </c>
      <c r="Q100" s="7">
        <v>10</v>
      </c>
      <c r="R100" s="7">
        <f t="shared" si="40"/>
        <v>200103</v>
      </c>
      <c r="S100" s="19" t="str">
        <f t="shared" si="41"/>
        <v>多毛蜘蛛</v>
      </c>
      <c r="T100" s="7" t="str">
        <f t="shared" si="30"/>
        <v>CB613AAA</v>
      </c>
      <c r="U100" s="7">
        <f t="shared" si="42"/>
        <v>70</v>
      </c>
      <c r="V100" s="19" t="str">
        <f t="shared" si="43"/>
        <v>暗系</v>
      </c>
      <c r="W100" s="7">
        <v>30</v>
      </c>
      <c r="X100" s="7">
        <f t="shared" si="44"/>
        <v>200104</v>
      </c>
      <c r="Y100" s="19" t="str">
        <f t="shared" si="45"/>
        <v>忍者土匪</v>
      </c>
      <c r="Z100" s="7" t="str">
        <f t="shared" si="31"/>
        <v>CB223AAA</v>
      </c>
      <c r="AA100" s="7">
        <f t="shared" si="46"/>
        <v>70</v>
      </c>
      <c r="AB100" s="19" t="str">
        <f t="shared" si="32"/>
        <v>雷系</v>
      </c>
      <c r="AC100" s="7">
        <v>30</v>
      </c>
      <c r="AD100" s="7">
        <f t="shared" si="47"/>
        <v>200105</v>
      </c>
      <c r="AE100" s="19" t="str">
        <f t="shared" si="48"/>
        <v>僵硬蟒蛇</v>
      </c>
      <c r="AF100" s="7" t="str">
        <f t="shared" si="33"/>
        <v>CB732AAA</v>
      </c>
      <c r="AG100" s="7">
        <f t="shared" si="49"/>
        <v>70</v>
      </c>
      <c r="AH100" s="19" t="str">
        <f t="shared" si="34"/>
        <v>僵尸系</v>
      </c>
      <c r="AI100" s="7">
        <v>30</v>
      </c>
      <c r="AL100" s="7">
        <f t="shared" si="50"/>
        <v>70</v>
      </c>
    </row>
    <row r="101" spans="2:38" x14ac:dyDescent="0.15">
      <c r="B101" s="7">
        <v>97</v>
      </c>
      <c r="C101" s="7">
        <v>2002</v>
      </c>
      <c r="D101" s="7" t="s">
        <v>834</v>
      </c>
      <c r="E101" s="19" t="s">
        <v>963</v>
      </c>
      <c r="F101" s="7">
        <f t="shared" si="35"/>
        <v>200201</v>
      </c>
      <c r="I101" s="7">
        <f t="shared" si="36"/>
        <v>70</v>
      </c>
      <c r="J101" s="7" t="str">
        <f t="shared" si="51"/>
        <v>暗系</v>
      </c>
      <c r="K101" s="7">
        <v>30</v>
      </c>
      <c r="L101" s="7">
        <f t="shared" si="37"/>
        <v>200202</v>
      </c>
      <c r="M101" s="7" t="str">
        <f t="shared" si="53"/>
        <v>黑暗石鱼</v>
      </c>
      <c r="N101" s="7" t="str">
        <f t="shared" si="52"/>
        <v>CB632AAA</v>
      </c>
      <c r="O101" s="7">
        <f t="shared" si="38"/>
        <v>61</v>
      </c>
      <c r="P101" s="19" t="str">
        <f t="shared" si="39"/>
        <v>暗系</v>
      </c>
      <c r="Q101" s="7">
        <v>10</v>
      </c>
      <c r="R101" s="7">
        <f t="shared" si="40"/>
        <v>200203</v>
      </c>
      <c r="S101" s="19" t="str">
        <f t="shared" si="41"/>
        <v>多毛蜘蛛</v>
      </c>
      <c r="T101" s="7" t="str">
        <f t="shared" ref="T101:T132" si="54">VLOOKUP(S101,monstername1,2,FALSE)</f>
        <v>CB613AAA</v>
      </c>
      <c r="U101" s="7">
        <f t="shared" si="42"/>
        <v>70</v>
      </c>
      <c r="V101" s="19" t="str">
        <f t="shared" si="43"/>
        <v>暗系</v>
      </c>
      <c r="W101" s="7">
        <v>30</v>
      </c>
      <c r="X101" s="7">
        <f t="shared" si="44"/>
        <v>200204</v>
      </c>
      <c r="Y101" s="19" t="str">
        <f t="shared" si="45"/>
        <v>光精灵</v>
      </c>
      <c r="Z101" s="7" t="str">
        <f t="shared" ref="Z101:Z132" si="55">VLOOKUP(Y101,monstername1,2,FALSE)</f>
        <v>CB431AAA</v>
      </c>
      <c r="AA101" s="7">
        <f t="shared" si="46"/>
        <v>70</v>
      </c>
      <c r="AB101" s="19" t="str">
        <f t="shared" ref="AB101:AB132" si="56">VLOOKUP(Y101,monstername1,4,FALSE)</f>
        <v>光系</v>
      </c>
      <c r="AC101" s="7">
        <v>30</v>
      </c>
      <c r="AD101" s="7">
        <f t="shared" si="47"/>
        <v>200205</v>
      </c>
      <c r="AE101" s="19" t="str">
        <f t="shared" si="48"/>
        <v>魔鬼幽魂</v>
      </c>
      <c r="AF101" s="7" t="str">
        <f t="shared" ref="AF101:AF132" si="57">VLOOKUP(AE101,monstername1,2,FALSE)</f>
        <v>CB811AAA</v>
      </c>
      <c r="AG101" s="7">
        <f t="shared" si="49"/>
        <v>70</v>
      </c>
      <c r="AH101" s="19" t="str">
        <f t="shared" ref="AH101:AH132" si="58">VLOOKUP(AE101,monstername1,4,FALSE)</f>
        <v>飞行系</v>
      </c>
      <c r="AI101" s="7">
        <v>30</v>
      </c>
      <c r="AL101" s="7">
        <f t="shared" si="50"/>
        <v>70</v>
      </c>
    </row>
    <row r="102" spans="2:38" x14ac:dyDescent="0.15">
      <c r="B102" s="7">
        <v>98</v>
      </c>
      <c r="C102" s="7">
        <v>2003</v>
      </c>
      <c r="D102" s="7" t="s">
        <v>835</v>
      </c>
      <c r="E102" s="19" t="s">
        <v>963</v>
      </c>
      <c r="F102" s="7">
        <f t="shared" si="35"/>
        <v>200301</v>
      </c>
      <c r="I102" s="7">
        <f t="shared" si="36"/>
        <v>71</v>
      </c>
      <c r="J102" s="7" t="str">
        <f t="shared" si="51"/>
        <v>暗系</v>
      </c>
      <c r="K102" s="7">
        <v>30</v>
      </c>
      <c r="L102" s="7">
        <f t="shared" si="37"/>
        <v>200302</v>
      </c>
      <c r="M102" s="7" t="str">
        <f t="shared" si="53"/>
        <v>黑暗盗贼</v>
      </c>
      <c r="N102" s="7" t="str">
        <f t="shared" si="52"/>
        <v>CB225AAA</v>
      </c>
      <c r="O102" s="7">
        <f t="shared" si="38"/>
        <v>62</v>
      </c>
      <c r="P102" s="19" t="str">
        <f t="shared" si="39"/>
        <v>暗系</v>
      </c>
      <c r="Q102" s="7">
        <v>10</v>
      </c>
      <c r="R102" s="7">
        <f t="shared" si="40"/>
        <v>200303</v>
      </c>
      <c r="S102" s="19" t="str">
        <f t="shared" si="41"/>
        <v>多毛蜘蛛</v>
      </c>
      <c r="T102" s="7" t="str">
        <f t="shared" si="54"/>
        <v>CB613AAA</v>
      </c>
      <c r="U102" s="7">
        <f t="shared" si="42"/>
        <v>71</v>
      </c>
      <c r="V102" s="19" t="str">
        <f t="shared" si="43"/>
        <v>暗系</v>
      </c>
      <c r="W102" s="7">
        <v>30</v>
      </c>
      <c r="X102" s="7">
        <f t="shared" si="44"/>
        <v>200304</v>
      </c>
      <c r="Y102" s="19" t="str">
        <f t="shared" si="45"/>
        <v>土鳗兽</v>
      </c>
      <c r="Z102" s="7" t="str">
        <f t="shared" si="55"/>
        <v>CB733AAA</v>
      </c>
      <c r="AA102" s="7">
        <f t="shared" si="46"/>
        <v>71</v>
      </c>
      <c r="AB102" s="19" t="str">
        <f t="shared" si="56"/>
        <v>龙系</v>
      </c>
      <c r="AC102" s="7">
        <v>30</v>
      </c>
      <c r="AD102" s="7">
        <f t="shared" si="47"/>
        <v>200305</v>
      </c>
      <c r="AE102" s="19" t="str">
        <f t="shared" si="48"/>
        <v>光精灵</v>
      </c>
      <c r="AF102" s="7" t="str">
        <f t="shared" si="57"/>
        <v>CB431AAA</v>
      </c>
      <c r="AG102" s="7">
        <f t="shared" si="49"/>
        <v>71</v>
      </c>
      <c r="AH102" s="19" t="str">
        <f t="shared" si="58"/>
        <v>光系</v>
      </c>
      <c r="AI102" s="7">
        <v>30</v>
      </c>
      <c r="AL102" s="7">
        <f t="shared" si="50"/>
        <v>71</v>
      </c>
    </row>
    <row r="103" spans="2:38" x14ac:dyDescent="0.15">
      <c r="B103" s="7">
        <v>99</v>
      </c>
      <c r="C103" s="7">
        <v>2004</v>
      </c>
      <c r="D103" s="7" t="s">
        <v>836</v>
      </c>
      <c r="E103" s="19" t="s">
        <v>963</v>
      </c>
      <c r="F103" s="7">
        <f t="shared" si="35"/>
        <v>200401</v>
      </c>
      <c r="I103" s="7">
        <f t="shared" si="36"/>
        <v>72</v>
      </c>
      <c r="J103" s="7" t="str">
        <f t="shared" si="51"/>
        <v>暗系</v>
      </c>
      <c r="K103" s="7">
        <v>30</v>
      </c>
      <c r="L103" s="7">
        <f t="shared" si="37"/>
        <v>200402</v>
      </c>
      <c r="M103" s="7" t="str">
        <f t="shared" si="53"/>
        <v>多毛蜘蛛</v>
      </c>
      <c r="N103" s="7" t="str">
        <f t="shared" si="52"/>
        <v>CB613AAA</v>
      </c>
      <c r="O103" s="7">
        <f t="shared" si="38"/>
        <v>63</v>
      </c>
      <c r="P103" s="19" t="str">
        <f t="shared" si="39"/>
        <v>暗系</v>
      </c>
      <c r="Q103" s="7">
        <v>10</v>
      </c>
      <c r="R103" s="7">
        <f t="shared" si="40"/>
        <v>200403</v>
      </c>
      <c r="S103" s="19" t="str">
        <f t="shared" si="41"/>
        <v>黑暗盗贼</v>
      </c>
      <c r="T103" s="7" t="str">
        <f t="shared" si="54"/>
        <v>CB225AAA</v>
      </c>
      <c r="U103" s="7">
        <f t="shared" si="42"/>
        <v>72</v>
      </c>
      <c r="V103" s="19" t="str">
        <f t="shared" si="43"/>
        <v>暗系</v>
      </c>
      <c r="W103" s="7">
        <v>30</v>
      </c>
      <c r="X103" s="7">
        <f t="shared" si="44"/>
        <v>200404</v>
      </c>
      <c r="Y103" s="19" t="str">
        <f t="shared" si="45"/>
        <v>小蝙蝠</v>
      </c>
      <c r="Z103" s="7" t="str">
        <f t="shared" si="55"/>
        <v>CB741AAA</v>
      </c>
      <c r="AA103" s="7">
        <f t="shared" si="46"/>
        <v>72</v>
      </c>
      <c r="AB103" s="19" t="str">
        <f t="shared" si="56"/>
        <v>飞行系</v>
      </c>
      <c r="AC103" s="7">
        <v>30</v>
      </c>
      <c r="AD103" s="7">
        <f t="shared" si="47"/>
        <v>200405</v>
      </c>
      <c r="AE103" s="19" t="str">
        <f t="shared" si="48"/>
        <v>小恶魔</v>
      </c>
      <c r="AF103" s="7" t="str">
        <f t="shared" si="57"/>
        <v>CB357AAA</v>
      </c>
      <c r="AG103" s="7">
        <f t="shared" si="49"/>
        <v>72</v>
      </c>
      <c r="AH103" s="19" t="str">
        <f t="shared" si="58"/>
        <v>金属系</v>
      </c>
      <c r="AI103" s="7">
        <v>30</v>
      </c>
      <c r="AL103" s="7">
        <f t="shared" si="50"/>
        <v>72</v>
      </c>
    </row>
    <row r="104" spans="2:38" x14ac:dyDescent="0.15">
      <c r="B104" s="7">
        <v>100</v>
      </c>
      <c r="C104" s="7">
        <v>2005</v>
      </c>
      <c r="D104" s="7" t="s">
        <v>837</v>
      </c>
      <c r="E104" s="19" t="s">
        <v>963</v>
      </c>
      <c r="F104" s="7">
        <f t="shared" si="35"/>
        <v>200501</v>
      </c>
      <c r="I104" s="7">
        <f t="shared" si="36"/>
        <v>72</v>
      </c>
      <c r="J104" s="7" t="str">
        <f t="shared" si="51"/>
        <v>暗系</v>
      </c>
      <c r="K104" s="7">
        <v>30</v>
      </c>
      <c r="L104" s="7">
        <f t="shared" si="37"/>
        <v>200502</v>
      </c>
      <c r="M104" s="7" t="str">
        <f t="shared" si="53"/>
        <v>黑暗石鱼</v>
      </c>
      <c r="N104" s="7" t="str">
        <f t="shared" si="52"/>
        <v>CB632AAA</v>
      </c>
      <c r="O104" s="7">
        <f t="shared" si="38"/>
        <v>63</v>
      </c>
      <c r="P104" s="19" t="str">
        <f t="shared" si="39"/>
        <v>暗系</v>
      </c>
      <c r="Q104" s="7">
        <v>10</v>
      </c>
      <c r="R104" s="7">
        <f t="shared" si="40"/>
        <v>200503</v>
      </c>
      <c r="S104" s="19" t="str">
        <f t="shared" si="41"/>
        <v>多毛蜘蛛</v>
      </c>
      <c r="T104" s="7" t="str">
        <f t="shared" si="54"/>
        <v>CB613AAA</v>
      </c>
      <c r="U104" s="7">
        <f t="shared" si="42"/>
        <v>72</v>
      </c>
      <c r="V104" s="19" t="str">
        <f t="shared" si="43"/>
        <v>暗系</v>
      </c>
      <c r="W104" s="7">
        <v>30</v>
      </c>
      <c r="X104" s="7">
        <f t="shared" si="44"/>
        <v>200504</v>
      </c>
      <c r="Y104" s="19" t="str">
        <f t="shared" si="45"/>
        <v>光魔鬼</v>
      </c>
      <c r="Z104" s="7" t="str">
        <f t="shared" si="55"/>
        <v>CB432AAA</v>
      </c>
      <c r="AA104" s="7">
        <f t="shared" si="46"/>
        <v>72</v>
      </c>
      <c r="AB104" s="19" t="str">
        <f t="shared" si="56"/>
        <v>光系</v>
      </c>
      <c r="AC104" s="7">
        <v>30</v>
      </c>
      <c r="AD104" s="7">
        <f t="shared" si="47"/>
        <v>200505</v>
      </c>
      <c r="AE104" s="19" t="str">
        <f t="shared" si="48"/>
        <v>恶灵</v>
      </c>
      <c r="AF104" s="7" t="str">
        <f t="shared" si="57"/>
        <v>CB956AAA</v>
      </c>
      <c r="AG104" s="7">
        <f t="shared" si="49"/>
        <v>72</v>
      </c>
      <c r="AH104" s="19" t="str">
        <f t="shared" si="58"/>
        <v>僵尸系</v>
      </c>
      <c r="AI104" s="7">
        <v>30</v>
      </c>
      <c r="AL104" s="7">
        <f t="shared" si="50"/>
        <v>72</v>
      </c>
    </row>
    <row r="105" spans="2:38" x14ac:dyDescent="0.15">
      <c r="B105" s="7">
        <v>101</v>
      </c>
      <c r="C105" s="7">
        <v>2101</v>
      </c>
      <c r="D105" s="7" t="s">
        <v>838</v>
      </c>
      <c r="E105" s="19" t="s">
        <v>959</v>
      </c>
      <c r="F105" s="7">
        <f t="shared" si="35"/>
        <v>210101</v>
      </c>
      <c r="I105" s="7">
        <f t="shared" si="36"/>
        <v>73</v>
      </c>
      <c r="J105" s="7" t="str">
        <f t="shared" si="51"/>
        <v>水系</v>
      </c>
      <c r="K105" s="7">
        <v>30</v>
      </c>
      <c r="L105" s="7">
        <f t="shared" si="37"/>
        <v>210102</v>
      </c>
      <c r="M105" s="7" t="str">
        <f t="shared" si="53"/>
        <v>水之女护卫</v>
      </c>
      <c r="N105" s="7" t="str">
        <f t="shared" si="52"/>
        <v>CB766AAA</v>
      </c>
      <c r="O105" s="7">
        <f t="shared" si="38"/>
        <v>64</v>
      </c>
      <c r="P105" s="19" t="str">
        <f t="shared" si="39"/>
        <v>水系</v>
      </c>
      <c r="Q105" s="7">
        <v>10</v>
      </c>
      <c r="R105" s="7">
        <f t="shared" si="40"/>
        <v>210103</v>
      </c>
      <c r="S105" s="19" t="str">
        <f t="shared" si="41"/>
        <v>碧蓝湖灵</v>
      </c>
      <c r="T105" s="7" t="str">
        <f t="shared" si="54"/>
        <v>CB401AAA</v>
      </c>
      <c r="U105" s="7">
        <f t="shared" si="42"/>
        <v>73</v>
      </c>
      <c r="V105" s="19" t="str">
        <f t="shared" si="43"/>
        <v>水系</v>
      </c>
      <c r="W105" s="7">
        <v>30</v>
      </c>
      <c r="X105" s="7">
        <f t="shared" si="44"/>
        <v>210104</v>
      </c>
      <c r="Y105" s="19" t="str">
        <f t="shared" si="45"/>
        <v>炎之虚幻</v>
      </c>
      <c r="Z105" s="7" t="str">
        <f t="shared" si="55"/>
        <v>CB762AAA</v>
      </c>
      <c r="AA105" s="7">
        <f t="shared" si="46"/>
        <v>73</v>
      </c>
      <c r="AB105" s="19" t="str">
        <f t="shared" si="56"/>
        <v>火系</v>
      </c>
      <c r="AC105" s="7">
        <v>30</v>
      </c>
      <c r="AD105" s="7">
        <f t="shared" si="47"/>
        <v>210105</v>
      </c>
      <c r="AE105" s="19" t="str">
        <f t="shared" si="48"/>
        <v>炎之虚幻</v>
      </c>
      <c r="AF105" s="7" t="str">
        <f t="shared" si="57"/>
        <v>CB762AAA</v>
      </c>
      <c r="AG105" s="7">
        <f t="shared" si="49"/>
        <v>73</v>
      </c>
      <c r="AH105" s="19" t="str">
        <f t="shared" si="58"/>
        <v>火系</v>
      </c>
      <c r="AI105" s="7">
        <v>30</v>
      </c>
      <c r="AL105" s="7">
        <f t="shared" si="50"/>
        <v>73</v>
      </c>
    </row>
    <row r="106" spans="2:38" x14ac:dyDescent="0.15">
      <c r="B106" s="7">
        <v>102</v>
      </c>
      <c r="C106" s="7">
        <v>2102</v>
      </c>
      <c r="D106" s="7" t="s">
        <v>839</v>
      </c>
      <c r="E106" s="19" t="s">
        <v>959</v>
      </c>
      <c r="F106" s="7">
        <f t="shared" si="35"/>
        <v>210201</v>
      </c>
      <c r="I106" s="7">
        <f t="shared" si="36"/>
        <v>74</v>
      </c>
      <c r="J106" s="7" t="str">
        <f t="shared" si="51"/>
        <v>水系</v>
      </c>
      <c r="K106" s="7">
        <v>30</v>
      </c>
      <c r="L106" s="7">
        <f t="shared" si="37"/>
        <v>210202</v>
      </c>
      <c r="M106" s="7" t="str">
        <f t="shared" si="53"/>
        <v>水之女护卫</v>
      </c>
      <c r="N106" s="7" t="str">
        <f t="shared" si="52"/>
        <v>CB766AAA</v>
      </c>
      <c r="O106" s="7">
        <f t="shared" si="38"/>
        <v>64</v>
      </c>
      <c r="P106" s="19" t="str">
        <f t="shared" si="39"/>
        <v>水系</v>
      </c>
      <c r="Q106" s="7">
        <v>10</v>
      </c>
      <c r="R106" s="7">
        <f t="shared" si="40"/>
        <v>210203</v>
      </c>
      <c r="S106" s="19" t="str">
        <f t="shared" si="41"/>
        <v>碧蓝湖灵</v>
      </c>
      <c r="T106" s="7" t="str">
        <f t="shared" si="54"/>
        <v>CB401AAA</v>
      </c>
      <c r="U106" s="7">
        <f t="shared" si="42"/>
        <v>74</v>
      </c>
      <c r="V106" s="19" t="str">
        <f t="shared" si="43"/>
        <v>水系</v>
      </c>
      <c r="W106" s="7">
        <v>30</v>
      </c>
      <c r="X106" s="7">
        <f t="shared" si="44"/>
        <v>210204</v>
      </c>
      <c r="Y106" s="19" t="str">
        <f t="shared" si="45"/>
        <v>铜矿怪</v>
      </c>
      <c r="Z106" s="7" t="str">
        <f t="shared" si="55"/>
        <v>CB756AAA</v>
      </c>
      <c r="AA106" s="7">
        <f t="shared" si="46"/>
        <v>74</v>
      </c>
      <c r="AB106" s="19" t="str">
        <f t="shared" si="56"/>
        <v>金属系</v>
      </c>
      <c r="AC106" s="7">
        <v>30</v>
      </c>
      <c r="AD106" s="7">
        <f t="shared" si="47"/>
        <v>210205</v>
      </c>
      <c r="AE106" s="19" t="str">
        <f t="shared" si="48"/>
        <v>铁甲土匪</v>
      </c>
      <c r="AF106" s="7" t="str">
        <f t="shared" si="57"/>
        <v>CB222AAA</v>
      </c>
      <c r="AG106" s="7">
        <f t="shared" si="49"/>
        <v>74</v>
      </c>
      <c r="AH106" s="19" t="str">
        <f t="shared" si="58"/>
        <v>金属系</v>
      </c>
      <c r="AI106" s="7">
        <v>30</v>
      </c>
      <c r="AL106" s="7">
        <f t="shared" si="50"/>
        <v>74</v>
      </c>
    </row>
    <row r="107" spans="2:38" x14ac:dyDescent="0.15">
      <c r="B107" s="7">
        <v>103</v>
      </c>
      <c r="C107" s="7">
        <v>2103</v>
      </c>
      <c r="D107" s="7" t="s">
        <v>840</v>
      </c>
      <c r="E107" s="19" t="s">
        <v>959</v>
      </c>
      <c r="F107" s="7">
        <f t="shared" si="35"/>
        <v>210301</v>
      </c>
      <c r="I107" s="7">
        <f t="shared" si="36"/>
        <v>74</v>
      </c>
      <c r="J107" s="7" t="str">
        <f t="shared" si="51"/>
        <v>水系</v>
      </c>
      <c r="K107" s="7">
        <v>30</v>
      </c>
      <c r="L107" s="7">
        <f t="shared" si="37"/>
        <v>210302</v>
      </c>
      <c r="M107" s="7" t="str">
        <f t="shared" si="53"/>
        <v>水之女护卫</v>
      </c>
      <c r="N107" s="7" t="str">
        <f t="shared" si="52"/>
        <v>CB766AAA</v>
      </c>
      <c r="O107" s="7">
        <f t="shared" si="38"/>
        <v>65</v>
      </c>
      <c r="P107" s="19" t="str">
        <f t="shared" si="39"/>
        <v>水系</v>
      </c>
      <c r="Q107" s="7">
        <v>10</v>
      </c>
      <c r="R107" s="7">
        <f t="shared" si="40"/>
        <v>210303</v>
      </c>
      <c r="S107" s="19" t="str">
        <f t="shared" si="41"/>
        <v>愤怒湖灵</v>
      </c>
      <c r="T107" s="7" t="str">
        <f t="shared" si="54"/>
        <v>CB403AAA</v>
      </c>
      <c r="U107" s="7">
        <f t="shared" si="42"/>
        <v>74</v>
      </c>
      <c r="V107" s="19" t="str">
        <f t="shared" si="43"/>
        <v>水系</v>
      </c>
      <c r="W107" s="7">
        <v>30</v>
      </c>
      <c r="X107" s="7">
        <f t="shared" si="44"/>
        <v>210304</v>
      </c>
      <c r="Y107" s="19" t="str">
        <f t="shared" si="45"/>
        <v>狂躁巨人</v>
      </c>
      <c r="Z107" s="7" t="str">
        <f t="shared" si="55"/>
        <v>CB372AAA</v>
      </c>
      <c r="AA107" s="7">
        <f t="shared" si="46"/>
        <v>74</v>
      </c>
      <c r="AB107" s="19" t="str">
        <f t="shared" si="56"/>
        <v>金属系</v>
      </c>
      <c r="AC107" s="7">
        <v>30</v>
      </c>
      <c r="AD107" s="7">
        <f t="shared" si="47"/>
        <v>210305</v>
      </c>
      <c r="AE107" s="19" t="str">
        <f t="shared" si="48"/>
        <v>狂舞蜘蛛</v>
      </c>
      <c r="AF107" s="7" t="str">
        <f t="shared" si="57"/>
        <v>CB611AAA</v>
      </c>
      <c r="AG107" s="7">
        <f t="shared" si="49"/>
        <v>74</v>
      </c>
      <c r="AH107" s="19" t="str">
        <f t="shared" si="58"/>
        <v>风系</v>
      </c>
      <c r="AI107" s="7">
        <v>30</v>
      </c>
      <c r="AL107" s="7">
        <f t="shared" si="50"/>
        <v>74</v>
      </c>
    </row>
    <row r="108" spans="2:38" x14ac:dyDescent="0.15">
      <c r="B108" s="7">
        <v>104</v>
      </c>
      <c r="C108" s="7">
        <v>2104</v>
      </c>
      <c r="D108" s="7" t="s">
        <v>841</v>
      </c>
      <c r="E108" s="19" t="s">
        <v>959</v>
      </c>
      <c r="F108" s="7">
        <f t="shared" si="35"/>
        <v>210401</v>
      </c>
      <c r="I108" s="7">
        <f t="shared" si="36"/>
        <v>75</v>
      </c>
      <c r="J108" s="7" t="str">
        <f t="shared" si="51"/>
        <v>水系</v>
      </c>
      <c r="K108" s="7">
        <v>30</v>
      </c>
      <c r="L108" s="7">
        <f t="shared" si="37"/>
        <v>210402</v>
      </c>
      <c r="M108" s="7" t="str">
        <f t="shared" si="53"/>
        <v>幽怨湖灵</v>
      </c>
      <c r="N108" s="7" t="str">
        <f t="shared" ref="N108:N139" si="59">VLOOKUP(M108,monstername1,2,FALSE)</f>
        <v>CB401AAA</v>
      </c>
      <c r="O108" s="7">
        <f t="shared" si="38"/>
        <v>65</v>
      </c>
      <c r="P108" s="19" t="str">
        <f t="shared" si="39"/>
        <v>水系</v>
      </c>
      <c r="Q108" s="7">
        <v>10</v>
      </c>
      <c r="R108" s="7">
        <f t="shared" si="40"/>
        <v>210403</v>
      </c>
      <c r="S108" s="19" t="str">
        <f t="shared" si="41"/>
        <v>幽怨湖灵</v>
      </c>
      <c r="T108" s="7" t="str">
        <f t="shared" si="54"/>
        <v>CB401AAA</v>
      </c>
      <c r="U108" s="7">
        <f t="shared" si="42"/>
        <v>75</v>
      </c>
      <c r="V108" s="19" t="str">
        <f t="shared" si="43"/>
        <v>水系</v>
      </c>
      <c r="W108" s="7">
        <v>30</v>
      </c>
      <c r="X108" s="7">
        <f t="shared" si="44"/>
        <v>210404</v>
      </c>
      <c r="Y108" s="19" t="str">
        <f t="shared" si="45"/>
        <v>硬质魔球</v>
      </c>
      <c r="Z108" s="7" t="str">
        <f t="shared" si="55"/>
        <v>CB892AAA</v>
      </c>
      <c r="AA108" s="7">
        <f t="shared" si="46"/>
        <v>75</v>
      </c>
      <c r="AB108" s="19" t="str">
        <f t="shared" si="56"/>
        <v>金属系</v>
      </c>
      <c r="AC108" s="7">
        <v>30</v>
      </c>
      <c r="AD108" s="7">
        <f t="shared" si="47"/>
        <v>210405</v>
      </c>
      <c r="AE108" s="19" t="str">
        <f t="shared" si="48"/>
        <v>光魔鬼</v>
      </c>
      <c r="AF108" s="7" t="str">
        <f t="shared" si="57"/>
        <v>CB432AAA</v>
      </c>
      <c r="AG108" s="7">
        <f t="shared" si="49"/>
        <v>75</v>
      </c>
      <c r="AH108" s="19" t="str">
        <f t="shared" si="58"/>
        <v>光系</v>
      </c>
      <c r="AI108" s="7">
        <v>30</v>
      </c>
      <c r="AL108" s="7">
        <f t="shared" si="50"/>
        <v>75</v>
      </c>
    </row>
    <row r="109" spans="2:38" x14ac:dyDescent="0.15">
      <c r="B109" s="7">
        <v>105</v>
      </c>
      <c r="C109" s="7">
        <v>2105</v>
      </c>
      <c r="D109" s="7" t="s">
        <v>842</v>
      </c>
      <c r="E109" s="19" t="s">
        <v>959</v>
      </c>
      <c r="F109" s="7">
        <f t="shared" si="35"/>
        <v>210501</v>
      </c>
      <c r="I109" s="7">
        <f t="shared" si="36"/>
        <v>76</v>
      </c>
      <c r="J109" s="7" t="str">
        <f t="shared" si="51"/>
        <v>水系</v>
      </c>
      <c r="K109" s="7">
        <v>30</v>
      </c>
      <c r="L109" s="7">
        <f t="shared" si="37"/>
        <v>210502</v>
      </c>
      <c r="M109" s="7" t="str">
        <f t="shared" si="53"/>
        <v>幽怨湖灵</v>
      </c>
      <c r="N109" s="7" t="str">
        <f t="shared" si="59"/>
        <v>CB401AAA</v>
      </c>
      <c r="O109" s="7">
        <f t="shared" si="38"/>
        <v>66</v>
      </c>
      <c r="P109" s="19" t="str">
        <f t="shared" si="39"/>
        <v>水系</v>
      </c>
      <c r="Q109" s="7">
        <v>10</v>
      </c>
      <c r="R109" s="7">
        <f t="shared" si="40"/>
        <v>210503</v>
      </c>
      <c r="S109" s="19" t="str">
        <f t="shared" si="41"/>
        <v>幽怨湖灵</v>
      </c>
      <c r="T109" s="7" t="str">
        <f t="shared" si="54"/>
        <v>CB401AAA</v>
      </c>
      <c r="U109" s="7">
        <f t="shared" si="42"/>
        <v>76</v>
      </c>
      <c r="V109" s="19" t="str">
        <f t="shared" si="43"/>
        <v>水系</v>
      </c>
      <c r="W109" s="7">
        <v>30</v>
      </c>
      <c r="X109" s="7">
        <f t="shared" si="44"/>
        <v>210504</v>
      </c>
      <c r="Y109" s="19" t="str">
        <f t="shared" si="45"/>
        <v>光恶魔</v>
      </c>
      <c r="Z109" s="7" t="str">
        <f t="shared" si="55"/>
        <v>CB853AAA</v>
      </c>
      <c r="AA109" s="7">
        <f t="shared" si="46"/>
        <v>76</v>
      </c>
      <c r="AB109" s="19" t="str">
        <f t="shared" si="56"/>
        <v>光系</v>
      </c>
      <c r="AC109" s="7">
        <v>30</v>
      </c>
      <c r="AD109" s="7">
        <f t="shared" si="47"/>
        <v>210505</v>
      </c>
      <c r="AE109" s="19" t="str">
        <f t="shared" si="48"/>
        <v>恐怖泥人</v>
      </c>
      <c r="AF109" s="7" t="str">
        <f t="shared" si="57"/>
        <v>CB411AAA</v>
      </c>
      <c r="AG109" s="7">
        <f t="shared" si="49"/>
        <v>76</v>
      </c>
      <c r="AH109" s="19" t="str">
        <f t="shared" si="58"/>
        <v>僵尸系</v>
      </c>
      <c r="AI109" s="7">
        <v>30</v>
      </c>
      <c r="AL109" s="7">
        <f t="shared" si="50"/>
        <v>76</v>
      </c>
    </row>
    <row r="110" spans="2:38" x14ac:dyDescent="0.15">
      <c r="B110" s="7">
        <v>106</v>
      </c>
      <c r="C110" s="7">
        <v>2201</v>
      </c>
      <c r="D110" s="7" t="s">
        <v>843</v>
      </c>
      <c r="F110" s="7">
        <f t="shared" si="35"/>
        <v>220101</v>
      </c>
      <c r="I110" s="7">
        <f t="shared" si="36"/>
        <v>76</v>
      </c>
      <c r="J110" s="7">
        <f t="shared" si="51"/>
        <v>0</v>
      </c>
      <c r="K110" s="7">
        <v>30</v>
      </c>
      <c r="L110" s="7">
        <f t="shared" si="37"/>
        <v>220102</v>
      </c>
      <c r="M110" s="7" t="str">
        <f t="shared" si="53"/>
        <v>硬质魔球</v>
      </c>
      <c r="N110" s="7" t="str">
        <f t="shared" si="59"/>
        <v>CB892AAA</v>
      </c>
      <c r="O110" s="7">
        <f t="shared" si="38"/>
        <v>66</v>
      </c>
      <c r="P110" s="19">
        <f t="shared" si="39"/>
        <v>0</v>
      </c>
      <c r="Q110" s="7">
        <v>10</v>
      </c>
      <c r="R110" s="7">
        <f t="shared" si="40"/>
        <v>220103</v>
      </c>
      <c r="T110" s="7" t="e">
        <f t="shared" si="54"/>
        <v>#N/A</v>
      </c>
      <c r="U110" s="7">
        <f t="shared" si="42"/>
        <v>76</v>
      </c>
      <c r="V110" s="19">
        <f t="shared" si="43"/>
        <v>0</v>
      </c>
      <c r="W110" s="7">
        <v>30</v>
      </c>
      <c r="X110" s="7">
        <f t="shared" si="44"/>
        <v>220104</v>
      </c>
      <c r="Y110" s="19" t="str">
        <f t="shared" si="45"/>
        <v>炎魔晶</v>
      </c>
      <c r="Z110" s="7" t="str">
        <f t="shared" si="55"/>
        <v>CB897AAA</v>
      </c>
      <c r="AA110" s="7">
        <f t="shared" si="46"/>
        <v>76</v>
      </c>
      <c r="AB110" s="19" t="str">
        <f t="shared" si="56"/>
        <v>火系</v>
      </c>
      <c r="AC110" s="7">
        <v>30</v>
      </c>
      <c r="AD110" s="7">
        <f t="shared" si="47"/>
        <v>220105</v>
      </c>
      <c r="AE110" s="19" t="str">
        <f t="shared" si="48"/>
        <v>火泥怪</v>
      </c>
      <c r="AF110" s="7" t="str">
        <f t="shared" si="57"/>
        <v>CB760AAA</v>
      </c>
      <c r="AG110" s="7">
        <f t="shared" si="49"/>
        <v>76</v>
      </c>
      <c r="AH110" s="19" t="str">
        <f t="shared" si="58"/>
        <v>火系</v>
      </c>
      <c r="AI110" s="7">
        <v>30</v>
      </c>
      <c r="AL110" s="7">
        <f t="shared" si="50"/>
        <v>76</v>
      </c>
    </row>
    <row r="111" spans="2:38" x14ac:dyDescent="0.15">
      <c r="B111" s="7">
        <v>107</v>
      </c>
      <c r="C111" s="7">
        <v>2202</v>
      </c>
      <c r="D111" s="7" t="s">
        <v>844</v>
      </c>
      <c r="F111" s="7">
        <f t="shared" si="35"/>
        <v>220201</v>
      </c>
      <c r="I111" s="7">
        <f t="shared" si="36"/>
        <v>77</v>
      </c>
      <c r="J111" s="7">
        <f t="shared" si="51"/>
        <v>0</v>
      </c>
      <c r="K111" s="7">
        <v>30</v>
      </c>
      <c r="L111" s="7">
        <f t="shared" si="37"/>
        <v>220202</v>
      </c>
      <c r="M111" s="7" t="str">
        <f t="shared" si="53"/>
        <v>小蝙蝠</v>
      </c>
      <c r="N111" s="7" t="str">
        <f t="shared" si="59"/>
        <v>CB741AAA</v>
      </c>
      <c r="O111" s="7">
        <f t="shared" si="38"/>
        <v>67</v>
      </c>
      <c r="P111" s="19">
        <f t="shared" si="39"/>
        <v>0</v>
      </c>
      <c r="Q111" s="7">
        <v>10</v>
      </c>
      <c r="R111" s="7">
        <f t="shared" si="40"/>
        <v>220203</v>
      </c>
      <c r="T111" s="7" t="e">
        <f t="shared" si="54"/>
        <v>#N/A</v>
      </c>
      <c r="U111" s="7">
        <f t="shared" si="42"/>
        <v>77</v>
      </c>
      <c r="V111" s="19">
        <f t="shared" si="43"/>
        <v>0</v>
      </c>
      <c r="W111" s="7">
        <v>30</v>
      </c>
      <c r="X111" s="7">
        <f t="shared" si="44"/>
        <v>220204</v>
      </c>
      <c r="Y111" s="19" t="str">
        <f t="shared" si="45"/>
        <v>恶魔蝙蝠</v>
      </c>
      <c r="Z111" s="7" t="str">
        <f t="shared" si="55"/>
        <v>CB742AAA</v>
      </c>
      <c r="AA111" s="7">
        <f t="shared" si="46"/>
        <v>77</v>
      </c>
      <c r="AB111" s="19" t="str">
        <f t="shared" si="56"/>
        <v>飞行系</v>
      </c>
      <c r="AC111" s="7">
        <v>30</v>
      </c>
      <c r="AD111" s="7">
        <f t="shared" si="47"/>
        <v>220205</v>
      </c>
      <c r="AE111" s="19" t="str">
        <f t="shared" si="48"/>
        <v>多毛蜘蛛</v>
      </c>
      <c r="AF111" s="7" t="str">
        <f t="shared" si="57"/>
        <v>CB613AAA</v>
      </c>
      <c r="AG111" s="7">
        <f t="shared" si="49"/>
        <v>77</v>
      </c>
      <c r="AH111" s="19" t="str">
        <f t="shared" si="58"/>
        <v>暗系</v>
      </c>
      <c r="AI111" s="7">
        <v>30</v>
      </c>
      <c r="AL111" s="7">
        <f t="shared" si="50"/>
        <v>77</v>
      </c>
    </row>
    <row r="112" spans="2:38" x14ac:dyDescent="0.15">
      <c r="B112" s="7">
        <v>108</v>
      </c>
      <c r="C112" s="7">
        <v>2203</v>
      </c>
      <c r="D112" s="7" t="s">
        <v>845</v>
      </c>
      <c r="F112" s="7">
        <f t="shared" si="35"/>
        <v>220301</v>
      </c>
      <c r="I112" s="7">
        <f t="shared" si="36"/>
        <v>78</v>
      </c>
      <c r="J112" s="7">
        <f t="shared" si="51"/>
        <v>0</v>
      </c>
      <c r="K112" s="7">
        <v>30</v>
      </c>
      <c r="L112" s="7">
        <f t="shared" si="37"/>
        <v>220302</v>
      </c>
      <c r="M112" s="7" t="str">
        <f t="shared" si="53"/>
        <v>炎魔晶</v>
      </c>
      <c r="N112" s="7" t="str">
        <f t="shared" si="59"/>
        <v>CB897AAA</v>
      </c>
      <c r="O112" s="7">
        <f t="shared" si="38"/>
        <v>68</v>
      </c>
      <c r="P112" s="19">
        <f t="shared" si="39"/>
        <v>0</v>
      </c>
      <c r="Q112" s="7">
        <v>10</v>
      </c>
      <c r="R112" s="7">
        <f t="shared" si="40"/>
        <v>220303</v>
      </c>
      <c r="T112" s="7" t="e">
        <f t="shared" si="54"/>
        <v>#N/A</v>
      </c>
      <c r="U112" s="7">
        <f t="shared" si="42"/>
        <v>78</v>
      </c>
      <c r="V112" s="19">
        <f t="shared" si="43"/>
        <v>0</v>
      </c>
      <c r="W112" s="7">
        <v>30</v>
      </c>
      <c r="X112" s="7">
        <f t="shared" si="44"/>
        <v>220304</v>
      </c>
      <c r="Y112" s="19" t="str">
        <f t="shared" si="45"/>
        <v>光精灵</v>
      </c>
      <c r="Z112" s="7" t="str">
        <f t="shared" si="55"/>
        <v>CB431AAA</v>
      </c>
      <c r="AA112" s="7">
        <f t="shared" si="46"/>
        <v>78</v>
      </c>
      <c r="AB112" s="19" t="str">
        <f t="shared" si="56"/>
        <v>光系</v>
      </c>
      <c r="AC112" s="7">
        <v>30</v>
      </c>
      <c r="AD112" s="7">
        <f t="shared" si="47"/>
        <v>220305</v>
      </c>
      <c r="AE112" s="19" t="str">
        <f t="shared" si="48"/>
        <v>土鳗兽</v>
      </c>
      <c r="AF112" s="7" t="str">
        <f t="shared" si="57"/>
        <v>CB733AAA</v>
      </c>
      <c r="AG112" s="7">
        <f t="shared" si="49"/>
        <v>78</v>
      </c>
      <c r="AH112" s="19" t="str">
        <f t="shared" si="58"/>
        <v>龙系</v>
      </c>
      <c r="AI112" s="7">
        <v>30</v>
      </c>
      <c r="AL112" s="7">
        <f t="shared" si="50"/>
        <v>78</v>
      </c>
    </row>
    <row r="113" spans="2:38" x14ac:dyDescent="0.15">
      <c r="B113" s="7">
        <v>109</v>
      </c>
      <c r="C113" s="7">
        <v>2204</v>
      </c>
      <c r="D113" s="7" t="s">
        <v>846</v>
      </c>
      <c r="F113" s="7">
        <f t="shared" si="35"/>
        <v>220401</v>
      </c>
      <c r="I113" s="7">
        <f t="shared" si="36"/>
        <v>78</v>
      </c>
      <c r="J113" s="7">
        <f t="shared" si="51"/>
        <v>0</v>
      </c>
      <c r="K113" s="7">
        <v>30</v>
      </c>
      <c r="L113" s="7">
        <f t="shared" si="37"/>
        <v>220402</v>
      </c>
      <c r="M113" s="7" t="str">
        <f t="shared" si="53"/>
        <v>小蝙蝠</v>
      </c>
      <c r="N113" s="7" t="str">
        <f t="shared" si="59"/>
        <v>CB741AAA</v>
      </c>
      <c r="O113" s="7">
        <f t="shared" si="38"/>
        <v>68</v>
      </c>
      <c r="P113" s="19">
        <f t="shared" si="39"/>
        <v>0</v>
      </c>
      <c r="Q113" s="7">
        <v>10</v>
      </c>
      <c r="R113" s="7">
        <f t="shared" si="40"/>
        <v>220403</v>
      </c>
      <c r="T113" s="7" t="e">
        <f t="shared" si="54"/>
        <v>#N/A</v>
      </c>
      <c r="U113" s="7">
        <f t="shared" si="42"/>
        <v>78</v>
      </c>
      <c r="V113" s="19">
        <f t="shared" si="43"/>
        <v>0</v>
      </c>
      <c r="W113" s="7">
        <v>30</v>
      </c>
      <c r="X113" s="7">
        <f t="shared" si="44"/>
        <v>220404</v>
      </c>
      <c r="Y113" s="19" t="str">
        <f t="shared" si="45"/>
        <v>小恶魔</v>
      </c>
      <c r="Z113" s="7" t="str">
        <f t="shared" si="55"/>
        <v>CB357AAA</v>
      </c>
      <c r="AA113" s="7">
        <f t="shared" si="46"/>
        <v>78</v>
      </c>
      <c r="AB113" s="19" t="str">
        <f t="shared" si="56"/>
        <v>金属系</v>
      </c>
      <c r="AC113" s="7">
        <v>30</v>
      </c>
      <c r="AD113" s="7">
        <f t="shared" si="47"/>
        <v>220405</v>
      </c>
      <c r="AE113" s="19" t="str">
        <f t="shared" si="48"/>
        <v>铁甲土匪</v>
      </c>
      <c r="AF113" s="7" t="str">
        <f t="shared" si="57"/>
        <v>CB222AAA</v>
      </c>
      <c r="AG113" s="7">
        <f t="shared" si="49"/>
        <v>78</v>
      </c>
      <c r="AH113" s="19" t="str">
        <f t="shared" si="58"/>
        <v>金属系</v>
      </c>
      <c r="AI113" s="7">
        <v>30</v>
      </c>
      <c r="AL113" s="7">
        <f t="shared" si="50"/>
        <v>78</v>
      </c>
    </row>
    <row r="114" spans="2:38" x14ac:dyDescent="0.15">
      <c r="B114" s="7">
        <v>110</v>
      </c>
      <c r="C114" s="7">
        <v>2205</v>
      </c>
      <c r="D114" s="7" t="s">
        <v>847</v>
      </c>
      <c r="F114" s="7">
        <f t="shared" si="35"/>
        <v>220501</v>
      </c>
      <c r="I114" s="7">
        <f t="shared" si="36"/>
        <v>79</v>
      </c>
      <c r="J114" s="7">
        <f t="shared" si="51"/>
        <v>0</v>
      </c>
      <c r="K114" s="7">
        <v>30</v>
      </c>
      <c r="L114" s="7">
        <f t="shared" si="37"/>
        <v>220502</v>
      </c>
      <c r="M114" s="7" t="str">
        <f t="shared" si="53"/>
        <v>水恶魔</v>
      </c>
      <c r="N114" s="7" t="str">
        <f t="shared" si="59"/>
        <v>CB852AAA</v>
      </c>
      <c r="O114" s="7">
        <f t="shared" si="38"/>
        <v>69</v>
      </c>
      <c r="P114" s="19">
        <f t="shared" si="39"/>
        <v>0</v>
      </c>
      <c r="Q114" s="7">
        <v>10</v>
      </c>
      <c r="R114" s="7">
        <f t="shared" si="40"/>
        <v>220503</v>
      </c>
      <c r="T114" s="7" t="e">
        <f t="shared" si="54"/>
        <v>#N/A</v>
      </c>
      <c r="U114" s="7">
        <f t="shared" si="42"/>
        <v>79</v>
      </c>
      <c r="V114" s="19">
        <f t="shared" si="43"/>
        <v>0</v>
      </c>
      <c r="W114" s="7">
        <v>30</v>
      </c>
      <c r="X114" s="7">
        <f t="shared" si="44"/>
        <v>220504</v>
      </c>
      <c r="Y114" s="19" t="str">
        <f t="shared" si="45"/>
        <v>恶魔蝙蝠</v>
      </c>
      <c r="Z114" s="7" t="str">
        <f t="shared" si="55"/>
        <v>CB742AAA</v>
      </c>
      <c r="AA114" s="7">
        <f t="shared" si="46"/>
        <v>79</v>
      </c>
      <c r="AB114" s="19" t="str">
        <f t="shared" si="56"/>
        <v>飞行系</v>
      </c>
      <c r="AC114" s="7">
        <v>30</v>
      </c>
      <c r="AD114" s="7">
        <f t="shared" si="47"/>
        <v>220505</v>
      </c>
      <c r="AE114" s="19" t="str">
        <f t="shared" si="48"/>
        <v>幽怨湖灵</v>
      </c>
      <c r="AF114" s="7" t="str">
        <f t="shared" si="57"/>
        <v>CB401AAA</v>
      </c>
      <c r="AG114" s="7">
        <f t="shared" si="49"/>
        <v>79</v>
      </c>
      <c r="AH114" s="19" t="str">
        <f t="shared" si="58"/>
        <v>水系</v>
      </c>
      <c r="AI114" s="7">
        <v>30</v>
      </c>
      <c r="AL114" s="7">
        <f t="shared" si="50"/>
        <v>79</v>
      </c>
    </row>
    <row r="115" spans="2:38" x14ac:dyDescent="0.15">
      <c r="B115" s="7">
        <v>111</v>
      </c>
      <c r="C115" s="7">
        <v>2301</v>
      </c>
      <c r="D115" s="7" t="s">
        <v>848</v>
      </c>
      <c r="F115" s="7">
        <f t="shared" si="35"/>
        <v>230101</v>
      </c>
      <c r="I115" s="7">
        <f t="shared" si="36"/>
        <v>80</v>
      </c>
      <c r="J115" s="7">
        <f t="shared" si="51"/>
        <v>0</v>
      </c>
      <c r="K115" s="7">
        <v>30</v>
      </c>
      <c r="L115" s="7">
        <f t="shared" si="37"/>
        <v>230102</v>
      </c>
      <c r="M115" s="7" t="str">
        <f t="shared" si="53"/>
        <v>小恶魔</v>
      </c>
      <c r="N115" s="7" t="str">
        <f t="shared" si="59"/>
        <v>CB357AAA</v>
      </c>
      <c r="O115" s="7">
        <f t="shared" si="38"/>
        <v>69</v>
      </c>
      <c r="P115" s="19">
        <f t="shared" si="39"/>
        <v>0</v>
      </c>
      <c r="Q115" s="7">
        <v>10</v>
      </c>
      <c r="R115" s="7">
        <f t="shared" si="40"/>
        <v>230103</v>
      </c>
      <c r="T115" s="7" t="e">
        <f t="shared" si="54"/>
        <v>#N/A</v>
      </c>
      <c r="U115" s="7">
        <f t="shared" si="42"/>
        <v>80</v>
      </c>
      <c r="V115" s="19">
        <f t="shared" si="43"/>
        <v>0</v>
      </c>
      <c r="W115" s="7">
        <v>30</v>
      </c>
      <c r="X115" s="7">
        <f t="shared" si="44"/>
        <v>230104</v>
      </c>
      <c r="Y115" s="19" t="str">
        <f t="shared" si="45"/>
        <v>光魔鬼</v>
      </c>
      <c r="Z115" s="7" t="str">
        <f t="shared" si="55"/>
        <v>CB432AAA</v>
      </c>
      <c r="AA115" s="7">
        <f t="shared" si="46"/>
        <v>80</v>
      </c>
      <c r="AB115" s="19" t="str">
        <f t="shared" si="56"/>
        <v>光系</v>
      </c>
      <c r="AC115" s="7">
        <v>30</v>
      </c>
      <c r="AD115" s="7">
        <f t="shared" si="47"/>
        <v>230105</v>
      </c>
      <c r="AE115" s="19" t="str">
        <f t="shared" si="48"/>
        <v>粘稠怪</v>
      </c>
      <c r="AF115" s="7" t="str">
        <f t="shared" si="57"/>
        <v>CB764AAA</v>
      </c>
      <c r="AG115" s="7">
        <f t="shared" si="49"/>
        <v>80</v>
      </c>
      <c r="AH115" s="19" t="str">
        <f t="shared" si="58"/>
        <v>火系</v>
      </c>
      <c r="AI115" s="7">
        <v>30</v>
      </c>
      <c r="AL115" s="7">
        <f t="shared" si="50"/>
        <v>80</v>
      </c>
    </row>
    <row r="116" spans="2:38" x14ac:dyDescent="0.15">
      <c r="B116" s="7">
        <v>112</v>
      </c>
      <c r="C116" s="7">
        <v>2302</v>
      </c>
      <c r="D116" s="7" t="s">
        <v>849</v>
      </c>
      <c r="F116" s="7">
        <f t="shared" si="35"/>
        <v>230201</v>
      </c>
      <c r="I116" s="7">
        <f t="shared" si="36"/>
        <v>80</v>
      </c>
      <c r="J116" s="7">
        <f t="shared" si="51"/>
        <v>0</v>
      </c>
      <c r="K116" s="7">
        <v>30</v>
      </c>
      <c r="L116" s="7">
        <f t="shared" si="37"/>
        <v>230202</v>
      </c>
      <c r="M116" s="7" t="str">
        <f t="shared" si="53"/>
        <v>小恶魔</v>
      </c>
      <c r="N116" s="7" t="str">
        <f t="shared" si="59"/>
        <v>CB357AAA</v>
      </c>
      <c r="O116" s="7">
        <f t="shared" si="38"/>
        <v>70</v>
      </c>
      <c r="P116" s="19">
        <f t="shared" si="39"/>
        <v>0</v>
      </c>
      <c r="Q116" s="7">
        <v>10</v>
      </c>
      <c r="R116" s="7">
        <f t="shared" si="40"/>
        <v>230203</v>
      </c>
      <c r="T116" s="7" t="e">
        <f t="shared" si="54"/>
        <v>#N/A</v>
      </c>
      <c r="U116" s="7">
        <f t="shared" si="42"/>
        <v>80</v>
      </c>
      <c r="V116" s="19">
        <f t="shared" si="43"/>
        <v>0</v>
      </c>
      <c r="W116" s="7">
        <v>30</v>
      </c>
      <c r="X116" s="7">
        <f t="shared" si="44"/>
        <v>230204</v>
      </c>
      <c r="Y116" s="19" t="str">
        <f t="shared" si="45"/>
        <v>狂躁巨人</v>
      </c>
      <c r="Z116" s="7" t="str">
        <f t="shared" si="55"/>
        <v>CB372AAA</v>
      </c>
      <c r="AA116" s="7">
        <f t="shared" si="46"/>
        <v>80</v>
      </c>
      <c r="AB116" s="19" t="str">
        <f t="shared" si="56"/>
        <v>金属系</v>
      </c>
      <c r="AC116" s="7">
        <v>30</v>
      </c>
      <c r="AD116" s="7">
        <f t="shared" si="47"/>
        <v>230205</v>
      </c>
      <c r="AE116" s="19" t="str">
        <f t="shared" si="48"/>
        <v>光魔鬼</v>
      </c>
      <c r="AF116" s="7" t="str">
        <f t="shared" si="57"/>
        <v>CB432AAA</v>
      </c>
      <c r="AG116" s="7">
        <f t="shared" si="49"/>
        <v>80</v>
      </c>
      <c r="AH116" s="19" t="str">
        <f t="shared" si="58"/>
        <v>光系</v>
      </c>
      <c r="AI116" s="7">
        <v>30</v>
      </c>
      <c r="AL116" s="7">
        <f t="shared" si="50"/>
        <v>80</v>
      </c>
    </row>
    <row r="117" spans="2:38" x14ac:dyDescent="0.15">
      <c r="B117" s="7">
        <v>113</v>
      </c>
      <c r="C117" s="7">
        <v>2303</v>
      </c>
      <c r="D117" s="7" t="s">
        <v>850</v>
      </c>
      <c r="F117" s="7">
        <f t="shared" si="35"/>
        <v>230301</v>
      </c>
      <c r="I117" s="7">
        <f t="shared" si="36"/>
        <v>81</v>
      </c>
      <c r="J117" s="7">
        <f t="shared" si="51"/>
        <v>0</v>
      </c>
      <c r="K117" s="7">
        <v>30</v>
      </c>
      <c r="L117" s="7">
        <f t="shared" si="37"/>
        <v>230302</v>
      </c>
      <c r="M117" s="7" t="str">
        <f t="shared" si="53"/>
        <v>魔鬼幽魂</v>
      </c>
      <c r="N117" s="7" t="str">
        <f t="shared" si="59"/>
        <v>CB811AAA</v>
      </c>
      <c r="O117" s="7">
        <f t="shared" si="38"/>
        <v>70</v>
      </c>
      <c r="P117" s="19">
        <f t="shared" si="39"/>
        <v>0</v>
      </c>
      <c r="Q117" s="7">
        <v>10</v>
      </c>
      <c r="R117" s="7">
        <f t="shared" si="40"/>
        <v>230303</v>
      </c>
      <c r="T117" s="7" t="e">
        <f t="shared" si="54"/>
        <v>#N/A</v>
      </c>
      <c r="U117" s="7">
        <f t="shared" si="42"/>
        <v>81</v>
      </c>
      <c r="V117" s="19">
        <f t="shared" si="43"/>
        <v>0</v>
      </c>
      <c r="W117" s="7">
        <v>30</v>
      </c>
      <c r="X117" s="7">
        <f t="shared" si="44"/>
        <v>230304</v>
      </c>
      <c r="Y117" s="19" t="str">
        <f t="shared" si="45"/>
        <v>粘稠怪</v>
      </c>
      <c r="Z117" s="7" t="str">
        <f t="shared" si="55"/>
        <v>CB764AAA</v>
      </c>
      <c r="AA117" s="7">
        <f t="shared" si="46"/>
        <v>81</v>
      </c>
      <c r="AB117" s="19" t="str">
        <f t="shared" si="56"/>
        <v>火系</v>
      </c>
      <c r="AC117" s="7">
        <v>30</v>
      </c>
      <c r="AD117" s="7">
        <f t="shared" si="47"/>
        <v>230305</v>
      </c>
      <c r="AE117" s="19" t="str">
        <f t="shared" si="48"/>
        <v>土鳗兽</v>
      </c>
      <c r="AF117" s="7" t="str">
        <f t="shared" si="57"/>
        <v>CB733AAA</v>
      </c>
      <c r="AG117" s="7">
        <f t="shared" si="49"/>
        <v>81</v>
      </c>
      <c r="AH117" s="19" t="str">
        <f t="shared" si="58"/>
        <v>龙系</v>
      </c>
      <c r="AI117" s="7">
        <v>30</v>
      </c>
      <c r="AL117" s="7">
        <f t="shared" si="50"/>
        <v>81</v>
      </c>
    </row>
    <row r="118" spans="2:38" x14ac:dyDescent="0.15">
      <c r="B118" s="7">
        <v>114</v>
      </c>
      <c r="C118" s="7">
        <v>2304</v>
      </c>
      <c r="D118" s="7" t="s">
        <v>851</v>
      </c>
      <c r="F118" s="7">
        <f t="shared" si="35"/>
        <v>230401</v>
      </c>
      <c r="I118" s="7">
        <f t="shared" si="36"/>
        <v>82</v>
      </c>
      <c r="J118" s="7">
        <f t="shared" si="51"/>
        <v>0</v>
      </c>
      <c r="K118" s="7">
        <v>30</v>
      </c>
      <c r="L118" s="7">
        <f t="shared" si="37"/>
        <v>230402</v>
      </c>
      <c r="M118" s="7" t="str">
        <f t="shared" si="53"/>
        <v>愤怒蝙蝠</v>
      </c>
      <c r="N118" s="7" t="str">
        <f t="shared" si="59"/>
        <v>CB742AAA</v>
      </c>
      <c r="O118" s="7">
        <f t="shared" si="38"/>
        <v>71</v>
      </c>
      <c r="P118" s="19">
        <f t="shared" si="39"/>
        <v>0</v>
      </c>
      <c r="Q118" s="7">
        <v>10</v>
      </c>
      <c r="R118" s="7">
        <f t="shared" si="40"/>
        <v>230403</v>
      </c>
      <c r="T118" s="7" t="e">
        <f t="shared" si="54"/>
        <v>#N/A</v>
      </c>
      <c r="U118" s="7">
        <f t="shared" si="42"/>
        <v>82</v>
      </c>
      <c r="V118" s="19">
        <f t="shared" si="43"/>
        <v>0</v>
      </c>
      <c r="W118" s="7">
        <v>30</v>
      </c>
      <c r="X118" s="7">
        <f t="shared" si="44"/>
        <v>230404</v>
      </c>
      <c r="Y118" s="19" t="str">
        <f t="shared" si="45"/>
        <v>恐怖泥人</v>
      </c>
      <c r="Z118" s="7" t="str">
        <f t="shared" si="55"/>
        <v>CB411AAA</v>
      </c>
      <c r="AA118" s="7">
        <f t="shared" si="46"/>
        <v>82</v>
      </c>
      <c r="AB118" s="19" t="str">
        <f t="shared" si="56"/>
        <v>僵尸系</v>
      </c>
      <c r="AC118" s="7">
        <v>30</v>
      </c>
      <c r="AD118" s="7">
        <f t="shared" si="47"/>
        <v>230405</v>
      </c>
      <c r="AE118" s="19" t="str">
        <f t="shared" si="48"/>
        <v>恶灵</v>
      </c>
      <c r="AF118" s="7" t="str">
        <f t="shared" si="57"/>
        <v>CB956AAA</v>
      </c>
      <c r="AG118" s="7">
        <f t="shared" si="49"/>
        <v>82</v>
      </c>
      <c r="AH118" s="19" t="str">
        <f t="shared" si="58"/>
        <v>僵尸系</v>
      </c>
      <c r="AI118" s="7">
        <v>30</v>
      </c>
      <c r="AL118" s="7">
        <f t="shared" si="50"/>
        <v>82</v>
      </c>
    </row>
    <row r="119" spans="2:38" x14ac:dyDescent="0.15">
      <c r="B119" s="7">
        <v>115</v>
      </c>
      <c r="C119" s="7">
        <v>2305</v>
      </c>
      <c r="D119" s="7" t="s">
        <v>852</v>
      </c>
      <c r="F119" s="7">
        <f t="shared" si="35"/>
        <v>230501</v>
      </c>
      <c r="I119" s="7">
        <f t="shared" si="36"/>
        <v>82</v>
      </c>
      <c r="J119" s="7">
        <f t="shared" si="51"/>
        <v>0</v>
      </c>
      <c r="K119" s="7">
        <v>30</v>
      </c>
      <c r="L119" s="7">
        <f t="shared" si="37"/>
        <v>230502</v>
      </c>
      <c r="M119" s="7" t="str">
        <f t="shared" si="53"/>
        <v>水之女护卫</v>
      </c>
      <c r="N119" s="7" t="str">
        <f t="shared" si="59"/>
        <v>CB766AAA</v>
      </c>
      <c r="O119" s="7">
        <f t="shared" si="38"/>
        <v>72</v>
      </c>
      <c r="P119" s="19">
        <f t="shared" si="39"/>
        <v>0</v>
      </c>
      <c r="Q119" s="7">
        <v>10</v>
      </c>
      <c r="R119" s="7">
        <f t="shared" si="40"/>
        <v>230503</v>
      </c>
      <c r="T119" s="7" t="e">
        <f t="shared" si="54"/>
        <v>#N/A</v>
      </c>
      <c r="U119" s="7">
        <f t="shared" si="42"/>
        <v>82</v>
      </c>
      <c r="V119" s="19">
        <f t="shared" si="43"/>
        <v>0</v>
      </c>
      <c r="W119" s="7">
        <v>30</v>
      </c>
      <c r="X119" s="7">
        <f t="shared" si="44"/>
        <v>230504</v>
      </c>
      <c r="Y119" s="19" t="str">
        <f t="shared" si="45"/>
        <v>修罗战士</v>
      </c>
      <c r="Z119" s="7" t="str">
        <f t="shared" si="55"/>
        <v>CB231AAA</v>
      </c>
      <c r="AA119" s="7">
        <f t="shared" si="46"/>
        <v>82</v>
      </c>
      <c r="AB119" s="19" t="str">
        <f t="shared" si="56"/>
        <v>僵尸系</v>
      </c>
      <c r="AC119" s="7">
        <v>30</v>
      </c>
      <c r="AD119" s="7">
        <f t="shared" si="47"/>
        <v>230505</v>
      </c>
      <c r="AE119" s="19" t="str">
        <f t="shared" si="48"/>
        <v>水之女护卫</v>
      </c>
      <c r="AF119" s="7" t="str">
        <f t="shared" si="57"/>
        <v>CB766AAA</v>
      </c>
      <c r="AG119" s="7">
        <f t="shared" si="49"/>
        <v>82</v>
      </c>
      <c r="AH119" s="19" t="str">
        <f t="shared" si="58"/>
        <v>水系</v>
      </c>
      <c r="AI119" s="7">
        <v>30</v>
      </c>
      <c r="AL119" s="7">
        <f t="shared" si="50"/>
        <v>82</v>
      </c>
    </row>
    <row r="120" spans="2:38" x14ac:dyDescent="0.15">
      <c r="B120" s="7">
        <v>116</v>
      </c>
      <c r="C120" s="7">
        <v>2401</v>
      </c>
      <c r="D120" s="7" t="s">
        <v>853</v>
      </c>
      <c r="F120" s="7">
        <f t="shared" si="35"/>
        <v>240101</v>
      </c>
      <c r="I120" s="7">
        <f t="shared" si="36"/>
        <v>83</v>
      </c>
      <c r="J120" s="7">
        <f t="shared" si="51"/>
        <v>0</v>
      </c>
      <c r="K120" s="7">
        <v>30</v>
      </c>
      <c r="L120" s="7">
        <f t="shared" si="37"/>
        <v>240102</v>
      </c>
      <c r="M120" s="7" t="str">
        <f t="shared" si="53"/>
        <v>愤怒湖灵</v>
      </c>
      <c r="N120" s="7" t="str">
        <f t="shared" si="59"/>
        <v>CB403AAA</v>
      </c>
      <c r="O120" s="7">
        <f t="shared" si="38"/>
        <v>72</v>
      </c>
      <c r="P120" s="19">
        <f t="shared" si="39"/>
        <v>0</v>
      </c>
      <c r="Q120" s="7">
        <v>10</v>
      </c>
      <c r="R120" s="7">
        <f t="shared" si="40"/>
        <v>240103</v>
      </c>
      <c r="T120" s="7" t="e">
        <f t="shared" si="54"/>
        <v>#N/A</v>
      </c>
      <c r="U120" s="7">
        <f t="shared" si="42"/>
        <v>83</v>
      </c>
      <c r="V120" s="19">
        <f t="shared" si="43"/>
        <v>0</v>
      </c>
      <c r="W120" s="7">
        <v>30</v>
      </c>
      <c r="X120" s="7">
        <f t="shared" si="44"/>
        <v>240104</v>
      </c>
      <c r="Y120" s="19" t="str">
        <f t="shared" si="45"/>
        <v>硬质魔球</v>
      </c>
      <c r="Z120" s="7" t="str">
        <f t="shared" si="55"/>
        <v>CB892AAA</v>
      </c>
      <c r="AA120" s="7">
        <f t="shared" si="46"/>
        <v>83</v>
      </c>
      <c r="AB120" s="19" t="str">
        <f t="shared" si="56"/>
        <v>金属系</v>
      </c>
      <c r="AC120" s="7">
        <v>30</v>
      </c>
      <c r="AD120" s="7">
        <f t="shared" si="47"/>
        <v>240105</v>
      </c>
      <c r="AE120" s="19" t="str">
        <f t="shared" si="48"/>
        <v>水之女护卫</v>
      </c>
      <c r="AF120" s="7" t="str">
        <f t="shared" si="57"/>
        <v>CB766AAA</v>
      </c>
      <c r="AG120" s="7">
        <f t="shared" si="49"/>
        <v>83</v>
      </c>
      <c r="AH120" s="19" t="str">
        <f t="shared" si="58"/>
        <v>水系</v>
      </c>
      <c r="AI120" s="7">
        <v>30</v>
      </c>
      <c r="AL120" s="7">
        <f t="shared" si="50"/>
        <v>83</v>
      </c>
    </row>
    <row r="121" spans="2:38" x14ac:dyDescent="0.15">
      <c r="B121" s="7">
        <v>117</v>
      </c>
      <c r="C121" s="7">
        <v>2402</v>
      </c>
      <c r="D121" s="7" t="s">
        <v>854</v>
      </c>
      <c r="F121" s="7">
        <f t="shared" si="35"/>
        <v>240201</v>
      </c>
      <c r="I121" s="7">
        <f t="shared" si="36"/>
        <v>84</v>
      </c>
      <c r="J121" s="7">
        <f t="shared" si="51"/>
        <v>0</v>
      </c>
      <c r="K121" s="7">
        <v>30</v>
      </c>
      <c r="L121" s="7">
        <f t="shared" si="37"/>
        <v>240202</v>
      </c>
      <c r="M121" s="7" t="str">
        <f t="shared" si="53"/>
        <v>光恶魔</v>
      </c>
      <c r="N121" s="7" t="str">
        <f t="shared" si="59"/>
        <v>CB853AAA</v>
      </c>
      <c r="O121" s="7">
        <f t="shared" si="38"/>
        <v>73</v>
      </c>
      <c r="P121" s="19">
        <f t="shared" si="39"/>
        <v>0</v>
      </c>
      <c r="Q121" s="7">
        <v>10</v>
      </c>
      <c r="R121" s="7">
        <f t="shared" si="40"/>
        <v>240203</v>
      </c>
      <c r="T121" s="7" t="e">
        <f t="shared" si="54"/>
        <v>#N/A</v>
      </c>
      <c r="U121" s="7">
        <f t="shared" si="42"/>
        <v>84</v>
      </c>
      <c r="V121" s="19">
        <f t="shared" si="43"/>
        <v>0</v>
      </c>
      <c r="W121" s="7">
        <v>30</v>
      </c>
      <c r="X121" s="7">
        <f t="shared" si="44"/>
        <v>240204</v>
      </c>
      <c r="Y121" s="19" t="str">
        <f t="shared" si="45"/>
        <v>光之女护卫</v>
      </c>
      <c r="Z121" s="7" t="str">
        <f t="shared" si="55"/>
        <v>CB767AAA</v>
      </c>
      <c r="AA121" s="7">
        <f t="shared" si="46"/>
        <v>84</v>
      </c>
      <c r="AB121" s="19" t="str">
        <f t="shared" si="56"/>
        <v>光系</v>
      </c>
      <c r="AC121" s="7">
        <v>30</v>
      </c>
      <c r="AD121" s="7">
        <f t="shared" si="47"/>
        <v>240205</v>
      </c>
      <c r="AE121" s="19" t="str">
        <f t="shared" si="48"/>
        <v>黑暗盗贼</v>
      </c>
      <c r="AF121" s="7" t="str">
        <f t="shared" si="57"/>
        <v>CB225AAA</v>
      </c>
      <c r="AG121" s="7">
        <f t="shared" si="49"/>
        <v>84</v>
      </c>
      <c r="AH121" s="19" t="str">
        <f t="shared" si="58"/>
        <v>暗系</v>
      </c>
      <c r="AI121" s="7">
        <v>30</v>
      </c>
      <c r="AL121" s="7">
        <f t="shared" si="50"/>
        <v>84</v>
      </c>
    </row>
    <row r="122" spans="2:38" x14ac:dyDescent="0.15">
      <c r="B122" s="7">
        <v>118</v>
      </c>
      <c r="C122" s="7">
        <v>2403</v>
      </c>
      <c r="D122" s="7" t="s">
        <v>855</v>
      </c>
      <c r="F122" s="7">
        <f t="shared" si="35"/>
        <v>240301</v>
      </c>
      <c r="I122" s="7">
        <f t="shared" si="36"/>
        <v>84</v>
      </c>
      <c r="J122" s="7">
        <f t="shared" si="51"/>
        <v>0</v>
      </c>
      <c r="K122" s="7">
        <v>30</v>
      </c>
      <c r="L122" s="7">
        <f t="shared" si="37"/>
        <v>240302</v>
      </c>
      <c r="M122" s="7" t="str">
        <f t="shared" si="53"/>
        <v>土色独眼巨人</v>
      </c>
      <c r="N122" s="7" t="str">
        <f t="shared" si="59"/>
        <v>CB371AAA</v>
      </c>
      <c r="O122" s="7">
        <f t="shared" si="38"/>
        <v>73</v>
      </c>
      <c r="P122" s="19">
        <f t="shared" si="39"/>
        <v>0</v>
      </c>
      <c r="Q122" s="7">
        <v>10</v>
      </c>
      <c r="R122" s="7">
        <f t="shared" si="40"/>
        <v>240303</v>
      </c>
      <c r="T122" s="7" t="e">
        <f t="shared" si="54"/>
        <v>#N/A</v>
      </c>
      <c r="U122" s="7">
        <f t="shared" si="42"/>
        <v>84</v>
      </c>
      <c r="V122" s="19">
        <f t="shared" si="43"/>
        <v>0</v>
      </c>
      <c r="W122" s="7">
        <v>30</v>
      </c>
      <c r="X122" s="7">
        <f t="shared" si="44"/>
        <v>240304</v>
      </c>
      <c r="Y122" s="19" t="str">
        <f t="shared" si="45"/>
        <v>幽怨湖灵</v>
      </c>
      <c r="Z122" s="7" t="str">
        <f t="shared" si="55"/>
        <v>CB401AAA</v>
      </c>
      <c r="AA122" s="7">
        <f t="shared" si="46"/>
        <v>84</v>
      </c>
      <c r="AB122" s="19" t="str">
        <f t="shared" si="56"/>
        <v>水系</v>
      </c>
      <c r="AC122" s="7">
        <v>30</v>
      </c>
      <c r="AD122" s="7">
        <f t="shared" si="47"/>
        <v>240305</v>
      </c>
      <c r="AE122" s="19" t="str">
        <f t="shared" si="48"/>
        <v>魔鬼幽魂</v>
      </c>
      <c r="AF122" s="7" t="str">
        <f t="shared" si="57"/>
        <v>CB811AAA</v>
      </c>
      <c r="AG122" s="7">
        <f t="shared" si="49"/>
        <v>84</v>
      </c>
      <c r="AH122" s="19" t="str">
        <f t="shared" si="58"/>
        <v>飞行系</v>
      </c>
      <c r="AI122" s="7">
        <v>30</v>
      </c>
      <c r="AL122" s="7">
        <f t="shared" si="50"/>
        <v>84</v>
      </c>
    </row>
    <row r="123" spans="2:38" x14ac:dyDescent="0.15">
      <c r="B123" s="7">
        <v>119</v>
      </c>
      <c r="C123" s="7">
        <v>2404</v>
      </c>
      <c r="D123" s="7" t="s">
        <v>856</v>
      </c>
      <c r="F123" s="7">
        <f t="shared" si="35"/>
        <v>240401</v>
      </c>
      <c r="I123" s="7">
        <f t="shared" si="36"/>
        <v>85</v>
      </c>
      <c r="J123" s="7">
        <f t="shared" si="51"/>
        <v>0</v>
      </c>
      <c r="K123" s="7">
        <v>30</v>
      </c>
      <c r="L123" s="7">
        <f t="shared" si="37"/>
        <v>240402</v>
      </c>
      <c r="M123" s="7" t="str">
        <f t="shared" si="53"/>
        <v>炎之虚幻</v>
      </c>
      <c r="N123" s="7" t="str">
        <f t="shared" si="59"/>
        <v>CB762AAA</v>
      </c>
      <c r="O123" s="7">
        <f t="shared" si="38"/>
        <v>74</v>
      </c>
      <c r="P123" s="19">
        <f t="shared" si="39"/>
        <v>0</v>
      </c>
      <c r="Q123" s="7">
        <v>10</v>
      </c>
      <c r="R123" s="7">
        <f t="shared" si="40"/>
        <v>240403</v>
      </c>
      <c r="T123" s="7" t="e">
        <f t="shared" si="54"/>
        <v>#N/A</v>
      </c>
      <c r="U123" s="7">
        <f t="shared" si="42"/>
        <v>85</v>
      </c>
      <c r="V123" s="19">
        <f t="shared" si="43"/>
        <v>0</v>
      </c>
      <c r="W123" s="7">
        <v>30</v>
      </c>
      <c r="X123" s="7">
        <f t="shared" si="44"/>
        <v>240404</v>
      </c>
      <c r="Y123" s="19" t="str">
        <f t="shared" si="45"/>
        <v>恶魔</v>
      </c>
      <c r="Z123" s="7" t="str">
        <f t="shared" si="55"/>
        <v>CB507AAA</v>
      </c>
      <c r="AA123" s="7">
        <f t="shared" si="46"/>
        <v>85</v>
      </c>
      <c r="AB123" s="19" t="str">
        <f t="shared" si="56"/>
        <v>飞行系</v>
      </c>
      <c r="AC123" s="7">
        <v>30</v>
      </c>
      <c r="AD123" s="7">
        <f t="shared" si="47"/>
        <v>240405</v>
      </c>
      <c r="AE123" s="19" t="str">
        <f t="shared" si="48"/>
        <v>水恶魔</v>
      </c>
      <c r="AF123" s="7" t="str">
        <f t="shared" si="57"/>
        <v>CB852AAA</v>
      </c>
      <c r="AG123" s="7">
        <f t="shared" si="49"/>
        <v>85</v>
      </c>
      <c r="AH123" s="19" t="str">
        <f t="shared" si="58"/>
        <v>水系</v>
      </c>
      <c r="AI123" s="7">
        <v>30</v>
      </c>
      <c r="AL123" s="7">
        <f t="shared" si="50"/>
        <v>85</v>
      </c>
    </row>
    <row r="124" spans="2:38" x14ac:dyDescent="0.15">
      <c r="B124" s="7">
        <v>120</v>
      </c>
      <c r="C124" s="7">
        <v>2405</v>
      </c>
      <c r="D124" s="7" t="s">
        <v>857</v>
      </c>
      <c r="F124" s="7">
        <f t="shared" si="35"/>
        <v>240501</v>
      </c>
      <c r="I124" s="7">
        <f t="shared" si="36"/>
        <v>86</v>
      </c>
      <c r="J124" s="7">
        <f t="shared" si="51"/>
        <v>0</v>
      </c>
      <c r="K124" s="7">
        <v>30</v>
      </c>
      <c r="L124" s="7">
        <f t="shared" si="37"/>
        <v>240502</v>
      </c>
      <c r="M124" s="7" t="str">
        <f t="shared" si="53"/>
        <v>光之女护卫</v>
      </c>
      <c r="N124" s="7" t="str">
        <f t="shared" si="59"/>
        <v>CB767AAA</v>
      </c>
      <c r="O124" s="7">
        <f t="shared" si="38"/>
        <v>74</v>
      </c>
      <c r="P124" s="19">
        <f t="shared" si="39"/>
        <v>0</v>
      </c>
      <c r="Q124" s="7">
        <v>10</v>
      </c>
      <c r="R124" s="7">
        <f t="shared" si="40"/>
        <v>240503</v>
      </c>
      <c r="T124" s="7" t="e">
        <f t="shared" si="54"/>
        <v>#N/A</v>
      </c>
      <c r="U124" s="7">
        <f t="shared" si="42"/>
        <v>86</v>
      </c>
      <c r="V124" s="19">
        <f t="shared" si="43"/>
        <v>0</v>
      </c>
      <c r="W124" s="7">
        <v>30</v>
      </c>
      <c r="X124" s="7">
        <f t="shared" si="44"/>
        <v>240504</v>
      </c>
      <c r="Y124" s="19" t="str">
        <f t="shared" si="45"/>
        <v>光恶魔</v>
      </c>
      <c r="Z124" s="7" t="str">
        <f t="shared" si="55"/>
        <v>CB853AAA</v>
      </c>
      <c r="AA124" s="7">
        <f t="shared" si="46"/>
        <v>86</v>
      </c>
      <c r="AB124" s="19" t="str">
        <f t="shared" si="56"/>
        <v>光系</v>
      </c>
      <c r="AC124" s="7">
        <v>30</v>
      </c>
      <c r="AD124" s="7">
        <f t="shared" si="47"/>
        <v>240505</v>
      </c>
      <c r="AE124" s="19" t="str">
        <f t="shared" si="48"/>
        <v>火魔晶</v>
      </c>
      <c r="AF124" s="7" t="str">
        <f t="shared" si="57"/>
        <v>CB897AAA</v>
      </c>
      <c r="AG124" s="7">
        <f t="shared" si="49"/>
        <v>86</v>
      </c>
      <c r="AH124" s="19" t="str">
        <f t="shared" si="58"/>
        <v>火系</v>
      </c>
      <c r="AI124" s="7">
        <v>30</v>
      </c>
      <c r="AL124" s="7">
        <f t="shared" si="50"/>
        <v>86</v>
      </c>
    </row>
    <row r="125" spans="2:38" x14ac:dyDescent="0.15">
      <c r="B125" s="7">
        <v>121</v>
      </c>
      <c r="C125" s="7">
        <v>2501</v>
      </c>
      <c r="D125" s="7" t="s">
        <v>856</v>
      </c>
      <c r="F125" s="7">
        <f t="shared" si="35"/>
        <v>250101</v>
      </c>
      <c r="I125" s="7">
        <f t="shared" si="36"/>
        <v>86</v>
      </c>
      <c r="J125" s="7">
        <f t="shared" si="51"/>
        <v>0</v>
      </c>
      <c r="K125" s="7">
        <v>30</v>
      </c>
      <c r="L125" s="7">
        <f t="shared" si="37"/>
        <v>250102</v>
      </c>
      <c r="M125" s="7" t="str">
        <f t="shared" si="53"/>
        <v>恐怖泥人</v>
      </c>
      <c r="N125" s="7" t="str">
        <f t="shared" si="59"/>
        <v>CB411AAA</v>
      </c>
      <c r="O125" s="7">
        <f t="shared" si="38"/>
        <v>75</v>
      </c>
      <c r="P125" s="19">
        <f t="shared" si="39"/>
        <v>0</v>
      </c>
      <c r="Q125" s="7">
        <v>10</v>
      </c>
      <c r="R125" s="7">
        <f t="shared" si="40"/>
        <v>250103</v>
      </c>
      <c r="T125" s="7" t="e">
        <f t="shared" si="54"/>
        <v>#N/A</v>
      </c>
      <c r="U125" s="7">
        <f t="shared" si="42"/>
        <v>86</v>
      </c>
      <c r="V125" s="19">
        <f t="shared" si="43"/>
        <v>0</v>
      </c>
      <c r="W125" s="7">
        <v>30</v>
      </c>
      <c r="X125" s="7">
        <f t="shared" si="44"/>
        <v>250104</v>
      </c>
      <c r="Y125" s="19" t="str">
        <f t="shared" si="45"/>
        <v>铠甲怪</v>
      </c>
      <c r="Z125" s="7" t="str">
        <f t="shared" si="55"/>
        <v>CB862AAA</v>
      </c>
      <c r="AA125" s="7">
        <f t="shared" si="46"/>
        <v>86</v>
      </c>
      <c r="AB125" s="19" t="str">
        <f t="shared" si="56"/>
        <v>金属系</v>
      </c>
      <c r="AC125" s="7">
        <v>30</v>
      </c>
      <c r="AD125" s="7">
        <f t="shared" si="47"/>
        <v>250105</v>
      </c>
      <c r="AE125" s="19" t="str">
        <f t="shared" si="48"/>
        <v>土色独眼巨人</v>
      </c>
      <c r="AF125" s="7" t="str">
        <f t="shared" si="57"/>
        <v>CB371AAA</v>
      </c>
      <c r="AG125" s="7">
        <f t="shared" si="49"/>
        <v>86</v>
      </c>
      <c r="AH125" s="19" t="str">
        <f t="shared" si="58"/>
        <v>土系</v>
      </c>
      <c r="AI125" s="7">
        <v>30</v>
      </c>
      <c r="AL125" s="7">
        <f t="shared" si="50"/>
        <v>86</v>
      </c>
    </row>
    <row r="126" spans="2:38" x14ac:dyDescent="0.15">
      <c r="B126" s="7">
        <v>122</v>
      </c>
      <c r="C126" s="7">
        <v>2502</v>
      </c>
      <c r="D126" s="7" t="s">
        <v>857</v>
      </c>
      <c r="F126" s="7">
        <f t="shared" si="35"/>
        <v>250201</v>
      </c>
      <c r="I126" s="7">
        <f t="shared" si="36"/>
        <v>87</v>
      </c>
      <c r="J126" s="7">
        <f t="shared" si="51"/>
        <v>0</v>
      </c>
      <c r="K126" s="7">
        <v>30</v>
      </c>
      <c r="L126" s="7">
        <f t="shared" si="37"/>
        <v>250202</v>
      </c>
      <c r="M126" s="7" t="str">
        <f t="shared" si="53"/>
        <v>炎之虚幻</v>
      </c>
      <c r="N126" s="7" t="str">
        <f t="shared" si="59"/>
        <v>CB762AAA</v>
      </c>
      <c r="O126" s="7">
        <f t="shared" si="38"/>
        <v>75</v>
      </c>
      <c r="P126" s="19">
        <f t="shared" si="39"/>
        <v>0</v>
      </c>
      <c r="Q126" s="7">
        <v>10</v>
      </c>
      <c r="R126" s="7">
        <f t="shared" si="40"/>
        <v>250203</v>
      </c>
      <c r="T126" s="7" t="e">
        <f t="shared" si="54"/>
        <v>#N/A</v>
      </c>
      <c r="U126" s="7">
        <f t="shared" si="42"/>
        <v>87</v>
      </c>
      <c r="V126" s="19">
        <f t="shared" si="43"/>
        <v>0</v>
      </c>
      <c r="W126" s="7">
        <v>30</v>
      </c>
      <c r="X126" s="7">
        <f t="shared" si="44"/>
        <v>250204</v>
      </c>
      <c r="Y126" s="19" t="str">
        <f t="shared" si="45"/>
        <v>小蝙蝠</v>
      </c>
      <c r="Z126" s="7" t="str">
        <f t="shared" si="55"/>
        <v>CB741AAA</v>
      </c>
      <c r="AA126" s="7">
        <f t="shared" si="46"/>
        <v>87</v>
      </c>
      <c r="AB126" s="19" t="str">
        <f t="shared" si="56"/>
        <v>飞行系</v>
      </c>
      <c r="AC126" s="7">
        <v>30</v>
      </c>
      <c r="AD126" s="7">
        <f t="shared" si="47"/>
        <v>250205</v>
      </c>
      <c r="AE126" s="19" t="str">
        <f t="shared" si="48"/>
        <v>翼龙兽</v>
      </c>
      <c r="AF126" s="7" t="str">
        <f t="shared" si="57"/>
        <v>CB736AAA</v>
      </c>
      <c r="AG126" s="7">
        <f t="shared" si="49"/>
        <v>87</v>
      </c>
      <c r="AH126" s="19" t="str">
        <f t="shared" si="58"/>
        <v>龙系</v>
      </c>
      <c r="AI126" s="7">
        <v>30</v>
      </c>
      <c r="AL126" s="7">
        <f t="shared" si="50"/>
        <v>87</v>
      </c>
    </row>
    <row r="127" spans="2:38" x14ac:dyDescent="0.15">
      <c r="B127" s="7">
        <v>123</v>
      </c>
      <c r="C127" s="7">
        <v>2503</v>
      </c>
      <c r="D127" s="7" t="s">
        <v>856</v>
      </c>
      <c r="F127" s="7">
        <f t="shared" si="35"/>
        <v>250301</v>
      </c>
      <c r="I127" s="7">
        <f t="shared" si="36"/>
        <v>88</v>
      </c>
      <c r="J127" s="7">
        <f t="shared" si="51"/>
        <v>0</v>
      </c>
      <c r="K127" s="7">
        <v>30</v>
      </c>
      <c r="L127" s="7">
        <f t="shared" si="37"/>
        <v>250302</v>
      </c>
      <c r="M127" s="7" t="str">
        <f t="shared" si="53"/>
        <v>炎魔晶</v>
      </c>
      <c r="N127" s="7" t="str">
        <f t="shared" si="59"/>
        <v>CB897AAA</v>
      </c>
      <c r="O127" s="7">
        <f t="shared" si="38"/>
        <v>76</v>
      </c>
      <c r="P127" s="19">
        <f t="shared" si="39"/>
        <v>0</v>
      </c>
      <c r="Q127" s="7">
        <v>10</v>
      </c>
      <c r="R127" s="7">
        <f t="shared" si="40"/>
        <v>250303</v>
      </c>
      <c r="T127" s="7" t="e">
        <f t="shared" si="54"/>
        <v>#N/A</v>
      </c>
      <c r="U127" s="7">
        <f t="shared" si="42"/>
        <v>88</v>
      </c>
      <c r="V127" s="19">
        <f t="shared" si="43"/>
        <v>0</v>
      </c>
      <c r="W127" s="7">
        <v>30</v>
      </c>
      <c r="X127" s="7">
        <f t="shared" si="44"/>
        <v>250304</v>
      </c>
      <c r="Y127" s="19" t="str">
        <f t="shared" si="45"/>
        <v>土鳗兽</v>
      </c>
      <c r="Z127" s="7" t="str">
        <f t="shared" si="55"/>
        <v>CB733AAA</v>
      </c>
      <c r="AA127" s="7">
        <f t="shared" si="46"/>
        <v>88</v>
      </c>
      <c r="AB127" s="19" t="str">
        <f t="shared" si="56"/>
        <v>龙系</v>
      </c>
      <c r="AC127" s="7">
        <v>30</v>
      </c>
      <c r="AD127" s="7">
        <f t="shared" si="47"/>
        <v>250305</v>
      </c>
      <c r="AE127" s="19" t="str">
        <f t="shared" si="48"/>
        <v>恶魔蝙蝠</v>
      </c>
      <c r="AF127" s="7" t="str">
        <f t="shared" si="57"/>
        <v>CB742AAA</v>
      </c>
      <c r="AG127" s="7">
        <f t="shared" si="49"/>
        <v>88</v>
      </c>
      <c r="AH127" s="19" t="str">
        <f t="shared" si="58"/>
        <v>飞行系</v>
      </c>
      <c r="AI127" s="7">
        <v>30</v>
      </c>
      <c r="AL127" s="7">
        <f t="shared" si="50"/>
        <v>88</v>
      </c>
    </row>
    <row r="128" spans="2:38" x14ac:dyDescent="0.15">
      <c r="B128" s="7">
        <v>124</v>
      </c>
      <c r="C128" s="7">
        <v>2504</v>
      </c>
      <c r="D128" s="7" t="s">
        <v>857</v>
      </c>
      <c r="F128" s="7">
        <f t="shared" si="35"/>
        <v>250401</v>
      </c>
      <c r="I128" s="7">
        <f t="shared" si="36"/>
        <v>88</v>
      </c>
      <c r="J128" s="7">
        <f t="shared" si="51"/>
        <v>0</v>
      </c>
      <c r="K128" s="7">
        <v>30</v>
      </c>
      <c r="L128" s="7">
        <f t="shared" si="37"/>
        <v>250402</v>
      </c>
      <c r="M128" s="7" t="str">
        <f t="shared" si="53"/>
        <v>水之女护卫</v>
      </c>
      <c r="N128" s="7" t="str">
        <f t="shared" si="59"/>
        <v>CB766AAA</v>
      </c>
      <c r="O128" s="7">
        <f t="shared" si="38"/>
        <v>77</v>
      </c>
      <c r="P128" s="19">
        <f t="shared" si="39"/>
        <v>0</v>
      </c>
      <c r="Q128" s="7">
        <v>10</v>
      </c>
      <c r="R128" s="7">
        <f t="shared" si="40"/>
        <v>250403</v>
      </c>
      <c r="T128" s="7" t="e">
        <f t="shared" si="54"/>
        <v>#N/A</v>
      </c>
      <c r="U128" s="7">
        <f t="shared" si="42"/>
        <v>88</v>
      </c>
      <c r="V128" s="19">
        <f t="shared" si="43"/>
        <v>0</v>
      </c>
      <c r="W128" s="7">
        <v>30</v>
      </c>
      <c r="X128" s="7">
        <f t="shared" si="44"/>
        <v>250404</v>
      </c>
      <c r="Y128" s="19" t="str">
        <f t="shared" si="45"/>
        <v>狂躁巨人</v>
      </c>
      <c r="Z128" s="7" t="str">
        <f t="shared" si="55"/>
        <v>CB372AAA</v>
      </c>
      <c r="AA128" s="7">
        <f t="shared" si="46"/>
        <v>88</v>
      </c>
      <c r="AB128" s="19" t="str">
        <f t="shared" si="56"/>
        <v>金属系</v>
      </c>
      <c r="AC128" s="7">
        <v>30</v>
      </c>
      <c r="AD128" s="7">
        <f t="shared" si="47"/>
        <v>250405</v>
      </c>
      <c r="AE128" s="19" t="str">
        <f t="shared" si="48"/>
        <v>小蝙蝠</v>
      </c>
      <c r="AF128" s="7" t="str">
        <f t="shared" si="57"/>
        <v>CB741AAA</v>
      </c>
      <c r="AG128" s="7">
        <f t="shared" si="49"/>
        <v>88</v>
      </c>
      <c r="AH128" s="19" t="str">
        <f t="shared" si="58"/>
        <v>飞行系</v>
      </c>
      <c r="AI128" s="7">
        <v>30</v>
      </c>
      <c r="AL128" s="7">
        <f t="shared" si="50"/>
        <v>88</v>
      </c>
    </row>
    <row r="129" spans="2:38" x14ac:dyDescent="0.15">
      <c r="B129" s="7">
        <v>125</v>
      </c>
      <c r="C129" s="7">
        <v>2505</v>
      </c>
      <c r="D129" s="7" t="s">
        <v>856</v>
      </c>
      <c r="F129" s="7">
        <f t="shared" si="35"/>
        <v>250501</v>
      </c>
      <c r="I129" s="7">
        <f t="shared" si="36"/>
        <v>89</v>
      </c>
      <c r="J129" s="7">
        <f t="shared" si="51"/>
        <v>0</v>
      </c>
      <c r="K129" s="7">
        <v>30</v>
      </c>
      <c r="L129" s="7">
        <f t="shared" si="37"/>
        <v>250502</v>
      </c>
      <c r="M129" s="7" t="str">
        <f t="shared" si="53"/>
        <v>铠甲怪</v>
      </c>
      <c r="N129" s="7" t="str">
        <f t="shared" si="59"/>
        <v>CB862AAA</v>
      </c>
      <c r="O129" s="7">
        <f t="shared" si="38"/>
        <v>77</v>
      </c>
      <c r="P129" s="19">
        <f t="shared" si="39"/>
        <v>0</v>
      </c>
      <c r="Q129" s="7">
        <v>10</v>
      </c>
      <c r="R129" s="7">
        <f t="shared" si="40"/>
        <v>250503</v>
      </c>
      <c r="T129" s="7" t="e">
        <f t="shared" si="54"/>
        <v>#N/A</v>
      </c>
      <c r="U129" s="7">
        <f t="shared" si="42"/>
        <v>89</v>
      </c>
      <c r="V129" s="19">
        <f t="shared" si="43"/>
        <v>0</v>
      </c>
      <c r="W129" s="7">
        <v>30</v>
      </c>
      <c r="X129" s="7">
        <f t="shared" si="44"/>
        <v>250504</v>
      </c>
      <c r="Y129" s="19" t="str">
        <f t="shared" si="45"/>
        <v>光魔鬼</v>
      </c>
      <c r="Z129" s="7" t="str">
        <f t="shared" si="55"/>
        <v>CB432AAA</v>
      </c>
      <c r="AA129" s="7">
        <f t="shared" si="46"/>
        <v>89</v>
      </c>
      <c r="AB129" s="19" t="str">
        <f t="shared" si="56"/>
        <v>光系</v>
      </c>
      <c r="AC129" s="7">
        <v>30</v>
      </c>
      <c r="AD129" s="7">
        <f t="shared" si="47"/>
        <v>250505</v>
      </c>
      <c r="AE129" s="19" t="str">
        <f t="shared" si="48"/>
        <v xml:space="preserve">雷魔晶 </v>
      </c>
      <c r="AF129" s="7" t="str">
        <f t="shared" si="57"/>
        <v>CB898AAA</v>
      </c>
      <c r="AG129" s="7">
        <f t="shared" si="49"/>
        <v>89</v>
      </c>
      <c r="AH129" s="19" t="str">
        <f t="shared" si="58"/>
        <v>雷系</v>
      </c>
      <c r="AI129" s="7">
        <v>30</v>
      </c>
      <c r="AL129" s="7">
        <f t="shared" si="50"/>
        <v>89</v>
      </c>
    </row>
    <row r="130" spans="2:38" x14ac:dyDescent="0.15">
      <c r="B130" s="7">
        <v>126</v>
      </c>
      <c r="C130" s="7">
        <v>2601</v>
      </c>
      <c r="D130" s="7" t="s">
        <v>857</v>
      </c>
      <c r="F130" s="7">
        <f t="shared" si="35"/>
        <v>260101</v>
      </c>
      <c r="I130" s="7">
        <f t="shared" si="36"/>
        <v>90</v>
      </c>
      <c r="J130" s="7">
        <f t="shared" si="51"/>
        <v>0</v>
      </c>
      <c r="K130" s="7">
        <v>30</v>
      </c>
      <c r="L130" s="7">
        <f t="shared" si="37"/>
        <v>260102</v>
      </c>
      <c r="M130" s="7" t="str">
        <f t="shared" si="53"/>
        <v>黑暗盗贼</v>
      </c>
      <c r="N130" s="7" t="str">
        <f t="shared" si="59"/>
        <v>CB225AAA</v>
      </c>
      <c r="O130" s="7">
        <f t="shared" si="38"/>
        <v>78</v>
      </c>
      <c r="P130" s="19">
        <f t="shared" si="39"/>
        <v>0</v>
      </c>
      <c r="Q130" s="7">
        <v>10</v>
      </c>
      <c r="R130" s="7">
        <f t="shared" si="40"/>
        <v>260103</v>
      </c>
      <c r="T130" s="7" t="e">
        <f t="shared" si="54"/>
        <v>#N/A</v>
      </c>
      <c r="U130" s="7">
        <f t="shared" si="42"/>
        <v>90</v>
      </c>
      <c r="V130" s="19">
        <f t="shared" si="43"/>
        <v>0</v>
      </c>
      <c r="W130" s="7">
        <v>30</v>
      </c>
      <c r="X130" s="7">
        <f t="shared" si="44"/>
        <v>260104</v>
      </c>
      <c r="Y130" s="19" t="str">
        <f t="shared" si="45"/>
        <v>狂舞蜘蛛</v>
      </c>
      <c r="Z130" s="7" t="str">
        <f t="shared" si="55"/>
        <v>CB611AAA</v>
      </c>
      <c r="AA130" s="7">
        <f t="shared" si="46"/>
        <v>90</v>
      </c>
      <c r="AB130" s="19" t="str">
        <f t="shared" si="56"/>
        <v>风系</v>
      </c>
      <c r="AC130" s="7">
        <v>30</v>
      </c>
      <c r="AD130" s="7">
        <f t="shared" si="47"/>
        <v>260105</v>
      </c>
      <c r="AE130" s="19" t="str">
        <f t="shared" si="48"/>
        <v>魔鬼幽魂</v>
      </c>
      <c r="AF130" s="7" t="str">
        <f t="shared" si="57"/>
        <v>CB811AAA</v>
      </c>
      <c r="AG130" s="7">
        <f t="shared" si="49"/>
        <v>90</v>
      </c>
      <c r="AH130" s="19" t="str">
        <f t="shared" si="58"/>
        <v>飞行系</v>
      </c>
      <c r="AI130" s="7">
        <v>30</v>
      </c>
      <c r="AL130" s="7">
        <f t="shared" si="50"/>
        <v>90</v>
      </c>
    </row>
    <row r="131" spans="2:38" x14ac:dyDescent="0.15">
      <c r="B131" s="7">
        <v>127</v>
      </c>
      <c r="C131" s="7">
        <v>2602</v>
      </c>
      <c r="D131" s="7" t="s">
        <v>856</v>
      </c>
      <c r="F131" s="7">
        <f t="shared" si="35"/>
        <v>260201</v>
      </c>
      <c r="I131" s="7">
        <f t="shared" si="36"/>
        <v>90</v>
      </c>
      <c r="J131" s="7">
        <f t="shared" si="51"/>
        <v>0</v>
      </c>
      <c r="K131" s="7">
        <v>30</v>
      </c>
      <c r="L131" s="7">
        <f t="shared" si="37"/>
        <v>260202</v>
      </c>
      <c r="M131" s="7" t="str">
        <f t="shared" si="53"/>
        <v>碧蓝湖灵</v>
      </c>
      <c r="N131" s="7" t="str">
        <f t="shared" si="59"/>
        <v>CB401AAA</v>
      </c>
      <c r="O131" s="7">
        <f t="shared" si="38"/>
        <v>78</v>
      </c>
      <c r="P131" s="19">
        <f t="shared" si="39"/>
        <v>0</v>
      </c>
      <c r="Q131" s="7">
        <v>10</v>
      </c>
      <c r="R131" s="7">
        <f t="shared" si="40"/>
        <v>260203</v>
      </c>
      <c r="T131" s="7" t="e">
        <f t="shared" si="54"/>
        <v>#N/A</v>
      </c>
      <c r="U131" s="7">
        <f t="shared" si="42"/>
        <v>90</v>
      </c>
      <c r="V131" s="19">
        <f t="shared" si="43"/>
        <v>0</v>
      </c>
      <c r="W131" s="7">
        <v>30</v>
      </c>
      <c r="X131" s="7">
        <f t="shared" si="44"/>
        <v>260204</v>
      </c>
      <c r="Y131" s="19" t="str">
        <f t="shared" si="45"/>
        <v xml:space="preserve">雷魔晶 </v>
      </c>
      <c r="Z131" s="7" t="str">
        <f t="shared" si="55"/>
        <v>CB898AAA</v>
      </c>
      <c r="AA131" s="7">
        <f t="shared" si="46"/>
        <v>90</v>
      </c>
      <c r="AB131" s="19" t="str">
        <f t="shared" si="56"/>
        <v>雷系</v>
      </c>
      <c r="AC131" s="7">
        <v>30</v>
      </c>
      <c r="AD131" s="7">
        <f t="shared" si="47"/>
        <v>260205</v>
      </c>
      <c r="AE131" s="19" t="str">
        <f t="shared" si="48"/>
        <v>硬质魔球</v>
      </c>
      <c r="AF131" s="7" t="str">
        <f t="shared" si="57"/>
        <v>CB892AAA</v>
      </c>
      <c r="AG131" s="7">
        <f t="shared" si="49"/>
        <v>90</v>
      </c>
      <c r="AH131" s="19" t="str">
        <f t="shared" si="58"/>
        <v>金属系</v>
      </c>
      <c r="AI131" s="7">
        <v>30</v>
      </c>
      <c r="AL131" s="7">
        <f t="shared" si="50"/>
        <v>90</v>
      </c>
    </row>
    <row r="132" spans="2:38" x14ac:dyDescent="0.15">
      <c r="B132" s="7">
        <v>128</v>
      </c>
      <c r="C132" s="7">
        <v>2603</v>
      </c>
      <c r="D132" s="7" t="s">
        <v>857</v>
      </c>
      <c r="F132" s="7">
        <f t="shared" si="35"/>
        <v>260301</v>
      </c>
      <c r="I132" s="7">
        <f t="shared" si="36"/>
        <v>91</v>
      </c>
      <c r="J132" s="7">
        <f t="shared" si="51"/>
        <v>0</v>
      </c>
      <c r="K132" s="7">
        <v>30</v>
      </c>
      <c r="L132" s="7">
        <f t="shared" si="37"/>
        <v>260302</v>
      </c>
      <c r="M132" s="7" t="str">
        <f t="shared" si="53"/>
        <v>硬质魔球</v>
      </c>
      <c r="N132" s="7" t="str">
        <f t="shared" si="59"/>
        <v>CB892AAA</v>
      </c>
      <c r="O132" s="7">
        <f t="shared" si="38"/>
        <v>79</v>
      </c>
      <c r="P132" s="19">
        <f t="shared" si="39"/>
        <v>0</v>
      </c>
      <c r="Q132" s="7">
        <v>10</v>
      </c>
      <c r="R132" s="7">
        <f t="shared" si="40"/>
        <v>260303</v>
      </c>
      <c r="T132" s="7" t="e">
        <f t="shared" si="54"/>
        <v>#N/A</v>
      </c>
      <c r="U132" s="7">
        <f t="shared" si="42"/>
        <v>91</v>
      </c>
      <c r="V132" s="19">
        <f t="shared" si="43"/>
        <v>0</v>
      </c>
      <c r="W132" s="7">
        <v>30</v>
      </c>
      <c r="X132" s="7">
        <f t="shared" si="44"/>
        <v>260304</v>
      </c>
      <c r="Y132" s="19" t="str">
        <f t="shared" si="45"/>
        <v>火泥怪</v>
      </c>
      <c r="Z132" s="7" t="str">
        <f t="shared" si="55"/>
        <v>CB760AAA</v>
      </c>
      <c r="AA132" s="7">
        <f t="shared" si="46"/>
        <v>91</v>
      </c>
      <c r="AB132" s="19" t="str">
        <f t="shared" si="56"/>
        <v>火系</v>
      </c>
      <c r="AC132" s="7">
        <v>30</v>
      </c>
      <c r="AD132" s="7">
        <f t="shared" si="47"/>
        <v>260305</v>
      </c>
      <c r="AE132" s="19" t="str">
        <f t="shared" si="48"/>
        <v>狂躁巨人</v>
      </c>
      <c r="AF132" s="7" t="str">
        <f t="shared" si="57"/>
        <v>CB372AAA</v>
      </c>
      <c r="AG132" s="7">
        <f t="shared" si="49"/>
        <v>91</v>
      </c>
      <c r="AH132" s="19" t="str">
        <f t="shared" si="58"/>
        <v>金属系</v>
      </c>
      <c r="AI132" s="7">
        <v>30</v>
      </c>
      <c r="AL132" s="7">
        <f t="shared" si="50"/>
        <v>91</v>
      </c>
    </row>
    <row r="133" spans="2:38" x14ac:dyDescent="0.15">
      <c r="B133" s="7">
        <v>129</v>
      </c>
      <c r="C133" s="7">
        <v>2604</v>
      </c>
      <c r="D133" s="7" t="s">
        <v>856</v>
      </c>
      <c r="F133" s="7">
        <f t="shared" si="35"/>
        <v>260401</v>
      </c>
      <c r="I133" s="7">
        <f t="shared" si="36"/>
        <v>92</v>
      </c>
      <c r="J133" s="7">
        <f t="shared" si="51"/>
        <v>0</v>
      </c>
      <c r="K133" s="7">
        <v>30</v>
      </c>
      <c r="L133" s="7">
        <f t="shared" si="37"/>
        <v>260402</v>
      </c>
      <c r="M133" s="7" t="str">
        <f t="shared" si="53"/>
        <v>盗贼</v>
      </c>
      <c r="N133" s="7" t="str">
        <f t="shared" si="59"/>
        <v>CB224AAA</v>
      </c>
      <c r="O133" s="7">
        <f t="shared" si="38"/>
        <v>79</v>
      </c>
      <c r="P133" s="19">
        <f t="shared" si="39"/>
        <v>0</v>
      </c>
      <c r="Q133" s="7">
        <v>10</v>
      </c>
      <c r="R133" s="7">
        <f t="shared" si="40"/>
        <v>260403</v>
      </c>
      <c r="T133" s="7" t="e">
        <f t="shared" ref="T133:T144" si="60">VLOOKUP(S133,monstername1,2,FALSE)</f>
        <v>#N/A</v>
      </c>
      <c r="U133" s="7">
        <f t="shared" si="42"/>
        <v>92</v>
      </c>
      <c r="V133" s="19">
        <f t="shared" si="43"/>
        <v>0</v>
      </c>
      <c r="W133" s="7">
        <v>30</v>
      </c>
      <c r="X133" s="7">
        <f t="shared" si="44"/>
        <v>260404</v>
      </c>
      <c r="Y133" s="19" t="str">
        <f t="shared" si="45"/>
        <v>碧蓝湖灵</v>
      </c>
      <c r="Z133" s="7" t="str">
        <f t="shared" ref="Z133:Z144" si="61">VLOOKUP(Y133,monstername1,2,FALSE)</f>
        <v>CB401AAA</v>
      </c>
      <c r="AA133" s="7">
        <f t="shared" si="46"/>
        <v>92</v>
      </c>
      <c r="AB133" s="19" t="str">
        <f t="shared" ref="AB133:AB144" si="62">VLOOKUP(Y133,monstername1,4,FALSE)</f>
        <v>水系</v>
      </c>
      <c r="AC133" s="7">
        <v>30</v>
      </c>
      <c r="AD133" s="7">
        <f t="shared" si="47"/>
        <v>260405</v>
      </c>
      <c r="AE133" s="19" t="str">
        <f t="shared" si="48"/>
        <v>愤怒蝙蝠</v>
      </c>
      <c r="AF133" s="7" t="str">
        <f t="shared" ref="AF133:AF144" si="63">VLOOKUP(AE133,monstername1,2,FALSE)</f>
        <v>CB742AAA</v>
      </c>
      <c r="AG133" s="7">
        <f t="shared" si="49"/>
        <v>92</v>
      </c>
      <c r="AH133" s="19" t="str">
        <f t="shared" ref="AH133:AH144" si="64">VLOOKUP(AE133,monstername1,4,FALSE)</f>
        <v>飞行系</v>
      </c>
      <c r="AI133" s="7">
        <v>30</v>
      </c>
      <c r="AL133" s="7">
        <f t="shared" si="50"/>
        <v>92</v>
      </c>
    </row>
    <row r="134" spans="2:38" x14ac:dyDescent="0.15">
      <c r="B134" s="7">
        <v>130</v>
      </c>
      <c r="C134" s="7">
        <v>2605</v>
      </c>
      <c r="D134" s="7" t="s">
        <v>857</v>
      </c>
      <c r="F134" s="7">
        <f t="shared" ref="F134:F144" si="65">C134*100+1</f>
        <v>260501</v>
      </c>
      <c r="I134" s="7">
        <f t="shared" ref="I134:I144" si="66">ROUND($B134^0.93,0)</f>
        <v>92</v>
      </c>
      <c r="J134" s="7">
        <f t="shared" si="51"/>
        <v>0</v>
      </c>
      <c r="K134" s="7">
        <v>30</v>
      </c>
      <c r="L134" s="7">
        <f t="shared" ref="L134:L144" si="67">C134*100+2</f>
        <v>260502</v>
      </c>
      <c r="M134" s="7" t="str">
        <f t="shared" si="53"/>
        <v>狂躁巨人</v>
      </c>
      <c r="N134" s="7" t="str">
        <f t="shared" si="59"/>
        <v>CB372AAA</v>
      </c>
      <c r="O134" s="7">
        <f t="shared" ref="O134:O144" si="68">ROUND($B134^0.9,0)</f>
        <v>80</v>
      </c>
      <c r="P134" s="19">
        <f t="shared" ref="P134:P144" si="69">J134</f>
        <v>0</v>
      </c>
      <c r="Q134" s="7">
        <v>10</v>
      </c>
      <c r="R134" s="7">
        <f t="shared" ref="R134:R144" si="70">C134*100+3</f>
        <v>260503</v>
      </c>
      <c r="T134" s="7" t="e">
        <f t="shared" si="60"/>
        <v>#N/A</v>
      </c>
      <c r="U134" s="7">
        <f t="shared" ref="U134:U144" si="71">I134</f>
        <v>92</v>
      </c>
      <c r="V134" s="19">
        <f t="shared" ref="V134:V144" si="72">P134</f>
        <v>0</v>
      </c>
      <c r="W134" s="7">
        <v>30</v>
      </c>
      <c r="X134" s="7">
        <f t="shared" ref="X134:X144" si="73">C134*100+4</f>
        <v>260504</v>
      </c>
      <c r="Y134" s="19" t="str">
        <f t="shared" ref="Y134:Y144" si="74">GetMonsterName("0")</f>
        <v>盗贼</v>
      </c>
      <c r="Z134" s="7" t="str">
        <f t="shared" si="61"/>
        <v>CB224AAA</v>
      </c>
      <c r="AA134" s="7">
        <f t="shared" ref="AA134:AA144" si="75">U134</f>
        <v>92</v>
      </c>
      <c r="AB134" s="19" t="str">
        <f t="shared" si="62"/>
        <v>暗系</v>
      </c>
      <c r="AC134" s="7">
        <v>30</v>
      </c>
      <c r="AD134" s="7">
        <f t="shared" ref="AD134:AD144" si="76">X134+1</f>
        <v>260505</v>
      </c>
      <c r="AE134" s="19" t="str">
        <f t="shared" ref="AE134:AE144" si="77">GetMonsterName("0")</f>
        <v>忍者土匪</v>
      </c>
      <c r="AF134" s="7" t="str">
        <f t="shared" si="63"/>
        <v>CB223AAA</v>
      </c>
      <c r="AG134" s="7">
        <f t="shared" ref="AG134:AG144" si="78">AA134</f>
        <v>92</v>
      </c>
      <c r="AH134" s="19" t="str">
        <f t="shared" si="64"/>
        <v>雷系</v>
      </c>
      <c r="AI134" s="7">
        <v>30</v>
      </c>
      <c r="AL134" s="7">
        <f t="shared" ref="AL134:AL144" si="79">AG134</f>
        <v>92</v>
      </c>
    </row>
    <row r="135" spans="2:38" x14ac:dyDescent="0.15">
      <c r="B135" s="7">
        <v>131</v>
      </c>
      <c r="C135" s="7">
        <v>2701</v>
      </c>
      <c r="D135" s="7" t="s">
        <v>856</v>
      </c>
      <c r="F135" s="7">
        <f t="shared" si="65"/>
        <v>270101</v>
      </c>
      <c r="I135" s="7">
        <f t="shared" si="66"/>
        <v>93</v>
      </c>
      <c r="J135" s="7">
        <f t="shared" si="51"/>
        <v>0</v>
      </c>
      <c r="K135" s="7">
        <v>30</v>
      </c>
      <c r="L135" s="7">
        <f t="shared" si="67"/>
        <v>270102</v>
      </c>
      <c r="M135" s="7" t="str">
        <f t="shared" si="53"/>
        <v>魔鬼幽魂</v>
      </c>
      <c r="N135" s="7" t="str">
        <f t="shared" si="59"/>
        <v>CB811AAA</v>
      </c>
      <c r="O135" s="7">
        <f t="shared" si="68"/>
        <v>80</v>
      </c>
      <c r="P135" s="19">
        <f t="shared" si="69"/>
        <v>0</v>
      </c>
      <c r="Q135" s="7">
        <v>10</v>
      </c>
      <c r="R135" s="7">
        <f t="shared" si="70"/>
        <v>270103</v>
      </c>
      <c r="T135" s="7" t="e">
        <f t="shared" si="60"/>
        <v>#N/A</v>
      </c>
      <c r="U135" s="7">
        <f t="shared" si="71"/>
        <v>93</v>
      </c>
      <c r="V135" s="19">
        <f t="shared" si="72"/>
        <v>0</v>
      </c>
      <c r="W135" s="7">
        <v>30</v>
      </c>
      <c r="X135" s="7">
        <f t="shared" si="73"/>
        <v>270104</v>
      </c>
      <c r="Y135" s="19" t="str">
        <f t="shared" si="74"/>
        <v>粘稠怪</v>
      </c>
      <c r="Z135" s="7" t="str">
        <f t="shared" si="61"/>
        <v>CB764AAA</v>
      </c>
      <c r="AA135" s="7">
        <f t="shared" si="75"/>
        <v>93</v>
      </c>
      <c r="AB135" s="19" t="str">
        <f t="shared" si="62"/>
        <v>火系</v>
      </c>
      <c r="AC135" s="7">
        <v>30</v>
      </c>
      <c r="AD135" s="7">
        <f t="shared" si="76"/>
        <v>270105</v>
      </c>
      <c r="AE135" s="19" t="str">
        <f t="shared" si="77"/>
        <v>小蝙蝠</v>
      </c>
      <c r="AF135" s="7" t="str">
        <f t="shared" si="63"/>
        <v>CB741AAA</v>
      </c>
      <c r="AG135" s="7">
        <f t="shared" si="78"/>
        <v>93</v>
      </c>
      <c r="AH135" s="19" t="str">
        <f t="shared" si="64"/>
        <v>飞行系</v>
      </c>
      <c r="AI135" s="7">
        <v>30</v>
      </c>
      <c r="AL135" s="7">
        <f t="shared" si="79"/>
        <v>93</v>
      </c>
    </row>
    <row r="136" spans="2:38" x14ac:dyDescent="0.15">
      <c r="B136" s="7">
        <v>132</v>
      </c>
      <c r="C136" s="7">
        <v>2702</v>
      </c>
      <c r="D136" s="7" t="s">
        <v>857</v>
      </c>
      <c r="F136" s="7">
        <f t="shared" si="65"/>
        <v>270201</v>
      </c>
      <c r="I136" s="7">
        <f t="shared" si="66"/>
        <v>94</v>
      </c>
      <c r="J136" s="7">
        <f t="shared" si="51"/>
        <v>0</v>
      </c>
      <c r="K136" s="7">
        <v>30</v>
      </c>
      <c r="L136" s="7">
        <f t="shared" si="67"/>
        <v>270202</v>
      </c>
      <c r="M136" s="7" t="str">
        <f t="shared" si="53"/>
        <v>光恶魔</v>
      </c>
      <c r="N136" s="7" t="str">
        <f t="shared" si="59"/>
        <v>CB853AAA</v>
      </c>
      <c r="O136" s="7">
        <f t="shared" si="68"/>
        <v>81</v>
      </c>
      <c r="P136" s="19">
        <f t="shared" si="69"/>
        <v>0</v>
      </c>
      <c r="Q136" s="7">
        <v>10</v>
      </c>
      <c r="R136" s="7">
        <f t="shared" si="70"/>
        <v>270203</v>
      </c>
      <c r="T136" s="7" t="e">
        <f t="shared" si="60"/>
        <v>#N/A</v>
      </c>
      <c r="U136" s="7">
        <f t="shared" si="71"/>
        <v>94</v>
      </c>
      <c r="V136" s="19">
        <f t="shared" si="72"/>
        <v>0</v>
      </c>
      <c r="W136" s="7">
        <v>30</v>
      </c>
      <c r="X136" s="7">
        <f t="shared" si="73"/>
        <v>270204</v>
      </c>
      <c r="Y136" s="19" t="str">
        <f t="shared" si="74"/>
        <v>恶魔</v>
      </c>
      <c r="Z136" s="7" t="str">
        <f t="shared" si="61"/>
        <v>CB507AAA</v>
      </c>
      <c r="AA136" s="7">
        <f t="shared" si="75"/>
        <v>94</v>
      </c>
      <c r="AB136" s="19" t="str">
        <f t="shared" si="62"/>
        <v>飞行系</v>
      </c>
      <c r="AC136" s="7">
        <v>30</v>
      </c>
      <c r="AD136" s="7">
        <f t="shared" si="76"/>
        <v>270205</v>
      </c>
      <c r="AE136" s="19" t="str">
        <f t="shared" si="77"/>
        <v>狂舞蜘蛛</v>
      </c>
      <c r="AF136" s="7" t="str">
        <f t="shared" si="63"/>
        <v>CB611AAA</v>
      </c>
      <c r="AG136" s="7">
        <f t="shared" si="78"/>
        <v>94</v>
      </c>
      <c r="AH136" s="19" t="str">
        <f t="shared" si="64"/>
        <v>风系</v>
      </c>
      <c r="AI136" s="7">
        <v>30</v>
      </c>
      <c r="AL136" s="7">
        <f t="shared" si="79"/>
        <v>94</v>
      </c>
    </row>
    <row r="137" spans="2:38" x14ac:dyDescent="0.15">
      <c r="B137" s="7">
        <v>133</v>
      </c>
      <c r="C137" s="7">
        <v>2703</v>
      </c>
      <c r="D137" s="7" t="s">
        <v>856</v>
      </c>
      <c r="F137" s="7">
        <f t="shared" si="65"/>
        <v>270301</v>
      </c>
      <c r="I137" s="7">
        <f t="shared" si="66"/>
        <v>94</v>
      </c>
      <c r="J137" s="7">
        <f t="shared" si="51"/>
        <v>0</v>
      </c>
      <c r="K137" s="7">
        <v>30</v>
      </c>
      <c r="L137" s="7">
        <f t="shared" si="67"/>
        <v>270302</v>
      </c>
      <c r="M137" s="7" t="str">
        <f t="shared" si="53"/>
        <v>恶魔</v>
      </c>
      <c r="N137" s="7" t="str">
        <f t="shared" si="59"/>
        <v>CB507AAA</v>
      </c>
      <c r="O137" s="7">
        <f t="shared" si="68"/>
        <v>82</v>
      </c>
      <c r="P137" s="19">
        <f t="shared" si="69"/>
        <v>0</v>
      </c>
      <c r="Q137" s="7">
        <v>10</v>
      </c>
      <c r="R137" s="7">
        <f t="shared" si="70"/>
        <v>270303</v>
      </c>
      <c r="T137" s="7" t="e">
        <f t="shared" si="60"/>
        <v>#N/A</v>
      </c>
      <c r="U137" s="7">
        <f t="shared" si="71"/>
        <v>94</v>
      </c>
      <c r="V137" s="19">
        <f t="shared" si="72"/>
        <v>0</v>
      </c>
      <c r="W137" s="7">
        <v>30</v>
      </c>
      <c r="X137" s="7">
        <f t="shared" si="73"/>
        <v>270304</v>
      </c>
      <c r="Y137" s="19" t="str">
        <f t="shared" si="74"/>
        <v>土鳗兽</v>
      </c>
      <c r="Z137" s="7" t="str">
        <f t="shared" si="61"/>
        <v>CB733AAA</v>
      </c>
      <c r="AA137" s="7">
        <f t="shared" si="75"/>
        <v>94</v>
      </c>
      <c r="AB137" s="19" t="str">
        <f t="shared" si="62"/>
        <v>龙系</v>
      </c>
      <c r="AC137" s="7">
        <v>30</v>
      </c>
      <c r="AD137" s="7">
        <f t="shared" si="76"/>
        <v>270305</v>
      </c>
      <c r="AE137" s="19" t="str">
        <f t="shared" si="77"/>
        <v>恐怖泥人</v>
      </c>
      <c r="AF137" s="7" t="str">
        <f t="shared" si="63"/>
        <v>CB411AAA</v>
      </c>
      <c r="AG137" s="7">
        <f t="shared" si="78"/>
        <v>94</v>
      </c>
      <c r="AH137" s="19" t="str">
        <f t="shared" si="64"/>
        <v>僵尸系</v>
      </c>
      <c r="AI137" s="7">
        <v>30</v>
      </c>
      <c r="AL137" s="7">
        <f t="shared" si="79"/>
        <v>94</v>
      </c>
    </row>
    <row r="138" spans="2:38" x14ac:dyDescent="0.15">
      <c r="B138" s="7">
        <v>134</v>
      </c>
      <c r="C138" s="7">
        <v>2704</v>
      </c>
      <c r="D138" s="7" t="s">
        <v>857</v>
      </c>
      <c r="F138" s="7">
        <f t="shared" si="65"/>
        <v>270401</v>
      </c>
      <c r="I138" s="7">
        <f t="shared" si="66"/>
        <v>95</v>
      </c>
      <c r="J138" s="7">
        <f t="shared" si="51"/>
        <v>0</v>
      </c>
      <c r="K138" s="7">
        <v>30</v>
      </c>
      <c r="L138" s="7">
        <f t="shared" si="67"/>
        <v>270402</v>
      </c>
      <c r="M138" s="7" t="str">
        <f t="shared" si="53"/>
        <v>魔鬼幽魂</v>
      </c>
      <c r="N138" s="7" t="str">
        <f t="shared" si="59"/>
        <v>CB811AAA</v>
      </c>
      <c r="O138" s="7">
        <f t="shared" si="68"/>
        <v>82</v>
      </c>
      <c r="P138" s="19">
        <f t="shared" si="69"/>
        <v>0</v>
      </c>
      <c r="Q138" s="7">
        <v>10</v>
      </c>
      <c r="R138" s="7">
        <f t="shared" si="70"/>
        <v>270403</v>
      </c>
      <c r="T138" s="7" t="e">
        <f t="shared" si="60"/>
        <v>#N/A</v>
      </c>
      <c r="U138" s="7">
        <f t="shared" si="71"/>
        <v>95</v>
      </c>
      <c r="V138" s="19">
        <f t="shared" si="72"/>
        <v>0</v>
      </c>
      <c r="W138" s="7">
        <v>30</v>
      </c>
      <c r="X138" s="7">
        <f t="shared" si="73"/>
        <v>270404</v>
      </c>
      <c r="Y138" s="19" t="str">
        <f t="shared" si="74"/>
        <v>铜矿怪</v>
      </c>
      <c r="Z138" s="7" t="str">
        <f t="shared" si="61"/>
        <v>CB756AAA</v>
      </c>
      <c r="AA138" s="7">
        <f t="shared" si="75"/>
        <v>95</v>
      </c>
      <c r="AB138" s="19" t="str">
        <f t="shared" si="62"/>
        <v>金属系</v>
      </c>
      <c r="AC138" s="7">
        <v>30</v>
      </c>
      <c r="AD138" s="7">
        <f t="shared" si="76"/>
        <v>270405</v>
      </c>
      <c r="AE138" s="19" t="str">
        <f t="shared" si="77"/>
        <v>小蝙蝠</v>
      </c>
      <c r="AF138" s="7" t="str">
        <f t="shared" si="63"/>
        <v>CB741AAA</v>
      </c>
      <c r="AG138" s="7">
        <f t="shared" si="78"/>
        <v>95</v>
      </c>
      <c r="AH138" s="19" t="str">
        <f t="shared" si="64"/>
        <v>飞行系</v>
      </c>
      <c r="AI138" s="7">
        <v>30</v>
      </c>
      <c r="AL138" s="7">
        <f t="shared" si="79"/>
        <v>95</v>
      </c>
    </row>
    <row r="139" spans="2:38" x14ac:dyDescent="0.15">
      <c r="B139" s="7">
        <v>135</v>
      </c>
      <c r="C139" s="7">
        <v>2705</v>
      </c>
      <c r="D139" s="7" t="s">
        <v>856</v>
      </c>
      <c r="F139" s="7">
        <f t="shared" si="65"/>
        <v>270501</v>
      </c>
      <c r="I139" s="7">
        <f t="shared" si="66"/>
        <v>96</v>
      </c>
      <c r="J139" s="7">
        <f t="shared" ref="J139:J144" si="80">E139</f>
        <v>0</v>
      </c>
      <c r="K139" s="7">
        <v>30</v>
      </c>
      <c r="L139" s="7">
        <f t="shared" si="67"/>
        <v>270502</v>
      </c>
      <c r="M139" s="7" t="str">
        <f t="shared" si="53"/>
        <v>愤怒湖灵</v>
      </c>
      <c r="N139" s="7" t="str">
        <f t="shared" si="59"/>
        <v>CB403AAA</v>
      </c>
      <c r="O139" s="7">
        <f t="shared" si="68"/>
        <v>83</v>
      </c>
      <c r="P139" s="19">
        <f t="shared" si="69"/>
        <v>0</v>
      </c>
      <c r="Q139" s="7">
        <v>10</v>
      </c>
      <c r="R139" s="7">
        <f t="shared" si="70"/>
        <v>270503</v>
      </c>
      <c r="T139" s="7" t="e">
        <f t="shared" si="60"/>
        <v>#N/A</v>
      </c>
      <c r="U139" s="7">
        <f t="shared" si="71"/>
        <v>96</v>
      </c>
      <c r="V139" s="19">
        <f t="shared" si="72"/>
        <v>0</v>
      </c>
      <c r="W139" s="7">
        <v>30</v>
      </c>
      <c r="X139" s="7">
        <f t="shared" si="73"/>
        <v>270504</v>
      </c>
      <c r="Y139" s="19" t="str">
        <f t="shared" si="74"/>
        <v>光精灵</v>
      </c>
      <c r="Z139" s="7" t="str">
        <f t="shared" si="61"/>
        <v>CB431AAA</v>
      </c>
      <c r="AA139" s="7">
        <f t="shared" si="75"/>
        <v>96</v>
      </c>
      <c r="AB139" s="19" t="str">
        <f t="shared" si="62"/>
        <v>光系</v>
      </c>
      <c r="AC139" s="7">
        <v>30</v>
      </c>
      <c r="AD139" s="7">
        <f t="shared" si="76"/>
        <v>270505</v>
      </c>
      <c r="AE139" s="19" t="str">
        <f t="shared" si="77"/>
        <v>黑暗石鱼</v>
      </c>
      <c r="AF139" s="7" t="str">
        <f t="shared" si="63"/>
        <v>CB632AAA</v>
      </c>
      <c r="AG139" s="7">
        <f t="shared" si="78"/>
        <v>96</v>
      </c>
      <c r="AH139" s="19" t="str">
        <f t="shared" si="64"/>
        <v>暗系</v>
      </c>
      <c r="AI139" s="7">
        <v>30</v>
      </c>
      <c r="AL139" s="7">
        <f t="shared" si="79"/>
        <v>96</v>
      </c>
    </row>
    <row r="140" spans="2:38" x14ac:dyDescent="0.15">
      <c r="B140" s="7">
        <v>136</v>
      </c>
      <c r="C140" s="7">
        <v>2801</v>
      </c>
      <c r="D140" s="7" t="s">
        <v>857</v>
      </c>
      <c r="F140" s="7">
        <f t="shared" si="65"/>
        <v>280101</v>
      </c>
      <c r="I140" s="7">
        <f t="shared" si="66"/>
        <v>96</v>
      </c>
      <c r="J140" s="7">
        <f t="shared" si="80"/>
        <v>0</v>
      </c>
      <c r="K140" s="7">
        <v>30</v>
      </c>
      <c r="L140" s="7">
        <f t="shared" si="67"/>
        <v>280102</v>
      </c>
      <c r="M140" s="7" t="str">
        <f t="shared" si="53"/>
        <v>铁甲土匪</v>
      </c>
      <c r="N140" s="7" t="str">
        <f t="shared" ref="N140:N144" si="81">VLOOKUP(M140,monstername1,2,FALSE)</f>
        <v>CB222AAA</v>
      </c>
      <c r="O140" s="7">
        <f t="shared" si="68"/>
        <v>83</v>
      </c>
      <c r="P140" s="19">
        <f t="shared" si="69"/>
        <v>0</v>
      </c>
      <c r="Q140" s="7">
        <v>10</v>
      </c>
      <c r="R140" s="7">
        <f t="shared" si="70"/>
        <v>280103</v>
      </c>
      <c r="T140" s="7" t="e">
        <f t="shared" si="60"/>
        <v>#N/A</v>
      </c>
      <c r="U140" s="7">
        <f t="shared" si="71"/>
        <v>96</v>
      </c>
      <c r="V140" s="19">
        <f t="shared" si="72"/>
        <v>0</v>
      </c>
      <c r="W140" s="7">
        <v>30</v>
      </c>
      <c r="X140" s="7">
        <f t="shared" si="73"/>
        <v>280104</v>
      </c>
      <c r="Y140" s="19" t="str">
        <f t="shared" si="74"/>
        <v>恶魔</v>
      </c>
      <c r="Z140" s="7" t="str">
        <f t="shared" si="61"/>
        <v>CB507AAA</v>
      </c>
      <c r="AA140" s="7">
        <f t="shared" si="75"/>
        <v>96</v>
      </c>
      <c r="AB140" s="19" t="str">
        <f t="shared" si="62"/>
        <v>飞行系</v>
      </c>
      <c r="AC140" s="7">
        <v>30</v>
      </c>
      <c r="AD140" s="7">
        <f t="shared" si="76"/>
        <v>280105</v>
      </c>
      <c r="AE140" s="19" t="str">
        <f t="shared" si="77"/>
        <v>魔鬼幽魂</v>
      </c>
      <c r="AF140" s="7" t="str">
        <f t="shared" si="63"/>
        <v>CB811AAA</v>
      </c>
      <c r="AG140" s="7">
        <f t="shared" si="78"/>
        <v>96</v>
      </c>
      <c r="AH140" s="19" t="str">
        <f t="shared" si="64"/>
        <v>飞行系</v>
      </c>
      <c r="AI140" s="7">
        <v>30</v>
      </c>
      <c r="AL140" s="7">
        <f t="shared" si="79"/>
        <v>96</v>
      </c>
    </row>
    <row r="141" spans="2:38" x14ac:dyDescent="0.15">
      <c r="B141" s="7">
        <v>137</v>
      </c>
      <c r="C141" s="7">
        <v>2802</v>
      </c>
      <c r="D141" s="7" t="s">
        <v>856</v>
      </c>
      <c r="F141" s="7">
        <f t="shared" si="65"/>
        <v>280201</v>
      </c>
      <c r="I141" s="7">
        <f t="shared" si="66"/>
        <v>97</v>
      </c>
      <c r="J141" s="7">
        <f t="shared" si="80"/>
        <v>0</v>
      </c>
      <c r="K141" s="7">
        <v>30</v>
      </c>
      <c r="L141" s="7">
        <f t="shared" si="67"/>
        <v>280202</v>
      </c>
      <c r="M141" s="7" t="str">
        <f t="shared" ref="M141:M144" si="82">GetMonsterName(P141)</f>
        <v>忍者土匪</v>
      </c>
      <c r="N141" s="7" t="str">
        <f t="shared" si="81"/>
        <v>CB223AAA</v>
      </c>
      <c r="O141" s="7">
        <f t="shared" si="68"/>
        <v>84</v>
      </c>
      <c r="P141" s="19">
        <f t="shared" si="69"/>
        <v>0</v>
      </c>
      <c r="Q141" s="7">
        <v>10</v>
      </c>
      <c r="R141" s="7">
        <f t="shared" si="70"/>
        <v>280203</v>
      </c>
      <c r="T141" s="7" t="e">
        <f t="shared" si="60"/>
        <v>#N/A</v>
      </c>
      <c r="U141" s="7">
        <f t="shared" si="71"/>
        <v>97</v>
      </c>
      <c r="V141" s="19">
        <f t="shared" si="72"/>
        <v>0</v>
      </c>
      <c r="W141" s="7">
        <v>30</v>
      </c>
      <c r="X141" s="7">
        <f t="shared" si="73"/>
        <v>280204</v>
      </c>
      <c r="Y141" s="19" t="str">
        <f t="shared" si="74"/>
        <v>魔鬼幽魂</v>
      </c>
      <c r="Z141" s="7" t="str">
        <f t="shared" si="61"/>
        <v>CB811AAA</v>
      </c>
      <c r="AA141" s="7">
        <f t="shared" si="75"/>
        <v>97</v>
      </c>
      <c r="AB141" s="19" t="str">
        <f t="shared" si="62"/>
        <v>飞行系</v>
      </c>
      <c r="AC141" s="7">
        <v>30</v>
      </c>
      <c r="AD141" s="7">
        <f t="shared" si="76"/>
        <v>280205</v>
      </c>
      <c r="AE141" s="19" t="str">
        <f t="shared" si="77"/>
        <v>魔鬼鱼</v>
      </c>
      <c r="AF141" s="7" t="str">
        <f t="shared" si="63"/>
        <v>CB633AAA</v>
      </c>
      <c r="AG141" s="7">
        <f t="shared" si="78"/>
        <v>97</v>
      </c>
      <c r="AH141" s="19" t="str">
        <f t="shared" si="64"/>
        <v>飞行系</v>
      </c>
      <c r="AI141" s="7">
        <v>30</v>
      </c>
      <c r="AL141" s="7">
        <f t="shared" si="79"/>
        <v>97</v>
      </c>
    </row>
    <row r="142" spans="2:38" x14ac:dyDescent="0.15">
      <c r="B142" s="7">
        <v>138</v>
      </c>
      <c r="C142" s="7">
        <v>2803</v>
      </c>
      <c r="D142" s="7" t="s">
        <v>857</v>
      </c>
      <c r="F142" s="7">
        <f t="shared" si="65"/>
        <v>280301</v>
      </c>
      <c r="I142" s="7">
        <f t="shared" si="66"/>
        <v>98</v>
      </c>
      <c r="J142" s="7">
        <f t="shared" si="80"/>
        <v>0</v>
      </c>
      <c r="K142" s="7">
        <v>30</v>
      </c>
      <c r="L142" s="7">
        <f t="shared" si="67"/>
        <v>280302</v>
      </c>
      <c r="M142" s="7" t="str">
        <f t="shared" si="82"/>
        <v>铜矿怪</v>
      </c>
      <c r="N142" s="7" t="str">
        <f t="shared" si="81"/>
        <v>CB756AAA</v>
      </c>
      <c r="O142" s="7">
        <f t="shared" si="68"/>
        <v>84</v>
      </c>
      <c r="P142" s="19">
        <f t="shared" si="69"/>
        <v>0</v>
      </c>
      <c r="Q142" s="7">
        <v>10</v>
      </c>
      <c r="R142" s="7">
        <f t="shared" si="70"/>
        <v>280303</v>
      </c>
      <c r="T142" s="7" t="e">
        <f t="shared" si="60"/>
        <v>#N/A</v>
      </c>
      <c r="U142" s="7">
        <f t="shared" si="71"/>
        <v>98</v>
      </c>
      <c r="V142" s="19">
        <f t="shared" si="72"/>
        <v>0</v>
      </c>
      <c r="W142" s="7">
        <v>30</v>
      </c>
      <c r="X142" s="7">
        <f t="shared" si="73"/>
        <v>280304</v>
      </c>
      <c r="Y142" s="19" t="str">
        <f t="shared" si="74"/>
        <v>黑暗盗贼</v>
      </c>
      <c r="Z142" s="7" t="str">
        <f t="shared" si="61"/>
        <v>CB225AAA</v>
      </c>
      <c r="AA142" s="7">
        <f t="shared" si="75"/>
        <v>98</v>
      </c>
      <c r="AB142" s="19" t="str">
        <f t="shared" si="62"/>
        <v>暗系</v>
      </c>
      <c r="AC142" s="7">
        <v>30</v>
      </c>
      <c r="AD142" s="7">
        <f t="shared" si="76"/>
        <v>280305</v>
      </c>
      <c r="AE142" s="19" t="str">
        <f t="shared" si="77"/>
        <v>雷之盗贼</v>
      </c>
      <c r="AF142" s="7" t="str">
        <f t="shared" si="63"/>
        <v>CB223AAA</v>
      </c>
      <c r="AG142" s="7">
        <f t="shared" si="78"/>
        <v>98</v>
      </c>
      <c r="AH142" s="19" t="str">
        <f t="shared" si="64"/>
        <v>雷系</v>
      </c>
      <c r="AI142" s="7">
        <v>30</v>
      </c>
      <c r="AL142" s="7">
        <f t="shared" si="79"/>
        <v>98</v>
      </c>
    </row>
    <row r="143" spans="2:38" x14ac:dyDescent="0.15">
      <c r="B143" s="7">
        <v>139</v>
      </c>
      <c r="C143" s="7">
        <v>2804</v>
      </c>
      <c r="D143" s="7" t="s">
        <v>856</v>
      </c>
      <c r="F143" s="7">
        <f t="shared" si="65"/>
        <v>280401</v>
      </c>
      <c r="I143" s="7">
        <f t="shared" si="66"/>
        <v>98</v>
      </c>
      <c r="J143" s="7">
        <f t="shared" si="80"/>
        <v>0</v>
      </c>
      <c r="K143" s="7">
        <v>30</v>
      </c>
      <c r="L143" s="7">
        <f t="shared" si="67"/>
        <v>280402</v>
      </c>
      <c r="M143" s="7" t="str">
        <f t="shared" si="82"/>
        <v>粘稠怪</v>
      </c>
      <c r="N143" s="7" t="str">
        <f t="shared" si="81"/>
        <v>CB764AAA</v>
      </c>
      <c r="O143" s="7">
        <f t="shared" si="68"/>
        <v>85</v>
      </c>
      <c r="P143" s="19">
        <f t="shared" si="69"/>
        <v>0</v>
      </c>
      <c r="Q143" s="7">
        <v>10</v>
      </c>
      <c r="R143" s="7">
        <f t="shared" si="70"/>
        <v>280403</v>
      </c>
      <c r="T143" s="7" t="e">
        <f t="shared" si="60"/>
        <v>#N/A</v>
      </c>
      <c r="U143" s="7">
        <f t="shared" si="71"/>
        <v>98</v>
      </c>
      <c r="V143" s="19">
        <f t="shared" si="72"/>
        <v>0</v>
      </c>
      <c r="W143" s="7">
        <v>30</v>
      </c>
      <c r="X143" s="7">
        <f t="shared" si="73"/>
        <v>280404</v>
      </c>
      <c r="Y143" s="19" t="str">
        <f t="shared" si="74"/>
        <v>忍者土匪</v>
      </c>
      <c r="Z143" s="7" t="str">
        <f t="shared" si="61"/>
        <v>CB223AAA</v>
      </c>
      <c r="AA143" s="7">
        <f t="shared" si="75"/>
        <v>98</v>
      </c>
      <c r="AB143" s="19" t="str">
        <f t="shared" si="62"/>
        <v>雷系</v>
      </c>
      <c r="AC143" s="7">
        <v>30</v>
      </c>
      <c r="AD143" s="7">
        <f t="shared" si="76"/>
        <v>280405</v>
      </c>
      <c r="AE143" s="19" t="str">
        <f t="shared" si="77"/>
        <v>飞蛇</v>
      </c>
      <c r="AF143" s="7" t="str">
        <f t="shared" si="63"/>
        <v>CB734AAA</v>
      </c>
      <c r="AG143" s="7">
        <f t="shared" si="78"/>
        <v>98</v>
      </c>
      <c r="AH143" s="19" t="str">
        <f t="shared" si="64"/>
        <v>飞行系</v>
      </c>
      <c r="AI143" s="7">
        <v>30</v>
      </c>
      <c r="AL143" s="7">
        <f t="shared" si="79"/>
        <v>98</v>
      </c>
    </row>
    <row r="144" spans="2:38" x14ac:dyDescent="0.15">
      <c r="B144" s="7">
        <v>140</v>
      </c>
      <c r="C144" s="7">
        <v>2805</v>
      </c>
      <c r="D144" s="7" t="s">
        <v>857</v>
      </c>
      <c r="F144" s="7">
        <f t="shared" si="65"/>
        <v>280501</v>
      </c>
      <c r="I144" s="7">
        <f t="shared" si="66"/>
        <v>99</v>
      </c>
      <c r="J144" s="7">
        <f t="shared" si="80"/>
        <v>0</v>
      </c>
      <c r="K144" s="7">
        <v>30</v>
      </c>
      <c r="L144" s="7">
        <f t="shared" si="67"/>
        <v>280502</v>
      </c>
      <c r="M144" s="7" t="str">
        <f t="shared" si="82"/>
        <v>水恶魔</v>
      </c>
      <c r="N144" s="7" t="str">
        <f t="shared" si="81"/>
        <v>CB852AAA</v>
      </c>
      <c r="O144" s="7">
        <f t="shared" si="68"/>
        <v>85</v>
      </c>
      <c r="P144" s="19">
        <f t="shared" si="69"/>
        <v>0</v>
      </c>
      <c r="Q144" s="7">
        <v>10</v>
      </c>
      <c r="R144" s="7">
        <f t="shared" si="70"/>
        <v>280503</v>
      </c>
      <c r="T144" s="7" t="e">
        <f t="shared" si="60"/>
        <v>#N/A</v>
      </c>
      <c r="U144" s="7">
        <f t="shared" si="71"/>
        <v>99</v>
      </c>
      <c r="V144" s="19">
        <f t="shared" si="72"/>
        <v>0</v>
      </c>
      <c r="W144" s="7">
        <v>30</v>
      </c>
      <c r="X144" s="7">
        <f t="shared" si="73"/>
        <v>280504</v>
      </c>
      <c r="Y144" s="19" t="str">
        <f t="shared" si="74"/>
        <v>铁甲土匪</v>
      </c>
      <c r="Z144" s="7" t="str">
        <f t="shared" si="61"/>
        <v>CB222AAA</v>
      </c>
      <c r="AA144" s="7">
        <f t="shared" si="75"/>
        <v>99</v>
      </c>
      <c r="AB144" s="19" t="str">
        <f t="shared" si="62"/>
        <v>金属系</v>
      </c>
      <c r="AC144" s="7">
        <v>30</v>
      </c>
      <c r="AD144" s="7">
        <f t="shared" si="76"/>
        <v>280505</v>
      </c>
      <c r="AE144" s="19" t="str">
        <f t="shared" si="77"/>
        <v>火魔晶</v>
      </c>
      <c r="AF144" s="7" t="str">
        <f t="shared" si="63"/>
        <v>CB897AAA</v>
      </c>
      <c r="AG144" s="7">
        <f t="shared" si="78"/>
        <v>99</v>
      </c>
      <c r="AH144" s="19" t="str">
        <f t="shared" si="64"/>
        <v>火系</v>
      </c>
      <c r="AI144" s="7">
        <v>30</v>
      </c>
      <c r="AL144" s="7">
        <f t="shared" si="79"/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G4:R93"/>
  <sheetViews>
    <sheetView topLeftCell="A24" workbookViewId="0">
      <selection activeCell="G4" sqref="G4:K91"/>
    </sheetView>
  </sheetViews>
  <sheetFormatPr defaultRowHeight="12.75" x14ac:dyDescent="0.15"/>
  <cols>
    <col min="1" max="16384" width="9" style="20"/>
  </cols>
  <sheetData>
    <row r="4" spans="7:18" x14ac:dyDescent="0.15">
      <c r="G4" s="19" t="s">
        <v>1199</v>
      </c>
      <c r="H4" s="7" t="s">
        <v>895</v>
      </c>
      <c r="I4" s="7">
        <v>1</v>
      </c>
      <c r="J4" s="19" t="s">
        <v>1200</v>
      </c>
      <c r="K4" s="20">
        <f>COUNTIF(G$4:G4,G4)</f>
        <v>1</v>
      </c>
      <c r="N4" s="19"/>
      <c r="O4" s="7"/>
      <c r="P4" s="7"/>
      <c r="Q4" s="19"/>
    </row>
    <row r="5" spans="7:18" hidden="1" x14ac:dyDescent="0.15">
      <c r="G5" s="19" t="s">
        <v>1199</v>
      </c>
      <c r="H5" s="7" t="s">
        <v>895</v>
      </c>
      <c r="I5" s="7">
        <v>2</v>
      </c>
      <c r="J5" s="19" t="s">
        <v>1200</v>
      </c>
      <c r="K5" s="20">
        <f>COUNTIF(G$4:G5,G5)</f>
        <v>2</v>
      </c>
      <c r="N5" s="19" t="s">
        <v>1201</v>
      </c>
      <c r="O5" s="7" t="s">
        <v>943</v>
      </c>
      <c r="P5" s="7">
        <v>3</v>
      </c>
      <c r="Q5" s="19" t="s">
        <v>1200</v>
      </c>
      <c r="R5" s="20">
        <v>1</v>
      </c>
    </row>
    <row r="6" spans="7:18" x14ac:dyDescent="0.15">
      <c r="G6" s="19" t="s">
        <v>1201</v>
      </c>
      <c r="H6" s="7" t="s">
        <v>943</v>
      </c>
      <c r="I6" s="7">
        <v>3</v>
      </c>
      <c r="J6" s="19" t="s">
        <v>1200</v>
      </c>
      <c r="K6" s="20">
        <f>COUNTIF(G$4:G6,G6)</f>
        <v>1</v>
      </c>
      <c r="N6" s="19"/>
      <c r="O6" s="7"/>
      <c r="P6" s="7"/>
      <c r="Q6" s="19"/>
    </row>
    <row r="7" spans="7:18" x14ac:dyDescent="0.15">
      <c r="G7" s="19" t="s">
        <v>1202</v>
      </c>
      <c r="H7" s="7" t="s">
        <v>968</v>
      </c>
      <c r="I7" s="7">
        <v>4</v>
      </c>
      <c r="J7" s="19" t="s">
        <v>1200</v>
      </c>
      <c r="K7" s="20">
        <f>COUNTIF(G$4:G7,G7)</f>
        <v>1</v>
      </c>
      <c r="N7" s="19"/>
      <c r="O7" s="7"/>
      <c r="P7" s="7"/>
      <c r="Q7" s="19"/>
    </row>
    <row r="8" spans="7:18" x14ac:dyDescent="0.15">
      <c r="G8" s="19" t="s">
        <v>1203</v>
      </c>
      <c r="H8" s="7" t="s">
        <v>970</v>
      </c>
      <c r="I8" s="7">
        <v>4</v>
      </c>
      <c r="J8" s="19" t="s">
        <v>1200</v>
      </c>
      <c r="K8" s="20">
        <f>COUNTIF(G$4:G8,G8)</f>
        <v>1</v>
      </c>
      <c r="N8" s="19"/>
      <c r="O8" s="7"/>
      <c r="P8" s="7"/>
      <c r="Q8" s="7"/>
    </row>
    <row r="9" spans="7:18" x14ac:dyDescent="0.15">
      <c r="G9" s="19" t="s">
        <v>1204</v>
      </c>
      <c r="H9" s="7" t="s">
        <v>972</v>
      </c>
      <c r="I9" s="7">
        <v>5</v>
      </c>
      <c r="J9" s="7" t="s">
        <v>1205</v>
      </c>
      <c r="K9" s="20">
        <f>COUNTIF(G$4:G9,G9)</f>
        <v>1</v>
      </c>
      <c r="M9" s="19"/>
      <c r="N9" s="7"/>
      <c r="O9" s="7"/>
      <c r="P9" s="19"/>
    </row>
    <row r="10" spans="7:18" x14ac:dyDescent="0.15">
      <c r="G10" s="19" t="s">
        <v>1206</v>
      </c>
      <c r="H10" s="7" t="s">
        <v>973</v>
      </c>
      <c r="I10" s="7">
        <v>6</v>
      </c>
      <c r="J10" s="7" t="s">
        <v>1205</v>
      </c>
      <c r="K10" s="20">
        <f>COUNTIF(G$4:G10,G10)</f>
        <v>1</v>
      </c>
      <c r="M10" s="19"/>
      <c r="N10" s="7"/>
      <c r="O10" s="7"/>
      <c r="P10" s="19"/>
    </row>
    <row r="11" spans="7:18" x14ac:dyDescent="0.15">
      <c r="G11" s="19" t="s">
        <v>1207</v>
      </c>
      <c r="H11" s="7" t="s">
        <v>972</v>
      </c>
      <c r="I11" s="7">
        <v>7</v>
      </c>
      <c r="J11" s="7" t="s">
        <v>1205</v>
      </c>
      <c r="K11" s="20">
        <f>COUNTIF(G$4:G11,G11)</f>
        <v>1</v>
      </c>
      <c r="M11" s="19"/>
      <c r="N11" s="7"/>
      <c r="O11" s="7"/>
      <c r="P11" s="19"/>
    </row>
    <row r="12" spans="7:18" hidden="1" x14ac:dyDescent="0.15">
      <c r="G12" s="19" t="s">
        <v>1204</v>
      </c>
      <c r="H12" s="7" t="s">
        <v>973</v>
      </c>
      <c r="I12" s="7">
        <v>8</v>
      </c>
      <c r="J12" s="7" t="s">
        <v>1205</v>
      </c>
      <c r="K12" s="20">
        <f>COUNTIF(G$4:G12,G12)</f>
        <v>2</v>
      </c>
      <c r="M12" s="19" t="s">
        <v>1203</v>
      </c>
      <c r="N12" s="7" t="s">
        <v>970</v>
      </c>
      <c r="O12" s="7">
        <v>4</v>
      </c>
      <c r="P12" s="19" t="s">
        <v>1200</v>
      </c>
      <c r="Q12" s="20">
        <v>1</v>
      </c>
      <c r="R12" s="20">
        <v>1</v>
      </c>
    </row>
    <row r="13" spans="7:18" hidden="1" x14ac:dyDescent="0.15">
      <c r="G13" s="19" t="s">
        <v>1206</v>
      </c>
      <c r="H13" s="7" t="s">
        <v>974</v>
      </c>
      <c r="I13" s="7">
        <v>9</v>
      </c>
      <c r="J13" s="7" t="s">
        <v>1205</v>
      </c>
      <c r="K13" s="20">
        <f>COUNTIF(G$4:G13,G13)</f>
        <v>2</v>
      </c>
      <c r="M13" s="19" t="s">
        <v>1204</v>
      </c>
      <c r="N13" s="7" t="s">
        <v>972</v>
      </c>
      <c r="O13" s="7">
        <v>5</v>
      </c>
      <c r="P13" s="7" t="s">
        <v>1205</v>
      </c>
      <c r="Q13" s="20">
        <v>1</v>
      </c>
      <c r="R13" s="20">
        <v>1</v>
      </c>
    </row>
    <row r="14" spans="7:18" x14ac:dyDescent="0.15">
      <c r="G14" s="19" t="s">
        <v>1208</v>
      </c>
      <c r="H14" s="7" t="s">
        <v>976</v>
      </c>
      <c r="I14" s="7">
        <v>9</v>
      </c>
      <c r="J14" s="7" t="s">
        <v>1195</v>
      </c>
      <c r="K14" s="20">
        <f>COUNTIF(G$4:G14,G14)</f>
        <v>1</v>
      </c>
      <c r="M14" s="19"/>
      <c r="N14" s="7"/>
      <c r="O14" s="7"/>
      <c r="P14" s="7"/>
    </row>
    <row r="15" spans="7:18" hidden="1" x14ac:dyDescent="0.15">
      <c r="G15" s="19" t="s">
        <v>1208</v>
      </c>
      <c r="H15" s="7" t="s">
        <v>976</v>
      </c>
      <c r="I15" s="7">
        <v>10</v>
      </c>
      <c r="J15" s="7" t="s">
        <v>1195</v>
      </c>
      <c r="K15" s="20">
        <f>COUNTIF(G$4:G15,G15)</f>
        <v>2</v>
      </c>
      <c r="M15" s="19" t="s">
        <v>1207</v>
      </c>
      <c r="N15" s="7" t="s">
        <v>972</v>
      </c>
      <c r="O15" s="7">
        <v>7</v>
      </c>
      <c r="P15" s="7" t="s">
        <v>1205</v>
      </c>
      <c r="Q15" s="20">
        <v>1</v>
      </c>
      <c r="R15" s="20">
        <v>1</v>
      </c>
    </row>
    <row r="16" spans="7:18" x14ac:dyDescent="0.15">
      <c r="G16" s="19" t="s">
        <v>1209</v>
      </c>
      <c r="H16" s="7" t="s">
        <v>978</v>
      </c>
      <c r="I16" s="7">
        <v>11</v>
      </c>
      <c r="J16" s="7" t="s">
        <v>1195</v>
      </c>
      <c r="K16" s="20">
        <f>COUNTIF(G$4:G16,G16)</f>
        <v>1</v>
      </c>
      <c r="M16" s="19"/>
      <c r="N16" s="7"/>
      <c r="O16" s="7"/>
      <c r="P16" s="7"/>
    </row>
    <row r="17" spans="7:18" hidden="1" x14ac:dyDescent="0.15">
      <c r="G17" s="19" t="s">
        <v>1209</v>
      </c>
      <c r="H17" s="7" t="s">
        <v>978</v>
      </c>
      <c r="I17" s="7">
        <v>12</v>
      </c>
      <c r="J17" s="7" t="s">
        <v>1195</v>
      </c>
      <c r="K17" s="20">
        <f>COUNTIF(G$4:G17,G17)</f>
        <v>2</v>
      </c>
      <c r="M17" s="19" t="s">
        <v>1209</v>
      </c>
      <c r="N17" s="7" t="s">
        <v>978</v>
      </c>
      <c r="O17" s="7">
        <v>11</v>
      </c>
      <c r="P17" s="7" t="s">
        <v>1195</v>
      </c>
      <c r="Q17" s="20">
        <v>1</v>
      </c>
      <c r="R17" s="20">
        <v>1</v>
      </c>
    </row>
    <row r="18" spans="7:18" x14ac:dyDescent="0.15">
      <c r="G18" s="19" t="s">
        <v>1210</v>
      </c>
      <c r="H18" s="7" t="s">
        <v>980</v>
      </c>
      <c r="I18" s="7">
        <v>12</v>
      </c>
      <c r="J18" s="7" t="s">
        <v>1195</v>
      </c>
      <c r="K18" s="20">
        <f>COUNTIF(G$4:G18,G18)</f>
        <v>1</v>
      </c>
      <c r="M18" s="19"/>
      <c r="N18" s="7"/>
      <c r="O18" s="7"/>
      <c r="P18" s="7"/>
    </row>
    <row r="19" spans="7:18" x14ac:dyDescent="0.15">
      <c r="G19" s="19" t="s">
        <v>1211</v>
      </c>
      <c r="H19" s="7" t="s">
        <v>982</v>
      </c>
      <c r="I19" s="7">
        <v>13</v>
      </c>
      <c r="J19" s="7" t="s">
        <v>1212</v>
      </c>
      <c r="K19" s="20">
        <f>COUNTIF(G$4:G19,G19)</f>
        <v>1</v>
      </c>
      <c r="M19" s="19"/>
      <c r="N19" s="7"/>
      <c r="O19" s="7"/>
      <c r="P19" s="7"/>
    </row>
    <row r="20" spans="7:18" hidden="1" x14ac:dyDescent="0.15">
      <c r="G20" s="19" t="s">
        <v>1211</v>
      </c>
      <c r="H20" s="7" t="s">
        <v>982</v>
      </c>
      <c r="I20" s="7">
        <v>14</v>
      </c>
      <c r="J20" s="7" t="s">
        <v>1212</v>
      </c>
      <c r="K20" s="20">
        <f>COUNTIF(G$4:G20,G20)</f>
        <v>2</v>
      </c>
      <c r="M20" s="19" t="s">
        <v>1213</v>
      </c>
      <c r="N20" s="7" t="s">
        <v>984</v>
      </c>
      <c r="O20" s="7">
        <v>15</v>
      </c>
      <c r="P20" s="7" t="s">
        <v>1212</v>
      </c>
      <c r="Q20" s="20">
        <v>1</v>
      </c>
      <c r="R20" s="20">
        <v>1</v>
      </c>
    </row>
    <row r="21" spans="7:18" x14ac:dyDescent="0.15">
      <c r="G21" s="19" t="s">
        <v>1213</v>
      </c>
      <c r="H21" s="7" t="s">
        <v>984</v>
      </c>
      <c r="I21" s="7">
        <v>15</v>
      </c>
      <c r="J21" s="7" t="s">
        <v>1212</v>
      </c>
      <c r="K21" s="20">
        <f>COUNTIF(G$4:G21,G21)</f>
        <v>1</v>
      </c>
      <c r="M21" s="19"/>
      <c r="N21" s="7"/>
      <c r="O21" s="7"/>
      <c r="P21" s="7"/>
    </row>
    <row r="22" spans="7:18" hidden="1" x14ac:dyDescent="0.15">
      <c r="G22" s="19" t="s">
        <v>1213</v>
      </c>
      <c r="H22" s="7" t="s">
        <v>984</v>
      </c>
      <c r="I22" s="7">
        <v>15</v>
      </c>
      <c r="J22" s="7" t="s">
        <v>1212</v>
      </c>
      <c r="K22" s="20">
        <f>COUNTIF(G$4:G22,G22)</f>
        <v>2</v>
      </c>
      <c r="M22" s="19" t="s">
        <v>1216</v>
      </c>
      <c r="N22" s="7" t="s">
        <v>988</v>
      </c>
      <c r="O22" s="7">
        <v>18</v>
      </c>
      <c r="P22" s="7" t="s">
        <v>1215</v>
      </c>
      <c r="Q22" s="20">
        <v>1</v>
      </c>
      <c r="R22" s="20">
        <v>1</v>
      </c>
    </row>
    <row r="23" spans="7:18" hidden="1" x14ac:dyDescent="0.15">
      <c r="G23" s="19" t="s">
        <v>1213</v>
      </c>
      <c r="H23" s="7" t="s">
        <v>984</v>
      </c>
      <c r="I23" s="7">
        <v>16</v>
      </c>
      <c r="J23" s="7" t="s">
        <v>1212</v>
      </c>
      <c r="K23" s="20">
        <f>COUNTIF(G$4:G23,G23)</f>
        <v>3</v>
      </c>
      <c r="M23" s="19" t="s">
        <v>1217</v>
      </c>
      <c r="N23" s="7" t="s">
        <v>990</v>
      </c>
      <c r="O23" s="7">
        <v>21</v>
      </c>
      <c r="P23" s="7" t="s">
        <v>1205</v>
      </c>
      <c r="Q23" s="20">
        <v>1</v>
      </c>
      <c r="R23" s="20">
        <v>1</v>
      </c>
    </row>
    <row r="24" spans="7:18" x14ac:dyDescent="0.15">
      <c r="G24" s="19" t="s">
        <v>1214</v>
      </c>
      <c r="H24" s="7" t="s">
        <v>986</v>
      </c>
      <c r="I24" s="7">
        <v>17</v>
      </c>
      <c r="J24" s="7" t="s">
        <v>1215</v>
      </c>
      <c r="K24" s="20">
        <f>COUNTIF(G$4:G24,G24)</f>
        <v>1</v>
      </c>
      <c r="M24" s="19"/>
      <c r="N24" s="7"/>
      <c r="O24" s="7"/>
      <c r="P24" s="7"/>
    </row>
    <row r="25" spans="7:18" hidden="1" x14ac:dyDescent="0.15">
      <c r="G25" s="19" t="s">
        <v>1214</v>
      </c>
      <c r="H25" s="7" t="s">
        <v>986</v>
      </c>
      <c r="I25" s="7">
        <v>18</v>
      </c>
      <c r="J25" s="7" t="s">
        <v>1215</v>
      </c>
      <c r="K25" s="20">
        <f>COUNTIF(G$4:G25,G25)</f>
        <v>2</v>
      </c>
      <c r="M25" s="19" t="s">
        <v>1220</v>
      </c>
      <c r="N25" s="7" t="s">
        <v>997</v>
      </c>
      <c r="O25" s="7">
        <v>26</v>
      </c>
      <c r="P25" s="7" t="s">
        <v>1219</v>
      </c>
      <c r="Q25" s="20">
        <v>1</v>
      </c>
      <c r="R25" s="20">
        <v>1</v>
      </c>
    </row>
    <row r="26" spans="7:18" x14ac:dyDescent="0.15">
      <c r="G26" s="19" t="s">
        <v>1216</v>
      </c>
      <c r="H26" s="7" t="s">
        <v>988</v>
      </c>
      <c r="I26" s="7">
        <v>18</v>
      </c>
      <c r="J26" s="7" t="s">
        <v>1215</v>
      </c>
      <c r="K26" s="20">
        <f>COUNTIF(G$4:G26,G26)</f>
        <v>1</v>
      </c>
      <c r="M26" s="19"/>
      <c r="N26" s="7"/>
      <c r="O26" s="7"/>
      <c r="P26" s="7"/>
    </row>
    <row r="27" spans="7:18" hidden="1" x14ac:dyDescent="0.15">
      <c r="G27" s="19" t="s">
        <v>1216</v>
      </c>
      <c r="H27" s="7" t="s">
        <v>988</v>
      </c>
      <c r="I27" s="7">
        <v>19</v>
      </c>
      <c r="J27" s="7" t="s">
        <v>1215</v>
      </c>
      <c r="K27" s="20">
        <f>COUNTIF(G$4:G27,G27)</f>
        <v>2</v>
      </c>
      <c r="M27" s="19" t="s">
        <v>1222</v>
      </c>
      <c r="N27" s="7" t="s">
        <v>1002</v>
      </c>
      <c r="O27" s="7">
        <v>28</v>
      </c>
      <c r="P27" s="7" t="s">
        <v>1223</v>
      </c>
      <c r="Q27" s="20">
        <v>1</v>
      </c>
      <c r="R27" s="20">
        <v>1</v>
      </c>
    </row>
    <row r="28" spans="7:18" hidden="1" x14ac:dyDescent="0.15">
      <c r="G28" s="19" t="s">
        <v>1216</v>
      </c>
      <c r="H28" s="7" t="s">
        <v>988</v>
      </c>
      <c r="I28" s="7">
        <v>20</v>
      </c>
      <c r="J28" s="7" t="s">
        <v>1215</v>
      </c>
      <c r="K28" s="20">
        <f>COUNTIF(G$4:G28,G28)</f>
        <v>3</v>
      </c>
      <c r="M28" s="19" t="s">
        <v>1224</v>
      </c>
      <c r="N28" s="7" t="s">
        <v>1005</v>
      </c>
      <c r="O28" s="7">
        <v>31</v>
      </c>
      <c r="P28" s="7" t="s">
        <v>1223</v>
      </c>
      <c r="Q28" s="20">
        <v>1</v>
      </c>
      <c r="R28" s="20">
        <v>1</v>
      </c>
    </row>
    <row r="29" spans="7:18" x14ac:dyDescent="0.15">
      <c r="G29" s="19" t="s">
        <v>1217</v>
      </c>
      <c r="H29" s="7" t="s">
        <v>990</v>
      </c>
      <c r="I29" s="7">
        <v>21</v>
      </c>
      <c r="J29" s="7" t="s">
        <v>1205</v>
      </c>
      <c r="K29" s="20">
        <f>COUNTIF(G$4:G29,G29)</f>
        <v>1</v>
      </c>
      <c r="M29" s="19"/>
      <c r="N29" s="7"/>
      <c r="O29" s="7"/>
      <c r="P29" s="7"/>
    </row>
    <row r="30" spans="7:18" hidden="1" x14ac:dyDescent="0.15">
      <c r="G30" s="19" t="s">
        <v>1217</v>
      </c>
      <c r="H30" s="7" t="s">
        <v>992</v>
      </c>
      <c r="I30" s="7">
        <v>21</v>
      </c>
      <c r="J30" s="7" t="s">
        <v>1205</v>
      </c>
      <c r="K30" s="20">
        <f>COUNTIF(G$4:G30,G30)</f>
        <v>2</v>
      </c>
      <c r="M30" s="19" t="s">
        <v>1227</v>
      </c>
      <c r="N30" s="7" t="s">
        <v>1009</v>
      </c>
      <c r="O30" s="7">
        <v>33</v>
      </c>
      <c r="P30" s="7" t="s">
        <v>1226</v>
      </c>
      <c r="Q30" s="20">
        <v>1</v>
      </c>
      <c r="R30" s="20">
        <v>1</v>
      </c>
    </row>
    <row r="31" spans="7:18" hidden="1" x14ac:dyDescent="0.15">
      <c r="G31" s="19" t="s">
        <v>1217</v>
      </c>
      <c r="H31" s="7" t="s">
        <v>993</v>
      </c>
      <c r="I31" s="7">
        <v>22</v>
      </c>
      <c r="J31" s="7" t="s">
        <v>1205</v>
      </c>
      <c r="K31" s="20">
        <f>COUNTIF(G$4:G31,G31)</f>
        <v>3</v>
      </c>
      <c r="M31" s="19" t="s">
        <v>1228</v>
      </c>
      <c r="N31" s="7" t="s">
        <v>1011</v>
      </c>
      <c r="O31" s="7">
        <v>35</v>
      </c>
      <c r="P31" s="7" t="s">
        <v>1229</v>
      </c>
      <c r="Q31" s="20">
        <v>1</v>
      </c>
      <c r="R31" s="20">
        <v>1</v>
      </c>
    </row>
    <row r="32" spans="7:18" hidden="1" x14ac:dyDescent="0.15">
      <c r="G32" s="19" t="s">
        <v>1217</v>
      </c>
      <c r="H32" s="7" t="s">
        <v>994</v>
      </c>
      <c r="I32" s="7">
        <v>23</v>
      </c>
      <c r="J32" s="7" t="s">
        <v>1205</v>
      </c>
      <c r="K32" s="20">
        <f>COUNTIF(G$4:G32,G32)</f>
        <v>4</v>
      </c>
      <c r="M32" s="7" t="s">
        <v>1230</v>
      </c>
      <c r="N32" s="7" t="s">
        <v>993</v>
      </c>
      <c r="O32" s="7">
        <v>37</v>
      </c>
      <c r="P32" s="7" t="s">
        <v>1229</v>
      </c>
      <c r="Q32" s="20">
        <v>1</v>
      </c>
      <c r="R32" s="20">
        <v>1</v>
      </c>
    </row>
    <row r="33" spans="7:18" hidden="1" x14ac:dyDescent="0.15">
      <c r="G33" s="19" t="s">
        <v>1217</v>
      </c>
      <c r="H33" s="7" t="s">
        <v>995</v>
      </c>
      <c r="I33" s="7">
        <v>24</v>
      </c>
      <c r="J33" s="7" t="s">
        <v>1205</v>
      </c>
      <c r="K33" s="20">
        <f>COUNTIF(G$4:G33,G33)</f>
        <v>5</v>
      </c>
      <c r="M33" s="19" t="s">
        <v>1231</v>
      </c>
      <c r="N33" s="7" t="s">
        <v>1011</v>
      </c>
      <c r="O33" s="7">
        <v>38</v>
      </c>
      <c r="P33" s="7" t="s">
        <v>1229</v>
      </c>
      <c r="Q33" s="20">
        <v>1</v>
      </c>
      <c r="R33" s="20">
        <v>1</v>
      </c>
    </row>
    <row r="34" spans="7:18" x14ac:dyDescent="0.15">
      <c r="G34" s="19" t="s">
        <v>1218</v>
      </c>
      <c r="H34" s="7" t="s">
        <v>992</v>
      </c>
      <c r="I34" s="7">
        <v>24</v>
      </c>
      <c r="J34" s="7" t="s">
        <v>1219</v>
      </c>
      <c r="K34" s="20">
        <f>COUNTIF(G$4:G34,G34)</f>
        <v>1</v>
      </c>
      <c r="M34" s="19"/>
      <c r="N34" s="7"/>
      <c r="O34" s="7"/>
      <c r="P34" s="7"/>
    </row>
    <row r="35" spans="7:18" hidden="1" x14ac:dyDescent="0.15">
      <c r="G35" s="19" t="s">
        <v>1218</v>
      </c>
      <c r="H35" s="7" t="s">
        <v>992</v>
      </c>
      <c r="I35" s="7">
        <v>25</v>
      </c>
      <c r="J35" s="7" t="s">
        <v>1219</v>
      </c>
      <c r="K35" s="20">
        <f>COUNTIF(G$4:G35,G35)</f>
        <v>2</v>
      </c>
      <c r="M35" s="19" t="s">
        <v>1233</v>
      </c>
      <c r="N35" s="7" t="s">
        <v>1018</v>
      </c>
      <c r="O35" s="7">
        <v>39</v>
      </c>
      <c r="P35" s="7" t="s">
        <v>1215</v>
      </c>
      <c r="Q35" s="20">
        <v>1</v>
      </c>
      <c r="R35" s="20">
        <v>1</v>
      </c>
    </row>
    <row r="36" spans="7:18" x14ac:dyDescent="0.15">
      <c r="G36" s="19" t="s">
        <v>1220</v>
      </c>
      <c r="H36" s="7" t="s">
        <v>997</v>
      </c>
      <c r="I36" s="7">
        <v>26</v>
      </c>
      <c r="J36" s="7" t="s">
        <v>1219</v>
      </c>
      <c r="K36" s="20">
        <f>COUNTIF(G$4:G36,G36)</f>
        <v>1</v>
      </c>
      <c r="M36" s="19"/>
      <c r="N36" s="7"/>
      <c r="O36" s="7"/>
      <c r="P36" s="7"/>
    </row>
    <row r="37" spans="7:18" hidden="1" x14ac:dyDescent="0.15">
      <c r="G37" s="19" t="s">
        <v>1220</v>
      </c>
      <c r="H37" s="7" t="s">
        <v>997</v>
      </c>
      <c r="I37" s="7">
        <v>27</v>
      </c>
      <c r="J37" s="7" t="s">
        <v>1219</v>
      </c>
      <c r="K37" s="20">
        <f>COUNTIF(G$4:G37,G37)</f>
        <v>2</v>
      </c>
      <c r="M37" s="19" t="s">
        <v>1235</v>
      </c>
      <c r="N37" s="7" t="s">
        <v>1022</v>
      </c>
      <c r="O37" s="7">
        <v>41</v>
      </c>
      <c r="P37" s="7" t="s">
        <v>1215</v>
      </c>
      <c r="Q37" s="20">
        <v>1</v>
      </c>
      <c r="R37" s="20">
        <v>1</v>
      </c>
    </row>
    <row r="38" spans="7:18" x14ac:dyDescent="0.15">
      <c r="G38" s="19" t="s">
        <v>1221</v>
      </c>
      <c r="H38" s="7" t="s">
        <v>1002</v>
      </c>
      <c r="I38" s="7">
        <v>27</v>
      </c>
      <c r="J38" s="7" t="s">
        <v>1219</v>
      </c>
      <c r="K38" s="20">
        <f>COUNTIF(G$4:G38,G38)</f>
        <v>1</v>
      </c>
      <c r="M38" s="19"/>
      <c r="N38" s="7"/>
      <c r="O38" s="7"/>
      <c r="P38" s="7"/>
    </row>
    <row r="39" spans="7:18" x14ac:dyDescent="0.15">
      <c r="G39" s="19" t="s">
        <v>1222</v>
      </c>
      <c r="H39" s="7" t="s">
        <v>1002</v>
      </c>
      <c r="I39" s="7">
        <v>28</v>
      </c>
      <c r="J39" s="7" t="s">
        <v>1223</v>
      </c>
      <c r="K39" s="20">
        <f>COUNTIF(G$4:G39,G39)</f>
        <v>1</v>
      </c>
      <c r="M39" s="19"/>
      <c r="N39" s="7"/>
      <c r="O39" s="7"/>
      <c r="P39" s="7"/>
    </row>
    <row r="40" spans="7:18" hidden="1" x14ac:dyDescent="0.15">
      <c r="G40" s="19" t="s">
        <v>1222</v>
      </c>
      <c r="H40" s="7" t="s">
        <v>1002</v>
      </c>
      <c r="I40" s="7">
        <v>29</v>
      </c>
      <c r="J40" s="7" t="s">
        <v>1223</v>
      </c>
      <c r="K40" s="20">
        <f>COUNTIF(G$4:G40,G40)</f>
        <v>2</v>
      </c>
      <c r="M40" s="19" t="s">
        <v>1239</v>
      </c>
      <c r="N40" s="7" t="s">
        <v>1030</v>
      </c>
      <c r="O40" s="7">
        <v>46</v>
      </c>
      <c r="P40" s="7" t="s">
        <v>1195</v>
      </c>
      <c r="Q40" s="20">
        <v>1</v>
      </c>
      <c r="R40" s="20">
        <v>1</v>
      </c>
    </row>
    <row r="41" spans="7:18" hidden="1" x14ac:dyDescent="0.15">
      <c r="G41" s="19" t="s">
        <v>1222</v>
      </c>
      <c r="H41" s="7" t="s">
        <v>1002</v>
      </c>
      <c r="I41" s="7">
        <v>29</v>
      </c>
      <c r="J41" s="7" t="s">
        <v>1223</v>
      </c>
      <c r="K41" s="20">
        <f>COUNTIF(G$4:G41,G41)</f>
        <v>3</v>
      </c>
      <c r="M41" s="19" t="s">
        <v>1240</v>
      </c>
      <c r="N41" s="7" t="s">
        <v>1036</v>
      </c>
      <c r="O41" s="7">
        <v>49</v>
      </c>
      <c r="P41" s="7" t="s">
        <v>1241</v>
      </c>
      <c r="Q41" s="20">
        <v>1</v>
      </c>
      <c r="R41" s="20">
        <v>1</v>
      </c>
    </row>
    <row r="42" spans="7:18" hidden="1" x14ac:dyDescent="0.15">
      <c r="G42" s="19" t="s">
        <v>1222</v>
      </c>
      <c r="H42" s="7" t="s">
        <v>1002</v>
      </c>
      <c r="I42" s="7">
        <v>30</v>
      </c>
      <c r="J42" s="7" t="s">
        <v>1223</v>
      </c>
      <c r="K42" s="20">
        <f>COUNTIF(G$4:G42,G42)</f>
        <v>4</v>
      </c>
      <c r="M42" s="19" t="s">
        <v>1242</v>
      </c>
      <c r="N42" s="7" t="s">
        <v>1028</v>
      </c>
      <c r="O42" s="7">
        <v>51</v>
      </c>
      <c r="P42" s="7" t="s">
        <v>1226</v>
      </c>
      <c r="Q42" s="20">
        <v>1</v>
      </c>
      <c r="R42" s="20">
        <v>1</v>
      </c>
    </row>
    <row r="43" spans="7:18" x14ac:dyDescent="0.15">
      <c r="G43" s="19" t="s">
        <v>1224</v>
      </c>
      <c r="H43" s="7" t="s">
        <v>1005</v>
      </c>
      <c r="I43" s="7">
        <v>31</v>
      </c>
      <c r="J43" s="7" t="s">
        <v>1223</v>
      </c>
      <c r="K43" s="20">
        <f>COUNTIF(G$4:G43,G43)</f>
        <v>1</v>
      </c>
      <c r="M43" s="19"/>
      <c r="N43" s="7"/>
      <c r="O43" s="7"/>
      <c r="P43" s="7"/>
    </row>
    <row r="44" spans="7:18" x14ac:dyDescent="0.15">
      <c r="G44" s="19" t="s">
        <v>1225</v>
      </c>
      <c r="H44" s="7" t="s">
        <v>1007</v>
      </c>
      <c r="I44" s="7">
        <v>32</v>
      </c>
      <c r="J44" s="7" t="s">
        <v>1226</v>
      </c>
      <c r="K44" s="20">
        <f>COUNTIF(G$4:G44,G44)</f>
        <v>1</v>
      </c>
      <c r="M44" s="19"/>
      <c r="N44" s="7"/>
      <c r="O44" s="7"/>
      <c r="P44" s="7"/>
    </row>
    <row r="45" spans="7:18" hidden="1" x14ac:dyDescent="0.15">
      <c r="G45" s="19" t="s">
        <v>1225</v>
      </c>
      <c r="H45" s="7" t="s">
        <v>1007</v>
      </c>
      <c r="I45" s="7">
        <v>32</v>
      </c>
      <c r="J45" s="7" t="s">
        <v>1226</v>
      </c>
      <c r="K45" s="20">
        <f>COUNTIF(G$4:G45,G45)</f>
        <v>2</v>
      </c>
      <c r="M45" s="19" t="s">
        <v>1245</v>
      </c>
      <c r="N45" s="7" t="s">
        <v>1042</v>
      </c>
      <c r="O45" s="7">
        <v>53</v>
      </c>
      <c r="P45" s="7" t="s">
        <v>1219</v>
      </c>
      <c r="Q45" s="20">
        <v>1</v>
      </c>
      <c r="R45" s="20">
        <v>1</v>
      </c>
    </row>
    <row r="46" spans="7:18" x14ac:dyDescent="0.15">
      <c r="G46" s="19" t="s">
        <v>1227</v>
      </c>
      <c r="H46" s="7" t="s">
        <v>1009</v>
      </c>
      <c r="I46" s="7">
        <v>33</v>
      </c>
      <c r="J46" s="7" t="s">
        <v>1226</v>
      </c>
      <c r="K46" s="20">
        <f>COUNTIF(G$4:G46,G46)</f>
        <v>1</v>
      </c>
      <c r="M46" s="19"/>
      <c r="N46" s="7"/>
      <c r="O46" s="7"/>
      <c r="P46" s="7"/>
    </row>
    <row r="47" spans="7:18" hidden="1" x14ac:dyDescent="0.15">
      <c r="G47" s="19" t="s">
        <v>1227</v>
      </c>
      <c r="H47" s="7" t="s">
        <v>1009</v>
      </c>
      <c r="I47" s="7">
        <v>34</v>
      </c>
      <c r="J47" s="7" t="s">
        <v>1226</v>
      </c>
      <c r="K47" s="20">
        <f>COUNTIF(G$4:G47,G47)</f>
        <v>2</v>
      </c>
      <c r="M47" s="19" t="s">
        <v>1247</v>
      </c>
      <c r="N47" s="7" t="s">
        <v>990</v>
      </c>
      <c r="O47" s="7">
        <v>56</v>
      </c>
      <c r="P47" s="7" t="s">
        <v>1237</v>
      </c>
      <c r="Q47" s="20">
        <v>1</v>
      </c>
      <c r="R47" s="20">
        <v>1</v>
      </c>
    </row>
    <row r="48" spans="7:18" hidden="1" x14ac:dyDescent="0.15">
      <c r="G48" s="19" t="s">
        <v>1227</v>
      </c>
      <c r="H48" s="7" t="s">
        <v>1009</v>
      </c>
      <c r="I48" s="7">
        <v>34</v>
      </c>
      <c r="J48" s="7" t="s">
        <v>1226</v>
      </c>
      <c r="K48" s="20">
        <f>COUNTIF(G$4:G48,G48)</f>
        <v>3</v>
      </c>
      <c r="M48" s="19" t="s">
        <v>1248</v>
      </c>
      <c r="N48" s="7" t="s">
        <v>1046</v>
      </c>
      <c r="O48" s="7">
        <v>57</v>
      </c>
      <c r="P48" s="7" t="s">
        <v>1237</v>
      </c>
      <c r="Q48" s="20">
        <v>1</v>
      </c>
      <c r="R48" s="20">
        <v>1</v>
      </c>
    </row>
    <row r="49" spans="7:18" x14ac:dyDescent="0.15">
      <c r="G49" s="19" t="s">
        <v>1228</v>
      </c>
      <c r="H49" s="7" t="s">
        <v>1011</v>
      </c>
      <c r="I49" s="7">
        <v>35</v>
      </c>
      <c r="J49" s="7" t="s">
        <v>1229</v>
      </c>
      <c r="K49" s="20">
        <f>COUNTIF(G$4:G49,G49)</f>
        <v>1</v>
      </c>
      <c r="M49" s="19"/>
      <c r="N49" s="7"/>
      <c r="O49" s="7"/>
      <c r="P49" s="7"/>
    </row>
    <row r="50" spans="7:18" hidden="1" x14ac:dyDescent="0.15">
      <c r="G50" s="19" t="s">
        <v>1228</v>
      </c>
      <c r="H50" s="7" t="s">
        <v>1011</v>
      </c>
      <c r="I50" s="7">
        <v>36</v>
      </c>
      <c r="J50" s="7" t="s">
        <v>1229</v>
      </c>
      <c r="K50" s="20">
        <f>COUNTIF(G$4:G50,G50)</f>
        <v>2</v>
      </c>
      <c r="M50" s="19" t="s">
        <v>1250</v>
      </c>
      <c r="N50" s="7" t="s">
        <v>1050</v>
      </c>
      <c r="O50" s="7">
        <v>60</v>
      </c>
      <c r="P50" s="7" t="s">
        <v>1205</v>
      </c>
      <c r="Q50" s="20">
        <v>1</v>
      </c>
      <c r="R50" s="20">
        <v>1</v>
      </c>
    </row>
    <row r="51" spans="7:18" x14ac:dyDescent="0.15">
      <c r="G51" s="7" t="s">
        <v>1230</v>
      </c>
      <c r="H51" s="7" t="s">
        <v>993</v>
      </c>
      <c r="I51" s="7">
        <v>37</v>
      </c>
      <c r="J51" s="7" t="s">
        <v>1229</v>
      </c>
      <c r="K51" s="20">
        <f>COUNTIF(G$4:G51,G51)</f>
        <v>1</v>
      </c>
      <c r="M51" s="19"/>
      <c r="N51" s="7"/>
      <c r="O51" s="7"/>
      <c r="P51" s="7"/>
    </row>
    <row r="52" spans="7:18" hidden="1" x14ac:dyDescent="0.15">
      <c r="G52" s="7" t="s">
        <v>1230</v>
      </c>
      <c r="H52" s="7" t="s">
        <v>993</v>
      </c>
      <c r="I52" s="7">
        <v>37</v>
      </c>
      <c r="J52" s="7" t="s">
        <v>1229</v>
      </c>
      <c r="K52" s="20">
        <f>COUNTIF(G$4:G52,G52)</f>
        <v>2</v>
      </c>
      <c r="M52" s="19" t="s">
        <v>1252</v>
      </c>
      <c r="N52" s="7" t="s">
        <v>1054</v>
      </c>
      <c r="O52" s="7">
        <v>61</v>
      </c>
      <c r="P52" s="7" t="s">
        <v>1200</v>
      </c>
      <c r="Q52" s="20">
        <v>1</v>
      </c>
    </row>
    <row r="53" spans="7:18" x14ac:dyDescent="0.15">
      <c r="G53" s="19" t="s">
        <v>1231</v>
      </c>
      <c r="H53" s="7" t="s">
        <v>1011</v>
      </c>
      <c r="I53" s="7">
        <v>38</v>
      </c>
      <c r="J53" s="7" t="s">
        <v>1229</v>
      </c>
      <c r="K53" s="20">
        <f>COUNTIF(G$4:G53,G53)</f>
        <v>1</v>
      </c>
      <c r="M53" s="19"/>
      <c r="N53" s="7"/>
      <c r="O53" s="7"/>
      <c r="P53" s="7"/>
    </row>
    <row r="54" spans="7:18" x14ac:dyDescent="0.15">
      <c r="G54" s="19" t="s">
        <v>1232</v>
      </c>
      <c r="H54" s="7" t="s">
        <v>1016</v>
      </c>
      <c r="I54" s="7">
        <v>39</v>
      </c>
      <c r="J54" s="7" t="s">
        <v>1215</v>
      </c>
      <c r="K54" s="20">
        <f>COUNTIF(G$4:G54,G54)</f>
        <v>1</v>
      </c>
      <c r="M54" s="19"/>
      <c r="N54" s="7"/>
      <c r="O54" s="7"/>
      <c r="P54" s="7"/>
    </row>
    <row r="55" spans="7:18" x14ac:dyDescent="0.15">
      <c r="G55" s="19" t="s">
        <v>1233</v>
      </c>
      <c r="H55" s="7" t="s">
        <v>1018</v>
      </c>
      <c r="I55" s="7">
        <v>39</v>
      </c>
      <c r="J55" s="7" t="s">
        <v>1215</v>
      </c>
      <c r="K55" s="20">
        <f>COUNTIF(G$4:G55,G55)</f>
        <v>1</v>
      </c>
      <c r="M55" s="19"/>
      <c r="N55" s="7"/>
      <c r="O55" s="7"/>
      <c r="P55" s="7"/>
    </row>
    <row r="56" spans="7:18" x14ac:dyDescent="0.15">
      <c r="G56" s="19" t="s">
        <v>1234</v>
      </c>
      <c r="H56" s="7" t="s">
        <v>1020</v>
      </c>
      <c r="I56" s="7">
        <v>40</v>
      </c>
      <c r="J56" s="7" t="s">
        <v>1215</v>
      </c>
      <c r="K56" s="20">
        <f>COUNTIF(G$4:G56,G56)</f>
        <v>1</v>
      </c>
      <c r="M56" s="19"/>
      <c r="N56" s="7"/>
      <c r="O56" s="7"/>
      <c r="P56" s="7"/>
    </row>
    <row r="57" spans="7:18" x14ac:dyDescent="0.15">
      <c r="G57" s="19" t="s">
        <v>1235</v>
      </c>
      <c r="H57" s="7" t="s">
        <v>1022</v>
      </c>
      <c r="I57" s="7">
        <v>41</v>
      </c>
      <c r="J57" s="7" t="s">
        <v>1215</v>
      </c>
      <c r="K57" s="20">
        <f>COUNTIF(G$4:G57,G57)</f>
        <v>1</v>
      </c>
    </row>
    <row r="58" spans="7:18" hidden="1" x14ac:dyDescent="0.15">
      <c r="G58" s="19" t="s">
        <v>1234</v>
      </c>
      <c r="H58" s="7" t="s">
        <v>1020</v>
      </c>
      <c r="I58" s="7">
        <v>42</v>
      </c>
      <c r="J58" s="7" t="s">
        <v>1215</v>
      </c>
      <c r="K58" s="20">
        <f>COUNTIF(G$4:G58,G58)</f>
        <v>2</v>
      </c>
    </row>
    <row r="59" spans="7:18" x14ac:dyDescent="0.15">
      <c r="G59" s="19" t="s">
        <v>1236</v>
      </c>
      <c r="H59" s="7" t="s">
        <v>1024</v>
      </c>
      <c r="I59" s="7">
        <v>42</v>
      </c>
      <c r="J59" s="7" t="s">
        <v>1237</v>
      </c>
      <c r="K59" s="20">
        <f>COUNTIF(G$4:G59,G59)</f>
        <v>1</v>
      </c>
    </row>
    <row r="60" spans="7:18" hidden="1" x14ac:dyDescent="0.15">
      <c r="G60" s="19" t="s">
        <v>1236</v>
      </c>
      <c r="H60" s="7" t="s">
        <v>1024</v>
      </c>
      <c r="I60" s="7">
        <v>43</v>
      </c>
      <c r="J60" s="7" t="s">
        <v>1237</v>
      </c>
      <c r="K60" s="20">
        <f>COUNTIF(G$4:G60,G60)</f>
        <v>2</v>
      </c>
    </row>
    <row r="61" spans="7:18" x14ac:dyDescent="0.15">
      <c r="G61" s="19" t="s">
        <v>1238</v>
      </c>
      <c r="H61" s="7" t="s">
        <v>1027</v>
      </c>
      <c r="I61" s="7">
        <v>44</v>
      </c>
      <c r="J61" s="7" t="s">
        <v>1237</v>
      </c>
      <c r="K61" s="20">
        <f>COUNTIF(G$4:G61,G61)</f>
        <v>1</v>
      </c>
    </row>
    <row r="62" spans="7:18" hidden="1" x14ac:dyDescent="0.15">
      <c r="G62" s="19" t="s">
        <v>1238</v>
      </c>
      <c r="H62" s="7" t="s">
        <v>1027</v>
      </c>
      <c r="I62" s="7">
        <v>44</v>
      </c>
      <c r="J62" s="7" t="s">
        <v>1237</v>
      </c>
      <c r="K62" s="20">
        <f>COUNTIF(G$4:G62,G62)</f>
        <v>2</v>
      </c>
    </row>
    <row r="63" spans="7:18" hidden="1" x14ac:dyDescent="0.15">
      <c r="G63" s="19" t="s">
        <v>1238</v>
      </c>
      <c r="H63" s="7" t="s">
        <v>1027</v>
      </c>
      <c r="I63" s="7">
        <v>45</v>
      </c>
      <c r="J63" s="7" t="s">
        <v>1237</v>
      </c>
      <c r="K63" s="20">
        <f>COUNTIF(G$4:G63,G63)</f>
        <v>3</v>
      </c>
    </row>
    <row r="64" spans="7:18" x14ac:dyDescent="0.15">
      <c r="G64" s="19" t="s">
        <v>1239</v>
      </c>
      <c r="H64" s="7" t="s">
        <v>1030</v>
      </c>
      <c r="I64" s="7">
        <v>46</v>
      </c>
      <c r="J64" s="7" t="s">
        <v>1195</v>
      </c>
      <c r="K64" s="20">
        <f>COUNTIF(G$4:G64,G64)</f>
        <v>1</v>
      </c>
    </row>
    <row r="65" spans="7:11" hidden="1" x14ac:dyDescent="0.15">
      <c r="G65" s="19" t="s">
        <v>1239</v>
      </c>
      <c r="H65" s="7" t="s">
        <v>1035</v>
      </c>
      <c r="I65" s="7">
        <v>46</v>
      </c>
      <c r="J65" s="7" t="s">
        <v>1215</v>
      </c>
      <c r="K65" s="20">
        <f>COUNTIF(G$4:G65,G65)</f>
        <v>2</v>
      </c>
    </row>
    <row r="66" spans="7:11" hidden="1" x14ac:dyDescent="0.15">
      <c r="G66" s="19" t="s">
        <v>1239</v>
      </c>
      <c r="H66" s="7" t="s">
        <v>1034</v>
      </c>
      <c r="I66" s="7">
        <v>47</v>
      </c>
      <c r="J66" s="7" t="s">
        <v>1226</v>
      </c>
      <c r="K66" s="20">
        <f>COUNTIF(G$4:G66,G66)</f>
        <v>3</v>
      </c>
    </row>
    <row r="67" spans="7:11" hidden="1" x14ac:dyDescent="0.15">
      <c r="G67" s="19" t="s">
        <v>1239</v>
      </c>
      <c r="H67" s="7" t="s">
        <v>1035</v>
      </c>
      <c r="I67" s="7">
        <v>48</v>
      </c>
      <c r="J67" s="7" t="s">
        <v>1215</v>
      </c>
      <c r="K67" s="20">
        <f>COUNTIF(G$4:G67,G67)</f>
        <v>4</v>
      </c>
    </row>
    <row r="68" spans="7:11" hidden="1" x14ac:dyDescent="0.15">
      <c r="G68" s="19" t="s">
        <v>1239</v>
      </c>
      <c r="H68" s="7" t="s">
        <v>1030</v>
      </c>
      <c r="I68" s="7">
        <v>49</v>
      </c>
      <c r="J68" s="7" t="s">
        <v>1195</v>
      </c>
      <c r="K68" s="20">
        <f>COUNTIF(G$4:G68,G68)</f>
        <v>5</v>
      </c>
    </row>
    <row r="69" spans="7:11" x14ac:dyDescent="0.15">
      <c r="G69" s="19" t="s">
        <v>1240</v>
      </c>
      <c r="H69" s="7" t="s">
        <v>1036</v>
      </c>
      <c r="I69" s="7">
        <v>49</v>
      </c>
      <c r="J69" s="7" t="s">
        <v>1241</v>
      </c>
      <c r="K69" s="20">
        <f>COUNTIF(G$4:G69,G69)</f>
        <v>1</v>
      </c>
    </row>
    <row r="70" spans="7:11" hidden="1" x14ac:dyDescent="0.15">
      <c r="G70" s="19" t="s">
        <v>1240</v>
      </c>
      <c r="H70" s="7" t="s">
        <v>1036</v>
      </c>
      <c r="I70" s="7">
        <v>50</v>
      </c>
      <c r="J70" s="7" t="s">
        <v>1241</v>
      </c>
      <c r="K70" s="20">
        <f>COUNTIF(G$4:G70,G70)</f>
        <v>2</v>
      </c>
    </row>
    <row r="71" spans="7:11" x14ac:dyDescent="0.15">
      <c r="G71" s="19" t="s">
        <v>1242</v>
      </c>
      <c r="H71" s="7" t="s">
        <v>1028</v>
      </c>
      <c r="I71" s="7">
        <v>51</v>
      </c>
      <c r="J71" s="7" t="s">
        <v>1226</v>
      </c>
      <c r="K71" s="20">
        <f>COUNTIF(G$4:G71,G71)</f>
        <v>1</v>
      </c>
    </row>
    <row r="72" spans="7:11" hidden="1" x14ac:dyDescent="0.15">
      <c r="G72" s="19" t="s">
        <v>1242</v>
      </c>
      <c r="H72" s="7" t="s">
        <v>1028</v>
      </c>
      <c r="I72" s="7">
        <v>51</v>
      </c>
      <c r="J72" s="7" t="s">
        <v>1226</v>
      </c>
      <c r="K72" s="20">
        <f>COUNTIF(G$4:G72,G72)</f>
        <v>2</v>
      </c>
    </row>
    <row r="73" spans="7:11" x14ac:dyDescent="0.15">
      <c r="G73" s="19" t="s">
        <v>1243</v>
      </c>
      <c r="H73" s="7" t="s">
        <v>1038</v>
      </c>
      <c r="I73" s="7">
        <v>52</v>
      </c>
      <c r="J73" s="7" t="s">
        <v>1226</v>
      </c>
      <c r="K73" s="20">
        <f>COUNTIF(G$4:G73,G73)</f>
        <v>1</v>
      </c>
    </row>
    <row r="74" spans="7:11" x14ac:dyDescent="0.15">
      <c r="G74" s="19" t="s">
        <v>1244</v>
      </c>
      <c r="H74" s="7" t="s">
        <v>1040</v>
      </c>
      <c r="I74" s="7">
        <v>53</v>
      </c>
      <c r="J74" s="7" t="s">
        <v>1219</v>
      </c>
      <c r="K74" s="20">
        <f>COUNTIF(G$4:G74,G74)</f>
        <v>1</v>
      </c>
    </row>
    <row r="75" spans="7:11" x14ac:dyDescent="0.15">
      <c r="G75" s="19" t="s">
        <v>1245</v>
      </c>
      <c r="H75" s="7" t="s">
        <v>1042</v>
      </c>
      <c r="I75" s="7">
        <v>53</v>
      </c>
      <c r="J75" s="7" t="s">
        <v>1219</v>
      </c>
      <c r="K75" s="20">
        <f>COUNTIF(G$4:G75,G75)</f>
        <v>1</v>
      </c>
    </row>
    <row r="76" spans="7:11" x14ac:dyDescent="0.15">
      <c r="G76" s="19" t="s">
        <v>1246</v>
      </c>
      <c r="H76" s="7" t="s">
        <v>992</v>
      </c>
      <c r="I76" s="7">
        <v>54</v>
      </c>
      <c r="J76" s="7" t="s">
        <v>1219</v>
      </c>
      <c r="K76" s="20">
        <f>COUNTIF(G$4:G76,G76)</f>
        <v>1</v>
      </c>
    </row>
    <row r="77" spans="7:11" hidden="1" x14ac:dyDescent="0.15">
      <c r="G77" s="19" t="s">
        <v>1245</v>
      </c>
      <c r="H77" s="7" t="s">
        <v>1042</v>
      </c>
      <c r="I77" s="7">
        <v>55</v>
      </c>
      <c r="J77" s="7" t="s">
        <v>1219</v>
      </c>
      <c r="K77" s="20">
        <f>COUNTIF(G$4:G77,G77)</f>
        <v>2</v>
      </c>
    </row>
    <row r="78" spans="7:11" hidden="1" x14ac:dyDescent="0.15">
      <c r="G78" s="19" t="s">
        <v>1246</v>
      </c>
      <c r="H78" s="7" t="s">
        <v>992</v>
      </c>
      <c r="I78" s="7">
        <v>55</v>
      </c>
      <c r="J78" s="7" t="s">
        <v>1219</v>
      </c>
      <c r="K78" s="20">
        <f>COUNTIF(G$4:G78,G78)</f>
        <v>2</v>
      </c>
    </row>
    <row r="79" spans="7:11" x14ac:dyDescent="0.15">
      <c r="G79" s="19" t="s">
        <v>1247</v>
      </c>
      <c r="H79" s="7" t="s">
        <v>990</v>
      </c>
      <c r="I79" s="7">
        <v>56</v>
      </c>
      <c r="J79" s="7" t="s">
        <v>1237</v>
      </c>
      <c r="K79" s="20">
        <f>COUNTIF(G$4:G79,G79)</f>
        <v>1</v>
      </c>
    </row>
    <row r="80" spans="7:11" x14ac:dyDescent="0.15">
      <c r="G80" s="19" t="s">
        <v>1248</v>
      </c>
      <c r="H80" s="7" t="s">
        <v>1046</v>
      </c>
      <c r="I80" s="7">
        <v>57</v>
      </c>
      <c r="J80" s="7" t="s">
        <v>1237</v>
      </c>
      <c r="K80" s="20">
        <f>COUNTIF(G$4:G80,G80)</f>
        <v>1</v>
      </c>
    </row>
    <row r="81" spans="7:11" hidden="1" x14ac:dyDescent="0.15">
      <c r="G81" s="19" t="s">
        <v>1247</v>
      </c>
      <c r="H81" s="7" t="s">
        <v>990</v>
      </c>
      <c r="I81" s="7">
        <v>57</v>
      </c>
      <c r="J81" s="7" t="s">
        <v>1237</v>
      </c>
      <c r="K81" s="20">
        <f>COUNTIF(G$4:G81,G81)</f>
        <v>2</v>
      </c>
    </row>
    <row r="82" spans="7:11" hidden="1" x14ac:dyDescent="0.15">
      <c r="G82" s="19" t="s">
        <v>1248</v>
      </c>
      <c r="H82" s="7" t="s">
        <v>1046</v>
      </c>
      <c r="I82" s="7">
        <v>58</v>
      </c>
      <c r="J82" s="7" t="s">
        <v>1237</v>
      </c>
      <c r="K82" s="20">
        <f>COUNTIF(G$4:G82,G82)</f>
        <v>2</v>
      </c>
    </row>
    <row r="83" spans="7:11" x14ac:dyDescent="0.15">
      <c r="G83" s="19" t="s">
        <v>1249</v>
      </c>
      <c r="H83" s="7" t="s">
        <v>1048</v>
      </c>
      <c r="I83" s="7">
        <v>59</v>
      </c>
      <c r="J83" s="7" t="s">
        <v>1237</v>
      </c>
      <c r="K83" s="20">
        <f>COUNTIF(G$4:G83,G83)</f>
        <v>1</v>
      </c>
    </row>
    <row r="84" spans="7:11" x14ac:dyDescent="0.15">
      <c r="G84" s="19" t="s">
        <v>1250</v>
      </c>
      <c r="H84" s="7" t="s">
        <v>1050</v>
      </c>
      <c r="I84" s="7">
        <v>60</v>
      </c>
      <c r="J84" s="7" t="s">
        <v>1205</v>
      </c>
      <c r="K84" s="20">
        <f>COUNTIF(G$4:G84,G84)</f>
        <v>1</v>
      </c>
    </row>
    <row r="85" spans="7:11" x14ac:dyDescent="0.15">
      <c r="G85" s="19" t="s">
        <v>1251</v>
      </c>
      <c r="H85" s="7" t="s">
        <v>1052</v>
      </c>
      <c r="I85" s="7">
        <v>60</v>
      </c>
      <c r="J85" s="7" t="s">
        <v>1205</v>
      </c>
      <c r="K85" s="20">
        <f>COUNTIF(G$4:G85,G85)</f>
        <v>1</v>
      </c>
    </row>
    <row r="86" spans="7:11" x14ac:dyDescent="0.15">
      <c r="G86" s="19" t="s">
        <v>1252</v>
      </c>
      <c r="H86" s="7" t="s">
        <v>1054</v>
      </c>
      <c r="I86" s="7">
        <v>61</v>
      </c>
      <c r="J86" s="7" t="s">
        <v>1200</v>
      </c>
      <c r="K86" s="20">
        <f>COUNTIF(G$4:G86,G86)</f>
        <v>1</v>
      </c>
    </row>
    <row r="87" spans="7:11" x14ac:dyDescent="0.15">
      <c r="G87" s="19" t="s">
        <v>1253</v>
      </c>
      <c r="H87" s="7" t="s">
        <v>970</v>
      </c>
      <c r="I87" s="7">
        <v>62</v>
      </c>
      <c r="J87" s="7" t="s">
        <v>1200</v>
      </c>
      <c r="K87" s="20">
        <f>COUNTIF(G$4:G87,G87)</f>
        <v>1</v>
      </c>
    </row>
    <row r="88" spans="7:11" x14ac:dyDescent="0.15">
      <c r="G88" s="19" t="s">
        <v>1254</v>
      </c>
      <c r="H88" s="7" t="s">
        <v>1057</v>
      </c>
      <c r="I88" s="7">
        <v>62</v>
      </c>
      <c r="J88" s="7" t="s">
        <v>1200</v>
      </c>
      <c r="K88" s="20">
        <f>COUNTIF(G$4:G88,G88)</f>
        <v>1</v>
      </c>
    </row>
    <row r="89" spans="7:11" x14ac:dyDescent="0.15">
      <c r="G89" s="19" t="s">
        <v>1255</v>
      </c>
      <c r="H89" s="7" t="s">
        <v>1059</v>
      </c>
      <c r="I89" s="7">
        <v>63</v>
      </c>
      <c r="J89" s="7" t="s">
        <v>1215</v>
      </c>
      <c r="K89" s="20">
        <f>COUNTIF(G$4:G89,G89)</f>
        <v>1</v>
      </c>
    </row>
    <row r="90" spans="7:11" hidden="1" x14ac:dyDescent="0.15">
      <c r="G90" s="19" t="s">
        <v>1234</v>
      </c>
      <c r="H90" s="7" t="s">
        <v>1020</v>
      </c>
      <c r="I90" s="7">
        <v>64</v>
      </c>
      <c r="J90" s="7" t="s">
        <v>1215</v>
      </c>
      <c r="K90" s="20">
        <f>COUNTIF(G$4:G90,G90)</f>
        <v>3</v>
      </c>
    </row>
    <row r="91" spans="7:11" x14ac:dyDescent="0.15">
      <c r="G91" s="19" t="s">
        <v>1256</v>
      </c>
      <c r="H91" s="7" t="s">
        <v>1061</v>
      </c>
      <c r="I91" s="7">
        <v>64</v>
      </c>
      <c r="J91" s="7" t="s">
        <v>1215</v>
      </c>
      <c r="K91" s="20">
        <f>COUNTIF(G$4:G91,G91)</f>
        <v>1</v>
      </c>
    </row>
    <row r="92" spans="7:11" hidden="1" x14ac:dyDescent="0.15">
      <c r="G92" s="19" t="s">
        <v>1255</v>
      </c>
      <c r="H92" s="7" t="s">
        <v>1059</v>
      </c>
      <c r="I92" s="7">
        <v>65</v>
      </c>
      <c r="J92" s="7" t="s">
        <v>1215</v>
      </c>
      <c r="K92" s="20">
        <f>COUNTIF(G$4:G92,G92)</f>
        <v>2</v>
      </c>
    </row>
    <row r="93" spans="7:11" hidden="1" x14ac:dyDescent="0.15">
      <c r="G93" s="19" t="s">
        <v>1256</v>
      </c>
      <c r="H93" s="7" t="s">
        <v>1061</v>
      </c>
      <c r="I93" s="7">
        <v>66</v>
      </c>
      <c r="J93" s="7" t="s">
        <v>1215</v>
      </c>
      <c r="K93" s="20">
        <f>COUNTIF(G$4:G93,G93)</f>
        <v>2</v>
      </c>
    </row>
  </sheetData>
  <autoFilter ref="G4:K93">
    <filterColumn colId="4">
      <filters>
        <filter val="1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H5:M52"/>
  <sheetViews>
    <sheetView workbookViewId="0">
      <selection activeCell="L5" sqref="L5"/>
    </sheetView>
  </sheetViews>
  <sheetFormatPr defaultRowHeight="13.5" x14ac:dyDescent="0.15"/>
  <sheetData>
    <row r="5" spans="8:13" x14ac:dyDescent="0.15">
      <c r="H5">
        <v>1</v>
      </c>
      <c r="I5" s="19" t="s">
        <v>1199</v>
      </c>
      <c r="J5" s="7" t="s">
        <v>895</v>
      </c>
      <c r="K5" s="7">
        <v>1</v>
      </c>
      <c r="L5" s="19" t="s">
        <v>1200</v>
      </c>
      <c r="M5" s="20">
        <v>1</v>
      </c>
    </row>
    <row r="6" spans="8:13" x14ac:dyDescent="0.15">
      <c r="H6">
        <v>2</v>
      </c>
      <c r="I6" s="19" t="s">
        <v>1201</v>
      </c>
      <c r="J6" s="7" t="s">
        <v>943</v>
      </c>
      <c r="K6" s="7">
        <v>3</v>
      </c>
      <c r="L6" s="19" t="s">
        <v>1200</v>
      </c>
      <c r="M6" s="20">
        <v>1</v>
      </c>
    </row>
    <row r="7" spans="8:13" x14ac:dyDescent="0.15">
      <c r="H7">
        <v>3</v>
      </c>
      <c r="I7" s="19" t="s">
        <v>1202</v>
      </c>
      <c r="J7" s="7" t="s">
        <v>968</v>
      </c>
      <c r="K7" s="7">
        <v>4</v>
      </c>
      <c r="L7" s="19" t="s">
        <v>1200</v>
      </c>
      <c r="M7" s="20">
        <v>1</v>
      </c>
    </row>
    <row r="8" spans="8:13" x14ac:dyDescent="0.15">
      <c r="H8">
        <v>4</v>
      </c>
      <c r="I8" s="19" t="s">
        <v>1203</v>
      </c>
      <c r="J8" s="7" t="s">
        <v>970</v>
      </c>
      <c r="K8" s="7">
        <v>4</v>
      </c>
      <c r="L8" s="19" t="s">
        <v>1200</v>
      </c>
      <c r="M8" s="20">
        <v>1</v>
      </c>
    </row>
    <row r="9" spans="8:13" x14ac:dyDescent="0.15">
      <c r="H9">
        <v>5</v>
      </c>
      <c r="I9" s="19" t="s">
        <v>1204</v>
      </c>
      <c r="J9" s="7" t="s">
        <v>972</v>
      </c>
      <c r="K9" s="7">
        <v>5</v>
      </c>
      <c r="L9" s="7" t="s">
        <v>1205</v>
      </c>
      <c r="M9" s="20">
        <v>1</v>
      </c>
    </row>
    <row r="10" spans="8:13" x14ac:dyDescent="0.15">
      <c r="H10">
        <v>6</v>
      </c>
      <c r="I10" s="19" t="s">
        <v>1206</v>
      </c>
      <c r="J10" s="7" t="s">
        <v>973</v>
      </c>
      <c r="K10" s="7">
        <v>6</v>
      </c>
      <c r="L10" s="7" t="s">
        <v>1205</v>
      </c>
      <c r="M10" s="20">
        <v>1</v>
      </c>
    </row>
    <row r="11" spans="8:13" x14ac:dyDescent="0.15">
      <c r="H11">
        <v>7</v>
      </c>
      <c r="I11" s="19" t="s">
        <v>1207</v>
      </c>
      <c r="J11" s="7" t="s">
        <v>972</v>
      </c>
      <c r="K11" s="7">
        <v>7</v>
      </c>
      <c r="L11" s="7" t="s">
        <v>1205</v>
      </c>
      <c r="M11" s="20">
        <v>1</v>
      </c>
    </row>
    <row r="12" spans="8:13" x14ac:dyDescent="0.15">
      <c r="H12">
        <v>8</v>
      </c>
      <c r="I12" s="19" t="s">
        <v>1208</v>
      </c>
      <c r="J12" s="7" t="s">
        <v>976</v>
      </c>
      <c r="K12" s="7">
        <v>9</v>
      </c>
      <c r="L12" s="7" t="s">
        <v>1195</v>
      </c>
      <c r="M12" s="20">
        <v>1</v>
      </c>
    </row>
    <row r="13" spans="8:13" x14ac:dyDescent="0.15">
      <c r="H13">
        <v>9</v>
      </c>
      <c r="I13" s="19" t="s">
        <v>1209</v>
      </c>
      <c r="J13" s="7" t="s">
        <v>978</v>
      </c>
      <c r="K13" s="7">
        <v>11</v>
      </c>
      <c r="L13" s="7" t="s">
        <v>1195</v>
      </c>
      <c r="M13" s="20">
        <v>1</v>
      </c>
    </row>
    <row r="14" spans="8:13" x14ac:dyDescent="0.15">
      <c r="H14">
        <v>10</v>
      </c>
      <c r="I14" s="19" t="s">
        <v>1210</v>
      </c>
      <c r="J14" s="7" t="s">
        <v>980</v>
      </c>
      <c r="K14" s="7">
        <v>12</v>
      </c>
      <c r="L14" s="7" t="s">
        <v>1195</v>
      </c>
      <c r="M14" s="20">
        <v>1</v>
      </c>
    </row>
    <row r="15" spans="8:13" x14ac:dyDescent="0.15">
      <c r="H15">
        <v>11</v>
      </c>
      <c r="I15" s="19" t="s">
        <v>1211</v>
      </c>
      <c r="J15" s="7" t="s">
        <v>982</v>
      </c>
      <c r="K15" s="7">
        <v>13</v>
      </c>
      <c r="L15" s="7" t="s">
        <v>1212</v>
      </c>
      <c r="M15" s="20">
        <v>1</v>
      </c>
    </row>
    <row r="16" spans="8:13" x14ac:dyDescent="0.15">
      <c r="H16">
        <v>12</v>
      </c>
      <c r="I16" s="19" t="s">
        <v>1213</v>
      </c>
      <c r="J16" s="7" t="s">
        <v>984</v>
      </c>
      <c r="K16" s="7">
        <v>15</v>
      </c>
      <c r="L16" s="7" t="s">
        <v>1212</v>
      </c>
      <c r="M16" s="20">
        <v>1</v>
      </c>
    </row>
    <row r="17" spans="8:13" x14ac:dyDescent="0.15">
      <c r="H17">
        <v>13</v>
      </c>
      <c r="I17" s="19" t="s">
        <v>1214</v>
      </c>
      <c r="J17" s="7" t="s">
        <v>986</v>
      </c>
      <c r="K17" s="7">
        <v>17</v>
      </c>
      <c r="L17" s="7" t="s">
        <v>1215</v>
      </c>
      <c r="M17" s="20">
        <v>1</v>
      </c>
    </row>
    <row r="18" spans="8:13" x14ac:dyDescent="0.15">
      <c r="H18">
        <v>14</v>
      </c>
      <c r="I18" s="19" t="s">
        <v>1216</v>
      </c>
      <c r="J18" s="7" t="s">
        <v>988</v>
      </c>
      <c r="K18" s="7">
        <v>18</v>
      </c>
      <c r="L18" s="7" t="s">
        <v>1215</v>
      </c>
      <c r="M18" s="20">
        <v>1</v>
      </c>
    </row>
    <row r="19" spans="8:13" x14ac:dyDescent="0.15">
      <c r="H19">
        <v>15</v>
      </c>
      <c r="I19" s="19" t="s">
        <v>1217</v>
      </c>
      <c r="J19" s="7" t="s">
        <v>990</v>
      </c>
      <c r="K19" s="7">
        <v>21</v>
      </c>
      <c r="L19" s="7" t="s">
        <v>1205</v>
      </c>
      <c r="M19" s="20">
        <v>1</v>
      </c>
    </row>
    <row r="20" spans="8:13" x14ac:dyDescent="0.15">
      <c r="H20">
        <v>16</v>
      </c>
      <c r="I20" s="19" t="s">
        <v>1218</v>
      </c>
      <c r="J20" s="7" t="s">
        <v>992</v>
      </c>
      <c r="K20" s="7">
        <v>24</v>
      </c>
      <c r="L20" s="7" t="s">
        <v>1219</v>
      </c>
      <c r="M20" s="20">
        <v>1</v>
      </c>
    </row>
    <row r="21" spans="8:13" x14ac:dyDescent="0.15">
      <c r="H21">
        <v>17</v>
      </c>
      <c r="I21" s="19" t="s">
        <v>1220</v>
      </c>
      <c r="J21" s="7" t="s">
        <v>997</v>
      </c>
      <c r="K21" s="7">
        <v>26</v>
      </c>
      <c r="L21" s="7" t="s">
        <v>1219</v>
      </c>
      <c r="M21" s="20">
        <v>1</v>
      </c>
    </row>
    <row r="22" spans="8:13" x14ac:dyDescent="0.15">
      <c r="H22">
        <v>18</v>
      </c>
      <c r="I22" s="19" t="s">
        <v>1221</v>
      </c>
      <c r="J22" s="7" t="s">
        <v>1002</v>
      </c>
      <c r="K22" s="7">
        <v>27</v>
      </c>
      <c r="L22" s="7" t="s">
        <v>1219</v>
      </c>
      <c r="M22" s="20">
        <v>1</v>
      </c>
    </row>
    <row r="23" spans="8:13" x14ac:dyDescent="0.15">
      <c r="H23">
        <v>19</v>
      </c>
      <c r="I23" s="19" t="s">
        <v>1222</v>
      </c>
      <c r="J23" s="7" t="s">
        <v>1002</v>
      </c>
      <c r="K23" s="7">
        <v>28</v>
      </c>
      <c r="L23" s="7" t="s">
        <v>1223</v>
      </c>
      <c r="M23" s="20">
        <v>1</v>
      </c>
    </row>
    <row r="24" spans="8:13" x14ac:dyDescent="0.15">
      <c r="H24">
        <v>20</v>
      </c>
      <c r="I24" s="19" t="s">
        <v>1224</v>
      </c>
      <c r="J24" s="7" t="s">
        <v>1005</v>
      </c>
      <c r="K24" s="7">
        <v>31</v>
      </c>
      <c r="L24" s="7" t="s">
        <v>1223</v>
      </c>
      <c r="M24" s="20">
        <v>1</v>
      </c>
    </row>
    <row r="25" spans="8:13" x14ac:dyDescent="0.15">
      <c r="H25">
        <v>21</v>
      </c>
      <c r="I25" s="19" t="s">
        <v>1225</v>
      </c>
      <c r="J25" s="7" t="s">
        <v>1007</v>
      </c>
      <c r="K25" s="7">
        <v>32</v>
      </c>
      <c r="L25" s="7" t="s">
        <v>1226</v>
      </c>
      <c r="M25" s="20">
        <v>1</v>
      </c>
    </row>
    <row r="26" spans="8:13" x14ac:dyDescent="0.15">
      <c r="H26">
        <v>22</v>
      </c>
      <c r="I26" s="19" t="s">
        <v>1227</v>
      </c>
      <c r="J26" s="7" t="s">
        <v>1009</v>
      </c>
      <c r="K26" s="7">
        <v>33</v>
      </c>
      <c r="L26" s="7" t="s">
        <v>1226</v>
      </c>
      <c r="M26" s="20">
        <v>1</v>
      </c>
    </row>
    <row r="27" spans="8:13" x14ac:dyDescent="0.15">
      <c r="H27">
        <v>23</v>
      </c>
      <c r="I27" s="19" t="s">
        <v>1228</v>
      </c>
      <c r="J27" s="7" t="s">
        <v>1011</v>
      </c>
      <c r="K27" s="7">
        <v>35</v>
      </c>
      <c r="L27" s="7" t="s">
        <v>1229</v>
      </c>
      <c r="M27" s="20">
        <v>1</v>
      </c>
    </row>
    <row r="28" spans="8:13" x14ac:dyDescent="0.15">
      <c r="H28">
        <v>24</v>
      </c>
      <c r="I28" s="7" t="s">
        <v>1230</v>
      </c>
      <c r="J28" s="7" t="s">
        <v>993</v>
      </c>
      <c r="K28" s="7">
        <v>37</v>
      </c>
      <c r="L28" s="7" t="s">
        <v>1229</v>
      </c>
      <c r="M28" s="20">
        <v>1</v>
      </c>
    </row>
    <row r="29" spans="8:13" x14ac:dyDescent="0.15">
      <c r="H29">
        <v>25</v>
      </c>
      <c r="I29" s="19" t="s">
        <v>1231</v>
      </c>
      <c r="J29" s="7" t="s">
        <v>1011</v>
      </c>
      <c r="K29" s="7">
        <v>38</v>
      </c>
      <c r="L29" s="7" t="s">
        <v>1229</v>
      </c>
      <c r="M29" s="20">
        <v>1</v>
      </c>
    </row>
    <row r="30" spans="8:13" x14ac:dyDescent="0.15">
      <c r="H30">
        <v>26</v>
      </c>
      <c r="I30" s="19" t="s">
        <v>1232</v>
      </c>
      <c r="J30" s="7" t="s">
        <v>1016</v>
      </c>
      <c r="K30" s="7">
        <v>39</v>
      </c>
      <c r="L30" s="7" t="s">
        <v>1215</v>
      </c>
      <c r="M30" s="20">
        <v>1</v>
      </c>
    </row>
    <row r="31" spans="8:13" x14ac:dyDescent="0.15">
      <c r="H31">
        <v>27</v>
      </c>
      <c r="I31" s="19" t="s">
        <v>1233</v>
      </c>
      <c r="J31" s="7" t="s">
        <v>1018</v>
      </c>
      <c r="K31" s="7">
        <v>39</v>
      </c>
      <c r="L31" s="7" t="s">
        <v>1215</v>
      </c>
      <c r="M31" s="20">
        <v>1</v>
      </c>
    </row>
    <row r="32" spans="8:13" x14ac:dyDescent="0.15">
      <c r="H32">
        <v>28</v>
      </c>
      <c r="I32" s="19" t="s">
        <v>1234</v>
      </c>
      <c r="J32" s="7" t="s">
        <v>1020</v>
      </c>
      <c r="K32" s="7">
        <v>40</v>
      </c>
      <c r="L32" s="7" t="s">
        <v>1215</v>
      </c>
      <c r="M32" s="20">
        <v>1</v>
      </c>
    </row>
    <row r="33" spans="8:13" x14ac:dyDescent="0.15">
      <c r="H33">
        <v>29</v>
      </c>
      <c r="I33" s="19" t="s">
        <v>1235</v>
      </c>
      <c r="J33" s="7" t="s">
        <v>1022</v>
      </c>
      <c r="K33" s="7">
        <v>41</v>
      </c>
      <c r="L33" s="7" t="s">
        <v>1215</v>
      </c>
      <c r="M33" s="20">
        <v>1</v>
      </c>
    </row>
    <row r="34" spans="8:13" x14ac:dyDescent="0.15">
      <c r="H34">
        <v>30</v>
      </c>
      <c r="I34" s="19" t="s">
        <v>1236</v>
      </c>
      <c r="J34" s="7" t="s">
        <v>1024</v>
      </c>
      <c r="K34" s="7">
        <v>42</v>
      </c>
      <c r="L34" s="7" t="s">
        <v>1237</v>
      </c>
      <c r="M34" s="20">
        <v>1</v>
      </c>
    </row>
    <row r="35" spans="8:13" x14ac:dyDescent="0.15">
      <c r="H35">
        <v>31</v>
      </c>
      <c r="I35" s="19" t="s">
        <v>1238</v>
      </c>
      <c r="J35" s="7" t="s">
        <v>1027</v>
      </c>
      <c r="K35" s="7">
        <v>44</v>
      </c>
      <c r="L35" s="7" t="s">
        <v>1237</v>
      </c>
      <c r="M35" s="20">
        <v>1</v>
      </c>
    </row>
    <row r="36" spans="8:13" x14ac:dyDescent="0.15">
      <c r="H36">
        <v>32</v>
      </c>
      <c r="I36" s="19" t="s">
        <v>1239</v>
      </c>
      <c r="J36" s="7" t="s">
        <v>1030</v>
      </c>
      <c r="K36" s="7">
        <v>46</v>
      </c>
      <c r="L36" s="7" t="s">
        <v>1195</v>
      </c>
      <c r="M36" s="20">
        <v>1</v>
      </c>
    </row>
    <row r="37" spans="8:13" x14ac:dyDescent="0.15">
      <c r="H37">
        <v>33</v>
      </c>
      <c r="I37" s="19" t="s">
        <v>1240</v>
      </c>
      <c r="J37" s="7" t="s">
        <v>1036</v>
      </c>
      <c r="K37" s="7">
        <v>49</v>
      </c>
      <c r="L37" s="7" t="s">
        <v>1241</v>
      </c>
      <c r="M37" s="20">
        <v>1</v>
      </c>
    </row>
    <row r="38" spans="8:13" x14ac:dyDescent="0.15">
      <c r="H38">
        <v>34</v>
      </c>
      <c r="I38" s="19" t="s">
        <v>1242</v>
      </c>
      <c r="J38" s="7" t="s">
        <v>1028</v>
      </c>
      <c r="K38" s="7">
        <v>51</v>
      </c>
      <c r="L38" s="7" t="s">
        <v>1226</v>
      </c>
      <c r="M38" s="20">
        <v>1</v>
      </c>
    </row>
    <row r="39" spans="8:13" x14ac:dyDescent="0.15">
      <c r="H39">
        <v>35</v>
      </c>
      <c r="I39" s="19" t="s">
        <v>1243</v>
      </c>
      <c r="J39" s="7" t="s">
        <v>1038</v>
      </c>
      <c r="K39" s="7">
        <v>52</v>
      </c>
      <c r="L39" s="7" t="s">
        <v>1226</v>
      </c>
      <c r="M39" s="20">
        <v>1</v>
      </c>
    </row>
    <row r="40" spans="8:13" x14ac:dyDescent="0.15">
      <c r="H40">
        <v>36</v>
      </c>
      <c r="I40" s="19" t="s">
        <v>1244</v>
      </c>
      <c r="J40" s="7" t="s">
        <v>1040</v>
      </c>
      <c r="K40" s="7">
        <v>53</v>
      </c>
      <c r="L40" s="7" t="s">
        <v>1219</v>
      </c>
      <c r="M40" s="20">
        <v>1</v>
      </c>
    </row>
    <row r="41" spans="8:13" x14ac:dyDescent="0.15">
      <c r="H41">
        <v>37</v>
      </c>
      <c r="I41" s="19" t="s">
        <v>1245</v>
      </c>
      <c r="J41" s="7" t="s">
        <v>1042</v>
      </c>
      <c r="K41" s="7">
        <v>53</v>
      </c>
      <c r="L41" s="7" t="s">
        <v>1219</v>
      </c>
      <c r="M41" s="20">
        <v>1</v>
      </c>
    </row>
    <row r="42" spans="8:13" x14ac:dyDescent="0.15">
      <c r="H42">
        <v>38</v>
      </c>
      <c r="I42" s="19" t="s">
        <v>1246</v>
      </c>
      <c r="J42" s="7" t="s">
        <v>992</v>
      </c>
      <c r="K42" s="7">
        <v>54</v>
      </c>
      <c r="L42" s="7" t="s">
        <v>1219</v>
      </c>
      <c r="M42" s="20">
        <v>1</v>
      </c>
    </row>
    <row r="43" spans="8:13" x14ac:dyDescent="0.15">
      <c r="H43">
        <v>39</v>
      </c>
      <c r="I43" s="19" t="s">
        <v>1247</v>
      </c>
      <c r="J43" s="7" t="s">
        <v>990</v>
      </c>
      <c r="K43" s="7">
        <v>56</v>
      </c>
      <c r="L43" s="7" t="s">
        <v>1237</v>
      </c>
      <c r="M43" s="20">
        <v>1</v>
      </c>
    </row>
    <row r="44" spans="8:13" x14ac:dyDescent="0.15">
      <c r="H44">
        <v>40</v>
      </c>
      <c r="I44" s="19" t="s">
        <v>1248</v>
      </c>
      <c r="J44" s="7" t="s">
        <v>1046</v>
      </c>
      <c r="K44" s="7">
        <v>57</v>
      </c>
      <c r="L44" s="7" t="s">
        <v>1237</v>
      </c>
      <c r="M44" s="20">
        <v>1</v>
      </c>
    </row>
    <row r="45" spans="8:13" x14ac:dyDescent="0.15">
      <c r="H45">
        <v>41</v>
      </c>
      <c r="I45" s="19" t="s">
        <v>1249</v>
      </c>
      <c r="J45" s="7" t="s">
        <v>1048</v>
      </c>
      <c r="K45" s="7">
        <v>59</v>
      </c>
      <c r="L45" s="7" t="s">
        <v>1237</v>
      </c>
      <c r="M45" s="20">
        <v>1</v>
      </c>
    </row>
    <row r="46" spans="8:13" x14ac:dyDescent="0.15">
      <c r="H46">
        <v>42</v>
      </c>
      <c r="I46" s="19" t="s">
        <v>1250</v>
      </c>
      <c r="J46" s="7" t="s">
        <v>1050</v>
      </c>
      <c r="K46" s="7">
        <v>60</v>
      </c>
      <c r="L46" s="7" t="s">
        <v>1205</v>
      </c>
      <c r="M46" s="20">
        <v>1</v>
      </c>
    </row>
    <row r="47" spans="8:13" x14ac:dyDescent="0.15">
      <c r="H47">
        <v>43</v>
      </c>
      <c r="I47" s="19" t="s">
        <v>1251</v>
      </c>
      <c r="J47" s="7" t="s">
        <v>1052</v>
      </c>
      <c r="K47" s="7">
        <v>60</v>
      </c>
      <c r="L47" s="7" t="s">
        <v>1205</v>
      </c>
      <c r="M47" s="20">
        <v>1</v>
      </c>
    </row>
    <row r="48" spans="8:13" x14ac:dyDescent="0.15">
      <c r="H48">
        <v>44</v>
      </c>
      <c r="I48" s="19" t="s">
        <v>1252</v>
      </c>
      <c r="J48" s="7" t="s">
        <v>1054</v>
      </c>
      <c r="K48" s="7">
        <v>61</v>
      </c>
      <c r="L48" s="7" t="s">
        <v>1200</v>
      </c>
      <c r="M48" s="20">
        <v>1</v>
      </c>
    </row>
    <row r="49" spans="8:13" x14ac:dyDescent="0.15">
      <c r="H49">
        <v>45</v>
      </c>
      <c r="I49" s="19" t="s">
        <v>1253</v>
      </c>
      <c r="J49" s="7" t="s">
        <v>970</v>
      </c>
      <c r="K49" s="7">
        <v>62</v>
      </c>
      <c r="L49" s="7" t="s">
        <v>1200</v>
      </c>
      <c r="M49" s="20">
        <v>1</v>
      </c>
    </row>
    <row r="50" spans="8:13" x14ac:dyDescent="0.15">
      <c r="H50">
        <v>46</v>
      </c>
      <c r="I50" s="19" t="s">
        <v>1254</v>
      </c>
      <c r="J50" s="7" t="s">
        <v>1057</v>
      </c>
      <c r="K50" s="7">
        <v>62</v>
      </c>
      <c r="L50" s="7" t="s">
        <v>1200</v>
      </c>
      <c r="M50" s="20">
        <v>1</v>
      </c>
    </row>
    <row r="51" spans="8:13" x14ac:dyDescent="0.15">
      <c r="H51">
        <v>47</v>
      </c>
      <c r="I51" s="19" t="s">
        <v>1255</v>
      </c>
      <c r="J51" s="7" t="s">
        <v>1059</v>
      </c>
      <c r="K51" s="7">
        <v>63</v>
      </c>
      <c r="L51" s="7" t="s">
        <v>1215</v>
      </c>
      <c r="M51" s="20">
        <v>1</v>
      </c>
    </row>
    <row r="52" spans="8:13" x14ac:dyDescent="0.15">
      <c r="H52">
        <v>48</v>
      </c>
      <c r="I52" s="19" t="s">
        <v>1256</v>
      </c>
      <c r="J52" s="7" t="s">
        <v>1061</v>
      </c>
      <c r="K52" s="7">
        <v>64</v>
      </c>
      <c r="L52" s="7" t="s">
        <v>1215</v>
      </c>
      <c r="M52" s="20">
        <v>1</v>
      </c>
    </row>
  </sheetData>
  <phoneticPr fontId="1" type="noConversion"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t2" Type="http://schemas.openxmlformats.org/officeDocument/2006/relationships/image" Target="images/t2.jpg"/><Relationship Id="IC0101" Type="http://schemas.openxmlformats.org/officeDocument/2006/relationships/image" Target="images/IC0101.png"/><Relationship Id="t1" Type="http://schemas.openxmlformats.org/officeDocument/2006/relationships/image" Target="images/t1.png"/><Relationship Id="rId0" Type="http://schemas.openxmlformats.org/officeDocument/2006/relationships/image" Target="images/IC01011.png"/><Relationship Id="rId" Type="http://schemas.openxmlformats.org/officeDocument/2006/relationships/image" Target="images/IC01010.png"/></Relationships>
</file>

<file path=customUI/customUI14.xml><?xml version="1.0" encoding="utf-8"?>
<customUI xmlns="http://schemas.microsoft.com/office/2009/07/customui" onLoad="Initialize">
  <ribbon>
    <tabs>
      <tab id="exportToXML" label="exportToXML">
        <group id="map" label="map">
          <button id="exportMapConfig" label="exportMapConfig" onAction="MapXML" size="large" image="IC0101"/>
        </group>
        <group id="MyStyle" label="MyStyle">
          <button id="CellsStyle" label="CellsStyle" onAction="CellsStyle" size="large" image="t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9</vt:i4>
      </vt:variant>
    </vt:vector>
  </HeadingPairs>
  <TitlesOfParts>
    <vt:vector size="22" baseType="lpstr">
      <vt:lpstr>map</vt:lpstr>
      <vt:lpstr>s</vt:lpstr>
      <vt:lpstr>collect</vt:lpstr>
      <vt:lpstr>dig</vt:lpstr>
      <vt:lpstr>enemy</vt:lpstr>
      <vt:lpstr>boss</vt:lpstr>
      <vt:lpstr>treasure</vt:lpstr>
      <vt:lpstr>Sheet1</vt:lpstr>
      <vt:lpstr>植物</vt:lpstr>
      <vt:lpstr>矿物</vt:lpstr>
      <vt:lpstr>怪物</vt:lpstr>
      <vt:lpstr>Sheet2</vt:lpstr>
      <vt:lpstr>Sheet3</vt:lpstr>
      <vt:lpstr>marking</vt:lpstr>
      <vt:lpstr>monstername1</vt:lpstr>
      <vt:lpstr>per</vt:lpstr>
      <vt:lpstr>plan1</vt:lpstr>
      <vt:lpstr>plan2</vt:lpstr>
      <vt:lpstr>reference1</vt:lpstr>
      <vt:lpstr>test1</vt:lpstr>
      <vt:lpstr>test2</vt:lpstr>
      <vt:lpstr>test3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to XML.xlsm</dc:title>
  <dc:subject>'Excel 2010 Power Programming With VBA' Example File</dc:subject>
  <dc:creator>John Walkenbach</dc:creator>
  <dc:description>©2010, John Walkenbach. All Rights Reserved.</dc:description>
  <cp:lastModifiedBy>姜丹</cp:lastModifiedBy>
  <dcterms:created xsi:type="dcterms:W3CDTF">2001-02-20T17:23:19Z</dcterms:created>
  <dcterms:modified xsi:type="dcterms:W3CDTF">2014-04-29T05:53:41Z</dcterms:modified>
  <cp:category>Excel 2010 Power Programming With VBA</cp:category>
</cp:coreProperties>
</file>